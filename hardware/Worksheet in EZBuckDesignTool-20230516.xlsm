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E072" lockStructure="1"/>
  <bookViews>
    <workbookView xWindow="480" yWindow="30" windowWidth="10620" windowHeight="9000" tabRatio="643" activeTab="1"/>
  </bookViews>
  <sheets>
    <sheet name="User Guide" sheetId="14" r:id="rId1"/>
    <sheet name="EZBuck design calculator" sheetId="1" r:id="rId2"/>
    <sheet name="Sheet3" sheetId="13" state="hidden" r:id="rId3"/>
    <sheet name="Sheet2" sheetId="11" state="hidden" r:id="rId4"/>
    <sheet name="Sheet1 select" sheetId="4" state="hidden" r:id="rId5"/>
    <sheet name="Efficiency calculations" sheetId="5" state="hidden" r:id="rId6"/>
    <sheet name="Bode Plot Calculations" sheetId="7" state="hidden" r:id="rId7"/>
    <sheet name="Controller parameters" sheetId="3" state="hidden" r:id="rId8"/>
  </sheets>
  <externalReferences>
    <externalReference r:id="rId9"/>
    <externalReference r:id="rId10"/>
  </externalReferences>
  <definedNames>
    <definedName name="_pic1">OFFSET(#REF!,MATCH(#REF!,faceno,0)-1,1,1,1)</definedName>
    <definedName name="Acs">'Bode Plot Calculations'!$E$3</definedName>
    <definedName name="Adc">'Bode Plot Calculations'!$R$3</definedName>
    <definedName name="Aea">'Bode Plot Calculations'!$B$6</definedName>
    <definedName name="Afb">'Bode Plot Calculations'!$B$3</definedName>
    <definedName name="Am">'Bode Plot Calculations'!$E$4</definedName>
    <definedName name="CColHead">'Controller parameters'!$A$1:$AP$1</definedName>
    <definedName name="CData">'Controller parameters'!$A$2:$AP$2</definedName>
    <definedName name="ControllerList">'Controller parameters'!$A$2</definedName>
    <definedName name="faceno">#REF!</definedName>
    <definedName name="Fcross" localSheetId="6">'Bode Plot Calculations'!$R$4</definedName>
    <definedName name="Fsw" localSheetId="6">'[1]Main Page'!$B$18</definedName>
    <definedName name="N">'Bode Plot Calculations'!$R$4</definedName>
    <definedName name="pic">OFFSET(#REF!,Sheet1 #REF!-1,1,1,1)</definedName>
    <definedName name="PM" localSheetId="6">'Bode Plot Calculations'!$R$5</definedName>
    <definedName name="Pole1">'Bode Plot Calculations'!$H$4</definedName>
    <definedName name="Pole2">'Bode Plot Calculations'!$B$5</definedName>
    <definedName name="Pole3">'Bode Plot Calculations'!$K$3</definedName>
    <definedName name="pole4">'Bode Plot Calculations'!$B$7</definedName>
    <definedName name="Polefeed">'Bode Plot Calculations'!$B$9</definedName>
    <definedName name="pterm1">'Bode Plot Calculations'!$K$4</definedName>
    <definedName name="pterm2">'Bode Plot Calculations'!$K$5</definedName>
    <definedName name="radconv">'Bode Plot Calculations'!$R$6</definedName>
    <definedName name="Vout" localSheetId="6">'[1]Main Page'!$B$6</definedName>
    <definedName name="x" localSheetId="2">OFFSET(Sheet3!$A$1,[2]Sheet2!$A$1-1,NOW()*0)</definedName>
    <definedName name="x">OFFSET(Sheet3!$A$1,Sheet2!$A$2-1,NOW()*0)</definedName>
    <definedName name="Zero1">'Bode Plot Calculations'!$H$3</definedName>
    <definedName name="Zero2">'Bode Plot Calculations'!$B$4</definedName>
    <definedName name="Zerofeed">'Bode Plot Calculations'!$B$8</definedName>
  </definedNames>
  <calcPr calcId="145621" iterate="1" iterateCount="1000" iterateDelta="1E-4"/>
</workbook>
</file>

<file path=xl/calcChain.xml><?xml version="1.0" encoding="utf-8"?>
<calcChain xmlns="http://schemas.openxmlformats.org/spreadsheetml/2006/main">
  <c r="N23" i="1" l="1"/>
  <c r="N28" i="1"/>
  <c r="N37" i="1"/>
  <c r="N38" i="1"/>
  <c r="N39" i="1"/>
  <c r="N44" i="1"/>
  <c r="N49" i="1"/>
  <c r="F86" i="1"/>
  <c r="F89" i="1"/>
  <c r="B2" i="4"/>
  <c r="B6" i="4" s="1"/>
  <c r="B7" i="4"/>
  <c r="B8" i="4"/>
  <c r="B22" i="4"/>
  <c r="B27" i="4"/>
  <c r="B40" i="4"/>
  <c r="B41" i="4"/>
  <c r="B43" i="4"/>
  <c r="B1" i="5"/>
  <c r="B2" i="5" s="1"/>
  <c r="B3" i="5"/>
  <c r="F6" i="5"/>
  <c r="G6" i="5" s="1"/>
  <c r="F7" i="5"/>
  <c r="B8" i="5"/>
  <c r="B10" i="5"/>
  <c r="B11" i="5"/>
  <c r="B12" i="5"/>
  <c r="F53" i="5" s="1"/>
  <c r="I53" i="5" s="1"/>
  <c r="B13" i="5"/>
  <c r="B14" i="5"/>
  <c r="G97" i="5" s="1"/>
  <c r="B15" i="5"/>
  <c r="B16" i="5"/>
  <c r="M132" i="5" s="1"/>
  <c r="F20" i="5"/>
  <c r="I20" i="5" s="1"/>
  <c r="F35" i="5"/>
  <c r="I35" i="5" s="1"/>
  <c r="F51" i="5"/>
  <c r="F55" i="5"/>
  <c r="F59" i="5"/>
  <c r="F64" i="5"/>
  <c r="G64" i="5"/>
  <c r="F65" i="5"/>
  <c r="F66" i="5"/>
  <c r="G66" i="5"/>
  <c r="F69" i="5"/>
  <c r="F73" i="5"/>
  <c r="G73" i="5" s="1"/>
  <c r="I73" i="5"/>
  <c r="F75" i="5"/>
  <c r="I75" i="5"/>
  <c r="F77" i="5"/>
  <c r="I77" i="5" s="1"/>
  <c r="F79" i="5"/>
  <c r="G79" i="5"/>
  <c r="F81" i="5"/>
  <c r="G81" i="5"/>
  <c r="F83" i="5"/>
  <c r="F85" i="5"/>
  <c r="I85" i="5" s="1"/>
  <c r="F86" i="5"/>
  <c r="F87" i="5"/>
  <c r="F88" i="5"/>
  <c r="I88" i="5" s="1"/>
  <c r="F89" i="5"/>
  <c r="I89" i="5" s="1"/>
  <c r="F90" i="5"/>
  <c r="G90" i="5"/>
  <c r="I90" i="5"/>
  <c r="F91" i="5"/>
  <c r="I91" i="5" s="1"/>
  <c r="F92" i="5"/>
  <c r="I92" i="5"/>
  <c r="F93" i="5"/>
  <c r="I93" i="5"/>
  <c r="F95" i="5"/>
  <c r="I95" i="5" s="1"/>
  <c r="G95" i="5"/>
  <c r="F96" i="5"/>
  <c r="F97" i="5"/>
  <c r="I97" i="5"/>
  <c r="F98" i="5"/>
  <c r="F99" i="5"/>
  <c r="I99" i="5" s="1"/>
  <c r="F100" i="5"/>
  <c r="F101" i="5"/>
  <c r="I101" i="5" s="1"/>
  <c r="F102" i="5"/>
  <c r="I102" i="5" s="1"/>
  <c r="G102" i="5"/>
  <c r="F103" i="5"/>
  <c r="G103" i="5"/>
  <c r="I103" i="5"/>
  <c r="F104" i="5"/>
  <c r="G104" i="5" s="1"/>
  <c r="I104" i="5"/>
  <c r="F105" i="5"/>
  <c r="G105" i="5" s="1"/>
  <c r="F106" i="5"/>
  <c r="F107" i="5"/>
  <c r="G107" i="5"/>
  <c r="F108" i="5"/>
  <c r="I108" i="5"/>
  <c r="F109" i="5"/>
  <c r="G109" i="5"/>
  <c r="I109" i="5"/>
  <c r="F110" i="5"/>
  <c r="F111" i="5"/>
  <c r="I111" i="5"/>
  <c r="F112" i="5"/>
  <c r="F113" i="5"/>
  <c r="I113" i="5" s="1"/>
  <c r="F114" i="5"/>
  <c r="F115" i="5"/>
  <c r="I115" i="5" s="1"/>
  <c r="F116" i="5"/>
  <c r="G116" i="5" s="1"/>
  <c r="I116" i="5"/>
  <c r="F117" i="5"/>
  <c r="G117" i="5" s="1"/>
  <c r="F118" i="5"/>
  <c r="G118" i="5" s="1"/>
  <c r="F119" i="5"/>
  <c r="G119" i="5" s="1"/>
  <c r="I119" i="5"/>
  <c r="F120" i="5"/>
  <c r="G120" i="5" s="1"/>
  <c r="F121" i="5"/>
  <c r="F122" i="5"/>
  <c r="I122" i="5" s="1"/>
  <c r="G122" i="5"/>
  <c r="F123" i="5"/>
  <c r="I123" i="5" s="1"/>
  <c r="F124" i="5"/>
  <c r="I124" i="5" s="1"/>
  <c r="F125" i="5"/>
  <c r="F126" i="5"/>
  <c r="I126" i="5" s="1"/>
  <c r="G126" i="5"/>
  <c r="F127" i="5"/>
  <c r="G127" i="5" s="1"/>
  <c r="F128" i="5"/>
  <c r="G128" i="5" s="1"/>
  <c r="I128" i="5"/>
  <c r="F129" i="5"/>
  <c r="G129" i="5" s="1"/>
  <c r="I129" i="5"/>
  <c r="F130" i="5"/>
  <c r="I130" i="5"/>
  <c r="F131" i="5"/>
  <c r="I131" i="5"/>
  <c r="F132" i="5"/>
  <c r="G132" i="5" s="1"/>
  <c r="F133" i="5"/>
  <c r="G133" i="5" s="1"/>
  <c r="I133" i="5"/>
  <c r="F134" i="5"/>
  <c r="F135" i="5"/>
  <c r="I135" i="5" s="1"/>
  <c r="F136" i="5"/>
  <c r="F137" i="5"/>
  <c r="I137" i="5"/>
  <c r="F138" i="5"/>
  <c r="I138" i="5"/>
  <c r="F139" i="5"/>
  <c r="G139" i="5"/>
  <c r="F140" i="5"/>
  <c r="I140" i="5" s="1"/>
  <c r="F141" i="5"/>
  <c r="I141" i="5" s="1"/>
  <c r="F142" i="5"/>
  <c r="I142" i="5"/>
  <c r="F143" i="5"/>
  <c r="G143" i="5" s="1"/>
  <c r="I143" i="5"/>
  <c r="F144" i="5"/>
  <c r="G144" i="5" s="1"/>
  <c r="F145" i="5"/>
  <c r="F146" i="5"/>
  <c r="F147" i="5"/>
  <c r="I147" i="5" s="1"/>
  <c r="G147" i="5"/>
  <c r="F148" i="5"/>
  <c r="G148" i="5" s="1"/>
  <c r="F149" i="5"/>
  <c r="I149" i="5"/>
  <c r="F150" i="5"/>
  <c r="I150" i="5" s="1"/>
  <c r="G150" i="5"/>
  <c r="F151" i="5"/>
  <c r="F152" i="5"/>
  <c r="I152" i="5" s="1"/>
  <c r="G152" i="5"/>
  <c r="F153" i="5"/>
  <c r="I153" i="5" s="1"/>
  <c r="F154" i="5"/>
  <c r="G154" i="5"/>
  <c r="I154" i="5"/>
  <c r="F155" i="5"/>
  <c r="G155" i="5"/>
  <c r="I155" i="5"/>
  <c r="F156" i="5"/>
  <c r="G156" i="5"/>
  <c r="I156" i="5"/>
  <c r="F157" i="5"/>
  <c r="I157" i="5" s="1"/>
  <c r="G157" i="5"/>
  <c r="F158" i="5"/>
  <c r="F159" i="5"/>
  <c r="I159" i="5" s="1"/>
  <c r="F160" i="5"/>
  <c r="G160" i="5" s="1"/>
  <c r="F161" i="5"/>
  <c r="G161" i="5" s="1"/>
  <c r="F162" i="5"/>
  <c r="I162" i="5"/>
  <c r="F163" i="5"/>
  <c r="I163" i="5" s="1"/>
  <c r="G163" i="5"/>
  <c r="F164" i="5"/>
  <c r="F165" i="5"/>
  <c r="G165" i="5" s="1"/>
  <c r="F166" i="5"/>
  <c r="I166" i="5" s="1"/>
  <c r="F167" i="5"/>
  <c r="G167" i="5"/>
  <c r="I167" i="5"/>
  <c r="F168" i="5"/>
  <c r="I168" i="5" s="1"/>
  <c r="F169" i="5"/>
  <c r="I169" i="5" s="1"/>
  <c r="F170" i="5"/>
  <c r="F171" i="5"/>
  <c r="I171" i="5" s="1"/>
  <c r="F172" i="5"/>
  <c r="G172" i="5" s="1"/>
  <c r="F173" i="5"/>
  <c r="G173" i="5" s="1"/>
  <c r="F174" i="5"/>
  <c r="F175" i="5"/>
  <c r="G175" i="5" s="1"/>
  <c r="I175" i="5"/>
  <c r="F176" i="5"/>
  <c r="F177" i="5"/>
  <c r="G177" i="5" s="1"/>
  <c r="F178" i="5"/>
  <c r="I178" i="5" s="1"/>
  <c r="G178" i="5"/>
  <c r="F179" i="5"/>
  <c r="G179" i="5" s="1"/>
  <c r="I179" i="5"/>
  <c r="F180" i="5"/>
  <c r="G180" i="5" s="1"/>
  <c r="F181" i="5"/>
  <c r="I181" i="5" s="1"/>
  <c r="F182" i="5"/>
  <c r="F183" i="5"/>
  <c r="F184" i="5"/>
  <c r="G184" i="5"/>
  <c r="F185" i="5"/>
  <c r="F186" i="5"/>
  <c r="I186" i="5"/>
  <c r="M186" i="5"/>
  <c r="F187" i="5"/>
  <c r="G187" i="5" s="1"/>
  <c r="I187" i="5"/>
  <c r="F188" i="5"/>
  <c r="F189" i="5"/>
  <c r="G189" i="5"/>
  <c r="F190" i="5"/>
  <c r="G190" i="5" s="1"/>
  <c r="F191" i="5"/>
  <c r="I191" i="5"/>
  <c r="F192" i="5"/>
  <c r="G192" i="5" s="1"/>
  <c r="I192" i="5"/>
  <c r="F193" i="5"/>
  <c r="F194" i="5"/>
  <c r="M194" i="5"/>
  <c r="F195" i="5"/>
  <c r="G195" i="5" s="1"/>
  <c r="F196" i="5"/>
  <c r="I196" i="5" s="1"/>
  <c r="F197" i="5"/>
  <c r="G197" i="5" s="1"/>
  <c r="F198" i="5"/>
  <c r="F199" i="5"/>
  <c r="I199" i="5"/>
  <c r="F200" i="5"/>
  <c r="G200" i="5" s="1"/>
  <c r="I200" i="5"/>
  <c r="F201" i="5"/>
  <c r="G201" i="5" s="1"/>
  <c r="I201" i="5"/>
  <c r="F202" i="5"/>
  <c r="I202" i="5"/>
  <c r="F203" i="5"/>
  <c r="G203" i="5" s="1"/>
  <c r="I203" i="5"/>
  <c r="F204" i="5"/>
  <c r="G204" i="5" s="1"/>
  <c r="F205" i="5"/>
  <c r="I205" i="5" s="1"/>
  <c r="G205" i="5"/>
  <c r="F206" i="5"/>
  <c r="F207" i="5"/>
  <c r="F208" i="5"/>
  <c r="F209" i="5"/>
  <c r="G209" i="5" s="1"/>
  <c r="M209" i="5"/>
  <c r="F210" i="5"/>
  <c r="F211" i="5"/>
  <c r="G211" i="5" s="1"/>
  <c r="F212" i="5"/>
  <c r="I212" i="5" s="1"/>
  <c r="G212" i="5"/>
  <c r="F213" i="5"/>
  <c r="F214" i="5"/>
  <c r="G214" i="5"/>
  <c r="I214" i="5"/>
  <c r="F215" i="5"/>
  <c r="F216" i="5"/>
  <c r="F217" i="5"/>
  <c r="I217" i="5" s="1"/>
  <c r="F218" i="5"/>
  <c r="F219" i="5"/>
  <c r="I219" i="5"/>
  <c r="F220" i="5"/>
  <c r="F221" i="5"/>
  <c r="F222" i="5"/>
  <c r="G222" i="5"/>
  <c r="F223" i="5"/>
  <c r="G223" i="5" s="1"/>
  <c r="F224" i="5"/>
  <c r="I224" i="5"/>
  <c r="F225" i="5"/>
  <c r="G225" i="5" s="1"/>
  <c r="I225" i="5"/>
  <c r="F226" i="5"/>
  <c r="F227" i="5"/>
  <c r="I227" i="5" s="1"/>
  <c r="G227" i="5"/>
  <c r="F228" i="5"/>
  <c r="G228" i="5"/>
  <c r="I228" i="5"/>
  <c r="F229" i="5"/>
  <c r="I229" i="5" s="1"/>
  <c r="F230" i="5"/>
  <c r="I230" i="5" s="1"/>
  <c r="F231" i="5"/>
  <c r="I231" i="5" s="1"/>
  <c r="F232" i="5"/>
  <c r="F233" i="5"/>
  <c r="I233" i="5" s="1"/>
  <c r="M233" i="5"/>
  <c r="F234" i="5"/>
  <c r="I234" i="5" s="1"/>
  <c r="F235" i="5"/>
  <c r="G235" i="5" s="1"/>
  <c r="I235" i="5"/>
  <c r="F236" i="5"/>
  <c r="G236" i="5" s="1"/>
  <c r="I236" i="5"/>
  <c r="F237" i="5"/>
  <c r="G237" i="5" s="1"/>
  <c r="I237" i="5"/>
  <c r="F238" i="5"/>
  <c r="I238" i="5"/>
  <c r="F239" i="5"/>
  <c r="G239" i="5" s="1"/>
  <c r="F240" i="5"/>
  <c r="I240" i="5" s="1"/>
  <c r="F241" i="5"/>
  <c r="F242" i="5"/>
  <c r="F243" i="5"/>
  <c r="I243" i="5" s="1"/>
  <c r="G243" i="5"/>
  <c r="F244" i="5"/>
  <c r="F245" i="5"/>
  <c r="G245" i="5" s="1"/>
  <c r="I245" i="5"/>
  <c r="F246" i="5"/>
  <c r="G246" i="5"/>
  <c r="F247" i="5"/>
  <c r="I247" i="5"/>
  <c r="F248" i="5"/>
  <c r="G248" i="5"/>
  <c r="I248" i="5"/>
  <c r="F249" i="5"/>
  <c r="I249" i="5"/>
  <c r="F250" i="5"/>
  <c r="F251" i="5"/>
  <c r="I251" i="5" s="1"/>
  <c r="M251" i="5"/>
  <c r="F252" i="5"/>
  <c r="F253" i="5"/>
  <c r="F254" i="5"/>
  <c r="F255" i="5"/>
  <c r="I255" i="5" s="1"/>
  <c r="G255" i="5"/>
  <c r="F256" i="5"/>
  <c r="G256" i="5" s="1"/>
  <c r="F257" i="5"/>
  <c r="I257" i="5"/>
  <c r="F258" i="5"/>
  <c r="F259" i="5"/>
  <c r="G259" i="5" s="1"/>
  <c r="F260" i="5"/>
  <c r="I260" i="5"/>
  <c r="F261" i="5"/>
  <c r="F262" i="5"/>
  <c r="G262" i="5"/>
  <c r="I262" i="5"/>
  <c r="F263" i="5"/>
  <c r="F264" i="5"/>
  <c r="G264" i="5" s="1"/>
  <c r="I264" i="5"/>
  <c r="F265" i="5"/>
  <c r="G265" i="5" s="1"/>
  <c r="F266" i="5"/>
  <c r="F267" i="5"/>
  <c r="F268" i="5"/>
  <c r="G268" i="5" s="1"/>
  <c r="F269" i="5"/>
  <c r="G269" i="5"/>
  <c r="I269" i="5"/>
  <c r="F270" i="5"/>
  <c r="G270" i="5" s="1"/>
  <c r="F271" i="5"/>
  <c r="F272" i="5"/>
  <c r="G272" i="5" s="1"/>
  <c r="F273" i="5"/>
  <c r="G273" i="5" s="1"/>
  <c r="I273" i="5"/>
  <c r="F274" i="5"/>
  <c r="G274" i="5" s="1"/>
  <c r="I274" i="5"/>
  <c r="F275" i="5"/>
  <c r="I275" i="5"/>
  <c r="F276" i="5"/>
  <c r="F277" i="5"/>
  <c r="G277" i="5" s="1"/>
  <c r="F278" i="5"/>
  <c r="G278" i="5" s="1"/>
  <c r="I278" i="5"/>
  <c r="F279" i="5"/>
  <c r="I279" i="5" s="1"/>
  <c r="F280" i="5"/>
  <c r="G280" i="5" s="1"/>
  <c r="F281" i="5"/>
  <c r="F282" i="5"/>
  <c r="G282" i="5" s="1"/>
  <c r="F283" i="5"/>
  <c r="F284" i="5"/>
  <c r="I284" i="5" s="1"/>
  <c r="G284" i="5"/>
  <c r="F285" i="5"/>
  <c r="I285" i="5"/>
  <c r="F286" i="5"/>
  <c r="G286" i="5" s="1"/>
  <c r="F287" i="5"/>
  <c r="G287" i="5" s="1"/>
  <c r="F288" i="5"/>
  <c r="F289" i="5"/>
  <c r="G289" i="5" s="1"/>
  <c r="F290" i="5"/>
  <c r="I290" i="5" s="1"/>
  <c r="F291" i="5"/>
  <c r="I291" i="5" s="1"/>
  <c r="F292" i="5"/>
  <c r="I292" i="5"/>
  <c r="M292" i="5"/>
  <c r="F293" i="5"/>
  <c r="G293" i="5" s="1"/>
  <c r="F294" i="5"/>
  <c r="G294" i="5" s="1"/>
  <c r="I294" i="5"/>
  <c r="F295" i="5"/>
  <c r="F296" i="5"/>
  <c r="F297" i="5"/>
  <c r="I297" i="5"/>
  <c r="F298" i="5"/>
  <c r="G298" i="5" s="1"/>
  <c r="I298" i="5"/>
  <c r="F299" i="5"/>
  <c r="I299" i="5" s="1"/>
  <c r="F300" i="5"/>
  <c r="G300" i="5" s="1"/>
  <c r="F301" i="5"/>
  <c r="G301" i="5" s="1"/>
  <c r="H3" i="7"/>
  <c r="D18" i="7" s="1"/>
  <c r="K3" i="7"/>
  <c r="K5" i="7" s="1"/>
  <c r="B4" i="7"/>
  <c r="H14" i="7" s="1"/>
  <c r="R6" i="7"/>
  <c r="G7" i="7"/>
  <c r="B7" i="7" s="1"/>
  <c r="K96" i="7" s="1"/>
  <c r="B8" i="7"/>
  <c r="L16" i="7" s="1"/>
  <c r="B9" i="7"/>
  <c r="N29" i="7" s="1"/>
  <c r="W14" i="7"/>
  <c r="W15" i="7"/>
  <c r="W16" i="7"/>
  <c r="W17" i="7"/>
  <c r="W18" i="7"/>
  <c r="W19" i="7"/>
  <c r="W20" i="7"/>
  <c r="W21" i="7"/>
  <c r="W22" i="7"/>
  <c r="W23" i="7"/>
  <c r="W24" i="7"/>
  <c r="W25" i="7"/>
  <c r="W26" i="7"/>
  <c r="W27" i="7"/>
  <c r="I28" i="7"/>
  <c r="W28" i="7"/>
  <c r="W29" i="7"/>
  <c r="H30" i="7"/>
  <c r="M30" i="7"/>
  <c r="W30" i="7"/>
  <c r="W31" i="7"/>
  <c r="W32" i="7"/>
  <c r="W33" i="7"/>
  <c r="W34" i="7"/>
  <c r="I35" i="7"/>
  <c r="W35" i="7"/>
  <c r="W36" i="7"/>
  <c r="I37" i="7"/>
  <c r="W37" i="7"/>
  <c r="W38" i="7"/>
  <c r="L39" i="7"/>
  <c r="W39" i="7"/>
  <c r="W40" i="7"/>
  <c r="L41" i="7"/>
  <c r="W41" i="7"/>
  <c r="L42" i="7"/>
  <c r="W42" i="7"/>
  <c r="W43" i="7"/>
  <c r="W44" i="7"/>
  <c r="W45" i="7"/>
  <c r="W46" i="7"/>
  <c r="W47" i="7"/>
  <c r="W48" i="7"/>
  <c r="M49" i="7"/>
  <c r="W49" i="7"/>
  <c r="W50" i="7"/>
  <c r="L51" i="7"/>
  <c r="W51" i="7"/>
  <c r="L52" i="7"/>
  <c r="W52" i="7"/>
  <c r="I53" i="7"/>
  <c r="W53" i="7"/>
  <c r="L54" i="7"/>
  <c r="W54" i="7"/>
  <c r="M55" i="7"/>
  <c r="W55" i="7"/>
  <c r="L56" i="7"/>
  <c r="W56" i="7"/>
  <c r="W57" i="7"/>
  <c r="W58" i="7"/>
  <c r="I59" i="7"/>
  <c r="L59" i="7"/>
  <c r="W59" i="7"/>
  <c r="I60" i="7"/>
  <c r="W60" i="7"/>
  <c r="I61" i="7"/>
  <c r="W61" i="7"/>
  <c r="H62" i="7"/>
  <c r="L62" i="7"/>
  <c r="W62" i="7"/>
  <c r="W63" i="7"/>
  <c r="H64" i="7"/>
  <c r="W64" i="7"/>
  <c r="H65" i="7"/>
  <c r="I65" i="7"/>
  <c r="L65" i="7"/>
  <c r="W65" i="7"/>
  <c r="H66" i="7"/>
  <c r="W66" i="7"/>
  <c r="W67" i="7"/>
  <c r="L68" i="7"/>
  <c r="W68" i="7"/>
  <c r="I69" i="7"/>
  <c r="W69" i="7"/>
  <c r="H70" i="7"/>
  <c r="L70" i="7"/>
  <c r="W70" i="7"/>
  <c r="I71" i="7"/>
  <c r="L71" i="7"/>
  <c r="W71" i="7"/>
  <c r="I72" i="7"/>
  <c r="W72" i="7"/>
  <c r="I73" i="7"/>
  <c r="L73" i="7"/>
  <c r="W73" i="7"/>
  <c r="H74" i="7"/>
  <c r="L74" i="7"/>
  <c r="W74" i="7"/>
  <c r="W75" i="7"/>
  <c r="H76" i="7"/>
  <c r="M76" i="7"/>
  <c r="W76" i="7"/>
  <c r="H77" i="7"/>
  <c r="I77" i="7"/>
  <c r="L77" i="7"/>
  <c r="W77" i="7"/>
  <c r="H78" i="7"/>
  <c r="W78" i="7"/>
  <c r="M79" i="7"/>
  <c r="W79" i="7"/>
  <c r="W80" i="7"/>
  <c r="I81" i="7"/>
  <c r="L81" i="7"/>
  <c r="W81" i="7"/>
  <c r="H82" i="7"/>
  <c r="W82" i="7"/>
  <c r="I83" i="7"/>
  <c r="W83" i="7"/>
  <c r="H84" i="7"/>
  <c r="I84" i="7"/>
  <c r="W84" i="7"/>
  <c r="H85" i="7"/>
  <c r="I85" i="7"/>
  <c r="L85" i="7"/>
  <c r="W85" i="7"/>
  <c r="H86" i="7"/>
  <c r="I86" i="7"/>
  <c r="M86" i="7"/>
  <c r="W86" i="7"/>
  <c r="H87" i="7"/>
  <c r="I87" i="7"/>
  <c r="W87" i="7"/>
  <c r="H88" i="7"/>
  <c r="I88" i="7"/>
  <c r="M88" i="7"/>
  <c r="W88" i="7"/>
  <c r="H89" i="7"/>
  <c r="I89" i="7"/>
  <c r="W89" i="7"/>
  <c r="H90" i="7"/>
  <c r="I90" i="7"/>
  <c r="W90" i="7"/>
  <c r="H91" i="7"/>
  <c r="I91" i="7"/>
  <c r="L91" i="7"/>
  <c r="W91" i="7"/>
  <c r="H92" i="7"/>
  <c r="I92" i="7"/>
  <c r="M92" i="7"/>
  <c r="W92" i="7"/>
  <c r="H93" i="7"/>
  <c r="I93" i="7"/>
  <c r="L93" i="7"/>
  <c r="W93" i="7"/>
  <c r="H94" i="7"/>
  <c r="I94" i="7"/>
  <c r="W94" i="7"/>
  <c r="H95" i="7"/>
  <c r="I95" i="7"/>
  <c r="W95" i="7"/>
  <c r="H96" i="7"/>
  <c r="I96" i="7"/>
  <c r="W96" i="7"/>
  <c r="H97" i="7"/>
  <c r="I97" i="7"/>
  <c r="L97" i="7"/>
  <c r="W97" i="7"/>
  <c r="H98" i="7"/>
  <c r="I98" i="7"/>
  <c r="M98" i="7"/>
  <c r="W98" i="7"/>
  <c r="H99" i="7"/>
  <c r="I99" i="7"/>
  <c r="W99" i="7"/>
  <c r="H100" i="7"/>
  <c r="I100" i="7"/>
  <c r="M100" i="7"/>
  <c r="W100" i="7"/>
  <c r="H101" i="7"/>
  <c r="I101" i="7"/>
  <c r="W101" i="7"/>
  <c r="H102" i="7"/>
  <c r="I102" i="7"/>
  <c r="W102" i="7"/>
  <c r="H103" i="7"/>
  <c r="I103" i="7"/>
  <c r="L103" i="7"/>
  <c r="W103" i="7"/>
  <c r="H104" i="7"/>
  <c r="I104" i="7"/>
  <c r="M104" i="7"/>
  <c r="W104" i="7"/>
  <c r="H105" i="7"/>
  <c r="I105" i="7"/>
  <c r="L105" i="7"/>
  <c r="W105" i="7"/>
  <c r="H106" i="7"/>
  <c r="I106" i="7"/>
  <c r="W106" i="7"/>
  <c r="H107" i="7"/>
  <c r="I107" i="7"/>
  <c r="M107" i="7"/>
  <c r="W107" i="7"/>
  <c r="H108" i="7"/>
  <c r="I108" i="7"/>
  <c r="W108" i="7"/>
  <c r="H109" i="7"/>
  <c r="I109" i="7"/>
  <c r="W109" i="7"/>
  <c r="H110" i="7"/>
  <c r="I110" i="7"/>
  <c r="L110" i="7"/>
  <c r="W110" i="7"/>
  <c r="H111" i="7"/>
  <c r="I111" i="7"/>
  <c r="M111" i="7"/>
  <c r="W111" i="7"/>
  <c r="H112" i="7"/>
  <c r="I112" i="7"/>
  <c r="L112" i="7"/>
  <c r="W112" i="7"/>
  <c r="D113" i="7"/>
  <c r="H113" i="7"/>
  <c r="I113" i="7"/>
  <c r="W113" i="7"/>
  <c r="E114" i="7"/>
  <c r="H114" i="7"/>
  <c r="I114" i="7"/>
  <c r="M114" i="7"/>
  <c r="W114" i="7"/>
  <c r="D115" i="7"/>
  <c r="H115" i="7"/>
  <c r="I115" i="7"/>
  <c r="M115" i="7"/>
  <c r="W115" i="7"/>
  <c r="H116" i="7"/>
  <c r="I116" i="7"/>
  <c r="L116" i="7"/>
  <c r="W116" i="7"/>
  <c r="D117" i="7"/>
  <c r="E117" i="7"/>
  <c r="H117" i="7"/>
  <c r="I117" i="7"/>
  <c r="M117" i="7"/>
  <c r="W117" i="7"/>
  <c r="D118" i="7"/>
  <c r="H118" i="7"/>
  <c r="I118" i="7"/>
  <c r="M118" i="7"/>
  <c r="W118" i="7"/>
  <c r="E119" i="7"/>
  <c r="H119" i="7"/>
  <c r="I119" i="7"/>
  <c r="M119" i="7"/>
  <c r="W119" i="7"/>
  <c r="E120" i="7"/>
  <c r="H120" i="7"/>
  <c r="I120" i="7"/>
  <c r="L120" i="7"/>
  <c r="W120" i="7"/>
  <c r="H121" i="7"/>
  <c r="I121" i="7"/>
  <c r="M121" i="7"/>
  <c r="W121" i="7"/>
  <c r="D122" i="7"/>
  <c r="E122" i="7"/>
  <c r="H122" i="7"/>
  <c r="I122" i="7"/>
  <c r="W122" i="7"/>
  <c r="H123" i="7"/>
  <c r="I123" i="7"/>
  <c r="L123" i="7"/>
  <c r="W123" i="7"/>
  <c r="D124" i="7"/>
  <c r="H124" i="7"/>
  <c r="I124" i="7"/>
  <c r="L124" i="7"/>
  <c r="W124" i="7"/>
  <c r="D125" i="7"/>
  <c r="H125" i="7"/>
  <c r="I125" i="7"/>
  <c r="W125" i="7"/>
  <c r="E126" i="7"/>
  <c r="H126" i="7"/>
  <c r="I126" i="7"/>
  <c r="W126" i="7"/>
  <c r="D127" i="7"/>
  <c r="H127" i="7"/>
  <c r="I127" i="7"/>
  <c r="W127" i="7"/>
  <c r="H128" i="7"/>
  <c r="I128" i="7"/>
  <c r="L128" i="7"/>
  <c r="W128" i="7"/>
  <c r="D129" i="7"/>
  <c r="H129" i="7"/>
  <c r="I129" i="7"/>
  <c r="L129" i="7"/>
  <c r="W129" i="7"/>
  <c r="D130" i="7"/>
  <c r="H130" i="7"/>
  <c r="I130" i="7"/>
  <c r="W130" i="7"/>
  <c r="E131" i="7"/>
  <c r="H131" i="7"/>
  <c r="I131" i="7"/>
  <c r="W131" i="7"/>
  <c r="D132" i="7"/>
  <c r="H132" i="7"/>
  <c r="I132" i="7"/>
  <c r="W132" i="7"/>
  <c r="H133" i="7"/>
  <c r="I133" i="7"/>
  <c r="L133" i="7"/>
  <c r="W133" i="7"/>
  <c r="D134" i="7"/>
  <c r="H134" i="7"/>
  <c r="I134" i="7"/>
  <c r="L134" i="7"/>
  <c r="W134" i="7"/>
  <c r="D135" i="7"/>
  <c r="H135" i="7"/>
  <c r="I135" i="7"/>
  <c r="L135" i="7"/>
  <c r="W135" i="7"/>
  <c r="H136" i="7"/>
  <c r="I136" i="7"/>
  <c r="L136" i="7"/>
  <c r="W136" i="7"/>
  <c r="D137" i="7"/>
  <c r="H137" i="7"/>
  <c r="I137" i="7"/>
  <c r="L137" i="7"/>
  <c r="W137" i="7"/>
  <c r="H138" i="7"/>
  <c r="I138" i="7"/>
  <c r="M138" i="7"/>
  <c r="W138" i="7"/>
  <c r="D139" i="7"/>
  <c r="H139" i="7"/>
  <c r="I139" i="7"/>
  <c r="L139" i="7"/>
  <c r="W139" i="7"/>
  <c r="E140" i="7"/>
  <c r="H140" i="7"/>
  <c r="I140" i="7"/>
  <c r="L140" i="7"/>
  <c r="W140" i="7"/>
  <c r="E141" i="7"/>
  <c r="H141" i="7"/>
  <c r="I141" i="7"/>
  <c r="K141" i="7"/>
  <c r="W141" i="7"/>
  <c r="E142" i="7"/>
  <c r="H142" i="7"/>
  <c r="I142" i="7"/>
  <c r="J142" i="7"/>
  <c r="W142" i="7"/>
  <c r="D143" i="7"/>
  <c r="H143" i="7"/>
  <c r="I143" i="7"/>
  <c r="J143" i="7"/>
  <c r="K143" i="7"/>
  <c r="L143" i="7"/>
  <c r="W143" i="7"/>
  <c r="D144" i="7"/>
  <c r="H144" i="7"/>
  <c r="I144" i="7"/>
  <c r="W144" i="7"/>
  <c r="E145" i="7"/>
  <c r="H145" i="7"/>
  <c r="I145" i="7"/>
  <c r="K145" i="7"/>
  <c r="M145" i="7"/>
  <c r="W145" i="7"/>
  <c r="D146" i="7"/>
  <c r="H146" i="7"/>
  <c r="I146" i="7"/>
  <c r="J146" i="7"/>
  <c r="L146" i="7"/>
  <c r="W146" i="7"/>
  <c r="E147" i="7"/>
  <c r="H147" i="7"/>
  <c r="I147" i="7"/>
  <c r="J147" i="7"/>
  <c r="K147" i="7"/>
  <c r="W147" i="7"/>
  <c r="D148" i="7"/>
  <c r="H148" i="7"/>
  <c r="I148" i="7"/>
  <c r="W148" i="7"/>
  <c r="D149" i="7"/>
  <c r="H149" i="7"/>
  <c r="I149" i="7"/>
  <c r="K149" i="7"/>
  <c r="W149" i="7"/>
  <c r="E150" i="7"/>
  <c r="H150" i="7"/>
  <c r="I150" i="7"/>
  <c r="J150" i="7"/>
  <c r="K150" i="7"/>
  <c r="M150" i="7"/>
  <c r="W150" i="7"/>
  <c r="D151" i="7"/>
  <c r="H151" i="7"/>
  <c r="I151" i="7"/>
  <c r="J151" i="7"/>
  <c r="K151" i="7"/>
  <c r="W151" i="7"/>
  <c r="D152" i="7"/>
  <c r="E152" i="7"/>
  <c r="H152" i="7"/>
  <c r="I152" i="7"/>
  <c r="K152" i="7"/>
  <c r="W152" i="7"/>
  <c r="H153" i="7"/>
  <c r="I153" i="7"/>
  <c r="K153" i="7"/>
  <c r="M153" i="7"/>
  <c r="W153" i="7"/>
  <c r="H154" i="7"/>
  <c r="I154" i="7"/>
  <c r="J154" i="7"/>
  <c r="K154" i="7"/>
  <c r="W154" i="7"/>
  <c r="D155" i="7"/>
  <c r="H155" i="7"/>
  <c r="I155" i="7"/>
  <c r="J155" i="7"/>
  <c r="K155" i="7"/>
  <c r="L155" i="7"/>
  <c r="W155" i="7"/>
  <c r="D156" i="7"/>
  <c r="H156" i="7"/>
  <c r="I156" i="7"/>
  <c r="K156" i="7"/>
  <c r="W156" i="7"/>
  <c r="E157" i="7"/>
  <c r="H157" i="7"/>
  <c r="I157" i="7"/>
  <c r="K157" i="7"/>
  <c r="W157" i="7"/>
  <c r="E158" i="7"/>
  <c r="H158" i="7"/>
  <c r="I158" i="7"/>
  <c r="J158" i="7"/>
  <c r="K158" i="7"/>
  <c r="L158" i="7"/>
  <c r="W158" i="7"/>
  <c r="E159" i="7"/>
  <c r="H159" i="7"/>
  <c r="I159" i="7"/>
  <c r="J159" i="7"/>
  <c r="K159" i="7"/>
  <c r="L159" i="7"/>
  <c r="W159" i="7"/>
  <c r="H160" i="7"/>
  <c r="I160" i="7"/>
  <c r="J160" i="7"/>
  <c r="K160" i="7"/>
  <c r="W160" i="7"/>
  <c r="H161" i="7"/>
  <c r="I161" i="7"/>
  <c r="J161" i="7"/>
  <c r="K161" i="7"/>
  <c r="W161" i="7"/>
  <c r="E162" i="7"/>
  <c r="H162" i="7"/>
  <c r="I162" i="7"/>
  <c r="J162" i="7"/>
  <c r="K162" i="7"/>
  <c r="W162" i="7"/>
  <c r="E163" i="7"/>
  <c r="H163" i="7"/>
  <c r="I163" i="7"/>
  <c r="J163" i="7"/>
  <c r="K163" i="7"/>
  <c r="L163" i="7"/>
  <c r="W163" i="7"/>
  <c r="D164" i="7"/>
  <c r="E164" i="7"/>
  <c r="H164" i="7"/>
  <c r="I164" i="7"/>
  <c r="J164" i="7"/>
  <c r="K164" i="7"/>
  <c r="M164" i="7"/>
  <c r="W164" i="7"/>
  <c r="D165" i="7"/>
  <c r="E165" i="7"/>
  <c r="H165" i="7"/>
  <c r="I165" i="7"/>
  <c r="J165" i="7"/>
  <c r="K165" i="7"/>
  <c r="L165" i="7"/>
  <c r="W165" i="7"/>
  <c r="D166" i="7"/>
  <c r="E166" i="7"/>
  <c r="H166" i="7"/>
  <c r="I166" i="7"/>
  <c r="J166" i="7"/>
  <c r="K166" i="7"/>
  <c r="W166" i="7"/>
  <c r="D167" i="7"/>
  <c r="E167" i="7"/>
  <c r="H167" i="7"/>
  <c r="I167" i="7"/>
  <c r="J167" i="7"/>
  <c r="K167" i="7"/>
  <c r="L167" i="7"/>
  <c r="W167" i="7"/>
  <c r="D168" i="7"/>
  <c r="E168" i="7"/>
  <c r="H168" i="7"/>
  <c r="I168" i="7"/>
  <c r="J168" i="7"/>
  <c r="K168" i="7"/>
  <c r="M168" i="7"/>
  <c r="W168" i="7"/>
  <c r="D169" i="7"/>
  <c r="E169" i="7"/>
  <c r="H169" i="7"/>
  <c r="I169" i="7"/>
  <c r="J169" i="7"/>
  <c r="K169" i="7"/>
  <c r="L169" i="7"/>
  <c r="W169" i="7"/>
  <c r="D170" i="7"/>
  <c r="E170" i="7"/>
  <c r="H170" i="7"/>
  <c r="I170" i="7"/>
  <c r="J170" i="7"/>
  <c r="K170" i="7"/>
  <c r="W170" i="7"/>
  <c r="D171" i="7"/>
  <c r="E171" i="7"/>
  <c r="H171" i="7"/>
  <c r="I171" i="7"/>
  <c r="J171" i="7"/>
  <c r="K171" i="7"/>
  <c r="L171" i="7"/>
  <c r="W171" i="7"/>
  <c r="D172" i="7"/>
  <c r="E172" i="7"/>
  <c r="H172" i="7"/>
  <c r="I172" i="7"/>
  <c r="J172" i="7"/>
  <c r="K172" i="7"/>
  <c r="M172" i="7"/>
  <c r="W172" i="7"/>
  <c r="D173" i="7"/>
  <c r="E173" i="7"/>
  <c r="H173" i="7"/>
  <c r="I173" i="7"/>
  <c r="J173" i="7"/>
  <c r="K173" i="7"/>
  <c r="L173" i="7"/>
  <c r="W173" i="7"/>
  <c r="D174" i="7"/>
  <c r="E174" i="7"/>
  <c r="H174" i="7"/>
  <c r="I174" i="7"/>
  <c r="J174" i="7"/>
  <c r="K174" i="7"/>
  <c r="W174" i="7"/>
  <c r="D175" i="7"/>
  <c r="E175" i="7"/>
  <c r="H175" i="7"/>
  <c r="I175" i="7"/>
  <c r="J175" i="7"/>
  <c r="K175" i="7"/>
  <c r="L175" i="7"/>
  <c r="W175" i="7"/>
  <c r="D176" i="7"/>
  <c r="E176" i="7"/>
  <c r="H176" i="7"/>
  <c r="I176" i="7"/>
  <c r="J176" i="7"/>
  <c r="K176" i="7"/>
  <c r="M176" i="7"/>
  <c r="W176" i="7"/>
  <c r="D177" i="7"/>
  <c r="E177" i="7"/>
  <c r="H177" i="7"/>
  <c r="I177" i="7"/>
  <c r="J177" i="7"/>
  <c r="K177" i="7"/>
  <c r="L177" i="7"/>
  <c r="W177" i="7"/>
  <c r="D178" i="7"/>
  <c r="E178" i="7"/>
  <c r="H178" i="7"/>
  <c r="I178" i="7"/>
  <c r="J178" i="7"/>
  <c r="K178" i="7"/>
  <c r="W178" i="7"/>
  <c r="D179" i="7"/>
  <c r="E179" i="7"/>
  <c r="H179" i="7"/>
  <c r="I179" i="7"/>
  <c r="J179" i="7"/>
  <c r="K179" i="7"/>
  <c r="L179" i="7"/>
  <c r="W179" i="7"/>
  <c r="D180" i="7"/>
  <c r="E180" i="7"/>
  <c r="H180" i="7"/>
  <c r="I180" i="7"/>
  <c r="J180" i="7"/>
  <c r="K180" i="7"/>
  <c r="M180" i="7"/>
  <c r="W180" i="7"/>
  <c r="D181" i="7"/>
  <c r="E181" i="7"/>
  <c r="H181" i="7"/>
  <c r="I181" i="7"/>
  <c r="J181" i="7"/>
  <c r="K181" i="7"/>
  <c r="L181" i="7"/>
  <c r="W181" i="7"/>
  <c r="D182" i="7"/>
  <c r="E182" i="7"/>
  <c r="H182" i="7"/>
  <c r="I182" i="7"/>
  <c r="J182" i="7"/>
  <c r="K182" i="7"/>
  <c r="W182" i="7"/>
  <c r="D183" i="7"/>
  <c r="E183" i="7"/>
  <c r="H183" i="7"/>
  <c r="I183" i="7"/>
  <c r="J183" i="7"/>
  <c r="K183" i="7"/>
  <c r="L183" i="7"/>
  <c r="W183" i="7"/>
  <c r="D184" i="7"/>
  <c r="E184" i="7"/>
  <c r="H184" i="7"/>
  <c r="I184" i="7"/>
  <c r="J184" i="7"/>
  <c r="K184" i="7"/>
  <c r="M184" i="7"/>
  <c r="W184" i="7"/>
  <c r="D185" i="7"/>
  <c r="E185" i="7"/>
  <c r="H185" i="7"/>
  <c r="I185" i="7"/>
  <c r="J185" i="7"/>
  <c r="K185" i="7"/>
  <c r="L185" i="7"/>
  <c r="W185" i="7"/>
  <c r="D186" i="7"/>
  <c r="E186" i="7"/>
  <c r="H186" i="7"/>
  <c r="I186" i="7"/>
  <c r="J186" i="7"/>
  <c r="K186" i="7"/>
  <c r="W186" i="7"/>
  <c r="D187" i="7"/>
  <c r="E187" i="7"/>
  <c r="H187" i="7"/>
  <c r="I187" i="7"/>
  <c r="J187" i="7"/>
  <c r="K187" i="7"/>
  <c r="L187" i="7"/>
  <c r="W187" i="7"/>
  <c r="D188" i="7"/>
  <c r="E188" i="7"/>
  <c r="H188" i="7"/>
  <c r="I188" i="7"/>
  <c r="J188" i="7"/>
  <c r="K188" i="7"/>
  <c r="M188" i="7"/>
  <c r="W188" i="7"/>
  <c r="D189" i="7"/>
  <c r="E189" i="7"/>
  <c r="H189" i="7"/>
  <c r="I189" i="7"/>
  <c r="J189" i="7"/>
  <c r="K189" i="7"/>
  <c r="L189" i="7"/>
  <c r="W189" i="7"/>
  <c r="D190" i="7"/>
  <c r="E190" i="7"/>
  <c r="H190" i="7"/>
  <c r="I190" i="7"/>
  <c r="J190" i="7"/>
  <c r="K190" i="7"/>
  <c r="W190" i="7"/>
  <c r="D191" i="7"/>
  <c r="E191" i="7"/>
  <c r="H191" i="7"/>
  <c r="I191" i="7"/>
  <c r="J191" i="7"/>
  <c r="K191" i="7"/>
  <c r="L191" i="7"/>
  <c r="W191" i="7"/>
  <c r="D192" i="7"/>
  <c r="E192" i="7"/>
  <c r="H192" i="7"/>
  <c r="I192" i="7"/>
  <c r="J192" i="7"/>
  <c r="K192" i="7"/>
  <c r="M192" i="7"/>
  <c r="W192" i="7"/>
  <c r="D193" i="7"/>
  <c r="E193" i="7"/>
  <c r="H193" i="7"/>
  <c r="I193" i="7"/>
  <c r="J193" i="7"/>
  <c r="K193" i="7"/>
  <c r="L193" i="7"/>
  <c r="W193" i="7"/>
  <c r="D194" i="7"/>
  <c r="E194" i="7"/>
  <c r="H194" i="7"/>
  <c r="I194" i="7"/>
  <c r="J194" i="7"/>
  <c r="K194" i="7"/>
  <c r="W194" i="7"/>
  <c r="D195" i="7"/>
  <c r="E195" i="7"/>
  <c r="H195" i="7"/>
  <c r="I195" i="7"/>
  <c r="J195" i="7"/>
  <c r="K195" i="7"/>
  <c r="L195" i="7"/>
  <c r="W195" i="7"/>
  <c r="D196" i="7"/>
  <c r="E196" i="7"/>
  <c r="H196" i="7"/>
  <c r="I196" i="7"/>
  <c r="J196" i="7"/>
  <c r="K196" i="7"/>
  <c r="M196" i="7"/>
  <c r="W196" i="7"/>
  <c r="D197" i="7"/>
  <c r="E197" i="7"/>
  <c r="H197" i="7"/>
  <c r="I197" i="7"/>
  <c r="J197" i="7"/>
  <c r="K197" i="7"/>
  <c r="L197" i="7"/>
  <c r="W197" i="7"/>
  <c r="D198" i="7"/>
  <c r="E198" i="7"/>
  <c r="H198" i="7"/>
  <c r="I198" i="7"/>
  <c r="J198" i="7"/>
  <c r="K198" i="7"/>
  <c r="W198" i="7"/>
  <c r="D199" i="7"/>
  <c r="E199" i="7"/>
  <c r="H199" i="7"/>
  <c r="I199" i="7"/>
  <c r="J199" i="7"/>
  <c r="K199" i="7"/>
  <c r="L199" i="7"/>
  <c r="M199" i="7"/>
  <c r="W199" i="7"/>
  <c r="D200" i="7"/>
  <c r="E200" i="7"/>
  <c r="H200" i="7"/>
  <c r="I200" i="7"/>
  <c r="J200" i="7"/>
  <c r="K200" i="7"/>
  <c r="L200" i="7"/>
  <c r="M200" i="7"/>
  <c r="W200" i="7"/>
  <c r="D201" i="7"/>
  <c r="E201" i="7"/>
  <c r="H201" i="7"/>
  <c r="I201" i="7"/>
  <c r="J201" i="7"/>
  <c r="K201" i="7"/>
  <c r="L201" i="7"/>
  <c r="M201" i="7"/>
  <c r="W201" i="7"/>
  <c r="D202" i="7"/>
  <c r="E202" i="7"/>
  <c r="H202" i="7"/>
  <c r="I202" i="7"/>
  <c r="J202" i="7"/>
  <c r="K202" i="7"/>
  <c r="L202" i="7"/>
  <c r="M202" i="7"/>
  <c r="W202" i="7"/>
  <c r="D203" i="7"/>
  <c r="E203" i="7"/>
  <c r="H203" i="7"/>
  <c r="I203" i="7"/>
  <c r="J203" i="7"/>
  <c r="K203" i="7"/>
  <c r="L203" i="7"/>
  <c r="M203" i="7"/>
  <c r="W203" i="7"/>
  <c r="D204" i="7"/>
  <c r="E204" i="7"/>
  <c r="H204" i="7"/>
  <c r="I204" i="7"/>
  <c r="J204" i="7"/>
  <c r="K204" i="7"/>
  <c r="L204" i="7"/>
  <c r="M204" i="7"/>
  <c r="W204" i="7"/>
  <c r="D205" i="7"/>
  <c r="E205" i="7"/>
  <c r="H205" i="7"/>
  <c r="I205" i="7"/>
  <c r="J205" i="7"/>
  <c r="K205" i="7"/>
  <c r="L205" i="7"/>
  <c r="M205" i="7"/>
  <c r="W205" i="7"/>
  <c r="D206" i="7"/>
  <c r="E206" i="7"/>
  <c r="H206" i="7"/>
  <c r="I206" i="7"/>
  <c r="J206" i="7"/>
  <c r="K206" i="7"/>
  <c r="L206" i="7"/>
  <c r="M206" i="7"/>
  <c r="W206" i="7"/>
  <c r="D207" i="7"/>
  <c r="E207" i="7"/>
  <c r="H207" i="7"/>
  <c r="I207" i="7"/>
  <c r="J207" i="7"/>
  <c r="K207" i="7"/>
  <c r="L207" i="7"/>
  <c r="M207" i="7"/>
  <c r="W207" i="7"/>
  <c r="D208" i="7"/>
  <c r="E208" i="7"/>
  <c r="H208" i="7"/>
  <c r="I208" i="7"/>
  <c r="J208" i="7"/>
  <c r="K208" i="7"/>
  <c r="L208" i="7"/>
  <c r="M208" i="7"/>
  <c r="W208" i="7"/>
  <c r="D209" i="7"/>
  <c r="E209" i="7"/>
  <c r="H209" i="7"/>
  <c r="I209" i="7"/>
  <c r="J209" i="7"/>
  <c r="K209" i="7"/>
  <c r="L209" i="7"/>
  <c r="M209" i="7"/>
  <c r="W209" i="7"/>
  <c r="D210" i="7"/>
  <c r="E210" i="7"/>
  <c r="H210" i="7"/>
  <c r="I210" i="7"/>
  <c r="J210" i="7"/>
  <c r="K210" i="7"/>
  <c r="L210" i="7"/>
  <c r="M210" i="7"/>
  <c r="W210" i="7"/>
  <c r="D211" i="7"/>
  <c r="E211" i="7"/>
  <c r="H211" i="7"/>
  <c r="I211" i="7"/>
  <c r="J211" i="7"/>
  <c r="K211" i="7"/>
  <c r="L211" i="7"/>
  <c r="M211" i="7"/>
  <c r="W211" i="7"/>
  <c r="D212" i="7"/>
  <c r="E212" i="7"/>
  <c r="H212" i="7"/>
  <c r="I212" i="7"/>
  <c r="J212" i="7"/>
  <c r="K212" i="7"/>
  <c r="L212" i="7"/>
  <c r="M212" i="7"/>
  <c r="W212" i="7"/>
  <c r="D213" i="7"/>
  <c r="E213" i="7"/>
  <c r="H213" i="7"/>
  <c r="I213" i="7"/>
  <c r="J213" i="7"/>
  <c r="K213" i="7"/>
  <c r="L213" i="7"/>
  <c r="M213" i="7"/>
  <c r="W213" i="7"/>
  <c r="D214" i="7"/>
  <c r="E214" i="7"/>
  <c r="H214" i="7"/>
  <c r="I214" i="7"/>
  <c r="J214" i="7"/>
  <c r="K214" i="7"/>
  <c r="L214" i="7"/>
  <c r="M214" i="7"/>
  <c r="W214" i="7"/>
  <c r="D215" i="7"/>
  <c r="E215" i="7"/>
  <c r="H215" i="7"/>
  <c r="I215" i="7"/>
  <c r="J215" i="7"/>
  <c r="K215" i="7"/>
  <c r="L215" i="7"/>
  <c r="M215" i="7"/>
  <c r="W215" i="7"/>
  <c r="D216" i="7"/>
  <c r="E216" i="7"/>
  <c r="H216" i="7"/>
  <c r="I216" i="7"/>
  <c r="J216" i="7"/>
  <c r="K216" i="7"/>
  <c r="L216" i="7"/>
  <c r="M216" i="7"/>
  <c r="W216" i="7"/>
  <c r="D217" i="7"/>
  <c r="E217" i="7"/>
  <c r="H217" i="7"/>
  <c r="I217" i="7"/>
  <c r="J217" i="7"/>
  <c r="K217" i="7"/>
  <c r="L217" i="7"/>
  <c r="M217" i="7"/>
  <c r="W217" i="7"/>
  <c r="D218" i="7"/>
  <c r="E218" i="7"/>
  <c r="H218" i="7"/>
  <c r="I218" i="7"/>
  <c r="J218" i="7"/>
  <c r="K218" i="7"/>
  <c r="L218" i="7"/>
  <c r="M218" i="7"/>
  <c r="W218" i="7"/>
  <c r="D219" i="7"/>
  <c r="E219" i="7"/>
  <c r="H219" i="7"/>
  <c r="I219" i="7"/>
  <c r="J219" i="7"/>
  <c r="K219" i="7"/>
  <c r="L219" i="7"/>
  <c r="M219" i="7"/>
  <c r="W219" i="7"/>
  <c r="D220" i="7"/>
  <c r="E220" i="7"/>
  <c r="H220" i="7"/>
  <c r="I220" i="7"/>
  <c r="J220" i="7"/>
  <c r="K220" i="7"/>
  <c r="L220" i="7"/>
  <c r="M220" i="7"/>
  <c r="W220" i="7"/>
  <c r="D221" i="7"/>
  <c r="E221" i="7"/>
  <c r="H221" i="7"/>
  <c r="I221" i="7"/>
  <c r="J221" i="7"/>
  <c r="K221" i="7"/>
  <c r="L221" i="7"/>
  <c r="M221" i="7"/>
  <c r="W221" i="7"/>
  <c r="D222" i="7"/>
  <c r="E222" i="7"/>
  <c r="H222" i="7"/>
  <c r="I222" i="7"/>
  <c r="J222" i="7"/>
  <c r="K222" i="7"/>
  <c r="L222" i="7"/>
  <c r="M222" i="7"/>
  <c r="W222" i="7"/>
  <c r="D223" i="7"/>
  <c r="E223" i="7"/>
  <c r="H223" i="7"/>
  <c r="I223" i="7"/>
  <c r="J223" i="7"/>
  <c r="K223" i="7"/>
  <c r="L223" i="7"/>
  <c r="M223" i="7"/>
  <c r="W223" i="7"/>
  <c r="D224" i="7"/>
  <c r="E224" i="7"/>
  <c r="H224" i="7"/>
  <c r="I224" i="7"/>
  <c r="J224" i="7"/>
  <c r="K224" i="7"/>
  <c r="L224" i="7"/>
  <c r="M224" i="7"/>
  <c r="W224" i="7"/>
  <c r="D225" i="7"/>
  <c r="E225" i="7"/>
  <c r="H225" i="7"/>
  <c r="I225" i="7"/>
  <c r="J225" i="7"/>
  <c r="K225" i="7"/>
  <c r="L225" i="7"/>
  <c r="M225" i="7"/>
  <c r="W225" i="7"/>
  <c r="D226" i="7"/>
  <c r="E226" i="7"/>
  <c r="H226" i="7"/>
  <c r="I226" i="7"/>
  <c r="J226" i="7"/>
  <c r="K226" i="7"/>
  <c r="L226" i="7"/>
  <c r="M226" i="7"/>
  <c r="W226" i="7"/>
  <c r="D227" i="7"/>
  <c r="E227" i="7"/>
  <c r="H227" i="7"/>
  <c r="I227" i="7"/>
  <c r="J227" i="7"/>
  <c r="K227" i="7"/>
  <c r="L227" i="7"/>
  <c r="M227" i="7"/>
  <c r="W227" i="7"/>
  <c r="D228" i="7"/>
  <c r="E228" i="7"/>
  <c r="H228" i="7"/>
  <c r="I228" i="7"/>
  <c r="J228" i="7"/>
  <c r="K228" i="7"/>
  <c r="L228" i="7"/>
  <c r="M228" i="7"/>
  <c r="W228" i="7"/>
  <c r="D229" i="7"/>
  <c r="E229" i="7"/>
  <c r="H229" i="7"/>
  <c r="I229" i="7"/>
  <c r="J229" i="7"/>
  <c r="K229" i="7"/>
  <c r="L229" i="7"/>
  <c r="M229" i="7"/>
  <c r="W229" i="7"/>
  <c r="D230" i="7"/>
  <c r="E230" i="7"/>
  <c r="H230" i="7"/>
  <c r="I230" i="7"/>
  <c r="J230" i="7"/>
  <c r="K230" i="7"/>
  <c r="L230" i="7"/>
  <c r="M230" i="7"/>
  <c r="W230" i="7"/>
  <c r="D231" i="7"/>
  <c r="E231" i="7"/>
  <c r="H231" i="7"/>
  <c r="I231" i="7"/>
  <c r="J231" i="7"/>
  <c r="K231" i="7"/>
  <c r="L231" i="7"/>
  <c r="M231" i="7"/>
  <c r="W231" i="7"/>
  <c r="D232" i="7"/>
  <c r="E232" i="7"/>
  <c r="H232" i="7"/>
  <c r="I232" i="7"/>
  <c r="J232" i="7"/>
  <c r="K232" i="7"/>
  <c r="L232" i="7"/>
  <c r="M232" i="7"/>
  <c r="W232" i="7"/>
  <c r="D233" i="7"/>
  <c r="E233" i="7"/>
  <c r="H233" i="7"/>
  <c r="I233" i="7"/>
  <c r="J233" i="7"/>
  <c r="K233" i="7"/>
  <c r="L233" i="7"/>
  <c r="M233" i="7"/>
  <c r="W233" i="7"/>
  <c r="D234" i="7"/>
  <c r="E234" i="7"/>
  <c r="H234" i="7"/>
  <c r="I234" i="7"/>
  <c r="J234" i="7"/>
  <c r="K234" i="7"/>
  <c r="L234" i="7"/>
  <c r="M234" i="7"/>
  <c r="W234" i="7"/>
  <c r="D235" i="7"/>
  <c r="E235" i="7"/>
  <c r="H235" i="7"/>
  <c r="I235" i="7"/>
  <c r="J235" i="7"/>
  <c r="K235" i="7"/>
  <c r="L235" i="7"/>
  <c r="M235" i="7"/>
  <c r="W235" i="7"/>
  <c r="D236" i="7"/>
  <c r="E236" i="7"/>
  <c r="H236" i="7"/>
  <c r="I236" i="7"/>
  <c r="J236" i="7"/>
  <c r="K236" i="7"/>
  <c r="L236" i="7"/>
  <c r="M236" i="7"/>
  <c r="W236" i="7"/>
  <c r="D237" i="7"/>
  <c r="E237" i="7"/>
  <c r="H237" i="7"/>
  <c r="I237" i="7"/>
  <c r="J237" i="7"/>
  <c r="K237" i="7"/>
  <c r="L237" i="7"/>
  <c r="M237" i="7"/>
  <c r="W237" i="7"/>
  <c r="D238" i="7"/>
  <c r="E238" i="7"/>
  <c r="H238" i="7"/>
  <c r="I238" i="7"/>
  <c r="J238" i="7"/>
  <c r="K238" i="7"/>
  <c r="L238" i="7"/>
  <c r="M238" i="7"/>
  <c r="W238" i="7"/>
  <c r="D239" i="7"/>
  <c r="E239" i="7"/>
  <c r="H239" i="7"/>
  <c r="I239" i="7"/>
  <c r="J239" i="7"/>
  <c r="K239" i="7"/>
  <c r="L239" i="7"/>
  <c r="M239" i="7"/>
  <c r="W239" i="7"/>
  <c r="D240" i="7"/>
  <c r="E240" i="7"/>
  <c r="H240" i="7"/>
  <c r="I240" i="7"/>
  <c r="J240" i="7"/>
  <c r="K240" i="7"/>
  <c r="L240" i="7"/>
  <c r="M240" i="7"/>
  <c r="W240" i="7"/>
  <c r="D241" i="7"/>
  <c r="E241" i="7"/>
  <c r="H241" i="7"/>
  <c r="I241" i="7"/>
  <c r="J241" i="7"/>
  <c r="K241" i="7"/>
  <c r="L241" i="7"/>
  <c r="M241" i="7"/>
  <c r="W241" i="7"/>
  <c r="D242" i="7"/>
  <c r="E242" i="7"/>
  <c r="H242" i="7"/>
  <c r="I242" i="7"/>
  <c r="J242" i="7"/>
  <c r="K242" i="7"/>
  <c r="L242" i="7"/>
  <c r="M242" i="7"/>
  <c r="W242" i="7"/>
  <c r="D243" i="7"/>
  <c r="E243" i="7"/>
  <c r="H243" i="7"/>
  <c r="I243" i="7"/>
  <c r="J243" i="7"/>
  <c r="K243" i="7"/>
  <c r="L243" i="7"/>
  <c r="M243" i="7"/>
  <c r="W243" i="7"/>
  <c r="D244" i="7"/>
  <c r="E244" i="7"/>
  <c r="H244" i="7"/>
  <c r="I244" i="7"/>
  <c r="J244" i="7"/>
  <c r="K244" i="7"/>
  <c r="L244" i="7"/>
  <c r="M244" i="7"/>
  <c r="W244" i="7"/>
  <c r="D245" i="7"/>
  <c r="E245" i="7"/>
  <c r="H245" i="7"/>
  <c r="I245" i="7"/>
  <c r="J245" i="7"/>
  <c r="K245" i="7"/>
  <c r="L245" i="7"/>
  <c r="M245" i="7"/>
  <c r="W245" i="7"/>
  <c r="D246" i="7"/>
  <c r="E246" i="7"/>
  <c r="H246" i="7"/>
  <c r="I246" i="7"/>
  <c r="J246" i="7"/>
  <c r="K246" i="7"/>
  <c r="L246" i="7"/>
  <c r="M246" i="7"/>
  <c r="W246" i="7"/>
  <c r="D247" i="7"/>
  <c r="E247" i="7"/>
  <c r="H247" i="7"/>
  <c r="I247" i="7"/>
  <c r="J247" i="7"/>
  <c r="K247" i="7"/>
  <c r="L247" i="7"/>
  <c r="M247" i="7"/>
  <c r="W247" i="7"/>
  <c r="D248" i="7"/>
  <c r="E248" i="7"/>
  <c r="H248" i="7"/>
  <c r="I248" i="7"/>
  <c r="J248" i="7"/>
  <c r="K248" i="7"/>
  <c r="L248" i="7"/>
  <c r="M248" i="7"/>
  <c r="W248" i="7"/>
  <c r="D249" i="7"/>
  <c r="E249" i="7"/>
  <c r="H249" i="7"/>
  <c r="I249" i="7"/>
  <c r="J249" i="7"/>
  <c r="K249" i="7"/>
  <c r="L249" i="7"/>
  <c r="M249" i="7"/>
  <c r="W249" i="7"/>
  <c r="D250" i="7"/>
  <c r="E250" i="7"/>
  <c r="H250" i="7"/>
  <c r="I250" i="7"/>
  <c r="J250" i="7"/>
  <c r="K250" i="7"/>
  <c r="L250" i="7"/>
  <c r="M250" i="7"/>
  <c r="W250" i="7"/>
  <c r="D251" i="7"/>
  <c r="E251" i="7"/>
  <c r="H251" i="7"/>
  <c r="I251" i="7"/>
  <c r="J251" i="7"/>
  <c r="K251" i="7"/>
  <c r="L251" i="7"/>
  <c r="M251" i="7"/>
  <c r="W251" i="7"/>
  <c r="D252" i="7"/>
  <c r="E252" i="7"/>
  <c r="H252" i="7"/>
  <c r="I252" i="7"/>
  <c r="J252" i="7"/>
  <c r="K252" i="7"/>
  <c r="L252" i="7"/>
  <c r="M252" i="7"/>
  <c r="W252" i="7"/>
  <c r="D253" i="7"/>
  <c r="E253" i="7"/>
  <c r="H253" i="7"/>
  <c r="I253" i="7"/>
  <c r="J253" i="7"/>
  <c r="K253" i="7"/>
  <c r="L253" i="7"/>
  <c r="M253" i="7"/>
  <c r="W253" i="7"/>
  <c r="D254" i="7"/>
  <c r="E254" i="7"/>
  <c r="H254" i="7"/>
  <c r="I254" i="7"/>
  <c r="J254" i="7"/>
  <c r="K254" i="7"/>
  <c r="L254" i="7"/>
  <c r="M254" i="7"/>
  <c r="W254" i="7"/>
  <c r="D255" i="7"/>
  <c r="E255" i="7"/>
  <c r="H255" i="7"/>
  <c r="I255" i="7"/>
  <c r="J255" i="7"/>
  <c r="K255" i="7"/>
  <c r="L255" i="7"/>
  <c r="M255" i="7"/>
  <c r="W255" i="7"/>
  <c r="D256" i="7"/>
  <c r="E256" i="7"/>
  <c r="H256" i="7"/>
  <c r="I256" i="7"/>
  <c r="J256" i="7"/>
  <c r="K256" i="7"/>
  <c r="L256" i="7"/>
  <c r="M256" i="7"/>
  <c r="W256" i="7"/>
  <c r="D257" i="7"/>
  <c r="E257" i="7"/>
  <c r="H257" i="7"/>
  <c r="I257" i="7"/>
  <c r="J257" i="7"/>
  <c r="K257" i="7"/>
  <c r="L257" i="7"/>
  <c r="M257" i="7"/>
  <c r="W257" i="7"/>
  <c r="D258" i="7"/>
  <c r="E258" i="7"/>
  <c r="H258" i="7"/>
  <c r="I258" i="7"/>
  <c r="J258" i="7"/>
  <c r="K258" i="7"/>
  <c r="L258" i="7"/>
  <c r="M258" i="7"/>
  <c r="W258" i="7"/>
  <c r="D259" i="7"/>
  <c r="E259" i="7"/>
  <c r="H259" i="7"/>
  <c r="I259" i="7"/>
  <c r="J259" i="7"/>
  <c r="K259" i="7"/>
  <c r="L259" i="7"/>
  <c r="M259" i="7"/>
  <c r="W259" i="7"/>
  <c r="D260" i="7"/>
  <c r="E260" i="7"/>
  <c r="H260" i="7"/>
  <c r="I260" i="7"/>
  <c r="J260" i="7"/>
  <c r="K260" i="7"/>
  <c r="L260" i="7"/>
  <c r="M260" i="7"/>
  <c r="W260" i="7"/>
  <c r="D261" i="7"/>
  <c r="E261" i="7"/>
  <c r="H261" i="7"/>
  <c r="I261" i="7"/>
  <c r="J261" i="7"/>
  <c r="K261" i="7"/>
  <c r="L261" i="7"/>
  <c r="M261" i="7"/>
  <c r="W261" i="7"/>
  <c r="D262" i="7"/>
  <c r="E262" i="7"/>
  <c r="H262" i="7"/>
  <c r="I262" i="7"/>
  <c r="J262" i="7"/>
  <c r="K262" i="7"/>
  <c r="L262" i="7"/>
  <c r="M262" i="7"/>
  <c r="W262" i="7"/>
  <c r="D263" i="7"/>
  <c r="E263" i="7"/>
  <c r="H263" i="7"/>
  <c r="I263" i="7"/>
  <c r="J263" i="7"/>
  <c r="K263" i="7"/>
  <c r="L263" i="7"/>
  <c r="M263" i="7"/>
  <c r="W263" i="7"/>
  <c r="D264" i="7"/>
  <c r="E264" i="7"/>
  <c r="H264" i="7"/>
  <c r="I264" i="7"/>
  <c r="J264" i="7"/>
  <c r="K264" i="7"/>
  <c r="L264" i="7"/>
  <c r="M264" i="7"/>
  <c r="W264" i="7"/>
  <c r="D265" i="7"/>
  <c r="E265" i="7"/>
  <c r="H265" i="7"/>
  <c r="I265" i="7"/>
  <c r="J265" i="7"/>
  <c r="K265" i="7"/>
  <c r="L265" i="7"/>
  <c r="M265" i="7"/>
  <c r="W265" i="7"/>
  <c r="D266" i="7"/>
  <c r="E266" i="7"/>
  <c r="H266" i="7"/>
  <c r="I266" i="7"/>
  <c r="J266" i="7"/>
  <c r="K266" i="7"/>
  <c r="L266" i="7"/>
  <c r="M266" i="7"/>
  <c r="W266" i="7"/>
  <c r="D267" i="7"/>
  <c r="E267" i="7"/>
  <c r="H267" i="7"/>
  <c r="I267" i="7"/>
  <c r="J267" i="7"/>
  <c r="K267" i="7"/>
  <c r="L267" i="7"/>
  <c r="M267" i="7"/>
  <c r="W267" i="7"/>
  <c r="D268" i="7"/>
  <c r="E268" i="7"/>
  <c r="H268" i="7"/>
  <c r="I268" i="7"/>
  <c r="J268" i="7"/>
  <c r="K268" i="7"/>
  <c r="L268" i="7"/>
  <c r="M268" i="7"/>
  <c r="W268" i="7"/>
  <c r="D269" i="7"/>
  <c r="E269" i="7"/>
  <c r="H269" i="7"/>
  <c r="I269" i="7"/>
  <c r="J269" i="7"/>
  <c r="K269" i="7"/>
  <c r="L269" i="7"/>
  <c r="M269" i="7"/>
  <c r="W269" i="7"/>
  <c r="D270" i="7"/>
  <c r="E270" i="7"/>
  <c r="H270" i="7"/>
  <c r="I270" i="7"/>
  <c r="J270" i="7"/>
  <c r="K270" i="7"/>
  <c r="L270" i="7"/>
  <c r="M270" i="7"/>
  <c r="W270" i="7"/>
  <c r="D271" i="7"/>
  <c r="E271" i="7"/>
  <c r="H271" i="7"/>
  <c r="I271" i="7"/>
  <c r="J271" i="7"/>
  <c r="K271" i="7"/>
  <c r="L271" i="7"/>
  <c r="M271" i="7"/>
  <c r="W271" i="7"/>
  <c r="D272" i="7"/>
  <c r="E272" i="7"/>
  <c r="H272" i="7"/>
  <c r="I272" i="7"/>
  <c r="J272" i="7"/>
  <c r="K272" i="7"/>
  <c r="L272" i="7"/>
  <c r="M272" i="7"/>
  <c r="W272" i="7"/>
  <c r="D273" i="7"/>
  <c r="E273" i="7"/>
  <c r="H273" i="7"/>
  <c r="I273" i="7"/>
  <c r="J273" i="7"/>
  <c r="K273" i="7"/>
  <c r="L273" i="7"/>
  <c r="M273" i="7"/>
  <c r="W273" i="7"/>
  <c r="D274" i="7"/>
  <c r="E274" i="7"/>
  <c r="H274" i="7"/>
  <c r="I274" i="7"/>
  <c r="J274" i="7"/>
  <c r="K274" i="7"/>
  <c r="L274" i="7"/>
  <c r="M274" i="7"/>
  <c r="W274" i="7"/>
  <c r="D275" i="7"/>
  <c r="E275" i="7"/>
  <c r="H275" i="7"/>
  <c r="I275" i="7"/>
  <c r="J275" i="7"/>
  <c r="K275" i="7"/>
  <c r="L275" i="7"/>
  <c r="M275" i="7"/>
  <c r="W275" i="7"/>
  <c r="D276" i="7"/>
  <c r="E276" i="7"/>
  <c r="H276" i="7"/>
  <c r="I276" i="7"/>
  <c r="J276" i="7"/>
  <c r="K276" i="7"/>
  <c r="L276" i="7"/>
  <c r="M276" i="7"/>
  <c r="W276" i="7"/>
  <c r="D277" i="7"/>
  <c r="E277" i="7"/>
  <c r="H277" i="7"/>
  <c r="I277" i="7"/>
  <c r="J277" i="7"/>
  <c r="K277" i="7"/>
  <c r="L277" i="7"/>
  <c r="M277" i="7"/>
  <c r="W277" i="7"/>
  <c r="D278" i="7"/>
  <c r="E278" i="7"/>
  <c r="H278" i="7"/>
  <c r="I278" i="7"/>
  <c r="J278" i="7"/>
  <c r="K278" i="7"/>
  <c r="L278" i="7"/>
  <c r="M278" i="7"/>
  <c r="W278" i="7"/>
  <c r="D279" i="7"/>
  <c r="E279" i="7"/>
  <c r="H279" i="7"/>
  <c r="I279" i="7"/>
  <c r="J279" i="7"/>
  <c r="K279" i="7"/>
  <c r="L279" i="7"/>
  <c r="M279" i="7"/>
  <c r="W279" i="7"/>
  <c r="D280" i="7"/>
  <c r="E280" i="7"/>
  <c r="H280" i="7"/>
  <c r="I280" i="7"/>
  <c r="J280" i="7"/>
  <c r="K280" i="7"/>
  <c r="L280" i="7"/>
  <c r="M280" i="7"/>
  <c r="W280" i="7"/>
  <c r="D281" i="7"/>
  <c r="E281" i="7"/>
  <c r="H281" i="7"/>
  <c r="I281" i="7"/>
  <c r="J281" i="7"/>
  <c r="K281" i="7"/>
  <c r="L281" i="7"/>
  <c r="M281" i="7"/>
  <c r="W281" i="7"/>
  <c r="D282" i="7"/>
  <c r="E282" i="7"/>
  <c r="H282" i="7"/>
  <c r="I282" i="7"/>
  <c r="J282" i="7"/>
  <c r="K282" i="7"/>
  <c r="L282" i="7"/>
  <c r="M282" i="7"/>
  <c r="W282" i="7"/>
  <c r="D283" i="7"/>
  <c r="E283" i="7"/>
  <c r="H283" i="7"/>
  <c r="I283" i="7"/>
  <c r="J283" i="7"/>
  <c r="K283" i="7"/>
  <c r="L283" i="7"/>
  <c r="M283" i="7"/>
  <c r="W283" i="7"/>
  <c r="D284" i="7"/>
  <c r="E284" i="7"/>
  <c r="H284" i="7"/>
  <c r="I284" i="7"/>
  <c r="J284" i="7"/>
  <c r="K284" i="7"/>
  <c r="L284" i="7"/>
  <c r="M284" i="7"/>
  <c r="W284" i="7"/>
  <c r="D285" i="7"/>
  <c r="E285" i="7"/>
  <c r="H285" i="7"/>
  <c r="I285" i="7"/>
  <c r="J285" i="7"/>
  <c r="K285" i="7"/>
  <c r="L285" i="7"/>
  <c r="M285" i="7"/>
  <c r="W285" i="7"/>
  <c r="D286" i="7"/>
  <c r="E286" i="7"/>
  <c r="H286" i="7"/>
  <c r="I286" i="7"/>
  <c r="J286" i="7"/>
  <c r="K286" i="7"/>
  <c r="L286" i="7"/>
  <c r="M286" i="7"/>
  <c r="W286" i="7"/>
  <c r="D287" i="7"/>
  <c r="E287" i="7"/>
  <c r="H287" i="7"/>
  <c r="I287" i="7"/>
  <c r="J287" i="7"/>
  <c r="K287" i="7"/>
  <c r="L287" i="7"/>
  <c r="M287" i="7"/>
  <c r="W287" i="7"/>
  <c r="D288" i="7"/>
  <c r="E288" i="7"/>
  <c r="H288" i="7"/>
  <c r="I288" i="7"/>
  <c r="J288" i="7"/>
  <c r="K288" i="7"/>
  <c r="L288" i="7"/>
  <c r="M288" i="7"/>
  <c r="W288" i="7"/>
  <c r="D289" i="7"/>
  <c r="E289" i="7"/>
  <c r="H289" i="7"/>
  <c r="I289" i="7"/>
  <c r="J289" i="7"/>
  <c r="K289" i="7"/>
  <c r="L289" i="7"/>
  <c r="M289" i="7"/>
  <c r="W289" i="7"/>
  <c r="D290" i="7"/>
  <c r="E290" i="7"/>
  <c r="H290" i="7"/>
  <c r="I290" i="7"/>
  <c r="J290" i="7"/>
  <c r="K290" i="7"/>
  <c r="L290" i="7"/>
  <c r="M290" i="7"/>
  <c r="W290" i="7"/>
  <c r="D291" i="7"/>
  <c r="E291" i="7"/>
  <c r="H291" i="7"/>
  <c r="I291" i="7"/>
  <c r="J291" i="7"/>
  <c r="K291" i="7"/>
  <c r="L291" i="7"/>
  <c r="M291" i="7"/>
  <c r="W291" i="7"/>
  <c r="D292" i="7"/>
  <c r="E292" i="7"/>
  <c r="H292" i="7"/>
  <c r="I292" i="7"/>
  <c r="J292" i="7"/>
  <c r="K292" i="7"/>
  <c r="L292" i="7"/>
  <c r="M292" i="7"/>
  <c r="W292" i="7"/>
  <c r="D293" i="7"/>
  <c r="E293" i="7"/>
  <c r="H293" i="7"/>
  <c r="I293" i="7"/>
  <c r="J293" i="7"/>
  <c r="K293" i="7"/>
  <c r="L293" i="7"/>
  <c r="M293" i="7"/>
  <c r="W293" i="7"/>
  <c r="D294" i="7"/>
  <c r="E294" i="7"/>
  <c r="H294" i="7"/>
  <c r="I294" i="7"/>
  <c r="J294" i="7"/>
  <c r="K294" i="7"/>
  <c r="L294" i="7"/>
  <c r="M294" i="7"/>
  <c r="W294" i="7"/>
  <c r="D295" i="7"/>
  <c r="E295" i="7"/>
  <c r="H295" i="7"/>
  <c r="I295" i="7"/>
  <c r="J295" i="7"/>
  <c r="K295" i="7"/>
  <c r="L295" i="7"/>
  <c r="M295" i="7"/>
  <c r="W295" i="7"/>
  <c r="D296" i="7"/>
  <c r="E296" i="7"/>
  <c r="H296" i="7"/>
  <c r="I296" i="7"/>
  <c r="J296" i="7"/>
  <c r="K296" i="7"/>
  <c r="L296" i="7"/>
  <c r="M296" i="7"/>
  <c r="W296" i="7"/>
  <c r="D297" i="7"/>
  <c r="E297" i="7"/>
  <c r="H297" i="7"/>
  <c r="I297" i="7"/>
  <c r="J297" i="7"/>
  <c r="K297" i="7"/>
  <c r="L297" i="7"/>
  <c r="M297" i="7"/>
  <c r="W297" i="7"/>
  <c r="D298" i="7"/>
  <c r="E298" i="7"/>
  <c r="H298" i="7"/>
  <c r="I298" i="7"/>
  <c r="J298" i="7"/>
  <c r="K298" i="7"/>
  <c r="L298" i="7"/>
  <c r="M298" i="7"/>
  <c r="W298" i="7"/>
  <c r="D299" i="7"/>
  <c r="E299" i="7"/>
  <c r="H299" i="7"/>
  <c r="I299" i="7"/>
  <c r="J299" i="7"/>
  <c r="K299" i="7"/>
  <c r="L299" i="7"/>
  <c r="M299" i="7"/>
  <c r="W299" i="7"/>
  <c r="D300" i="7"/>
  <c r="E300" i="7"/>
  <c r="H300" i="7"/>
  <c r="I300" i="7"/>
  <c r="J300" i="7"/>
  <c r="K300" i="7"/>
  <c r="L300" i="7"/>
  <c r="M300" i="7"/>
  <c r="W300" i="7"/>
  <c r="D301" i="7"/>
  <c r="E301" i="7"/>
  <c r="H301" i="7"/>
  <c r="I301" i="7"/>
  <c r="J301" i="7"/>
  <c r="K301" i="7"/>
  <c r="L301" i="7"/>
  <c r="M301" i="7"/>
  <c r="W301" i="7"/>
  <c r="D302" i="7"/>
  <c r="E302" i="7"/>
  <c r="H302" i="7"/>
  <c r="I302" i="7"/>
  <c r="J302" i="7"/>
  <c r="K302" i="7"/>
  <c r="L302" i="7"/>
  <c r="M302" i="7"/>
  <c r="W302" i="7"/>
  <c r="D303" i="7"/>
  <c r="E303" i="7"/>
  <c r="H303" i="7"/>
  <c r="I303" i="7"/>
  <c r="J303" i="7"/>
  <c r="K303" i="7"/>
  <c r="L303" i="7"/>
  <c r="M303" i="7"/>
  <c r="W303" i="7"/>
  <c r="D304" i="7"/>
  <c r="E304" i="7"/>
  <c r="H304" i="7"/>
  <c r="I304" i="7"/>
  <c r="J304" i="7"/>
  <c r="K304" i="7"/>
  <c r="L304" i="7"/>
  <c r="M304" i="7"/>
  <c r="W304" i="7"/>
  <c r="D305" i="7"/>
  <c r="E305" i="7"/>
  <c r="H305" i="7"/>
  <c r="I305" i="7"/>
  <c r="J305" i="7"/>
  <c r="K305" i="7"/>
  <c r="L305" i="7"/>
  <c r="M305" i="7"/>
  <c r="W305" i="7"/>
  <c r="D306" i="7"/>
  <c r="E306" i="7"/>
  <c r="H306" i="7"/>
  <c r="I306" i="7"/>
  <c r="J306" i="7"/>
  <c r="K306" i="7"/>
  <c r="L306" i="7"/>
  <c r="M306" i="7"/>
  <c r="W306" i="7"/>
  <c r="D307" i="7"/>
  <c r="E307" i="7"/>
  <c r="H307" i="7"/>
  <c r="I307" i="7"/>
  <c r="J307" i="7"/>
  <c r="K307" i="7"/>
  <c r="L307" i="7"/>
  <c r="M307" i="7"/>
  <c r="W307" i="7"/>
  <c r="D308" i="7"/>
  <c r="E308" i="7"/>
  <c r="H308" i="7"/>
  <c r="I308" i="7"/>
  <c r="J308" i="7"/>
  <c r="K308" i="7"/>
  <c r="L308" i="7"/>
  <c r="M308" i="7"/>
  <c r="W308" i="7"/>
  <c r="D309" i="7"/>
  <c r="E309" i="7"/>
  <c r="H309" i="7"/>
  <c r="I309" i="7"/>
  <c r="J309" i="7"/>
  <c r="K309" i="7"/>
  <c r="L309" i="7"/>
  <c r="M309" i="7"/>
  <c r="W309" i="7"/>
  <c r="D310" i="7"/>
  <c r="E310" i="7"/>
  <c r="H310" i="7"/>
  <c r="I310" i="7"/>
  <c r="J310" i="7"/>
  <c r="K310" i="7"/>
  <c r="L310" i="7"/>
  <c r="M310" i="7"/>
  <c r="W310" i="7"/>
  <c r="D311" i="7"/>
  <c r="E311" i="7"/>
  <c r="H311" i="7"/>
  <c r="I311" i="7"/>
  <c r="J311" i="7"/>
  <c r="K311" i="7"/>
  <c r="L311" i="7"/>
  <c r="M311" i="7"/>
  <c r="W311" i="7"/>
  <c r="D312" i="7"/>
  <c r="E312" i="7"/>
  <c r="H312" i="7"/>
  <c r="I312" i="7"/>
  <c r="J312" i="7"/>
  <c r="K312" i="7"/>
  <c r="L312" i="7"/>
  <c r="M312" i="7"/>
  <c r="W312" i="7"/>
  <c r="D313" i="7"/>
  <c r="E313" i="7"/>
  <c r="H313" i="7"/>
  <c r="I313" i="7"/>
  <c r="J313" i="7"/>
  <c r="K313" i="7"/>
  <c r="L313" i="7"/>
  <c r="M313" i="7"/>
  <c r="W313" i="7"/>
  <c r="D314" i="7"/>
  <c r="E314" i="7"/>
  <c r="H314" i="7"/>
  <c r="I314" i="7"/>
  <c r="J314" i="7"/>
  <c r="K314" i="7"/>
  <c r="L314" i="7"/>
  <c r="M314" i="7"/>
  <c r="W314" i="7"/>
  <c r="D315" i="7"/>
  <c r="E315" i="7"/>
  <c r="H315" i="7"/>
  <c r="I315" i="7"/>
  <c r="J315" i="7"/>
  <c r="K315" i="7"/>
  <c r="L315" i="7"/>
  <c r="M315" i="7"/>
  <c r="W315" i="7"/>
  <c r="D316" i="7"/>
  <c r="E316" i="7"/>
  <c r="H316" i="7"/>
  <c r="I316" i="7"/>
  <c r="J316" i="7"/>
  <c r="K316" i="7"/>
  <c r="L316" i="7"/>
  <c r="M316" i="7"/>
  <c r="W316" i="7"/>
  <c r="D317" i="7"/>
  <c r="E317" i="7"/>
  <c r="H317" i="7"/>
  <c r="I317" i="7"/>
  <c r="J317" i="7"/>
  <c r="K317" i="7"/>
  <c r="L317" i="7"/>
  <c r="M317" i="7"/>
  <c r="W317" i="7"/>
  <c r="D318" i="7"/>
  <c r="E318" i="7"/>
  <c r="H318" i="7"/>
  <c r="I318" i="7"/>
  <c r="J318" i="7"/>
  <c r="K318" i="7"/>
  <c r="L318" i="7"/>
  <c r="M318" i="7"/>
  <c r="W318" i="7"/>
  <c r="D319" i="7"/>
  <c r="E319" i="7"/>
  <c r="H319" i="7"/>
  <c r="I319" i="7"/>
  <c r="J319" i="7"/>
  <c r="K319" i="7"/>
  <c r="L319" i="7"/>
  <c r="M319" i="7"/>
  <c r="W319" i="7"/>
  <c r="D320" i="7"/>
  <c r="E320" i="7"/>
  <c r="H320" i="7"/>
  <c r="I320" i="7"/>
  <c r="J320" i="7"/>
  <c r="K320" i="7"/>
  <c r="L320" i="7"/>
  <c r="M320" i="7"/>
  <c r="W320" i="7"/>
  <c r="D321" i="7"/>
  <c r="E321" i="7"/>
  <c r="H321" i="7"/>
  <c r="I321" i="7"/>
  <c r="J321" i="7"/>
  <c r="K321" i="7"/>
  <c r="L321" i="7"/>
  <c r="M321" i="7"/>
  <c r="W321" i="7"/>
  <c r="D322" i="7"/>
  <c r="E322" i="7"/>
  <c r="H322" i="7"/>
  <c r="I322" i="7"/>
  <c r="J322" i="7"/>
  <c r="K322" i="7"/>
  <c r="L322" i="7"/>
  <c r="M322" i="7"/>
  <c r="W322" i="7"/>
  <c r="D323" i="7"/>
  <c r="E323" i="7"/>
  <c r="H323" i="7"/>
  <c r="I323" i="7"/>
  <c r="J323" i="7"/>
  <c r="K323" i="7"/>
  <c r="L323" i="7"/>
  <c r="M323" i="7"/>
  <c r="W323" i="7"/>
  <c r="D324" i="7"/>
  <c r="E324" i="7"/>
  <c r="H324" i="7"/>
  <c r="I324" i="7"/>
  <c r="J324" i="7"/>
  <c r="K324" i="7"/>
  <c r="L324" i="7"/>
  <c r="M324" i="7"/>
  <c r="W324" i="7"/>
  <c r="D325" i="7"/>
  <c r="E325" i="7"/>
  <c r="H325" i="7"/>
  <c r="I325" i="7"/>
  <c r="J325" i="7"/>
  <c r="K325" i="7"/>
  <c r="L325" i="7"/>
  <c r="M325" i="7"/>
  <c r="W325" i="7"/>
  <c r="D326" i="7"/>
  <c r="E326" i="7"/>
  <c r="H326" i="7"/>
  <c r="I326" i="7"/>
  <c r="J326" i="7"/>
  <c r="K326" i="7"/>
  <c r="L326" i="7"/>
  <c r="M326" i="7"/>
  <c r="W326" i="7"/>
  <c r="D327" i="7"/>
  <c r="E327" i="7"/>
  <c r="H327" i="7"/>
  <c r="I327" i="7"/>
  <c r="J327" i="7"/>
  <c r="K327" i="7"/>
  <c r="L327" i="7"/>
  <c r="M327" i="7"/>
  <c r="W327" i="7"/>
  <c r="D328" i="7"/>
  <c r="E328" i="7"/>
  <c r="H328" i="7"/>
  <c r="I328" i="7"/>
  <c r="J328" i="7"/>
  <c r="K328" i="7"/>
  <c r="L328" i="7"/>
  <c r="M328" i="7"/>
  <c r="W328" i="7"/>
  <c r="D329" i="7"/>
  <c r="E329" i="7"/>
  <c r="H329" i="7"/>
  <c r="I329" i="7"/>
  <c r="J329" i="7"/>
  <c r="K329" i="7"/>
  <c r="L329" i="7"/>
  <c r="M329" i="7"/>
  <c r="W329" i="7"/>
  <c r="D330" i="7"/>
  <c r="E330" i="7"/>
  <c r="H330" i="7"/>
  <c r="I330" i="7"/>
  <c r="J330" i="7"/>
  <c r="K330" i="7"/>
  <c r="L330" i="7"/>
  <c r="M330" i="7"/>
  <c r="W330" i="7"/>
  <c r="D331" i="7"/>
  <c r="E331" i="7"/>
  <c r="H331" i="7"/>
  <c r="I331" i="7"/>
  <c r="J331" i="7"/>
  <c r="K331" i="7"/>
  <c r="L331" i="7"/>
  <c r="M331" i="7"/>
  <c r="W331" i="7"/>
  <c r="D332" i="7"/>
  <c r="E332" i="7"/>
  <c r="H332" i="7"/>
  <c r="I332" i="7"/>
  <c r="J332" i="7"/>
  <c r="K332" i="7"/>
  <c r="L332" i="7"/>
  <c r="M332" i="7"/>
  <c r="W332" i="7"/>
  <c r="D333" i="7"/>
  <c r="E333" i="7"/>
  <c r="H333" i="7"/>
  <c r="I333" i="7"/>
  <c r="J333" i="7"/>
  <c r="K333" i="7"/>
  <c r="L333" i="7"/>
  <c r="M333" i="7"/>
  <c r="W333" i="7"/>
  <c r="D334" i="7"/>
  <c r="E334" i="7"/>
  <c r="H334" i="7"/>
  <c r="I334" i="7"/>
  <c r="J334" i="7"/>
  <c r="K334" i="7"/>
  <c r="L334" i="7"/>
  <c r="M334" i="7"/>
  <c r="W334" i="7"/>
  <c r="D335" i="7"/>
  <c r="E335" i="7"/>
  <c r="H335" i="7"/>
  <c r="I335" i="7"/>
  <c r="J335" i="7"/>
  <c r="K335" i="7"/>
  <c r="L335" i="7"/>
  <c r="M335" i="7"/>
  <c r="W335" i="7"/>
  <c r="D336" i="7"/>
  <c r="E336" i="7"/>
  <c r="H336" i="7"/>
  <c r="I336" i="7"/>
  <c r="J336" i="7"/>
  <c r="K336" i="7"/>
  <c r="L336" i="7"/>
  <c r="M336" i="7"/>
  <c r="W336" i="7"/>
  <c r="D337" i="7"/>
  <c r="E337" i="7"/>
  <c r="H337" i="7"/>
  <c r="I337" i="7"/>
  <c r="J337" i="7"/>
  <c r="K337" i="7"/>
  <c r="L337" i="7"/>
  <c r="M337" i="7"/>
  <c r="W337" i="7"/>
  <c r="D338" i="7"/>
  <c r="E338" i="7"/>
  <c r="H338" i="7"/>
  <c r="I338" i="7"/>
  <c r="J338" i="7"/>
  <c r="K338" i="7"/>
  <c r="L338" i="7"/>
  <c r="M338" i="7"/>
  <c r="W338" i="7"/>
  <c r="D339" i="7"/>
  <c r="E339" i="7"/>
  <c r="H339" i="7"/>
  <c r="I339" i="7"/>
  <c r="J339" i="7"/>
  <c r="K339" i="7"/>
  <c r="L339" i="7"/>
  <c r="M339" i="7"/>
  <c r="W339" i="7"/>
  <c r="D340" i="7"/>
  <c r="E340" i="7"/>
  <c r="H340" i="7"/>
  <c r="I340" i="7"/>
  <c r="J340" i="7"/>
  <c r="K340" i="7"/>
  <c r="L340" i="7"/>
  <c r="M340" i="7"/>
  <c r="W340" i="7"/>
  <c r="D341" i="7"/>
  <c r="E341" i="7"/>
  <c r="H341" i="7"/>
  <c r="I341" i="7"/>
  <c r="J341" i="7"/>
  <c r="K341" i="7"/>
  <c r="L341" i="7"/>
  <c r="M341" i="7"/>
  <c r="W341" i="7"/>
  <c r="D342" i="7"/>
  <c r="E342" i="7"/>
  <c r="H342" i="7"/>
  <c r="I342" i="7"/>
  <c r="J342" i="7"/>
  <c r="K342" i="7"/>
  <c r="L342" i="7"/>
  <c r="M342" i="7"/>
  <c r="W342" i="7"/>
  <c r="D343" i="7"/>
  <c r="E343" i="7"/>
  <c r="H343" i="7"/>
  <c r="I343" i="7"/>
  <c r="J343" i="7"/>
  <c r="K343" i="7"/>
  <c r="L343" i="7"/>
  <c r="M343" i="7"/>
  <c r="W343" i="7"/>
  <c r="D344" i="7"/>
  <c r="E344" i="7"/>
  <c r="H344" i="7"/>
  <c r="I344" i="7"/>
  <c r="J344" i="7"/>
  <c r="K344" i="7"/>
  <c r="L344" i="7"/>
  <c r="M344" i="7"/>
  <c r="W344" i="7"/>
  <c r="D345" i="7"/>
  <c r="E345" i="7"/>
  <c r="H345" i="7"/>
  <c r="I345" i="7"/>
  <c r="J345" i="7"/>
  <c r="K345" i="7"/>
  <c r="L345" i="7"/>
  <c r="M345" i="7"/>
  <c r="W345" i="7"/>
  <c r="D346" i="7"/>
  <c r="E346" i="7"/>
  <c r="H346" i="7"/>
  <c r="I346" i="7"/>
  <c r="J346" i="7"/>
  <c r="K346" i="7"/>
  <c r="L346" i="7"/>
  <c r="M346" i="7"/>
  <c r="W346" i="7"/>
  <c r="D347" i="7"/>
  <c r="E347" i="7"/>
  <c r="H347" i="7"/>
  <c r="I347" i="7"/>
  <c r="J347" i="7"/>
  <c r="K347" i="7"/>
  <c r="L347" i="7"/>
  <c r="M347" i="7"/>
  <c r="W347" i="7"/>
  <c r="D348" i="7"/>
  <c r="E348" i="7"/>
  <c r="H348" i="7"/>
  <c r="I348" i="7"/>
  <c r="J348" i="7"/>
  <c r="K348" i="7"/>
  <c r="L348" i="7"/>
  <c r="M348" i="7"/>
  <c r="W348" i="7"/>
  <c r="D349" i="7"/>
  <c r="E349" i="7"/>
  <c r="H349" i="7"/>
  <c r="I349" i="7"/>
  <c r="J349" i="7"/>
  <c r="K349" i="7"/>
  <c r="L349" i="7"/>
  <c r="M349" i="7"/>
  <c r="W349" i="7"/>
  <c r="D350" i="7"/>
  <c r="E350" i="7"/>
  <c r="H350" i="7"/>
  <c r="I350" i="7"/>
  <c r="J350" i="7"/>
  <c r="K350" i="7"/>
  <c r="L350" i="7"/>
  <c r="M350" i="7"/>
  <c r="W350" i="7"/>
  <c r="D351" i="7"/>
  <c r="E351" i="7"/>
  <c r="H351" i="7"/>
  <c r="I351" i="7"/>
  <c r="J351" i="7"/>
  <c r="K351" i="7"/>
  <c r="L351" i="7"/>
  <c r="M351" i="7"/>
  <c r="W351" i="7"/>
  <c r="D352" i="7"/>
  <c r="E352" i="7"/>
  <c r="H352" i="7"/>
  <c r="I352" i="7"/>
  <c r="J352" i="7"/>
  <c r="K352" i="7"/>
  <c r="L352" i="7"/>
  <c r="M352" i="7"/>
  <c r="W352" i="7"/>
  <c r="D353" i="7"/>
  <c r="E353" i="7"/>
  <c r="H353" i="7"/>
  <c r="I353" i="7"/>
  <c r="J353" i="7"/>
  <c r="K353" i="7"/>
  <c r="L353" i="7"/>
  <c r="M353" i="7"/>
  <c r="W353" i="7"/>
  <c r="D354" i="7"/>
  <c r="E354" i="7"/>
  <c r="H354" i="7"/>
  <c r="I354" i="7"/>
  <c r="J354" i="7"/>
  <c r="K354" i="7"/>
  <c r="L354" i="7"/>
  <c r="M354" i="7"/>
  <c r="W354" i="7"/>
  <c r="D355" i="7"/>
  <c r="E355" i="7"/>
  <c r="H355" i="7"/>
  <c r="I355" i="7"/>
  <c r="J355" i="7"/>
  <c r="K355" i="7"/>
  <c r="L355" i="7"/>
  <c r="M355" i="7"/>
  <c r="W355" i="7"/>
  <c r="D356" i="7"/>
  <c r="E356" i="7"/>
  <c r="H356" i="7"/>
  <c r="I356" i="7"/>
  <c r="J356" i="7"/>
  <c r="K356" i="7"/>
  <c r="L356" i="7"/>
  <c r="M356" i="7"/>
  <c r="W356" i="7"/>
  <c r="D357" i="7"/>
  <c r="E357" i="7"/>
  <c r="H357" i="7"/>
  <c r="I357" i="7"/>
  <c r="J357" i="7"/>
  <c r="K357" i="7"/>
  <c r="L357" i="7"/>
  <c r="M357" i="7"/>
  <c r="W357" i="7"/>
  <c r="D358" i="7"/>
  <c r="E358" i="7"/>
  <c r="H358" i="7"/>
  <c r="I358" i="7"/>
  <c r="J358" i="7"/>
  <c r="K358" i="7"/>
  <c r="L358" i="7"/>
  <c r="M358" i="7"/>
  <c r="W358" i="7"/>
  <c r="D359" i="7"/>
  <c r="E359" i="7"/>
  <c r="H359" i="7"/>
  <c r="I359" i="7"/>
  <c r="J359" i="7"/>
  <c r="K359" i="7"/>
  <c r="L359" i="7"/>
  <c r="M359" i="7"/>
  <c r="W359" i="7"/>
  <c r="D360" i="7"/>
  <c r="E360" i="7"/>
  <c r="H360" i="7"/>
  <c r="I360" i="7"/>
  <c r="J360" i="7"/>
  <c r="K360" i="7"/>
  <c r="L360" i="7"/>
  <c r="M360" i="7"/>
  <c r="W360" i="7"/>
  <c r="D361" i="7"/>
  <c r="E361" i="7"/>
  <c r="H361" i="7"/>
  <c r="I361" i="7"/>
  <c r="J361" i="7"/>
  <c r="K361" i="7"/>
  <c r="L361" i="7"/>
  <c r="M361" i="7"/>
  <c r="W361" i="7"/>
  <c r="D362" i="7"/>
  <c r="E362" i="7"/>
  <c r="H362" i="7"/>
  <c r="I362" i="7"/>
  <c r="J362" i="7"/>
  <c r="K362" i="7"/>
  <c r="L362" i="7"/>
  <c r="M362" i="7"/>
  <c r="W362" i="7"/>
  <c r="D363" i="7"/>
  <c r="E363" i="7"/>
  <c r="H363" i="7"/>
  <c r="I363" i="7"/>
  <c r="J363" i="7"/>
  <c r="K363" i="7"/>
  <c r="L363" i="7"/>
  <c r="M363" i="7"/>
  <c r="W363" i="7"/>
  <c r="D364" i="7"/>
  <c r="E364" i="7"/>
  <c r="H364" i="7"/>
  <c r="I364" i="7"/>
  <c r="J364" i="7"/>
  <c r="K364" i="7"/>
  <c r="L364" i="7"/>
  <c r="M364" i="7"/>
  <c r="W364" i="7"/>
  <c r="D365" i="7"/>
  <c r="E365" i="7"/>
  <c r="H365" i="7"/>
  <c r="I365" i="7"/>
  <c r="J365" i="7"/>
  <c r="K365" i="7"/>
  <c r="L365" i="7"/>
  <c r="M365" i="7"/>
  <c r="W365" i="7"/>
  <c r="D366" i="7"/>
  <c r="E366" i="7"/>
  <c r="H366" i="7"/>
  <c r="I366" i="7"/>
  <c r="J366" i="7"/>
  <c r="K366" i="7"/>
  <c r="L366" i="7"/>
  <c r="M366" i="7"/>
  <c r="W366" i="7"/>
  <c r="D367" i="7"/>
  <c r="E367" i="7"/>
  <c r="H367" i="7"/>
  <c r="I367" i="7"/>
  <c r="J367" i="7"/>
  <c r="K367" i="7"/>
  <c r="L367" i="7"/>
  <c r="M367" i="7"/>
  <c r="W367" i="7"/>
  <c r="D368" i="7"/>
  <c r="E368" i="7"/>
  <c r="H368" i="7"/>
  <c r="I368" i="7"/>
  <c r="J368" i="7"/>
  <c r="K368" i="7"/>
  <c r="L368" i="7"/>
  <c r="M368" i="7"/>
  <c r="W368" i="7"/>
  <c r="D369" i="7"/>
  <c r="E369" i="7"/>
  <c r="H369" i="7"/>
  <c r="I369" i="7"/>
  <c r="J369" i="7"/>
  <c r="K369" i="7"/>
  <c r="L369" i="7"/>
  <c r="M369" i="7"/>
  <c r="W369" i="7"/>
  <c r="D370" i="7"/>
  <c r="E370" i="7"/>
  <c r="H370" i="7"/>
  <c r="I370" i="7"/>
  <c r="J370" i="7"/>
  <c r="K370" i="7"/>
  <c r="L370" i="7"/>
  <c r="M370" i="7"/>
  <c r="W370" i="7"/>
  <c r="D371" i="7"/>
  <c r="E371" i="7"/>
  <c r="H371" i="7"/>
  <c r="I371" i="7"/>
  <c r="J371" i="7"/>
  <c r="K371" i="7"/>
  <c r="L371" i="7"/>
  <c r="M371" i="7"/>
  <c r="W371" i="7"/>
  <c r="D372" i="7"/>
  <c r="E372" i="7"/>
  <c r="H372" i="7"/>
  <c r="I372" i="7"/>
  <c r="J372" i="7"/>
  <c r="K372" i="7"/>
  <c r="L372" i="7"/>
  <c r="M372" i="7"/>
  <c r="W372" i="7"/>
  <c r="D373" i="7"/>
  <c r="E373" i="7"/>
  <c r="H373" i="7"/>
  <c r="I373" i="7"/>
  <c r="J373" i="7"/>
  <c r="K373" i="7"/>
  <c r="L373" i="7"/>
  <c r="M373" i="7"/>
  <c r="W373" i="7"/>
  <c r="D374" i="7"/>
  <c r="E374" i="7"/>
  <c r="H374" i="7"/>
  <c r="I374" i="7"/>
  <c r="J374" i="7"/>
  <c r="K374" i="7"/>
  <c r="L374" i="7"/>
  <c r="M374" i="7"/>
  <c r="W374" i="7"/>
  <c r="D375" i="7"/>
  <c r="E375" i="7"/>
  <c r="H375" i="7"/>
  <c r="I375" i="7"/>
  <c r="J375" i="7"/>
  <c r="K375" i="7"/>
  <c r="L375" i="7"/>
  <c r="M375" i="7"/>
  <c r="W375" i="7"/>
  <c r="D376" i="7"/>
  <c r="E376" i="7"/>
  <c r="H376" i="7"/>
  <c r="I376" i="7"/>
  <c r="J376" i="7"/>
  <c r="K376" i="7"/>
  <c r="L376" i="7"/>
  <c r="M376" i="7"/>
  <c r="W376" i="7"/>
  <c r="D377" i="7"/>
  <c r="E377" i="7"/>
  <c r="H377" i="7"/>
  <c r="I377" i="7"/>
  <c r="J377" i="7"/>
  <c r="K377" i="7"/>
  <c r="L377" i="7"/>
  <c r="M377" i="7"/>
  <c r="W377" i="7"/>
  <c r="D378" i="7"/>
  <c r="E378" i="7"/>
  <c r="H378" i="7"/>
  <c r="I378" i="7"/>
  <c r="J378" i="7"/>
  <c r="K378" i="7"/>
  <c r="L378" i="7"/>
  <c r="M378" i="7"/>
  <c r="W378" i="7"/>
  <c r="D379" i="7"/>
  <c r="E379" i="7"/>
  <c r="H379" i="7"/>
  <c r="I379" i="7"/>
  <c r="J379" i="7"/>
  <c r="K379" i="7"/>
  <c r="L379" i="7"/>
  <c r="M379" i="7"/>
  <c r="W379" i="7"/>
  <c r="D380" i="7"/>
  <c r="E380" i="7"/>
  <c r="H380" i="7"/>
  <c r="I380" i="7"/>
  <c r="J380" i="7"/>
  <c r="K380" i="7"/>
  <c r="L380" i="7"/>
  <c r="M380" i="7"/>
  <c r="W380" i="7"/>
  <c r="D381" i="7"/>
  <c r="E381" i="7"/>
  <c r="H381" i="7"/>
  <c r="I381" i="7"/>
  <c r="J381" i="7"/>
  <c r="K381" i="7"/>
  <c r="L381" i="7"/>
  <c r="M381" i="7"/>
  <c r="W381" i="7"/>
  <c r="D382" i="7"/>
  <c r="E382" i="7"/>
  <c r="H382" i="7"/>
  <c r="I382" i="7"/>
  <c r="J382" i="7"/>
  <c r="K382" i="7"/>
  <c r="L382" i="7"/>
  <c r="M382" i="7"/>
  <c r="W382" i="7"/>
  <c r="D383" i="7"/>
  <c r="E383" i="7"/>
  <c r="H383" i="7"/>
  <c r="I383" i="7"/>
  <c r="J383" i="7"/>
  <c r="K383" i="7"/>
  <c r="L383" i="7"/>
  <c r="M383" i="7"/>
  <c r="W383" i="7"/>
  <c r="D384" i="7"/>
  <c r="E384" i="7"/>
  <c r="H384" i="7"/>
  <c r="I384" i="7"/>
  <c r="J384" i="7"/>
  <c r="K384" i="7"/>
  <c r="L384" i="7"/>
  <c r="M384" i="7"/>
  <c r="W384" i="7"/>
  <c r="D385" i="7"/>
  <c r="E385" i="7"/>
  <c r="H385" i="7"/>
  <c r="I385" i="7"/>
  <c r="J385" i="7"/>
  <c r="K385" i="7"/>
  <c r="L385" i="7"/>
  <c r="M385" i="7"/>
  <c r="W385" i="7"/>
  <c r="D386" i="7"/>
  <c r="E386" i="7"/>
  <c r="H386" i="7"/>
  <c r="I386" i="7"/>
  <c r="J386" i="7"/>
  <c r="K386" i="7"/>
  <c r="L386" i="7"/>
  <c r="M386" i="7"/>
  <c r="W386" i="7"/>
  <c r="D387" i="7"/>
  <c r="E387" i="7"/>
  <c r="H387" i="7"/>
  <c r="I387" i="7"/>
  <c r="J387" i="7"/>
  <c r="K387" i="7"/>
  <c r="L387" i="7"/>
  <c r="M387" i="7"/>
  <c r="W387" i="7"/>
  <c r="D388" i="7"/>
  <c r="E388" i="7"/>
  <c r="H388" i="7"/>
  <c r="I388" i="7"/>
  <c r="J388" i="7"/>
  <c r="K388" i="7"/>
  <c r="L388" i="7"/>
  <c r="M388" i="7"/>
  <c r="W388" i="7"/>
  <c r="D389" i="7"/>
  <c r="E389" i="7"/>
  <c r="H389" i="7"/>
  <c r="I389" i="7"/>
  <c r="J389" i="7"/>
  <c r="K389" i="7"/>
  <c r="L389" i="7"/>
  <c r="M389" i="7"/>
  <c r="W389" i="7"/>
  <c r="D390" i="7"/>
  <c r="E390" i="7"/>
  <c r="H390" i="7"/>
  <c r="I390" i="7"/>
  <c r="J390" i="7"/>
  <c r="K390" i="7"/>
  <c r="L390" i="7"/>
  <c r="M390" i="7"/>
  <c r="W390" i="7"/>
  <c r="D391" i="7"/>
  <c r="E391" i="7"/>
  <c r="H391" i="7"/>
  <c r="I391" i="7"/>
  <c r="J391" i="7"/>
  <c r="K391" i="7"/>
  <c r="L391" i="7"/>
  <c r="M391" i="7"/>
  <c r="W391" i="7"/>
  <c r="D392" i="7"/>
  <c r="E392" i="7"/>
  <c r="H392" i="7"/>
  <c r="I392" i="7"/>
  <c r="J392" i="7"/>
  <c r="K392" i="7"/>
  <c r="L392" i="7"/>
  <c r="M392" i="7"/>
  <c r="W392" i="7"/>
  <c r="D393" i="7"/>
  <c r="E393" i="7"/>
  <c r="H393" i="7"/>
  <c r="I393" i="7"/>
  <c r="J393" i="7"/>
  <c r="K393" i="7"/>
  <c r="L393" i="7"/>
  <c r="M393" i="7"/>
  <c r="W393" i="7"/>
  <c r="D394" i="7"/>
  <c r="E394" i="7"/>
  <c r="H394" i="7"/>
  <c r="I394" i="7"/>
  <c r="J394" i="7"/>
  <c r="K394" i="7"/>
  <c r="L394" i="7"/>
  <c r="M394" i="7"/>
  <c r="W394" i="7"/>
  <c r="D395" i="7"/>
  <c r="E395" i="7"/>
  <c r="H395" i="7"/>
  <c r="I395" i="7"/>
  <c r="J395" i="7"/>
  <c r="K395" i="7"/>
  <c r="L395" i="7"/>
  <c r="M395" i="7"/>
  <c r="W395" i="7"/>
  <c r="D396" i="7"/>
  <c r="E396" i="7"/>
  <c r="H396" i="7"/>
  <c r="I396" i="7"/>
  <c r="J396" i="7"/>
  <c r="K396" i="7"/>
  <c r="L396" i="7"/>
  <c r="M396" i="7"/>
  <c r="W396" i="7"/>
  <c r="D397" i="7"/>
  <c r="E397" i="7"/>
  <c r="H397" i="7"/>
  <c r="I397" i="7"/>
  <c r="J397" i="7"/>
  <c r="K397" i="7"/>
  <c r="L397" i="7"/>
  <c r="M397" i="7"/>
  <c r="W397" i="7"/>
  <c r="D398" i="7"/>
  <c r="E398" i="7"/>
  <c r="H398" i="7"/>
  <c r="I398" i="7"/>
  <c r="J398" i="7"/>
  <c r="K398" i="7"/>
  <c r="L398" i="7"/>
  <c r="M398" i="7"/>
  <c r="W398" i="7"/>
  <c r="D399" i="7"/>
  <c r="E399" i="7"/>
  <c r="H399" i="7"/>
  <c r="I399" i="7"/>
  <c r="J399" i="7"/>
  <c r="K399" i="7"/>
  <c r="L399" i="7"/>
  <c r="M399" i="7"/>
  <c r="W399" i="7"/>
  <c r="D400" i="7"/>
  <c r="E400" i="7"/>
  <c r="H400" i="7"/>
  <c r="I400" i="7"/>
  <c r="J400" i="7"/>
  <c r="K400" i="7"/>
  <c r="L400" i="7"/>
  <c r="M400" i="7"/>
  <c r="W400" i="7"/>
  <c r="D401" i="7"/>
  <c r="E401" i="7"/>
  <c r="H401" i="7"/>
  <c r="I401" i="7"/>
  <c r="J401" i="7"/>
  <c r="K401" i="7"/>
  <c r="L401" i="7"/>
  <c r="M401" i="7"/>
  <c r="W401" i="7"/>
  <c r="D402" i="7"/>
  <c r="E402" i="7"/>
  <c r="H402" i="7"/>
  <c r="I402" i="7"/>
  <c r="J402" i="7"/>
  <c r="K402" i="7"/>
  <c r="L402" i="7"/>
  <c r="M402" i="7"/>
  <c r="W402" i="7"/>
  <c r="D403" i="7"/>
  <c r="E403" i="7"/>
  <c r="H403" i="7"/>
  <c r="I403" i="7"/>
  <c r="J403" i="7"/>
  <c r="K403" i="7"/>
  <c r="L403" i="7"/>
  <c r="M403" i="7"/>
  <c r="W403" i="7"/>
  <c r="D404" i="7"/>
  <c r="E404" i="7"/>
  <c r="H404" i="7"/>
  <c r="I404" i="7"/>
  <c r="J404" i="7"/>
  <c r="K404" i="7"/>
  <c r="L404" i="7"/>
  <c r="M404" i="7"/>
  <c r="W404" i="7"/>
  <c r="D405" i="7"/>
  <c r="E405" i="7"/>
  <c r="H405" i="7"/>
  <c r="I405" i="7"/>
  <c r="J405" i="7"/>
  <c r="K405" i="7"/>
  <c r="L405" i="7"/>
  <c r="M405" i="7"/>
  <c r="W405" i="7"/>
  <c r="D406" i="7"/>
  <c r="E406" i="7"/>
  <c r="H406" i="7"/>
  <c r="I406" i="7"/>
  <c r="J406" i="7"/>
  <c r="K406" i="7"/>
  <c r="L406" i="7"/>
  <c r="M406" i="7"/>
  <c r="W406" i="7"/>
  <c r="D407" i="7"/>
  <c r="E407" i="7"/>
  <c r="H407" i="7"/>
  <c r="I407" i="7"/>
  <c r="J407" i="7"/>
  <c r="K407" i="7"/>
  <c r="L407" i="7"/>
  <c r="M407" i="7"/>
  <c r="W407" i="7"/>
  <c r="D408" i="7"/>
  <c r="E408" i="7"/>
  <c r="H408" i="7"/>
  <c r="I408" i="7"/>
  <c r="J408" i="7"/>
  <c r="K408" i="7"/>
  <c r="L408" i="7"/>
  <c r="M408" i="7"/>
  <c r="W408" i="7"/>
  <c r="D409" i="7"/>
  <c r="E409" i="7"/>
  <c r="H409" i="7"/>
  <c r="I409" i="7"/>
  <c r="J409" i="7"/>
  <c r="K409" i="7"/>
  <c r="L409" i="7"/>
  <c r="M409" i="7"/>
  <c r="W409" i="7"/>
  <c r="D410" i="7"/>
  <c r="E410" i="7"/>
  <c r="H410" i="7"/>
  <c r="I410" i="7"/>
  <c r="J410" i="7"/>
  <c r="K410" i="7"/>
  <c r="L410" i="7"/>
  <c r="M410" i="7"/>
  <c r="W410" i="7"/>
  <c r="D411" i="7"/>
  <c r="E411" i="7"/>
  <c r="H411" i="7"/>
  <c r="I411" i="7"/>
  <c r="J411" i="7"/>
  <c r="K411" i="7"/>
  <c r="L411" i="7"/>
  <c r="M411" i="7"/>
  <c r="W411" i="7"/>
  <c r="D412" i="7"/>
  <c r="E412" i="7"/>
  <c r="H412" i="7"/>
  <c r="I412" i="7"/>
  <c r="J412" i="7"/>
  <c r="K412" i="7"/>
  <c r="L412" i="7"/>
  <c r="M412" i="7"/>
  <c r="W412" i="7"/>
  <c r="D413" i="7"/>
  <c r="E413" i="7"/>
  <c r="H413" i="7"/>
  <c r="I413" i="7"/>
  <c r="J413" i="7"/>
  <c r="K413" i="7"/>
  <c r="L413" i="7"/>
  <c r="M413" i="7"/>
  <c r="W413" i="7"/>
  <c r="D414" i="7"/>
  <c r="E414" i="7"/>
  <c r="H414" i="7"/>
  <c r="I414" i="7"/>
  <c r="J414" i="7"/>
  <c r="K414" i="7"/>
  <c r="L414" i="7"/>
  <c r="M414" i="7"/>
  <c r="W414" i="7"/>
  <c r="D415" i="7"/>
  <c r="E415" i="7"/>
  <c r="H415" i="7"/>
  <c r="I415" i="7"/>
  <c r="J415" i="7"/>
  <c r="K415" i="7"/>
  <c r="L415" i="7"/>
  <c r="M415" i="7"/>
  <c r="W415" i="7"/>
  <c r="D416" i="7"/>
  <c r="E416" i="7"/>
  <c r="H416" i="7"/>
  <c r="I416" i="7"/>
  <c r="J416" i="7"/>
  <c r="K416" i="7"/>
  <c r="L416" i="7"/>
  <c r="M416" i="7"/>
  <c r="W416" i="7"/>
  <c r="D417" i="7"/>
  <c r="E417" i="7"/>
  <c r="H417" i="7"/>
  <c r="I417" i="7"/>
  <c r="J417" i="7"/>
  <c r="K417" i="7"/>
  <c r="L417" i="7"/>
  <c r="M417" i="7"/>
  <c r="W417" i="7"/>
  <c r="D418" i="7"/>
  <c r="E418" i="7"/>
  <c r="H418" i="7"/>
  <c r="I418" i="7"/>
  <c r="J418" i="7"/>
  <c r="K418" i="7"/>
  <c r="L418" i="7"/>
  <c r="M418" i="7"/>
  <c r="W418" i="7"/>
  <c r="D419" i="7"/>
  <c r="E419" i="7"/>
  <c r="H419" i="7"/>
  <c r="I419" i="7"/>
  <c r="J419" i="7"/>
  <c r="K419" i="7"/>
  <c r="L419" i="7"/>
  <c r="M419" i="7"/>
  <c r="W419" i="7"/>
  <c r="D420" i="7"/>
  <c r="E420" i="7"/>
  <c r="H420" i="7"/>
  <c r="I420" i="7"/>
  <c r="J420" i="7"/>
  <c r="K420" i="7"/>
  <c r="L420" i="7"/>
  <c r="M420" i="7"/>
  <c r="W420" i="7"/>
  <c r="D421" i="7"/>
  <c r="E421" i="7"/>
  <c r="H421" i="7"/>
  <c r="I421" i="7"/>
  <c r="J421" i="7"/>
  <c r="K421" i="7"/>
  <c r="L421" i="7"/>
  <c r="M421" i="7"/>
  <c r="W421" i="7"/>
  <c r="D422" i="7"/>
  <c r="E422" i="7"/>
  <c r="H422" i="7"/>
  <c r="I422" i="7"/>
  <c r="J422" i="7"/>
  <c r="K422" i="7"/>
  <c r="L422" i="7"/>
  <c r="M422" i="7"/>
  <c r="W422" i="7"/>
  <c r="D423" i="7"/>
  <c r="E423" i="7"/>
  <c r="H423" i="7"/>
  <c r="I423" i="7"/>
  <c r="J423" i="7"/>
  <c r="K423" i="7"/>
  <c r="L423" i="7"/>
  <c r="M423" i="7"/>
  <c r="W423" i="7"/>
  <c r="D424" i="7"/>
  <c r="E424" i="7"/>
  <c r="H424" i="7"/>
  <c r="I424" i="7"/>
  <c r="J424" i="7"/>
  <c r="K424" i="7"/>
  <c r="L424" i="7"/>
  <c r="M424" i="7"/>
  <c r="W424" i="7"/>
  <c r="D425" i="7"/>
  <c r="E425" i="7"/>
  <c r="H425" i="7"/>
  <c r="I425" i="7"/>
  <c r="J425" i="7"/>
  <c r="K425" i="7"/>
  <c r="L425" i="7"/>
  <c r="M425" i="7"/>
  <c r="W425" i="7"/>
  <c r="D426" i="7"/>
  <c r="E426" i="7"/>
  <c r="H426" i="7"/>
  <c r="I426" i="7"/>
  <c r="J426" i="7"/>
  <c r="K426" i="7"/>
  <c r="L426" i="7"/>
  <c r="M426" i="7"/>
  <c r="W426" i="7"/>
  <c r="D427" i="7"/>
  <c r="E427" i="7"/>
  <c r="H427" i="7"/>
  <c r="I427" i="7"/>
  <c r="J427" i="7"/>
  <c r="K427" i="7"/>
  <c r="L427" i="7"/>
  <c r="M427" i="7"/>
  <c r="W427" i="7"/>
  <c r="D428" i="7"/>
  <c r="E428" i="7"/>
  <c r="H428" i="7"/>
  <c r="I428" i="7"/>
  <c r="J428" i="7"/>
  <c r="K428" i="7"/>
  <c r="L428" i="7"/>
  <c r="M428" i="7"/>
  <c r="W428" i="7"/>
  <c r="D429" i="7"/>
  <c r="E429" i="7"/>
  <c r="H429" i="7"/>
  <c r="I429" i="7"/>
  <c r="J429" i="7"/>
  <c r="K429" i="7"/>
  <c r="L429" i="7"/>
  <c r="M429" i="7"/>
  <c r="W429" i="7"/>
  <c r="D430" i="7"/>
  <c r="E430" i="7"/>
  <c r="H430" i="7"/>
  <c r="I430" i="7"/>
  <c r="J430" i="7"/>
  <c r="K430" i="7"/>
  <c r="L430" i="7"/>
  <c r="M430" i="7"/>
  <c r="W430" i="7"/>
  <c r="D431" i="7"/>
  <c r="E431" i="7"/>
  <c r="H431" i="7"/>
  <c r="I431" i="7"/>
  <c r="J431" i="7"/>
  <c r="K431" i="7"/>
  <c r="L431" i="7"/>
  <c r="M431" i="7"/>
  <c r="W431" i="7"/>
  <c r="D432" i="7"/>
  <c r="E432" i="7"/>
  <c r="H432" i="7"/>
  <c r="I432" i="7"/>
  <c r="J432" i="7"/>
  <c r="K432" i="7"/>
  <c r="L432" i="7"/>
  <c r="M432" i="7"/>
  <c r="W432" i="7"/>
  <c r="D433" i="7"/>
  <c r="E433" i="7"/>
  <c r="H433" i="7"/>
  <c r="I433" i="7"/>
  <c r="J433" i="7"/>
  <c r="K433" i="7"/>
  <c r="L433" i="7"/>
  <c r="M433" i="7"/>
  <c r="W433" i="7"/>
  <c r="D434" i="7"/>
  <c r="E434" i="7"/>
  <c r="H434" i="7"/>
  <c r="I434" i="7"/>
  <c r="J434" i="7"/>
  <c r="K434" i="7"/>
  <c r="L434" i="7"/>
  <c r="M434" i="7"/>
  <c r="W434" i="7"/>
  <c r="D435" i="7"/>
  <c r="E435" i="7"/>
  <c r="H435" i="7"/>
  <c r="I435" i="7"/>
  <c r="J435" i="7"/>
  <c r="K435" i="7"/>
  <c r="L435" i="7"/>
  <c r="M435" i="7"/>
  <c r="W435" i="7"/>
  <c r="D436" i="7"/>
  <c r="E436" i="7"/>
  <c r="H436" i="7"/>
  <c r="I436" i="7"/>
  <c r="J436" i="7"/>
  <c r="K436" i="7"/>
  <c r="L436" i="7"/>
  <c r="M436" i="7"/>
  <c r="W436" i="7"/>
  <c r="D437" i="7"/>
  <c r="E437" i="7"/>
  <c r="H437" i="7"/>
  <c r="I437" i="7"/>
  <c r="J437" i="7"/>
  <c r="K437" i="7"/>
  <c r="L437" i="7"/>
  <c r="M437" i="7"/>
  <c r="W437" i="7"/>
  <c r="D438" i="7"/>
  <c r="E438" i="7"/>
  <c r="H438" i="7"/>
  <c r="I438" i="7"/>
  <c r="J438" i="7"/>
  <c r="K438" i="7"/>
  <c r="L438" i="7"/>
  <c r="M438" i="7"/>
  <c r="W438" i="7"/>
  <c r="D439" i="7"/>
  <c r="E439" i="7"/>
  <c r="H439" i="7"/>
  <c r="I439" i="7"/>
  <c r="J439" i="7"/>
  <c r="K439" i="7"/>
  <c r="L439" i="7"/>
  <c r="M439" i="7"/>
  <c r="W439" i="7"/>
  <c r="D440" i="7"/>
  <c r="E440" i="7"/>
  <c r="H440" i="7"/>
  <c r="I440" i="7"/>
  <c r="J440" i="7"/>
  <c r="K440" i="7"/>
  <c r="L440" i="7"/>
  <c r="M440" i="7"/>
  <c r="W440" i="7"/>
  <c r="D441" i="7"/>
  <c r="E441" i="7"/>
  <c r="H441" i="7"/>
  <c r="I441" i="7"/>
  <c r="J441" i="7"/>
  <c r="K441" i="7"/>
  <c r="L441" i="7"/>
  <c r="M441" i="7"/>
  <c r="W441" i="7"/>
  <c r="D442" i="7"/>
  <c r="E442" i="7"/>
  <c r="H442" i="7"/>
  <c r="I442" i="7"/>
  <c r="J442" i="7"/>
  <c r="K442" i="7"/>
  <c r="L442" i="7"/>
  <c r="M442" i="7"/>
  <c r="W442" i="7"/>
  <c r="D443" i="7"/>
  <c r="E443" i="7"/>
  <c r="H443" i="7"/>
  <c r="I443" i="7"/>
  <c r="J443" i="7"/>
  <c r="K443" i="7"/>
  <c r="L443" i="7"/>
  <c r="M443" i="7"/>
  <c r="W443" i="7"/>
  <c r="D444" i="7"/>
  <c r="E444" i="7"/>
  <c r="H444" i="7"/>
  <c r="I444" i="7"/>
  <c r="J444" i="7"/>
  <c r="K444" i="7"/>
  <c r="L444" i="7"/>
  <c r="M444" i="7"/>
  <c r="W444" i="7"/>
  <c r="D445" i="7"/>
  <c r="E445" i="7"/>
  <c r="H445" i="7"/>
  <c r="I445" i="7"/>
  <c r="J445" i="7"/>
  <c r="K445" i="7"/>
  <c r="L445" i="7"/>
  <c r="M445" i="7"/>
  <c r="W445" i="7"/>
  <c r="D446" i="7"/>
  <c r="E446" i="7"/>
  <c r="H446" i="7"/>
  <c r="I446" i="7"/>
  <c r="J446" i="7"/>
  <c r="K446" i="7"/>
  <c r="L446" i="7"/>
  <c r="M446" i="7"/>
  <c r="W446" i="7"/>
  <c r="D447" i="7"/>
  <c r="E447" i="7"/>
  <c r="H447" i="7"/>
  <c r="I447" i="7"/>
  <c r="J447" i="7"/>
  <c r="K447" i="7"/>
  <c r="L447" i="7"/>
  <c r="M447" i="7"/>
  <c r="W447" i="7"/>
  <c r="D448" i="7"/>
  <c r="E448" i="7"/>
  <c r="H448" i="7"/>
  <c r="I448" i="7"/>
  <c r="J448" i="7"/>
  <c r="K448" i="7"/>
  <c r="L448" i="7"/>
  <c r="M448" i="7"/>
  <c r="W448" i="7"/>
  <c r="D449" i="7"/>
  <c r="E449" i="7"/>
  <c r="H449" i="7"/>
  <c r="I449" i="7"/>
  <c r="J449" i="7"/>
  <c r="K449" i="7"/>
  <c r="L449" i="7"/>
  <c r="M449" i="7"/>
  <c r="W449" i="7"/>
  <c r="D450" i="7"/>
  <c r="E450" i="7"/>
  <c r="H450" i="7"/>
  <c r="I450" i="7"/>
  <c r="J450" i="7"/>
  <c r="K450" i="7"/>
  <c r="L450" i="7"/>
  <c r="M450" i="7"/>
  <c r="W450" i="7"/>
  <c r="D451" i="7"/>
  <c r="E451" i="7"/>
  <c r="H451" i="7"/>
  <c r="I451" i="7"/>
  <c r="J451" i="7"/>
  <c r="K451" i="7"/>
  <c r="L451" i="7"/>
  <c r="M451" i="7"/>
  <c r="W451" i="7"/>
  <c r="D452" i="7"/>
  <c r="E452" i="7"/>
  <c r="H452" i="7"/>
  <c r="I452" i="7"/>
  <c r="J452" i="7"/>
  <c r="K452" i="7"/>
  <c r="L452" i="7"/>
  <c r="M452" i="7"/>
  <c r="W452" i="7"/>
  <c r="D453" i="7"/>
  <c r="E453" i="7"/>
  <c r="H453" i="7"/>
  <c r="I453" i="7"/>
  <c r="J453" i="7"/>
  <c r="K453" i="7"/>
  <c r="L453" i="7"/>
  <c r="M453" i="7"/>
  <c r="W453" i="7"/>
  <c r="D454" i="7"/>
  <c r="E454" i="7"/>
  <c r="H454" i="7"/>
  <c r="I454" i="7"/>
  <c r="J454" i="7"/>
  <c r="K454" i="7"/>
  <c r="L454" i="7"/>
  <c r="M454" i="7"/>
  <c r="W454" i="7"/>
  <c r="D455" i="7"/>
  <c r="E455" i="7"/>
  <c r="H455" i="7"/>
  <c r="I455" i="7"/>
  <c r="J455" i="7"/>
  <c r="K455" i="7"/>
  <c r="L455" i="7"/>
  <c r="M455" i="7"/>
  <c r="W455" i="7"/>
  <c r="D456" i="7"/>
  <c r="E456" i="7"/>
  <c r="H456" i="7"/>
  <c r="I456" i="7"/>
  <c r="J456" i="7"/>
  <c r="K456" i="7"/>
  <c r="L456" i="7"/>
  <c r="M456" i="7"/>
  <c r="W456" i="7"/>
  <c r="D457" i="7"/>
  <c r="E457" i="7"/>
  <c r="H457" i="7"/>
  <c r="I457" i="7"/>
  <c r="J457" i="7"/>
  <c r="K457" i="7"/>
  <c r="L457" i="7"/>
  <c r="M457" i="7"/>
  <c r="W457" i="7"/>
  <c r="D458" i="7"/>
  <c r="E458" i="7"/>
  <c r="H458" i="7"/>
  <c r="I458" i="7"/>
  <c r="J458" i="7"/>
  <c r="K458" i="7"/>
  <c r="L458" i="7"/>
  <c r="M458" i="7"/>
  <c r="W458" i="7"/>
  <c r="D459" i="7"/>
  <c r="E459" i="7"/>
  <c r="H459" i="7"/>
  <c r="I459" i="7"/>
  <c r="J459" i="7"/>
  <c r="K459" i="7"/>
  <c r="L459" i="7"/>
  <c r="M459" i="7"/>
  <c r="W459" i="7"/>
  <c r="D460" i="7"/>
  <c r="E460" i="7"/>
  <c r="H460" i="7"/>
  <c r="I460" i="7"/>
  <c r="J460" i="7"/>
  <c r="K460" i="7"/>
  <c r="L460" i="7"/>
  <c r="M460" i="7"/>
  <c r="W460" i="7"/>
  <c r="D461" i="7"/>
  <c r="E461" i="7"/>
  <c r="H461" i="7"/>
  <c r="I461" i="7"/>
  <c r="J461" i="7"/>
  <c r="K461" i="7"/>
  <c r="L461" i="7"/>
  <c r="M461" i="7"/>
  <c r="W461" i="7"/>
  <c r="D462" i="7"/>
  <c r="E462" i="7"/>
  <c r="H462" i="7"/>
  <c r="I462" i="7"/>
  <c r="J462" i="7"/>
  <c r="K462" i="7"/>
  <c r="L462" i="7"/>
  <c r="M462" i="7"/>
  <c r="W462" i="7"/>
  <c r="D463" i="7"/>
  <c r="E463" i="7"/>
  <c r="H463" i="7"/>
  <c r="I463" i="7"/>
  <c r="J463" i="7"/>
  <c r="K463" i="7"/>
  <c r="L463" i="7"/>
  <c r="M463" i="7"/>
  <c r="W463" i="7"/>
  <c r="D464" i="7"/>
  <c r="E464" i="7"/>
  <c r="H464" i="7"/>
  <c r="I464" i="7"/>
  <c r="J464" i="7"/>
  <c r="K464" i="7"/>
  <c r="L464" i="7"/>
  <c r="M464" i="7"/>
  <c r="W464" i="7"/>
  <c r="D465" i="7"/>
  <c r="E465" i="7"/>
  <c r="H465" i="7"/>
  <c r="I465" i="7"/>
  <c r="J465" i="7"/>
  <c r="K465" i="7"/>
  <c r="L465" i="7"/>
  <c r="M465" i="7"/>
  <c r="W465" i="7"/>
  <c r="D466" i="7"/>
  <c r="E466" i="7"/>
  <c r="H466" i="7"/>
  <c r="I466" i="7"/>
  <c r="J466" i="7"/>
  <c r="K466" i="7"/>
  <c r="L466" i="7"/>
  <c r="M466" i="7"/>
  <c r="W466" i="7"/>
  <c r="D467" i="7"/>
  <c r="E467" i="7"/>
  <c r="H467" i="7"/>
  <c r="I467" i="7"/>
  <c r="J467" i="7"/>
  <c r="K467" i="7"/>
  <c r="L467" i="7"/>
  <c r="M467" i="7"/>
  <c r="W467" i="7"/>
  <c r="D468" i="7"/>
  <c r="E468" i="7"/>
  <c r="H468" i="7"/>
  <c r="I468" i="7"/>
  <c r="J468" i="7"/>
  <c r="K468" i="7"/>
  <c r="L468" i="7"/>
  <c r="M468" i="7"/>
  <c r="W468" i="7"/>
  <c r="D469" i="7"/>
  <c r="E469" i="7"/>
  <c r="H469" i="7"/>
  <c r="I469" i="7"/>
  <c r="J469" i="7"/>
  <c r="K469" i="7"/>
  <c r="L469" i="7"/>
  <c r="M469" i="7"/>
  <c r="W469" i="7"/>
  <c r="D470" i="7"/>
  <c r="E470" i="7"/>
  <c r="H470" i="7"/>
  <c r="I470" i="7"/>
  <c r="J470" i="7"/>
  <c r="K470" i="7"/>
  <c r="L470" i="7"/>
  <c r="M470" i="7"/>
  <c r="W470" i="7"/>
  <c r="D471" i="7"/>
  <c r="E471" i="7"/>
  <c r="H471" i="7"/>
  <c r="I471" i="7"/>
  <c r="J471" i="7"/>
  <c r="K471" i="7"/>
  <c r="L471" i="7"/>
  <c r="M471" i="7"/>
  <c r="W471" i="7"/>
  <c r="D472" i="7"/>
  <c r="E472" i="7"/>
  <c r="H472" i="7"/>
  <c r="I472" i="7"/>
  <c r="J472" i="7"/>
  <c r="K472" i="7"/>
  <c r="L472" i="7"/>
  <c r="M472" i="7"/>
  <c r="W472" i="7"/>
  <c r="D473" i="7"/>
  <c r="E473" i="7"/>
  <c r="H473" i="7"/>
  <c r="I473" i="7"/>
  <c r="J473" i="7"/>
  <c r="K473" i="7"/>
  <c r="L473" i="7"/>
  <c r="M473" i="7"/>
  <c r="W473" i="7"/>
  <c r="D474" i="7"/>
  <c r="E474" i="7"/>
  <c r="H474" i="7"/>
  <c r="I474" i="7"/>
  <c r="J474" i="7"/>
  <c r="K474" i="7"/>
  <c r="L474" i="7"/>
  <c r="M474" i="7"/>
  <c r="W474" i="7"/>
  <c r="D475" i="7"/>
  <c r="E475" i="7"/>
  <c r="H475" i="7"/>
  <c r="I475" i="7"/>
  <c r="J475" i="7"/>
  <c r="K475" i="7"/>
  <c r="L475" i="7"/>
  <c r="M475" i="7"/>
  <c r="W475" i="7"/>
  <c r="D476" i="7"/>
  <c r="E476" i="7"/>
  <c r="H476" i="7"/>
  <c r="I476" i="7"/>
  <c r="J476" i="7"/>
  <c r="K476" i="7"/>
  <c r="L476" i="7"/>
  <c r="M476" i="7"/>
  <c r="W476" i="7"/>
  <c r="D477" i="7"/>
  <c r="E477" i="7"/>
  <c r="H477" i="7"/>
  <c r="I477" i="7"/>
  <c r="J477" i="7"/>
  <c r="K477" i="7"/>
  <c r="L477" i="7"/>
  <c r="M477" i="7"/>
  <c r="W477" i="7"/>
  <c r="D478" i="7"/>
  <c r="E478" i="7"/>
  <c r="H478" i="7"/>
  <c r="I478" i="7"/>
  <c r="J478" i="7"/>
  <c r="K478" i="7"/>
  <c r="L478" i="7"/>
  <c r="M478" i="7"/>
  <c r="W478" i="7"/>
  <c r="D479" i="7"/>
  <c r="E479" i="7"/>
  <c r="H479" i="7"/>
  <c r="I479" i="7"/>
  <c r="J479" i="7"/>
  <c r="K479" i="7"/>
  <c r="L479" i="7"/>
  <c r="M479" i="7"/>
  <c r="W479" i="7"/>
  <c r="D480" i="7"/>
  <c r="E480" i="7"/>
  <c r="H480" i="7"/>
  <c r="I480" i="7"/>
  <c r="J480" i="7"/>
  <c r="K480" i="7"/>
  <c r="L480" i="7"/>
  <c r="M480" i="7"/>
  <c r="W480" i="7"/>
  <c r="D481" i="7"/>
  <c r="E481" i="7"/>
  <c r="H481" i="7"/>
  <c r="I481" i="7"/>
  <c r="J481" i="7"/>
  <c r="K481" i="7"/>
  <c r="L481" i="7"/>
  <c r="M481" i="7"/>
  <c r="W481" i="7"/>
  <c r="D482" i="7"/>
  <c r="E482" i="7"/>
  <c r="H482" i="7"/>
  <c r="I482" i="7"/>
  <c r="J482" i="7"/>
  <c r="K482" i="7"/>
  <c r="L482" i="7"/>
  <c r="M482" i="7"/>
  <c r="W482" i="7"/>
  <c r="D483" i="7"/>
  <c r="E483" i="7"/>
  <c r="H483" i="7"/>
  <c r="I483" i="7"/>
  <c r="J483" i="7"/>
  <c r="K483" i="7"/>
  <c r="L483" i="7"/>
  <c r="M483" i="7"/>
  <c r="W483" i="7"/>
  <c r="D484" i="7"/>
  <c r="E484" i="7"/>
  <c r="H484" i="7"/>
  <c r="I484" i="7"/>
  <c r="J484" i="7"/>
  <c r="K484" i="7"/>
  <c r="L484" i="7"/>
  <c r="M484" i="7"/>
  <c r="W484" i="7"/>
  <c r="D485" i="7"/>
  <c r="E485" i="7"/>
  <c r="H485" i="7"/>
  <c r="I485" i="7"/>
  <c r="J485" i="7"/>
  <c r="K485" i="7"/>
  <c r="L485" i="7"/>
  <c r="M485" i="7"/>
  <c r="W485" i="7"/>
  <c r="D486" i="7"/>
  <c r="E486" i="7"/>
  <c r="H486" i="7"/>
  <c r="I486" i="7"/>
  <c r="J486" i="7"/>
  <c r="K486" i="7"/>
  <c r="L486" i="7"/>
  <c r="M486" i="7"/>
  <c r="W486" i="7"/>
  <c r="D487" i="7"/>
  <c r="E487" i="7"/>
  <c r="H487" i="7"/>
  <c r="I487" i="7"/>
  <c r="J487" i="7"/>
  <c r="K487" i="7"/>
  <c r="L487" i="7"/>
  <c r="M487" i="7"/>
  <c r="W487" i="7"/>
  <c r="D488" i="7"/>
  <c r="E488" i="7"/>
  <c r="H488" i="7"/>
  <c r="I488" i="7"/>
  <c r="J488" i="7"/>
  <c r="K488" i="7"/>
  <c r="L488" i="7"/>
  <c r="M488" i="7"/>
  <c r="W488" i="7"/>
  <c r="D489" i="7"/>
  <c r="E489" i="7"/>
  <c r="H489" i="7"/>
  <c r="I489" i="7"/>
  <c r="J489" i="7"/>
  <c r="K489" i="7"/>
  <c r="L489" i="7"/>
  <c r="M489" i="7"/>
  <c r="W489" i="7"/>
  <c r="D490" i="7"/>
  <c r="E490" i="7"/>
  <c r="H490" i="7"/>
  <c r="I490" i="7"/>
  <c r="J490" i="7"/>
  <c r="K490" i="7"/>
  <c r="L490" i="7"/>
  <c r="M490" i="7"/>
  <c r="W490" i="7"/>
  <c r="D491" i="7"/>
  <c r="E491" i="7"/>
  <c r="H491" i="7"/>
  <c r="I491" i="7"/>
  <c r="J491" i="7"/>
  <c r="K491" i="7"/>
  <c r="L491" i="7"/>
  <c r="M491" i="7"/>
  <c r="W491" i="7"/>
  <c r="D492" i="7"/>
  <c r="E492" i="7"/>
  <c r="H492" i="7"/>
  <c r="I492" i="7"/>
  <c r="J492" i="7"/>
  <c r="K492" i="7"/>
  <c r="L492" i="7"/>
  <c r="M492" i="7"/>
  <c r="W492" i="7"/>
  <c r="D493" i="7"/>
  <c r="E493" i="7"/>
  <c r="H493" i="7"/>
  <c r="I493" i="7"/>
  <c r="J493" i="7"/>
  <c r="K493" i="7"/>
  <c r="L493" i="7"/>
  <c r="M493" i="7"/>
  <c r="W493" i="7"/>
  <c r="D494" i="7"/>
  <c r="E494" i="7"/>
  <c r="H494" i="7"/>
  <c r="I494" i="7"/>
  <c r="J494" i="7"/>
  <c r="K494" i="7"/>
  <c r="L494" i="7"/>
  <c r="M494" i="7"/>
  <c r="W494" i="7"/>
  <c r="D495" i="7"/>
  <c r="E495" i="7"/>
  <c r="H495" i="7"/>
  <c r="I495" i="7"/>
  <c r="J495" i="7"/>
  <c r="K495" i="7"/>
  <c r="L495" i="7"/>
  <c r="M495" i="7"/>
  <c r="W495" i="7"/>
  <c r="D496" i="7"/>
  <c r="E496" i="7"/>
  <c r="H496" i="7"/>
  <c r="I496" i="7"/>
  <c r="J496" i="7"/>
  <c r="K496" i="7"/>
  <c r="L496" i="7"/>
  <c r="M496" i="7"/>
  <c r="W496" i="7"/>
  <c r="D497" i="7"/>
  <c r="E497" i="7"/>
  <c r="H497" i="7"/>
  <c r="I497" i="7"/>
  <c r="J497" i="7"/>
  <c r="K497" i="7"/>
  <c r="L497" i="7"/>
  <c r="M497" i="7"/>
  <c r="W497" i="7"/>
  <c r="D498" i="7"/>
  <c r="E498" i="7"/>
  <c r="H498" i="7"/>
  <c r="I498" i="7"/>
  <c r="J498" i="7"/>
  <c r="K498" i="7"/>
  <c r="L498" i="7"/>
  <c r="M498" i="7"/>
  <c r="W498" i="7"/>
  <c r="D499" i="7"/>
  <c r="E499" i="7"/>
  <c r="H499" i="7"/>
  <c r="I499" i="7"/>
  <c r="J499" i="7"/>
  <c r="K499" i="7"/>
  <c r="L499" i="7"/>
  <c r="M499" i="7"/>
  <c r="W499" i="7"/>
  <c r="D500" i="7"/>
  <c r="E500" i="7"/>
  <c r="H500" i="7"/>
  <c r="I500" i="7"/>
  <c r="J500" i="7"/>
  <c r="K500" i="7"/>
  <c r="L500" i="7"/>
  <c r="M500" i="7"/>
  <c r="W500" i="7"/>
  <c r="D501" i="7"/>
  <c r="E501" i="7"/>
  <c r="H501" i="7"/>
  <c r="I501" i="7"/>
  <c r="J501" i="7"/>
  <c r="K501" i="7"/>
  <c r="L501" i="7"/>
  <c r="M501" i="7"/>
  <c r="W501" i="7"/>
  <c r="D502" i="7"/>
  <c r="E502" i="7"/>
  <c r="H502" i="7"/>
  <c r="I502" i="7"/>
  <c r="J502" i="7"/>
  <c r="K502" i="7"/>
  <c r="L502" i="7"/>
  <c r="M502" i="7"/>
  <c r="W502" i="7"/>
  <c r="D503" i="7"/>
  <c r="E503" i="7"/>
  <c r="H503" i="7"/>
  <c r="I503" i="7"/>
  <c r="J503" i="7"/>
  <c r="K503" i="7"/>
  <c r="L503" i="7"/>
  <c r="M503" i="7"/>
  <c r="W503" i="7"/>
  <c r="D504" i="7"/>
  <c r="E504" i="7"/>
  <c r="H504" i="7"/>
  <c r="I504" i="7"/>
  <c r="J504" i="7"/>
  <c r="K504" i="7"/>
  <c r="L504" i="7"/>
  <c r="M504" i="7"/>
  <c r="W504" i="7"/>
  <c r="D505" i="7"/>
  <c r="E505" i="7"/>
  <c r="H505" i="7"/>
  <c r="I505" i="7"/>
  <c r="J505" i="7"/>
  <c r="K505" i="7"/>
  <c r="L505" i="7"/>
  <c r="M505" i="7"/>
  <c r="W505" i="7"/>
  <c r="D506" i="7"/>
  <c r="E506" i="7"/>
  <c r="H506" i="7"/>
  <c r="I506" i="7"/>
  <c r="J506" i="7"/>
  <c r="K506" i="7"/>
  <c r="L506" i="7"/>
  <c r="M506" i="7"/>
  <c r="W506" i="7"/>
  <c r="D507" i="7"/>
  <c r="E507" i="7"/>
  <c r="H507" i="7"/>
  <c r="I507" i="7"/>
  <c r="J507" i="7"/>
  <c r="K507" i="7"/>
  <c r="L507" i="7"/>
  <c r="M507" i="7"/>
  <c r="W507" i="7"/>
  <c r="D508" i="7"/>
  <c r="E508" i="7"/>
  <c r="H508" i="7"/>
  <c r="I508" i="7"/>
  <c r="J508" i="7"/>
  <c r="K508" i="7"/>
  <c r="L508" i="7"/>
  <c r="M508" i="7"/>
  <c r="W508" i="7"/>
  <c r="D509" i="7"/>
  <c r="E509" i="7"/>
  <c r="H509" i="7"/>
  <c r="I509" i="7"/>
  <c r="J509" i="7"/>
  <c r="K509" i="7"/>
  <c r="L509" i="7"/>
  <c r="M509" i="7"/>
  <c r="W509" i="7"/>
  <c r="D510" i="7"/>
  <c r="E510" i="7"/>
  <c r="H510" i="7"/>
  <c r="I510" i="7"/>
  <c r="J510" i="7"/>
  <c r="K510" i="7"/>
  <c r="L510" i="7"/>
  <c r="M510" i="7"/>
  <c r="W510" i="7"/>
  <c r="D511" i="7"/>
  <c r="E511" i="7"/>
  <c r="H511" i="7"/>
  <c r="I511" i="7"/>
  <c r="J511" i="7"/>
  <c r="K511" i="7"/>
  <c r="L511" i="7"/>
  <c r="M511" i="7"/>
  <c r="W511" i="7"/>
  <c r="D512" i="7"/>
  <c r="E512" i="7"/>
  <c r="H512" i="7"/>
  <c r="I512" i="7"/>
  <c r="J512" i="7"/>
  <c r="K512" i="7"/>
  <c r="L512" i="7"/>
  <c r="M512" i="7"/>
  <c r="W512" i="7"/>
  <c r="D513" i="7"/>
  <c r="E513" i="7"/>
  <c r="H513" i="7"/>
  <c r="I513" i="7"/>
  <c r="J513" i="7"/>
  <c r="K513" i="7"/>
  <c r="L513" i="7"/>
  <c r="M513" i="7"/>
  <c r="W513" i="7"/>
  <c r="D514" i="7"/>
  <c r="E514" i="7"/>
  <c r="H514" i="7"/>
  <c r="I514" i="7"/>
  <c r="J514" i="7"/>
  <c r="K514" i="7"/>
  <c r="L514" i="7"/>
  <c r="M514" i="7"/>
  <c r="W514" i="7"/>
  <c r="D515" i="7"/>
  <c r="E515" i="7"/>
  <c r="H515" i="7"/>
  <c r="I515" i="7"/>
  <c r="J515" i="7"/>
  <c r="K515" i="7"/>
  <c r="L515" i="7"/>
  <c r="M515" i="7"/>
  <c r="W515" i="7"/>
  <c r="D516" i="7"/>
  <c r="E516" i="7"/>
  <c r="H516" i="7"/>
  <c r="I516" i="7"/>
  <c r="J516" i="7"/>
  <c r="K516" i="7"/>
  <c r="L516" i="7"/>
  <c r="M516" i="7"/>
  <c r="W516" i="7"/>
  <c r="D517" i="7"/>
  <c r="E517" i="7"/>
  <c r="H517" i="7"/>
  <c r="I517" i="7"/>
  <c r="J517" i="7"/>
  <c r="K517" i="7"/>
  <c r="L517" i="7"/>
  <c r="M517" i="7"/>
  <c r="W517" i="7"/>
  <c r="D518" i="7"/>
  <c r="E518" i="7"/>
  <c r="H518" i="7"/>
  <c r="I518" i="7"/>
  <c r="J518" i="7"/>
  <c r="K518" i="7"/>
  <c r="L518" i="7"/>
  <c r="M518" i="7"/>
  <c r="W518" i="7"/>
  <c r="D519" i="7"/>
  <c r="E519" i="7"/>
  <c r="H519" i="7"/>
  <c r="I519" i="7"/>
  <c r="J519" i="7"/>
  <c r="K519" i="7"/>
  <c r="L519" i="7"/>
  <c r="M519" i="7"/>
  <c r="W519" i="7"/>
  <c r="D520" i="7"/>
  <c r="E520" i="7"/>
  <c r="H520" i="7"/>
  <c r="I520" i="7"/>
  <c r="J520" i="7"/>
  <c r="K520" i="7"/>
  <c r="L520" i="7"/>
  <c r="M520" i="7"/>
  <c r="W520" i="7"/>
  <c r="D521" i="7"/>
  <c r="E521" i="7"/>
  <c r="H521" i="7"/>
  <c r="I521" i="7"/>
  <c r="J521" i="7"/>
  <c r="K521" i="7"/>
  <c r="L521" i="7"/>
  <c r="M521" i="7"/>
  <c r="W521" i="7"/>
  <c r="D522" i="7"/>
  <c r="E522" i="7"/>
  <c r="H522" i="7"/>
  <c r="I522" i="7"/>
  <c r="J522" i="7"/>
  <c r="K522" i="7"/>
  <c r="L522" i="7"/>
  <c r="M522" i="7"/>
  <c r="W522" i="7"/>
  <c r="D523" i="7"/>
  <c r="E523" i="7"/>
  <c r="H523" i="7"/>
  <c r="I523" i="7"/>
  <c r="J523" i="7"/>
  <c r="K523" i="7"/>
  <c r="L523" i="7"/>
  <c r="M523" i="7"/>
  <c r="W523" i="7"/>
  <c r="D524" i="7"/>
  <c r="E524" i="7"/>
  <c r="H524" i="7"/>
  <c r="I524" i="7"/>
  <c r="J524" i="7"/>
  <c r="K524" i="7"/>
  <c r="L524" i="7"/>
  <c r="M524" i="7"/>
  <c r="W524" i="7"/>
  <c r="D525" i="7"/>
  <c r="E525" i="7"/>
  <c r="H525" i="7"/>
  <c r="I525" i="7"/>
  <c r="J525" i="7"/>
  <c r="K525" i="7"/>
  <c r="L525" i="7"/>
  <c r="M525" i="7"/>
  <c r="W525" i="7"/>
  <c r="D526" i="7"/>
  <c r="E526" i="7"/>
  <c r="H526" i="7"/>
  <c r="I526" i="7"/>
  <c r="J526" i="7"/>
  <c r="K526" i="7"/>
  <c r="L526" i="7"/>
  <c r="M526" i="7"/>
  <c r="W526" i="7"/>
  <c r="D527" i="7"/>
  <c r="E527" i="7"/>
  <c r="H527" i="7"/>
  <c r="I527" i="7"/>
  <c r="J527" i="7"/>
  <c r="K527" i="7"/>
  <c r="L527" i="7"/>
  <c r="M527" i="7"/>
  <c r="N527" i="7"/>
  <c r="W527" i="7"/>
  <c r="D528" i="7"/>
  <c r="E528" i="7"/>
  <c r="H528" i="7"/>
  <c r="I528" i="7"/>
  <c r="J528" i="7"/>
  <c r="K528" i="7"/>
  <c r="L528" i="7"/>
  <c r="M528" i="7"/>
  <c r="W528" i="7"/>
  <c r="D529" i="7"/>
  <c r="E529" i="7"/>
  <c r="H529" i="7"/>
  <c r="I529" i="7"/>
  <c r="J529" i="7"/>
  <c r="K529" i="7"/>
  <c r="L529" i="7"/>
  <c r="M529" i="7"/>
  <c r="W529" i="7"/>
  <c r="D530" i="7"/>
  <c r="E530" i="7"/>
  <c r="H530" i="7"/>
  <c r="I530" i="7"/>
  <c r="J530" i="7"/>
  <c r="K530" i="7"/>
  <c r="L530" i="7"/>
  <c r="M530" i="7"/>
  <c r="W530" i="7"/>
  <c r="D531" i="7"/>
  <c r="E531" i="7"/>
  <c r="H531" i="7"/>
  <c r="I531" i="7"/>
  <c r="J531" i="7"/>
  <c r="K531" i="7"/>
  <c r="L531" i="7"/>
  <c r="M531" i="7"/>
  <c r="W531" i="7"/>
  <c r="D532" i="7"/>
  <c r="E532" i="7"/>
  <c r="H532" i="7"/>
  <c r="I532" i="7"/>
  <c r="J532" i="7"/>
  <c r="K532" i="7"/>
  <c r="L532" i="7"/>
  <c r="M532" i="7"/>
  <c r="W532" i="7"/>
  <c r="D533" i="7"/>
  <c r="E533" i="7"/>
  <c r="H533" i="7"/>
  <c r="I533" i="7"/>
  <c r="J533" i="7"/>
  <c r="K533" i="7"/>
  <c r="L533" i="7"/>
  <c r="M533" i="7"/>
  <c r="W533" i="7"/>
  <c r="D534" i="7"/>
  <c r="E534" i="7"/>
  <c r="H534" i="7"/>
  <c r="I534" i="7"/>
  <c r="J534" i="7"/>
  <c r="K534" i="7"/>
  <c r="L534" i="7"/>
  <c r="M534" i="7"/>
  <c r="W534" i="7"/>
  <c r="D535" i="7"/>
  <c r="E535" i="7"/>
  <c r="H535" i="7"/>
  <c r="I535" i="7"/>
  <c r="J535" i="7"/>
  <c r="K535" i="7"/>
  <c r="L535" i="7"/>
  <c r="M535" i="7"/>
  <c r="W535" i="7"/>
  <c r="D536" i="7"/>
  <c r="E536" i="7"/>
  <c r="H536" i="7"/>
  <c r="I536" i="7"/>
  <c r="J536" i="7"/>
  <c r="K536" i="7"/>
  <c r="L536" i="7"/>
  <c r="M536" i="7"/>
  <c r="W536" i="7"/>
  <c r="D537" i="7"/>
  <c r="E537" i="7"/>
  <c r="H537" i="7"/>
  <c r="I537" i="7"/>
  <c r="J537" i="7"/>
  <c r="K537" i="7"/>
  <c r="L537" i="7"/>
  <c r="M537" i="7"/>
  <c r="W537" i="7"/>
  <c r="D538" i="7"/>
  <c r="E538" i="7"/>
  <c r="H538" i="7"/>
  <c r="I538" i="7"/>
  <c r="J538" i="7"/>
  <c r="K538" i="7"/>
  <c r="L538" i="7"/>
  <c r="M538" i="7"/>
  <c r="W538" i="7"/>
  <c r="D539" i="7"/>
  <c r="E539" i="7"/>
  <c r="H539" i="7"/>
  <c r="I539" i="7"/>
  <c r="J539" i="7"/>
  <c r="K539" i="7"/>
  <c r="L539" i="7"/>
  <c r="M539" i="7"/>
  <c r="W539" i="7"/>
  <c r="D540" i="7"/>
  <c r="E540" i="7"/>
  <c r="H540" i="7"/>
  <c r="I540" i="7"/>
  <c r="J540" i="7"/>
  <c r="K540" i="7"/>
  <c r="L540" i="7"/>
  <c r="M540" i="7"/>
  <c r="O540" i="7"/>
  <c r="W540" i="7"/>
  <c r="D541" i="7"/>
  <c r="E541" i="7"/>
  <c r="H541" i="7"/>
  <c r="I541" i="7"/>
  <c r="J541" i="7"/>
  <c r="K541" i="7"/>
  <c r="L541" i="7"/>
  <c r="M541" i="7"/>
  <c r="W541" i="7"/>
  <c r="D542" i="7"/>
  <c r="E542" i="7"/>
  <c r="H542" i="7"/>
  <c r="I542" i="7"/>
  <c r="J542" i="7"/>
  <c r="K542" i="7"/>
  <c r="L542" i="7"/>
  <c r="M542" i="7"/>
  <c r="W542" i="7"/>
  <c r="D543" i="7"/>
  <c r="E543" i="7"/>
  <c r="H543" i="7"/>
  <c r="I543" i="7"/>
  <c r="J543" i="7"/>
  <c r="K543" i="7"/>
  <c r="L543" i="7"/>
  <c r="M543" i="7"/>
  <c r="W543" i="7"/>
  <c r="D544" i="7"/>
  <c r="E544" i="7"/>
  <c r="H544" i="7"/>
  <c r="I544" i="7"/>
  <c r="J544" i="7"/>
  <c r="K544" i="7"/>
  <c r="L544" i="7"/>
  <c r="M544" i="7"/>
  <c r="W544" i="7"/>
  <c r="D545" i="7"/>
  <c r="E545" i="7"/>
  <c r="H545" i="7"/>
  <c r="I545" i="7"/>
  <c r="J545" i="7"/>
  <c r="K545" i="7"/>
  <c r="L545" i="7"/>
  <c r="M545" i="7"/>
  <c r="W545" i="7"/>
  <c r="D546" i="7"/>
  <c r="E546" i="7"/>
  <c r="H546" i="7"/>
  <c r="I546" i="7"/>
  <c r="J546" i="7"/>
  <c r="K546" i="7"/>
  <c r="L546" i="7"/>
  <c r="M546" i="7"/>
  <c r="W546" i="7"/>
  <c r="D547" i="7"/>
  <c r="E547" i="7"/>
  <c r="H547" i="7"/>
  <c r="I547" i="7"/>
  <c r="J547" i="7"/>
  <c r="K547" i="7"/>
  <c r="L547" i="7"/>
  <c r="M547" i="7"/>
  <c r="W547" i="7"/>
  <c r="D548" i="7"/>
  <c r="E548" i="7"/>
  <c r="H548" i="7"/>
  <c r="I548" i="7"/>
  <c r="J548" i="7"/>
  <c r="K548" i="7"/>
  <c r="L548" i="7"/>
  <c r="M548" i="7"/>
  <c r="W548" i="7"/>
  <c r="D549" i="7"/>
  <c r="E549" i="7"/>
  <c r="H549" i="7"/>
  <c r="I549" i="7"/>
  <c r="J549" i="7"/>
  <c r="K549" i="7"/>
  <c r="L549" i="7"/>
  <c r="M549" i="7"/>
  <c r="W549" i="7"/>
  <c r="D550" i="7"/>
  <c r="E550" i="7"/>
  <c r="H550" i="7"/>
  <c r="I550" i="7"/>
  <c r="J550" i="7"/>
  <c r="K550" i="7"/>
  <c r="L550" i="7"/>
  <c r="M550" i="7"/>
  <c r="W550" i="7"/>
  <c r="D551" i="7"/>
  <c r="E551" i="7"/>
  <c r="H551" i="7"/>
  <c r="I551" i="7"/>
  <c r="J551" i="7"/>
  <c r="K551" i="7"/>
  <c r="L551" i="7"/>
  <c r="M551" i="7"/>
  <c r="W551" i="7"/>
  <c r="D552" i="7"/>
  <c r="E552" i="7"/>
  <c r="H552" i="7"/>
  <c r="I552" i="7"/>
  <c r="J552" i="7"/>
  <c r="K552" i="7"/>
  <c r="L552" i="7"/>
  <c r="M552" i="7"/>
  <c r="W552" i="7"/>
  <c r="D553" i="7"/>
  <c r="E553" i="7"/>
  <c r="H553" i="7"/>
  <c r="I553" i="7"/>
  <c r="J553" i="7"/>
  <c r="K553" i="7"/>
  <c r="L553" i="7"/>
  <c r="M553" i="7"/>
  <c r="W553" i="7"/>
  <c r="D554" i="7"/>
  <c r="E554" i="7"/>
  <c r="H554" i="7"/>
  <c r="I554" i="7"/>
  <c r="J554" i="7"/>
  <c r="K554" i="7"/>
  <c r="L554" i="7"/>
  <c r="M554" i="7"/>
  <c r="W554" i="7"/>
  <c r="D555" i="7"/>
  <c r="E555" i="7"/>
  <c r="H555" i="7"/>
  <c r="I555" i="7"/>
  <c r="J555" i="7"/>
  <c r="K555" i="7"/>
  <c r="L555" i="7"/>
  <c r="M555" i="7"/>
  <c r="W555" i="7"/>
  <c r="D556" i="7"/>
  <c r="E556" i="7"/>
  <c r="H556" i="7"/>
  <c r="I556" i="7"/>
  <c r="J556" i="7"/>
  <c r="K556" i="7"/>
  <c r="L556" i="7"/>
  <c r="M556" i="7"/>
  <c r="W556" i="7"/>
  <c r="D557" i="7"/>
  <c r="E557" i="7"/>
  <c r="H557" i="7"/>
  <c r="I557" i="7"/>
  <c r="J557" i="7"/>
  <c r="K557" i="7"/>
  <c r="L557" i="7"/>
  <c r="M557" i="7"/>
  <c r="W557" i="7"/>
  <c r="D558" i="7"/>
  <c r="E558" i="7"/>
  <c r="H558" i="7"/>
  <c r="I558" i="7"/>
  <c r="J558" i="7"/>
  <c r="K558" i="7"/>
  <c r="L558" i="7"/>
  <c r="M558" i="7"/>
  <c r="W558" i="7"/>
  <c r="D559" i="7"/>
  <c r="E559" i="7"/>
  <c r="H559" i="7"/>
  <c r="I559" i="7"/>
  <c r="J559" i="7"/>
  <c r="K559" i="7"/>
  <c r="L559" i="7"/>
  <c r="M559" i="7"/>
  <c r="W559" i="7"/>
  <c r="D560" i="7"/>
  <c r="E560" i="7"/>
  <c r="H560" i="7"/>
  <c r="I560" i="7"/>
  <c r="J560" i="7"/>
  <c r="K560" i="7"/>
  <c r="L560" i="7"/>
  <c r="M560" i="7"/>
  <c r="W560" i="7"/>
  <c r="D561" i="7"/>
  <c r="E561" i="7"/>
  <c r="H561" i="7"/>
  <c r="I561" i="7"/>
  <c r="J561" i="7"/>
  <c r="K561" i="7"/>
  <c r="L561" i="7"/>
  <c r="M561" i="7"/>
  <c r="W561" i="7"/>
  <c r="D562" i="7"/>
  <c r="E562" i="7"/>
  <c r="H562" i="7"/>
  <c r="I562" i="7"/>
  <c r="J562" i="7"/>
  <c r="K562" i="7"/>
  <c r="L562" i="7"/>
  <c r="M562" i="7"/>
  <c r="W562" i="7"/>
  <c r="D563" i="7"/>
  <c r="E563" i="7"/>
  <c r="H563" i="7"/>
  <c r="I563" i="7"/>
  <c r="J563" i="7"/>
  <c r="K563" i="7"/>
  <c r="L563" i="7"/>
  <c r="M563" i="7"/>
  <c r="W563" i="7"/>
  <c r="D564" i="7"/>
  <c r="E564" i="7"/>
  <c r="H564" i="7"/>
  <c r="I564" i="7"/>
  <c r="J564" i="7"/>
  <c r="K564" i="7"/>
  <c r="L564" i="7"/>
  <c r="M564" i="7"/>
  <c r="W564" i="7"/>
  <c r="D565" i="7"/>
  <c r="E565" i="7"/>
  <c r="H565" i="7"/>
  <c r="I565" i="7"/>
  <c r="J565" i="7"/>
  <c r="K565" i="7"/>
  <c r="L565" i="7"/>
  <c r="M565" i="7"/>
  <c r="W565" i="7"/>
  <c r="D566" i="7"/>
  <c r="E566" i="7"/>
  <c r="H566" i="7"/>
  <c r="I566" i="7"/>
  <c r="J566" i="7"/>
  <c r="K566" i="7"/>
  <c r="L566" i="7"/>
  <c r="M566" i="7"/>
  <c r="W566" i="7"/>
  <c r="D567" i="7"/>
  <c r="E567" i="7"/>
  <c r="H567" i="7"/>
  <c r="I567" i="7"/>
  <c r="J567" i="7"/>
  <c r="K567" i="7"/>
  <c r="L567" i="7"/>
  <c r="M567" i="7"/>
  <c r="W567" i="7"/>
  <c r="D568" i="7"/>
  <c r="E568" i="7"/>
  <c r="H568" i="7"/>
  <c r="I568" i="7"/>
  <c r="J568" i="7"/>
  <c r="K568" i="7"/>
  <c r="L568" i="7"/>
  <c r="M568" i="7"/>
  <c r="W568" i="7"/>
  <c r="D569" i="7"/>
  <c r="E569" i="7"/>
  <c r="H569" i="7"/>
  <c r="I569" i="7"/>
  <c r="J569" i="7"/>
  <c r="K569" i="7"/>
  <c r="L569" i="7"/>
  <c r="M569" i="7"/>
  <c r="W569" i="7"/>
  <c r="D570" i="7"/>
  <c r="E570" i="7"/>
  <c r="H570" i="7"/>
  <c r="I570" i="7"/>
  <c r="J570" i="7"/>
  <c r="K570" i="7"/>
  <c r="L570" i="7"/>
  <c r="M570" i="7"/>
  <c r="W570" i="7"/>
  <c r="D571" i="7"/>
  <c r="E571" i="7"/>
  <c r="H571" i="7"/>
  <c r="I571" i="7"/>
  <c r="J571" i="7"/>
  <c r="K571" i="7"/>
  <c r="L571" i="7"/>
  <c r="M571" i="7"/>
  <c r="W571" i="7"/>
  <c r="D572" i="7"/>
  <c r="E572" i="7"/>
  <c r="H572" i="7"/>
  <c r="I572" i="7"/>
  <c r="J572" i="7"/>
  <c r="K572" i="7"/>
  <c r="L572" i="7"/>
  <c r="M572" i="7"/>
  <c r="W572" i="7"/>
  <c r="D573" i="7"/>
  <c r="E573" i="7"/>
  <c r="H573" i="7"/>
  <c r="I573" i="7"/>
  <c r="J573" i="7"/>
  <c r="K573" i="7"/>
  <c r="L573" i="7"/>
  <c r="M573" i="7"/>
  <c r="W573" i="7"/>
  <c r="D574" i="7"/>
  <c r="E574" i="7"/>
  <c r="H574" i="7"/>
  <c r="I574" i="7"/>
  <c r="J574" i="7"/>
  <c r="K574" i="7"/>
  <c r="L574" i="7"/>
  <c r="M574" i="7"/>
  <c r="W574" i="7"/>
  <c r="D575" i="7"/>
  <c r="E575" i="7"/>
  <c r="H575" i="7"/>
  <c r="I575" i="7"/>
  <c r="J575" i="7"/>
  <c r="K575" i="7"/>
  <c r="L575" i="7"/>
  <c r="M575" i="7"/>
  <c r="W575" i="7"/>
  <c r="D576" i="7"/>
  <c r="E576" i="7"/>
  <c r="H576" i="7"/>
  <c r="I576" i="7"/>
  <c r="J576" i="7"/>
  <c r="K576" i="7"/>
  <c r="L576" i="7"/>
  <c r="M576" i="7"/>
  <c r="W576" i="7"/>
  <c r="D577" i="7"/>
  <c r="E577" i="7"/>
  <c r="H577" i="7"/>
  <c r="I577" i="7"/>
  <c r="J577" i="7"/>
  <c r="K577" i="7"/>
  <c r="L577" i="7"/>
  <c r="M577" i="7"/>
  <c r="W577" i="7"/>
  <c r="D578" i="7"/>
  <c r="E578" i="7"/>
  <c r="H578" i="7"/>
  <c r="I578" i="7"/>
  <c r="J578" i="7"/>
  <c r="K578" i="7"/>
  <c r="L578" i="7"/>
  <c r="M578" i="7"/>
  <c r="W578" i="7"/>
  <c r="D579" i="7"/>
  <c r="E579" i="7"/>
  <c r="H579" i="7"/>
  <c r="I579" i="7"/>
  <c r="J579" i="7"/>
  <c r="K579" i="7"/>
  <c r="L579" i="7"/>
  <c r="M579" i="7"/>
  <c r="W579" i="7"/>
  <c r="D580" i="7"/>
  <c r="E580" i="7"/>
  <c r="H580" i="7"/>
  <c r="I580" i="7"/>
  <c r="J580" i="7"/>
  <c r="K580" i="7"/>
  <c r="L580" i="7"/>
  <c r="M580" i="7"/>
  <c r="W580" i="7"/>
  <c r="D581" i="7"/>
  <c r="E581" i="7"/>
  <c r="H581" i="7"/>
  <c r="I581" i="7"/>
  <c r="J581" i="7"/>
  <c r="K581" i="7"/>
  <c r="L581" i="7"/>
  <c r="M581" i="7"/>
  <c r="W581" i="7"/>
  <c r="D582" i="7"/>
  <c r="E582" i="7"/>
  <c r="H582" i="7"/>
  <c r="I582" i="7"/>
  <c r="J582" i="7"/>
  <c r="K582" i="7"/>
  <c r="L582" i="7"/>
  <c r="M582" i="7"/>
  <c r="W582" i="7"/>
  <c r="D583" i="7"/>
  <c r="E583" i="7"/>
  <c r="H583" i="7"/>
  <c r="I583" i="7"/>
  <c r="J583" i="7"/>
  <c r="K583" i="7"/>
  <c r="L583" i="7"/>
  <c r="M583" i="7"/>
  <c r="W583" i="7"/>
  <c r="D584" i="7"/>
  <c r="E584" i="7"/>
  <c r="H584" i="7"/>
  <c r="I584" i="7"/>
  <c r="J584" i="7"/>
  <c r="K584" i="7"/>
  <c r="L584" i="7"/>
  <c r="M584" i="7"/>
  <c r="W584" i="7"/>
  <c r="D585" i="7"/>
  <c r="E585" i="7"/>
  <c r="H585" i="7"/>
  <c r="I585" i="7"/>
  <c r="J585" i="7"/>
  <c r="K585" i="7"/>
  <c r="L585" i="7"/>
  <c r="M585" i="7"/>
  <c r="W585" i="7"/>
  <c r="D586" i="7"/>
  <c r="E586" i="7"/>
  <c r="H586" i="7"/>
  <c r="I586" i="7"/>
  <c r="J586" i="7"/>
  <c r="K586" i="7"/>
  <c r="L586" i="7"/>
  <c r="M586" i="7"/>
  <c r="W586" i="7"/>
  <c r="D587" i="7"/>
  <c r="E587" i="7"/>
  <c r="H587" i="7"/>
  <c r="I587" i="7"/>
  <c r="J587" i="7"/>
  <c r="K587" i="7"/>
  <c r="L587" i="7"/>
  <c r="M587" i="7"/>
  <c r="W587" i="7"/>
  <c r="D588" i="7"/>
  <c r="E588" i="7"/>
  <c r="H588" i="7"/>
  <c r="I588" i="7"/>
  <c r="J588" i="7"/>
  <c r="K588" i="7"/>
  <c r="L588" i="7"/>
  <c r="M588" i="7"/>
  <c r="W588" i="7"/>
  <c r="D589" i="7"/>
  <c r="E589" i="7"/>
  <c r="H589" i="7"/>
  <c r="I589" i="7"/>
  <c r="J589" i="7"/>
  <c r="K589" i="7"/>
  <c r="L589" i="7"/>
  <c r="M589" i="7"/>
  <c r="W589" i="7"/>
  <c r="D590" i="7"/>
  <c r="E590" i="7"/>
  <c r="H590" i="7"/>
  <c r="I590" i="7"/>
  <c r="J590" i="7"/>
  <c r="K590" i="7"/>
  <c r="L590" i="7"/>
  <c r="M590" i="7"/>
  <c r="W590" i="7"/>
  <c r="D591" i="7"/>
  <c r="E591" i="7"/>
  <c r="H591" i="7"/>
  <c r="I591" i="7"/>
  <c r="J591" i="7"/>
  <c r="K591" i="7"/>
  <c r="L591" i="7"/>
  <c r="M591" i="7"/>
  <c r="W591" i="7"/>
  <c r="D592" i="7"/>
  <c r="E592" i="7"/>
  <c r="H592" i="7"/>
  <c r="I592" i="7"/>
  <c r="J592" i="7"/>
  <c r="K592" i="7"/>
  <c r="L592" i="7"/>
  <c r="M592" i="7"/>
  <c r="W592" i="7"/>
  <c r="D593" i="7"/>
  <c r="E593" i="7"/>
  <c r="H593" i="7"/>
  <c r="I593" i="7"/>
  <c r="J593" i="7"/>
  <c r="K593" i="7"/>
  <c r="L593" i="7"/>
  <c r="M593" i="7"/>
  <c r="W593" i="7"/>
  <c r="D594" i="7"/>
  <c r="E594" i="7"/>
  <c r="H594" i="7"/>
  <c r="I594" i="7"/>
  <c r="J594" i="7"/>
  <c r="K594" i="7"/>
  <c r="L594" i="7"/>
  <c r="M594" i="7"/>
  <c r="W594" i="7"/>
  <c r="D595" i="7"/>
  <c r="E595" i="7"/>
  <c r="H595" i="7"/>
  <c r="I595" i="7"/>
  <c r="J595" i="7"/>
  <c r="K595" i="7"/>
  <c r="L595" i="7"/>
  <c r="M595" i="7"/>
  <c r="W595" i="7"/>
  <c r="D596" i="7"/>
  <c r="E596" i="7"/>
  <c r="H596" i="7"/>
  <c r="I596" i="7"/>
  <c r="J596" i="7"/>
  <c r="K596" i="7"/>
  <c r="L596" i="7"/>
  <c r="M596" i="7"/>
  <c r="W596" i="7"/>
  <c r="D597" i="7"/>
  <c r="E597" i="7"/>
  <c r="H597" i="7"/>
  <c r="I597" i="7"/>
  <c r="J597" i="7"/>
  <c r="K597" i="7"/>
  <c r="L597" i="7"/>
  <c r="M597" i="7"/>
  <c r="W597" i="7"/>
  <c r="D598" i="7"/>
  <c r="E598" i="7"/>
  <c r="H598" i="7"/>
  <c r="I598" i="7"/>
  <c r="J598" i="7"/>
  <c r="K598" i="7"/>
  <c r="L598" i="7"/>
  <c r="M598" i="7"/>
  <c r="W598" i="7"/>
  <c r="D599" i="7"/>
  <c r="E599" i="7"/>
  <c r="H599" i="7"/>
  <c r="I599" i="7"/>
  <c r="J599" i="7"/>
  <c r="K599" i="7"/>
  <c r="L599" i="7"/>
  <c r="M599" i="7"/>
  <c r="N599" i="7"/>
  <c r="W599" i="7"/>
  <c r="D600" i="7"/>
  <c r="E600" i="7"/>
  <c r="H600" i="7"/>
  <c r="I600" i="7"/>
  <c r="J600" i="7"/>
  <c r="K600" i="7"/>
  <c r="L600" i="7"/>
  <c r="M600" i="7"/>
  <c r="W600" i="7"/>
  <c r="D601" i="7"/>
  <c r="E601" i="7"/>
  <c r="H601" i="7"/>
  <c r="I601" i="7"/>
  <c r="J601" i="7"/>
  <c r="K601" i="7"/>
  <c r="L601" i="7"/>
  <c r="M601" i="7"/>
  <c r="W601" i="7"/>
  <c r="D602" i="7"/>
  <c r="E602" i="7"/>
  <c r="H602" i="7"/>
  <c r="I602" i="7"/>
  <c r="J602" i="7"/>
  <c r="K602" i="7"/>
  <c r="L602" i="7"/>
  <c r="M602" i="7"/>
  <c r="W602" i="7"/>
  <c r="D603" i="7"/>
  <c r="E603" i="7"/>
  <c r="H603" i="7"/>
  <c r="I603" i="7"/>
  <c r="J603" i="7"/>
  <c r="K603" i="7"/>
  <c r="L603" i="7"/>
  <c r="M603" i="7"/>
  <c r="W603" i="7"/>
  <c r="D604" i="7"/>
  <c r="E604" i="7"/>
  <c r="H604" i="7"/>
  <c r="I604" i="7"/>
  <c r="J604" i="7"/>
  <c r="K604" i="7"/>
  <c r="L604" i="7"/>
  <c r="M604" i="7"/>
  <c r="W604" i="7"/>
  <c r="D605" i="7"/>
  <c r="E605" i="7"/>
  <c r="H605" i="7"/>
  <c r="I605" i="7"/>
  <c r="J605" i="7"/>
  <c r="K605" i="7"/>
  <c r="L605" i="7"/>
  <c r="M605" i="7"/>
  <c r="W605" i="7"/>
  <c r="D606" i="7"/>
  <c r="E606" i="7"/>
  <c r="H606" i="7"/>
  <c r="I606" i="7"/>
  <c r="J606" i="7"/>
  <c r="K606" i="7"/>
  <c r="L606" i="7"/>
  <c r="M606" i="7"/>
  <c r="W606" i="7"/>
  <c r="D607" i="7"/>
  <c r="E607" i="7"/>
  <c r="H607" i="7"/>
  <c r="I607" i="7"/>
  <c r="J607" i="7"/>
  <c r="K607" i="7"/>
  <c r="L607" i="7"/>
  <c r="M607" i="7"/>
  <c r="W607" i="7"/>
  <c r="D608" i="7"/>
  <c r="E608" i="7"/>
  <c r="H608" i="7"/>
  <c r="I608" i="7"/>
  <c r="J608" i="7"/>
  <c r="K608" i="7"/>
  <c r="L608" i="7"/>
  <c r="M608" i="7"/>
  <c r="W608" i="7"/>
  <c r="D609" i="7"/>
  <c r="E609" i="7"/>
  <c r="H609" i="7"/>
  <c r="I609" i="7"/>
  <c r="J609" i="7"/>
  <c r="K609" i="7"/>
  <c r="L609" i="7"/>
  <c r="M609" i="7"/>
  <c r="W609" i="7"/>
  <c r="D610" i="7"/>
  <c r="E610" i="7"/>
  <c r="H610" i="7"/>
  <c r="I610" i="7"/>
  <c r="J610" i="7"/>
  <c r="K610" i="7"/>
  <c r="L610" i="7"/>
  <c r="M610" i="7"/>
  <c r="W610" i="7"/>
  <c r="D611" i="7"/>
  <c r="E611" i="7"/>
  <c r="H611" i="7"/>
  <c r="I611" i="7"/>
  <c r="J611" i="7"/>
  <c r="K611" i="7"/>
  <c r="L611" i="7"/>
  <c r="M611" i="7"/>
  <c r="W611" i="7"/>
  <c r="D612" i="7"/>
  <c r="E612" i="7"/>
  <c r="H612" i="7"/>
  <c r="I612" i="7"/>
  <c r="J612" i="7"/>
  <c r="K612" i="7"/>
  <c r="L612" i="7"/>
  <c r="M612" i="7"/>
  <c r="O612" i="7"/>
  <c r="W612" i="7"/>
  <c r="D613" i="7"/>
  <c r="E613" i="7"/>
  <c r="H613" i="7"/>
  <c r="I613" i="7"/>
  <c r="J613" i="7"/>
  <c r="K613" i="7"/>
  <c r="L613" i="7"/>
  <c r="M613" i="7"/>
  <c r="W613" i="7"/>
  <c r="D614" i="7"/>
  <c r="E614" i="7"/>
  <c r="H614" i="7"/>
  <c r="I614" i="7"/>
  <c r="J614" i="7"/>
  <c r="K614" i="7"/>
  <c r="L614" i="7"/>
  <c r="M614" i="7"/>
  <c r="W614" i="7"/>
  <c r="A620" i="7"/>
  <c r="M620" i="7" s="1"/>
  <c r="A622" i="7"/>
  <c r="H622" i="7" s="1"/>
  <c r="X622" i="7"/>
  <c r="A623" i="7"/>
  <c r="V2" i="3"/>
  <c r="W2" i="3"/>
  <c r="R17" i="3"/>
  <c r="AK2" i="3"/>
  <c r="AL2" i="3"/>
  <c r="J114" i="7" l="1"/>
  <c r="H54" i="7"/>
  <c r="I49" i="7"/>
  <c r="H42" i="7"/>
  <c r="H19" i="7"/>
  <c r="J139" i="7"/>
  <c r="H58" i="7"/>
  <c r="I47" i="7"/>
  <c r="I41" i="7"/>
  <c r="J136" i="7"/>
  <c r="K125" i="7"/>
  <c r="K107" i="7"/>
  <c r="H34" i="7"/>
  <c r="J120" i="7"/>
  <c r="I57" i="7"/>
  <c r="H52" i="7"/>
  <c r="H46" i="7"/>
  <c r="H40" i="7"/>
  <c r="J130" i="7"/>
  <c r="K122" i="7"/>
  <c r="I33" i="7"/>
  <c r="I45" i="7"/>
  <c r="H50" i="7"/>
  <c r="H38" i="7"/>
  <c r="M162" i="7"/>
  <c r="M154" i="7"/>
  <c r="M144" i="7"/>
  <c r="L121" i="7"/>
  <c r="L119" i="7"/>
  <c r="L117" i="7"/>
  <c r="L115" i="7"/>
  <c r="M113" i="7"/>
  <c r="L111" i="7"/>
  <c r="L104" i="7"/>
  <c r="M99" i="7"/>
  <c r="L92" i="7"/>
  <c r="M87" i="7"/>
  <c r="M82" i="7"/>
  <c r="L79" i="7"/>
  <c r="L76" i="7"/>
  <c r="M66" i="7"/>
  <c r="M60" i="7"/>
  <c r="M57" i="7"/>
  <c r="M47" i="7"/>
  <c r="M44" i="7"/>
  <c r="M28" i="7"/>
  <c r="M198" i="7"/>
  <c r="M194" i="7"/>
  <c r="M190" i="7"/>
  <c r="M186" i="7"/>
  <c r="M182" i="7"/>
  <c r="M178" i="7"/>
  <c r="M174" i="7"/>
  <c r="M170" i="7"/>
  <c r="M166" i="7"/>
  <c r="L162" i="7"/>
  <c r="L154" i="7"/>
  <c r="M152" i="7"/>
  <c r="M149" i="7"/>
  <c r="L144" i="7"/>
  <c r="L113" i="7"/>
  <c r="M106" i="7"/>
  <c r="L99" i="7"/>
  <c r="M94" i="7"/>
  <c r="L87" i="7"/>
  <c r="L82" i="7"/>
  <c r="L66" i="7"/>
  <c r="M63" i="7"/>
  <c r="L60" i="7"/>
  <c r="L57" i="7"/>
  <c r="M50" i="7"/>
  <c r="L47" i="7"/>
  <c r="L44" i="7"/>
  <c r="M37" i="7"/>
  <c r="L33" i="7"/>
  <c r="L198" i="7"/>
  <c r="L194" i="7"/>
  <c r="L190" i="7"/>
  <c r="L186" i="7"/>
  <c r="L182" i="7"/>
  <c r="L178" i="7"/>
  <c r="L174" i="7"/>
  <c r="L170" i="7"/>
  <c r="L166" i="7"/>
  <c r="M157" i="7"/>
  <c r="L152" i="7"/>
  <c r="L149" i="7"/>
  <c r="M147" i="7"/>
  <c r="M142" i="7"/>
  <c r="M108" i="7"/>
  <c r="L106" i="7"/>
  <c r="M101" i="7"/>
  <c r="L94" i="7"/>
  <c r="M89" i="7"/>
  <c r="M78" i="7"/>
  <c r="M72" i="7"/>
  <c r="M69" i="7"/>
  <c r="L63" i="7"/>
  <c r="M53" i="7"/>
  <c r="L50" i="7"/>
  <c r="M40" i="7"/>
  <c r="L37" i="7"/>
  <c r="M160" i="7"/>
  <c r="L157" i="7"/>
  <c r="L147" i="7"/>
  <c r="L142" i="7"/>
  <c r="M132" i="7"/>
  <c r="M130" i="7"/>
  <c r="M126" i="7"/>
  <c r="M122" i="7"/>
  <c r="L108" i="7"/>
  <c r="L101" i="7"/>
  <c r="M96" i="7"/>
  <c r="L89" i="7"/>
  <c r="M84" i="7"/>
  <c r="L78" i="7"/>
  <c r="M75" i="7"/>
  <c r="L72" i="7"/>
  <c r="L69" i="7"/>
  <c r="L53" i="7"/>
  <c r="M43" i="7"/>
  <c r="L40" i="7"/>
  <c r="M195" i="7"/>
  <c r="M191" i="7"/>
  <c r="M187" i="7"/>
  <c r="M183" i="7"/>
  <c r="M179" i="7"/>
  <c r="M175" i="7"/>
  <c r="M171" i="7"/>
  <c r="M167" i="7"/>
  <c r="M163" i="7"/>
  <c r="L160" i="7"/>
  <c r="M155" i="7"/>
  <c r="M140" i="7"/>
  <c r="M136" i="7"/>
  <c r="M134" i="7"/>
  <c r="L132" i="7"/>
  <c r="L130" i="7"/>
  <c r="M128" i="7"/>
  <c r="L126" i="7"/>
  <c r="M124" i="7"/>
  <c r="L122" i="7"/>
  <c r="M120" i="7"/>
  <c r="M110" i="7"/>
  <c r="M103" i="7"/>
  <c r="L96" i="7"/>
  <c r="M91" i="7"/>
  <c r="L84" i="7"/>
  <c r="M81" i="7"/>
  <c r="L75" i="7"/>
  <c r="M65" i="7"/>
  <c r="M62" i="7"/>
  <c r="M59" i="7"/>
  <c r="M56" i="7"/>
  <c r="M46" i="7"/>
  <c r="L43" i="7"/>
  <c r="M32" i="7"/>
  <c r="L46" i="7"/>
  <c r="M158" i="7"/>
  <c r="L150" i="7"/>
  <c r="L145" i="7"/>
  <c r="M143" i="7"/>
  <c r="L138" i="7"/>
  <c r="L118" i="7"/>
  <c r="M116" i="7"/>
  <c r="L114" i="7"/>
  <c r="M112" i="7"/>
  <c r="M105" i="7"/>
  <c r="L98" i="7"/>
  <c r="M93" i="7"/>
  <c r="L86" i="7"/>
  <c r="M77" i="7"/>
  <c r="M74" i="7"/>
  <c r="M71" i="7"/>
  <c r="M68" i="7"/>
  <c r="M52" i="7"/>
  <c r="L49" i="7"/>
  <c r="M42" i="7"/>
  <c r="M39" i="7"/>
  <c r="L35" i="7"/>
  <c r="L196" i="7"/>
  <c r="L192" i="7"/>
  <c r="L188" i="7"/>
  <c r="L184" i="7"/>
  <c r="L180" i="7"/>
  <c r="L176" i="7"/>
  <c r="L172" i="7"/>
  <c r="L168" i="7"/>
  <c r="L164" i="7"/>
  <c r="M161" i="7"/>
  <c r="L153" i="7"/>
  <c r="M148" i="7"/>
  <c r="L107" i="7"/>
  <c r="L100" i="7"/>
  <c r="M95" i="7"/>
  <c r="L88" i="7"/>
  <c r="M83" i="7"/>
  <c r="M80" i="7"/>
  <c r="M61" i="7"/>
  <c r="M58" i="7"/>
  <c r="L55" i="7"/>
  <c r="M45" i="7"/>
  <c r="L161" i="7"/>
  <c r="M156" i="7"/>
  <c r="M151" i="7"/>
  <c r="L148" i="7"/>
  <c r="M141" i="7"/>
  <c r="M131" i="7"/>
  <c r="M127" i="7"/>
  <c r="M125" i="7"/>
  <c r="M109" i="7"/>
  <c r="M102" i="7"/>
  <c r="L95" i="7"/>
  <c r="M90" i="7"/>
  <c r="L83" i="7"/>
  <c r="L80" i="7"/>
  <c r="M67" i="7"/>
  <c r="M64" i="7"/>
  <c r="L61" i="7"/>
  <c r="L58" i="7"/>
  <c r="M48" i="7"/>
  <c r="L45" i="7"/>
  <c r="M38" i="7"/>
  <c r="M34" i="7"/>
  <c r="L21" i="7"/>
  <c r="M197" i="7"/>
  <c r="M193" i="7"/>
  <c r="M189" i="7"/>
  <c r="M185" i="7"/>
  <c r="M181" i="7"/>
  <c r="M177" i="7"/>
  <c r="M173" i="7"/>
  <c r="M169" i="7"/>
  <c r="M165" i="7"/>
  <c r="M159" i="7"/>
  <c r="L156" i="7"/>
  <c r="L151" i="7"/>
  <c r="M146" i="7"/>
  <c r="L141" i="7"/>
  <c r="M139" i="7"/>
  <c r="M137" i="7"/>
  <c r="M135" i="7"/>
  <c r="M133" i="7"/>
  <c r="L131" i="7"/>
  <c r="M129" i="7"/>
  <c r="L127" i="7"/>
  <c r="L125" i="7"/>
  <c r="M123" i="7"/>
  <c r="L109" i="7"/>
  <c r="L102" i="7"/>
  <c r="M97" i="7"/>
  <c r="L90" i="7"/>
  <c r="M85" i="7"/>
  <c r="M73" i="7"/>
  <c r="M70" i="7"/>
  <c r="L67" i="7"/>
  <c r="L64" i="7"/>
  <c r="M54" i="7"/>
  <c r="M51" i="7"/>
  <c r="L48" i="7"/>
  <c r="M41" i="7"/>
  <c r="L38" i="7"/>
  <c r="L34" i="7"/>
  <c r="L29" i="7"/>
  <c r="M36" i="7"/>
  <c r="M35" i="7"/>
  <c r="L31" i="7"/>
  <c r="L20" i="7"/>
  <c r="L32" i="7"/>
  <c r="M26" i="7"/>
  <c r="M25" i="7"/>
  <c r="L30" i="7"/>
  <c r="L24" i="7"/>
  <c r="M33" i="7"/>
  <c r="M15" i="7"/>
  <c r="L36" i="7"/>
  <c r="M14" i="7"/>
  <c r="M19" i="7"/>
  <c r="M216" i="5"/>
  <c r="M276" i="5"/>
  <c r="M260" i="5"/>
  <c r="M246" i="5"/>
  <c r="M258" i="5"/>
  <c r="M181" i="5"/>
  <c r="M94" i="5"/>
  <c r="M171" i="5"/>
  <c r="D163" i="7"/>
  <c r="D159" i="7"/>
  <c r="E156" i="7"/>
  <c r="E149" i="7"/>
  <c r="E146" i="7"/>
  <c r="E143" i="7"/>
  <c r="D140" i="7"/>
  <c r="E135" i="7"/>
  <c r="E130" i="7"/>
  <c r="E125" i="7"/>
  <c r="E115" i="7"/>
  <c r="E160" i="7"/>
  <c r="E153" i="7"/>
  <c r="E138" i="7"/>
  <c r="E133" i="7"/>
  <c r="E128" i="7"/>
  <c r="E123" i="7"/>
  <c r="D120" i="7"/>
  <c r="E102" i="7"/>
  <c r="D160" i="7"/>
  <c r="D153" i="7"/>
  <c r="E144" i="7"/>
  <c r="D138" i="7"/>
  <c r="D133" i="7"/>
  <c r="D128" i="7"/>
  <c r="D123" i="7"/>
  <c r="E118" i="7"/>
  <c r="E113" i="7"/>
  <c r="E161" i="7"/>
  <c r="D157" i="7"/>
  <c r="D150" i="7"/>
  <c r="D147" i="7"/>
  <c r="D141" i="7"/>
  <c r="E136" i="7"/>
  <c r="D131" i="7"/>
  <c r="D126" i="7"/>
  <c r="E121" i="7"/>
  <c r="E116" i="7"/>
  <c r="D161" i="7"/>
  <c r="E154" i="7"/>
  <c r="D136" i="7"/>
  <c r="D121" i="7"/>
  <c r="D116" i="7"/>
  <c r="E108" i="7"/>
  <c r="D154" i="7"/>
  <c r="E151" i="7"/>
  <c r="E148" i="7"/>
  <c r="E139" i="7"/>
  <c r="E134" i="7"/>
  <c r="E129" i="7"/>
  <c r="E124" i="7"/>
  <c r="D162" i="7"/>
  <c r="D158" i="7"/>
  <c r="E155" i="7"/>
  <c r="D145" i="7"/>
  <c r="D142" i="7"/>
  <c r="E137" i="7"/>
  <c r="E132" i="7"/>
  <c r="E127" i="7"/>
  <c r="D119" i="7"/>
  <c r="D114" i="7"/>
  <c r="M290" i="5"/>
  <c r="M249" i="5"/>
  <c r="M228" i="5"/>
  <c r="M296" i="5"/>
  <c r="M184" i="5"/>
  <c r="M256" i="5"/>
  <c r="M204" i="5"/>
  <c r="M190" i="5"/>
  <c r="M176" i="5"/>
  <c r="M197" i="5"/>
  <c r="M242" i="5"/>
  <c r="M42" i="5"/>
  <c r="J156" i="7"/>
  <c r="J152" i="7"/>
  <c r="J148" i="7"/>
  <c r="J144" i="7"/>
  <c r="J140" i="7"/>
  <c r="K134" i="7"/>
  <c r="J131" i="7"/>
  <c r="J134" i="7"/>
  <c r="J123" i="7"/>
  <c r="K120" i="7"/>
  <c r="J157" i="7"/>
  <c r="J153" i="7"/>
  <c r="J149" i="7"/>
  <c r="J145" i="7"/>
  <c r="J141" i="7"/>
  <c r="K138" i="7"/>
  <c r="J135" i="7"/>
  <c r="J132" i="7"/>
  <c r="K99" i="7"/>
  <c r="K146" i="7"/>
  <c r="K142" i="7"/>
  <c r="J138" i="7"/>
  <c r="K124" i="7"/>
  <c r="K121" i="7"/>
  <c r="K112" i="7"/>
  <c r="K87" i="7"/>
  <c r="K118" i="7"/>
  <c r="K115" i="7"/>
  <c r="J118" i="7"/>
  <c r="K130" i="7"/>
  <c r="J119" i="7"/>
  <c r="K116" i="7"/>
  <c r="K100" i="7"/>
  <c r="K148" i="7"/>
  <c r="K144" i="7"/>
  <c r="K140" i="7"/>
  <c r="J111" i="7"/>
  <c r="M29" i="7"/>
  <c r="M24" i="7"/>
  <c r="L18" i="7"/>
  <c r="L17" i="7"/>
  <c r="L28" i="7"/>
  <c r="M31" i="7"/>
  <c r="L27" i="7"/>
  <c r="H81" i="7"/>
  <c r="I76" i="7"/>
  <c r="H69" i="7"/>
  <c r="I64" i="7"/>
  <c r="H57" i="7"/>
  <c r="I52" i="7"/>
  <c r="H45" i="7"/>
  <c r="I40" i="7"/>
  <c r="H33" i="7"/>
  <c r="H28" i="7"/>
  <c r="H83" i="7"/>
  <c r="I78" i="7"/>
  <c r="H71" i="7"/>
  <c r="I66" i="7"/>
  <c r="H59" i="7"/>
  <c r="I54" i="7"/>
  <c r="H47" i="7"/>
  <c r="I42" i="7"/>
  <c r="H35" i="7"/>
  <c r="I30" i="7"/>
  <c r="I23" i="7"/>
  <c r="I18" i="7"/>
  <c r="I80" i="7"/>
  <c r="H73" i="7"/>
  <c r="I68" i="7"/>
  <c r="H61" i="7"/>
  <c r="I56" i="7"/>
  <c r="H49" i="7"/>
  <c r="I44" i="7"/>
  <c r="H37" i="7"/>
  <c r="I32" i="7"/>
  <c r="H80" i="7"/>
  <c r="I75" i="7"/>
  <c r="H68" i="7"/>
  <c r="I63" i="7"/>
  <c r="H56" i="7"/>
  <c r="I51" i="7"/>
  <c r="H44" i="7"/>
  <c r="I39" i="7"/>
  <c r="H32" i="7"/>
  <c r="I26" i="7"/>
  <c r="H17" i="7"/>
  <c r="I82" i="7"/>
  <c r="H75" i="7"/>
  <c r="I70" i="7"/>
  <c r="H63" i="7"/>
  <c r="I58" i="7"/>
  <c r="H51" i="7"/>
  <c r="I46" i="7"/>
  <c r="H39" i="7"/>
  <c r="I34" i="7"/>
  <c r="I29" i="7"/>
  <c r="H53" i="7"/>
  <c r="I48" i="7"/>
  <c r="H41" i="7"/>
  <c r="I36" i="7"/>
  <c r="I25" i="7"/>
  <c r="I20" i="7"/>
  <c r="I79" i="7"/>
  <c r="H72" i="7"/>
  <c r="I67" i="7"/>
  <c r="H60" i="7"/>
  <c r="I55" i="7"/>
  <c r="H48" i="7"/>
  <c r="I43" i="7"/>
  <c r="H36" i="7"/>
  <c r="I31" i="7"/>
  <c r="H25" i="7"/>
  <c r="H79" i="7"/>
  <c r="I74" i="7"/>
  <c r="H67" i="7"/>
  <c r="I62" i="7"/>
  <c r="H55" i="7"/>
  <c r="I50" i="7"/>
  <c r="H43" i="7"/>
  <c r="I38" i="7"/>
  <c r="H31" i="7"/>
  <c r="H29" i="7"/>
  <c r="I17" i="7"/>
  <c r="H20" i="7"/>
  <c r="I16" i="7"/>
  <c r="H24" i="7"/>
  <c r="I19" i="7"/>
  <c r="H15" i="7"/>
  <c r="K622" i="7"/>
  <c r="H22" i="7"/>
  <c r="H21" i="7"/>
  <c r="H27" i="7"/>
  <c r="O111" i="7"/>
  <c r="O600" i="7"/>
  <c r="N587" i="7"/>
  <c r="O528" i="7"/>
  <c r="N515" i="7"/>
  <c r="O469" i="7"/>
  <c r="N45" i="7"/>
  <c r="L26" i="7"/>
  <c r="M23" i="7"/>
  <c r="O588" i="7"/>
  <c r="N575" i="7"/>
  <c r="O516" i="7"/>
  <c r="N503" i="7"/>
  <c r="L23" i="7"/>
  <c r="O576" i="7"/>
  <c r="N563" i="7"/>
  <c r="O504" i="7"/>
  <c r="N491" i="7"/>
  <c r="L25" i="7"/>
  <c r="M22" i="7"/>
  <c r="L19" i="7"/>
  <c r="O564" i="7"/>
  <c r="N551" i="7"/>
  <c r="O492" i="7"/>
  <c r="N479" i="7"/>
  <c r="N611" i="7"/>
  <c r="O552" i="7"/>
  <c r="N539" i="7"/>
  <c r="O480" i="7"/>
  <c r="M27" i="7"/>
  <c r="M21" i="7"/>
  <c r="H23" i="7"/>
  <c r="M622" i="7"/>
  <c r="L622" i="7"/>
  <c r="I24" i="7"/>
  <c r="H26" i="7"/>
  <c r="I622" i="7"/>
  <c r="I27" i="7"/>
  <c r="I22" i="7"/>
  <c r="E622" i="7"/>
  <c r="D622" i="7"/>
  <c r="E112" i="7"/>
  <c r="D109" i="7"/>
  <c r="D98" i="7"/>
  <c r="D112" i="7"/>
  <c r="E105" i="7"/>
  <c r="E103" i="7"/>
  <c r="D103" i="7"/>
  <c r="E101" i="7"/>
  <c r="E87" i="7"/>
  <c r="D85" i="7"/>
  <c r="E110" i="7"/>
  <c r="E99" i="7"/>
  <c r="E78" i="7"/>
  <c r="D110" i="7"/>
  <c r="D99" i="7"/>
  <c r="E95" i="7"/>
  <c r="D93" i="7"/>
  <c r="E91" i="7"/>
  <c r="D108" i="7"/>
  <c r="D106" i="7"/>
  <c r="D104" i="7"/>
  <c r="E111" i="7"/>
  <c r="E100" i="7"/>
  <c r="E86" i="7"/>
  <c r="E84" i="7"/>
  <c r="D111" i="7"/>
  <c r="E109" i="7"/>
  <c r="E98" i="7"/>
  <c r="D96" i="7"/>
  <c r="D94" i="7"/>
  <c r="E92" i="7"/>
  <c r="E57" i="7"/>
  <c r="D21" i="7"/>
  <c r="E54" i="7"/>
  <c r="E52" i="7"/>
  <c r="D58" i="7"/>
  <c r="E93" i="7"/>
  <c r="E89" i="7"/>
  <c r="D83" i="7"/>
  <c r="E76" i="7"/>
  <c r="D55" i="7"/>
  <c r="D53" i="7"/>
  <c r="D90" i="7"/>
  <c r="D88" i="7"/>
  <c r="D82" i="7"/>
  <c r="D52" i="7"/>
  <c r="E50" i="7"/>
  <c r="E48" i="7"/>
  <c r="E46" i="7"/>
  <c r="D32" i="7"/>
  <c r="D30" i="7"/>
  <c r="E81" i="7"/>
  <c r="D79" i="7"/>
  <c r="D77" i="7"/>
  <c r="D46" i="7"/>
  <c r="D81" i="7"/>
  <c r="E75" i="7"/>
  <c r="D73" i="7"/>
  <c r="D71" i="7"/>
  <c r="D44" i="7"/>
  <c r="D42" i="7"/>
  <c r="E23" i="7"/>
  <c r="E69" i="7"/>
  <c r="D67" i="7"/>
  <c r="D65" i="7"/>
  <c r="E40" i="7"/>
  <c r="D38" i="7"/>
  <c r="E25" i="7"/>
  <c r="D69" i="7"/>
  <c r="E63" i="7"/>
  <c r="D61" i="7"/>
  <c r="D59" i="7"/>
  <c r="D40" i="7"/>
  <c r="E82" i="7"/>
  <c r="D57" i="7"/>
  <c r="E51" i="7"/>
  <c r="D49" i="7"/>
  <c r="D47" i="7"/>
  <c r="E31" i="7"/>
  <c r="D76" i="7"/>
  <c r="E74" i="7"/>
  <c r="E72" i="7"/>
  <c r="E70" i="7"/>
  <c r="E45" i="7"/>
  <c r="E43" i="7"/>
  <c r="E41" i="7"/>
  <c r="E35" i="7"/>
  <c r="D70" i="7"/>
  <c r="E66" i="7"/>
  <c r="E64" i="7"/>
  <c r="D41" i="7"/>
  <c r="E37" i="7"/>
  <c r="D26" i="7"/>
  <c r="D64" i="7"/>
  <c r="E62" i="7"/>
  <c r="E60" i="7"/>
  <c r="E58" i="7"/>
  <c r="E104" i="7"/>
  <c r="E94" i="7"/>
  <c r="D89" i="7"/>
  <c r="D84" i="7"/>
  <c r="E77" i="7"/>
  <c r="D72" i="7"/>
  <c r="E65" i="7"/>
  <c r="D60" i="7"/>
  <c r="E53" i="7"/>
  <c r="D48" i="7"/>
  <c r="D43" i="7"/>
  <c r="E36" i="7"/>
  <c r="D31" i="7"/>
  <c r="E24" i="7"/>
  <c r="E22" i="7"/>
  <c r="E20" i="7"/>
  <c r="D36" i="7"/>
  <c r="E29" i="7"/>
  <c r="D24" i="7"/>
  <c r="D22" i="7"/>
  <c r="E34" i="7"/>
  <c r="D29" i="7"/>
  <c r="E107" i="7"/>
  <c r="D102" i="7"/>
  <c r="E97" i="7"/>
  <c r="D92" i="7"/>
  <c r="D87" i="7"/>
  <c r="E80" i="7"/>
  <c r="D75" i="7"/>
  <c r="E68" i="7"/>
  <c r="D63" i="7"/>
  <c r="E56" i="7"/>
  <c r="D51" i="7"/>
  <c r="E39" i="7"/>
  <c r="D34" i="7"/>
  <c r="E27" i="7"/>
  <c r="E17" i="7"/>
  <c r="D107" i="7"/>
  <c r="D97" i="7"/>
  <c r="E90" i="7"/>
  <c r="E85" i="7"/>
  <c r="D80" i="7"/>
  <c r="E73" i="7"/>
  <c r="D68" i="7"/>
  <c r="E61" i="7"/>
  <c r="D56" i="7"/>
  <c r="E49" i="7"/>
  <c r="E44" i="7"/>
  <c r="D39" i="7"/>
  <c r="E32" i="7"/>
  <c r="D27" i="7"/>
  <c r="D105" i="7"/>
  <c r="D100" i="7"/>
  <c r="D95" i="7"/>
  <c r="E88" i="7"/>
  <c r="E83" i="7"/>
  <c r="D78" i="7"/>
  <c r="E71" i="7"/>
  <c r="D66" i="7"/>
  <c r="E59" i="7"/>
  <c r="D54" i="7"/>
  <c r="E47" i="7"/>
  <c r="E42" i="7"/>
  <c r="D37" i="7"/>
  <c r="E30" i="7"/>
  <c r="D25" i="7"/>
  <c r="E21" i="7"/>
  <c r="E19" i="7"/>
  <c r="D35" i="7"/>
  <c r="E28" i="7"/>
  <c r="E33" i="7"/>
  <c r="D28" i="7"/>
  <c r="E106" i="7"/>
  <c r="D101" i="7"/>
  <c r="E96" i="7"/>
  <c r="D91" i="7"/>
  <c r="D86" i="7"/>
  <c r="E79" i="7"/>
  <c r="D74" i="7"/>
  <c r="E67" i="7"/>
  <c r="D62" i="7"/>
  <c r="E55" i="7"/>
  <c r="D50" i="7"/>
  <c r="D45" i="7"/>
  <c r="E38" i="7"/>
  <c r="D33" i="7"/>
  <c r="E26" i="7"/>
  <c r="O613" i="7"/>
  <c r="N612" i="7"/>
  <c r="O601" i="7"/>
  <c r="N600" i="7"/>
  <c r="O589" i="7"/>
  <c r="N588" i="7"/>
  <c r="O577" i="7"/>
  <c r="N576" i="7"/>
  <c r="O565" i="7"/>
  <c r="N564" i="7"/>
  <c r="O553" i="7"/>
  <c r="N552" i="7"/>
  <c r="O541" i="7"/>
  <c r="N540" i="7"/>
  <c r="O529" i="7"/>
  <c r="N528" i="7"/>
  <c r="O517" i="7"/>
  <c r="N516" i="7"/>
  <c r="O505" i="7"/>
  <c r="N504" i="7"/>
  <c r="O493" i="7"/>
  <c r="N492" i="7"/>
  <c r="O481" i="7"/>
  <c r="N480" i="7"/>
  <c r="O452" i="7"/>
  <c r="N439" i="7"/>
  <c r="O380" i="7"/>
  <c r="N367" i="7"/>
  <c r="O308" i="7"/>
  <c r="N295" i="7"/>
  <c r="O236" i="7"/>
  <c r="N223" i="7"/>
  <c r="O164" i="7"/>
  <c r="N151" i="7"/>
  <c r="N73" i="7"/>
  <c r="N25" i="7"/>
  <c r="O614" i="7"/>
  <c r="N613" i="7"/>
  <c r="O602" i="7"/>
  <c r="N601" i="7"/>
  <c r="O590" i="7"/>
  <c r="N589" i="7"/>
  <c r="O578" i="7"/>
  <c r="N577" i="7"/>
  <c r="O566" i="7"/>
  <c r="N565" i="7"/>
  <c r="O554" i="7"/>
  <c r="N553" i="7"/>
  <c r="O542" i="7"/>
  <c r="N541" i="7"/>
  <c r="O530" i="7"/>
  <c r="N529" i="7"/>
  <c r="O518" i="7"/>
  <c r="N517" i="7"/>
  <c r="O506" i="7"/>
  <c r="N505" i="7"/>
  <c r="O494" i="7"/>
  <c r="N493" i="7"/>
  <c r="O482" i="7"/>
  <c r="N481" i="7"/>
  <c r="O470" i="7"/>
  <c r="N106" i="7"/>
  <c r="N53" i="7"/>
  <c r="O603" i="7"/>
  <c r="N602" i="7"/>
  <c r="O591" i="7"/>
  <c r="N590" i="7"/>
  <c r="N578" i="7"/>
  <c r="O567" i="7"/>
  <c r="N566" i="7"/>
  <c r="O555" i="7"/>
  <c r="N554" i="7"/>
  <c r="O543" i="7"/>
  <c r="N542" i="7"/>
  <c r="O531" i="7"/>
  <c r="N530" i="7"/>
  <c r="O519" i="7"/>
  <c r="N518" i="7"/>
  <c r="O507" i="7"/>
  <c r="N506" i="7"/>
  <c r="O495" i="7"/>
  <c r="N494" i="7"/>
  <c r="O483" i="7"/>
  <c r="N482" i="7"/>
  <c r="O471" i="7"/>
  <c r="O440" i="7"/>
  <c r="N427" i="7"/>
  <c r="O368" i="7"/>
  <c r="N355" i="7"/>
  <c r="O296" i="7"/>
  <c r="N283" i="7"/>
  <c r="O224" i="7"/>
  <c r="N211" i="7"/>
  <c r="O152" i="7"/>
  <c r="N139" i="7"/>
  <c r="N81" i="7"/>
  <c r="N33" i="7"/>
  <c r="O579" i="7"/>
  <c r="N622" i="7"/>
  <c r="O604" i="7"/>
  <c r="N603" i="7"/>
  <c r="O592" i="7"/>
  <c r="N591" i="7"/>
  <c r="O580" i="7"/>
  <c r="N579" i="7"/>
  <c r="O568" i="7"/>
  <c r="N567" i="7"/>
  <c r="O556" i="7"/>
  <c r="N555" i="7"/>
  <c r="O544" i="7"/>
  <c r="N543" i="7"/>
  <c r="O532" i="7"/>
  <c r="N531" i="7"/>
  <c r="O520" i="7"/>
  <c r="N519" i="7"/>
  <c r="O508" i="7"/>
  <c r="N507" i="7"/>
  <c r="O496" i="7"/>
  <c r="N495" i="7"/>
  <c r="O484" i="7"/>
  <c r="N483" i="7"/>
  <c r="O472" i="7"/>
  <c r="N471" i="7"/>
  <c r="N61" i="7"/>
  <c r="O605" i="7"/>
  <c r="N604" i="7"/>
  <c r="O593" i="7"/>
  <c r="N592" i="7"/>
  <c r="O581" i="7"/>
  <c r="N580" i="7"/>
  <c r="O569" i="7"/>
  <c r="N568" i="7"/>
  <c r="O557" i="7"/>
  <c r="N556" i="7"/>
  <c r="O545" i="7"/>
  <c r="N544" i="7"/>
  <c r="O533" i="7"/>
  <c r="N532" i="7"/>
  <c r="O521" i="7"/>
  <c r="N520" i="7"/>
  <c r="O509" i="7"/>
  <c r="N508" i="7"/>
  <c r="O497" i="7"/>
  <c r="N496" i="7"/>
  <c r="O485" i="7"/>
  <c r="N484" i="7"/>
  <c r="O473" i="7"/>
  <c r="N472" i="7"/>
  <c r="O428" i="7"/>
  <c r="N415" i="7"/>
  <c r="O356" i="7"/>
  <c r="N343" i="7"/>
  <c r="O284" i="7"/>
  <c r="N271" i="7"/>
  <c r="O212" i="7"/>
  <c r="N199" i="7"/>
  <c r="O140" i="7"/>
  <c r="O133" i="7"/>
  <c r="N41" i="7"/>
  <c r="N605" i="7"/>
  <c r="O594" i="7"/>
  <c r="N593" i="7"/>
  <c r="O582" i="7"/>
  <c r="N581" i="7"/>
  <c r="O570" i="7"/>
  <c r="N569" i="7"/>
  <c r="O558" i="7"/>
  <c r="N557" i="7"/>
  <c r="O546" i="7"/>
  <c r="N545" i="7"/>
  <c r="O534" i="7"/>
  <c r="N533" i="7"/>
  <c r="O522" i="7"/>
  <c r="N521" i="7"/>
  <c r="O510" i="7"/>
  <c r="N509" i="7"/>
  <c r="O498" i="7"/>
  <c r="N497" i="7"/>
  <c r="O486" i="7"/>
  <c r="N485" i="7"/>
  <c r="O474" i="7"/>
  <c r="N473" i="7"/>
  <c r="N69" i="7"/>
  <c r="N614" i="7"/>
  <c r="O606" i="7"/>
  <c r="O607" i="7"/>
  <c r="N606" i="7"/>
  <c r="O595" i="7"/>
  <c r="N594" i="7"/>
  <c r="O583" i="7"/>
  <c r="N582" i="7"/>
  <c r="O571" i="7"/>
  <c r="N570" i="7"/>
  <c r="O559" i="7"/>
  <c r="N558" i="7"/>
  <c r="O547" i="7"/>
  <c r="N546" i="7"/>
  <c r="O535" i="7"/>
  <c r="N534" i="7"/>
  <c r="O523" i="7"/>
  <c r="N522" i="7"/>
  <c r="O511" i="7"/>
  <c r="N510" i="7"/>
  <c r="O499" i="7"/>
  <c r="N498" i="7"/>
  <c r="O487" i="7"/>
  <c r="N486" i="7"/>
  <c r="O475" i="7"/>
  <c r="N474" i="7"/>
  <c r="O416" i="7"/>
  <c r="N403" i="7"/>
  <c r="O344" i="7"/>
  <c r="N331" i="7"/>
  <c r="O272" i="7"/>
  <c r="N259" i="7"/>
  <c r="O200" i="7"/>
  <c r="N187" i="7"/>
  <c r="N102" i="7"/>
  <c r="N49" i="7"/>
  <c r="O608" i="7"/>
  <c r="N607" i="7"/>
  <c r="N595" i="7"/>
  <c r="O584" i="7"/>
  <c r="N583" i="7"/>
  <c r="O572" i="7"/>
  <c r="N571" i="7"/>
  <c r="O560" i="7"/>
  <c r="N559" i="7"/>
  <c r="O548" i="7"/>
  <c r="N547" i="7"/>
  <c r="O536" i="7"/>
  <c r="N535" i="7"/>
  <c r="O524" i="7"/>
  <c r="N523" i="7"/>
  <c r="O512" i="7"/>
  <c r="N511" i="7"/>
  <c r="O500" i="7"/>
  <c r="N499" i="7"/>
  <c r="O488" i="7"/>
  <c r="N487" i="7"/>
  <c r="O476" i="7"/>
  <c r="N475" i="7"/>
  <c r="N116" i="7"/>
  <c r="N77" i="7"/>
  <c r="N17" i="7"/>
  <c r="O25" i="7"/>
  <c r="O29" i="7"/>
  <c r="O33" i="7"/>
  <c r="O37" i="7"/>
  <c r="O41" i="7"/>
  <c r="O45" i="7"/>
  <c r="O49" i="7"/>
  <c r="O53" i="7"/>
  <c r="O57" i="7"/>
  <c r="O61" i="7"/>
  <c r="O65" i="7"/>
  <c r="O69" i="7"/>
  <c r="O73" i="7"/>
  <c r="O77" i="7"/>
  <c r="O81" i="7"/>
  <c r="O85" i="7"/>
  <c r="N89" i="7"/>
  <c r="N93" i="7"/>
  <c r="N97" i="7"/>
  <c r="O102" i="7"/>
  <c r="O106" i="7"/>
  <c r="N110" i="7"/>
  <c r="O116" i="7"/>
  <c r="N122" i="7"/>
  <c r="N127" i="7"/>
  <c r="O139" i="7"/>
  <c r="N150" i="7"/>
  <c r="O151" i="7"/>
  <c r="N162" i="7"/>
  <c r="O163" i="7"/>
  <c r="N174" i="7"/>
  <c r="O175" i="7"/>
  <c r="N186" i="7"/>
  <c r="O187" i="7"/>
  <c r="N198" i="7"/>
  <c r="O199" i="7"/>
  <c r="N210" i="7"/>
  <c r="O211" i="7"/>
  <c r="N222" i="7"/>
  <c r="O223" i="7"/>
  <c r="N234" i="7"/>
  <c r="O235" i="7"/>
  <c r="N246" i="7"/>
  <c r="O247" i="7"/>
  <c r="N258" i="7"/>
  <c r="O259" i="7"/>
  <c r="N270" i="7"/>
  <c r="O271" i="7"/>
  <c r="N282" i="7"/>
  <c r="O283" i="7"/>
  <c r="N294" i="7"/>
  <c r="O295" i="7"/>
  <c r="N306" i="7"/>
  <c r="O307" i="7"/>
  <c r="N318" i="7"/>
  <c r="O319" i="7"/>
  <c r="N330" i="7"/>
  <c r="O331" i="7"/>
  <c r="N342" i="7"/>
  <c r="O343" i="7"/>
  <c r="N354" i="7"/>
  <c r="O355" i="7"/>
  <c r="N366" i="7"/>
  <c r="O367" i="7"/>
  <c r="N378" i="7"/>
  <c r="O379" i="7"/>
  <c r="N390" i="7"/>
  <c r="O391" i="7"/>
  <c r="N402" i="7"/>
  <c r="O403" i="7"/>
  <c r="N414" i="7"/>
  <c r="O415" i="7"/>
  <c r="N426" i="7"/>
  <c r="O427" i="7"/>
  <c r="N438" i="7"/>
  <c r="O439" i="7"/>
  <c r="N450" i="7"/>
  <c r="O451" i="7"/>
  <c r="N462" i="7"/>
  <c r="O463" i="7"/>
  <c r="O17" i="7"/>
  <c r="N21" i="7"/>
  <c r="O89" i="7"/>
  <c r="O93" i="7"/>
  <c r="O97" i="7"/>
  <c r="O110" i="7"/>
  <c r="N115" i="7"/>
  <c r="O122" i="7"/>
  <c r="O127" i="7"/>
  <c r="N132" i="7"/>
  <c r="N138" i="7"/>
  <c r="N149" i="7"/>
  <c r="O150" i="7"/>
  <c r="N161" i="7"/>
  <c r="O162" i="7"/>
  <c r="N173" i="7"/>
  <c r="O174" i="7"/>
  <c r="N185" i="7"/>
  <c r="O186" i="7"/>
  <c r="N197" i="7"/>
  <c r="O198" i="7"/>
  <c r="N209" i="7"/>
  <c r="O210" i="7"/>
  <c r="N221" i="7"/>
  <c r="O222" i="7"/>
  <c r="N233" i="7"/>
  <c r="O234" i="7"/>
  <c r="N245" i="7"/>
  <c r="O246" i="7"/>
  <c r="N257" i="7"/>
  <c r="O258" i="7"/>
  <c r="N269" i="7"/>
  <c r="O270" i="7"/>
  <c r="N281" i="7"/>
  <c r="O282" i="7"/>
  <c r="N293" i="7"/>
  <c r="O294" i="7"/>
  <c r="N305" i="7"/>
  <c r="O306" i="7"/>
  <c r="N317" i="7"/>
  <c r="O318" i="7"/>
  <c r="N329" i="7"/>
  <c r="O330" i="7"/>
  <c r="N341" i="7"/>
  <c r="O342" i="7"/>
  <c r="N353" i="7"/>
  <c r="O354" i="7"/>
  <c r="N365" i="7"/>
  <c r="O366" i="7"/>
  <c r="N377" i="7"/>
  <c r="O378" i="7"/>
  <c r="N389" i="7"/>
  <c r="O390" i="7"/>
  <c r="N401" i="7"/>
  <c r="O402" i="7"/>
  <c r="N413" i="7"/>
  <c r="O414" i="7"/>
  <c r="N425" i="7"/>
  <c r="O426" i="7"/>
  <c r="N437" i="7"/>
  <c r="O438" i="7"/>
  <c r="N449" i="7"/>
  <c r="O450" i="7"/>
  <c r="N461" i="7"/>
  <c r="O462" i="7"/>
  <c r="N24" i="7"/>
  <c r="N28" i="7"/>
  <c r="N32" i="7"/>
  <c r="N36" i="7"/>
  <c r="N40" i="7"/>
  <c r="N44" i="7"/>
  <c r="N48" i="7"/>
  <c r="N52" i="7"/>
  <c r="N56" i="7"/>
  <c r="N60" i="7"/>
  <c r="N64" i="7"/>
  <c r="N68" i="7"/>
  <c r="N72" i="7"/>
  <c r="N76" i="7"/>
  <c r="N80" i="7"/>
  <c r="N84" i="7"/>
  <c r="N101" i="7"/>
  <c r="N105" i="7"/>
  <c r="O115" i="7"/>
  <c r="N121" i="7"/>
  <c r="O132" i="7"/>
  <c r="N137" i="7"/>
  <c r="O138" i="7"/>
  <c r="N148" i="7"/>
  <c r="O149" i="7"/>
  <c r="N160" i="7"/>
  <c r="O161" i="7"/>
  <c r="N172" i="7"/>
  <c r="O173" i="7"/>
  <c r="N184" i="7"/>
  <c r="O185" i="7"/>
  <c r="N196" i="7"/>
  <c r="O197" i="7"/>
  <c r="N208" i="7"/>
  <c r="O209" i="7"/>
  <c r="N220" i="7"/>
  <c r="O221" i="7"/>
  <c r="N232" i="7"/>
  <c r="O233" i="7"/>
  <c r="N244" i="7"/>
  <c r="O245" i="7"/>
  <c r="N256" i="7"/>
  <c r="O257" i="7"/>
  <c r="N268" i="7"/>
  <c r="O269" i="7"/>
  <c r="N280" i="7"/>
  <c r="O281" i="7"/>
  <c r="N292" i="7"/>
  <c r="O293" i="7"/>
  <c r="N304" i="7"/>
  <c r="O305" i="7"/>
  <c r="N316" i="7"/>
  <c r="O317" i="7"/>
  <c r="N328" i="7"/>
  <c r="O329" i="7"/>
  <c r="N340" i="7"/>
  <c r="O341" i="7"/>
  <c r="N352" i="7"/>
  <c r="O353" i="7"/>
  <c r="N364" i="7"/>
  <c r="O365" i="7"/>
  <c r="N376" i="7"/>
  <c r="O377" i="7"/>
  <c r="N388" i="7"/>
  <c r="O389" i="7"/>
  <c r="N400" i="7"/>
  <c r="O401" i="7"/>
  <c r="N412" i="7"/>
  <c r="O413" i="7"/>
  <c r="N424" i="7"/>
  <c r="O425" i="7"/>
  <c r="N436" i="7"/>
  <c r="O437" i="7"/>
  <c r="N448" i="7"/>
  <c r="O449" i="7"/>
  <c r="N460" i="7"/>
  <c r="O461" i="7"/>
  <c r="O24" i="7"/>
  <c r="O28" i="7"/>
  <c r="O32" i="7"/>
  <c r="O36" i="7"/>
  <c r="O40" i="7"/>
  <c r="O44" i="7"/>
  <c r="O48" i="7"/>
  <c r="O52" i="7"/>
  <c r="O56" i="7"/>
  <c r="O60" i="7"/>
  <c r="O64" i="7"/>
  <c r="O68" i="7"/>
  <c r="O72" i="7"/>
  <c r="O76" i="7"/>
  <c r="O80" i="7"/>
  <c r="O84" i="7"/>
  <c r="N88" i="7"/>
  <c r="N92" i="7"/>
  <c r="N96" i="7"/>
  <c r="O101" i="7"/>
  <c r="O105" i="7"/>
  <c r="N109" i="7"/>
  <c r="N114" i="7"/>
  <c r="O121" i="7"/>
  <c r="N126" i="7"/>
  <c r="N131" i="7"/>
  <c r="O137" i="7"/>
  <c r="N147" i="7"/>
  <c r="O148" i="7"/>
  <c r="N159" i="7"/>
  <c r="O160" i="7"/>
  <c r="N171" i="7"/>
  <c r="O172" i="7"/>
  <c r="N183" i="7"/>
  <c r="O184" i="7"/>
  <c r="N195" i="7"/>
  <c r="O196" i="7"/>
  <c r="N207" i="7"/>
  <c r="O208" i="7"/>
  <c r="N219" i="7"/>
  <c r="O220" i="7"/>
  <c r="N231" i="7"/>
  <c r="O232" i="7"/>
  <c r="N243" i="7"/>
  <c r="O244" i="7"/>
  <c r="N255" i="7"/>
  <c r="O256" i="7"/>
  <c r="N267" i="7"/>
  <c r="O268" i="7"/>
  <c r="N279" i="7"/>
  <c r="O280" i="7"/>
  <c r="N291" i="7"/>
  <c r="O292" i="7"/>
  <c r="N303" i="7"/>
  <c r="O304" i="7"/>
  <c r="N315" i="7"/>
  <c r="O316" i="7"/>
  <c r="N327" i="7"/>
  <c r="O328" i="7"/>
  <c r="N339" i="7"/>
  <c r="O340" i="7"/>
  <c r="N351" i="7"/>
  <c r="O352" i="7"/>
  <c r="N363" i="7"/>
  <c r="O364" i="7"/>
  <c r="N375" i="7"/>
  <c r="O376" i="7"/>
  <c r="N387" i="7"/>
  <c r="O388" i="7"/>
  <c r="N399" i="7"/>
  <c r="O400" i="7"/>
  <c r="N411" i="7"/>
  <c r="O412" i="7"/>
  <c r="N423" i="7"/>
  <c r="O424" i="7"/>
  <c r="N435" i="7"/>
  <c r="O436" i="7"/>
  <c r="N447" i="7"/>
  <c r="O448" i="7"/>
  <c r="N459" i="7"/>
  <c r="O460" i="7"/>
  <c r="O88" i="7"/>
  <c r="O92" i="7"/>
  <c r="O96" i="7"/>
  <c r="O109" i="7"/>
  <c r="O114" i="7"/>
  <c r="N120" i="7"/>
  <c r="O126" i="7"/>
  <c r="O131" i="7"/>
  <c r="N146" i="7"/>
  <c r="O147" i="7"/>
  <c r="N158" i="7"/>
  <c r="O159" i="7"/>
  <c r="N170" i="7"/>
  <c r="O171" i="7"/>
  <c r="N182" i="7"/>
  <c r="O183" i="7"/>
  <c r="N194" i="7"/>
  <c r="O195" i="7"/>
  <c r="N206" i="7"/>
  <c r="O207" i="7"/>
  <c r="N218" i="7"/>
  <c r="O219" i="7"/>
  <c r="N230" i="7"/>
  <c r="O231" i="7"/>
  <c r="N242" i="7"/>
  <c r="O243" i="7"/>
  <c r="N254" i="7"/>
  <c r="O255" i="7"/>
  <c r="N266" i="7"/>
  <c r="O267" i="7"/>
  <c r="N278" i="7"/>
  <c r="O279" i="7"/>
  <c r="N290" i="7"/>
  <c r="O291" i="7"/>
  <c r="N302" i="7"/>
  <c r="O303" i="7"/>
  <c r="N314" i="7"/>
  <c r="O315" i="7"/>
  <c r="N326" i="7"/>
  <c r="O327" i="7"/>
  <c r="N338" i="7"/>
  <c r="O339" i="7"/>
  <c r="N350" i="7"/>
  <c r="O351" i="7"/>
  <c r="N362" i="7"/>
  <c r="O363" i="7"/>
  <c r="N374" i="7"/>
  <c r="O375" i="7"/>
  <c r="N386" i="7"/>
  <c r="O387" i="7"/>
  <c r="N398" i="7"/>
  <c r="O399" i="7"/>
  <c r="N410" i="7"/>
  <c r="O411" i="7"/>
  <c r="N422" i="7"/>
  <c r="O423" i="7"/>
  <c r="N434" i="7"/>
  <c r="O435" i="7"/>
  <c r="N446" i="7"/>
  <c r="O447" i="7"/>
  <c r="N458" i="7"/>
  <c r="O459" i="7"/>
  <c r="N470" i="7"/>
  <c r="N23" i="7"/>
  <c r="N27" i="7"/>
  <c r="N31" i="7"/>
  <c r="N35" i="7"/>
  <c r="N39" i="7"/>
  <c r="N43" i="7"/>
  <c r="N47" i="7"/>
  <c r="N51" i="7"/>
  <c r="N55" i="7"/>
  <c r="N59" i="7"/>
  <c r="N63" i="7"/>
  <c r="N67" i="7"/>
  <c r="N71" i="7"/>
  <c r="N75" i="7"/>
  <c r="N79" i="7"/>
  <c r="N83" i="7"/>
  <c r="N100" i="7"/>
  <c r="N104" i="7"/>
  <c r="N113" i="7"/>
  <c r="N119" i="7"/>
  <c r="O120" i="7"/>
  <c r="N130" i="7"/>
  <c r="N136" i="7"/>
  <c r="N145" i="7"/>
  <c r="O146" i="7"/>
  <c r="N157" i="7"/>
  <c r="O158" i="7"/>
  <c r="N169" i="7"/>
  <c r="O170" i="7"/>
  <c r="N181" i="7"/>
  <c r="O182" i="7"/>
  <c r="N193" i="7"/>
  <c r="O194" i="7"/>
  <c r="N205" i="7"/>
  <c r="O206" i="7"/>
  <c r="N217" i="7"/>
  <c r="O218" i="7"/>
  <c r="N229" i="7"/>
  <c r="O230" i="7"/>
  <c r="N241" i="7"/>
  <c r="O242" i="7"/>
  <c r="N253" i="7"/>
  <c r="O254" i="7"/>
  <c r="N265" i="7"/>
  <c r="O266" i="7"/>
  <c r="N277" i="7"/>
  <c r="O278" i="7"/>
  <c r="N289" i="7"/>
  <c r="O290" i="7"/>
  <c r="N301" i="7"/>
  <c r="O302" i="7"/>
  <c r="N313" i="7"/>
  <c r="O314" i="7"/>
  <c r="N325" i="7"/>
  <c r="O326" i="7"/>
  <c r="N337" i="7"/>
  <c r="O338" i="7"/>
  <c r="N349" i="7"/>
  <c r="O350" i="7"/>
  <c r="N361" i="7"/>
  <c r="O362" i="7"/>
  <c r="N373" i="7"/>
  <c r="O374" i="7"/>
  <c r="N385" i="7"/>
  <c r="O386" i="7"/>
  <c r="N397" i="7"/>
  <c r="O398" i="7"/>
  <c r="N409" i="7"/>
  <c r="O410" i="7"/>
  <c r="N421" i="7"/>
  <c r="O422" i="7"/>
  <c r="N433" i="7"/>
  <c r="O434" i="7"/>
  <c r="N445" i="7"/>
  <c r="O446" i="7"/>
  <c r="N457" i="7"/>
  <c r="O458" i="7"/>
  <c r="N469" i="7"/>
  <c r="O20" i="7"/>
  <c r="O23" i="7"/>
  <c r="O27" i="7"/>
  <c r="O31" i="7"/>
  <c r="O35" i="7"/>
  <c r="O39" i="7"/>
  <c r="O43" i="7"/>
  <c r="O47" i="7"/>
  <c r="O51" i="7"/>
  <c r="O55" i="7"/>
  <c r="O59" i="7"/>
  <c r="O63" i="7"/>
  <c r="O67" i="7"/>
  <c r="O71" i="7"/>
  <c r="O75" i="7"/>
  <c r="O79" i="7"/>
  <c r="O83" i="7"/>
  <c r="N87" i="7"/>
  <c r="N91" i="7"/>
  <c r="N95" i="7"/>
  <c r="O100" i="7"/>
  <c r="O104" i="7"/>
  <c r="N108" i="7"/>
  <c r="O113" i="7"/>
  <c r="O119" i="7"/>
  <c r="N125" i="7"/>
  <c r="N129" i="7"/>
  <c r="O130" i="7"/>
  <c r="O136" i="7"/>
  <c r="N144" i="7"/>
  <c r="O145" i="7"/>
  <c r="N156" i="7"/>
  <c r="O157" i="7"/>
  <c r="N168" i="7"/>
  <c r="O169" i="7"/>
  <c r="N180" i="7"/>
  <c r="O181" i="7"/>
  <c r="N192" i="7"/>
  <c r="O193" i="7"/>
  <c r="N204" i="7"/>
  <c r="O205" i="7"/>
  <c r="N216" i="7"/>
  <c r="O217" i="7"/>
  <c r="N228" i="7"/>
  <c r="O229" i="7"/>
  <c r="N240" i="7"/>
  <c r="O241" i="7"/>
  <c r="N252" i="7"/>
  <c r="O253" i="7"/>
  <c r="N264" i="7"/>
  <c r="O265" i="7"/>
  <c r="N276" i="7"/>
  <c r="O277" i="7"/>
  <c r="N288" i="7"/>
  <c r="O289" i="7"/>
  <c r="N300" i="7"/>
  <c r="O301" i="7"/>
  <c r="N312" i="7"/>
  <c r="O313" i="7"/>
  <c r="N324" i="7"/>
  <c r="O325" i="7"/>
  <c r="N336" i="7"/>
  <c r="O337" i="7"/>
  <c r="N348" i="7"/>
  <c r="O349" i="7"/>
  <c r="N360" i="7"/>
  <c r="O361" i="7"/>
  <c r="N372" i="7"/>
  <c r="O373" i="7"/>
  <c r="N384" i="7"/>
  <c r="O385" i="7"/>
  <c r="N396" i="7"/>
  <c r="O397" i="7"/>
  <c r="N408" i="7"/>
  <c r="O409" i="7"/>
  <c r="N420" i="7"/>
  <c r="O421" i="7"/>
  <c r="N432" i="7"/>
  <c r="O433" i="7"/>
  <c r="N444" i="7"/>
  <c r="O445" i="7"/>
  <c r="N456" i="7"/>
  <c r="O457" i="7"/>
  <c r="N468" i="7"/>
  <c r="O87" i="7"/>
  <c r="O91" i="7"/>
  <c r="O95" i="7"/>
  <c r="N99" i="7"/>
  <c r="O108" i="7"/>
  <c r="N118" i="7"/>
  <c r="O125" i="7"/>
  <c r="O129" i="7"/>
  <c r="N135" i="7"/>
  <c r="N143" i="7"/>
  <c r="O144" i="7"/>
  <c r="N155" i="7"/>
  <c r="O156" i="7"/>
  <c r="N167" i="7"/>
  <c r="O168" i="7"/>
  <c r="N179" i="7"/>
  <c r="O180" i="7"/>
  <c r="N191" i="7"/>
  <c r="O192" i="7"/>
  <c r="N203" i="7"/>
  <c r="O204" i="7"/>
  <c r="N215" i="7"/>
  <c r="O216" i="7"/>
  <c r="N227" i="7"/>
  <c r="O228" i="7"/>
  <c r="N239" i="7"/>
  <c r="O240" i="7"/>
  <c r="N251" i="7"/>
  <c r="O252" i="7"/>
  <c r="N263" i="7"/>
  <c r="O264" i="7"/>
  <c r="N275" i="7"/>
  <c r="O276" i="7"/>
  <c r="N287" i="7"/>
  <c r="O288" i="7"/>
  <c r="N299" i="7"/>
  <c r="O300" i="7"/>
  <c r="N311" i="7"/>
  <c r="O312" i="7"/>
  <c r="N323" i="7"/>
  <c r="O324" i="7"/>
  <c r="N335" i="7"/>
  <c r="O336" i="7"/>
  <c r="N347" i="7"/>
  <c r="O348" i="7"/>
  <c r="N359" i="7"/>
  <c r="O360" i="7"/>
  <c r="N371" i="7"/>
  <c r="O372" i="7"/>
  <c r="N383" i="7"/>
  <c r="O384" i="7"/>
  <c r="N395" i="7"/>
  <c r="O396" i="7"/>
  <c r="N407" i="7"/>
  <c r="O408" i="7"/>
  <c r="N419" i="7"/>
  <c r="O420" i="7"/>
  <c r="N431" i="7"/>
  <c r="O432" i="7"/>
  <c r="N443" i="7"/>
  <c r="O444" i="7"/>
  <c r="N455" i="7"/>
  <c r="O456" i="7"/>
  <c r="N467" i="7"/>
  <c r="N26" i="7"/>
  <c r="N30" i="7"/>
  <c r="N34" i="7"/>
  <c r="N38" i="7"/>
  <c r="N42" i="7"/>
  <c r="N46" i="7"/>
  <c r="N50" i="7"/>
  <c r="N54" i="7"/>
  <c r="N58" i="7"/>
  <c r="N62" i="7"/>
  <c r="N66" i="7"/>
  <c r="N70" i="7"/>
  <c r="N74" i="7"/>
  <c r="N78" i="7"/>
  <c r="N82" i="7"/>
  <c r="N86" i="7"/>
  <c r="O99" i="7"/>
  <c r="N103" i="7"/>
  <c r="N112" i="7"/>
  <c r="N117" i="7"/>
  <c r="O118" i="7"/>
  <c r="N124" i="7"/>
  <c r="O135" i="7"/>
  <c r="N142" i="7"/>
  <c r="O143" i="7"/>
  <c r="N154" i="7"/>
  <c r="O155" i="7"/>
  <c r="N166" i="7"/>
  <c r="O167" i="7"/>
  <c r="N178" i="7"/>
  <c r="O179" i="7"/>
  <c r="N190" i="7"/>
  <c r="O191" i="7"/>
  <c r="N202" i="7"/>
  <c r="O203" i="7"/>
  <c r="N214" i="7"/>
  <c r="O215" i="7"/>
  <c r="N226" i="7"/>
  <c r="O227" i="7"/>
  <c r="N238" i="7"/>
  <c r="O239" i="7"/>
  <c r="N250" i="7"/>
  <c r="O251" i="7"/>
  <c r="N262" i="7"/>
  <c r="O263" i="7"/>
  <c r="N274" i="7"/>
  <c r="O275" i="7"/>
  <c r="N286" i="7"/>
  <c r="O287" i="7"/>
  <c r="N298" i="7"/>
  <c r="O299" i="7"/>
  <c r="N310" i="7"/>
  <c r="O311" i="7"/>
  <c r="N322" i="7"/>
  <c r="O323" i="7"/>
  <c r="N334" i="7"/>
  <c r="O335" i="7"/>
  <c r="N346" i="7"/>
  <c r="O347" i="7"/>
  <c r="N358" i="7"/>
  <c r="O359" i="7"/>
  <c r="N370" i="7"/>
  <c r="O371" i="7"/>
  <c r="N382" i="7"/>
  <c r="O383" i="7"/>
  <c r="N394" i="7"/>
  <c r="O395" i="7"/>
  <c r="N406" i="7"/>
  <c r="O407" i="7"/>
  <c r="N418" i="7"/>
  <c r="O419" i="7"/>
  <c r="N430" i="7"/>
  <c r="O431" i="7"/>
  <c r="N442" i="7"/>
  <c r="O443" i="7"/>
  <c r="N454" i="7"/>
  <c r="O455" i="7"/>
  <c r="N466" i="7"/>
  <c r="O467" i="7"/>
  <c r="N22" i="7"/>
  <c r="O26" i="7"/>
  <c r="O30" i="7"/>
  <c r="O34" i="7"/>
  <c r="O38" i="7"/>
  <c r="O42" i="7"/>
  <c r="O46" i="7"/>
  <c r="O50" i="7"/>
  <c r="O54" i="7"/>
  <c r="O58" i="7"/>
  <c r="O62" i="7"/>
  <c r="O66" i="7"/>
  <c r="O70" i="7"/>
  <c r="O74" i="7"/>
  <c r="O78" i="7"/>
  <c r="O82" i="7"/>
  <c r="O86" i="7"/>
  <c r="N90" i="7"/>
  <c r="N94" i="7"/>
  <c r="N98" i="7"/>
  <c r="O103" i="7"/>
  <c r="N107" i="7"/>
  <c r="O112" i="7"/>
  <c r="O117" i="7"/>
  <c r="O124" i="7"/>
  <c r="N128" i="7"/>
  <c r="N134" i="7"/>
  <c r="N141" i="7"/>
  <c r="O142" i="7"/>
  <c r="N153" i="7"/>
  <c r="O154" i="7"/>
  <c r="N165" i="7"/>
  <c r="O166" i="7"/>
  <c r="N177" i="7"/>
  <c r="O178" i="7"/>
  <c r="N189" i="7"/>
  <c r="O190" i="7"/>
  <c r="N201" i="7"/>
  <c r="O202" i="7"/>
  <c r="N213" i="7"/>
  <c r="O214" i="7"/>
  <c r="N225" i="7"/>
  <c r="O226" i="7"/>
  <c r="N237" i="7"/>
  <c r="O238" i="7"/>
  <c r="N249" i="7"/>
  <c r="O250" i="7"/>
  <c r="N261" i="7"/>
  <c r="O262" i="7"/>
  <c r="N273" i="7"/>
  <c r="O274" i="7"/>
  <c r="N285" i="7"/>
  <c r="O286" i="7"/>
  <c r="N297" i="7"/>
  <c r="O298" i="7"/>
  <c r="N309" i="7"/>
  <c r="O310" i="7"/>
  <c r="N321" i="7"/>
  <c r="O322" i="7"/>
  <c r="N333" i="7"/>
  <c r="O334" i="7"/>
  <c r="N345" i="7"/>
  <c r="O346" i="7"/>
  <c r="N357" i="7"/>
  <c r="O358" i="7"/>
  <c r="N369" i="7"/>
  <c r="O370" i="7"/>
  <c r="N381" i="7"/>
  <c r="O382" i="7"/>
  <c r="N393" i="7"/>
  <c r="O394" i="7"/>
  <c r="N405" i="7"/>
  <c r="O406" i="7"/>
  <c r="N417" i="7"/>
  <c r="O418" i="7"/>
  <c r="N429" i="7"/>
  <c r="O430" i="7"/>
  <c r="N441" i="7"/>
  <c r="O442" i="7"/>
  <c r="N453" i="7"/>
  <c r="O454" i="7"/>
  <c r="N465" i="7"/>
  <c r="O466" i="7"/>
  <c r="O22" i="7"/>
  <c r="O90" i="7"/>
  <c r="O94" i="7"/>
  <c r="O98" i="7"/>
  <c r="O107" i="7"/>
  <c r="N111" i="7"/>
  <c r="N123" i="7"/>
  <c r="O128" i="7"/>
  <c r="N133" i="7"/>
  <c r="O134" i="7"/>
  <c r="N140" i="7"/>
  <c r="O141" i="7"/>
  <c r="N152" i="7"/>
  <c r="O153" i="7"/>
  <c r="N164" i="7"/>
  <c r="O165" i="7"/>
  <c r="N176" i="7"/>
  <c r="O177" i="7"/>
  <c r="N188" i="7"/>
  <c r="O189" i="7"/>
  <c r="N200" i="7"/>
  <c r="O201" i="7"/>
  <c r="N212" i="7"/>
  <c r="O213" i="7"/>
  <c r="N224" i="7"/>
  <c r="O225" i="7"/>
  <c r="N236" i="7"/>
  <c r="O237" i="7"/>
  <c r="N248" i="7"/>
  <c r="O249" i="7"/>
  <c r="N260" i="7"/>
  <c r="O261" i="7"/>
  <c r="N272" i="7"/>
  <c r="O273" i="7"/>
  <c r="N284" i="7"/>
  <c r="O285" i="7"/>
  <c r="N296" i="7"/>
  <c r="O297" i="7"/>
  <c r="N308" i="7"/>
  <c r="O309" i="7"/>
  <c r="N320" i="7"/>
  <c r="O321" i="7"/>
  <c r="N332" i="7"/>
  <c r="O333" i="7"/>
  <c r="N344" i="7"/>
  <c r="O345" i="7"/>
  <c r="N356" i="7"/>
  <c r="O357" i="7"/>
  <c r="N368" i="7"/>
  <c r="O369" i="7"/>
  <c r="N380" i="7"/>
  <c r="O381" i="7"/>
  <c r="N392" i="7"/>
  <c r="O393" i="7"/>
  <c r="N404" i="7"/>
  <c r="O405" i="7"/>
  <c r="N416" i="7"/>
  <c r="O417" i="7"/>
  <c r="N428" i="7"/>
  <c r="O429" i="7"/>
  <c r="N440" i="7"/>
  <c r="O441" i="7"/>
  <c r="N452" i="7"/>
  <c r="O453" i="7"/>
  <c r="N464" i="7"/>
  <c r="O465" i="7"/>
  <c r="O596" i="7"/>
  <c r="O609" i="7"/>
  <c r="N608" i="7"/>
  <c r="O597" i="7"/>
  <c r="N596" i="7"/>
  <c r="O585" i="7"/>
  <c r="N584" i="7"/>
  <c r="O573" i="7"/>
  <c r="N572" i="7"/>
  <c r="O561" i="7"/>
  <c r="N560" i="7"/>
  <c r="O549" i="7"/>
  <c r="N548" i="7"/>
  <c r="O537" i="7"/>
  <c r="N536" i="7"/>
  <c r="O525" i="7"/>
  <c r="N524" i="7"/>
  <c r="O513" i="7"/>
  <c r="N512" i="7"/>
  <c r="O501" i="7"/>
  <c r="N500" i="7"/>
  <c r="O489" i="7"/>
  <c r="N488" i="7"/>
  <c r="O477" i="7"/>
  <c r="N476" i="7"/>
  <c r="N463" i="7"/>
  <c r="O404" i="7"/>
  <c r="N391" i="7"/>
  <c r="O332" i="7"/>
  <c r="N319" i="7"/>
  <c r="O260" i="7"/>
  <c r="N247" i="7"/>
  <c r="O188" i="7"/>
  <c r="N175" i="7"/>
  <c r="N57" i="7"/>
  <c r="N609" i="7"/>
  <c r="O598" i="7"/>
  <c r="N597" i="7"/>
  <c r="O586" i="7"/>
  <c r="N585" i="7"/>
  <c r="O574" i="7"/>
  <c r="N573" i="7"/>
  <c r="O562" i="7"/>
  <c r="N561" i="7"/>
  <c r="O550" i="7"/>
  <c r="N549" i="7"/>
  <c r="O538" i="7"/>
  <c r="N537" i="7"/>
  <c r="O526" i="7"/>
  <c r="N525" i="7"/>
  <c r="O514" i="7"/>
  <c r="N513" i="7"/>
  <c r="O502" i="7"/>
  <c r="N501" i="7"/>
  <c r="O490" i="7"/>
  <c r="N489" i="7"/>
  <c r="O478" i="7"/>
  <c r="N477" i="7"/>
  <c r="O468" i="7"/>
  <c r="O123" i="7"/>
  <c r="N85" i="7"/>
  <c r="N37" i="7"/>
  <c r="O610" i="7"/>
  <c r="O611" i="7"/>
  <c r="N610" i="7"/>
  <c r="O599" i="7"/>
  <c r="N598" i="7"/>
  <c r="O587" i="7"/>
  <c r="N586" i="7"/>
  <c r="O575" i="7"/>
  <c r="N574" i="7"/>
  <c r="O563" i="7"/>
  <c r="N562" i="7"/>
  <c r="O551" i="7"/>
  <c r="N550" i="7"/>
  <c r="O539" i="7"/>
  <c r="N538" i="7"/>
  <c r="O527" i="7"/>
  <c r="N526" i="7"/>
  <c r="O515" i="7"/>
  <c r="N514" i="7"/>
  <c r="O503" i="7"/>
  <c r="N502" i="7"/>
  <c r="O491" i="7"/>
  <c r="N490" i="7"/>
  <c r="O479" i="7"/>
  <c r="N478" i="7"/>
  <c r="O464" i="7"/>
  <c r="N451" i="7"/>
  <c r="O392" i="7"/>
  <c r="N379" i="7"/>
  <c r="O320" i="7"/>
  <c r="N307" i="7"/>
  <c r="O248" i="7"/>
  <c r="N235" i="7"/>
  <c r="O176" i="7"/>
  <c r="N163" i="7"/>
  <c r="N65" i="7"/>
  <c r="L22" i="7"/>
  <c r="M18" i="7"/>
  <c r="L15" i="7"/>
  <c r="L14" i="7"/>
  <c r="H16" i="7"/>
  <c r="H18" i="7"/>
  <c r="K88" i="7"/>
  <c r="I15" i="7"/>
  <c r="I21" i="7"/>
  <c r="I14" i="7"/>
  <c r="L620" i="7"/>
  <c r="K620" i="7"/>
  <c r="J620" i="7"/>
  <c r="I620" i="7"/>
  <c r="H620" i="7"/>
  <c r="E620" i="7"/>
  <c r="D620" i="7"/>
  <c r="O620" i="7"/>
  <c r="N620" i="7"/>
  <c r="M147" i="5"/>
  <c r="M72" i="5"/>
  <c r="M84" i="5"/>
  <c r="M158" i="5"/>
  <c r="M130" i="5"/>
  <c r="M98" i="5"/>
  <c r="G292" i="5"/>
  <c r="G275" i="5"/>
  <c r="G260" i="5"/>
  <c r="G247" i="5"/>
  <c r="G202" i="5"/>
  <c r="G181" i="5"/>
  <c r="G166" i="5"/>
  <c r="G138" i="5"/>
  <c r="G131" i="5"/>
  <c r="G115" i="5"/>
  <c r="G101" i="5"/>
  <c r="G75" i="5"/>
  <c r="G290" i="5"/>
  <c r="G281" i="5"/>
  <c r="G258" i="5"/>
  <c r="G238" i="5"/>
  <c r="G224" i="5"/>
  <c r="G215" i="5"/>
  <c r="G164" i="5"/>
  <c r="G130" i="5"/>
  <c r="G113" i="5"/>
  <c r="G93" i="5"/>
  <c r="G85" i="5"/>
  <c r="G92" i="5"/>
  <c r="G295" i="5"/>
  <c r="G271" i="5"/>
  <c r="G249" i="5"/>
  <c r="G244" i="5"/>
  <c r="G199" i="5"/>
  <c r="G191" i="5"/>
  <c r="G169" i="5"/>
  <c r="G142" i="5"/>
  <c r="G91" i="5"/>
  <c r="G83" i="5"/>
  <c r="G69" i="5"/>
  <c r="M64" i="5"/>
  <c r="B5" i="7"/>
  <c r="F14" i="7" s="1"/>
  <c r="B6" i="7"/>
  <c r="G250" i="5"/>
  <c r="I250" i="5"/>
  <c r="G121" i="5"/>
  <c r="I121" i="5"/>
  <c r="G296" i="5"/>
  <c r="I296" i="5"/>
  <c r="G213" i="5"/>
  <c r="I213" i="5"/>
  <c r="G261" i="5"/>
  <c r="I261" i="5"/>
  <c r="I65" i="5"/>
  <c r="G65" i="5"/>
  <c r="I239" i="5"/>
  <c r="I195" i="5"/>
  <c r="F50" i="5"/>
  <c r="I282" i="5"/>
  <c r="G234" i="5"/>
  <c r="I223" i="5"/>
  <c r="I271" i="5"/>
  <c r="I259" i="5"/>
  <c r="I215" i="5"/>
  <c r="I211" i="5"/>
  <c r="F84" i="5"/>
  <c r="I84" i="5" s="1"/>
  <c r="F78" i="5"/>
  <c r="F63" i="5"/>
  <c r="F19" i="5"/>
  <c r="I66" i="5"/>
  <c r="I177" i="5"/>
  <c r="G153" i="5"/>
  <c r="G135" i="5"/>
  <c r="F94" i="5"/>
  <c r="G94" i="5" s="1"/>
  <c r="G89" i="5"/>
  <c r="I83" i="5"/>
  <c r="G77" i="5"/>
  <c r="F71" i="5"/>
  <c r="F62" i="5"/>
  <c r="F17" i="5"/>
  <c r="I286" i="5"/>
  <c r="I280" i="5"/>
  <c r="G123" i="5"/>
  <c r="I117" i="5"/>
  <c r="G88" i="5"/>
  <c r="F82" i="5"/>
  <c r="G82" i="5" s="1"/>
  <c r="F76" i="5"/>
  <c r="F70" i="5"/>
  <c r="I70" i="5" s="1"/>
  <c r="F61" i="5"/>
  <c r="I61" i="5" s="1"/>
  <c r="G291" i="5"/>
  <c r="G279" i="5"/>
  <c r="F80" i="5"/>
  <c r="F74" i="5"/>
  <c r="M100" i="5"/>
  <c r="M40" i="5"/>
  <c r="O16" i="7"/>
  <c r="O14" i="7"/>
  <c r="N19" i="7"/>
  <c r="N14" i="7"/>
  <c r="M144" i="5"/>
  <c r="M149" i="5"/>
  <c r="M108" i="5"/>
  <c r="M102" i="5"/>
  <c r="I79" i="5"/>
  <c r="M285" i="5"/>
  <c r="M270" i="5"/>
  <c r="M265" i="5"/>
  <c r="M261" i="5"/>
  <c r="M253" i="5"/>
  <c r="M226" i="5"/>
  <c r="M218" i="5"/>
  <c r="M205" i="5"/>
  <c r="M173" i="5"/>
  <c r="M160" i="5"/>
  <c r="M140" i="5"/>
  <c r="M128" i="5"/>
  <c r="M124" i="5"/>
  <c r="M120" i="5"/>
  <c r="M116" i="5"/>
  <c r="M112" i="5"/>
  <c r="M103" i="5"/>
  <c r="M95" i="5"/>
  <c r="M88" i="5"/>
  <c r="M76" i="5"/>
  <c r="M71" i="5"/>
  <c r="M39" i="5"/>
  <c r="M297" i="5"/>
  <c r="M281" i="5"/>
  <c r="M257" i="5"/>
  <c r="M241" i="5"/>
  <c r="M237" i="5"/>
  <c r="M234" i="5"/>
  <c r="M229" i="5"/>
  <c r="M193" i="5"/>
  <c r="M177" i="5"/>
  <c r="M168" i="5"/>
  <c r="M164" i="5"/>
  <c r="M152" i="5"/>
  <c r="M136" i="5"/>
  <c r="M131" i="5"/>
  <c r="M99" i="5"/>
  <c r="M91" i="5"/>
  <c r="M79" i="5"/>
  <c r="M65" i="5"/>
  <c r="M60" i="5"/>
  <c r="M293" i="5"/>
  <c r="M277" i="5"/>
  <c r="M273" i="5"/>
  <c r="M269" i="5"/>
  <c r="M264" i="5"/>
  <c r="M252" i="5"/>
  <c r="M245" i="5"/>
  <c r="M225" i="5"/>
  <c r="M222" i="5"/>
  <c r="M217" i="5"/>
  <c r="M213" i="5"/>
  <c r="M210" i="5"/>
  <c r="M201" i="5"/>
  <c r="M198" i="5"/>
  <c r="M189" i="5"/>
  <c r="M185" i="5"/>
  <c r="M172" i="5"/>
  <c r="M159" i="5"/>
  <c r="M155" i="5"/>
  <c r="M148" i="5"/>
  <c r="M143" i="5"/>
  <c r="M111" i="5"/>
  <c r="M107" i="5"/>
  <c r="M83" i="5"/>
  <c r="M75" i="5"/>
  <c r="M301" i="5"/>
  <c r="M289" i="5"/>
  <c r="M284" i="5"/>
  <c r="M280" i="5"/>
  <c r="M248" i="5"/>
  <c r="M240" i="5"/>
  <c r="M192" i="5"/>
  <c r="M180" i="5"/>
  <c r="M167" i="5"/>
  <c r="M163" i="5"/>
  <c r="M139" i="5"/>
  <c r="M135" i="5"/>
  <c r="M127" i="5"/>
  <c r="M123" i="5"/>
  <c r="M119" i="5"/>
  <c r="M115" i="5"/>
  <c r="M87" i="5"/>
  <c r="M70" i="5"/>
  <c r="M58" i="5"/>
  <c r="M300" i="5"/>
  <c r="M288" i="5"/>
  <c r="M244" i="5"/>
  <c r="M236" i="5"/>
  <c r="M221" i="5"/>
  <c r="M188" i="5"/>
  <c r="M151" i="5"/>
  <c r="M110" i="5"/>
  <c r="M106" i="5"/>
  <c r="M90" i="5"/>
  <c r="M86" i="5"/>
  <c r="M82" i="5"/>
  <c r="M78" i="5"/>
  <c r="M275" i="5"/>
  <c r="M272" i="5"/>
  <c r="M268" i="5"/>
  <c r="M263" i="5"/>
  <c r="M255" i="5"/>
  <c r="M239" i="5"/>
  <c r="M232" i="5"/>
  <c r="M224" i="5"/>
  <c r="M215" i="5"/>
  <c r="M212" i="5"/>
  <c r="M208" i="5"/>
  <c r="M203" i="5"/>
  <c r="M200" i="5"/>
  <c r="M196" i="5"/>
  <c r="M179" i="5"/>
  <c r="M175" i="5"/>
  <c r="M157" i="5"/>
  <c r="M154" i="5"/>
  <c r="M142" i="5"/>
  <c r="M138" i="5"/>
  <c r="M134" i="5"/>
  <c r="M126" i="5"/>
  <c r="M122" i="5"/>
  <c r="M97" i="5"/>
  <c r="M93" i="5"/>
  <c r="M74" i="5"/>
  <c r="M69" i="5"/>
  <c r="M299" i="5"/>
  <c r="M287" i="5"/>
  <c r="M283" i="5"/>
  <c r="M279" i="5"/>
  <c r="M259" i="5"/>
  <c r="M250" i="5"/>
  <c r="M247" i="5"/>
  <c r="M243" i="5"/>
  <c r="M220" i="5"/>
  <c r="M191" i="5"/>
  <c r="M187" i="5"/>
  <c r="M183" i="5"/>
  <c r="M170" i="5"/>
  <c r="M166" i="5"/>
  <c r="M162" i="5"/>
  <c r="M150" i="5"/>
  <c r="M146" i="5"/>
  <c r="M118" i="5"/>
  <c r="M114" i="5"/>
  <c r="M109" i="5"/>
  <c r="M105" i="5"/>
  <c r="M85" i="5"/>
  <c r="M81" i="5"/>
  <c r="M63" i="5"/>
  <c r="M295" i="5"/>
  <c r="M291" i="5"/>
  <c r="M271" i="5"/>
  <c r="M267" i="5"/>
  <c r="M262" i="5"/>
  <c r="M231" i="5"/>
  <c r="M227" i="5"/>
  <c r="M207" i="5"/>
  <c r="M195" i="5"/>
  <c r="M133" i="5"/>
  <c r="M129" i="5"/>
  <c r="M101" i="5"/>
  <c r="M67" i="5"/>
  <c r="M286" i="5"/>
  <c r="M282" i="5"/>
  <c r="M238" i="5"/>
  <c r="M235" i="5"/>
  <c r="M219" i="5"/>
  <c r="M182" i="5"/>
  <c r="M169" i="5"/>
  <c r="M145" i="5"/>
  <c r="M121" i="5"/>
  <c r="M117" i="5"/>
  <c r="M113" i="5"/>
  <c r="M104" i="5"/>
  <c r="M89" i="5"/>
  <c r="M77" i="5"/>
  <c r="M66" i="5"/>
  <c r="M62" i="5"/>
  <c r="M44" i="5"/>
  <c r="M298" i="5"/>
  <c r="M294" i="5"/>
  <c r="M278" i="5"/>
  <c r="M274" i="5"/>
  <c r="M266" i="5"/>
  <c r="M254" i="5"/>
  <c r="M230" i="5"/>
  <c r="M223" i="5"/>
  <c r="M214" i="5"/>
  <c r="M211" i="5"/>
  <c r="M206" i="5"/>
  <c r="M202" i="5"/>
  <c r="M199" i="5"/>
  <c r="M178" i="5"/>
  <c r="M174" i="5"/>
  <c r="M165" i="5"/>
  <c r="M161" i="5"/>
  <c r="M156" i="5"/>
  <c r="M153" i="5"/>
  <c r="M141" i="5"/>
  <c r="M137" i="5"/>
  <c r="M125" i="5"/>
  <c r="M96" i="5"/>
  <c r="M92" i="5"/>
  <c r="M80" i="5"/>
  <c r="N623" i="7"/>
  <c r="O623" i="7"/>
  <c r="D623" i="7"/>
  <c r="E623" i="7"/>
  <c r="H623" i="7"/>
  <c r="I623" i="7"/>
  <c r="J623" i="7"/>
  <c r="K623" i="7"/>
  <c r="L623" i="7"/>
  <c r="M623" i="7"/>
  <c r="O622" i="7"/>
  <c r="J622" i="7"/>
  <c r="K139" i="7"/>
  <c r="K135" i="7"/>
  <c r="K131" i="7"/>
  <c r="J112" i="7"/>
  <c r="K108" i="7"/>
  <c r="K114" i="7"/>
  <c r="J108" i="7"/>
  <c r="K92" i="7"/>
  <c r="K84" i="7"/>
  <c r="K73" i="7"/>
  <c r="K127" i="7"/>
  <c r="J115" i="7"/>
  <c r="K104" i="7"/>
  <c r="K91" i="7"/>
  <c r="K137" i="7"/>
  <c r="K133" i="7"/>
  <c r="K129" i="7"/>
  <c r="K128" i="7"/>
  <c r="J127" i="7"/>
  <c r="K126" i="7"/>
  <c r="K110" i="7"/>
  <c r="J137" i="7"/>
  <c r="J133" i="7"/>
  <c r="J128" i="7"/>
  <c r="J126" i="7"/>
  <c r="K123" i="7"/>
  <c r="K111" i="7"/>
  <c r="J110" i="7"/>
  <c r="J17" i="7"/>
  <c r="J21" i="7"/>
  <c r="J14" i="7"/>
  <c r="J18" i="7"/>
  <c r="J22" i="7"/>
  <c r="K15" i="7"/>
  <c r="K17" i="7"/>
  <c r="J27" i="7"/>
  <c r="J31" i="7"/>
  <c r="J35" i="7"/>
  <c r="J39" i="7"/>
  <c r="J43" i="7"/>
  <c r="J47" i="7"/>
  <c r="J51" i="7"/>
  <c r="J55" i="7"/>
  <c r="J59" i="7"/>
  <c r="J63" i="7"/>
  <c r="J67" i="7"/>
  <c r="J71" i="7"/>
  <c r="J75" i="7"/>
  <c r="J79" i="7"/>
  <c r="K27" i="7"/>
  <c r="K31" i="7"/>
  <c r="K35" i="7"/>
  <c r="K39" i="7"/>
  <c r="K43" i="7"/>
  <c r="K47" i="7"/>
  <c r="K51" i="7"/>
  <c r="K55" i="7"/>
  <c r="K59" i="7"/>
  <c r="K63" i="7"/>
  <c r="K67" i="7"/>
  <c r="K71" i="7"/>
  <c r="K75" i="7"/>
  <c r="K79" i="7"/>
  <c r="K21" i="7"/>
  <c r="K22" i="7"/>
  <c r="J23" i="7"/>
  <c r="J20" i="7"/>
  <c r="K23" i="7"/>
  <c r="J24" i="7"/>
  <c r="J28" i="7"/>
  <c r="J32" i="7"/>
  <c r="J36" i="7"/>
  <c r="J40" i="7"/>
  <c r="J44" i="7"/>
  <c r="J48" i="7"/>
  <c r="J52" i="7"/>
  <c r="J56" i="7"/>
  <c r="J60" i="7"/>
  <c r="K14" i="7"/>
  <c r="K20" i="7"/>
  <c r="K24" i="7"/>
  <c r="K28" i="7"/>
  <c r="K32" i="7"/>
  <c r="K36" i="7"/>
  <c r="K40" i="7"/>
  <c r="K44" i="7"/>
  <c r="K48" i="7"/>
  <c r="K52" i="7"/>
  <c r="K56" i="7"/>
  <c r="K60" i="7"/>
  <c r="K64" i="7"/>
  <c r="K68" i="7"/>
  <c r="K72" i="7"/>
  <c r="K76" i="7"/>
  <c r="K80" i="7"/>
  <c r="J16" i="7"/>
  <c r="K16" i="7"/>
  <c r="J19" i="7"/>
  <c r="J25" i="7"/>
  <c r="J29" i="7"/>
  <c r="J33" i="7"/>
  <c r="J37" i="7"/>
  <c r="J41" i="7"/>
  <c r="J45" i="7"/>
  <c r="J49" i="7"/>
  <c r="J53" i="7"/>
  <c r="J57" i="7"/>
  <c r="J61" i="7"/>
  <c r="J65" i="7"/>
  <c r="J69" i="7"/>
  <c r="J73" i="7"/>
  <c r="K19" i="7"/>
  <c r="K25" i="7"/>
  <c r="K29" i="7"/>
  <c r="K33" i="7"/>
  <c r="K37" i="7"/>
  <c r="K41" i="7"/>
  <c r="K45" i="7"/>
  <c r="K49" i="7"/>
  <c r="K53" i="7"/>
  <c r="K57" i="7"/>
  <c r="K61" i="7"/>
  <c r="K65" i="7"/>
  <c r="K69" i="7"/>
  <c r="K18" i="7"/>
  <c r="J26" i="7"/>
  <c r="J30" i="7"/>
  <c r="J34" i="7"/>
  <c r="J38" i="7"/>
  <c r="J42" i="7"/>
  <c r="J46" i="7"/>
  <c r="J50" i="7"/>
  <c r="J54" i="7"/>
  <c r="J58" i="7"/>
  <c r="J62" i="7"/>
  <c r="K42" i="7"/>
  <c r="J80" i="7"/>
  <c r="J64" i="7"/>
  <c r="J72" i="7"/>
  <c r="J81" i="7"/>
  <c r="J85" i="7"/>
  <c r="J89" i="7"/>
  <c r="J93" i="7"/>
  <c r="J97" i="7"/>
  <c r="J101" i="7"/>
  <c r="J105" i="7"/>
  <c r="J109" i="7"/>
  <c r="J113" i="7"/>
  <c r="J117" i="7"/>
  <c r="J121" i="7"/>
  <c r="J125" i="7"/>
  <c r="J129" i="7"/>
  <c r="J15" i="7"/>
  <c r="K46" i="7"/>
  <c r="J78" i="7"/>
  <c r="K81" i="7"/>
  <c r="K85" i="7"/>
  <c r="K89" i="7"/>
  <c r="K93" i="7"/>
  <c r="K97" i="7"/>
  <c r="K101" i="7"/>
  <c r="K105" i="7"/>
  <c r="K109" i="7"/>
  <c r="K113" i="7"/>
  <c r="K117" i="7"/>
  <c r="J66" i="7"/>
  <c r="K78" i="7"/>
  <c r="K26" i="7"/>
  <c r="K50" i="7"/>
  <c r="K66" i="7"/>
  <c r="J68" i="7"/>
  <c r="J77" i="7"/>
  <c r="J82" i="7"/>
  <c r="J86" i="7"/>
  <c r="J90" i="7"/>
  <c r="J94" i="7"/>
  <c r="J98" i="7"/>
  <c r="J102" i="7"/>
  <c r="J106" i="7"/>
  <c r="K58" i="7"/>
  <c r="K62" i="7"/>
  <c r="J76" i="7"/>
  <c r="K77" i="7"/>
  <c r="K82" i="7"/>
  <c r="K86" i="7"/>
  <c r="K90" i="7"/>
  <c r="K94" i="7"/>
  <c r="K98" i="7"/>
  <c r="K102" i="7"/>
  <c r="K106" i="7"/>
  <c r="K30" i="7"/>
  <c r="K54" i="7"/>
  <c r="J70" i="7"/>
  <c r="K70" i="7"/>
  <c r="J83" i="7"/>
  <c r="J87" i="7"/>
  <c r="J91" i="7"/>
  <c r="J95" i="7"/>
  <c r="J99" i="7"/>
  <c r="J103" i="7"/>
  <c r="K34" i="7"/>
  <c r="J74" i="7"/>
  <c r="K83" i="7"/>
  <c r="K74" i="7"/>
  <c r="K38" i="7"/>
  <c r="J84" i="7"/>
  <c r="J88" i="7"/>
  <c r="J92" i="7"/>
  <c r="J96" i="7"/>
  <c r="J100" i="7"/>
  <c r="J104" i="7"/>
  <c r="K136" i="7"/>
  <c r="K132" i="7"/>
  <c r="J124" i="7"/>
  <c r="J122" i="7"/>
  <c r="K119" i="7"/>
  <c r="J116" i="7"/>
  <c r="J107" i="7"/>
  <c r="K103" i="7"/>
  <c r="K95" i="7"/>
  <c r="O15" i="7"/>
  <c r="O19" i="7"/>
  <c r="N16" i="7"/>
  <c r="D15" i="7"/>
  <c r="D19" i="7"/>
  <c r="D23" i="7"/>
  <c r="E15" i="7"/>
  <c r="D16" i="7"/>
  <c r="D20" i="7"/>
  <c r="I283" i="5"/>
  <c r="G283" i="5"/>
  <c r="O21" i="7"/>
  <c r="N20" i="7"/>
  <c r="E18" i="7"/>
  <c r="D17" i="7"/>
  <c r="I295" i="5"/>
  <c r="I288" i="5"/>
  <c r="G288" i="5"/>
  <c r="N15" i="7"/>
  <c r="I253" i="5"/>
  <c r="G253" i="5"/>
  <c r="O18" i="7"/>
  <c r="E14" i="7"/>
  <c r="G263" i="5"/>
  <c r="I263" i="5"/>
  <c r="N18" i="7"/>
  <c r="E16" i="7"/>
  <c r="D14" i="7"/>
  <c r="G299" i="5"/>
  <c r="I300" i="5"/>
  <c r="G276" i="5"/>
  <c r="G252" i="5"/>
  <c r="I241" i="5"/>
  <c r="G266" i="5"/>
  <c r="I265" i="5"/>
  <c r="G242" i="5"/>
  <c r="I242" i="5"/>
  <c r="G216" i="5"/>
  <c r="I216" i="5"/>
  <c r="G297" i="5"/>
  <c r="I287" i="5"/>
  <c r="G285" i="5"/>
  <c r="G254" i="5"/>
  <c r="I254" i="5"/>
  <c r="G229" i="5"/>
  <c r="G221" i="5"/>
  <c r="I221" i="5"/>
  <c r="I301" i="5"/>
  <c r="I289" i="5"/>
  <c r="I277" i="5"/>
  <c r="G183" i="5"/>
  <c r="I183" i="5"/>
  <c r="I270" i="5"/>
  <c r="I258" i="5"/>
  <c r="M17" i="7"/>
  <c r="G257" i="5"/>
  <c r="I246" i="5"/>
  <c r="G207" i="5"/>
  <c r="I207" i="5"/>
  <c r="G182" i="5"/>
  <c r="I182" i="5"/>
  <c r="I151" i="5"/>
  <c r="G151" i="5"/>
  <c r="I106" i="5"/>
  <c r="G106" i="5"/>
  <c r="I134" i="5"/>
  <c r="G134" i="5"/>
  <c r="I293" i="5"/>
  <c r="I281" i="5"/>
  <c r="I267" i="5"/>
  <c r="M20" i="7"/>
  <c r="M16" i="7"/>
  <c r="I276" i="5"/>
  <c r="I272" i="5"/>
  <c r="G251" i="5"/>
  <c r="G240" i="5"/>
  <c r="G267" i="5"/>
  <c r="I266" i="5"/>
  <c r="I252" i="5"/>
  <c r="G241" i="5"/>
  <c r="I232" i="5"/>
  <c r="G232" i="5"/>
  <c r="G226" i="5"/>
  <c r="I226" i="5"/>
  <c r="G217" i="5"/>
  <c r="I220" i="5"/>
  <c r="G220" i="5"/>
  <c r="I208" i="5"/>
  <c r="G208" i="5"/>
  <c r="G206" i="5"/>
  <c r="I206" i="5"/>
  <c r="G231" i="5"/>
  <c r="I222" i="5"/>
  <c r="G194" i="5"/>
  <c r="I194" i="5"/>
  <c r="G230" i="5"/>
  <c r="G193" i="5"/>
  <c r="I193" i="5"/>
  <c r="I268" i="5"/>
  <c r="I256" i="5"/>
  <c r="I244" i="5"/>
  <c r="G218" i="5"/>
  <c r="I218" i="5"/>
  <c r="G198" i="5"/>
  <c r="I198" i="5"/>
  <c r="G210" i="5"/>
  <c r="I210" i="5"/>
  <c r="G233" i="5"/>
  <c r="G219" i="5"/>
  <c r="G170" i="5"/>
  <c r="I170" i="5"/>
  <c r="G196" i="5"/>
  <c r="I190" i="5"/>
  <c r="G188" i="5"/>
  <c r="I188" i="5"/>
  <c r="G185" i="5"/>
  <c r="I184" i="5"/>
  <c r="G174" i="5"/>
  <c r="G137" i="5"/>
  <c r="G186" i="5"/>
  <c r="G176" i="5"/>
  <c r="I176" i="5"/>
  <c r="I160" i="5"/>
  <c r="G171" i="5"/>
  <c r="G141" i="5"/>
  <c r="G158" i="5"/>
  <c r="I158" i="5"/>
  <c r="G146" i="5"/>
  <c r="I146" i="5"/>
  <c r="I144" i="5"/>
  <c r="I136" i="5"/>
  <c r="I209" i="5"/>
  <c r="I197" i="5"/>
  <c r="I204" i="5"/>
  <c r="I172" i="5"/>
  <c r="G168" i="5"/>
  <c r="G136" i="5"/>
  <c r="G125" i="5"/>
  <c r="I125" i="5"/>
  <c r="G162" i="5"/>
  <c r="G159" i="5"/>
  <c r="I189" i="5"/>
  <c r="I185" i="5"/>
  <c r="I180" i="5"/>
  <c r="I174" i="5"/>
  <c r="I165" i="5"/>
  <c r="G145" i="5"/>
  <c r="I145" i="5"/>
  <c r="I164" i="5"/>
  <c r="G140" i="5"/>
  <c r="I139" i="5"/>
  <c r="I114" i="5"/>
  <c r="I173" i="5"/>
  <c r="I161" i="5"/>
  <c r="G149" i="5"/>
  <c r="I148" i="5"/>
  <c r="I112" i="5"/>
  <c r="G112" i="5"/>
  <c r="I132" i="5"/>
  <c r="G114" i="5"/>
  <c r="I105" i="5"/>
  <c r="I100" i="5"/>
  <c r="G100" i="5"/>
  <c r="I127" i="5"/>
  <c r="I120" i="5"/>
  <c r="G111" i="5"/>
  <c r="G110" i="5"/>
  <c r="I110" i="5"/>
  <c r="G108" i="5"/>
  <c r="G99" i="5"/>
  <c r="G98" i="5"/>
  <c r="I98" i="5"/>
  <c r="I7" i="5"/>
  <c r="G7" i="5"/>
  <c r="G124" i="5"/>
  <c r="G59" i="5"/>
  <c r="I59" i="5"/>
  <c r="I118" i="5"/>
  <c r="G63" i="5"/>
  <c r="I63" i="5"/>
  <c r="G86" i="5"/>
  <c r="I86" i="5"/>
  <c r="I51" i="5"/>
  <c r="G51" i="5"/>
  <c r="I81" i="5"/>
  <c r="I94" i="5"/>
  <c r="G62" i="5"/>
  <c r="I62" i="5"/>
  <c r="G74" i="5"/>
  <c r="I74" i="5"/>
  <c r="I96" i="5"/>
  <c r="I107" i="5"/>
  <c r="G87" i="5"/>
  <c r="I87" i="5"/>
  <c r="I55" i="5"/>
  <c r="G55" i="5"/>
  <c r="G96" i="5"/>
  <c r="I82" i="5"/>
  <c r="G84" i="5"/>
  <c r="I76" i="5"/>
  <c r="G70" i="5"/>
  <c r="I19" i="5"/>
  <c r="G19" i="5"/>
  <c r="G76" i="5"/>
  <c r="G35" i="5"/>
  <c r="N7" i="5"/>
  <c r="I6" i="5"/>
  <c r="M3" i="5"/>
  <c r="M23" i="5"/>
  <c r="M35" i="5"/>
  <c r="M47" i="5"/>
  <c r="M6" i="5"/>
  <c r="M26" i="5"/>
  <c r="M38" i="5"/>
  <c r="M50" i="5"/>
  <c r="M2" i="5"/>
  <c r="M17" i="5"/>
  <c r="M29" i="5"/>
  <c r="M41" i="5"/>
  <c r="M53" i="5"/>
  <c r="M9" i="5"/>
  <c r="M11" i="5"/>
  <c r="M13" i="5"/>
  <c r="M15" i="5"/>
  <c r="M22" i="5"/>
  <c r="M34" i="5"/>
  <c r="M46" i="5"/>
  <c r="M7" i="5"/>
  <c r="M18" i="5"/>
  <c r="M36" i="5"/>
  <c r="M68" i="5"/>
  <c r="M10" i="5"/>
  <c r="M12" i="5"/>
  <c r="M14" i="5"/>
  <c r="M16" i="5"/>
  <c r="M51" i="5"/>
  <c r="M52" i="5"/>
  <c r="M54" i="5"/>
  <c r="M61" i="5"/>
  <c r="M73" i="5"/>
  <c r="M5" i="5"/>
  <c r="M8" i="5"/>
  <c r="M32" i="5"/>
  <c r="M33" i="5"/>
  <c r="M4" i="5"/>
  <c r="M31" i="5"/>
  <c r="M49" i="5"/>
  <c r="M55" i="5"/>
  <c r="M59" i="5"/>
  <c r="M30" i="5"/>
  <c r="M48" i="5"/>
  <c r="M27" i="5"/>
  <c r="M28" i="5"/>
  <c r="M56" i="5"/>
  <c r="M25" i="5"/>
  <c r="M43" i="5"/>
  <c r="M20" i="5"/>
  <c r="M21" i="5"/>
  <c r="M19" i="5"/>
  <c r="M37" i="5"/>
  <c r="I69" i="5"/>
  <c r="G17" i="5"/>
  <c r="I17" i="5"/>
  <c r="I64" i="5"/>
  <c r="I50" i="5"/>
  <c r="G50" i="5"/>
  <c r="G61" i="5"/>
  <c r="M57" i="5"/>
  <c r="M24" i="5"/>
  <c r="F9" i="5"/>
  <c r="F11" i="5"/>
  <c r="F13" i="5"/>
  <c r="F15" i="5"/>
  <c r="F22" i="5"/>
  <c r="F34" i="5"/>
  <c r="F46" i="5"/>
  <c r="F5" i="5"/>
  <c r="F25" i="5"/>
  <c r="F37" i="5"/>
  <c r="F49" i="5"/>
  <c r="F10" i="5"/>
  <c r="K10" i="5" s="1"/>
  <c r="F12" i="5"/>
  <c r="F14" i="5"/>
  <c r="F16" i="5"/>
  <c r="F28" i="5"/>
  <c r="F40" i="5"/>
  <c r="F52" i="5"/>
  <c r="F8" i="5"/>
  <c r="F21" i="5"/>
  <c r="F33" i="5"/>
  <c r="F45" i="5"/>
  <c r="F57" i="5"/>
  <c r="F29" i="5"/>
  <c r="K29" i="5" s="1"/>
  <c r="F47" i="5"/>
  <c r="F56" i="5"/>
  <c r="F67" i="5"/>
  <c r="F26" i="5"/>
  <c r="F27" i="5"/>
  <c r="F60" i="5"/>
  <c r="F72" i="5"/>
  <c r="F43" i="5"/>
  <c r="F44" i="5"/>
  <c r="F24" i="5"/>
  <c r="F42" i="5"/>
  <c r="F23" i="5"/>
  <c r="F41" i="5"/>
  <c r="F58" i="5"/>
  <c r="F38" i="5"/>
  <c r="F39" i="5"/>
  <c r="F68" i="5"/>
  <c r="F18" i="5"/>
  <c r="F36" i="5"/>
  <c r="F54" i="5"/>
  <c r="F4" i="5"/>
  <c r="F31" i="5"/>
  <c r="F32" i="5"/>
  <c r="F2" i="5"/>
  <c r="F3" i="5"/>
  <c r="F30" i="5"/>
  <c r="F48" i="5"/>
  <c r="G53" i="5"/>
  <c r="M45" i="5"/>
  <c r="G20" i="5"/>
  <c r="B31" i="4"/>
  <c r="B12" i="4"/>
  <c r="L215" i="5" s="1"/>
  <c r="B28" i="4"/>
  <c r="B9" i="4"/>
  <c r="B24" i="4"/>
  <c r="B10" i="4"/>
  <c r="B23" i="4"/>
  <c r="B35" i="4"/>
  <c r="B14" i="4"/>
  <c r="B38" i="4"/>
  <c r="B4" i="4"/>
  <c r="E5" i="7" s="1"/>
  <c r="B17" i="4"/>
  <c r="B29" i="4"/>
  <c r="N9" i="5" s="1"/>
  <c r="B5" i="4"/>
  <c r="B18" i="4"/>
  <c r="B3" i="7" s="1"/>
  <c r="B30" i="4"/>
  <c r="A2" i="11" s="1"/>
  <c r="B42" i="4"/>
  <c r="N27" i="1" s="1"/>
  <c r="B39" i="4"/>
  <c r="B21" i="4"/>
  <c r="B37" i="4"/>
  <c r="B20" i="4"/>
  <c r="B36" i="4"/>
  <c r="B19" i="4"/>
  <c r="B34" i="4"/>
  <c r="B16" i="4"/>
  <c r="B33" i="4"/>
  <c r="K240" i="5" s="1"/>
  <c r="B15" i="4"/>
  <c r="B32" i="4"/>
  <c r="B13" i="4"/>
  <c r="L61" i="5" s="1"/>
  <c r="G623" i="7" l="1"/>
  <c r="G19" i="7"/>
  <c r="F623" i="7"/>
  <c r="G15" i="7"/>
  <c r="Z15" i="7" s="1"/>
  <c r="AA15" i="7" s="1"/>
  <c r="G22" i="7"/>
  <c r="Z22" i="7" s="1"/>
  <c r="AA22" i="7" s="1"/>
  <c r="G18" i="7"/>
  <c r="Z18" i="7" s="1"/>
  <c r="AA18" i="7" s="1"/>
  <c r="G14" i="7"/>
  <c r="F18" i="7"/>
  <c r="Y14" i="7"/>
  <c r="Z14" i="7"/>
  <c r="AA14" i="7" s="1"/>
  <c r="Y18" i="7"/>
  <c r="K32" i="5"/>
  <c r="N41" i="5"/>
  <c r="L124" i="5"/>
  <c r="L210" i="5"/>
  <c r="K24" i="5"/>
  <c r="N17" i="5"/>
  <c r="L300" i="5"/>
  <c r="K33" i="5"/>
  <c r="K25" i="5"/>
  <c r="L91" i="5"/>
  <c r="N45" i="5"/>
  <c r="L96" i="5"/>
  <c r="L100" i="5"/>
  <c r="K21" i="5"/>
  <c r="K5" i="5"/>
  <c r="N42" i="5"/>
  <c r="L125" i="5"/>
  <c r="K8" i="5"/>
  <c r="K46" i="5"/>
  <c r="N40" i="5"/>
  <c r="N18" i="5"/>
  <c r="K18" i="5"/>
  <c r="N62" i="5"/>
  <c r="L278" i="5"/>
  <c r="L53" i="5"/>
  <c r="L66" i="5"/>
  <c r="N46" i="5"/>
  <c r="K26" i="5"/>
  <c r="N55" i="5"/>
  <c r="L295" i="5"/>
  <c r="N32" i="5"/>
  <c r="K283" i="5"/>
  <c r="K11" i="5"/>
  <c r="N12" i="5"/>
  <c r="L110" i="5"/>
  <c r="N15" i="5"/>
  <c r="L219" i="5"/>
  <c r="L252" i="5"/>
  <c r="G80" i="5"/>
  <c r="I80" i="5"/>
  <c r="F25" i="7"/>
  <c r="Y25" i="7" s="1"/>
  <c r="G26" i="7"/>
  <c r="Z26" i="7" s="1"/>
  <c r="AA26" i="7" s="1"/>
  <c r="F37" i="7"/>
  <c r="Y37" i="7" s="1"/>
  <c r="G38" i="7"/>
  <c r="Z38" i="7" s="1"/>
  <c r="AA38" i="7" s="1"/>
  <c r="F49" i="7"/>
  <c r="Y49" i="7" s="1"/>
  <c r="G50" i="7"/>
  <c r="Z50" i="7" s="1"/>
  <c r="AA50" i="7" s="1"/>
  <c r="F61" i="7"/>
  <c r="Y61" i="7" s="1"/>
  <c r="G62" i="7"/>
  <c r="Z62" i="7" s="1"/>
  <c r="AA62" i="7" s="1"/>
  <c r="F73" i="7"/>
  <c r="Y73" i="7" s="1"/>
  <c r="G74" i="7"/>
  <c r="Z74" i="7" s="1"/>
  <c r="AA74" i="7" s="1"/>
  <c r="F85" i="7"/>
  <c r="Y85" i="7" s="1"/>
  <c r="G86" i="7"/>
  <c r="Z86" i="7" s="1"/>
  <c r="AA86" i="7" s="1"/>
  <c r="F99" i="7"/>
  <c r="Y99" i="7" s="1"/>
  <c r="F100" i="7"/>
  <c r="Y100" i="7" s="1"/>
  <c r="F101" i="7"/>
  <c r="Y101" i="7" s="1"/>
  <c r="G102" i="7"/>
  <c r="Z102" i="7" s="1"/>
  <c r="AA102" i="7" s="1"/>
  <c r="F129" i="7"/>
  <c r="Y129" i="7" s="1"/>
  <c r="G130" i="7"/>
  <c r="Z130" i="7" s="1"/>
  <c r="AA130" i="7" s="1"/>
  <c r="F134" i="7"/>
  <c r="Y134" i="7" s="1"/>
  <c r="F138" i="7"/>
  <c r="Y138" i="7" s="1"/>
  <c r="G149" i="7"/>
  <c r="Z149" i="7" s="1"/>
  <c r="AA149" i="7" s="1"/>
  <c r="F150" i="7"/>
  <c r="Y150" i="7" s="1"/>
  <c r="G161" i="7"/>
  <c r="Z161" i="7" s="1"/>
  <c r="AA161" i="7" s="1"/>
  <c r="F162" i="7"/>
  <c r="Y162" i="7" s="1"/>
  <c r="G171" i="7"/>
  <c r="Z171" i="7" s="1"/>
  <c r="AA171" i="7" s="1"/>
  <c r="F172" i="7"/>
  <c r="Y172" i="7" s="1"/>
  <c r="F181" i="7"/>
  <c r="Y181" i="7" s="1"/>
  <c r="G190" i="7"/>
  <c r="Z190" i="7" s="1"/>
  <c r="AA190" i="7" s="1"/>
  <c r="G199" i="7"/>
  <c r="Z199" i="7" s="1"/>
  <c r="AA199" i="7" s="1"/>
  <c r="F200" i="7"/>
  <c r="Y200" i="7" s="1"/>
  <c r="G208" i="7"/>
  <c r="Z208" i="7" s="1"/>
  <c r="AA208" i="7" s="1"/>
  <c r="F209" i="7"/>
  <c r="Y209" i="7" s="1"/>
  <c r="G217" i="7"/>
  <c r="Z217" i="7" s="1"/>
  <c r="AA217" i="7" s="1"/>
  <c r="F218" i="7"/>
  <c r="Y218" i="7" s="1"/>
  <c r="G226" i="7"/>
  <c r="Z226" i="7" s="1"/>
  <c r="AA226" i="7" s="1"/>
  <c r="F227" i="7"/>
  <c r="Y227" i="7" s="1"/>
  <c r="G237" i="7"/>
  <c r="Z237" i="7" s="1"/>
  <c r="AA237" i="7" s="1"/>
  <c r="F238" i="7"/>
  <c r="Y238" i="7" s="1"/>
  <c r="F247" i="7"/>
  <c r="Y247" i="7" s="1"/>
  <c r="G256" i="7"/>
  <c r="Z256" i="7" s="1"/>
  <c r="AA256" i="7" s="1"/>
  <c r="F257" i="7"/>
  <c r="Y257" i="7" s="1"/>
  <c r="G267" i="7"/>
  <c r="Z267" i="7" s="1"/>
  <c r="AA267" i="7" s="1"/>
  <c r="F268" i="7"/>
  <c r="Y268" i="7" s="1"/>
  <c r="G279" i="7"/>
  <c r="Z279" i="7" s="1"/>
  <c r="AA279" i="7" s="1"/>
  <c r="G290" i="7"/>
  <c r="Z290" i="7" s="1"/>
  <c r="AA290" i="7" s="1"/>
  <c r="F291" i="7"/>
  <c r="Y291" i="7" s="1"/>
  <c r="G301" i="7"/>
  <c r="Z301" i="7" s="1"/>
  <c r="AA301" i="7" s="1"/>
  <c r="F302" i="7"/>
  <c r="Y302" i="7" s="1"/>
  <c r="G313" i="7"/>
  <c r="Z313" i="7" s="1"/>
  <c r="AA313" i="7" s="1"/>
  <c r="F15" i="7"/>
  <c r="F17" i="7"/>
  <c r="F24" i="7"/>
  <c r="Y24" i="7" s="1"/>
  <c r="G25" i="7"/>
  <c r="Z25" i="7" s="1"/>
  <c r="AA25" i="7" s="1"/>
  <c r="F36" i="7"/>
  <c r="Y36" i="7" s="1"/>
  <c r="G37" i="7"/>
  <c r="Z37" i="7" s="1"/>
  <c r="AA37" i="7" s="1"/>
  <c r="F48" i="7"/>
  <c r="Y48" i="7" s="1"/>
  <c r="G49" i="7"/>
  <c r="Z49" i="7" s="1"/>
  <c r="AA49" i="7" s="1"/>
  <c r="F60" i="7"/>
  <c r="Y60" i="7" s="1"/>
  <c r="G61" i="7"/>
  <c r="Z61" i="7" s="1"/>
  <c r="AA61" i="7" s="1"/>
  <c r="F72" i="7"/>
  <c r="Y72" i="7" s="1"/>
  <c r="G73" i="7"/>
  <c r="Z73" i="7" s="1"/>
  <c r="AA73" i="7" s="1"/>
  <c r="F84" i="7"/>
  <c r="Y84" i="7" s="1"/>
  <c r="G85" i="7"/>
  <c r="Z85" i="7" s="1"/>
  <c r="AA85" i="7" s="1"/>
  <c r="F98" i="7"/>
  <c r="Y98" i="7" s="1"/>
  <c r="G99" i="7"/>
  <c r="Z99" i="7" s="1"/>
  <c r="AA99" i="7" s="1"/>
  <c r="G100" i="7"/>
  <c r="Z100" i="7" s="1"/>
  <c r="AA100" i="7" s="1"/>
  <c r="G101" i="7"/>
  <c r="Z101" i="7" s="1"/>
  <c r="AA101" i="7" s="1"/>
  <c r="F118" i="7"/>
  <c r="Y118" i="7" s="1"/>
  <c r="F128" i="7"/>
  <c r="Y128" i="7" s="1"/>
  <c r="G129" i="7"/>
  <c r="F131" i="7"/>
  <c r="Y131" i="7" s="1"/>
  <c r="F132" i="7"/>
  <c r="Y132" i="7" s="1"/>
  <c r="F133" i="7"/>
  <c r="Y133" i="7" s="1"/>
  <c r="G134" i="7"/>
  <c r="Z134" i="7" s="1"/>
  <c r="AA134" i="7" s="1"/>
  <c r="F135" i="7"/>
  <c r="Y135" i="7" s="1"/>
  <c r="F136" i="7"/>
  <c r="Y136" i="7" s="1"/>
  <c r="F137" i="7"/>
  <c r="Y137" i="7" s="1"/>
  <c r="G138" i="7"/>
  <c r="Z138" i="7" s="1"/>
  <c r="AA138" i="7" s="1"/>
  <c r="F139" i="7"/>
  <c r="Y139" i="7" s="1"/>
  <c r="F140" i="7"/>
  <c r="Y140" i="7" s="1"/>
  <c r="G150" i="7"/>
  <c r="Z150" i="7" s="1"/>
  <c r="AA150" i="7" s="1"/>
  <c r="F151" i="7"/>
  <c r="Y151" i="7" s="1"/>
  <c r="G162" i="7"/>
  <c r="Z162" i="7" s="1"/>
  <c r="AA162" i="7" s="1"/>
  <c r="F163" i="7"/>
  <c r="Y163" i="7" s="1"/>
  <c r="G172" i="7"/>
  <c r="Z172" i="7" s="1"/>
  <c r="AA172" i="7" s="1"/>
  <c r="G181" i="7"/>
  <c r="Z181" i="7" s="1"/>
  <c r="AA181" i="7" s="1"/>
  <c r="F182" i="7"/>
  <c r="Y182" i="7" s="1"/>
  <c r="F191" i="7"/>
  <c r="Y191" i="7" s="1"/>
  <c r="G200" i="7"/>
  <c r="Z200" i="7" s="1"/>
  <c r="AA200" i="7" s="1"/>
  <c r="F201" i="7"/>
  <c r="Y201" i="7" s="1"/>
  <c r="G209" i="7"/>
  <c r="Z209" i="7" s="1"/>
  <c r="AA209" i="7" s="1"/>
  <c r="F210" i="7"/>
  <c r="Y210" i="7" s="1"/>
  <c r="G218" i="7"/>
  <c r="Z218" i="7" s="1"/>
  <c r="AA218" i="7" s="1"/>
  <c r="G227" i="7"/>
  <c r="Z227" i="7" s="1"/>
  <c r="AA227" i="7" s="1"/>
  <c r="F228" i="7"/>
  <c r="Y228" i="7" s="1"/>
  <c r="G238" i="7"/>
  <c r="Z238" i="7" s="1"/>
  <c r="AA238" i="7" s="1"/>
  <c r="F239" i="7"/>
  <c r="Y239" i="7" s="1"/>
  <c r="G247" i="7"/>
  <c r="Z247" i="7" s="1"/>
  <c r="AA247" i="7" s="1"/>
  <c r="F248" i="7"/>
  <c r="Y248" i="7" s="1"/>
  <c r="G257" i="7"/>
  <c r="Z257" i="7" s="1"/>
  <c r="AA257" i="7" s="1"/>
  <c r="F258" i="7"/>
  <c r="Y258" i="7" s="1"/>
  <c r="G268" i="7"/>
  <c r="Z268" i="7" s="1"/>
  <c r="AA268" i="7" s="1"/>
  <c r="F269" i="7"/>
  <c r="Y269" i="7" s="1"/>
  <c r="F280" i="7"/>
  <c r="Y280" i="7" s="1"/>
  <c r="G291" i="7"/>
  <c r="Z291" i="7" s="1"/>
  <c r="AA291" i="7" s="1"/>
  <c r="F292" i="7"/>
  <c r="Y292" i="7" s="1"/>
  <c r="G302" i="7"/>
  <c r="Z302" i="7" s="1"/>
  <c r="AA302" i="7" s="1"/>
  <c r="F303" i="7"/>
  <c r="Y303" i="7" s="1"/>
  <c r="F314" i="7"/>
  <c r="Y314" i="7" s="1"/>
  <c r="G17" i="7"/>
  <c r="F23" i="7"/>
  <c r="Y23" i="7" s="1"/>
  <c r="G24" i="7"/>
  <c r="Z24" i="7" s="1"/>
  <c r="AA24" i="7" s="1"/>
  <c r="F35" i="7"/>
  <c r="Y35" i="7" s="1"/>
  <c r="G36" i="7"/>
  <c r="Z36" i="7" s="1"/>
  <c r="AA36" i="7" s="1"/>
  <c r="F47" i="7"/>
  <c r="Y47" i="7" s="1"/>
  <c r="G48" i="7"/>
  <c r="Z48" i="7" s="1"/>
  <c r="AA48" i="7" s="1"/>
  <c r="F59" i="7"/>
  <c r="Y59" i="7" s="1"/>
  <c r="G60" i="7"/>
  <c r="Z60" i="7" s="1"/>
  <c r="AA60" i="7" s="1"/>
  <c r="F71" i="7"/>
  <c r="Y71" i="7" s="1"/>
  <c r="G72" i="7"/>
  <c r="Z72" i="7" s="1"/>
  <c r="AA72" i="7" s="1"/>
  <c r="F83" i="7"/>
  <c r="Y83" i="7" s="1"/>
  <c r="G84" i="7"/>
  <c r="Z84" i="7" s="1"/>
  <c r="AA84" i="7" s="1"/>
  <c r="F97" i="7"/>
  <c r="Y97" i="7" s="1"/>
  <c r="G98" i="7"/>
  <c r="Z98" i="7" s="1"/>
  <c r="AA98" i="7" s="1"/>
  <c r="F114" i="7"/>
  <c r="Y114" i="7" s="1"/>
  <c r="F115" i="7"/>
  <c r="Y115" i="7" s="1"/>
  <c r="F116" i="7"/>
  <c r="Y116" i="7" s="1"/>
  <c r="F117" i="7"/>
  <c r="Y117" i="7" s="1"/>
  <c r="G118" i="7"/>
  <c r="Z118" i="7" s="1"/>
  <c r="AA118" i="7" s="1"/>
  <c r="F119" i="7"/>
  <c r="Y119" i="7" s="1"/>
  <c r="F120" i="7"/>
  <c r="Y120" i="7" s="1"/>
  <c r="F127" i="7"/>
  <c r="Y127" i="7" s="1"/>
  <c r="G128" i="7"/>
  <c r="Z128" i="7" s="1"/>
  <c r="AA128" i="7" s="1"/>
  <c r="G131" i="7"/>
  <c r="Z131" i="7" s="1"/>
  <c r="AA131" i="7" s="1"/>
  <c r="G132" i="7"/>
  <c r="Z132" i="7" s="1"/>
  <c r="AA132" i="7" s="1"/>
  <c r="G133" i="7"/>
  <c r="Z133" i="7" s="1"/>
  <c r="AA133" i="7" s="1"/>
  <c r="G135" i="7"/>
  <c r="Z135" i="7" s="1"/>
  <c r="AA135" i="7" s="1"/>
  <c r="G136" i="7"/>
  <c r="Z136" i="7" s="1"/>
  <c r="AA136" i="7" s="1"/>
  <c r="G137" i="7"/>
  <c r="Z137" i="7" s="1"/>
  <c r="AA137" i="7" s="1"/>
  <c r="G139" i="7"/>
  <c r="Z139" i="7" s="1"/>
  <c r="AA139" i="7" s="1"/>
  <c r="G140" i="7"/>
  <c r="Z140" i="7" s="1"/>
  <c r="AA140" i="7" s="1"/>
  <c r="F141" i="7"/>
  <c r="Y141" i="7" s="1"/>
  <c r="G151" i="7"/>
  <c r="Z151" i="7" s="1"/>
  <c r="AA151" i="7" s="1"/>
  <c r="F152" i="7"/>
  <c r="Y152" i="7" s="1"/>
  <c r="G163" i="7"/>
  <c r="Z163" i="7" s="1"/>
  <c r="AA163" i="7" s="1"/>
  <c r="F164" i="7"/>
  <c r="Y164" i="7" s="1"/>
  <c r="F173" i="7"/>
  <c r="Y173" i="7" s="1"/>
  <c r="G182" i="7"/>
  <c r="Z182" i="7" s="1"/>
  <c r="AA182" i="7" s="1"/>
  <c r="G191" i="7"/>
  <c r="Z191" i="7" s="1"/>
  <c r="AA191" i="7" s="1"/>
  <c r="F192" i="7"/>
  <c r="Y192" i="7" s="1"/>
  <c r="G201" i="7"/>
  <c r="Z201" i="7" s="1"/>
  <c r="AA201" i="7" s="1"/>
  <c r="F202" i="7"/>
  <c r="Y202" i="7" s="1"/>
  <c r="G210" i="7"/>
  <c r="Z210" i="7" s="1"/>
  <c r="AA210" i="7" s="1"/>
  <c r="F219" i="7"/>
  <c r="Y219" i="7" s="1"/>
  <c r="G228" i="7"/>
  <c r="Z228" i="7" s="1"/>
  <c r="AA228" i="7" s="1"/>
  <c r="F229" i="7"/>
  <c r="Y229" i="7" s="1"/>
  <c r="G239" i="7"/>
  <c r="Z239" i="7" s="1"/>
  <c r="AA239" i="7" s="1"/>
  <c r="F240" i="7"/>
  <c r="Y240" i="7" s="1"/>
  <c r="G248" i="7"/>
  <c r="Z248" i="7" s="1"/>
  <c r="AA248" i="7" s="1"/>
  <c r="G258" i="7"/>
  <c r="Z258" i="7" s="1"/>
  <c r="AA258" i="7" s="1"/>
  <c r="F259" i="7"/>
  <c r="Y259" i="7" s="1"/>
  <c r="G269" i="7"/>
  <c r="Z269" i="7" s="1"/>
  <c r="AA269" i="7" s="1"/>
  <c r="F270" i="7"/>
  <c r="Y270" i="7" s="1"/>
  <c r="G280" i="7"/>
  <c r="Z280" i="7" s="1"/>
  <c r="AA280" i="7" s="1"/>
  <c r="F281" i="7"/>
  <c r="Y281" i="7" s="1"/>
  <c r="G292" i="7"/>
  <c r="Z292" i="7" s="1"/>
  <c r="AA292" i="7" s="1"/>
  <c r="F293" i="7"/>
  <c r="Y293" i="7" s="1"/>
  <c r="G303" i="7"/>
  <c r="Z303" i="7" s="1"/>
  <c r="AA303" i="7" s="1"/>
  <c r="F304" i="7"/>
  <c r="Y304" i="7" s="1"/>
  <c r="G314" i="7"/>
  <c r="Z314" i="7" s="1"/>
  <c r="AA314" i="7" s="1"/>
  <c r="F315" i="7"/>
  <c r="Y315" i="7" s="1"/>
  <c r="F19" i="7"/>
  <c r="Y19" i="7" s="1"/>
  <c r="G23" i="7"/>
  <c r="Z23" i="7" s="1"/>
  <c r="AA23" i="7" s="1"/>
  <c r="F34" i="7"/>
  <c r="Y34" i="7" s="1"/>
  <c r="G35" i="7"/>
  <c r="Z35" i="7" s="1"/>
  <c r="AA35" i="7" s="1"/>
  <c r="F46" i="7"/>
  <c r="Y46" i="7" s="1"/>
  <c r="G47" i="7"/>
  <c r="Z47" i="7" s="1"/>
  <c r="AA47" i="7" s="1"/>
  <c r="F58" i="7"/>
  <c r="Y58" i="7" s="1"/>
  <c r="G59" i="7"/>
  <c r="Z59" i="7" s="1"/>
  <c r="AA59" i="7" s="1"/>
  <c r="F70" i="7"/>
  <c r="Y70" i="7" s="1"/>
  <c r="G71" i="7"/>
  <c r="Z71" i="7" s="1"/>
  <c r="AA71" i="7" s="1"/>
  <c r="F82" i="7"/>
  <c r="Y82" i="7" s="1"/>
  <c r="G83" i="7"/>
  <c r="Z83" i="7" s="1"/>
  <c r="AA83" i="7" s="1"/>
  <c r="F96" i="7"/>
  <c r="Y96" i="7" s="1"/>
  <c r="G97" i="7"/>
  <c r="Z97" i="7" s="1"/>
  <c r="AA97" i="7" s="1"/>
  <c r="F111" i="7"/>
  <c r="Y111" i="7" s="1"/>
  <c r="F112" i="7"/>
  <c r="Y112" i="7" s="1"/>
  <c r="F113" i="7"/>
  <c r="Y113" i="7" s="1"/>
  <c r="G114" i="7"/>
  <c r="Z114" i="7" s="1"/>
  <c r="AA114" i="7" s="1"/>
  <c r="G115" i="7"/>
  <c r="Z115" i="7" s="1"/>
  <c r="AA115" i="7" s="1"/>
  <c r="G116" i="7"/>
  <c r="Z116" i="7" s="1"/>
  <c r="AA116" i="7" s="1"/>
  <c r="G117" i="7"/>
  <c r="Z117" i="7" s="1"/>
  <c r="AA117" i="7" s="1"/>
  <c r="G119" i="7"/>
  <c r="Z119" i="7" s="1"/>
  <c r="AA119" i="7" s="1"/>
  <c r="G120" i="7"/>
  <c r="Z120" i="7" s="1"/>
  <c r="AA120" i="7" s="1"/>
  <c r="F121" i="7"/>
  <c r="Y121" i="7" s="1"/>
  <c r="F122" i="7"/>
  <c r="Y122" i="7" s="1"/>
  <c r="F123" i="7"/>
  <c r="Y123" i="7" s="1"/>
  <c r="F124" i="7"/>
  <c r="Y124" i="7" s="1"/>
  <c r="F125" i="7"/>
  <c r="Y125" i="7" s="1"/>
  <c r="F126" i="7"/>
  <c r="Y126" i="7" s="1"/>
  <c r="G127" i="7"/>
  <c r="G141" i="7"/>
  <c r="Z141" i="7" s="1"/>
  <c r="AA141" i="7" s="1"/>
  <c r="F142" i="7"/>
  <c r="Y142" i="7" s="1"/>
  <c r="G152" i="7"/>
  <c r="Z152" i="7" s="1"/>
  <c r="AA152" i="7" s="1"/>
  <c r="F153" i="7"/>
  <c r="Y153" i="7" s="1"/>
  <c r="G164" i="7"/>
  <c r="Z164" i="7" s="1"/>
  <c r="AA164" i="7" s="1"/>
  <c r="G173" i="7"/>
  <c r="Z173" i="7" s="1"/>
  <c r="AA173" i="7" s="1"/>
  <c r="F174" i="7"/>
  <c r="Y174" i="7" s="1"/>
  <c r="F183" i="7"/>
  <c r="Y183" i="7" s="1"/>
  <c r="G192" i="7"/>
  <c r="Z192" i="7" s="1"/>
  <c r="AA192" i="7" s="1"/>
  <c r="F193" i="7"/>
  <c r="Y193" i="7" s="1"/>
  <c r="G202" i="7"/>
  <c r="Z202" i="7" s="1"/>
  <c r="AA202" i="7" s="1"/>
  <c r="F211" i="7"/>
  <c r="Y211" i="7" s="1"/>
  <c r="G219" i="7"/>
  <c r="Z219" i="7" s="1"/>
  <c r="AA219" i="7" s="1"/>
  <c r="F220" i="7"/>
  <c r="Y220" i="7" s="1"/>
  <c r="G229" i="7"/>
  <c r="Z229" i="7" s="1"/>
  <c r="AA229" i="7" s="1"/>
  <c r="F230" i="7"/>
  <c r="Y230" i="7" s="1"/>
  <c r="G240" i="7"/>
  <c r="Z240" i="7" s="1"/>
  <c r="AA240" i="7" s="1"/>
  <c r="F241" i="7"/>
  <c r="Y241" i="7" s="1"/>
  <c r="F249" i="7"/>
  <c r="Y249" i="7" s="1"/>
  <c r="G259" i="7"/>
  <c r="Z259" i="7" s="1"/>
  <c r="AA259" i="7" s="1"/>
  <c r="F260" i="7"/>
  <c r="Y260" i="7" s="1"/>
  <c r="G270" i="7"/>
  <c r="Z270" i="7" s="1"/>
  <c r="AA270" i="7" s="1"/>
  <c r="F271" i="7"/>
  <c r="Y271" i="7" s="1"/>
  <c r="G281" i="7"/>
  <c r="Z281" i="7" s="1"/>
  <c r="AA281" i="7" s="1"/>
  <c r="F282" i="7"/>
  <c r="Y282" i="7" s="1"/>
  <c r="G293" i="7"/>
  <c r="Z293" i="7" s="1"/>
  <c r="AA293" i="7" s="1"/>
  <c r="F294" i="7"/>
  <c r="Y294" i="7" s="1"/>
  <c r="G304" i="7"/>
  <c r="Z304" i="7" s="1"/>
  <c r="AA304" i="7" s="1"/>
  <c r="F305" i="7"/>
  <c r="Y305" i="7" s="1"/>
  <c r="G315" i="7"/>
  <c r="Z315" i="7" s="1"/>
  <c r="AA315" i="7" s="1"/>
  <c r="F33" i="7"/>
  <c r="Y33" i="7" s="1"/>
  <c r="G34" i="7"/>
  <c r="Z34" i="7" s="1"/>
  <c r="AA34" i="7" s="1"/>
  <c r="F45" i="7"/>
  <c r="Y45" i="7" s="1"/>
  <c r="G46" i="7"/>
  <c r="Z46" i="7" s="1"/>
  <c r="AA46" i="7" s="1"/>
  <c r="F57" i="7"/>
  <c r="Y57" i="7" s="1"/>
  <c r="G58" i="7"/>
  <c r="Z58" i="7" s="1"/>
  <c r="AA58" i="7" s="1"/>
  <c r="F69" i="7"/>
  <c r="Y69" i="7" s="1"/>
  <c r="G70" i="7"/>
  <c r="Z70" i="7" s="1"/>
  <c r="AA70" i="7" s="1"/>
  <c r="F81" i="7"/>
  <c r="Y81" i="7" s="1"/>
  <c r="G82" i="7"/>
  <c r="Z82" i="7" s="1"/>
  <c r="AA82" i="7" s="1"/>
  <c r="F95" i="7"/>
  <c r="Y95" i="7" s="1"/>
  <c r="G96" i="7"/>
  <c r="Z96" i="7" s="1"/>
  <c r="AA96" i="7" s="1"/>
  <c r="F110" i="7"/>
  <c r="G111" i="7"/>
  <c r="Z111" i="7" s="1"/>
  <c r="AA111" i="7" s="1"/>
  <c r="G112" i="7"/>
  <c r="Z112" i="7" s="1"/>
  <c r="AA112" i="7" s="1"/>
  <c r="G113" i="7"/>
  <c r="Z113" i="7" s="1"/>
  <c r="AA113" i="7" s="1"/>
  <c r="G121" i="7"/>
  <c r="Z121" i="7" s="1"/>
  <c r="AA121" i="7" s="1"/>
  <c r="G122" i="7"/>
  <c r="Z122" i="7" s="1"/>
  <c r="AA122" i="7" s="1"/>
  <c r="G123" i="7"/>
  <c r="Z123" i="7" s="1"/>
  <c r="AA123" i="7" s="1"/>
  <c r="G124" i="7"/>
  <c r="Z124" i="7" s="1"/>
  <c r="AA124" i="7" s="1"/>
  <c r="G125" i="7"/>
  <c r="Z125" i="7" s="1"/>
  <c r="AA125" i="7" s="1"/>
  <c r="G126" i="7"/>
  <c r="Z126" i="7" s="1"/>
  <c r="AA126" i="7" s="1"/>
  <c r="G142" i="7"/>
  <c r="Z142" i="7" s="1"/>
  <c r="AA142" i="7" s="1"/>
  <c r="F143" i="7"/>
  <c r="Y143" i="7" s="1"/>
  <c r="G153" i="7"/>
  <c r="Z153" i="7" s="1"/>
  <c r="AA153" i="7" s="1"/>
  <c r="F154" i="7"/>
  <c r="Y154" i="7" s="1"/>
  <c r="F165" i="7"/>
  <c r="Y165" i="7" s="1"/>
  <c r="G174" i="7"/>
  <c r="Z174" i="7" s="1"/>
  <c r="AA174" i="7" s="1"/>
  <c r="G183" i="7"/>
  <c r="Z183" i="7" s="1"/>
  <c r="AA183" i="7" s="1"/>
  <c r="F184" i="7"/>
  <c r="Y184" i="7" s="1"/>
  <c r="G193" i="7"/>
  <c r="Z193" i="7" s="1"/>
  <c r="AA193" i="7" s="1"/>
  <c r="F194" i="7"/>
  <c r="Y194" i="7" s="1"/>
  <c r="F203" i="7"/>
  <c r="Y203" i="7" s="1"/>
  <c r="G211" i="7"/>
  <c r="Z211" i="7" s="1"/>
  <c r="AA211" i="7" s="1"/>
  <c r="F212" i="7"/>
  <c r="Y212" i="7" s="1"/>
  <c r="G220" i="7"/>
  <c r="Z220" i="7" s="1"/>
  <c r="AA220" i="7" s="1"/>
  <c r="G230" i="7"/>
  <c r="Z230" i="7" s="1"/>
  <c r="AA230" i="7" s="1"/>
  <c r="F231" i="7"/>
  <c r="Y231" i="7" s="1"/>
  <c r="G241" i="7"/>
  <c r="Z241" i="7" s="1"/>
  <c r="AA241" i="7" s="1"/>
  <c r="F242" i="7"/>
  <c r="Y242" i="7" s="1"/>
  <c r="G249" i="7"/>
  <c r="Z249" i="7" s="1"/>
  <c r="AA249" i="7" s="1"/>
  <c r="F250" i="7"/>
  <c r="Y250" i="7" s="1"/>
  <c r="G260" i="7"/>
  <c r="Z260" i="7" s="1"/>
  <c r="AA260" i="7" s="1"/>
  <c r="G271" i="7"/>
  <c r="Z271" i="7" s="1"/>
  <c r="AA271" i="7" s="1"/>
  <c r="F272" i="7"/>
  <c r="Y272" i="7" s="1"/>
  <c r="G282" i="7"/>
  <c r="Z282" i="7" s="1"/>
  <c r="AA282" i="7" s="1"/>
  <c r="F283" i="7"/>
  <c r="Y283" i="7" s="1"/>
  <c r="G294" i="7"/>
  <c r="Z294" i="7" s="1"/>
  <c r="AA294" i="7" s="1"/>
  <c r="F295" i="7"/>
  <c r="Y295" i="7" s="1"/>
  <c r="G305" i="7"/>
  <c r="Z305" i="7" s="1"/>
  <c r="AA305" i="7" s="1"/>
  <c r="F306" i="7"/>
  <c r="Y306" i="7" s="1"/>
  <c r="F22" i="7"/>
  <c r="Y22" i="7" s="1"/>
  <c r="F32" i="7"/>
  <c r="Y32" i="7" s="1"/>
  <c r="G33" i="7"/>
  <c r="Z33" i="7" s="1"/>
  <c r="AA33" i="7" s="1"/>
  <c r="F44" i="7"/>
  <c r="Y44" i="7" s="1"/>
  <c r="G45" i="7"/>
  <c r="Z45" i="7" s="1"/>
  <c r="AA45" i="7" s="1"/>
  <c r="F56" i="7"/>
  <c r="Y56" i="7" s="1"/>
  <c r="G57" i="7"/>
  <c r="Z57" i="7" s="1"/>
  <c r="AA57" i="7" s="1"/>
  <c r="F68" i="7"/>
  <c r="Y68" i="7" s="1"/>
  <c r="G69" i="7"/>
  <c r="Z69" i="7" s="1"/>
  <c r="AA69" i="7" s="1"/>
  <c r="F80" i="7"/>
  <c r="Y80" i="7" s="1"/>
  <c r="G81" i="7"/>
  <c r="Z81" i="7" s="1"/>
  <c r="AA81" i="7" s="1"/>
  <c r="F94" i="7"/>
  <c r="Y94" i="7" s="1"/>
  <c r="G95" i="7"/>
  <c r="Z95" i="7" s="1"/>
  <c r="AA95" i="7" s="1"/>
  <c r="F109" i="7"/>
  <c r="Y109" i="7" s="1"/>
  <c r="G110" i="7"/>
  <c r="Z110" i="7" s="1"/>
  <c r="AA110" i="7" s="1"/>
  <c r="G143" i="7"/>
  <c r="Z143" i="7" s="1"/>
  <c r="AA143" i="7" s="1"/>
  <c r="F144" i="7"/>
  <c r="Y144" i="7" s="1"/>
  <c r="G154" i="7"/>
  <c r="Z154" i="7" s="1"/>
  <c r="AA154" i="7" s="1"/>
  <c r="F155" i="7"/>
  <c r="Y155" i="7" s="1"/>
  <c r="G165" i="7"/>
  <c r="Z165" i="7" s="1"/>
  <c r="AA165" i="7" s="1"/>
  <c r="F166" i="7"/>
  <c r="Y166" i="7" s="1"/>
  <c r="F175" i="7"/>
  <c r="Y175" i="7" s="1"/>
  <c r="G184" i="7"/>
  <c r="Z184" i="7" s="1"/>
  <c r="AA184" i="7" s="1"/>
  <c r="F185" i="7"/>
  <c r="Y185" i="7" s="1"/>
  <c r="G194" i="7"/>
  <c r="Z194" i="7" s="1"/>
  <c r="AA194" i="7" s="1"/>
  <c r="F195" i="7"/>
  <c r="Y195" i="7" s="1"/>
  <c r="G203" i="7"/>
  <c r="Z203" i="7" s="1"/>
  <c r="AA203" i="7" s="1"/>
  <c r="F204" i="7"/>
  <c r="Y204" i="7" s="1"/>
  <c r="G212" i="7"/>
  <c r="Z212" i="7" s="1"/>
  <c r="AA212" i="7" s="1"/>
  <c r="F221" i="7"/>
  <c r="Y221" i="7" s="1"/>
  <c r="G231" i="7"/>
  <c r="Z231" i="7" s="1"/>
  <c r="AA231" i="7" s="1"/>
  <c r="F232" i="7"/>
  <c r="Y232" i="7" s="1"/>
  <c r="G242" i="7"/>
  <c r="Z242" i="7" s="1"/>
  <c r="AA242" i="7" s="1"/>
  <c r="F243" i="7"/>
  <c r="Y243" i="7" s="1"/>
  <c r="G250" i="7"/>
  <c r="Z250" i="7" s="1"/>
  <c r="AA250" i="7" s="1"/>
  <c r="F251" i="7"/>
  <c r="Y251" i="7" s="1"/>
  <c r="F261" i="7"/>
  <c r="Y261" i="7" s="1"/>
  <c r="G272" i="7"/>
  <c r="Z272" i="7" s="1"/>
  <c r="AA272" i="7" s="1"/>
  <c r="F273" i="7"/>
  <c r="Y273" i="7" s="1"/>
  <c r="G283" i="7"/>
  <c r="Z283" i="7" s="1"/>
  <c r="AA283" i="7" s="1"/>
  <c r="F284" i="7"/>
  <c r="Y284" i="7" s="1"/>
  <c r="G295" i="7"/>
  <c r="Z295" i="7" s="1"/>
  <c r="AA295" i="7" s="1"/>
  <c r="G306" i="7"/>
  <c r="Z306" i="7" s="1"/>
  <c r="AA306" i="7" s="1"/>
  <c r="F307" i="7"/>
  <c r="Y307" i="7" s="1"/>
  <c r="F31" i="7"/>
  <c r="Y31" i="7" s="1"/>
  <c r="G32" i="7"/>
  <c r="Z32" i="7" s="1"/>
  <c r="AA32" i="7" s="1"/>
  <c r="F43" i="7"/>
  <c r="Y43" i="7" s="1"/>
  <c r="G44" i="7"/>
  <c r="Z44" i="7" s="1"/>
  <c r="AA44" i="7" s="1"/>
  <c r="F55" i="7"/>
  <c r="Y55" i="7" s="1"/>
  <c r="G56" i="7"/>
  <c r="Z56" i="7" s="1"/>
  <c r="AA56" i="7" s="1"/>
  <c r="F16" i="7"/>
  <c r="Y16" i="7" s="1"/>
  <c r="F21" i="7"/>
  <c r="Y21" i="7" s="1"/>
  <c r="F30" i="7"/>
  <c r="Y30" i="7" s="1"/>
  <c r="G31" i="7"/>
  <c r="Z31" i="7" s="1"/>
  <c r="AA31" i="7" s="1"/>
  <c r="F42" i="7"/>
  <c r="Y42" i="7" s="1"/>
  <c r="G43" i="7"/>
  <c r="Z43" i="7" s="1"/>
  <c r="AA43" i="7" s="1"/>
  <c r="F54" i="7"/>
  <c r="G55" i="7"/>
  <c r="Z55" i="7" s="1"/>
  <c r="AA55" i="7" s="1"/>
  <c r="F66" i="7"/>
  <c r="Y66" i="7" s="1"/>
  <c r="G67" i="7"/>
  <c r="Z67" i="7" s="1"/>
  <c r="AA67" i="7" s="1"/>
  <c r="F78" i="7"/>
  <c r="Y78" i="7" s="1"/>
  <c r="G79" i="7"/>
  <c r="Z79" i="7" s="1"/>
  <c r="AA79" i="7" s="1"/>
  <c r="F92" i="7"/>
  <c r="Y92" i="7" s="1"/>
  <c r="G93" i="7"/>
  <c r="Z93" i="7" s="1"/>
  <c r="AA93" i="7" s="1"/>
  <c r="F106" i="7"/>
  <c r="Y106" i="7" s="1"/>
  <c r="G107" i="7"/>
  <c r="Z107" i="7" s="1"/>
  <c r="AA107" i="7" s="1"/>
  <c r="G108" i="7"/>
  <c r="Z108" i="7" s="1"/>
  <c r="AA108" i="7" s="1"/>
  <c r="G145" i="7"/>
  <c r="Z145" i="7" s="1"/>
  <c r="AA145" i="7" s="1"/>
  <c r="F146" i="7"/>
  <c r="Y146" i="7" s="1"/>
  <c r="G156" i="7"/>
  <c r="Z156" i="7" s="1"/>
  <c r="AA156" i="7" s="1"/>
  <c r="F157" i="7"/>
  <c r="Y157" i="7" s="1"/>
  <c r="F167" i="7"/>
  <c r="Y167" i="7" s="1"/>
  <c r="G176" i="7"/>
  <c r="Z176" i="7" s="1"/>
  <c r="AA176" i="7" s="1"/>
  <c r="F177" i="7"/>
  <c r="Y177" i="7" s="1"/>
  <c r="G186" i="7"/>
  <c r="Z186" i="7" s="1"/>
  <c r="AA186" i="7" s="1"/>
  <c r="F187" i="7"/>
  <c r="Y187" i="7" s="1"/>
  <c r="G196" i="7"/>
  <c r="Z196" i="7" s="1"/>
  <c r="AA196" i="7" s="1"/>
  <c r="F205" i="7"/>
  <c r="Y205" i="7" s="1"/>
  <c r="G213" i="7"/>
  <c r="Z213" i="7" s="1"/>
  <c r="AA213" i="7" s="1"/>
  <c r="F214" i="7"/>
  <c r="Y214" i="7" s="1"/>
  <c r="G222" i="7"/>
  <c r="Z222" i="7" s="1"/>
  <c r="AA222" i="7" s="1"/>
  <c r="G233" i="7"/>
  <c r="Z233" i="7" s="1"/>
  <c r="AA233" i="7" s="1"/>
  <c r="F234" i="7"/>
  <c r="Y234" i="7" s="1"/>
  <c r="F244" i="7"/>
  <c r="Y244" i="7" s="1"/>
  <c r="G252" i="7"/>
  <c r="Z252" i="7" s="1"/>
  <c r="AA252" i="7" s="1"/>
  <c r="G262" i="7"/>
  <c r="Z262" i="7" s="1"/>
  <c r="AA262" i="7" s="1"/>
  <c r="F263" i="7"/>
  <c r="Y263" i="7" s="1"/>
  <c r="G274" i="7"/>
  <c r="Z274" i="7" s="1"/>
  <c r="AA274" i="7" s="1"/>
  <c r="F275" i="7"/>
  <c r="Y275" i="7" s="1"/>
  <c r="G285" i="7"/>
  <c r="Z285" i="7" s="1"/>
  <c r="AA285" i="7" s="1"/>
  <c r="F286" i="7"/>
  <c r="Y286" i="7" s="1"/>
  <c r="G296" i="7"/>
  <c r="Z296" i="7" s="1"/>
  <c r="AA296" i="7" s="1"/>
  <c r="F297" i="7"/>
  <c r="Y297" i="7" s="1"/>
  <c r="G308" i="7"/>
  <c r="Z308" i="7" s="1"/>
  <c r="AA308" i="7" s="1"/>
  <c r="F309" i="7"/>
  <c r="Y309" i="7" s="1"/>
  <c r="G16" i="7"/>
  <c r="Z16" i="7" s="1"/>
  <c r="AA16" i="7" s="1"/>
  <c r="G21" i="7"/>
  <c r="Z21" i="7" s="1"/>
  <c r="AA21" i="7" s="1"/>
  <c r="F29" i="7"/>
  <c r="Y29" i="7" s="1"/>
  <c r="G30" i="7"/>
  <c r="Z30" i="7" s="1"/>
  <c r="AA30" i="7" s="1"/>
  <c r="F41" i="7"/>
  <c r="Y41" i="7" s="1"/>
  <c r="G42" i="7"/>
  <c r="Z42" i="7" s="1"/>
  <c r="AA42" i="7" s="1"/>
  <c r="F53" i="7"/>
  <c r="Y53" i="7" s="1"/>
  <c r="G54" i="7"/>
  <c r="Z54" i="7" s="1"/>
  <c r="AA54" i="7" s="1"/>
  <c r="F65" i="7"/>
  <c r="Y65" i="7" s="1"/>
  <c r="G66" i="7"/>
  <c r="Z66" i="7" s="1"/>
  <c r="AA66" i="7" s="1"/>
  <c r="F77" i="7"/>
  <c r="Y77" i="7" s="1"/>
  <c r="G78" i="7"/>
  <c r="Z78" i="7" s="1"/>
  <c r="AA78" i="7" s="1"/>
  <c r="F91" i="7"/>
  <c r="Y91" i="7" s="1"/>
  <c r="G92" i="7"/>
  <c r="F105" i="7"/>
  <c r="Y105" i="7" s="1"/>
  <c r="G106" i="7"/>
  <c r="Z106" i="7" s="1"/>
  <c r="AA106" i="7" s="1"/>
  <c r="G146" i="7"/>
  <c r="Z146" i="7" s="1"/>
  <c r="AA146" i="7" s="1"/>
  <c r="F147" i="7"/>
  <c r="Y147" i="7" s="1"/>
  <c r="G157" i="7"/>
  <c r="Z157" i="7" s="1"/>
  <c r="AA157" i="7" s="1"/>
  <c r="F158" i="7"/>
  <c r="Y158" i="7" s="1"/>
  <c r="G167" i="7"/>
  <c r="Z167" i="7" s="1"/>
  <c r="AA167" i="7" s="1"/>
  <c r="F168" i="7"/>
  <c r="Y168" i="7" s="1"/>
  <c r="G177" i="7"/>
  <c r="Z177" i="7" s="1"/>
  <c r="AA177" i="7" s="1"/>
  <c r="F178" i="7"/>
  <c r="Y178" i="7" s="1"/>
  <c r="G187" i="7"/>
  <c r="Z187" i="7" s="1"/>
  <c r="AA187" i="7" s="1"/>
  <c r="F188" i="7"/>
  <c r="Y188" i="7" s="1"/>
  <c r="F197" i="7"/>
  <c r="Y197" i="7" s="1"/>
  <c r="G205" i="7"/>
  <c r="Z205" i="7" s="1"/>
  <c r="AA205" i="7" s="1"/>
  <c r="F206" i="7"/>
  <c r="Y206" i="7" s="1"/>
  <c r="G214" i="7"/>
  <c r="Z214" i="7" s="1"/>
  <c r="AA214" i="7" s="1"/>
  <c r="F223" i="7"/>
  <c r="Y223" i="7" s="1"/>
  <c r="G234" i="7"/>
  <c r="Z234" i="7" s="1"/>
  <c r="AA234" i="7" s="1"/>
  <c r="F235" i="7"/>
  <c r="Y235" i="7" s="1"/>
  <c r="G244" i="7"/>
  <c r="Z244" i="7" s="1"/>
  <c r="AA244" i="7" s="1"/>
  <c r="F253" i="7"/>
  <c r="Y253" i="7" s="1"/>
  <c r="G263" i="7"/>
  <c r="Z263" i="7" s="1"/>
  <c r="AA263" i="7" s="1"/>
  <c r="F264" i="7"/>
  <c r="Y264" i="7" s="1"/>
  <c r="G275" i="7"/>
  <c r="Z275" i="7" s="1"/>
  <c r="AA275" i="7" s="1"/>
  <c r="F276" i="7"/>
  <c r="Y276" i="7" s="1"/>
  <c r="G286" i="7"/>
  <c r="Z286" i="7" s="1"/>
  <c r="AA286" i="7" s="1"/>
  <c r="F287" i="7"/>
  <c r="Y287" i="7" s="1"/>
  <c r="G297" i="7"/>
  <c r="Z297" i="7" s="1"/>
  <c r="AA297" i="7" s="1"/>
  <c r="F298" i="7"/>
  <c r="Y298" i="7" s="1"/>
  <c r="G309" i="7"/>
  <c r="Z309" i="7" s="1"/>
  <c r="AA309" i="7" s="1"/>
  <c r="F310" i="7"/>
  <c r="Y310" i="7" s="1"/>
  <c r="F28" i="7"/>
  <c r="Y28" i="7" s="1"/>
  <c r="G29" i="7"/>
  <c r="Z29" i="7" s="1"/>
  <c r="AA29" i="7" s="1"/>
  <c r="F40" i="7"/>
  <c r="Y40" i="7" s="1"/>
  <c r="G41" i="7"/>
  <c r="Z41" i="7" s="1"/>
  <c r="AA41" i="7" s="1"/>
  <c r="F52" i="7"/>
  <c r="Y52" i="7" s="1"/>
  <c r="G53" i="7"/>
  <c r="Z53" i="7" s="1"/>
  <c r="AA53" i="7" s="1"/>
  <c r="F64" i="7"/>
  <c r="Y64" i="7" s="1"/>
  <c r="G65" i="7"/>
  <c r="Z65" i="7" s="1"/>
  <c r="AA65" i="7" s="1"/>
  <c r="F76" i="7"/>
  <c r="Y76" i="7" s="1"/>
  <c r="G77" i="7"/>
  <c r="Z77" i="7" s="1"/>
  <c r="AA77" i="7" s="1"/>
  <c r="F90" i="7"/>
  <c r="Y90" i="7" s="1"/>
  <c r="G91" i="7"/>
  <c r="Z91" i="7" s="1"/>
  <c r="AA91" i="7" s="1"/>
  <c r="F104" i="7"/>
  <c r="Y104" i="7" s="1"/>
  <c r="G105" i="7"/>
  <c r="Z105" i="7" s="1"/>
  <c r="AA105" i="7" s="1"/>
  <c r="G147" i="7"/>
  <c r="Z147" i="7" s="1"/>
  <c r="AA147" i="7" s="1"/>
  <c r="F148" i="7"/>
  <c r="Y148" i="7" s="1"/>
  <c r="G158" i="7"/>
  <c r="Z158" i="7" s="1"/>
  <c r="AA158" i="7" s="1"/>
  <c r="F159" i="7"/>
  <c r="Y159" i="7" s="1"/>
  <c r="G168" i="7"/>
  <c r="Z168" i="7" s="1"/>
  <c r="AA168" i="7" s="1"/>
  <c r="F169" i="7"/>
  <c r="Y169" i="7" s="1"/>
  <c r="G178" i="7"/>
  <c r="Z178" i="7" s="1"/>
  <c r="AA178" i="7" s="1"/>
  <c r="F179" i="7"/>
  <c r="Y179" i="7" s="1"/>
  <c r="G188" i="7"/>
  <c r="Z188" i="7" s="1"/>
  <c r="AA188" i="7" s="1"/>
  <c r="G197" i="7"/>
  <c r="Z197" i="7" s="1"/>
  <c r="AA197" i="7" s="1"/>
  <c r="F198" i="7"/>
  <c r="Y198" i="7" s="1"/>
  <c r="G206" i="7"/>
  <c r="Z206" i="7" s="1"/>
  <c r="AA206" i="7" s="1"/>
  <c r="F215" i="7"/>
  <c r="Y215" i="7" s="1"/>
  <c r="G223" i="7"/>
  <c r="Z223" i="7" s="1"/>
  <c r="AA223" i="7" s="1"/>
  <c r="F224" i="7"/>
  <c r="Y224" i="7" s="1"/>
  <c r="G235" i="7"/>
  <c r="Z235" i="7" s="1"/>
  <c r="AA235" i="7" s="1"/>
  <c r="F236" i="7"/>
  <c r="Y236" i="7" s="1"/>
  <c r="F245" i="7"/>
  <c r="Y245" i="7" s="1"/>
  <c r="G253" i="7"/>
  <c r="Z253" i="7" s="1"/>
  <c r="AA253" i="7" s="1"/>
  <c r="F254" i="7"/>
  <c r="Y254" i="7" s="1"/>
  <c r="G264" i="7"/>
  <c r="Z264" i="7" s="1"/>
  <c r="AA264" i="7" s="1"/>
  <c r="F265" i="7"/>
  <c r="Y265" i="7" s="1"/>
  <c r="G276" i="7"/>
  <c r="Z276" i="7" s="1"/>
  <c r="AA276" i="7" s="1"/>
  <c r="F277" i="7"/>
  <c r="Y277" i="7" s="1"/>
  <c r="G287" i="7"/>
  <c r="Z287" i="7" s="1"/>
  <c r="AA287" i="7" s="1"/>
  <c r="F288" i="7"/>
  <c r="Y288" i="7" s="1"/>
  <c r="G298" i="7"/>
  <c r="Z298" i="7" s="1"/>
  <c r="AA298" i="7" s="1"/>
  <c r="F299" i="7"/>
  <c r="Y299" i="7" s="1"/>
  <c r="G310" i="7"/>
  <c r="Z310" i="7" s="1"/>
  <c r="AA310" i="7" s="1"/>
  <c r="F311" i="7"/>
  <c r="Y311" i="7" s="1"/>
  <c r="F20" i="7"/>
  <c r="Y20" i="7" s="1"/>
  <c r="F27" i="7"/>
  <c r="Y27" i="7" s="1"/>
  <c r="G28" i="7"/>
  <c r="Z28" i="7" s="1"/>
  <c r="AA28" i="7" s="1"/>
  <c r="F39" i="7"/>
  <c r="Y39" i="7" s="1"/>
  <c r="G40" i="7"/>
  <c r="F51" i="7"/>
  <c r="Y51" i="7" s="1"/>
  <c r="G52" i="7"/>
  <c r="Z52" i="7" s="1"/>
  <c r="AA52" i="7" s="1"/>
  <c r="F63" i="7"/>
  <c r="Y63" i="7" s="1"/>
  <c r="G64" i="7"/>
  <c r="Z64" i="7" s="1"/>
  <c r="AA64" i="7" s="1"/>
  <c r="F75" i="7"/>
  <c r="Y75" i="7" s="1"/>
  <c r="G76" i="7"/>
  <c r="Z76" i="7" s="1"/>
  <c r="AA76" i="7" s="1"/>
  <c r="F87" i="7"/>
  <c r="Y87" i="7" s="1"/>
  <c r="F88" i="7"/>
  <c r="Y88" i="7" s="1"/>
  <c r="F89" i="7"/>
  <c r="Y89" i="7" s="1"/>
  <c r="G90" i="7"/>
  <c r="Z90" i="7" s="1"/>
  <c r="AA90" i="7" s="1"/>
  <c r="F103" i="7"/>
  <c r="Y103" i="7" s="1"/>
  <c r="G104" i="7"/>
  <c r="Z104" i="7" s="1"/>
  <c r="AA104" i="7" s="1"/>
  <c r="G148" i="7"/>
  <c r="Z148" i="7" s="1"/>
  <c r="AA148" i="7" s="1"/>
  <c r="G159" i="7"/>
  <c r="Z159" i="7" s="1"/>
  <c r="AA159" i="7" s="1"/>
  <c r="F160" i="7"/>
  <c r="Y160" i="7" s="1"/>
  <c r="G169" i="7"/>
  <c r="Z169" i="7" s="1"/>
  <c r="AA169" i="7" s="1"/>
  <c r="F170" i="7"/>
  <c r="Y170" i="7" s="1"/>
  <c r="G179" i="7"/>
  <c r="Z179" i="7" s="1"/>
  <c r="AA179" i="7" s="1"/>
  <c r="F180" i="7"/>
  <c r="Y180" i="7" s="1"/>
  <c r="F189" i="7"/>
  <c r="Y189" i="7" s="1"/>
  <c r="G198" i="7"/>
  <c r="Z198" i="7" s="1"/>
  <c r="AA198" i="7" s="1"/>
  <c r="F207" i="7"/>
  <c r="Y207" i="7" s="1"/>
  <c r="G215" i="7"/>
  <c r="Z215" i="7" s="1"/>
  <c r="AA215" i="7" s="1"/>
  <c r="F216" i="7"/>
  <c r="Y216" i="7" s="1"/>
  <c r="G224" i="7"/>
  <c r="Z224" i="7" s="1"/>
  <c r="AA224" i="7" s="1"/>
  <c r="F225" i="7"/>
  <c r="Y225" i="7" s="1"/>
  <c r="G236" i="7"/>
  <c r="Z236" i="7" s="1"/>
  <c r="AA236" i="7" s="1"/>
  <c r="G245" i="7"/>
  <c r="Z245" i="7" s="1"/>
  <c r="AA245" i="7" s="1"/>
  <c r="F246" i="7"/>
  <c r="Y246" i="7" s="1"/>
  <c r="G254" i="7"/>
  <c r="Z254" i="7" s="1"/>
  <c r="AA254" i="7" s="1"/>
  <c r="F255" i="7"/>
  <c r="Y255" i="7" s="1"/>
  <c r="G265" i="7"/>
  <c r="Z265" i="7" s="1"/>
  <c r="AA265" i="7" s="1"/>
  <c r="F266" i="7"/>
  <c r="Y266" i="7" s="1"/>
  <c r="G277" i="7"/>
  <c r="Z277" i="7" s="1"/>
  <c r="AA277" i="7" s="1"/>
  <c r="F278" i="7"/>
  <c r="Y278" i="7" s="1"/>
  <c r="G288" i="7"/>
  <c r="Z288" i="7" s="1"/>
  <c r="AA288" i="7" s="1"/>
  <c r="F289" i="7"/>
  <c r="Y289" i="7" s="1"/>
  <c r="G299" i="7"/>
  <c r="Z299" i="7" s="1"/>
  <c r="AA299" i="7" s="1"/>
  <c r="F300" i="7"/>
  <c r="Y300" i="7" s="1"/>
  <c r="G311" i="7"/>
  <c r="Z311" i="7" s="1"/>
  <c r="AA311" i="7" s="1"/>
  <c r="F312" i="7"/>
  <c r="Y312" i="7" s="1"/>
  <c r="G68" i="7"/>
  <c r="Z68" i="7" s="1"/>
  <c r="AA68" i="7" s="1"/>
  <c r="G155" i="7"/>
  <c r="Z155" i="7" s="1"/>
  <c r="AA155" i="7" s="1"/>
  <c r="F156" i="7"/>
  <c r="Y156" i="7" s="1"/>
  <c r="G175" i="7"/>
  <c r="Z175" i="7" s="1"/>
  <c r="AA175" i="7" s="1"/>
  <c r="F176" i="7"/>
  <c r="Y176" i="7" s="1"/>
  <c r="G251" i="7"/>
  <c r="Z251" i="7" s="1"/>
  <c r="AA251" i="7" s="1"/>
  <c r="F252" i="7"/>
  <c r="Y252" i="7" s="1"/>
  <c r="G289" i="7"/>
  <c r="Z289" i="7" s="1"/>
  <c r="AA289" i="7" s="1"/>
  <c r="F290" i="7"/>
  <c r="Y290" i="7" s="1"/>
  <c r="G321" i="7"/>
  <c r="Z321" i="7" s="1"/>
  <c r="AA321" i="7" s="1"/>
  <c r="F322" i="7"/>
  <c r="Y322" i="7" s="1"/>
  <c r="F332" i="7"/>
  <c r="Y332" i="7" s="1"/>
  <c r="G342" i="7"/>
  <c r="Z342" i="7" s="1"/>
  <c r="AA342" i="7" s="1"/>
  <c r="F343" i="7"/>
  <c r="Y343" i="7" s="1"/>
  <c r="G353" i="7"/>
  <c r="Z353" i="7" s="1"/>
  <c r="AA353" i="7" s="1"/>
  <c r="F354" i="7"/>
  <c r="Y354" i="7" s="1"/>
  <c r="G365" i="7"/>
  <c r="Z365" i="7" s="1"/>
  <c r="AA365" i="7" s="1"/>
  <c r="F366" i="7"/>
  <c r="Y366" i="7" s="1"/>
  <c r="G377" i="7"/>
  <c r="Z377" i="7" s="1"/>
  <c r="AA377" i="7" s="1"/>
  <c r="F378" i="7"/>
  <c r="Y378" i="7" s="1"/>
  <c r="G388" i="7"/>
  <c r="Z388" i="7" s="1"/>
  <c r="AA388" i="7" s="1"/>
  <c r="G398" i="7"/>
  <c r="Z398" i="7" s="1"/>
  <c r="AA398" i="7" s="1"/>
  <c r="F399" i="7"/>
  <c r="Y399" i="7" s="1"/>
  <c r="G409" i="7"/>
  <c r="Z409" i="7" s="1"/>
  <c r="AA409" i="7" s="1"/>
  <c r="F410" i="7"/>
  <c r="Y410" i="7" s="1"/>
  <c r="G420" i="7"/>
  <c r="Z420" i="7" s="1"/>
  <c r="AA420" i="7" s="1"/>
  <c r="F421" i="7"/>
  <c r="Y421" i="7" s="1"/>
  <c r="G430" i="7"/>
  <c r="Z430" i="7" s="1"/>
  <c r="AA430" i="7" s="1"/>
  <c r="F431" i="7"/>
  <c r="Y431" i="7" s="1"/>
  <c r="G441" i="7"/>
  <c r="Z441" i="7" s="1"/>
  <c r="AA441" i="7" s="1"/>
  <c r="G452" i="7"/>
  <c r="Z452" i="7" s="1"/>
  <c r="AA452" i="7" s="1"/>
  <c r="F453" i="7"/>
  <c r="Y453" i="7" s="1"/>
  <c r="G462" i="7"/>
  <c r="Z462" i="7" s="1"/>
  <c r="AA462" i="7" s="1"/>
  <c r="F463" i="7"/>
  <c r="Y463" i="7" s="1"/>
  <c r="G473" i="7"/>
  <c r="Z473" i="7" s="1"/>
  <c r="AA473" i="7" s="1"/>
  <c r="F474" i="7"/>
  <c r="Y474" i="7" s="1"/>
  <c r="G483" i="7"/>
  <c r="Z483" i="7" s="1"/>
  <c r="AA483" i="7" s="1"/>
  <c r="F484" i="7"/>
  <c r="Y484" i="7" s="1"/>
  <c r="G494" i="7"/>
  <c r="Z494" i="7" s="1"/>
  <c r="AA494" i="7" s="1"/>
  <c r="F495" i="7"/>
  <c r="Y495" i="7" s="1"/>
  <c r="G506" i="7"/>
  <c r="Z506" i="7" s="1"/>
  <c r="AA506" i="7" s="1"/>
  <c r="F507" i="7"/>
  <c r="Y507" i="7" s="1"/>
  <c r="G517" i="7"/>
  <c r="Z517" i="7" s="1"/>
  <c r="AA517" i="7" s="1"/>
  <c r="F518" i="7"/>
  <c r="Y518" i="7" s="1"/>
  <c r="G529" i="7"/>
  <c r="Z529" i="7" s="1"/>
  <c r="AA529" i="7" s="1"/>
  <c r="F530" i="7"/>
  <c r="Y530" i="7" s="1"/>
  <c r="G540" i="7"/>
  <c r="Z540" i="7" s="1"/>
  <c r="AA540" i="7" s="1"/>
  <c r="F541" i="7"/>
  <c r="Y541" i="7" s="1"/>
  <c r="G551" i="7"/>
  <c r="Z551" i="7" s="1"/>
  <c r="AA551" i="7" s="1"/>
  <c r="F552" i="7"/>
  <c r="Y552" i="7" s="1"/>
  <c r="G563" i="7"/>
  <c r="Z563" i="7" s="1"/>
  <c r="AA563" i="7" s="1"/>
  <c r="F564" i="7"/>
  <c r="Y564" i="7" s="1"/>
  <c r="G575" i="7"/>
  <c r="Z575" i="7" s="1"/>
  <c r="AA575" i="7" s="1"/>
  <c r="F576" i="7"/>
  <c r="Y576" i="7" s="1"/>
  <c r="G586" i="7"/>
  <c r="Z586" i="7" s="1"/>
  <c r="AA586" i="7" s="1"/>
  <c r="F587" i="7"/>
  <c r="Y587" i="7" s="1"/>
  <c r="G597" i="7"/>
  <c r="Z597" i="7" s="1"/>
  <c r="AA597" i="7" s="1"/>
  <c r="F50" i="7"/>
  <c r="Y50" i="7" s="1"/>
  <c r="G63" i="7"/>
  <c r="Z63" i="7" s="1"/>
  <c r="AA63" i="7" s="1"/>
  <c r="G232" i="7"/>
  <c r="Z232" i="7" s="1"/>
  <c r="AA232" i="7" s="1"/>
  <c r="F233" i="7"/>
  <c r="Y233" i="7" s="1"/>
  <c r="G322" i="7"/>
  <c r="Z322" i="7" s="1"/>
  <c r="AA322" i="7" s="1"/>
  <c r="F323" i="7"/>
  <c r="Y323" i="7" s="1"/>
  <c r="G332" i="7"/>
  <c r="Z332" i="7" s="1"/>
  <c r="AA332" i="7" s="1"/>
  <c r="F333" i="7"/>
  <c r="Y333" i="7" s="1"/>
  <c r="G343" i="7"/>
  <c r="Z343" i="7" s="1"/>
  <c r="AA343" i="7" s="1"/>
  <c r="F344" i="7"/>
  <c r="Y344" i="7" s="1"/>
  <c r="G354" i="7"/>
  <c r="Z354" i="7" s="1"/>
  <c r="AA354" i="7" s="1"/>
  <c r="F355" i="7"/>
  <c r="Y355" i="7" s="1"/>
  <c r="G366" i="7"/>
  <c r="Z366" i="7" s="1"/>
  <c r="AA366" i="7" s="1"/>
  <c r="F367" i="7"/>
  <c r="Y367" i="7" s="1"/>
  <c r="G378" i="7"/>
  <c r="Z378" i="7" s="1"/>
  <c r="AA378" i="7" s="1"/>
  <c r="F379" i="7"/>
  <c r="Y379" i="7" s="1"/>
  <c r="F389" i="7"/>
  <c r="Y389" i="7" s="1"/>
  <c r="G399" i="7"/>
  <c r="Z399" i="7" s="1"/>
  <c r="AA399" i="7" s="1"/>
  <c r="F400" i="7"/>
  <c r="Y400" i="7" s="1"/>
  <c r="G410" i="7"/>
  <c r="Z410" i="7" s="1"/>
  <c r="AA410" i="7" s="1"/>
  <c r="F411" i="7"/>
  <c r="Y411" i="7" s="1"/>
  <c r="G421" i="7"/>
  <c r="Z421" i="7" s="1"/>
  <c r="AA421" i="7" s="1"/>
  <c r="F422" i="7"/>
  <c r="Y422" i="7" s="1"/>
  <c r="G431" i="7"/>
  <c r="Z431" i="7" s="1"/>
  <c r="AA431" i="7" s="1"/>
  <c r="F432" i="7"/>
  <c r="Y432" i="7" s="1"/>
  <c r="F442" i="7"/>
  <c r="Y442" i="7" s="1"/>
  <c r="G453" i="7"/>
  <c r="Z453" i="7" s="1"/>
  <c r="AA453" i="7" s="1"/>
  <c r="F454" i="7"/>
  <c r="Y454" i="7" s="1"/>
  <c r="G463" i="7"/>
  <c r="Z463" i="7" s="1"/>
  <c r="AA463" i="7" s="1"/>
  <c r="F464" i="7"/>
  <c r="Y464" i="7" s="1"/>
  <c r="G474" i="7"/>
  <c r="Z474" i="7" s="1"/>
  <c r="AA474" i="7" s="1"/>
  <c r="F475" i="7"/>
  <c r="Y475" i="7" s="1"/>
  <c r="G484" i="7"/>
  <c r="Z484" i="7" s="1"/>
  <c r="AA484" i="7" s="1"/>
  <c r="F485" i="7"/>
  <c r="Y485" i="7" s="1"/>
  <c r="G495" i="7"/>
  <c r="Z495" i="7" s="1"/>
  <c r="AA495" i="7" s="1"/>
  <c r="F496" i="7"/>
  <c r="Y496" i="7" s="1"/>
  <c r="G507" i="7"/>
  <c r="Z507" i="7" s="1"/>
  <c r="AA507" i="7" s="1"/>
  <c r="F508" i="7"/>
  <c r="Y508" i="7" s="1"/>
  <c r="G518" i="7"/>
  <c r="Z518" i="7" s="1"/>
  <c r="AA518" i="7" s="1"/>
  <c r="F519" i="7"/>
  <c r="Y519" i="7" s="1"/>
  <c r="G530" i="7"/>
  <c r="Z530" i="7" s="1"/>
  <c r="AA530" i="7" s="1"/>
  <c r="F531" i="7"/>
  <c r="Y531" i="7" s="1"/>
  <c r="G541" i="7"/>
  <c r="Z541" i="7" s="1"/>
  <c r="AA541" i="7" s="1"/>
  <c r="F542" i="7"/>
  <c r="Y542" i="7" s="1"/>
  <c r="G552" i="7"/>
  <c r="Z552" i="7" s="1"/>
  <c r="AA552" i="7" s="1"/>
  <c r="F553" i="7"/>
  <c r="Y553" i="7" s="1"/>
  <c r="G564" i="7"/>
  <c r="Z564" i="7" s="1"/>
  <c r="AA564" i="7" s="1"/>
  <c r="F565" i="7"/>
  <c r="Y565" i="7" s="1"/>
  <c r="G576" i="7"/>
  <c r="Z576" i="7" s="1"/>
  <c r="AA576" i="7" s="1"/>
  <c r="G587" i="7"/>
  <c r="Z587" i="7" s="1"/>
  <c r="AA587" i="7" s="1"/>
  <c r="F588" i="7"/>
  <c r="Y588" i="7" s="1"/>
  <c r="F67" i="7"/>
  <c r="Y67" i="7" s="1"/>
  <c r="G170" i="7"/>
  <c r="Z170" i="7" s="1"/>
  <c r="AA170" i="7" s="1"/>
  <c r="F171" i="7"/>
  <c r="Y171" i="7" s="1"/>
  <c r="G323" i="7"/>
  <c r="Z323" i="7" s="1"/>
  <c r="AA323" i="7" s="1"/>
  <c r="F324" i="7"/>
  <c r="Y324" i="7" s="1"/>
  <c r="G333" i="7"/>
  <c r="Z333" i="7" s="1"/>
  <c r="AA333" i="7" s="1"/>
  <c r="F334" i="7"/>
  <c r="Y334" i="7" s="1"/>
  <c r="G344" i="7"/>
  <c r="Z344" i="7" s="1"/>
  <c r="AA344" i="7" s="1"/>
  <c r="F345" i="7"/>
  <c r="Y345" i="7" s="1"/>
  <c r="G355" i="7"/>
  <c r="Z355" i="7" s="1"/>
  <c r="AA355" i="7" s="1"/>
  <c r="F356" i="7"/>
  <c r="Y356" i="7" s="1"/>
  <c r="G367" i="7"/>
  <c r="Z367" i="7" s="1"/>
  <c r="AA367" i="7" s="1"/>
  <c r="F368" i="7"/>
  <c r="Y368" i="7" s="1"/>
  <c r="G379" i="7"/>
  <c r="Z379" i="7" s="1"/>
  <c r="AA379" i="7" s="1"/>
  <c r="F380" i="7"/>
  <c r="Y380" i="7" s="1"/>
  <c r="G389" i="7"/>
  <c r="Z389" i="7" s="1"/>
  <c r="AA389" i="7" s="1"/>
  <c r="F390" i="7"/>
  <c r="Y390" i="7" s="1"/>
  <c r="G400" i="7"/>
  <c r="Z400" i="7" s="1"/>
  <c r="AA400" i="7" s="1"/>
  <c r="F401" i="7"/>
  <c r="Y401" i="7" s="1"/>
  <c r="G411" i="7"/>
  <c r="Z411" i="7" s="1"/>
  <c r="AA411" i="7" s="1"/>
  <c r="F412" i="7"/>
  <c r="Y412" i="7" s="1"/>
  <c r="G422" i="7"/>
  <c r="Z422" i="7" s="1"/>
  <c r="AA422" i="7" s="1"/>
  <c r="G432" i="7"/>
  <c r="Z432" i="7" s="1"/>
  <c r="AA432" i="7" s="1"/>
  <c r="F433" i="7"/>
  <c r="Y433" i="7" s="1"/>
  <c r="G442" i="7"/>
  <c r="Z442" i="7" s="1"/>
  <c r="AA442" i="7" s="1"/>
  <c r="F443" i="7"/>
  <c r="Y443" i="7" s="1"/>
  <c r="G454" i="7"/>
  <c r="Z454" i="7" s="1"/>
  <c r="AA454" i="7" s="1"/>
  <c r="F455" i="7"/>
  <c r="Y455" i="7" s="1"/>
  <c r="G464" i="7"/>
  <c r="Z464" i="7" s="1"/>
  <c r="AA464" i="7" s="1"/>
  <c r="G475" i="7"/>
  <c r="Z475" i="7" s="1"/>
  <c r="AA475" i="7" s="1"/>
  <c r="F476" i="7"/>
  <c r="Y476" i="7" s="1"/>
  <c r="G485" i="7"/>
  <c r="Z485" i="7" s="1"/>
  <c r="AA485" i="7" s="1"/>
  <c r="F486" i="7"/>
  <c r="Y486" i="7" s="1"/>
  <c r="G496" i="7"/>
  <c r="Z496" i="7" s="1"/>
  <c r="AA496" i="7" s="1"/>
  <c r="F497" i="7"/>
  <c r="Y497" i="7" s="1"/>
  <c r="G508" i="7"/>
  <c r="Z508" i="7" s="1"/>
  <c r="AA508" i="7" s="1"/>
  <c r="F509" i="7"/>
  <c r="Y509" i="7" s="1"/>
  <c r="G519" i="7"/>
  <c r="Z519" i="7" s="1"/>
  <c r="AA519" i="7" s="1"/>
  <c r="F520" i="7"/>
  <c r="Y520" i="7" s="1"/>
  <c r="G531" i="7"/>
  <c r="Z531" i="7" s="1"/>
  <c r="AA531" i="7" s="1"/>
  <c r="F532" i="7"/>
  <c r="Y532" i="7" s="1"/>
  <c r="G542" i="7"/>
  <c r="Z542" i="7" s="1"/>
  <c r="AA542" i="7" s="1"/>
  <c r="F543" i="7"/>
  <c r="Y543" i="7" s="1"/>
  <c r="G553" i="7"/>
  <c r="Z553" i="7" s="1"/>
  <c r="AA553" i="7" s="1"/>
  <c r="F554" i="7"/>
  <c r="Y554" i="7" s="1"/>
  <c r="G565" i="7"/>
  <c r="Z565" i="7" s="1"/>
  <c r="AA565" i="7" s="1"/>
  <c r="F566" i="7"/>
  <c r="Y566" i="7" s="1"/>
  <c r="F62" i="7"/>
  <c r="Y62" i="7" s="1"/>
  <c r="G189" i="7"/>
  <c r="Z189" i="7" s="1"/>
  <c r="AA189" i="7" s="1"/>
  <c r="F190" i="7"/>
  <c r="Y190" i="7" s="1"/>
  <c r="G207" i="7"/>
  <c r="Z207" i="7" s="1"/>
  <c r="AA207" i="7" s="1"/>
  <c r="F208" i="7"/>
  <c r="Y208" i="7" s="1"/>
  <c r="G266" i="7"/>
  <c r="Z266" i="7" s="1"/>
  <c r="AA266" i="7" s="1"/>
  <c r="F267" i="7"/>
  <c r="Y267" i="7" s="1"/>
  <c r="G284" i="7"/>
  <c r="Z284" i="7" s="1"/>
  <c r="AA284" i="7" s="1"/>
  <c r="F285" i="7"/>
  <c r="Y285" i="7" s="1"/>
  <c r="G324" i="7"/>
  <c r="Z324" i="7" s="1"/>
  <c r="AA324" i="7" s="1"/>
  <c r="F325" i="7"/>
  <c r="Y325" i="7" s="1"/>
  <c r="G334" i="7"/>
  <c r="Z334" i="7" s="1"/>
  <c r="AA334" i="7" s="1"/>
  <c r="F335" i="7"/>
  <c r="Y335" i="7" s="1"/>
  <c r="G345" i="7"/>
  <c r="Z345" i="7" s="1"/>
  <c r="AA345" i="7" s="1"/>
  <c r="G356" i="7"/>
  <c r="Z356" i="7" s="1"/>
  <c r="AA356" i="7" s="1"/>
  <c r="F357" i="7"/>
  <c r="Y357" i="7" s="1"/>
  <c r="G368" i="7"/>
  <c r="Z368" i="7" s="1"/>
  <c r="AA368" i="7" s="1"/>
  <c r="F369" i="7"/>
  <c r="Y369" i="7" s="1"/>
  <c r="G380" i="7"/>
  <c r="Z380" i="7" s="1"/>
  <c r="AA380" i="7" s="1"/>
  <c r="G390" i="7"/>
  <c r="Z390" i="7" s="1"/>
  <c r="AA390" i="7" s="1"/>
  <c r="F391" i="7"/>
  <c r="Y391" i="7" s="1"/>
  <c r="G401" i="7"/>
  <c r="Z401" i="7" s="1"/>
  <c r="AA401" i="7" s="1"/>
  <c r="F402" i="7"/>
  <c r="Y402" i="7" s="1"/>
  <c r="G412" i="7"/>
  <c r="Z412" i="7" s="1"/>
  <c r="AA412" i="7" s="1"/>
  <c r="F423" i="7"/>
  <c r="Y423" i="7" s="1"/>
  <c r="G433" i="7"/>
  <c r="Z433" i="7" s="1"/>
  <c r="AA433" i="7" s="1"/>
  <c r="F434" i="7"/>
  <c r="Y434" i="7" s="1"/>
  <c r="G443" i="7"/>
  <c r="Z443" i="7" s="1"/>
  <c r="AA443" i="7" s="1"/>
  <c r="F444" i="7"/>
  <c r="Y444" i="7" s="1"/>
  <c r="G455" i="7"/>
  <c r="Z455" i="7" s="1"/>
  <c r="AA455" i="7" s="1"/>
  <c r="F465" i="7"/>
  <c r="Y465" i="7" s="1"/>
  <c r="G476" i="7"/>
  <c r="Z476" i="7" s="1"/>
  <c r="AA476" i="7" s="1"/>
  <c r="G486" i="7"/>
  <c r="Z486" i="7" s="1"/>
  <c r="AA486" i="7" s="1"/>
  <c r="F487" i="7"/>
  <c r="Y487" i="7" s="1"/>
  <c r="G497" i="7"/>
  <c r="Z497" i="7" s="1"/>
  <c r="AA497" i="7" s="1"/>
  <c r="F498" i="7"/>
  <c r="Y498" i="7" s="1"/>
  <c r="G509" i="7"/>
  <c r="Z509" i="7" s="1"/>
  <c r="AA509" i="7" s="1"/>
  <c r="F510" i="7"/>
  <c r="Y510" i="7" s="1"/>
  <c r="G520" i="7"/>
  <c r="Z520" i="7" s="1"/>
  <c r="AA520" i="7" s="1"/>
  <c r="F521" i="7"/>
  <c r="Y521" i="7" s="1"/>
  <c r="G532" i="7"/>
  <c r="Z532" i="7" s="1"/>
  <c r="AA532" i="7" s="1"/>
  <c r="F533" i="7"/>
  <c r="Y533" i="7" s="1"/>
  <c r="G543" i="7"/>
  <c r="Z543" i="7" s="1"/>
  <c r="AA543" i="7" s="1"/>
  <c r="F544" i="7"/>
  <c r="Y544" i="7" s="1"/>
  <c r="G554" i="7"/>
  <c r="Z554" i="7" s="1"/>
  <c r="AA554" i="7" s="1"/>
  <c r="F555" i="7"/>
  <c r="Y555" i="7" s="1"/>
  <c r="G566" i="7"/>
  <c r="Z566" i="7" s="1"/>
  <c r="AA566" i="7" s="1"/>
  <c r="F567" i="7"/>
  <c r="Y567" i="7" s="1"/>
  <c r="G577" i="7"/>
  <c r="Z577" i="7" s="1"/>
  <c r="AA577" i="7" s="1"/>
  <c r="F578" i="7"/>
  <c r="Y578" i="7" s="1"/>
  <c r="G589" i="7"/>
  <c r="Z589" i="7" s="1"/>
  <c r="AA589" i="7" s="1"/>
  <c r="F590" i="7"/>
  <c r="Y590" i="7" s="1"/>
  <c r="G80" i="7"/>
  <c r="Z80" i="7" s="1"/>
  <c r="AA80" i="7" s="1"/>
  <c r="G246" i="7"/>
  <c r="Z246" i="7" s="1"/>
  <c r="AA246" i="7" s="1"/>
  <c r="G300" i="7"/>
  <c r="Z300" i="7" s="1"/>
  <c r="AA300" i="7" s="1"/>
  <c r="F301" i="7"/>
  <c r="Y301" i="7" s="1"/>
  <c r="G325" i="7"/>
  <c r="Z325" i="7" s="1"/>
  <c r="AA325" i="7" s="1"/>
  <c r="F326" i="7"/>
  <c r="Y326" i="7" s="1"/>
  <c r="G335" i="7"/>
  <c r="Z335" i="7" s="1"/>
  <c r="AA335" i="7" s="1"/>
  <c r="F336" i="7"/>
  <c r="Y336" i="7" s="1"/>
  <c r="F346" i="7"/>
  <c r="Y346" i="7" s="1"/>
  <c r="G357" i="7"/>
  <c r="Z357" i="7" s="1"/>
  <c r="AA357" i="7" s="1"/>
  <c r="F358" i="7"/>
  <c r="Y358" i="7" s="1"/>
  <c r="G369" i="7"/>
  <c r="Z369" i="7" s="1"/>
  <c r="AA369" i="7" s="1"/>
  <c r="F370" i="7"/>
  <c r="Y370" i="7" s="1"/>
  <c r="F381" i="7"/>
  <c r="Y381" i="7" s="1"/>
  <c r="G391" i="7"/>
  <c r="Z391" i="7" s="1"/>
  <c r="AA391" i="7" s="1"/>
  <c r="F392" i="7"/>
  <c r="Y392" i="7" s="1"/>
  <c r="G402" i="7"/>
  <c r="Z402" i="7" s="1"/>
  <c r="AA402" i="7" s="1"/>
  <c r="F403" i="7"/>
  <c r="Y403" i="7" s="1"/>
  <c r="F413" i="7"/>
  <c r="Y413" i="7" s="1"/>
  <c r="G423" i="7"/>
  <c r="Z423" i="7" s="1"/>
  <c r="AA423" i="7" s="1"/>
  <c r="F424" i="7"/>
  <c r="Y424" i="7" s="1"/>
  <c r="G434" i="7"/>
  <c r="Z434" i="7" s="1"/>
  <c r="AA434" i="7" s="1"/>
  <c r="F435" i="7"/>
  <c r="Y435" i="7" s="1"/>
  <c r="G444" i="7"/>
  <c r="Z444" i="7" s="1"/>
  <c r="AA444" i="7" s="1"/>
  <c r="F445" i="7"/>
  <c r="Y445" i="7" s="1"/>
  <c r="F456" i="7"/>
  <c r="Y456" i="7" s="1"/>
  <c r="G465" i="7"/>
  <c r="Z465" i="7" s="1"/>
  <c r="AA465" i="7" s="1"/>
  <c r="F466" i="7"/>
  <c r="Y466" i="7" s="1"/>
  <c r="F477" i="7"/>
  <c r="Y477" i="7" s="1"/>
  <c r="G487" i="7"/>
  <c r="Z487" i="7" s="1"/>
  <c r="AA487" i="7" s="1"/>
  <c r="F488" i="7"/>
  <c r="Y488" i="7" s="1"/>
  <c r="G498" i="7"/>
  <c r="Z498" i="7" s="1"/>
  <c r="AA498" i="7" s="1"/>
  <c r="F499" i="7"/>
  <c r="Y499" i="7" s="1"/>
  <c r="G510" i="7"/>
  <c r="Z510" i="7" s="1"/>
  <c r="AA510" i="7" s="1"/>
  <c r="F511" i="7"/>
  <c r="Y511" i="7" s="1"/>
  <c r="G521" i="7"/>
  <c r="Z521" i="7" s="1"/>
  <c r="AA521" i="7" s="1"/>
  <c r="F522" i="7"/>
  <c r="Y522" i="7" s="1"/>
  <c r="G533" i="7"/>
  <c r="Z533" i="7" s="1"/>
  <c r="AA533" i="7" s="1"/>
  <c r="F534" i="7"/>
  <c r="Y534" i="7" s="1"/>
  <c r="G544" i="7"/>
  <c r="Z544" i="7" s="1"/>
  <c r="AA544" i="7" s="1"/>
  <c r="F545" i="7"/>
  <c r="Y545" i="7" s="1"/>
  <c r="G555" i="7"/>
  <c r="Z555" i="7" s="1"/>
  <c r="AA555" i="7" s="1"/>
  <c r="F556" i="7"/>
  <c r="Y556" i="7" s="1"/>
  <c r="G567" i="7"/>
  <c r="Z567" i="7" s="1"/>
  <c r="AA567" i="7" s="1"/>
  <c r="F568" i="7"/>
  <c r="Y568" i="7" s="1"/>
  <c r="G578" i="7"/>
  <c r="Z578" i="7" s="1"/>
  <c r="AA578" i="7" s="1"/>
  <c r="F579" i="7"/>
  <c r="Y579" i="7" s="1"/>
  <c r="G590" i="7"/>
  <c r="Z590" i="7" s="1"/>
  <c r="AA590" i="7" s="1"/>
  <c r="F591" i="7"/>
  <c r="Y591" i="7" s="1"/>
  <c r="G75" i="7"/>
  <c r="Z75" i="7" s="1"/>
  <c r="AA75" i="7" s="1"/>
  <c r="G109" i="7"/>
  <c r="Z109" i="7" s="1"/>
  <c r="AA109" i="7" s="1"/>
  <c r="F149" i="7"/>
  <c r="Y149" i="7" s="1"/>
  <c r="G166" i="7"/>
  <c r="Z166" i="7" s="1"/>
  <c r="AA166" i="7" s="1"/>
  <c r="G185" i="7"/>
  <c r="Z185" i="7" s="1"/>
  <c r="AA185" i="7" s="1"/>
  <c r="F186" i="7"/>
  <c r="Y186" i="7" s="1"/>
  <c r="G204" i="7"/>
  <c r="Z204" i="7" s="1"/>
  <c r="AA204" i="7" s="1"/>
  <c r="G243" i="7"/>
  <c r="Z243" i="7" s="1"/>
  <c r="AA243" i="7" s="1"/>
  <c r="G326" i="7"/>
  <c r="Z326" i="7" s="1"/>
  <c r="AA326" i="7" s="1"/>
  <c r="F327" i="7"/>
  <c r="Y327" i="7" s="1"/>
  <c r="G336" i="7"/>
  <c r="Z336" i="7" s="1"/>
  <c r="AA336" i="7" s="1"/>
  <c r="F337" i="7"/>
  <c r="Y337" i="7" s="1"/>
  <c r="G346" i="7"/>
  <c r="Z346" i="7" s="1"/>
  <c r="AA346" i="7" s="1"/>
  <c r="F347" i="7"/>
  <c r="Y347" i="7" s="1"/>
  <c r="G358" i="7"/>
  <c r="Z358" i="7" s="1"/>
  <c r="AA358" i="7" s="1"/>
  <c r="F359" i="7"/>
  <c r="Y359" i="7" s="1"/>
  <c r="G370" i="7"/>
  <c r="Z370" i="7" s="1"/>
  <c r="AA370" i="7" s="1"/>
  <c r="F371" i="7"/>
  <c r="Y371" i="7" s="1"/>
  <c r="G381" i="7"/>
  <c r="Z381" i="7" s="1"/>
  <c r="AA381" i="7" s="1"/>
  <c r="F382" i="7"/>
  <c r="Y382" i="7" s="1"/>
  <c r="G392" i="7"/>
  <c r="Z392" i="7" s="1"/>
  <c r="AA392" i="7" s="1"/>
  <c r="F393" i="7"/>
  <c r="Y393" i="7" s="1"/>
  <c r="G403" i="7"/>
  <c r="Z403" i="7" s="1"/>
  <c r="AA403" i="7" s="1"/>
  <c r="F404" i="7"/>
  <c r="Y404" i="7" s="1"/>
  <c r="G413" i="7"/>
  <c r="Z413" i="7" s="1"/>
  <c r="AA413" i="7" s="1"/>
  <c r="F414" i="7"/>
  <c r="Y414" i="7" s="1"/>
  <c r="G424" i="7"/>
  <c r="Z424" i="7" s="1"/>
  <c r="AA424" i="7" s="1"/>
  <c r="F425" i="7"/>
  <c r="Y425" i="7" s="1"/>
  <c r="G435" i="7"/>
  <c r="Z435" i="7" s="1"/>
  <c r="AA435" i="7" s="1"/>
  <c r="F436" i="7"/>
  <c r="Y436" i="7" s="1"/>
  <c r="G445" i="7"/>
  <c r="Z445" i="7" s="1"/>
  <c r="AA445" i="7" s="1"/>
  <c r="F446" i="7"/>
  <c r="Y446" i="7" s="1"/>
  <c r="G456" i="7"/>
  <c r="Z456" i="7" s="1"/>
  <c r="AA456" i="7" s="1"/>
  <c r="G466" i="7"/>
  <c r="Z466" i="7" s="1"/>
  <c r="AA466" i="7" s="1"/>
  <c r="F467" i="7"/>
  <c r="Y467" i="7" s="1"/>
  <c r="G477" i="7"/>
  <c r="Z477" i="7" s="1"/>
  <c r="AA477" i="7" s="1"/>
  <c r="F478" i="7"/>
  <c r="Y478" i="7" s="1"/>
  <c r="G488" i="7"/>
  <c r="Z488" i="7" s="1"/>
  <c r="AA488" i="7" s="1"/>
  <c r="F489" i="7"/>
  <c r="Y489" i="7" s="1"/>
  <c r="G499" i="7"/>
  <c r="Z499" i="7" s="1"/>
  <c r="AA499" i="7" s="1"/>
  <c r="F500" i="7"/>
  <c r="Y500" i="7" s="1"/>
  <c r="G511" i="7"/>
  <c r="Z511" i="7" s="1"/>
  <c r="AA511" i="7" s="1"/>
  <c r="F512" i="7"/>
  <c r="Y512" i="7" s="1"/>
  <c r="G522" i="7"/>
  <c r="Z522" i="7" s="1"/>
  <c r="AA522" i="7" s="1"/>
  <c r="F523" i="7"/>
  <c r="Y523" i="7" s="1"/>
  <c r="G534" i="7"/>
  <c r="Z534" i="7" s="1"/>
  <c r="AA534" i="7" s="1"/>
  <c r="F535" i="7"/>
  <c r="Y535" i="7" s="1"/>
  <c r="G545" i="7"/>
  <c r="Z545" i="7" s="1"/>
  <c r="AA545" i="7" s="1"/>
  <c r="G556" i="7"/>
  <c r="Z556" i="7" s="1"/>
  <c r="AA556" i="7" s="1"/>
  <c r="F557" i="7"/>
  <c r="Y557" i="7" s="1"/>
  <c r="G568" i="7"/>
  <c r="Z568" i="7" s="1"/>
  <c r="AA568" i="7" s="1"/>
  <c r="F569" i="7"/>
  <c r="Y569" i="7" s="1"/>
  <c r="G579" i="7"/>
  <c r="Z579" i="7" s="1"/>
  <c r="AA579" i="7" s="1"/>
  <c r="F580" i="7"/>
  <c r="Y580" i="7" s="1"/>
  <c r="G591" i="7"/>
  <c r="Z591" i="7" s="1"/>
  <c r="AA591" i="7" s="1"/>
  <c r="F592" i="7"/>
  <c r="Y592" i="7" s="1"/>
  <c r="G20" i="7"/>
  <c r="F79" i="7"/>
  <c r="G94" i="7"/>
  <c r="Z94" i="7" s="1"/>
  <c r="AA94" i="7" s="1"/>
  <c r="F130" i="7"/>
  <c r="Y130" i="7" s="1"/>
  <c r="G225" i="7"/>
  <c r="Z225" i="7" s="1"/>
  <c r="AA225" i="7" s="1"/>
  <c r="F226" i="7"/>
  <c r="Y226" i="7" s="1"/>
  <c r="G261" i="7"/>
  <c r="Z261" i="7" s="1"/>
  <c r="AA261" i="7" s="1"/>
  <c r="F262" i="7"/>
  <c r="Y262" i="7" s="1"/>
  <c r="F316" i="7"/>
  <c r="Y316" i="7" s="1"/>
  <c r="G327" i="7"/>
  <c r="Z327" i="7" s="1"/>
  <c r="AA327" i="7" s="1"/>
  <c r="G337" i="7"/>
  <c r="Z337" i="7" s="1"/>
  <c r="AA337" i="7" s="1"/>
  <c r="F338" i="7"/>
  <c r="Y338" i="7" s="1"/>
  <c r="G347" i="7"/>
  <c r="Z347" i="7" s="1"/>
  <c r="AA347" i="7" s="1"/>
  <c r="F348" i="7"/>
  <c r="Y348" i="7" s="1"/>
  <c r="G359" i="7"/>
  <c r="Z359" i="7" s="1"/>
  <c r="AA359" i="7" s="1"/>
  <c r="F360" i="7"/>
  <c r="Y360" i="7" s="1"/>
  <c r="G371" i="7"/>
  <c r="Z371" i="7" s="1"/>
  <c r="AA371" i="7" s="1"/>
  <c r="F372" i="7"/>
  <c r="Y372" i="7" s="1"/>
  <c r="G382" i="7"/>
  <c r="Z382" i="7" s="1"/>
  <c r="AA382" i="7" s="1"/>
  <c r="F383" i="7"/>
  <c r="Y383" i="7" s="1"/>
  <c r="G393" i="7"/>
  <c r="Z393" i="7" s="1"/>
  <c r="AA393" i="7" s="1"/>
  <c r="F394" i="7"/>
  <c r="Y394" i="7" s="1"/>
  <c r="G404" i="7"/>
  <c r="Z404" i="7" s="1"/>
  <c r="AA404" i="7" s="1"/>
  <c r="G414" i="7"/>
  <c r="Z414" i="7" s="1"/>
  <c r="AA414" i="7" s="1"/>
  <c r="F415" i="7"/>
  <c r="Y415" i="7" s="1"/>
  <c r="G425" i="7"/>
  <c r="Z425" i="7" s="1"/>
  <c r="AA425" i="7" s="1"/>
  <c r="F426" i="7"/>
  <c r="Y426" i="7" s="1"/>
  <c r="G436" i="7"/>
  <c r="Z436" i="7" s="1"/>
  <c r="AA436" i="7" s="1"/>
  <c r="F437" i="7"/>
  <c r="Y437" i="7" s="1"/>
  <c r="G446" i="7"/>
  <c r="Z446" i="7" s="1"/>
  <c r="AA446" i="7" s="1"/>
  <c r="F447" i="7"/>
  <c r="Y447" i="7" s="1"/>
  <c r="F457" i="7"/>
  <c r="Y457" i="7" s="1"/>
  <c r="G467" i="7"/>
  <c r="Z467" i="7" s="1"/>
  <c r="AA467" i="7" s="1"/>
  <c r="F468" i="7"/>
  <c r="Y468" i="7" s="1"/>
  <c r="G478" i="7"/>
  <c r="Z478" i="7" s="1"/>
  <c r="AA478" i="7" s="1"/>
  <c r="F479" i="7"/>
  <c r="Y479" i="7" s="1"/>
  <c r="G489" i="7"/>
  <c r="Z489" i="7" s="1"/>
  <c r="AA489" i="7" s="1"/>
  <c r="F490" i="7"/>
  <c r="Y490" i="7" s="1"/>
  <c r="G500" i="7"/>
  <c r="Z500" i="7" s="1"/>
  <c r="AA500" i="7" s="1"/>
  <c r="F501" i="7"/>
  <c r="Y501" i="7" s="1"/>
  <c r="G512" i="7"/>
  <c r="Z512" i="7" s="1"/>
  <c r="AA512" i="7" s="1"/>
  <c r="G523" i="7"/>
  <c r="Z523" i="7" s="1"/>
  <c r="AA523" i="7" s="1"/>
  <c r="F524" i="7"/>
  <c r="Y524" i="7" s="1"/>
  <c r="G535" i="7"/>
  <c r="Z535" i="7" s="1"/>
  <c r="AA535" i="7" s="1"/>
  <c r="F536" i="7"/>
  <c r="Y536" i="7" s="1"/>
  <c r="F546" i="7"/>
  <c r="Y546" i="7" s="1"/>
  <c r="G557" i="7"/>
  <c r="Z557" i="7" s="1"/>
  <c r="AA557" i="7" s="1"/>
  <c r="F558" i="7"/>
  <c r="Y558" i="7" s="1"/>
  <c r="G569" i="7"/>
  <c r="Z569" i="7" s="1"/>
  <c r="AA569" i="7" s="1"/>
  <c r="F570" i="7"/>
  <c r="Y570" i="7" s="1"/>
  <c r="G580" i="7"/>
  <c r="Z580" i="7" s="1"/>
  <c r="AA580" i="7" s="1"/>
  <c r="F581" i="7"/>
  <c r="Y581" i="7" s="1"/>
  <c r="G592" i="7"/>
  <c r="Z592" i="7" s="1"/>
  <c r="AA592" i="7" s="1"/>
  <c r="F593" i="7"/>
  <c r="Y593" i="7" s="1"/>
  <c r="G27" i="7"/>
  <c r="Z27" i="7" s="1"/>
  <c r="AA27" i="7" s="1"/>
  <c r="F74" i="7"/>
  <c r="Y74" i="7" s="1"/>
  <c r="G89" i="7"/>
  <c r="Z89" i="7" s="1"/>
  <c r="AA89" i="7" s="1"/>
  <c r="G103" i="7"/>
  <c r="Z103" i="7" s="1"/>
  <c r="AA103" i="7" s="1"/>
  <c r="F108" i="7"/>
  <c r="Y108" i="7" s="1"/>
  <c r="G278" i="7"/>
  <c r="Z278" i="7" s="1"/>
  <c r="AA278" i="7" s="1"/>
  <c r="F279" i="7"/>
  <c r="Y279" i="7" s="1"/>
  <c r="F296" i="7"/>
  <c r="Y296" i="7" s="1"/>
  <c r="G316" i="7"/>
  <c r="Z316" i="7" s="1"/>
  <c r="AA316" i="7" s="1"/>
  <c r="F317" i="7"/>
  <c r="Y317" i="7" s="1"/>
  <c r="F328" i="7"/>
  <c r="Y328" i="7" s="1"/>
  <c r="G338" i="7"/>
  <c r="Z338" i="7" s="1"/>
  <c r="AA338" i="7" s="1"/>
  <c r="F339" i="7"/>
  <c r="Y339" i="7" s="1"/>
  <c r="G348" i="7"/>
  <c r="Z348" i="7" s="1"/>
  <c r="AA348" i="7" s="1"/>
  <c r="F349" i="7"/>
  <c r="Y349" i="7" s="1"/>
  <c r="G360" i="7"/>
  <c r="Z360" i="7" s="1"/>
  <c r="AA360" i="7" s="1"/>
  <c r="F361" i="7"/>
  <c r="Y361" i="7" s="1"/>
  <c r="G372" i="7"/>
  <c r="Z372" i="7" s="1"/>
  <c r="AA372" i="7" s="1"/>
  <c r="F373" i="7"/>
  <c r="Y373" i="7" s="1"/>
  <c r="G383" i="7"/>
  <c r="Z383" i="7" s="1"/>
  <c r="AA383" i="7" s="1"/>
  <c r="F384" i="7"/>
  <c r="Y384" i="7" s="1"/>
  <c r="G394" i="7"/>
  <c r="Z394" i="7" s="1"/>
  <c r="AA394" i="7" s="1"/>
  <c r="F395" i="7"/>
  <c r="Y395" i="7" s="1"/>
  <c r="F405" i="7"/>
  <c r="Y405" i="7" s="1"/>
  <c r="G415" i="7"/>
  <c r="Z415" i="7" s="1"/>
  <c r="AA415" i="7" s="1"/>
  <c r="F416" i="7"/>
  <c r="Y416" i="7" s="1"/>
  <c r="G426" i="7"/>
  <c r="Z426" i="7" s="1"/>
  <c r="AA426" i="7" s="1"/>
  <c r="F427" i="7"/>
  <c r="Y427" i="7" s="1"/>
  <c r="G437" i="7"/>
  <c r="Z437" i="7" s="1"/>
  <c r="AA437" i="7" s="1"/>
  <c r="F438" i="7"/>
  <c r="Y438" i="7" s="1"/>
  <c r="G447" i="7"/>
  <c r="Z447" i="7" s="1"/>
  <c r="AA447" i="7" s="1"/>
  <c r="F448" i="7"/>
  <c r="Y448" i="7" s="1"/>
  <c r="G457" i="7"/>
  <c r="Z457" i="7" s="1"/>
  <c r="AA457" i="7" s="1"/>
  <c r="F458" i="7"/>
  <c r="Y458" i="7" s="1"/>
  <c r="G468" i="7"/>
  <c r="Z468" i="7" s="1"/>
  <c r="AA468" i="7" s="1"/>
  <c r="F469" i="7"/>
  <c r="Y469" i="7" s="1"/>
  <c r="G479" i="7"/>
  <c r="Z479" i="7" s="1"/>
  <c r="AA479" i="7" s="1"/>
  <c r="F480" i="7"/>
  <c r="Y480" i="7" s="1"/>
  <c r="G490" i="7"/>
  <c r="Z490" i="7" s="1"/>
  <c r="AA490" i="7" s="1"/>
  <c r="F491" i="7"/>
  <c r="Y491" i="7" s="1"/>
  <c r="G501" i="7"/>
  <c r="Z501" i="7" s="1"/>
  <c r="AA501" i="7" s="1"/>
  <c r="F502" i="7"/>
  <c r="Y502" i="7" s="1"/>
  <c r="F513" i="7"/>
  <c r="Y513" i="7" s="1"/>
  <c r="G524" i="7"/>
  <c r="Z524" i="7" s="1"/>
  <c r="AA524" i="7" s="1"/>
  <c r="F525" i="7"/>
  <c r="Y525" i="7" s="1"/>
  <c r="G536" i="7"/>
  <c r="Z536" i="7" s="1"/>
  <c r="AA536" i="7" s="1"/>
  <c r="F537" i="7"/>
  <c r="Y537" i="7" s="1"/>
  <c r="G546" i="7"/>
  <c r="Z546" i="7" s="1"/>
  <c r="AA546" i="7" s="1"/>
  <c r="F547" i="7"/>
  <c r="Y547" i="7" s="1"/>
  <c r="G558" i="7"/>
  <c r="Z558" i="7" s="1"/>
  <c r="AA558" i="7" s="1"/>
  <c r="F559" i="7"/>
  <c r="Y559" i="7" s="1"/>
  <c r="G570" i="7"/>
  <c r="Z570" i="7" s="1"/>
  <c r="AA570" i="7" s="1"/>
  <c r="F571" i="7"/>
  <c r="Y571" i="7" s="1"/>
  <c r="G581" i="7"/>
  <c r="Z581" i="7" s="1"/>
  <c r="AA581" i="7" s="1"/>
  <c r="F582" i="7"/>
  <c r="Y582" i="7" s="1"/>
  <c r="G593" i="7"/>
  <c r="Z593" i="7" s="1"/>
  <c r="AA593" i="7" s="1"/>
  <c r="F594" i="7"/>
  <c r="Y594" i="7" s="1"/>
  <c r="G88" i="7"/>
  <c r="Z88" i="7" s="1"/>
  <c r="AA88" i="7" s="1"/>
  <c r="F93" i="7"/>
  <c r="Y93" i="7" s="1"/>
  <c r="F107" i="7"/>
  <c r="Y107" i="7" s="1"/>
  <c r="G144" i="7"/>
  <c r="Z144" i="7" s="1"/>
  <c r="AA144" i="7" s="1"/>
  <c r="F145" i="7"/>
  <c r="Y145" i="7" s="1"/>
  <c r="G221" i="7"/>
  <c r="Z221" i="7" s="1"/>
  <c r="AA221" i="7" s="1"/>
  <c r="F222" i="7"/>
  <c r="Y222" i="7" s="1"/>
  <c r="G312" i="7"/>
  <c r="Z312" i="7" s="1"/>
  <c r="AA312" i="7" s="1"/>
  <c r="F313" i="7"/>
  <c r="Y313" i="7" s="1"/>
  <c r="G317" i="7"/>
  <c r="Z317" i="7" s="1"/>
  <c r="AA317" i="7" s="1"/>
  <c r="F318" i="7"/>
  <c r="Y318" i="7" s="1"/>
  <c r="G328" i="7"/>
  <c r="Z328" i="7" s="1"/>
  <c r="AA328" i="7" s="1"/>
  <c r="F329" i="7"/>
  <c r="Y329" i="7" s="1"/>
  <c r="G339" i="7"/>
  <c r="Z339" i="7" s="1"/>
  <c r="AA339" i="7" s="1"/>
  <c r="F340" i="7"/>
  <c r="Y340" i="7" s="1"/>
  <c r="G349" i="7"/>
  <c r="Z349" i="7" s="1"/>
  <c r="AA349" i="7" s="1"/>
  <c r="F350" i="7"/>
  <c r="Y350" i="7" s="1"/>
  <c r="G361" i="7"/>
  <c r="Z361" i="7" s="1"/>
  <c r="AA361" i="7" s="1"/>
  <c r="F362" i="7"/>
  <c r="Y362" i="7" s="1"/>
  <c r="G373" i="7"/>
  <c r="Z373" i="7" s="1"/>
  <c r="AA373" i="7" s="1"/>
  <c r="F374" i="7"/>
  <c r="Y374" i="7" s="1"/>
  <c r="G384" i="7"/>
  <c r="Z384" i="7" s="1"/>
  <c r="AA384" i="7" s="1"/>
  <c r="F385" i="7"/>
  <c r="Y385" i="7" s="1"/>
  <c r="G395" i="7"/>
  <c r="Z395" i="7" s="1"/>
  <c r="AA395" i="7" s="1"/>
  <c r="F396" i="7"/>
  <c r="Y396" i="7" s="1"/>
  <c r="G405" i="7"/>
  <c r="Z405" i="7" s="1"/>
  <c r="AA405" i="7" s="1"/>
  <c r="F406" i="7"/>
  <c r="Y406" i="7" s="1"/>
  <c r="G416" i="7"/>
  <c r="Z416" i="7" s="1"/>
  <c r="AA416" i="7" s="1"/>
  <c r="F417" i="7"/>
  <c r="Y417" i="7" s="1"/>
  <c r="G427" i="7"/>
  <c r="Z427" i="7" s="1"/>
  <c r="AA427" i="7" s="1"/>
  <c r="F428" i="7"/>
  <c r="Y428" i="7" s="1"/>
  <c r="G438" i="7"/>
  <c r="Z438" i="7" s="1"/>
  <c r="AA438" i="7" s="1"/>
  <c r="G448" i="7"/>
  <c r="Z448" i="7" s="1"/>
  <c r="AA448" i="7" s="1"/>
  <c r="F449" i="7"/>
  <c r="Y449" i="7" s="1"/>
  <c r="G458" i="7"/>
  <c r="Z458" i="7" s="1"/>
  <c r="AA458" i="7" s="1"/>
  <c r="F459" i="7"/>
  <c r="Y459" i="7" s="1"/>
  <c r="G469" i="7"/>
  <c r="Z469" i="7" s="1"/>
  <c r="AA469" i="7" s="1"/>
  <c r="F470" i="7"/>
  <c r="Y470" i="7" s="1"/>
  <c r="G480" i="7"/>
  <c r="Z480" i="7" s="1"/>
  <c r="AA480" i="7" s="1"/>
  <c r="F481" i="7"/>
  <c r="Y481" i="7" s="1"/>
  <c r="G491" i="7"/>
  <c r="Z491" i="7" s="1"/>
  <c r="AA491" i="7" s="1"/>
  <c r="F492" i="7"/>
  <c r="Y492" i="7" s="1"/>
  <c r="G502" i="7"/>
  <c r="Z502" i="7" s="1"/>
  <c r="AA502" i="7" s="1"/>
  <c r="F503" i="7"/>
  <c r="Y503" i="7" s="1"/>
  <c r="G513" i="7"/>
  <c r="Z513" i="7" s="1"/>
  <c r="AA513" i="7" s="1"/>
  <c r="F514" i="7"/>
  <c r="Y514" i="7" s="1"/>
  <c r="G525" i="7"/>
  <c r="Z525" i="7" s="1"/>
  <c r="AA525" i="7" s="1"/>
  <c r="F526" i="7"/>
  <c r="Y526" i="7" s="1"/>
  <c r="G537" i="7"/>
  <c r="Z537" i="7" s="1"/>
  <c r="AA537" i="7" s="1"/>
  <c r="F538" i="7"/>
  <c r="Y538" i="7" s="1"/>
  <c r="G547" i="7"/>
  <c r="Z547" i="7" s="1"/>
  <c r="AA547" i="7" s="1"/>
  <c r="F548" i="7"/>
  <c r="Y548" i="7" s="1"/>
  <c r="G559" i="7"/>
  <c r="Z559" i="7" s="1"/>
  <c r="AA559" i="7" s="1"/>
  <c r="F560" i="7"/>
  <c r="Y560" i="7" s="1"/>
  <c r="G571" i="7"/>
  <c r="Z571" i="7" s="1"/>
  <c r="AA571" i="7" s="1"/>
  <c r="F572" i="7"/>
  <c r="Y572" i="7" s="1"/>
  <c r="G582" i="7"/>
  <c r="Z582" i="7" s="1"/>
  <c r="AA582" i="7" s="1"/>
  <c r="F583" i="7"/>
  <c r="Y583" i="7" s="1"/>
  <c r="G594" i="7"/>
  <c r="Z594" i="7" s="1"/>
  <c r="AA594" i="7" s="1"/>
  <c r="F595" i="7"/>
  <c r="Y595" i="7" s="1"/>
  <c r="F26" i="7"/>
  <c r="Y26" i="7" s="1"/>
  <c r="G39" i="7"/>
  <c r="Z39" i="7" s="1"/>
  <c r="AA39" i="7" s="1"/>
  <c r="G87" i="7"/>
  <c r="Z87" i="7" s="1"/>
  <c r="AA87" i="7" s="1"/>
  <c r="F102" i="7"/>
  <c r="Y102" i="7" s="1"/>
  <c r="G160" i="7"/>
  <c r="Z160" i="7" s="1"/>
  <c r="AA160" i="7" s="1"/>
  <c r="F161" i="7"/>
  <c r="Y161" i="7" s="1"/>
  <c r="G180" i="7"/>
  <c r="Z180" i="7" s="1"/>
  <c r="AA180" i="7" s="1"/>
  <c r="F199" i="7"/>
  <c r="Y199" i="7" s="1"/>
  <c r="G318" i="7"/>
  <c r="Z318" i="7" s="1"/>
  <c r="AA318" i="7" s="1"/>
  <c r="F319" i="7"/>
  <c r="Y319" i="7" s="1"/>
  <c r="G329" i="7"/>
  <c r="Z329" i="7" s="1"/>
  <c r="AA329" i="7" s="1"/>
  <c r="F330" i="7"/>
  <c r="Y330" i="7" s="1"/>
  <c r="G340" i="7"/>
  <c r="Z340" i="7" s="1"/>
  <c r="AA340" i="7" s="1"/>
  <c r="G350" i="7"/>
  <c r="Z350" i="7" s="1"/>
  <c r="AA350" i="7" s="1"/>
  <c r="F351" i="7"/>
  <c r="Y351" i="7" s="1"/>
  <c r="G362" i="7"/>
  <c r="Z362" i="7" s="1"/>
  <c r="AA362" i="7" s="1"/>
  <c r="F363" i="7"/>
  <c r="Y363" i="7" s="1"/>
  <c r="G374" i="7"/>
  <c r="Z374" i="7" s="1"/>
  <c r="AA374" i="7" s="1"/>
  <c r="F375" i="7"/>
  <c r="Y375" i="7" s="1"/>
  <c r="G385" i="7"/>
  <c r="Z385" i="7" s="1"/>
  <c r="AA385" i="7" s="1"/>
  <c r="F386" i="7"/>
  <c r="Y386" i="7" s="1"/>
  <c r="G396" i="7"/>
  <c r="Z396" i="7" s="1"/>
  <c r="AA396" i="7" s="1"/>
  <c r="G406" i="7"/>
  <c r="Z406" i="7" s="1"/>
  <c r="AA406" i="7" s="1"/>
  <c r="F407" i="7"/>
  <c r="Y407" i="7" s="1"/>
  <c r="G417" i="7"/>
  <c r="Z417" i="7" s="1"/>
  <c r="AA417" i="7" s="1"/>
  <c r="F418" i="7"/>
  <c r="Y418" i="7" s="1"/>
  <c r="G428" i="7"/>
  <c r="Z428" i="7" s="1"/>
  <c r="AA428" i="7" s="1"/>
  <c r="F439" i="7"/>
  <c r="Y439" i="7" s="1"/>
  <c r="G449" i="7"/>
  <c r="Z449" i="7" s="1"/>
  <c r="AA449" i="7" s="1"/>
  <c r="F450" i="7"/>
  <c r="Y450" i="7" s="1"/>
  <c r="G459" i="7"/>
  <c r="Z459" i="7" s="1"/>
  <c r="AA459" i="7" s="1"/>
  <c r="F460" i="7"/>
  <c r="Y460" i="7" s="1"/>
  <c r="G470" i="7"/>
  <c r="Z470" i="7" s="1"/>
  <c r="AA470" i="7" s="1"/>
  <c r="F471" i="7"/>
  <c r="Y471" i="7" s="1"/>
  <c r="G481" i="7"/>
  <c r="Z481" i="7" s="1"/>
  <c r="AA481" i="7" s="1"/>
  <c r="G492" i="7"/>
  <c r="Z492" i="7" s="1"/>
  <c r="AA492" i="7" s="1"/>
  <c r="G503" i="7"/>
  <c r="Z503" i="7" s="1"/>
  <c r="AA503" i="7" s="1"/>
  <c r="F504" i="7"/>
  <c r="Y504" i="7" s="1"/>
  <c r="G514" i="7"/>
  <c r="Z514" i="7" s="1"/>
  <c r="AA514" i="7" s="1"/>
  <c r="F515" i="7"/>
  <c r="Y515" i="7" s="1"/>
  <c r="G526" i="7"/>
  <c r="Z526" i="7" s="1"/>
  <c r="AA526" i="7" s="1"/>
  <c r="F527" i="7"/>
  <c r="Y527" i="7" s="1"/>
  <c r="G538" i="7"/>
  <c r="Z538" i="7" s="1"/>
  <c r="AA538" i="7" s="1"/>
  <c r="F539" i="7"/>
  <c r="Y539" i="7" s="1"/>
  <c r="G548" i="7"/>
  <c r="Z548" i="7" s="1"/>
  <c r="AA548" i="7" s="1"/>
  <c r="F549" i="7"/>
  <c r="Y549" i="7" s="1"/>
  <c r="G560" i="7"/>
  <c r="Z560" i="7" s="1"/>
  <c r="AA560" i="7" s="1"/>
  <c r="F561" i="7"/>
  <c r="Y561" i="7" s="1"/>
  <c r="G572" i="7"/>
  <c r="Z572" i="7" s="1"/>
  <c r="AA572" i="7" s="1"/>
  <c r="F573" i="7"/>
  <c r="Y573" i="7" s="1"/>
  <c r="G583" i="7"/>
  <c r="Z583" i="7" s="1"/>
  <c r="AA583" i="7" s="1"/>
  <c r="F584" i="7"/>
  <c r="Y584" i="7" s="1"/>
  <c r="G595" i="7"/>
  <c r="Z595" i="7" s="1"/>
  <c r="AA595" i="7" s="1"/>
  <c r="F596" i="7"/>
  <c r="Y596" i="7" s="1"/>
  <c r="G216" i="7"/>
  <c r="Z216" i="7" s="1"/>
  <c r="AA216" i="7" s="1"/>
  <c r="F217" i="7"/>
  <c r="Y217" i="7" s="1"/>
  <c r="F237" i="7"/>
  <c r="Y237" i="7" s="1"/>
  <c r="G255" i="7"/>
  <c r="Z255" i="7" s="1"/>
  <c r="AA255" i="7" s="1"/>
  <c r="F256" i="7"/>
  <c r="Y256" i="7" s="1"/>
  <c r="G273" i="7"/>
  <c r="Z273" i="7" s="1"/>
  <c r="AA273" i="7" s="1"/>
  <c r="F274" i="7"/>
  <c r="Y274" i="7" s="1"/>
  <c r="G319" i="7"/>
  <c r="Z319" i="7" s="1"/>
  <c r="AA319" i="7" s="1"/>
  <c r="F320" i="7"/>
  <c r="Y320" i="7" s="1"/>
  <c r="G330" i="7"/>
  <c r="Z330" i="7" s="1"/>
  <c r="AA330" i="7" s="1"/>
  <c r="F331" i="7"/>
  <c r="Y331" i="7" s="1"/>
  <c r="F341" i="7"/>
  <c r="Y341" i="7" s="1"/>
  <c r="G351" i="7"/>
  <c r="Z351" i="7" s="1"/>
  <c r="AA351" i="7" s="1"/>
  <c r="F352" i="7"/>
  <c r="Y352" i="7" s="1"/>
  <c r="G363" i="7"/>
  <c r="Z363" i="7" s="1"/>
  <c r="AA363" i="7" s="1"/>
  <c r="F364" i="7"/>
  <c r="Y364" i="7" s="1"/>
  <c r="G375" i="7"/>
  <c r="Z375" i="7" s="1"/>
  <c r="AA375" i="7" s="1"/>
  <c r="F376" i="7"/>
  <c r="Y376" i="7" s="1"/>
  <c r="G386" i="7"/>
  <c r="Z386" i="7" s="1"/>
  <c r="AA386" i="7" s="1"/>
  <c r="F387" i="7"/>
  <c r="Y387" i="7" s="1"/>
  <c r="F397" i="7"/>
  <c r="Y397" i="7" s="1"/>
  <c r="G407" i="7"/>
  <c r="Z407" i="7" s="1"/>
  <c r="AA407" i="7" s="1"/>
  <c r="F408" i="7"/>
  <c r="Y408" i="7" s="1"/>
  <c r="G418" i="7"/>
  <c r="Z418" i="7" s="1"/>
  <c r="AA418" i="7" s="1"/>
  <c r="F419" i="7"/>
  <c r="Y419" i="7" s="1"/>
  <c r="F429" i="7"/>
  <c r="Y429" i="7" s="1"/>
  <c r="G439" i="7"/>
  <c r="Z439" i="7" s="1"/>
  <c r="AA439" i="7" s="1"/>
  <c r="F440" i="7"/>
  <c r="Y440" i="7" s="1"/>
  <c r="G450" i="7"/>
  <c r="Z450" i="7" s="1"/>
  <c r="AA450" i="7" s="1"/>
  <c r="F451" i="7"/>
  <c r="Y451" i="7" s="1"/>
  <c r="G460" i="7"/>
  <c r="Z460" i="7" s="1"/>
  <c r="AA460" i="7" s="1"/>
  <c r="F461" i="7"/>
  <c r="Y461" i="7" s="1"/>
  <c r="G471" i="7"/>
  <c r="Z471" i="7" s="1"/>
  <c r="AA471" i="7" s="1"/>
  <c r="F472" i="7"/>
  <c r="Y472" i="7" s="1"/>
  <c r="F482" i="7"/>
  <c r="Y482" i="7" s="1"/>
  <c r="F493" i="7"/>
  <c r="Y493" i="7" s="1"/>
  <c r="G504" i="7"/>
  <c r="Z504" i="7" s="1"/>
  <c r="AA504" i="7" s="1"/>
  <c r="F505" i="7"/>
  <c r="Y505" i="7" s="1"/>
  <c r="G515" i="7"/>
  <c r="Z515" i="7" s="1"/>
  <c r="AA515" i="7" s="1"/>
  <c r="F516" i="7"/>
  <c r="Y516" i="7" s="1"/>
  <c r="G527" i="7"/>
  <c r="Z527" i="7" s="1"/>
  <c r="AA527" i="7" s="1"/>
  <c r="F528" i="7"/>
  <c r="Y528" i="7" s="1"/>
  <c r="G539" i="7"/>
  <c r="Z539" i="7" s="1"/>
  <c r="AA539" i="7" s="1"/>
  <c r="G549" i="7"/>
  <c r="Z549" i="7" s="1"/>
  <c r="AA549" i="7" s="1"/>
  <c r="F550" i="7"/>
  <c r="Y550" i="7" s="1"/>
  <c r="G561" i="7"/>
  <c r="Z561" i="7" s="1"/>
  <c r="AA561" i="7" s="1"/>
  <c r="F562" i="7"/>
  <c r="Y562" i="7" s="1"/>
  <c r="G573" i="7"/>
  <c r="Z573" i="7" s="1"/>
  <c r="AA573" i="7" s="1"/>
  <c r="F574" i="7"/>
  <c r="Y574" i="7" s="1"/>
  <c r="G584" i="7"/>
  <c r="Z584" i="7" s="1"/>
  <c r="AA584" i="7" s="1"/>
  <c r="F585" i="7"/>
  <c r="Y585" i="7" s="1"/>
  <c r="G596" i="7"/>
  <c r="Z596" i="7" s="1"/>
  <c r="AA596" i="7" s="1"/>
  <c r="G341" i="7"/>
  <c r="Z341" i="7" s="1"/>
  <c r="AA341" i="7" s="1"/>
  <c r="F342" i="7"/>
  <c r="Y342" i="7" s="1"/>
  <c r="G429" i="7"/>
  <c r="Z429" i="7" s="1"/>
  <c r="AA429" i="7" s="1"/>
  <c r="F430" i="7"/>
  <c r="Y430" i="7" s="1"/>
  <c r="G574" i="7"/>
  <c r="Z574" i="7" s="1"/>
  <c r="AA574" i="7" s="1"/>
  <c r="F575" i="7"/>
  <c r="Y575" i="7" s="1"/>
  <c r="F577" i="7"/>
  <c r="Y577" i="7" s="1"/>
  <c r="G600" i="7"/>
  <c r="Z600" i="7" s="1"/>
  <c r="AA600" i="7" s="1"/>
  <c r="G609" i="7"/>
  <c r="Z609" i="7" s="1"/>
  <c r="AA609" i="7" s="1"/>
  <c r="F610" i="7"/>
  <c r="Y610" i="7" s="1"/>
  <c r="F612" i="7"/>
  <c r="Y612" i="7" s="1"/>
  <c r="G472" i="7"/>
  <c r="Z472" i="7" s="1"/>
  <c r="AA472" i="7" s="1"/>
  <c r="F473" i="7"/>
  <c r="Y473" i="7" s="1"/>
  <c r="G516" i="7"/>
  <c r="Z516" i="7" s="1"/>
  <c r="AA516" i="7" s="1"/>
  <c r="F517" i="7"/>
  <c r="Y517" i="7" s="1"/>
  <c r="F601" i="7"/>
  <c r="Y601" i="7" s="1"/>
  <c r="G610" i="7"/>
  <c r="Z610" i="7" s="1"/>
  <c r="AA610" i="7" s="1"/>
  <c r="F611" i="7"/>
  <c r="Y611" i="7" s="1"/>
  <c r="F602" i="7"/>
  <c r="Y602" i="7" s="1"/>
  <c r="G611" i="7"/>
  <c r="Z611" i="7" s="1"/>
  <c r="AA611" i="7" s="1"/>
  <c r="F213" i="7"/>
  <c r="Y213" i="7" s="1"/>
  <c r="G397" i="7"/>
  <c r="Z397" i="7" s="1"/>
  <c r="AA397" i="7" s="1"/>
  <c r="F398" i="7"/>
  <c r="Y398" i="7" s="1"/>
  <c r="G601" i="7"/>
  <c r="Z601" i="7" s="1"/>
  <c r="AA601" i="7" s="1"/>
  <c r="G352" i="7"/>
  <c r="Z352" i="7" s="1"/>
  <c r="AA352" i="7" s="1"/>
  <c r="F353" i="7"/>
  <c r="Y353" i="7" s="1"/>
  <c r="G440" i="7"/>
  <c r="Z440" i="7" s="1"/>
  <c r="AA440" i="7" s="1"/>
  <c r="F441" i="7"/>
  <c r="Y441" i="7" s="1"/>
  <c r="G528" i="7"/>
  <c r="Z528" i="7" s="1"/>
  <c r="AA528" i="7" s="1"/>
  <c r="F529" i="7"/>
  <c r="Y529" i="7" s="1"/>
  <c r="G602" i="7"/>
  <c r="Z602" i="7" s="1"/>
  <c r="AA602" i="7" s="1"/>
  <c r="F603" i="7"/>
  <c r="Y603" i="7" s="1"/>
  <c r="G612" i="7"/>
  <c r="Z612" i="7" s="1"/>
  <c r="AA612" i="7" s="1"/>
  <c r="F604" i="7"/>
  <c r="Y604" i="7" s="1"/>
  <c r="G585" i="7"/>
  <c r="Z585" i="7" s="1"/>
  <c r="AA585" i="7" s="1"/>
  <c r="G604" i="7"/>
  <c r="Z604" i="7" s="1"/>
  <c r="AA604" i="7" s="1"/>
  <c r="G613" i="7"/>
  <c r="Z613" i="7" s="1"/>
  <c r="AA613" i="7" s="1"/>
  <c r="G588" i="7"/>
  <c r="Z588" i="7" s="1"/>
  <c r="AA588" i="7" s="1"/>
  <c r="F589" i="7"/>
  <c r="Y589" i="7" s="1"/>
  <c r="G603" i="7"/>
  <c r="Z603" i="7" s="1"/>
  <c r="AA603" i="7" s="1"/>
  <c r="F613" i="7"/>
  <c r="Y613" i="7" s="1"/>
  <c r="A621" i="7"/>
  <c r="G307" i="7"/>
  <c r="Z307" i="7" s="1"/>
  <c r="AA307" i="7" s="1"/>
  <c r="F308" i="7"/>
  <c r="Y308" i="7" s="1"/>
  <c r="G364" i="7"/>
  <c r="Z364" i="7" s="1"/>
  <c r="AA364" i="7" s="1"/>
  <c r="F365" i="7"/>
  <c r="Y365" i="7" s="1"/>
  <c r="G408" i="7"/>
  <c r="Z408" i="7" s="1"/>
  <c r="AA408" i="7" s="1"/>
  <c r="F409" i="7"/>
  <c r="Y409" i="7" s="1"/>
  <c r="G482" i="7"/>
  <c r="Z482" i="7" s="1"/>
  <c r="AA482" i="7" s="1"/>
  <c r="F483" i="7"/>
  <c r="Y483" i="7" s="1"/>
  <c r="F540" i="7"/>
  <c r="Y540" i="7" s="1"/>
  <c r="F586" i="7"/>
  <c r="Y586" i="7" s="1"/>
  <c r="F614" i="7"/>
  <c r="Y614" i="7" s="1"/>
  <c r="G608" i="7"/>
  <c r="Z608" i="7" s="1"/>
  <c r="AA608" i="7" s="1"/>
  <c r="G51" i="7"/>
  <c r="Z51" i="7" s="1"/>
  <c r="AA51" i="7" s="1"/>
  <c r="G195" i="7"/>
  <c r="Z195" i="7" s="1"/>
  <c r="AA195" i="7" s="1"/>
  <c r="F196" i="7"/>
  <c r="Y196" i="7" s="1"/>
  <c r="G320" i="7"/>
  <c r="Z320" i="7" s="1"/>
  <c r="AA320" i="7" s="1"/>
  <c r="F321" i="7"/>
  <c r="Y321" i="7" s="1"/>
  <c r="G451" i="7"/>
  <c r="Z451" i="7" s="1"/>
  <c r="AA451" i="7" s="1"/>
  <c r="F452" i="7"/>
  <c r="Y452" i="7" s="1"/>
  <c r="F605" i="7"/>
  <c r="Y605" i="7" s="1"/>
  <c r="G614" i="7"/>
  <c r="Z614" i="7" s="1"/>
  <c r="AA614" i="7" s="1"/>
  <c r="X621" i="7"/>
  <c r="G605" i="7"/>
  <c r="Z605" i="7" s="1"/>
  <c r="AA605" i="7" s="1"/>
  <c r="F620" i="7"/>
  <c r="Y620" i="7" s="1"/>
  <c r="G376" i="7"/>
  <c r="Z376" i="7" s="1"/>
  <c r="AA376" i="7" s="1"/>
  <c r="F377" i="7"/>
  <c r="Y377" i="7" s="1"/>
  <c r="F606" i="7"/>
  <c r="Y606" i="7" s="1"/>
  <c r="F38" i="7"/>
  <c r="Y38" i="7" s="1"/>
  <c r="G419" i="7"/>
  <c r="Z419" i="7" s="1"/>
  <c r="AA419" i="7" s="1"/>
  <c r="F420" i="7"/>
  <c r="Y420" i="7" s="1"/>
  <c r="G493" i="7"/>
  <c r="Z493" i="7" s="1"/>
  <c r="AA493" i="7" s="1"/>
  <c r="F494" i="7"/>
  <c r="Y494" i="7" s="1"/>
  <c r="G550" i="7"/>
  <c r="Z550" i="7" s="1"/>
  <c r="AA550" i="7" s="1"/>
  <c r="F551" i="7"/>
  <c r="Y551" i="7" s="1"/>
  <c r="G606" i="7"/>
  <c r="Z606" i="7" s="1"/>
  <c r="AA606" i="7" s="1"/>
  <c r="F607" i="7"/>
  <c r="Y607" i="7" s="1"/>
  <c r="G620" i="7"/>
  <c r="Z620" i="7" s="1"/>
  <c r="AA620" i="7" s="1"/>
  <c r="F388" i="7"/>
  <c r="Y388" i="7" s="1"/>
  <c r="G461" i="7"/>
  <c r="Z461" i="7" s="1"/>
  <c r="AA461" i="7" s="1"/>
  <c r="G505" i="7"/>
  <c r="Z505" i="7" s="1"/>
  <c r="AA505" i="7" s="1"/>
  <c r="G562" i="7"/>
  <c r="Z562" i="7" s="1"/>
  <c r="AA562" i="7" s="1"/>
  <c r="G598" i="7"/>
  <c r="Z598" i="7" s="1"/>
  <c r="AA598" i="7" s="1"/>
  <c r="G599" i="7"/>
  <c r="Z599" i="7" s="1"/>
  <c r="AA599" i="7" s="1"/>
  <c r="F609" i="7"/>
  <c r="Y609" i="7" s="1"/>
  <c r="G622" i="7"/>
  <c r="Z622" i="7" s="1"/>
  <c r="AA622" i="7" s="1"/>
  <c r="G331" i="7"/>
  <c r="Z331" i="7" s="1"/>
  <c r="AA331" i="7" s="1"/>
  <c r="F597" i="7"/>
  <c r="Y597" i="7" s="1"/>
  <c r="F598" i="7"/>
  <c r="Y598" i="7" s="1"/>
  <c r="G607" i="7"/>
  <c r="Z607" i="7" s="1"/>
  <c r="AA607" i="7" s="1"/>
  <c r="F608" i="7"/>
  <c r="Y608" i="7" s="1"/>
  <c r="F86" i="7"/>
  <c r="Y86" i="7" s="1"/>
  <c r="G387" i="7"/>
  <c r="Z387" i="7" s="1"/>
  <c r="AA387" i="7" s="1"/>
  <c r="F462" i="7"/>
  <c r="Y462" i="7" s="1"/>
  <c r="F506" i="7"/>
  <c r="Y506" i="7" s="1"/>
  <c r="F563" i="7"/>
  <c r="Y563" i="7" s="1"/>
  <c r="F599" i="7"/>
  <c r="Y599" i="7" s="1"/>
  <c r="F622" i="7"/>
  <c r="Y622" i="7" s="1"/>
  <c r="F600" i="7"/>
  <c r="Y600" i="7" s="1"/>
  <c r="Y17" i="7"/>
  <c r="Z127" i="7"/>
  <c r="AA127" i="7" s="1"/>
  <c r="G78" i="5"/>
  <c r="I78" i="5"/>
  <c r="Y54" i="7"/>
  <c r="Z40" i="7"/>
  <c r="AA40" i="7" s="1"/>
  <c r="Y79" i="7"/>
  <c r="Y110" i="7"/>
  <c r="Z129" i="7"/>
  <c r="AA129" i="7" s="1"/>
  <c r="Z92" i="7"/>
  <c r="AA92" i="7" s="1"/>
  <c r="G71" i="5"/>
  <c r="I71" i="5"/>
  <c r="Z19" i="7"/>
  <c r="AA19" i="7" s="1"/>
  <c r="K200" i="5"/>
  <c r="K267" i="5"/>
  <c r="O5" i="5"/>
  <c r="O25" i="5"/>
  <c r="O37" i="5"/>
  <c r="O49" i="5"/>
  <c r="O10" i="5"/>
  <c r="O12" i="5"/>
  <c r="O14" i="5"/>
  <c r="O16" i="5"/>
  <c r="O28" i="5"/>
  <c r="O40" i="5"/>
  <c r="O52" i="5"/>
  <c r="O19" i="5"/>
  <c r="O31" i="5"/>
  <c r="O43" i="5"/>
  <c r="O4" i="5"/>
  <c r="O24" i="5"/>
  <c r="O36" i="5"/>
  <c r="O48" i="5"/>
  <c r="O20" i="5"/>
  <c r="O38" i="5"/>
  <c r="O58" i="5"/>
  <c r="O17" i="5"/>
  <c r="O18" i="5"/>
  <c r="O53" i="5"/>
  <c r="O63" i="5"/>
  <c r="O75" i="5"/>
  <c r="O7" i="5"/>
  <c r="O9" i="5"/>
  <c r="O11" i="5"/>
  <c r="O13" i="5"/>
  <c r="O15" i="5"/>
  <c r="O34" i="5"/>
  <c r="O35" i="5"/>
  <c r="O6" i="5"/>
  <c r="O8" i="5"/>
  <c r="O33" i="5"/>
  <c r="O51" i="5"/>
  <c r="O54" i="5"/>
  <c r="O61" i="5"/>
  <c r="O2" i="5"/>
  <c r="O32" i="5"/>
  <c r="O50" i="5"/>
  <c r="O3" i="5"/>
  <c r="O29" i="5"/>
  <c r="O30" i="5"/>
  <c r="O55" i="5"/>
  <c r="O59" i="5"/>
  <c r="O27" i="5"/>
  <c r="O45" i="5"/>
  <c r="O56" i="5"/>
  <c r="O22" i="5"/>
  <c r="O23" i="5"/>
  <c r="O21" i="5"/>
  <c r="O39" i="5"/>
  <c r="O72" i="5"/>
  <c r="O83" i="5"/>
  <c r="O95" i="5"/>
  <c r="O107" i="5"/>
  <c r="O119" i="5"/>
  <c r="O62" i="5"/>
  <c r="O69" i="5"/>
  <c r="O88" i="5"/>
  <c r="O100" i="5"/>
  <c r="O112" i="5"/>
  <c r="O41" i="5"/>
  <c r="O57" i="5"/>
  <c r="O76" i="5"/>
  <c r="O81" i="5"/>
  <c r="O93" i="5"/>
  <c r="O46" i="5"/>
  <c r="O73" i="5"/>
  <c r="O86" i="5"/>
  <c r="O79" i="5"/>
  <c r="O47" i="5"/>
  <c r="O26" i="5"/>
  <c r="O74" i="5"/>
  <c r="O82" i="5"/>
  <c r="O94" i="5"/>
  <c r="O106" i="5"/>
  <c r="O64" i="5"/>
  <c r="O71" i="5"/>
  <c r="O87" i="5"/>
  <c r="O65" i="5"/>
  <c r="O66" i="5"/>
  <c r="O80" i="5"/>
  <c r="O92" i="5"/>
  <c r="O104" i="5"/>
  <c r="O44" i="5"/>
  <c r="O60" i="5"/>
  <c r="O91" i="5"/>
  <c r="O77" i="5"/>
  <c r="O121" i="5"/>
  <c r="O133" i="5"/>
  <c r="O145" i="5"/>
  <c r="O118" i="5"/>
  <c r="O126" i="5"/>
  <c r="O138" i="5"/>
  <c r="O85" i="5"/>
  <c r="O131" i="5"/>
  <c r="O90" i="5"/>
  <c r="O98" i="5"/>
  <c r="O99" i="5"/>
  <c r="O101" i="5"/>
  <c r="O102" i="5"/>
  <c r="O103" i="5"/>
  <c r="O108" i="5"/>
  <c r="O109" i="5"/>
  <c r="O110" i="5"/>
  <c r="O111" i="5"/>
  <c r="O113" i="5"/>
  <c r="O124" i="5"/>
  <c r="O136" i="5"/>
  <c r="O84" i="5"/>
  <c r="O96" i="5"/>
  <c r="O97" i="5"/>
  <c r="O105" i="5"/>
  <c r="O114" i="5"/>
  <c r="O129" i="5"/>
  <c r="O141" i="5"/>
  <c r="O153" i="5"/>
  <c r="O67" i="5"/>
  <c r="O89" i="5"/>
  <c r="O70" i="5"/>
  <c r="O120" i="5"/>
  <c r="O132" i="5"/>
  <c r="O42" i="5"/>
  <c r="O78" i="5"/>
  <c r="O116" i="5"/>
  <c r="O125" i="5"/>
  <c r="O149" i="5"/>
  <c r="O166" i="5"/>
  <c r="O178" i="5"/>
  <c r="O190" i="5"/>
  <c r="O115" i="5"/>
  <c r="O130" i="5"/>
  <c r="O134" i="5"/>
  <c r="O137" i="5"/>
  <c r="O139" i="5"/>
  <c r="O154" i="5"/>
  <c r="O164" i="5"/>
  <c r="O140" i="5"/>
  <c r="O150" i="5"/>
  <c r="O157" i="5"/>
  <c r="O169" i="5"/>
  <c r="O181" i="5"/>
  <c r="O128" i="5"/>
  <c r="O127" i="5"/>
  <c r="O146" i="5"/>
  <c r="O155" i="5"/>
  <c r="O167" i="5"/>
  <c r="O117" i="5"/>
  <c r="O123" i="5"/>
  <c r="O151" i="5"/>
  <c r="O160" i="5"/>
  <c r="O172" i="5"/>
  <c r="O184" i="5"/>
  <c r="O68" i="5"/>
  <c r="O122" i="5"/>
  <c r="O147" i="5"/>
  <c r="O158" i="5"/>
  <c r="O170" i="5"/>
  <c r="O182" i="5"/>
  <c r="O161" i="5"/>
  <c r="O192" i="5"/>
  <c r="O202" i="5"/>
  <c r="O214" i="5"/>
  <c r="O226" i="5"/>
  <c r="O148" i="5"/>
  <c r="O171" i="5"/>
  <c r="O195" i="5"/>
  <c r="O200" i="5"/>
  <c r="O212" i="5"/>
  <c r="O135" i="5"/>
  <c r="O143" i="5"/>
  <c r="O165" i="5"/>
  <c r="O175" i="5"/>
  <c r="O177" i="5"/>
  <c r="O186" i="5"/>
  <c r="O193" i="5"/>
  <c r="O205" i="5"/>
  <c r="O217" i="5"/>
  <c r="O174" i="5"/>
  <c r="O176" i="5"/>
  <c r="O185" i="5"/>
  <c r="O187" i="5"/>
  <c r="O189" i="5"/>
  <c r="O198" i="5"/>
  <c r="O156" i="5"/>
  <c r="O179" i="5"/>
  <c r="O180" i="5"/>
  <c r="O183" i="5"/>
  <c r="O188" i="5"/>
  <c r="O203" i="5"/>
  <c r="O215" i="5"/>
  <c r="O227" i="5"/>
  <c r="O159" i="5"/>
  <c r="O196" i="5"/>
  <c r="O208" i="5"/>
  <c r="O142" i="5"/>
  <c r="O191" i="5"/>
  <c r="O194" i="5"/>
  <c r="O206" i="5"/>
  <c r="O144" i="5"/>
  <c r="O162" i="5"/>
  <c r="O168" i="5"/>
  <c r="O204" i="5"/>
  <c r="O216" i="5"/>
  <c r="O228" i="5"/>
  <c r="O235" i="5"/>
  <c r="O247" i="5"/>
  <c r="O259" i="5"/>
  <c r="O173" i="5"/>
  <c r="O240" i="5"/>
  <c r="O252" i="5"/>
  <c r="O264" i="5"/>
  <c r="O197" i="5"/>
  <c r="O199" i="5"/>
  <c r="O222" i="5"/>
  <c r="O230" i="5"/>
  <c r="O231" i="5"/>
  <c r="O238" i="5"/>
  <c r="O250" i="5"/>
  <c r="O262" i="5"/>
  <c r="O274" i="5"/>
  <c r="O201" i="5"/>
  <c r="O223" i="5"/>
  <c r="O236" i="5"/>
  <c r="O248" i="5"/>
  <c r="O211" i="5"/>
  <c r="O219" i="5"/>
  <c r="O233" i="5"/>
  <c r="O241" i="5"/>
  <c r="O253" i="5"/>
  <c r="O207" i="5"/>
  <c r="O218" i="5"/>
  <c r="O163" i="5"/>
  <c r="O234" i="5"/>
  <c r="O152" i="5"/>
  <c r="O209" i="5"/>
  <c r="O243" i="5"/>
  <c r="O260" i="5"/>
  <c r="O270" i="5"/>
  <c r="O277" i="5"/>
  <c r="O289" i="5"/>
  <c r="O301" i="5"/>
  <c r="O254" i="5"/>
  <c r="O261" i="5"/>
  <c r="O282" i="5"/>
  <c r="O294" i="5"/>
  <c r="O287" i="5"/>
  <c r="O299" i="5"/>
  <c r="O210" i="5"/>
  <c r="O232" i="5"/>
  <c r="O242" i="5"/>
  <c r="O263" i="5"/>
  <c r="O275" i="5"/>
  <c r="O280" i="5"/>
  <c r="O292" i="5"/>
  <c r="O224" i="5"/>
  <c r="O237" i="5"/>
  <c r="O265" i="5"/>
  <c r="O271" i="5"/>
  <c r="O285" i="5"/>
  <c r="O297" i="5"/>
  <c r="O220" i="5"/>
  <c r="O267" i="5"/>
  <c r="O278" i="5"/>
  <c r="O290" i="5"/>
  <c r="O251" i="5"/>
  <c r="O266" i="5"/>
  <c r="O272" i="5"/>
  <c r="O283" i="5"/>
  <c r="O295" i="5"/>
  <c r="O276" i="5"/>
  <c r="O288" i="5"/>
  <c r="O213" i="5"/>
  <c r="O249" i="5"/>
  <c r="O268" i="5"/>
  <c r="O281" i="5"/>
  <c r="O293" i="5"/>
  <c r="O221" i="5"/>
  <c r="O239" i="5"/>
  <c r="O229" i="5"/>
  <c r="O255" i="5"/>
  <c r="O258" i="5"/>
  <c r="O269" i="5"/>
  <c r="O273" i="5"/>
  <c r="O279" i="5"/>
  <c r="O225" i="5"/>
  <c r="O244" i="5"/>
  <c r="O245" i="5"/>
  <c r="O256" i="5"/>
  <c r="O257" i="5"/>
  <c r="O284" i="5"/>
  <c r="O246" i="5"/>
  <c r="O300" i="5"/>
  <c r="O296" i="5"/>
  <c r="O291" i="5"/>
  <c r="O298" i="5"/>
  <c r="O286" i="5"/>
  <c r="G68" i="5"/>
  <c r="I68" i="5"/>
  <c r="K68" i="5"/>
  <c r="L68" i="5"/>
  <c r="L27" i="5"/>
  <c r="G27" i="5"/>
  <c r="I27" i="5"/>
  <c r="L40" i="5"/>
  <c r="G40" i="5"/>
  <c r="I40" i="5"/>
  <c r="K40" i="5"/>
  <c r="I22" i="5"/>
  <c r="L22" i="5"/>
  <c r="G22" i="5"/>
  <c r="K22" i="5"/>
  <c r="L79" i="5"/>
  <c r="N39" i="5"/>
  <c r="N10" i="5"/>
  <c r="N13" i="5"/>
  <c r="K14" i="5"/>
  <c r="N4" i="5"/>
  <c r="L75" i="5"/>
  <c r="K96" i="5"/>
  <c r="K111" i="5"/>
  <c r="K86" i="5"/>
  <c r="L98" i="5"/>
  <c r="K73" i="5"/>
  <c r="K166" i="5"/>
  <c r="K176" i="5"/>
  <c r="K196" i="5"/>
  <c r="K125" i="5"/>
  <c r="L159" i="5"/>
  <c r="K165" i="5"/>
  <c r="L222" i="5"/>
  <c r="K233" i="5"/>
  <c r="K222" i="5"/>
  <c r="L251" i="5"/>
  <c r="K278" i="5"/>
  <c r="K246" i="5"/>
  <c r="K229" i="5"/>
  <c r="K272" i="5"/>
  <c r="K285" i="5"/>
  <c r="K295" i="5"/>
  <c r="L280" i="5"/>
  <c r="L52" i="5"/>
  <c r="G52" i="5"/>
  <c r="I52" i="5"/>
  <c r="L39" i="5"/>
  <c r="I39" i="5"/>
  <c r="G39" i="5"/>
  <c r="G26" i="5"/>
  <c r="I26" i="5"/>
  <c r="L26" i="5"/>
  <c r="L28" i="5"/>
  <c r="G28" i="5"/>
  <c r="I28" i="5"/>
  <c r="I15" i="5"/>
  <c r="L15" i="5"/>
  <c r="G15" i="5"/>
  <c r="K84" i="5"/>
  <c r="K19" i="5"/>
  <c r="N5" i="5"/>
  <c r="N6" i="5"/>
  <c r="N11" i="5"/>
  <c r="K13" i="5"/>
  <c r="N29" i="5"/>
  <c r="N57" i="5"/>
  <c r="N30" i="5"/>
  <c r="L83" i="5"/>
  <c r="K102" i="5"/>
  <c r="K100" i="5"/>
  <c r="K153" i="5"/>
  <c r="L173" i="5"/>
  <c r="L203" i="5"/>
  <c r="L146" i="5"/>
  <c r="L168" i="5"/>
  <c r="K231" i="5"/>
  <c r="K171" i="5"/>
  <c r="L239" i="5"/>
  <c r="L230" i="5"/>
  <c r="L231" i="5"/>
  <c r="K217" i="5"/>
  <c r="K248" i="5"/>
  <c r="L290" i="5"/>
  <c r="L266" i="5"/>
  <c r="L281" i="5"/>
  <c r="L262" i="5"/>
  <c r="K212" i="5"/>
  <c r="K177" i="5"/>
  <c r="K241" i="5"/>
  <c r="K243" i="5"/>
  <c r="G48" i="5"/>
  <c r="I48" i="5"/>
  <c r="L48" i="5"/>
  <c r="L38" i="5"/>
  <c r="G38" i="5"/>
  <c r="I38" i="5"/>
  <c r="K38" i="5"/>
  <c r="G67" i="5"/>
  <c r="L67" i="5"/>
  <c r="I67" i="5"/>
  <c r="L16" i="5"/>
  <c r="G16" i="5"/>
  <c r="I16" i="5"/>
  <c r="I13" i="5"/>
  <c r="L13" i="5"/>
  <c r="G13" i="5"/>
  <c r="N59" i="5"/>
  <c r="N61" i="5"/>
  <c r="K3" i="5"/>
  <c r="K12" i="5"/>
  <c r="K20" i="5"/>
  <c r="K48" i="5"/>
  <c r="L78" i="5"/>
  <c r="L62" i="5"/>
  <c r="L51" i="5"/>
  <c r="K75" i="5"/>
  <c r="K115" i="5"/>
  <c r="L140" i="5"/>
  <c r="L139" i="5"/>
  <c r="K178" i="5"/>
  <c r="K168" i="5"/>
  <c r="K170" i="5"/>
  <c r="K232" i="5"/>
  <c r="L285" i="5"/>
  <c r="K293" i="5"/>
  <c r="L293" i="5"/>
  <c r="L205" i="5"/>
  <c r="G60" i="5"/>
  <c r="I60" i="5"/>
  <c r="L60" i="5"/>
  <c r="K60" i="5"/>
  <c r="K55" i="5"/>
  <c r="K2" i="5"/>
  <c r="K83" i="5"/>
  <c r="K88" i="5"/>
  <c r="L99" i="5"/>
  <c r="K91" i="5"/>
  <c r="K103" i="5"/>
  <c r="L105" i="5"/>
  <c r="L145" i="5"/>
  <c r="K159" i="5"/>
  <c r="K236" i="5"/>
  <c r="L208" i="5"/>
  <c r="L275" i="5"/>
  <c r="K252" i="5"/>
  <c r="L272" i="5"/>
  <c r="L255" i="5"/>
  <c r="K122" i="5"/>
  <c r="K270" i="5"/>
  <c r="I30" i="5"/>
  <c r="G30" i="5"/>
  <c r="L30" i="5"/>
  <c r="N23" i="5"/>
  <c r="N69" i="5"/>
  <c r="N88" i="5"/>
  <c r="N100" i="5"/>
  <c r="N112" i="5"/>
  <c r="N76" i="5"/>
  <c r="N81" i="5"/>
  <c r="N93" i="5"/>
  <c r="N105" i="5"/>
  <c r="N117" i="5"/>
  <c r="N73" i="5"/>
  <c r="N86" i="5"/>
  <c r="N79" i="5"/>
  <c r="N91" i="5"/>
  <c r="N25" i="5"/>
  <c r="N70" i="5"/>
  <c r="N84" i="5"/>
  <c r="N74" i="5"/>
  <c r="N43" i="5"/>
  <c r="N56" i="5"/>
  <c r="N71" i="5"/>
  <c r="N87" i="5"/>
  <c r="N99" i="5"/>
  <c r="N111" i="5"/>
  <c r="N22" i="5"/>
  <c r="N65" i="5"/>
  <c r="N66" i="5"/>
  <c r="N80" i="5"/>
  <c r="N58" i="5"/>
  <c r="N67" i="5"/>
  <c r="N85" i="5"/>
  <c r="N97" i="5"/>
  <c r="N109" i="5"/>
  <c r="N77" i="5"/>
  <c r="N92" i="5"/>
  <c r="N118" i="5"/>
  <c r="N126" i="5"/>
  <c r="N138" i="5"/>
  <c r="N150" i="5"/>
  <c r="N131" i="5"/>
  <c r="N143" i="5"/>
  <c r="N82" i="5"/>
  <c r="N90" i="5"/>
  <c r="N98" i="5"/>
  <c r="N101" i="5"/>
  <c r="N102" i="5"/>
  <c r="N103" i="5"/>
  <c r="N108" i="5"/>
  <c r="N110" i="5"/>
  <c r="N113" i="5"/>
  <c r="N124" i="5"/>
  <c r="N96" i="5"/>
  <c r="N107" i="5"/>
  <c r="N114" i="5"/>
  <c r="N119" i="5"/>
  <c r="N129" i="5"/>
  <c r="N141" i="5"/>
  <c r="N89" i="5"/>
  <c r="N104" i="5"/>
  <c r="N106" i="5"/>
  <c r="N115" i="5"/>
  <c r="N122" i="5"/>
  <c r="N134" i="5"/>
  <c r="N146" i="5"/>
  <c r="N72" i="5"/>
  <c r="N95" i="5"/>
  <c r="N120" i="5"/>
  <c r="N116" i="5"/>
  <c r="N125" i="5"/>
  <c r="N83" i="5"/>
  <c r="N60" i="5"/>
  <c r="N159" i="5"/>
  <c r="N171" i="5"/>
  <c r="N183" i="5"/>
  <c r="N121" i="5"/>
  <c r="N130" i="5"/>
  <c r="N137" i="5"/>
  <c r="N139" i="5"/>
  <c r="N154" i="5"/>
  <c r="N136" i="5"/>
  <c r="N140" i="5"/>
  <c r="N157" i="5"/>
  <c r="N169" i="5"/>
  <c r="N78" i="5"/>
  <c r="N94" i="5"/>
  <c r="N128" i="5"/>
  <c r="N135" i="5"/>
  <c r="N142" i="5"/>
  <c r="N144" i="5"/>
  <c r="N162" i="5"/>
  <c r="N174" i="5"/>
  <c r="N186" i="5"/>
  <c r="N127" i="5"/>
  <c r="N75" i="5"/>
  <c r="N123" i="5"/>
  <c r="N145" i="5"/>
  <c r="N151" i="5"/>
  <c r="N160" i="5"/>
  <c r="N172" i="5"/>
  <c r="N133" i="5"/>
  <c r="N165" i="5"/>
  <c r="N177" i="5"/>
  <c r="N189" i="5"/>
  <c r="N152" i="5"/>
  <c r="N163" i="5"/>
  <c r="N175" i="5"/>
  <c r="N187" i="5"/>
  <c r="N148" i="5"/>
  <c r="N195" i="5"/>
  <c r="N207" i="5"/>
  <c r="N219" i="5"/>
  <c r="N231" i="5"/>
  <c r="N166" i="5"/>
  <c r="N200" i="5"/>
  <c r="N153" i="5"/>
  <c r="N193" i="5"/>
  <c r="N205" i="5"/>
  <c r="N217" i="5"/>
  <c r="N170" i="5"/>
  <c r="N176" i="5"/>
  <c r="N178" i="5"/>
  <c r="N185" i="5"/>
  <c r="N198" i="5"/>
  <c r="N210" i="5"/>
  <c r="N222" i="5"/>
  <c r="N147" i="5"/>
  <c r="N156" i="5"/>
  <c r="N179" i="5"/>
  <c r="N180" i="5"/>
  <c r="N184" i="5"/>
  <c r="N188" i="5"/>
  <c r="N190" i="5"/>
  <c r="N203" i="5"/>
  <c r="N181" i="5"/>
  <c r="N182" i="5"/>
  <c r="N196" i="5"/>
  <c r="N208" i="5"/>
  <c r="N220" i="5"/>
  <c r="N232" i="5"/>
  <c r="N155" i="5"/>
  <c r="N164" i="5"/>
  <c r="N173" i="5"/>
  <c r="N201" i="5"/>
  <c r="N149" i="5"/>
  <c r="N168" i="5"/>
  <c r="N199" i="5"/>
  <c r="N211" i="5"/>
  <c r="N158" i="5"/>
  <c r="N197" i="5"/>
  <c r="N209" i="5"/>
  <c r="N221" i="5"/>
  <c r="N233" i="5"/>
  <c r="N216" i="5"/>
  <c r="N227" i="5"/>
  <c r="N240" i="5"/>
  <c r="N252" i="5"/>
  <c r="N264" i="5"/>
  <c r="N206" i="5"/>
  <c r="N215" i="5"/>
  <c r="N228" i="5"/>
  <c r="N229" i="5"/>
  <c r="N245" i="5"/>
  <c r="N257" i="5"/>
  <c r="N269" i="5"/>
  <c r="N202" i="5"/>
  <c r="N204" i="5"/>
  <c r="N132" i="5"/>
  <c r="N167" i="5"/>
  <c r="N213" i="5"/>
  <c r="N214" i="5"/>
  <c r="N243" i="5"/>
  <c r="N255" i="5"/>
  <c r="N267" i="5"/>
  <c r="N212" i="5"/>
  <c r="N241" i="5"/>
  <c r="N253" i="5"/>
  <c r="N224" i="5"/>
  <c r="N246" i="5"/>
  <c r="N258" i="5"/>
  <c r="N234" i="5"/>
  <c r="N191" i="5"/>
  <c r="N225" i="5"/>
  <c r="N237" i="5"/>
  <c r="N161" i="5"/>
  <c r="N194" i="5"/>
  <c r="N226" i="5"/>
  <c r="N235" i="5"/>
  <c r="N238" i="5"/>
  <c r="N254" i="5"/>
  <c r="N259" i="5"/>
  <c r="N261" i="5"/>
  <c r="N274" i="5"/>
  <c r="N282" i="5"/>
  <c r="N294" i="5"/>
  <c r="N262" i="5"/>
  <c r="N287" i="5"/>
  <c r="N299" i="5"/>
  <c r="N192" i="5"/>
  <c r="N242" i="5"/>
  <c r="N263" i="5"/>
  <c r="N275" i="5"/>
  <c r="N280" i="5"/>
  <c r="N292" i="5"/>
  <c r="N265" i="5"/>
  <c r="N271" i="5"/>
  <c r="N285" i="5"/>
  <c r="N297" i="5"/>
  <c r="N230" i="5"/>
  <c r="N278" i="5"/>
  <c r="N290" i="5"/>
  <c r="N251" i="5"/>
  <c r="N266" i="5"/>
  <c r="N272" i="5"/>
  <c r="N283" i="5"/>
  <c r="N276" i="5"/>
  <c r="N288" i="5"/>
  <c r="N300" i="5"/>
  <c r="N218" i="5"/>
  <c r="N249" i="5"/>
  <c r="N250" i="5"/>
  <c r="N268" i="5"/>
  <c r="N281" i="5"/>
  <c r="N293" i="5"/>
  <c r="N223" i="5"/>
  <c r="N236" i="5"/>
  <c r="N239" i="5"/>
  <c r="N248" i="5"/>
  <c r="N286" i="5"/>
  <c r="N244" i="5"/>
  <c r="N247" i="5"/>
  <c r="N256" i="5"/>
  <c r="N284" i="5"/>
  <c r="N260" i="5"/>
  <c r="N270" i="5"/>
  <c r="N277" i="5"/>
  <c r="N289" i="5"/>
  <c r="N301" i="5"/>
  <c r="N296" i="5"/>
  <c r="N273" i="5"/>
  <c r="N279" i="5"/>
  <c r="N295" i="5"/>
  <c r="N291" i="5"/>
  <c r="N298" i="5"/>
  <c r="L20" i="5"/>
  <c r="L70" i="5"/>
  <c r="L84" i="5"/>
  <c r="L77" i="5"/>
  <c r="L89" i="5"/>
  <c r="L64" i="5"/>
  <c r="L65" i="5"/>
  <c r="L85" i="5"/>
  <c r="L97" i="5"/>
  <c r="L109" i="5"/>
  <c r="L69" i="5"/>
  <c r="L71" i="5"/>
  <c r="L80" i="5"/>
  <c r="L90" i="5"/>
  <c r="L101" i="5"/>
  <c r="L113" i="5"/>
  <c r="L87" i="5"/>
  <c r="L104" i="5"/>
  <c r="L76" i="5"/>
  <c r="L94" i="5"/>
  <c r="L81" i="5"/>
  <c r="L123" i="5"/>
  <c r="L92" i="5"/>
  <c r="L93" i="5"/>
  <c r="L131" i="5"/>
  <c r="L121" i="5"/>
  <c r="L130" i="5"/>
  <c r="L118" i="5"/>
  <c r="L88" i="5"/>
  <c r="L128" i="5"/>
  <c r="L135" i="5"/>
  <c r="L138" i="5"/>
  <c r="L142" i="5"/>
  <c r="L150" i="5"/>
  <c r="L143" i="5"/>
  <c r="L155" i="5"/>
  <c r="L167" i="5"/>
  <c r="L117" i="5"/>
  <c r="L147" i="5"/>
  <c r="L152" i="5"/>
  <c r="L163" i="5"/>
  <c r="L175" i="5"/>
  <c r="L187" i="5"/>
  <c r="L116" i="5"/>
  <c r="L153" i="5"/>
  <c r="L165" i="5"/>
  <c r="L178" i="5"/>
  <c r="L156" i="5"/>
  <c r="L174" i="5"/>
  <c r="L179" i="5"/>
  <c r="L180" i="5"/>
  <c r="L188" i="5"/>
  <c r="L189" i="5"/>
  <c r="L190" i="5"/>
  <c r="L133" i="5"/>
  <c r="L164" i="5"/>
  <c r="L201" i="5"/>
  <c r="L191" i="5"/>
  <c r="L149" i="5"/>
  <c r="L199" i="5"/>
  <c r="L197" i="5"/>
  <c r="L209" i="5"/>
  <c r="L126" i="5"/>
  <c r="L154" i="5"/>
  <c r="L192" i="5"/>
  <c r="L202" i="5"/>
  <c r="L204" i="5"/>
  <c r="L213" i="5"/>
  <c r="L214" i="5"/>
  <c r="L162" i="5"/>
  <c r="L223" i="5"/>
  <c r="L212" i="5"/>
  <c r="L171" i="5"/>
  <c r="L234" i="5"/>
  <c r="L244" i="5"/>
  <c r="L256" i="5"/>
  <c r="L166" i="5"/>
  <c r="L200" i="5"/>
  <c r="L235" i="5"/>
  <c r="L228" i="5"/>
  <c r="L271" i="5"/>
  <c r="L224" i="5"/>
  <c r="L237" i="5"/>
  <c r="L240" i="5"/>
  <c r="L249" i="5"/>
  <c r="L268" i="5"/>
  <c r="L236" i="5"/>
  <c r="L248" i="5"/>
  <c r="L286" i="5"/>
  <c r="L298" i="5"/>
  <c r="L246" i="5"/>
  <c r="L273" i="5"/>
  <c r="L279" i="5"/>
  <c r="L291" i="5"/>
  <c r="L211" i="5"/>
  <c r="L227" i="5"/>
  <c r="L233" i="5"/>
  <c r="L247" i="5"/>
  <c r="L258" i="5"/>
  <c r="L269" i="5"/>
  <c r="L284" i="5"/>
  <c r="L296" i="5"/>
  <c r="L225" i="5"/>
  <c r="L254" i="5"/>
  <c r="L259" i="5"/>
  <c r="L261" i="5"/>
  <c r="L274" i="5"/>
  <c r="L282" i="5"/>
  <c r="L287" i="5"/>
  <c r="L301" i="5"/>
  <c r="L270" i="5"/>
  <c r="L294" i="5"/>
  <c r="L260" i="5"/>
  <c r="L257" i="5"/>
  <c r="L299" i="5"/>
  <c r="L245" i="5"/>
  <c r="L277" i="5"/>
  <c r="L289" i="5"/>
  <c r="L241" i="5"/>
  <c r="L292" i="5"/>
  <c r="L232" i="5"/>
  <c r="G3" i="5"/>
  <c r="I3" i="5"/>
  <c r="L3" i="5"/>
  <c r="G41" i="5"/>
  <c r="I41" i="5"/>
  <c r="L41" i="5"/>
  <c r="G47" i="5"/>
  <c r="I47" i="5"/>
  <c r="L47" i="5"/>
  <c r="L12" i="5"/>
  <c r="G12" i="5"/>
  <c r="I12" i="5"/>
  <c r="I9" i="5"/>
  <c r="L9" i="5"/>
  <c r="G9" i="5"/>
  <c r="N44" i="5"/>
  <c r="N49" i="5"/>
  <c r="N54" i="5"/>
  <c r="K71" i="5"/>
  <c r="K66" i="5"/>
  <c r="N2" i="5"/>
  <c r="K36" i="5"/>
  <c r="N27" i="5"/>
  <c r="L95" i="5"/>
  <c r="K107" i="5"/>
  <c r="L107" i="5"/>
  <c r="K105" i="5"/>
  <c r="L112" i="5"/>
  <c r="K145" i="5"/>
  <c r="K186" i="5"/>
  <c r="L170" i="5"/>
  <c r="K230" i="5"/>
  <c r="L194" i="5"/>
  <c r="L181" i="5"/>
  <c r="K208" i="5"/>
  <c r="K290" i="5"/>
  <c r="K276" i="5"/>
  <c r="L151" i="5"/>
  <c r="K207" i="5"/>
  <c r="K255" i="5"/>
  <c r="L183" i="5"/>
  <c r="K300" i="5"/>
  <c r="K90" i="5"/>
  <c r="G56" i="5"/>
  <c r="I56" i="5"/>
  <c r="L56" i="5"/>
  <c r="I11" i="5"/>
  <c r="L11" i="5"/>
  <c r="G11" i="5"/>
  <c r="Q7" i="5"/>
  <c r="Q27" i="5"/>
  <c r="Q39" i="5"/>
  <c r="Q51" i="5"/>
  <c r="Q18" i="5"/>
  <c r="Q30" i="5"/>
  <c r="Q42" i="5"/>
  <c r="Q54" i="5"/>
  <c r="Q8" i="5"/>
  <c r="Q21" i="5"/>
  <c r="Q33" i="5"/>
  <c r="Q45" i="5"/>
  <c r="Q6" i="5"/>
  <c r="Q26" i="5"/>
  <c r="Q38" i="5"/>
  <c r="Q50" i="5"/>
  <c r="Q22" i="5"/>
  <c r="Q40" i="5"/>
  <c r="Q60" i="5"/>
  <c r="Q19" i="5"/>
  <c r="Q20" i="5"/>
  <c r="Q65" i="5"/>
  <c r="Q36" i="5"/>
  <c r="Q37" i="5"/>
  <c r="Q58" i="5"/>
  <c r="Q17" i="5"/>
  <c r="Q35" i="5"/>
  <c r="Q53" i="5"/>
  <c r="Q63" i="5"/>
  <c r="Q9" i="5"/>
  <c r="Q10" i="5"/>
  <c r="Q11" i="5"/>
  <c r="Q12" i="5"/>
  <c r="Q13" i="5"/>
  <c r="Q14" i="5"/>
  <c r="Q15" i="5"/>
  <c r="Q16" i="5"/>
  <c r="Q34" i="5"/>
  <c r="Q52" i="5"/>
  <c r="Q4" i="5"/>
  <c r="Q5" i="5"/>
  <c r="Q31" i="5"/>
  <c r="Q32" i="5"/>
  <c r="Q61" i="5"/>
  <c r="Q29" i="5"/>
  <c r="Q47" i="5"/>
  <c r="Q59" i="5"/>
  <c r="Q24" i="5"/>
  <c r="Q25" i="5"/>
  <c r="Q23" i="5"/>
  <c r="Q41" i="5"/>
  <c r="Q3" i="5"/>
  <c r="Q49" i="5"/>
  <c r="Q67" i="5"/>
  <c r="Q68" i="5"/>
  <c r="Q75" i="5"/>
  <c r="Q85" i="5"/>
  <c r="Q97" i="5"/>
  <c r="Q109" i="5"/>
  <c r="Q28" i="5"/>
  <c r="Q78" i="5"/>
  <c r="Q90" i="5"/>
  <c r="Q102" i="5"/>
  <c r="Q114" i="5"/>
  <c r="Q55" i="5"/>
  <c r="Q72" i="5"/>
  <c r="Q83" i="5"/>
  <c r="Q95" i="5"/>
  <c r="Q62" i="5"/>
  <c r="Q69" i="5"/>
  <c r="Q88" i="5"/>
  <c r="Q46" i="5"/>
  <c r="Q57" i="5"/>
  <c r="Q76" i="5"/>
  <c r="Q81" i="5"/>
  <c r="Q70" i="5"/>
  <c r="Q84" i="5"/>
  <c r="Q96" i="5"/>
  <c r="Q108" i="5"/>
  <c r="Q2" i="5"/>
  <c r="Q43" i="5"/>
  <c r="Q77" i="5"/>
  <c r="Q89" i="5"/>
  <c r="Q48" i="5"/>
  <c r="Q56" i="5"/>
  <c r="Q64" i="5"/>
  <c r="Q74" i="5"/>
  <c r="Q82" i="5"/>
  <c r="Q94" i="5"/>
  <c r="Q106" i="5"/>
  <c r="Q93" i="5"/>
  <c r="Q44" i="5"/>
  <c r="Q73" i="5"/>
  <c r="Q117" i="5"/>
  <c r="Q123" i="5"/>
  <c r="Q135" i="5"/>
  <c r="Q147" i="5"/>
  <c r="Q66" i="5"/>
  <c r="Q91" i="5"/>
  <c r="Q92" i="5"/>
  <c r="Q128" i="5"/>
  <c r="Q140" i="5"/>
  <c r="Q71" i="5"/>
  <c r="Q121" i="5"/>
  <c r="Q133" i="5"/>
  <c r="Q80" i="5"/>
  <c r="Q87" i="5"/>
  <c r="Q100" i="5"/>
  <c r="Q112" i="5"/>
  <c r="Q118" i="5"/>
  <c r="Q126" i="5"/>
  <c r="Q138" i="5"/>
  <c r="Q99" i="5"/>
  <c r="Q101" i="5"/>
  <c r="Q107" i="5"/>
  <c r="Q111" i="5"/>
  <c r="Q113" i="5"/>
  <c r="Q119" i="5"/>
  <c r="Q131" i="5"/>
  <c r="Q143" i="5"/>
  <c r="Q98" i="5"/>
  <c r="Q79" i="5"/>
  <c r="Q104" i="5"/>
  <c r="Q105" i="5"/>
  <c r="Q115" i="5"/>
  <c r="Q122" i="5"/>
  <c r="Q86" i="5"/>
  <c r="Q110" i="5"/>
  <c r="Q116" i="5"/>
  <c r="Q125" i="5"/>
  <c r="Q153" i="5"/>
  <c r="Q156" i="5"/>
  <c r="Q168" i="5"/>
  <c r="Q180" i="5"/>
  <c r="Q192" i="5"/>
  <c r="Q129" i="5"/>
  <c r="Q141" i="5"/>
  <c r="Q149" i="5"/>
  <c r="Q166" i="5"/>
  <c r="Q124" i="5"/>
  <c r="Q136" i="5"/>
  <c r="Q159" i="5"/>
  <c r="Q171" i="5"/>
  <c r="Q183" i="5"/>
  <c r="Q120" i="5"/>
  <c r="Q130" i="5"/>
  <c r="Q150" i="5"/>
  <c r="Q157" i="5"/>
  <c r="Q169" i="5"/>
  <c r="Q103" i="5"/>
  <c r="Q127" i="5"/>
  <c r="Q142" i="5"/>
  <c r="Q144" i="5"/>
  <c r="Q145" i="5"/>
  <c r="Q162" i="5"/>
  <c r="Q174" i="5"/>
  <c r="Q186" i="5"/>
  <c r="Q151" i="5"/>
  <c r="Q160" i="5"/>
  <c r="Q172" i="5"/>
  <c r="Q184" i="5"/>
  <c r="Q132" i="5"/>
  <c r="Q167" i="5"/>
  <c r="Q204" i="5"/>
  <c r="Q216" i="5"/>
  <c r="Q228" i="5"/>
  <c r="Q137" i="5"/>
  <c r="Q139" i="5"/>
  <c r="Q161" i="5"/>
  <c r="Q197" i="5"/>
  <c r="Q148" i="5"/>
  <c r="Q202" i="5"/>
  <c r="Q214" i="5"/>
  <c r="Q195" i="5"/>
  <c r="Q207" i="5"/>
  <c r="Q219" i="5"/>
  <c r="Q165" i="5"/>
  <c r="Q177" i="5"/>
  <c r="Q200" i="5"/>
  <c r="Q170" i="5"/>
  <c r="Q175" i="5"/>
  <c r="Q176" i="5"/>
  <c r="Q178" i="5"/>
  <c r="Q185" i="5"/>
  <c r="Q189" i="5"/>
  <c r="Q193" i="5"/>
  <c r="Q205" i="5"/>
  <c r="Q217" i="5"/>
  <c r="Q229" i="5"/>
  <c r="Q179" i="5"/>
  <c r="Q187" i="5"/>
  <c r="Q188" i="5"/>
  <c r="Q190" i="5"/>
  <c r="Q198" i="5"/>
  <c r="Q146" i="5"/>
  <c r="Q152" i="5"/>
  <c r="Q173" i="5"/>
  <c r="Q196" i="5"/>
  <c r="Q208" i="5"/>
  <c r="Q163" i="5"/>
  <c r="Q134" i="5"/>
  <c r="Q191" i="5"/>
  <c r="Q194" i="5"/>
  <c r="Q206" i="5"/>
  <c r="Q218" i="5"/>
  <c r="Q230" i="5"/>
  <c r="Q155" i="5"/>
  <c r="Q209" i="5"/>
  <c r="Q225" i="5"/>
  <c r="Q237" i="5"/>
  <c r="Q249" i="5"/>
  <c r="Q261" i="5"/>
  <c r="Q164" i="5"/>
  <c r="Q226" i="5"/>
  <c r="Q242" i="5"/>
  <c r="Q254" i="5"/>
  <c r="Q266" i="5"/>
  <c r="Q158" i="5"/>
  <c r="Q181" i="5"/>
  <c r="Q199" i="5"/>
  <c r="Q215" i="5"/>
  <c r="Q240" i="5"/>
  <c r="Q252" i="5"/>
  <c r="Q264" i="5"/>
  <c r="Q213" i="5"/>
  <c r="Q221" i="5"/>
  <c r="Q231" i="5"/>
  <c r="Q238" i="5"/>
  <c r="Q250" i="5"/>
  <c r="Q182" i="5"/>
  <c r="Q201" i="5"/>
  <c r="Q212" i="5"/>
  <c r="Q220" i="5"/>
  <c r="Q223" i="5"/>
  <c r="Q232" i="5"/>
  <c r="Q243" i="5"/>
  <c r="Q255" i="5"/>
  <c r="Q203" i="5"/>
  <c r="Q210" i="5"/>
  <c r="Q233" i="5"/>
  <c r="Q224" i="5"/>
  <c r="Q245" i="5"/>
  <c r="Q257" i="5"/>
  <c r="Q258" i="5"/>
  <c r="Q273" i="5"/>
  <c r="Q279" i="5"/>
  <c r="Q291" i="5"/>
  <c r="Q244" i="5"/>
  <c r="Q256" i="5"/>
  <c r="Q259" i="5"/>
  <c r="Q260" i="5"/>
  <c r="Q284" i="5"/>
  <c r="Q296" i="5"/>
  <c r="Q222" i="5"/>
  <c r="Q270" i="5"/>
  <c r="Q274" i="5"/>
  <c r="Q277" i="5"/>
  <c r="Q289" i="5"/>
  <c r="Q301" i="5"/>
  <c r="Q253" i="5"/>
  <c r="Q262" i="5"/>
  <c r="Q282" i="5"/>
  <c r="Q294" i="5"/>
  <c r="Q234" i="5"/>
  <c r="Q287" i="5"/>
  <c r="Q299" i="5"/>
  <c r="Q154" i="5"/>
  <c r="Q241" i="5"/>
  <c r="Q263" i="5"/>
  <c r="Q271" i="5"/>
  <c r="Q275" i="5"/>
  <c r="Q280" i="5"/>
  <c r="Q292" i="5"/>
  <c r="Q265" i="5"/>
  <c r="Q285" i="5"/>
  <c r="Q297" i="5"/>
  <c r="Q267" i="5"/>
  <c r="Q278" i="5"/>
  <c r="Q290" i="5"/>
  <c r="Q251" i="5"/>
  <c r="Q272" i="5"/>
  <c r="Q283" i="5"/>
  <c r="Q295" i="5"/>
  <c r="Q236" i="5"/>
  <c r="Q211" i="5"/>
  <c r="Q227" i="5"/>
  <c r="Q239" i="5"/>
  <c r="Q268" i="5"/>
  <c r="Q281" i="5"/>
  <c r="Q235" i="5"/>
  <c r="Q246" i="5"/>
  <c r="Q247" i="5"/>
  <c r="Q269" i="5"/>
  <c r="Q286" i="5"/>
  <c r="Q298" i="5"/>
  <c r="Q300" i="5"/>
  <c r="Q276" i="5"/>
  <c r="Q288" i="5"/>
  <c r="Q293" i="5"/>
  <c r="Q248" i="5"/>
  <c r="G2" i="5"/>
  <c r="I2" i="5"/>
  <c r="L2" i="5"/>
  <c r="G23" i="5"/>
  <c r="I23" i="5"/>
  <c r="L23" i="5"/>
  <c r="G29" i="5"/>
  <c r="I29" i="5"/>
  <c r="L29" i="5"/>
  <c r="L10" i="5"/>
  <c r="G10" i="5"/>
  <c r="I10" i="5"/>
  <c r="L103" i="5"/>
  <c r="L17" i="5"/>
  <c r="L6" i="5"/>
  <c r="K41" i="5"/>
  <c r="N52" i="5"/>
  <c r="N68" i="5"/>
  <c r="N63" i="5"/>
  <c r="K9" i="5"/>
  <c r="K51" i="5"/>
  <c r="N33" i="5"/>
  <c r="L82" i="5"/>
  <c r="L111" i="5"/>
  <c r="L120" i="5"/>
  <c r="K143" i="5"/>
  <c r="K112" i="5"/>
  <c r="K146" i="5"/>
  <c r="K204" i="5"/>
  <c r="L160" i="5"/>
  <c r="L137" i="5"/>
  <c r="K174" i="5"/>
  <c r="K189" i="5"/>
  <c r="L198" i="5"/>
  <c r="K194" i="5"/>
  <c r="L264" i="5"/>
  <c r="K151" i="5"/>
  <c r="Z17" i="7"/>
  <c r="AA17" i="7" s="1"/>
  <c r="K183" i="5"/>
  <c r="L229" i="5"/>
  <c r="L216" i="5"/>
  <c r="K15" i="5"/>
  <c r="G32" i="5"/>
  <c r="I32" i="5"/>
  <c r="L32" i="5"/>
  <c r="I42" i="5"/>
  <c r="G42" i="5"/>
  <c r="L42" i="5"/>
  <c r="K42" i="5"/>
  <c r="G57" i="5"/>
  <c r="I57" i="5"/>
  <c r="L57" i="5"/>
  <c r="K57" i="5"/>
  <c r="I49" i="5"/>
  <c r="L49" i="5"/>
  <c r="G49" i="5"/>
  <c r="N26" i="5"/>
  <c r="N31" i="5"/>
  <c r="N51" i="5"/>
  <c r="K59" i="5"/>
  <c r="K52" i="5"/>
  <c r="K6" i="5"/>
  <c r="N48" i="5"/>
  <c r="L35" i="5"/>
  <c r="L19" i="5"/>
  <c r="K82" i="5"/>
  <c r="K98" i="5"/>
  <c r="L119" i="5"/>
  <c r="K120" i="5"/>
  <c r="L169" i="5"/>
  <c r="K162" i="5"/>
  <c r="K129" i="5"/>
  <c r="K160" i="5"/>
  <c r="K137" i="5"/>
  <c r="K180" i="5"/>
  <c r="K198" i="5"/>
  <c r="L206" i="5"/>
  <c r="L217" i="5"/>
  <c r="K264" i="5"/>
  <c r="L297" i="5"/>
  <c r="K266" i="5"/>
  <c r="L207" i="5"/>
  <c r="K258" i="5"/>
  <c r="L238" i="5"/>
  <c r="K242" i="5"/>
  <c r="I18" i="5"/>
  <c r="L18" i="5"/>
  <c r="G18" i="5"/>
  <c r="K210" i="5"/>
  <c r="K77" i="5"/>
  <c r="K89" i="5"/>
  <c r="K53" i="5"/>
  <c r="K64" i="5"/>
  <c r="K80" i="5"/>
  <c r="K101" i="5"/>
  <c r="K85" i="5"/>
  <c r="K104" i="5"/>
  <c r="K109" i="5"/>
  <c r="K61" i="5"/>
  <c r="K76" i="5"/>
  <c r="K97" i="5"/>
  <c r="K62" i="5"/>
  <c r="K95" i="5"/>
  <c r="K116" i="5"/>
  <c r="K65" i="5"/>
  <c r="K94" i="5"/>
  <c r="K81" i="5"/>
  <c r="K123" i="5"/>
  <c r="K93" i="5"/>
  <c r="K117" i="5"/>
  <c r="K128" i="5"/>
  <c r="K121" i="5"/>
  <c r="K130" i="5"/>
  <c r="K118" i="5"/>
  <c r="K139" i="5"/>
  <c r="K140" i="5"/>
  <c r="K135" i="5"/>
  <c r="K138" i="5"/>
  <c r="K142" i="5"/>
  <c r="K150" i="5"/>
  <c r="K113" i="5"/>
  <c r="K124" i="5"/>
  <c r="K133" i="5"/>
  <c r="K92" i="5"/>
  <c r="K152" i="5"/>
  <c r="K163" i="5"/>
  <c r="K175" i="5"/>
  <c r="K126" i="5"/>
  <c r="K156" i="5"/>
  <c r="K157" i="5"/>
  <c r="K179" i="5"/>
  <c r="K185" i="5"/>
  <c r="K188" i="5"/>
  <c r="K203" i="5"/>
  <c r="K147" i="5"/>
  <c r="K184" i="5"/>
  <c r="K187" i="5"/>
  <c r="K164" i="5"/>
  <c r="K181" i="5"/>
  <c r="K201" i="5"/>
  <c r="K213" i="5"/>
  <c r="K173" i="5"/>
  <c r="K191" i="5"/>
  <c r="K169" i="5"/>
  <c r="K199" i="5"/>
  <c r="K211" i="5"/>
  <c r="K223" i="5"/>
  <c r="K154" i="5"/>
  <c r="K192" i="5"/>
  <c r="K202" i="5"/>
  <c r="K161" i="5"/>
  <c r="K167" i="5"/>
  <c r="K195" i="5"/>
  <c r="K148" i="5"/>
  <c r="K158" i="5"/>
  <c r="K197" i="5"/>
  <c r="K214" i="5"/>
  <c r="K220" i="5"/>
  <c r="K218" i="5"/>
  <c r="K234" i="5"/>
  <c r="K244" i="5"/>
  <c r="K225" i="5"/>
  <c r="K237" i="5"/>
  <c r="K249" i="5"/>
  <c r="K261" i="5"/>
  <c r="K235" i="5"/>
  <c r="K209" i="5"/>
  <c r="K227" i="5"/>
  <c r="K131" i="5"/>
  <c r="K215" i="5"/>
  <c r="K238" i="5"/>
  <c r="K271" i="5"/>
  <c r="K228" i="5"/>
  <c r="K251" i="5"/>
  <c r="K268" i="5"/>
  <c r="K250" i="5"/>
  <c r="K286" i="5"/>
  <c r="K239" i="5"/>
  <c r="K273" i="5"/>
  <c r="K279" i="5"/>
  <c r="K291" i="5"/>
  <c r="K247" i="5"/>
  <c r="K269" i="5"/>
  <c r="K284" i="5"/>
  <c r="K296" i="5"/>
  <c r="K245" i="5"/>
  <c r="K256" i="5"/>
  <c r="K257" i="5"/>
  <c r="K277" i="5"/>
  <c r="K289" i="5"/>
  <c r="K287" i="5"/>
  <c r="K205" i="5"/>
  <c r="K219" i="5"/>
  <c r="K262" i="5"/>
  <c r="K275" i="5"/>
  <c r="K280" i="5"/>
  <c r="K292" i="5"/>
  <c r="K294" i="5"/>
  <c r="K299" i="5"/>
  <c r="K254" i="5"/>
  <c r="K282" i="5"/>
  <c r="K298" i="5"/>
  <c r="K274" i="5"/>
  <c r="K301" i="5"/>
  <c r="K259" i="5"/>
  <c r="K297" i="5"/>
  <c r="K263" i="5"/>
  <c r="I58" i="5"/>
  <c r="G58" i="5"/>
  <c r="K58" i="5"/>
  <c r="L58" i="5"/>
  <c r="L14" i="5"/>
  <c r="G14" i="5"/>
  <c r="I14" i="5"/>
  <c r="I31" i="5"/>
  <c r="L31" i="5"/>
  <c r="G31" i="5"/>
  <c r="G24" i="5"/>
  <c r="I24" i="5"/>
  <c r="L24" i="5"/>
  <c r="G45" i="5"/>
  <c r="I45" i="5"/>
  <c r="L45" i="5"/>
  <c r="I37" i="5"/>
  <c r="G37" i="5"/>
  <c r="L37" i="5"/>
  <c r="K37" i="5"/>
  <c r="L115" i="5"/>
  <c r="N38" i="5"/>
  <c r="K23" i="5"/>
  <c r="K28" i="5"/>
  <c r="K31" i="5"/>
  <c r="K50" i="5"/>
  <c r="N37" i="5"/>
  <c r="K39" i="5"/>
  <c r="N21" i="5"/>
  <c r="K99" i="5"/>
  <c r="L129" i="5"/>
  <c r="L86" i="5"/>
  <c r="K108" i="5"/>
  <c r="L114" i="5"/>
  <c r="L176" i="5"/>
  <c r="L196" i="5"/>
  <c r="L172" i="5"/>
  <c r="L158" i="5"/>
  <c r="K190" i="5"/>
  <c r="L218" i="5"/>
  <c r="K206" i="5"/>
  <c r="L226" i="5"/>
  <c r="K265" i="5"/>
  <c r="L134" i="5"/>
  <c r="L221" i="5"/>
  <c r="L288" i="5"/>
  <c r="I34" i="5"/>
  <c r="L34" i="5"/>
  <c r="G34" i="5"/>
  <c r="I4" i="5"/>
  <c r="L4" i="5"/>
  <c r="G4" i="5"/>
  <c r="G44" i="5"/>
  <c r="I44" i="5"/>
  <c r="L44" i="5"/>
  <c r="L33" i="5"/>
  <c r="I33" i="5"/>
  <c r="G33" i="5"/>
  <c r="I25" i="5"/>
  <c r="G25" i="5"/>
  <c r="L25" i="5"/>
  <c r="K35" i="5"/>
  <c r="K67" i="5"/>
  <c r="N3" i="5"/>
  <c r="K30" i="5"/>
  <c r="K49" i="5"/>
  <c r="K34" i="5"/>
  <c r="K56" i="5"/>
  <c r="N36" i="5"/>
  <c r="N8" i="5"/>
  <c r="K69" i="5"/>
  <c r="L55" i="5"/>
  <c r="L102" i="5"/>
  <c r="L74" i="5"/>
  <c r="K78" i="5"/>
  <c r="L63" i="5"/>
  <c r="L7" i="5"/>
  <c r="K155" i="5"/>
  <c r="L148" i="5"/>
  <c r="L177" i="5"/>
  <c r="K136" i="5"/>
  <c r="K172" i="5"/>
  <c r="K144" i="5"/>
  <c r="L141" i="5"/>
  <c r="L184" i="5"/>
  <c r="L220" i="5"/>
  <c r="K226" i="5"/>
  <c r="L242" i="5"/>
  <c r="K134" i="5"/>
  <c r="K221" i="5"/>
  <c r="L265" i="5"/>
  <c r="L263" i="5"/>
  <c r="K288" i="5"/>
  <c r="K87" i="5"/>
  <c r="K127" i="5"/>
  <c r="N28" i="5"/>
  <c r="I54" i="5"/>
  <c r="L54" i="5"/>
  <c r="K54" i="5"/>
  <c r="G54" i="5"/>
  <c r="I43" i="5"/>
  <c r="L43" i="5"/>
  <c r="G43" i="5"/>
  <c r="K43" i="5"/>
  <c r="G21" i="5"/>
  <c r="I21" i="5"/>
  <c r="L21" i="5"/>
  <c r="I5" i="5"/>
  <c r="L5" i="5"/>
  <c r="G5" i="5"/>
  <c r="K70" i="5"/>
  <c r="N20" i="5"/>
  <c r="N64" i="5"/>
  <c r="N50" i="5"/>
  <c r="N16" i="5"/>
  <c r="N35" i="5"/>
  <c r="N19" i="5"/>
  <c r="N53" i="5"/>
  <c r="K27" i="5"/>
  <c r="K4" i="5"/>
  <c r="K79" i="5"/>
  <c r="K74" i="5"/>
  <c r="K63" i="5"/>
  <c r="K119" i="5"/>
  <c r="K114" i="5"/>
  <c r="K149" i="5"/>
  <c r="L186" i="5"/>
  <c r="K141" i="5"/>
  <c r="L195" i="5"/>
  <c r="K193" i="5"/>
  <c r="L250" i="5"/>
  <c r="Z20" i="7"/>
  <c r="AA20" i="7" s="1"/>
  <c r="L106" i="5"/>
  <c r="L182" i="5"/>
  <c r="L276" i="5"/>
  <c r="K260" i="5"/>
  <c r="K253" i="5"/>
  <c r="K7" i="5"/>
  <c r="K110" i="5"/>
  <c r="K132" i="5"/>
  <c r="K281" i="5"/>
  <c r="P20" i="5"/>
  <c r="P32" i="5"/>
  <c r="P44" i="5"/>
  <c r="P3" i="5"/>
  <c r="P23" i="5"/>
  <c r="P35" i="5"/>
  <c r="P47" i="5"/>
  <c r="P6" i="5"/>
  <c r="P26" i="5"/>
  <c r="P38" i="5"/>
  <c r="P50" i="5"/>
  <c r="P19" i="5"/>
  <c r="P31" i="5"/>
  <c r="P43" i="5"/>
  <c r="P55" i="5"/>
  <c r="P21" i="5"/>
  <c r="P39" i="5"/>
  <c r="P65" i="5"/>
  <c r="P36" i="5"/>
  <c r="P37" i="5"/>
  <c r="P58" i="5"/>
  <c r="P70" i="5"/>
  <c r="P17" i="5"/>
  <c r="P18" i="5"/>
  <c r="P53" i="5"/>
  <c r="P63" i="5"/>
  <c r="P7" i="5"/>
  <c r="P9" i="5"/>
  <c r="P10" i="5"/>
  <c r="P11" i="5"/>
  <c r="P12" i="5"/>
  <c r="P13" i="5"/>
  <c r="P14" i="5"/>
  <c r="P15" i="5"/>
  <c r="P16" i="5"/>
  <c r="P34" i="5"/>
  <c r="P52" i="5"/>
  <c r="P4" i="5"/>
  <c r="P5" i="5"/>
  <c r="P8" i="5"/>
  <c r="P33" i="5"/>
  <c r="P51" i="5"/>
  <c r="P54" i="5"/>
  <c r="P61" i="5"/>
  <c r="P2" i="5"/>
  <c r="P48" i="5"/>
  <c r="P49" i="5"/>
  <c r="P66" i="5"/>
  <c r="P28" i="5"/>
  <c r="P46" i="5"/>
  <c r="P64" i="5"/>
  <c r="P41" i="5"/>
  <c r="P42" i="5"/>
  <c r="P22" i="5"/>
  <c r="P40" i="5"/>
  <c r="P60" i="5"/>
  <c r="P78" i="5"/>
  <c r="P90" i="5"/>
  <c r="P102" i="5"/>
  <c r="P114" i="5"/>
  <c r="P45" i="5"/>
  <c r="P72" i="5"/>
  <c r="P83" i="5"/>
  <c r="P95" i="5"/>
  <c r="P107" i="5"/>
  <c r="P119" i="5"/>
  <c r="P24" i="5"/>
  <c r="P62" i="5"/>
  <c r="P69" i="5"/>
  <c r="P88" i="5"/>
  <c r="P29" i="5"/>
  <c r="P57" i="5"/>
  <c r="P59" i="5"/>
  <c r="P76" i="5"/>
  <c r="P81" i="5"/>
  <c r="P73" i="5"/>
  <c r="P86" i="5"/>
  <c r="P25" i="5"/>
  <c r="P30" i="5"/>
  <c r="P77" i="5"/>
  <c r="P89" i="5"/>
  <c r="P101" i="5"/>
  <c r="P113" i="5"/>
  <c r="P56" i="5"/>
  <c r="P74" i="5"/>
  <c r="P82" i="5"/>
  <c r="P71" i="5"/>
  <c r="P87" i="5"/>
  <c r="P99" i="5"/>
  <c r="P111" i="5"/>
  <c r="P27" i="5"/>
  <c r="P75" i="5"/>
  <c r="P91" i="5"/>
  <c r="P92" i="5"/>
  <c r="P128" i="5"/>
  <c r="P140" i="5"/>
  <c r="P152" i="5"/>
  <c r="P121" i="5"/>
  <c r="P133" i="5"/>
  <c r="P145" i="5"/>
  <c r="P80" i="5"/>
  <c r="P100" i="5"/>
  <c r="P112" i="5"/>
  <c r="P118" i="5"/>
  <c r="P126" i="5"/>
  <c r="P85" i="5"/>
  <c r="P131" i="5"/>
  <c r="P143" i="5"/>
  <c r="P98" i="5"/>
  <c r="P103" i="5"/>
  <c r="P108" i="5"/>
  <c r="P109" i="5"/>
  <c r="P110" i="5"/>
  <c r="P124" i="5"/>
  <c r="P136" i="5"/>
  <c r="P148" i="5"/>
  <c r="P79" i="5"/>
  <c r="P84" i="5"/>
  <c r="P96" i="5"/>
  <c r="P97" i="5"/>
  <c r="P67" i="5"/>
  <c r="P115" i="5"/>
  <c r="P122" i="5"/>
  <c r="P127" i="5"/>
  <c r="P68" i="5"/>
  <c r="P94" i="5"/>
  <c r="P106" i="5"/>
  <c r="P116" i="5"/>
  <c r="P125" i="5"/>
  <c r="P93" i="5"/>
  <c r="P104" i="5"/>
  <c r="P161" i="5"/>
  <c r="P173" i="5"/>
  <c r="P185" i="5"/>
  <c r="P129" i="5"/>
  <c r="P141" i="5"/>
  <c r="P149" i="5"/>
  <c r="P159" i="5"/>
  <c r="P171" i="5"/>
  <c r="P120" i="5"/>
  <c r="P130" i="5"/>
  <c r="P134" i="5"/>
  <c r="P137" i="5"/>
  <c r="P138" i="5"/>
  <c r="P139" i="5"/>
  <c r="P154" i="5"/>
  <c r="P164" i="5"/>
  <c r="P176" i="5"/>
  <c r="P188" i="5"/>
  <c r="P105" i="5"/>
  <c r="P135" i="5"/>
  <c r="P142" i="5"/>
  <c r="P144" i="5"/>
  <c r="P162" i="5"/>
  <c r="P174" i="5"/>
  <c r="P146" i="5"/>
  <c r="P155" i="5"/>
  <c r="P167" i="5"/>
  <c r="P179" i="5"/>
  <c r="P132" i="5"/>
  <c r="P165" i="5"/>
  <c r="P177" i="5"/>
  <c r="P189" i="5"/>
  <c r="P123" i="5"/>
  <c r="P197" i="5"/>
  <c r="P209" i="5"/>
  <c r="P221" i="5"/>
  <c r="P192" i="5"/>
  <c r="P202" i="5"/>
  <c r="P117" i="5"/>
  <c r="P157" i="5"/>
  <c r="P160" i="5"/>
  <c r="P166" i="5"/>
  <c r="P195" i="5"/>
  <c r="P207" i="5"/>
  <c r="P219" i="5"/>
  <c r="P153" i="5"/>
  <c r="P200" i="5"/>
  <c r="P212" i="5"/>
  <c r="P150" i="5"/>
  <c r="P170" i="5"/>
  <c r="P175" i="5"/>
  <c r="P178" i="5"/>
  <c r="P186" i="5"/>
  <c r="P193" i="5"/>
  <c r="P205" i="5"/>
  <c r="P147" i="5"/>
  <c r="P184" i="5"/>
  <c r="P187" i="5"/>
  <c r="P190" i="5"/>
  <c r="P198" i="5"/>
  <c r="P210" i="5"/>
  <c r="P222" i="5"/>
  <c r="P234" i="5"/>
  <c r="P156" i="5"/>
  <c r="P180" i="5"/>
  <c r="P181" i="5"/>
  <c r="P182" i="5"/>
  <c r="P183" i="5"/>
  <c r="P203" i="5"/>
  <c r="P163" i="5"/>
  <c r="P201" i="5"/>
  <c r="P213" i="5"/>
  <c r="P172" i="5"/>
  <c r="P191" i="5"/>
  <c r="P194" i="5"/>
  <c r="P151" i="5"/>
  <c r="P158" i="5"/>
  <c r="P168" i="5"/>
  <c r="P199" i="5"/>
  <c r="P211" i="5"/>
  <c r="P223" i="5"/>
  <c r="P226" i="5"/>
  <c r="P242" i="5"/>
  <c r="P254" i="5"/>
  <c r="P266" i="5"/>
  <c r="P216" i="5"/>
  <c r="P227" i="5"/>
  <c r="P235" i="5"/>
  <c r="P247" i="5"/>
  <c r="P259" i="5"/>
  <c r="P271" i="5"/>
  <c r="P206" i="5"/>
  <c r="P215" i="5"/>
  <c r="P204" i="5"/>
  <c r="P208" i="5"/>
  <c r="P229" i="5"/>
  <c r="P245" i="5"/>
  <c r="P257" i="5"/>
  <c r="P269" i="5"/>
  <c r="P220" i="5"/>
  <c r="P232" i="5"/>
  <c r="P243" i="5"/>
  <c r="P236" i="5"/>
  <c r="P248" i="5"/>
  <c r="P260" i="5"/>
  <c r="P196" i="5"/>
  <c r="P224" i="5"/>
  <c r="P218" i="5"/>
  <c r="P239" i="5"/>
  <c r="P169" i="5"/>
  <c r="P225" i="5"/>
  <c r="P237" i="5"/>
  <c r="P244" i="5"/>
  <c r="P256" i="5"/>
  <c r="P284" i="5"/>
  <c r="P296" i="5"/>
  <c r="P238" i="5"/>
  <c r="P270" i="5"/>
  <c r="P274" i="5"/>
  <c r="P277" i="5"/>
  <c r="P289" i="5"/>
  <c r="P301" i="5"/>
  <c r="P214" i="5"/>
  <c r="P253" i="5"/>
  <c r="P261" i="5"/>
  <c r="P262" i="5"/>
  <c r="P282" i="5"/>
  <c r="P294" i="5"/>
  <c r="P217" i="5"/>
  <c r="P287" i="5"/>
  <c r="P299" i="5"/>
  <c r="P241" i="5"/>
  <c r="P263" i="5"/>
  <c r="P264" i="5"/>
  <c r="P275" i="5"/>
  <c r="P280" i="5"/>
  <c r="P292" i="5"/>
  <c r="P228" i="5"/>
  <c r="P230" i="5"/>
  <c r="P252" i="5"/>
  <c r="P265" i="5"/>
  <c r="P285" i="5"/>
  <c r="P267" i="5"/>
  <c r="P278" i="5"/>
  <c r="P290" i="5"/>
  <c r="P240" i="5"/>
  <c r="P251" i="5"/>
  <c r="P272" i="5"/>
  <c r="P283" i="5"/>
  <c r="P295" i="5"/>
  <c r="P250" i="5"/>
  <c r="P276" i="5"/>
  <c r="P288" i="5"/>
  <c r="P231" i="5"/>
  <c r="P233" i="5"/>
  <c r="P246" i="5"/>
  <c r="P286" i="5"/>
  <c r="P255" i="5"/>
  <c r="P258" i="5"/>
  <c r="P273" i="5"/>
  <c r="P279" i="5"/>
  <c r="P291" i="5"/>
  <c r="P297" i="5"/>
  <c r="P281" i="5"/>
  <c r="P249" i="5"/>
  <c r="P300" i="5"/>
  <c r="P268" i="5"/>
  <c r="P293" i="5"/>
  <c r="P298" i="5"/>
  <c r="L36" i="5"/>
  <c r="G36" i="5"/>
  <c r="I36" i="5"/>
  <c r="G72" i="5"/>
  <c r="I72" i="5"/>
  <c r="K72" i="5"/>
  <c r="L72" i="5"/>
  <c r="L8" i="5"/>
  <c r="I8" i="5"/>
  <c r="G8" i="5"/>
  <c r="I46" i="5"/>
  <c r="L46" i="5"/>
  <c r="G46" i="5"/>
  <c r="L73" i="5"/>
  <c r="L50" i="5"/>
  <c r="K17" i="5"/>
  <c r="N47" i="5"/>
  <c r="K47" i="5"/>
  <c r="N14" i="5"/>
  <c r="N34" i="5"/>
  <c r="K16" i="5"/>
  <c r="K44" i="5"/>
  <c r="N24" i="5"/>
  <c r="K45" i="5"/>
  <c r="L108" i="5"/>
  <c r="L59" i="5"/>
  <c r="L127" i="5"/>
  <c r="L122" i="5"/>
  <c r="L132" i="5"/>
  <c r="L161" i="5"/>
  <c r="L136" i="5"/>
  <c r="L144" i="5"/>
  <c r="L157" i="5"/>
  <c r="L185" i="5"/>
  <c r="L193" i="5"/>
  <c r="K224" i="5"/>
  <c r="K106" i="5"/>
  <c r="K182" i="5"/>
  <c r="L243" i="5"/>
  <c r="K216" i="5"/>
  <c r="L267" i="5"/>
  <c r="L253" i="5"/>
  <c r="L283" i="5"/>
  <c r="Z623" i="7"/>
  <c r="AA623" i="7" s="1"/>
  <c r="Y15" i="7"/>
  <c r="Y623" i="7"/>
  <c r="J621" i="7" l="1"/>
  <c r="K621" i="7"/>
  <c r="L621" i="7"/>
  <c r="M621" i="7"/>
  <c r="O621" i="7"/>
  <c r="N621" i="7"/>
  <c r="D621" i="7"/>
  <c r="E621" i="7"/>
  <c r="F621" i="7"/>
  <c r="H621" i="7"/>
  <c r="G621" i="7"/>
  <c r="I621" i="7"/>
  <c r="Z621" i="7" l="1"/>
  <c r="AA621" i="7" s="1"/>
  <c r="Y621" i="7"/>
  <c r="E3" i="7"/>
  <c r="R3" i="7"/>
  <c r="E4" i="7"/>
  <c r="H4" i="7"/>
  <c r="K4" i="7"/>
  <c r="R4" i="7"/>
  <c r="T4" i="7"/>
  <c r="R5" i="7"/>
  <c r="E6" i="7"/>
  <c r="K6" i="7"/>
  <c r="E7" i="7"/>
  <c r="B14" i="7"/>
  <c r="C14" i="7"/>
  <c r="P14" i="7"/>
  <c r="Q14" i="7"/>
  <c r="R14" i="7"/>
  <c r="S14" i="7"/>
  <c r="T14" i="7"/>
  <c r="V14" i="7"/>
  <c r="AB14" i="7"/>
  <c r="AC14" i="7"/>
  <c r="AD14" i="7"/>
  <c r="B15" i="7"/>
  <c r="C15" i="7"/>
  <c r="P15" i="7"/>
  <c r="Q15" i="7"/>
  <c r="R15" i="7"/>
  <c r="S15" i="7"/>
  <c r="T15" i="7"/>
  <c r="V15" i="7"/>
  <c r="AB15" i="7"/>
  <c r="AC15" i="7"/>
  <c r="AD15" i="7"/>
  <c r="B16" i="7"/>
  <c r="C16" i="7"/>
  <c r="P16" i="7"/>
  <c r="Q16" i="7"/>
  <c r="R16" i="7"/>
  <c r="S16" i="7"/>
  <c r="T16" i="7"/>
  <c r="V16" i="7"/>
  <c r="AB16" i="7"/>
  <c r="AC16" i="7"/>
  <c r="AD16" i="7"/>
  <c r="B17" i="7"/>
  <c r="C17" i="7"/>
  <c r="P17" i="7"/>
  <c r="Q17" i="7"/>
  <c r="R17" i="7"/>
  <c r="S17" i="7"/>
  <c r="T17" i="7"/>
  <c r="V17" i="7"/>
  <c r="AB17" i="7"/>
  <c r="AC17" i="7"/>
  <c r="AD17" i="7"/>
  <c r="B18" i="7"/>
  <c r="C18" i="7"/>
  <c r="P18" i="7"/>
  <c r="Q18" i="7"/>
  <c r="R18" i="7"/>
  <c r="S18" i="7"/>
  <c r="T18" i="7"/>
  <c r="V18" i="7"/>
  <c r="AB18" i="7"/>
  <c r="AC18" i="7"/>
  <c r="AD18" i="7"/>
  <c r="B19" i="7"/>
  <c r="C19" i="7"/>
  <c r="P19" i="7"/>
  <c r="Q19" i="7"/>
  <c r="R19" i="7"/>
  <c r="S19" i="7"/>
  <c r="T19" i="7"/>
  <c r="V19" i="7"/>
  <c r="AB19" i="7"/>
  <c r="AC19" i="7"/>
  <c r="AD19" i="7"/>
  <c r="B20" i="7"/>
  <c r="C20" i="7"/>
  <c r="P20" i="7"/>
  <c r="Q20" i="7"/>
  <c r="R20" i="7"/>
  <c r="S20" i="7"/>
  <c r="T20" i="7"/>
  <c r="V20" i="7"/>
  <c r="AB20" i="7"/>
  <c r="AC20" i="7"/>
  <c r="AD20" i="7"/>
  <c r="B21" i="7"/>
  <c r="C21" i="7"/>
  <c r="P21" i="7"/>
  <c r="Q21" i="7"/>
  <c r="R21" i="7"/>
  <c r="S21" i="7"/>
  <c r="T21" i="7"/>
  <c r="V21" i="7"/>
  <c r="AB21" i="7"/>
  <c r="AC21" i="7"/>
  <c r="AD21" i="7"/>
  <c r="B22" i="7"/>
  <c r="C22" i="7"/>
  <c r="P22" i="7"/>
  <c r="Q22" i="7"/>
  <c r="R22" i="7"/>
  <c r="S22" i="7"/>
  <c r="T22" i="7"/>
  <c r="V22" i="7"/>
  <c r="AB22" i="7"/>
  <c r="AC22" i="7"/>
  <c r="AD22" i="7"/>
  <c r="B23" i="7"/>
  <c r="C23" i="7"/>
  <c r="P23" i="7"/>
  <c r="Q23" i="7"/>
  <c r="R23" i="7"/>
  <c r="S23" i="7"/>
  <c r="T23" i="7"/>
  <c r="V23" i="7"/>
  <c r="AB23" i="7"/>
  <c r="AC23" i="7"/>
  <c r="AD23" i="7"/>
  <c r="B24" i="7"/>
  <c r="C24" i="7"/>
  <c r="P24" i="7"/>
  <c r="Q24" i="7"/>
  <c r="R24" i="7"/>
  <c r="S24" i="7"/>
  <c r="T24" i="7"/>
  <c r="V24" i="7"/>
  <c r="AB24" i="7"/>
  <c r="AC24" i="7"/>
  <c r="AD24" i="7"/>
  <c r="B25" i="7"/>
  <c r="C25" i="7"/>
  <c r="P25" i="7"/>
  <c r="Q25" i="7"/>
  <c r="R25" i="7"/>
  <c r="S25" i="7"/>
  <c r="T25" i="7"/>
  <c r="V25" i="7"/>
  <c r="AB25" i="7"/>
  <c r="AC25" i="7"/>
  <c r="AD25" i="7"/>
  <c r="B26" i="7"/>
  <c r="C26" i="7"/>
  <c r="P26" i="7"/>
  <c r="Q26" i="7"/>
  <c r="R26" i="7"/>
  <c r="S26" i="7"/>
  <c r="T26" i="7"/>
  <c r="V26" i="7"/>
  <c r="AB26" i="7"/>
  <c r="AC26" i="7"/>
  <c r="AD26" i="7"/>
  <c r="B27" i="7"/>
  <c r="C27" i="7"/>
  <c r="P27" i="7"/>
  <c r="Q27" i="7"/>
  <c r="R27" i="7"/>
  <c r="S27" i="7"/>
  <c r="T27" i="7"/>
  <c r="V27" i="7"/>
  <c r="AB27" i="7"/>
  <c r="AC27" i="7"/>
  <c r="AD27" i="7"/>
  <c r="B28" i="7"/>
  <c r="C28" i="7"/>
  <c r="P28" i="7"/>
  <c r="Q28" i="7"/>
  <c r="R28" i="7"/>
  <c r="S28" i="7"/>
  <c r="T28" i="7"/>
  <c r="V28" i="7"/>
  <c r="AB28" i="7"/>
  <c r="AC28" i="7"/>
  <c r="AD28" i="7"/>
  <c r="B29" i="7"/>
  <c r="C29" i="7"/>
  <c r="P29" i="7"/>
  <c r="Q29" i="7"/>
  <c r="R29" i="7"/>
  <c r="S29" i="7"/>
  <c r="T29" i="7"/>
  <c r="V29" i="7"/>
  <c r="AB29" i="7"/>
  <c r="AC29" i="7"/>
  <c r="AD29" i="7"/>
  <c r="B30" i="7"/>
  <c r="C30" i="7"/>
  <c r="P30" i="7"/>
  <c r="Q30" i="7"/>
  <c r="R30" i="7"/>
  <c r="S30" i="7"/>
  <c r="T30" i="7"/>
  <c r="V30" i="7"/>
  <c r="AB30" i="7"/>
  <c r="AC30" i="7"/>
  <c r="AD30" i="7"/>
  <c r="B31" i="7"/>
  <c r="C31" i="7"/>
  <c r="P31" i="7"/>
  <c r="Q31" i="7"/>
  <c r="R31" i="7"/>
  <c r="S31" i="7"/>
  <c r="T31" i="7"/>
  <c r="V31" i="7"/>
  <c r="AB31" i="7"/>
  <c r="AC31" i="7"/>
  <c r="AD31" i="7"/>
  <c r="B32" i="7"/>
  <c r="C32" i="7"/>
  <c r="P32" i="7"/>
  <c r="Q32" i="7"/>
  <c r="R32" i="7"/>
  <c r="S32" i="7"/>
  <c r="T32" i="7"/>
  <c r="V32" i="7"/>
  <c r="AB32" i="7"/>
  <c r="AC32" i="7"/>
  <c r="AD32" i="7"/>
  <c r="B33" i="7"/>
  <c r="C33" i="7"/>
  <c r="P33" i="7"/>
  <c r="Q33" i="7"/>
  <c r="R33" i="7"/>
  <c r="S33" i="7"/>
  <c r="T33" i="7"/>
  <c r="V33" i="7"/>
  <c r="AB33" i="7"/>
  <c r="AC33" i="7"/>
  <c r="AD33" i="7"/>
  <c r="B34" i="7"/>
  <c r="C34" i="7"/>
  <c r="P34" i="7"/>
  <c r="Q34" i="7"/>
  <c r="R34" i="7"/>
  <c r="S34" i="7"/>
  <c r="T34" i="7"/>
  <c r="V34" i="7"/>
  <c r="AB34" i="7"/>
  <c r="AC34" i="7"/>
  <c r="AD34" i="7"/>
  <c r="B35" i="7"/>
  <c r="C35" i="7"/>
  <c r="P35" i="7"/>
  <c r="Q35" i="7"/>
  <c r="R35" i="7"/>
  <c r="S35" i="7"/>
  <c r="T35" i="7"/>
  <c r="V35" i="7"/>
  <c r="AB35" i="7"/>
  <c r="AC35" i="7"/>
  <c r="AD35" i="7"/>
  <c r="B36" i="7"/>
  <c r="C36" i="7"/>
  <c r="P36" i="7"/>
  <c r="Q36" i="7"/>
  <c r="R36" i="7"/>
  <c r="S36" i="7"/>
  <c r="T36" i="7"/>
  <c r="V36" i="7"/>
  <c r="AB36" i="7"/>
  <c r="AC36" i="7"/>
  <c r="AD36" i="7"/>
  <c r="B37" i="7"/>
  <c r="C37" i="7"/>
  <c r="P37" i="7"/>
  <c r="Q37" i="7"/>
  <c r="R37" i="7"/>
  <c r="S37" i="7"/>
  <c r="T37" i="7"/>
  <c r="V37" i="7"/>
  <c r="AB37" i="7"/>
  <c r="AC37" i="7"/>
  <c r="AD37" i="7"/>
  <c r="B38" i="7"/>
  <c r="C38" i="7"/>
  <c r="P38" i="7"/>
  <c r="Q38" i="7"/>
  <c r="R38" i="7"/>
  <c r="S38" i="7"/>
  <c r="T38" i="7"/>
  <c r="V38" i="7"/>
  <c r="AB38" i="7"/>
  <c r="AC38" i="7"/>
  <c r="AD38" i="7"/>
  <c r="B39" i="7"/>
  <c r="C39" i="7"/>
  <c r="P39" i="7"/>
  <c r="Q39" i="7"/>
  <c r="R39" i="7"/>
  <c r="S39" i="7"/>
  <c r="T39" i="7"/>
  <c r="V39" i="7"/>
  <c r="AB39" i="7"/>
  <c r="AC39" i="7"/>
  <c r="AD39" i="7"/>
  <c r="B40" i="7"/>
  <c r="C40" i="7"/>
  <c r="P40" i="7"/>
  <c r="Q40" i="7"/>
  <c r="R40" i="7"/>
  <c r="S40" i="7"/>
  <c r="T40" i="7"/>
  <c r="V40" i="7"/>
  <c r="AB40" i="7"/>
  <c r="AC40" i="7"/>
  <c r="AD40" i="7"/>
  <c r="B41" i="7"/>
  <c r="C41" i="7"/>
  <c r="P41" i="7"/>
  <c r="Q41" i="7"/>
  <c r="R41" i="7"/>
  <c r="S41" i="7"/>
  <c r="T41" i="7"/>
  <c r="V41" i="7"/>
  <c r="AB41" i="7"/>
  <c r="AC41" i="7"/>
  <c r="AD41" i="7"/>
  <c r="B42" i="7"/>
  <c r="C42" i="7"/>
  <c r="P42" i="7"/>
  <c r="Q42" i="7"/>
  <c r="R42" i="7"/>
  <c r="S42" i="7"/>
  <c r="T42" i="7"/>
  <c r="V42" i="7"/>
  <c r="AB42" i="7"/>
  <c r="AC42" i="7"/>
  <c r="AD42" i="7"/>
  <c r="B43" i="7"/>
  <c r="C43" i="7"/>
  <c r="P43" i="7"/>
  <c r="Q43" i="7"/>
  <c r="R43" i="7"/>
  <c r="S43" i="7"/>
  <c r="T43" i="7"/>
  <c r="V43" i="7"/>
  <c r="AB43" i="7"/>
  <c r="AC43" i="7"/>
  <c r="AD43" i="7"/>
  <c r="B44" i="7"/>
  <c r="C44" i="7"/>
  <c r="P44" i="7"/>
  <c r="Q44" i="7"/>
  <c r="R44" i="7"/>
  <c r="S44" i="7"/>
  <c r="T44" i="7"/>
  <c r="V44" i="7"/>
  <c r="AB44" i="7"/>
  <c r="AC44" i="7"/>
  <c r="AD44" i="7"/>
  <c r="B45" i="7"/>
  <c r="C45" i="7"/>
  <c r="P45" i="7"/>
  <c r="Q45" i="7"/>
  <c r="R45" i="7"/>
  <c r="S45" i="7"/>
  <c r="T45" i="7"/>
  <c r="V45" i="7"/>
  <c r="AB45" i="7"/>
  <c r="AC45" i="7"/>
  <c r="AD45" i="7"/>
  <c r="B46" i="7"/>
  <c r="C46" i="7"/>
  <c r="P46" i="7"/>
  <c r="Q46" i="7"/>
  <c r="R46" i="7"/>
  <c r="S46" i="7"/>
  <c r="T46" i="7"/>
  <c r="V46" i="7"/>
  <c r="AB46" i="7"/>
  <c r="AC46" i="7"/>
  <c r="AD46" i="7"/>
  <c r="B47" i="7"/>
  <c r="C47" i="7"/>
  <c r="P47" i="7"/>
  <c r="Q47" i="7"/>
  <c r="R47" i="7"/>
  <c r="S47" i="7"/>
  <c r="T47" i="7"/>
  <c r="V47" i="7"/>
  <c r="AB47" i="7"/>
  <c r="AC47" i="7"/>
  <c r="AD47" i="7"/>
  <c r="B48" i="7"/>
  <c r="C48" i="7"/>
  <c r="P48" i="7"/>
  <c r="Q48" i="7"/>
  <c r="R48" i="7"/>
  <c r="S48" i="7"/>
  <c r="T48" i="7"/>
  <c r="V48" i="7"/>
  <c r="AB48" i="7"/>
  <c r="AC48" i="7"/>
  <c r="AD48" i="7"/>
  <c r="B49" i="7"/>
  <c r="C49" i="7"/>
  <c r="P49" i="7"/>
  <c r="Q49" i="7"/>
  <c r="R49" i="7"/>
  <c r="S49" i="7"/>
  <c r="T49" i="7"/>
  <c r="V49" i="7"/>
  <c r="AB49" i="7"/>
  <c r="AC49" i="7"/>
  <c r="AD49" i="7"/>
  <c r="B50" i="7"/>
  <c r="C50" i="7"/>
  <c r="P50" i="7"/>
  <c r="Q50" i="7"/>
  <c r="R50" i="7"/>
  <c r="S50" i="7"/>
  <c r="T50" i="7"/>
  <c r="V50" i="7"/>
  <c r="AB50" i="7"/>
  <c r="AC50" i="7"/>
  <c r="AD50" i="7"/>
  <c r="B51" i="7"/>
  <c r="C51" i="7"/>
  <c r="P51" i="7"/>
  <c r="Q51" i="7"/>
  <c r="R51" i="7"/>
  <c r="S51" i="7"/>
  <c r="T51" i="7"/>
  <c r="V51" i="7"/>
  <c r="AB51" i="7"/>
  <c r="AC51" i="7"/>
  <c r="AD51" i="7"/>
  <c r="B52" i="7"/>
  <c r="C52" i="7"/>
  <c r="P52" i="7"/>
  <c r="Q52" i="7"/>
  <c r="R52" i="7"/>
  <c r="S52" i="7"/>
  <c r="T52" i="7"/>
  <c r="V52" i="7"/>
  <c r="AB52" i="7"/>
  <c r="AC52" i="7"/>
  <c r="AD52" i="7"/>
  <c r="B53" i="7"/>
  <c r="C53" i="7"/>
  <c r="P53" i="7"/>
  <c r="Q53" i="7"/>
  <c r="R53" i="7"/>
  <c r="S53" i="7"/>
  <c r="T53" i="7"/>
  <c r="V53" i="7"/>
  <c r="AB53" i="7"/>
  <c r="AC53" i="7"/>
  <c r="AD53" i="7"/>
  <c r="B54" i="7"/>
  <c r="C54" i="7"/>
  <c r="P54" i="7"/>
  <c r="Q54" i="7"/>
  <c r="R54" i="7"/>
  <c r="S54" i="7"/>
  <c r="T54" i="7"/>
  <c r="V54" i="7"/>
  <c r="AB54" i="7"/>
  <c r="AC54" i="7"/>
  <c r="AD54" i="7"/>
  <c r="B55" i="7"/>
  <c r="C55" i="7"/>
  <c r="P55" i="7"/>
  <c r="Q55" i="7"/>
  <c r="R55" i="7"/>
  <c r="S55" i="7"/>
  <c r="T55" i="7"/>
  <c r="V55" i="7"/>
  <c r="AB55" i="7"/>
  <c r="AC55" i="7"/>
  <c r="AD55" i="7"/>
  <c r="B56" i="7"/>
  <c r="C56" i="7"/>
  <c r="P56" i="7"/>
  <c r="Q56" i="7"/>
  <c r="R56" i="7"/>
  <c r="S56" i="7"/>
  <c r="T56" i="7"/>
  <c r="V56" i="7"/>
  <c r="AB56" i="7"/>
  <c r="AC56" i="7"/>
  <c r="AD56" i="7"/>
  <c r="B57" i="7"/>
  <c r="C57" i="7"/>
  <c r="P57" i="7"/>
  <c r="Q57" i="7"/>
  <c r="R57" i="7"/>
  <c r="S57" i="7"/>
  <c r="T57" i="7"/>
  <c r="V57" i="7"/>
  <c r="AB57" i="7"/>
  <c r="AC57" i="7"/>
  <c r="AD57" i="7"/>
  <c r="B58" i="7"/>
  <c r="C58" i="7"/>
  <c r="P58" i="7"/>
  <c r="Q58" i="7"/>
  <c r="R58" i="7"/>
  <c r="S58" i="7"/>
  <c r="T58" i="7"/>
  <c r="V58" i="7"/>
  <c r="AB58" i="7"/>
  <c r="AC58" i="7"/>
  <c r="AD58" i="7"/>
  <c r="B59" i="7"/>
  <c r="C59" i="7"/>
  <c r="P59" i="7"/>
  <c r="Q59" i="7"/>
  <c r="R59" i="7"/>
  <c r="S59" i="7"/>
  <c r="T59" i="7"/>
  <c r="V59" i="7"/>
  <c r="AB59" i="7"/>
  <c r="AC59" i="7"/>
  <c r="AD59" i="7"/>
  <c r="B60" i="7"/>
  <c r="C60" i="7"/>
  <c r="P60" i="7"/>
  <c r="Q60" i="7"/>
  <c r="R60" i="7"/>
  <c r="S60" i="7"/>
  <c r="T60" i="7"/>
  <c r="V60" i="7"/>
  <c r="AB60" i="7"/>
  <c r="AC60" i="7"/>
  <c r="AD60" i="7"/>
  <c r="B61" i="7"/>
  <c r="C61" i="7"/>
  <c r="P61" i="7"/>
  <c r="Q61" i="7"/>
  <c r="R61" i="7"/>
  <c r="S61" i="7"/>
  <c r="T61" i="7"/>
  <c r="V61" i="7"/>
  <c r="AB61" i="7"/>
  <c r="AC61" i="7"/>
  <c r="AD61" i="7"/>
  <c r="B62" i="7"/>
  <c r="C62" i="7"/>
  <c r="P62" i="7"/>
  <c r="Q62" i="7"/>
  <c r="R62" i="7"/>
  <c r="S62" i="7"/>
  <c r="T62" i="7"/>
  <c r="V62" i="7"/>
  <c r="AB62" i="7"/>
  <c r="AC62" i="7"/>
  <c r="AD62" i="7"/>
  <c r="B63" i="7"/>
  <c r="C63" i="7"/>
  <c r="P63" i="7"/>
  <c r="Q63" i="7"/>
  <c r="R63" i="7"/>
  <c r="S63" i="7"/>
  <c r="T63" i="7"/>
  <c r="V63" i="7"/>
  <c r="AB63" i="7"/>
  <c r="AC63" i="7"/>
  <c r="AD63" i="7"/>
  <c r="B64" i="7"/>
  <c r="C64" i="7"/>
  <c r="P64" i="7"/>
  <c r="Q64" i="7"/>
  <c r="R64" i="7"/>
  <c r="S64" i="7"/>
  <c r="T64" i="7"/>
  <c r="V64" i="7"/>
  <c r="AB64" i="7"/>
  <c r="AC64" i="7"/>
  <c r="AD64" i="7"/>
  <c r="B65" i="7"/>
  <c r="C65" i="7"/>
  <c r="P65" i="7"/>
  <c r="Q65" i="7"/>
  <c r="R65" i="7"/>
  <c r="S65" i="7"/>
  <c r="T65" i="7"/>
  <c r="V65" i="7"/>
  <c r="AB65" i="7"/>
  <c r="AC65" i="7"/>
  <c r="AD65" i="7"/>
  <c r="B66" i="7"/>
  <c r="C66" i="7"/>
  <c r="P66" i="7"/>
  <c r="Q66" i="7"/>
  <c r="R66" i="7"/>
  <c r="S66" i="7"/>
  <c r="T66" i="7"/>
  <c r="V66" i="7"/>
  <c r="AB66" i="7"/>
  <c r="AC66" i="7"/>
  <c r="AD66" i="7"/>
  <c r="B67" i="7"/>
  <c r="C67" i="7"/>
  <c r="P67" i="7"/>
  <c r="Q67" i="7"/>
  <c r="R67" i="7"/>
  <c r="S67" i="7"/>
  <c r="T67" i="7"/>
  <c r="V67" i="7"/>
  <c r="AB67" i="7"/>
  <c r="AC67" i="7"/>
  <c r="AD67" i="7"/>
  <c r="B68" i="7"/>
  <c r="C68" i="7"/>
  <c r="P68" i="7"/>
  <c r="Q68" i="7"/>
  <c r="R68" i="7"/>
  <c r="S68" i="7"/>
  <c r="T68" i="7"/>
  <c r="V68" i="7"/>
  <c r="AB68" i="7"/>
  <c r="AC68" i="7"/>
  <c r="AD68" i="7"/>
  <c r="B69" i="7"/>
  <c r="C69" i="7"/>
  <c r="P69" i="7"/>
  <c r="Q69" i="7"/>
  <c r="R69" i="7"/>
  <c r="S69" i="7"/>
  <c r="T69" i="7"/>
  <c r="V69" i="7"/>
  <c r="AB69" i="7"/>
  <c r="AC69" i="7"/>
  <c r="AD69" i="7"/>
  <c r="B70" i="7"/>
  <c r="C70" i="7"/>
  <c r="P70" i="7"/>
  <c r="Q70" i="7"/>
  <c r="R70" i="7"/>
  <c r="S70" i="7"/>
  <c r="T70" i="7"/>
  <c r="V70" i="7"/>
  <c r="AB70" i="7"/>
  <c r="AC70" i="7"/>
  <c r="AD70" i="7"/>
  <c r="B71" i="7"/>
  <c r="C71" i="7"/>
  <c r="P71" i="7"/>
  <c r="Q71" i="7"/>
  <c r="R71" i="7"/>
  <c r="S71" i="7"/>
  <c r="T71" i="7"/>
  <c r="V71" i="7"/>
  <c r="AB71" i="7"/>
  <c r="AC71" i="7"/>
  <c r="AD71" i="7"/>
  <c r="B72" i="7"/>
  <c r="C72" i="7"/>
  <c r="P72" i="7"/>
  <c r="Q72" i="7"/>
  <c r="R72" i="7"/>
  <c r="S72" i="7"/>
  <c r="T72" i="7"/>
  <c r="V72" i="7"/>
  <c r="AB72" i="7"/>
  <c r="AC72" i="7"/>
  <c r="AD72" i="7"/>
  <c r="B73" i="7"/>
  <c r="C73" i="7"/>
  <c r="P73" i="7"/>
  <c r="Q73" i="7"/>
  <c r="R73" i="7"/>
  <c r="S73" i="7"/>
  <c r="T73" i="7"/>
  <c r="V73" i="7"/>
  <c r="AB73" i="7"/>
  <c r="AC73" i="7"/>
  <c r="AD73" i="7"/>
  <c r="B74" i="7"/>
  <c r="C74" i="7"/>
  <c r="P74" i="7"/>
  <c r="Q74" i="7"/>
  <c r="R74" i="7"/>
  <c r="S74" i="7"/>
  <c r="T74" i="7"/>
  <c r="V74" i="7"/>
  <c r="AB74" i="7"/>
  <c r="AC74" i="7"/>
  <c r="AD74" i="7"/>
  <c r="B75" i="7"/>
  <c r="C75" i="7"/>
  <c r="P75" i="7"/>
  <c r="Q75" i="7"/>
  <c r="R75" i="7"/>
  <c r="S75" i="7"/>
  <c r="T75" i="7"/>
  <c r="V75" i="7"/>
  <c r="AB75" i="7"/>
  <c r="AC75" i="7"/>
  <c r="AD75" i="7"/>
  <c r="B76" i="7"/>
  <c r="C76" i="7"/>
  <c r="P76" i="7"/>
  <c r="Q76" i="7"/>
  <c r="R76" i="7"/>
  <c r="S76" i="7"/>
  <c r="T76" i="7"/>
  <c r="V76" i="7"/>
  <c r="AB76" i="7"/>
  <c r="AC76" i="7"/>
  <c r="AD76" i="7"/>
  <c r="B77" i="7"/>
  <c r="C77" i="7"/>
  <c r="P77" i="7"/>
  <c r="Q77" i="7"/>
  <c r="R77" i="7"/>
  <c r="S77" i="7"/>
  <c r="T77" i="7"/>
  <c r="V77" i="7"/>
  <c r="AB77" i="7"/>
  <c r="AC77" i="7"/>
  <c r="AD77" i="7"/>
  <c r="B78" i="7"/>
  <c r="C78" i="7"/>
  <c r="P78" i="7"/>
  <c r="Q78" i="7"/>
  <c r="R78" i="7"/>
  <c r="S78" i="7"/>
  <c r="T78" i="7"/>
  <c r="V78" i="7"/>
  <c r="AB78" i="7"/>
  <c r="AC78" i="7"/>
  <c r="AD78" i="7"/>
  <c r="B79" i="7"/>
  <c r="C79" i="7"/>
  <c r="P79" i="7"/>
  <c r="Q79" i="7"/>
  <c r="R79" i="7"/>
  <c r="S79" i="7"/>
  <c r="T79" i="7"/>
  <c r="V79" i="7"/>
  <c r="AB79" i="7"/>
  <c r="AC79" i="7"/>
  <c r="AD79" i="7"/>
  <c r="B80" i="7"/>
  <c r="C80" i="7"/>
  <c r="P80" i="7"/>
  <c r="Q80" i="7"/>
  <c r="R80" i="7"/>
  <c r="S80" i="7"/>
  <c r="T80" i="7"/>
  <c r="V80" i="7"/>
  <c r="AB80" i="7"/>
  <c r="AC80" i="7"/>
  <c r="AD80" i="7"/>
  <c r="B81" i="7"/>
  <c r="C81" i="7"/>
  <c r="P81" i="7"/>
  <c r="Q81" i="7"/>
  <c r="R81" i="7"/>
  <c r="S81" i="7"/>
  <c r="T81" i="7"/>
  <c r="V81" i="7"/>
  <c r="AB81" i="7"/>
  <c r="AC81" i="7"/>
  <c r="AD81" i="7"/>
  <c r="B82" i="7"/>
  <c r="C82" i="7"/>
  <c r="P82" i="7"/>
  <c r="Q82" i="7"/>
  <c r="R82" i="7"/>
  <c r="S82" i="7"/>
  <c r="T82" i="7"/>
  <c r="V82" i="7"/>
  <c r="AB82" i="7"/>
  <c r="AC82" i="7"/>
  <c r="AD82" i="7"/>
  <c r="B83" i="7"/>
  <c r="C83" i="7"/>
  <c r="P83" i="7"/>
  <c r="Q83" i="7"/>
  <c r="R83" i="7"/>
  <c r="S83" i="7"/>
  <c r="T83" i="7"/>
  <c r="V83" i="7"/>
  <c r="AB83" i="7"/>
  <c r="AC83" i="7"/>
  <c r="AD83" i="7"/>
  <c r="B84" i="7"/>
  <c r="C84" i="7"/>
  <c r="P84" i="7"/>
  <c r="Q84" i="7"/>
  <c r="R84" i="7"/>
  <c r="S84" i="7"/>
  <c r="T84" i="7"/>
  <c r="V84" i="7"/>
  <c r="AB84" i="7"/>
  <c r="AC84" i="7"/>
  <c r="AD84" i="7"/>
  <c r="B85" i="7"/>
  <c r="C85" i="7"/>
  <c r="P85" i="7"/>
  <c r="Q85" i="7"/>
  <c r="R85" i="7"/>
  <c r="S85" i="7"/>
  <c r="T85" i="7"/>
  <c r="V85" i="7"/>
  <c r="AB85" i="7"/>
  <c r="AC85" i="7"/>
  <c r="AD85" i="7"/>
  <c r="B86" i="7"/>
  <c r="C86" i="7"/>
  <c r="P86" i="7"/>
  <c r="Q86" i="7"/>
  <c r="R86" i="7"/>
  <c r="S86" i="7"/>
  <c r="T86" i="7"/>
  <c r="V86" i="7"/>
  <c r="AB86" i="7"/>
  <c r="AC86" i="7"/>
  <c r="AD86" i="7"/>
  <c r="B87" i="7"/>
  <c r="C87" i="7"/>
  <c r="P87" i="7"/>
  <c r="Q87" i="7"/>
  <c r="R87" i="7"/>
  <c r="S87" i="7"/>
  <c r="T87" i="7"/>
  <c r="V87" i="7"/>
  <c r="AB87" i="7"/>
  <c r="AC87" i="7"/>
  <c r="AD87" i="7"/>
  <c r="B88" i="7"/>
  <c r="C88" i="7"/>
  <c r="P88" i="7"/>
  <c r="Q88" i="7"/>
  <c r="R88" i="7"/>
  <c r="S88" i="7"/>
  <c r="T88" i="7"/>
  <c r="V88" i="7"/>
  <c r="AB88" i="7"/>
  <c r="AC88" i="7"/>
  <c r="AD88" i="7"/>
  <c r="B89" i="7"/>
  <c r="C89" i="7"/>
  <c r="P89" i="7"/>
  <c r="Q89" i="7"/>
  <c r="R89" i="7"/>
  <c r="S89" i="7"/>
  <c r="T89" i="7"/>
  <c r="V89" i="7"/>
  <c r="AB89" i="7"/>
  <c r="AC89" i="7"/>
  <c r="AD89" i="7"/>
  <c r="B90" i="7"/>
  <c r="C90" i="7"/>
  <c r="P90" i="7"/>
  <c r="Q90" i="7"/>
  <c r="R90" i="7"/>
  <c r="S90" i="7"/>
  <c r="T90" i="7"/>
  <c r="V90" i="7"/>
  <c r="AB90" i="7"/>
  <c r="AC90" i="7"/>
  <c r="AD90" i="7"/>
  <c r="B91" i="7"/>
  <c r="C91" i="7"/>
  <c r="P91" i="7"/>
  <c r="Q91" i="7"/>
  <c r="R91" i="7"/>
  <c r="S91" i="7"/>
  <c r="T91" i="7"/>
  <c r="V91" i="7"/>
  <c r="AB91" i="7"/>
  <c r="AC91" i="7"/>
  <c r="AD91" i="7"/>
  <c r="B92" i="7"/>
  <c r="C92" i="7"/>
  <c r="P92" i="7"/>
  <c r="Q92" i="7"/>
  <c r="R92" i="7"/>
  <c r="S92" i="7"/>
  <c r="T92" i="7"/>
  <c r="V92" i="7"/>
  <c r="AB92" i="7"/>
  <c r="AC92" i="7"/>
  <c r="AD92" i="7"/>
  <c r="B93" i="7"/>
  <c r="C93" i="7"/>
  <c r="P93" i="7"/>
  <c r="Q93" i="7"/>
  <c r="R93" i="7"/>
  <c r="S93" i="7"/>
  <c r="T93" i="7"/>
  <c r="V93" i="7"/>
  <c r="AB93" i="7"/>
  <c r="AC93" i="7"/>
  <c r="AD93" i="7"/>
  <c r="B94" i="7"/>
  <c r="C94" i="7"/>
  <c r="P94" i="7"/>
  <c r="Q94" i="7"/>
  <c r="R94" i="7"/>
  <c r="S94" i="7"/>
  <c r="T94" i="7"/>
  <c r="V94" i="7"/>
  <c r="AB94" i="7"/>
  <c r="AC94" i="7"/>
  <c r="AD94" i="7"/>
  <c r="B95" i="7"/>
  <c r="C95" i="7"/>
  <c r="P95" i="7"/>
  <c r="Q95" i="7"/>
  <c r="R95" i="7"/>
  <c r="S95" i="7"/>
  <c r="T95" i="7"/>
  <c r="V95" i="7"/>
  <c r="AB95" i="7"/>
  <c r="AC95" i="7"/>
  <c r="AD95" i="7"/>
  <c r="B96" i="7"/>
  <c r="C96" i="7"/>
  <c r="P96" i="7"/>
  <c r="Q96" i="7"/>
  <c r="R96" i="7"/>
  <c r="S96" i="7"/>
  <c r="T96" i="7"/>
  <c r="V96" i="7"/>
  <c r="AB96" i="7"/>
  <c r="AC96" i="7"/>
  <c r="AD96" i="7"/>
  <c r="B97" i="7"/>
  <c r="C97" i="7"/>
  <c r="P97" i="7"/>
  <c r="Q97" i="7"/>
  <c r="R97" i="7"/>
  <c r="S97" i="7"/>
  <c r="T97" i="7"/>
  <c r="V97" i="7"/>
  <c r="AB97" i="7"/>
  <c r="AC97" i="7"/>
  <c r="AD97" i="7"/>
  <c r="B98" i="7"/>
  <c r="C98" i="7"/>
  <c r="P98" i="7"/>
  <c r="Q98" i="7"/>
  <c r="R98" i="7"/>
  <c r="S98" i="7"/>
  <c r="T98" i="7"/>
  <c r="V98" i="7"/>
  <c r="AB98" i="7"/>
  <c r="AC98" i="7"/>
  <c r="AD98" i="7"/>
  <c r="B99" i="7"/>
  <c r="C99" i="7"/>
  <c r="P99" i="7"/>
  <c r="Q99" i="7"/>
  <c r="R99" i="7"/>
  <c r="S99" i="7"/>
  <c r="T99" i="7"/>
  <c r="V99" i="7"/>
  <c r="AB99" i="7"/>
  <c r="AC99" i="7"/>
  <c r="AD99" i="7"/>
  <c r="B100" i="7"/>
  <c r="C100" i="7"/>
  <c r="P100" i="7"/>
  <c r="Q100" i="7"/>
  <c r="R100" i="7"/>
  <c r="S100" i="7"/>
  <c r="T100" i="7"/>
  <c r="V100" i="7"/>
  <c r="AB100" i="7"/>
  <c r="AC100" i="7"/>
  <c r="AD100" i="7"/>
  <c r="B101" i="7"/>
  <c r="C101" i="7"/>
  <c r="P101" i="7"/>
  <c r="Q101" i="7"/>
  <c r="R101" i="7"/>
  <c r="S101" i="7"/>
  <c r="T101" i="7"/>
  <c r="V101" i="7"/>
  <c r="AB101" i="7"/>
  <c r="AC101" i="7"/>
  <c r="AD101" i="7"/>
  <c r="B102" i="7"/>
  <c r="C102" i="7"/>
  <c r="P102" i="7"/>
  <c r="Q102" i="7"/>
  <c r="R102" i="7"/>
  <c r="S102" i="7"/>
  <c r="T102" i="7"/>
  <c r="V102" i="7"/>
  <c r="AB102" i="7"/>
  <c r="AC102" i="7"/>
  <c r="AD102" i="7"/>
  <c r="B103" i="7"/>
  <c r="C103" i="7"/>
  <c r="P103" i="7"/>
  <c r="Q103" i="7"/>
  <c r="R103" i="7"/>
  <c r="S103" i="7"/>
  <c r="T103" i="7"/>
  <c r="V103" i="7"/>
  <c r="AB103" i="7"/>
  <c r="AC103" i="7"/>
  <c r="AD103" i="7"/>
  <c r="B104" i="7"/>
  <c r="C104" i="7"/>
  <c r="P104" i="7"/>
  <c r="Q104" i="7"/>
  <c r="R104" i="7"/>
  <c r="S104" i="7"/>
  <c r="T104" i="7"/>
  <c r="V104" i="7"/>
  <c r="AB104" i="7"/>
  <c r="AC104" i="7"/>
  <c r="AD104" i="7"/>
  <c r="B105" i="7"/>
  <c r="C105" i="7"/>
  <c r="P105" i="7"/>
  <c r="Q105" i="7"/>
  <c r="R105" i="7"/>
  <c r="S105" i="7"/>
  <c r="T105" i="7"/>
  <c r="V105" i="7"/>
  <c r="AB105" i="7"/>
  <c r="AC105" i="7"/>
  <c r="AD105" i="7"/>
  <c r="B106" i="7"/>
  <c r="C106" i="7"/>
  <c r="P106" i="7"/>
  <c r="Q106" i="7"/>
  <c r="R106" i="7"/>
  <c r="S106" i="7"/>
  <c r="T106" i="7"/>
  <c r="V106" i="7"/>
  <c r="AB106" i="7"/>
  <c r="AC106" i="7"/>
  <c r="AD106" i="7"/>
  <c r="B107" i="7"/>
  <c r="C107" i="7"/>
  <c r="P107" i="7"/>
  <c r="Q107" i="7"/>
  <c r="R107" i="7"/>
  <c r="S107" i="7"/>
  <c r="T107" i="7"/>
  <c r="V107" i="7"/>
  <c r="AB107" i="7"/>
  <c r="AC107" i="7"/>
  <c r="AD107" i="7"/>
  <c r="B108" i="7"/>
  <c r="C108" i="7"/>
  <c r="P108" i="7"/>
  <c r="Q108" i="7"/>
  <c r="R108" i="7"/>
  <c r="S108" i="7"/>
  <c r="T108" i="7"/>
  <c r="V108" i="7"/>
  <c r="AB108" i="7"/>
  <c r="AC108" i="7"/>
  <c r="AD108" i="7"/>
  <c r="B109" i="7"/>
  <c r="C109" i="7"/>
  <c r="P109" i="7"/>
  <c r="Q109" i="7"/>
  <c r="R109" i="7"/>
  <c r="S109" i="7"/>
  <c r="T109" i="7"/>
  <c r="V109" i="7"/>
  <c r="AB109" i="7"/>
  <c r="AC109" i="7"/>
  <c r="AD109" i="7"/>
  <c r="B110" i="7"/>
  <c r="C110" i="7"/>
  <c r="P110" i="7"/>
  <c r="Q110" i="7"/>
  <c r="R110" i="7"/>
  <c r="S110" i="7"/>
  <c r="T110" i="7"/>
  <c r="V110" i="7"/>
  <c r="AB110" i="7"/>
  <c r="AC110" i="7"/>
  <c r="AD110" i="7"/>
  <c r="B111" i="7"/>
  <c r="C111" i="7"/>
  <c r="P111" i="7"/>
  <c r="Q111" i="7"/>
  <c r="R111" i="7"/>
  <c r="S111" i="7"/>
  <c r="T111" i="7"/>
  <c r="V111" i="7"/>
  <c r="AB111" i="7"/>
  <c r="AC111" i="7"/>
  <c r="AD111" i="7"/>
  <c r="B112" i="7"/>
  <c r="C112" i="7"/>
  <c r="P112" i="7"/>
  <c r="Q112" i="7"/>
  <c r="R112" i="7"/>
  <c r="S112" i="7"/>
  <c r="T112" i="7"/>
  <c r="V112" i="7"/>
  <c r="AB112" i="7"/>
  <c r="AC112" i="7"/>
  <c r="AD112" i="7"/>
  <c r="B113" i="7"/>
  <c r="C113" i="7"/>
  <c r="P113" i="7"/>
  <c r="Q113" i="7"/>
  <c r="R113" i="7"/>
  <c r="S113" i="7"/>
  <c r="T113" i="7"/>
  <c r="V113" i="7"/>
  <c r="AB113" i="7"/>
  <c r="AC113" i="7"/>
  <c r="AD113" i="7"/>
  <c r="B114" i="7"/>
  <c r="C114" i="7"/>
  <c r="P114" i="7"/>
  <c r="Q114" i="7"/>
  <c r="R114" i="7"/>
  <c r="S114" i="7"/>
  <c r="T114" i="7"/>
  <c r="V114" i="7"/>
  <c r="AB114" i="7"/>
  <c r="AC114" i="7"/>
  <c r="AD114" i="7"/>
  <c r="B115" i="7"/>
  <c r="C115" i="7"/>
  <c r="P115" i="7"/>
  <c r="Q115" i="7"/>
  <c r="R115" i="7"/>
  <c r="S115" i="7"/>
  <c r="T115" i="7"/>
  <c r="V115" i="7"/>
  <c r="AB115" i="7"/>
  <c r="AC115" i="7"/>
  <c r="AD115" i="7"/>
  <c r="B116" i="7"/>
  <c r="C116" i="7"/>
  <c r="P116" i="7"/>
  <c r="Q116" i="7"/>
  <c r="R116" i="7"/>
  <c r="S116" i="7"/>
  <c r="T116" i="7"/>
  <c r="V116" i="7"/>
  <c r="AB116" i="7"/>
  <c r="AC116" i="7"/>
  <c r="AD116" i="7"/>
  <c r="B117" i="7"/>
  <c r="C117" i="7"/>
  <c r="P117" i="7"/>
  <c r="Q117" i="7"/>
  <c r="R117" i="7"/>
  <c r="S117" i="7"/>
  <c r="T117" i="7"/>
  <c r="V117" i="7"/>
  <c r="AB117" i="7"/>
  <c r="AC117" i="7"/>
  <c r="AD117" i="7"/>
  <c r="B118" i="7"/>
  <c r="C118" i="7"/>
  <c r="P118" i="7"/>
  <c r="Q118" i="7"/>
  <c r="R118" i="7"/>
  <c r="S118" i="7"/>
  <c r="T118" i="7"/>
  <c r="V118" i="7"/>
  <c r="AB118" i="7"/>
  <c r="AC118" i="7"/>
  <c r="AD118" i="7"/>
  <c r="B119" i="7"/>
  <c r="C119" i="7"/>
  <c r="P119" i="7"/>
  <c r="Q119" i="7"/>
  <c r="R119" i="7"/>
  <c r="S119" i="7"/>
  <c r="T119" i="7"/>
  <c r="V119" i="7"/>
  <c r="AB119" i="7"/>
  <c r="AC119" i="7"/>
  <c r="AD119" i="7"/>
  <c r="B120" i="7"/>
  <c r="C120" i="7"/>
  <c r="P120" i="7"/>
  <c r="Q120" i="7"/>
  <c r="R120" i="7"/>
  <c r="S120" i="7"/>
  <c r="T120" i="7"/>
  <c r="V120" i="7"/>
  <c r="AB120" i="7"/>
  <c r="AC120" i="7"/>
  <c r="AD120" i="7"/>
  <c r="B121" i="7"/>
  <c r="C121" i="7"/>
  <c r="P121" i="7"/>
  <c r="Q121" i="7"/>
  <c r="R121" i="7"/>
  <c r="S121" i="7"/>
  <c r="T121" i="7"/>
  <c r="V121" i="7"/>
  <c r="AB121" i="7"/>
  <c r="AC121" i="7"/>
  <c r="AD121" i="7"/>
  <c r="B122" i="7"/>
  <c r="C122" i="7"/>
  <c r="P122" i="7"/>
  <c r="Q122" i="7"/>
  <c r="R122" i="7"/>
  <c r="S122" i="7"/>
  <c r="T122" i="7"/>
  <c r="V122" i="7"/>
  <c r="AB122" i="7"/>
  <c r="AC122" i="7"/>
  <c r="AD122" i="7"/>
  <c r="B123" i="7"/>
  <c r="C123" i="7"/>
  <c r="P123" i="7"/>
  <c r="Q123" i="7"/>
  <c r="R123" i="7"/>
  <c r="S123" i="7"/>
  <c r="T123" i="7"/>
  <c r="V123" i="7"/>
  <c r="AB123" i="7"/>
  <c r="AC123" i="7"/>
  <c r="AD123" i="7"/>
  <c r="B124" i="7"/>
  <c r="C124" i="7"/>
  <c r="P124" i="7"/>
  <c r="Q124" i="7"/>
  <c r="R124" i="7"/>
  <c r="S124" i="7"/>
  <c r="T124" i="7"/>
  <c r="V124" i="7"/>
  <c r="AB124" i="7"/>
  <c r="AC124" i="7"/>
  <c r="AD124" i="7"/>
  <c r="B125" i="7"/>
  <c r="C125" i="7"/>
  <c r="P125" i="7"/>
  <c r="Q125" i="7"/>
  <c r="R125" i="7"/>
  <c r="S125" i="7"/>
  <c r="T125" i="7"/>
  <c r="V125" i="7"/>
  <c r="AB125" i="7"/>
  <c r="AC125" i="7"/>
  <c r="AD125" i="7"/>
  <c r="B126" i="7"/>
  <c r="C126" i="7"/>
  <c r="P126" i="7"/>
  <c r="Q126" i="7"/>
  <c r="R126" i="7"/>
  <c r="S126" i="7"/>
  <c r="T126" i="7"/>
  <c r="V126" i="7"/>
  <c r="AB126" i="7"/>
  <c r="AC126" i="7"/>
  <c r="AD126" i="7"/>
  <c r="B127" i="7"/>
  <c r="C127" i="7"/>
  <c r="P127" i="7"/>
  <c r="Q127" i="7"/>
  <c r="R127" i="7"/>
  <c r="S127" i="7"/>
  <c r="T127" i="7"/>
  <c r="V127" i="7"/>
  <c r="AB127" i="7"/>
  <c r="AC127" i="7"/>
  <c r="AD127" i="7"/>
  <c r="B128" i="7"/>
  <c r="C128" i="7"/>
  <c r="P128" i="7"/>
  <c r="Q128" i="7"/>
  <c r="R128" i="7"/>
  <c r="S128" i="7"/>
  <c r="T128" i="7"/>
  <c r="V128" i="7"/>
  <c r="AB128" i="7"/>
  <c r="AC128" i="7"/>
  <c r="AD128" i="7"/>
  <c r="B129" i="7"/>
  <c r="C129" i="7"/>
  <c r="P129" i="7"/>
  <c r="Q129" i="7"/>
  <c r="R129" i="7"/>
  <c r="S129" i="7"/>
  <c r="T129" i="7"/>
  <c r="V129" i="7"/>
  <c r="AB129" i="7"/>
  <c r="AC129" i="7"/>
  <c r="AD129" i="7"/>
  <c r="B130" i="7"/>
  <c r="C130" i="7"/>
  <c r="P130" i="7"/>
  <c r="Q130" i="7"/>
  <c r="R130" i="7"/>
  <c r="S130" i="7"/>
  <c r="T130" i="7"/>
  <c r="V130" i="7"/>
  <c r="AB130" i="7"/>
  <c r="AC130" i="7"/>
  <c r="AD130" i="7"/>
  <c r="B131" i="7"/>
  <c r="C131" i="7"/>
  <c r="P131" i="7"/>
  <c r="Q131" i="7"/>
  <c r="R131" i="7"/>
  <c r="S131" i="7"/>
  <c r="T131" i="7"/>
  <c r="V131" i="7"/>
  <c r="AB131" i="7"/>
  <c r="AC131" i="7"/>
  <c r="AD131" i="7"/>
  <c r="B132" i="7"/>
  <c r="C132" i="7"/>
  <c r="P132" i="7"/>
  <c r="Q132" i="7"/>
  <c r="R132" i="7"/>
  <c r="S132" i="7"/>
  <c r="T132" i="7"/>
  <c r="V132" i="7"/>
  <c r="AB132" i="7"/>
  <c r="AC132" i="7"/>
  <c r="AD132" i="7"/>
  <c r="B133" i="7"/>
  <c r="C133" i="7"/>
  <c r="P133" i="7"/>
  <c r="Q133" i="7"/>
  <c r="R133" i="7"/>
  <c r="S133" i="7"/>
  <c r="T133" i="7"/>
  <c r="V133" i="7"/>
  <c r="AB133" i="7"/>
  <c r="AC133" i="7"/>
  <c r="AD133" i="7"/>
  <c r="B134" i="7"/>
  <c r="C134" i="7"/>
  <c r="P134" i="7"/>
  <c r="Q134" i="7"/>
  <c r="R134" i="7"/>
  <c r="S134" i="7"/>
  <c r="T134" i="7"/>
  <c r="V134" i="7"/>
  <c r="AB134" i="7"/>
  <c r="AC134" i="7"/>
  <c r="AD134" i="7"/>
  <c r="B135" i="7"/>
  <c r="C135" i="7"/>
  <c r="P135" i="7"/>
  <c r="Q135" i="7"/>
  <c r="R135" i="7"/>
  <c r="S135" i="7"/>
  <c r="T135" i="7"/>
  <c r="V135" i="7"/>
  <c r="AB135" i="7"/>
  <c r="AC135" i="7"/>
  <c r="AD135" i="7"/>
  <c r="B136" i="7"/>
  <c r="C136" i="7"/>
  <c r="P136" i="7"/>
  <c r="Q136" i="7"/>
  <c r="R136" i="7"/>
  <c r="S136" i="7"/>
  <c r="T136" i="7"/>
  <c r="V136" i="7"/>
  <c r="AB136" i="7"/>
  <c r="AC136" i="7"/>
  <c r="AD136" i="7"/>
  <c r="B137" i="7"/>
  <c r="C137" i="7"/>
  <c r="P137" i="7"/>
  <c r="Q137" i="7"/>
  <c r="R137" i="7"/>
  <c r="S137" i="7"/>
  <c r="T137" i="7"/>
  <c r="V137" i="7"/>
  <c r="AB137" i="7"/>
  <c r="AC137" i="7"/>
  <c r="AD137" i="7"/>
  <c r="B138" i="7"/>
  <c r="C138" i="7"/>
  <c r="P138" i="7"/>
  <c r="Q138" i="7"/>
  <c r="R138" i="7"/>
  <c r="S138" i="7"/>
  <c r="T138" i="7"/>
  <c r="V138" i="7"/>
  <c r="AB138" i="7"/>
  <c r="AC138" i="7"/>
  <c r="AD138" i="7"/>
  <c r="B139" i="7"/>
  <c r="C139" i="7"/>
  <c r="P139" i="7"/>
  <c r="Q139" i="7"/>
  <c r="R139" i="7"/>
  <c r="S139" i="7"/>
  <c r="T139" i="7"/>
  <c r="V139" i="7"/>
  <c r="AB139" i="7"/>
  <c r="AC139" i="7"/>
  <c r="AD139" i="7"/>
  <c r="B140" i="7"/>
  <c r="C140" i="7"/>
  <c r="P140" i="7"/>
  <c r="Q140" i="7"/>
  <c r="R140" i="7"/>
  <c r="S140" i="7"/>
  <c r="T140" i="7"/>
  <c r="V140" i="7"/>
  <c r="AB140" i="7"/>
  <c r="AC140" i="7"/>
  <c r="AD140" i="7"/>
  <c r="B141" i="7"/>
  <c r="C141" i="7"/>
  <c r="P141" i="7"/>
  <c r="Q141" i="7"/>
  <c r="R141" i="7"/>
  <c r="S141" i="7"/>
  <c r="T141" i="7"/>
  <c r="V141" i="7"/>
  <c r="AB141" i="7"/>
  <c r="AC141" i="7"/>
  <c r="AD141" i="7"/>
  <c r="B142" i="7"/>
  <c r="C142" i="7"/>
  <c r="P142" i="7"/>
  <c r="Q142" i="7"/>
  <c r="R142" i="7"/>
  <c r="S142" i="7"/>
  <c r="T142" i="7"/>
  <c r="V142" i="7"/>
  <c r="AB142" i="7"/>
  <c r="AC142" i="7"/>
  <c r="AD142" i="7"/>
  <c r="B143" i="7"/>
  <c r="C143" i="7"/>
  <c r="P143" i="7"/>
  <c r="Q143" i="7"/>
  <c r="R143" i="7"/>
  <c r="S143" i="7"/>
  <c r="T143" i="7"/>
  <c r="V143" i="7"/>
  <c r="AB143" i="7"/>
  <c r="AC143" i="7"/>
  <c r="AD143" i="7"/>
  <c r="B144" i="7"/>
  <c r="C144" i="7"/>
  <c r="P144" i="7"/>
  <c r="Q144" i="7"/>
  <c r="R144" i="7"/>
  <c r="S144" i="7"/>
  <c r="T144" i="7"/>
  <c r="V144" i="7"/>
  <c r="AB144" i="7"/>
  <c r="AC144" i="7"/>
  <c r="AD144" i="7"/>
  <c r="B145" i="7"/>
  <c r="C145" i="7"/>
  <c r="P145" i="7"/>
  <c r="Q145" i="7"/>
  <c r="R145" i="7"/>
  <c r="S145" i="7"/>
  <c r="T145" i="7"/>
  <c r="V145" i="7"/>
  <c r="AB145" i="7"/>
  <c r="AC145" i="7"/>
  <c r="AD145" i="7"/>
  <c r="B146" i="7"/>
  <c r="C146" i="7"/>
  <c r="P146" i="7"/>
  <c r="Q146" i="7"/>
  <c r="R146" i="7"/>
  <c r="S146" i="7"/>
  <c r="T146" i="7"/>
  <c r="V146" i="7"/>
  <c r="AB146" i="7"/>
  <c r="AC146" i="7"/>
  <c r="AD146" i="7"/>
  <c r="B147" i="7"/>
  <c r="C147" i="7"/>
  <c r="P147" i="7"/>
  <c r="Q147" i="7"/>
  <c r="R147" i="7"/>
  <c r="S147" i="7"/>
  <c r="T147" i="7"/>
  <c r="V147" i="7"/>
  <c r="AB147" i="7"/>
  <c r="AC147" i="7"/>
  <c r="AD147" i="7"/>
  <c r="B148" i="7"/>
  <c r="C148" i="7"/>
  <c r="P148" i="7"/>
  <c r="Q148" i="7"/>
  <c r="R148" i="7"/>
  <c r="S148" i="7"/>
  <c r="T148" i="7"/>
  <c r="V148" i="7"/>
  <c r="AB148" i="7"/>
  <c r="AC148" i="7"/>
  <c r="AD148" i="7"/>
  <c r="B149" i="7"/>
  <c r="C149" i="7"/>
  <c r="P149" i="7"/>
  <c r="Q149" i="7"/>
  <c r="R149" i="7"/>
  <c r="S149" i="7"/>
  <c r="T149" i="7"/>
  <c r="V149" i="7"/>
  <c r="AB149" i="7"/>
  <c r="AC149" i="7"/>
  <c r="AD149" i="7"/>
  <c r="B150" i="7"/>
  <c r="C150" i="7"/>
  <c r="P150" i="7"/>
  <c r="Q150" i="7"/>
  <c r="R150" i="7"/>
  <c r="S150" i="7"/>
  <c r="T150" i="7"/>
  <c r="V150" i="7"/>
  <c r="AB150" i="7"/>
  <c r="AC150" i="7"/>
  <c r="AD150" i="7"/>
  <c r="B151" i="7"/>
  <c r="C151" i="7"/>
  <c r="P151" i="7"/>
  <c r="Q151" i="7"/>
  <c r="R151" i="7"/>
  <c r="S151" i="7"/>
  <c r="T151" i="7"/>
  <c r="V151" i="7"/>
  <c r="AB151" i="7"/>
  <c r="AC151" i="7"/>
  <c r="AD151" i="7"/>
  <c r="B152" i="7"/>
  <c r="C152" i="7"/>
  <c r="P152" i="7"/>
  <c r="Q152" i="7"/>
  <c r="R152" i="7"/>
  <c r="S152" i="7"/>
  <c r="T152" i="7"/>
  <c r="V152" i="7"/>
  <c r="AB152" i="7"/>
  <c r="AC152" i="7"/>
  <c r="AD152" i="7"/>
  <c r="B153" i="7"/>
  <c r="C153" i="7"/>
  <c r="P153" i="7"/>
  <c r="Q153" i="7"/>
  <c r="R153" i="7"/>
  <c r="S153" i="7"/>
  <c r="T153" i="7"/>
  <c r="V153" i="7"/>
  <c r="AB153" i="7"/>
  <c r="AC153" i="7"/>
  <c r="AD153" i="7"/>
  <c r="B154" i="7"/>
  <c r="C154" i="7"/>
  <c r="P154" i="7"/>
  <c r="Q154" i="7"/>
  <c r="R154" i="7"/>
  <c r="S154" i="7"/>
  <c r="T154" i="7"/>
  <c r="V154" i="7"/>
  <c r="AB154" i="7"/>
  <c r="AC154" i="7"/>
  <c r="AD154" i="7"/>
  <c r="B155" i="7"/>
  <c r="C155" i="7"/>
  <c r="P155" i="7"/>
  <c r="Q155" i="7"/>
  <c r="R155" i="7"/>
  <c r="S155" i="7"/>
  <c r="T155" i="7"/>
  <c r="V155" i="7"/>
  <c r="AB155" i="7"/>
  <c r="AC155" i="7"/>
  <c r="AD155" i="7"/>
  <c r="B156" i="7"/>
  <c r="C156" i="7"/>
  <c r="P156" i="7"/>
  <c r="Q156" i="7"/>
  <c r="R156" i="7"/>
  <c r="S156" i="7"/>
  <c r="T156" i="7"/>
  <c r="V156" i="7"/>
  <c r="AB156" i="7"/>
  <c r="AC156" i="7"/>
  <c r="AD156" i="7"/>
  <c r="B157" i="7"/>
  <c r="C157" i="7"/>
  <c r="P157" i="7"/>
  <c r="Q157" i="7"/>
  <c r="R157" i="7"/>
  <c r="S157" i="7"/>
  <c r="T157" i="7"/>
  <c r="V157" i="7"/>
  <c r="AB157" i="7"/>
  <c r="AC157" i="7"/>
  <c r="AD157" i="7"/>
  <c r="B158" i="7"/>
  <c r="C158" i="7"/>
  <c r="P158" i="7"/>
  <c r="Q158" i="7"/>
  <c r="R158" i="7"/>
  <c r="S158" i="7"/>
  <c r="T158" i="7"/>
  <c r="V158" i="7"/>
  <c r="AB158" i="7"/>
  <c r="AC158" i="7"/>
  <c r="AD158" i="7"/>
  <c r="B159" i="7"/>
  <c r="C159" i="7"/>
  <c r="P159" i="7"/>
  <c r="Q159" i="7"/>
  <c r="R159" i="7"/>
  <c r="S159" i="7"/>
  <c r="T159" i="7"/>
  <c r="V159" i="7"/>
  <c r="AB159" i="7"/>
  <c r="AC159" i="7"/>
  <c r="AD159" i="7"/>
  <c r="B160" i="7"/>
  <c r="C160" i="7"/>
  <c r="P160" i="7"/>
  <c r="Q160" i="7"/>
  <c r="R160" i="7"/>
  <c r="S160" i="7"/>
  <c r="T160" i="7"/>
  <c r="V160" i="7"/>
  <c r="AB160" i="7"/>
  <c r="AC160" i="7"/>
  <c r="AD160" i="7"/>
  <c r="B161" i="7"/>
  <c r="C161" i="7"/>
  <c r="P161" i="7"/>
  <c r="Q161" i="7"/>
  <c r="R161" i="7"/>
  <c r="S161" i="7"/>
  <c r="T161" i="7"/>
  <c r="V161" i="7"/>
  <c r="AB161" i="7"/>
  <c r="AC161" i="7"/>
  <c r="AD161" i="7"/>
  <c r="B162" i="7"/>
  <c r="C162" i="7"/>
  <c r="P162" i="7"/>
  <c r="Q162" i="7"/>
  <c r="R162" i="7"/>
  <c r="S162" i="7"/>
  <c r="T162" i="7"/>
  <c r="V162" i="7"/>
  <c r="AB162" i="7"/>
  <c r="AC162" i="7"/>
  <c r="AD162" i="7"/>
  <c r="B163" i="7"/>
  <c r="C163" i="7"/>
  <c r="P163" i="7"/>
  <c r="Q163" i="7"/>
  <c r="R163" i="7"/>
  <c r="S163" i="7"/>
  <c r="T163" i="7"/>
  <c r="V163" i="7"/>
  <c r="AB163" i="7"/>
  <c r="AC163" i="7"/>
  <c r="AD163" i="7"/>
  <c r="B164" i="7"/>
  <c r="C164" i="7"/>
  <c r="P164" i="7"/>
  <c r="Q164" i="7"/>
  <c r="R164" i="7"/>
  <c r="S164" i="7"/>
  <c r="T164" i="7"/>
  <c r="V164" i="7"/>
  <c r="AB164" i="7"/>
  <c r="AC164" i="7"/>
  <c r="AD164" i="7"/>
  <c r="B165" i="7"/>
  <c r="C165" i="7"/>
  <c r="P165" i="7"/>
  <c r="Q165" i="7"/>
  <c r="R165" i="7"/>
  <c r="S165" i="7"/>
  <c r="T165" i="7"/>
  <c r="V165" i="7"/>
  <c r="AB165" i="7"/>
  <c r="AC165" i="7"/>
  <c r="AD165" i="7"/>
  <c r="B166" i="7"/>
  <c r="C166" i="7"/>
  <c r="P166" i="7"/>
  <c r="Q166" i="7"/>
  <c r="R166" i="7"/>
  <c r="S166" i="7"/>
  <c r="T166" i="7"/>
  <c r="V166" i="7"/>
  <c r="AB166" i="7"/>
  <c r="AC166" i="7"/>
  <c r="AD166" i="7"/>
  <c r="B167" i="7"/>
  <c r="C167" i="7"/>
  <c r="P167" i="7"/>
  <c r="Q167" i="7"/>
  <c r="R167" i="7"/>
  <c r="S167" i="7"/>
  <c r="T167" i="7"/>
  <c r="V167" i="7"/>
  <c r="AB167" i="7"/>
  <c r="AC167" i="7"/>
  <c r="AD167" i="7"/>
  <c r="B168" i="7"/>
  <c r="C168" i="7"/>
  <c r="P168" i="7"/>
  <c r="Q168" i="7"/>
  <c r="R168" i="7"/>
  <c r="S168" i="7"/>
  <c r="T168" i="7"/>
  <c r="V168" i="7"/>
  <c r="AB168" i="7"/>
  <c r="AC168" i="7"/>
  <c r="AD168" i="7"/>
  <c r="B169" i="7"/>
  <c r="C169" i="7"/>
  <c r="P169" i="7"/>
  <c r="Q169" i="7"/>
  <c r="R169" i="7"/>
  <c r="S169" i="7"/>
  <c r="T169" i="7"/>
  <c r="V169" i="7"/>
  <c r="AB169" i="7"/>
  <c r="AC169" i="7"/>
  <c r="AD169" i="7"/>
  <c r="B170" i="7"/>
  <c r="C170" i="7"/>
  <c r="P170" i="7"/>
  <c r="Q170" i="7"/>
  <c r="R170" i="7"/>
  <c r="S170" i="7"/>
  <c r="T170" i="7"/>
  <c r="V170" i="7"/>
  <c r="AB170" i="7"/>
  <c r="AC170" i="7"/>
  <c r="AD170" i="7"/>
  <c r="B171" i="7"/>
  <c r="C171" i="7"/>
  <c r="P171" i="7"/>
  <c r="Q171" i="7"/>
  <c r="R171" i="7"/>
  <c r="S171" i="7"/>
  <c r="T171" i="7"/>
  <c r="V171" i="7"/>
  <c r="AB171" i="7"/>
  <c r="AC171" i="7"/>
  <c r="AD171" i="7"/>
  <c r="B172" i="7"/>
  <c r="C172" i="7"/>
  <c r="P172" i="7"/>
  <c r="Q172" i="7"/>
  <c r="R172" i="7"/>
  <c r="S172" i="7"/>
  <c r="T172" i="7"/>
  <c r="V172" i="7"/>
  <c r="AB172" i="7"/>
  <c r="AC172" i="7"/>
  <c r="AD172" i="7"/>
  <c r="B173" i="7"/>
  <c r="C173" i="7"/>
  <c r="P173" i="7"/>
  <c r="Q173" i="7"/>
  <c r="R173" i="7"/>
  <c r="S173" i="7"/>
  <c r="T173" i="7"/>
  <c r="V173" i="7"/>
  <c r="AB173" i="7"/>
  <c r="AC173" i="7"/>
  <c r="AD173" i="7"/>
  <c r="B174" i="7"/>
  <c r="C174" i="7"/>
  <c r="P174" i="7"/>
  <c r="Q174" i="7"/>
  <c r="R174" i="7"/>
  <c r="S174" i="7"/>
  <c r="T174" i="7"/>
  <c r="V174" i="7"/>
  <c r="AB174" i="7"/>
  <c r="AC174" i="7"/>
  <c r="AD174" i="7"/>
  <c r="B175" i="7"/>
  <c r="C175" i="7"/>
  <c r="P175" i="7"/>
  <c r="Q175" i="7"/>
  <c r="R175" i="7"/>
  <c r="S175" i="7"/>
  <c r="T175" i="7"/>
  <c r="V175" i="7"/>
  <c r="AB175" i="7"/>
  <c r="AC175" i="7"/>
  <c r="AD175" i="7"/>
  <c r="B176" i="7"/>
  <c r="C176" i="7"/>
  <c r="P176" i="7"/>
  <c r="Q176" i="7"/>
  <c r="R176" i="7"/>
  <c r="S176" i="7"/>
  <c r="T176" i="7"/>
  <c r="V176" i="7"/>
  <c r="AB176" i="7"/>
  <c r="AC176" i="7"/>
  <c r="AD176" i="7"/>
  <c r="B177" i="7"/>
  <c r="C177" i="7"/>
  <c r="P177" i="7"/>
  <c r="Q177" i="7"/>
  <c r="R177" i="7"/>
  <c r="S177" i="7"/>
  <c r="T177" i="7"/>
  <c r="V177" i="7"/>
  <c r="AB177" i="7"/>
  <c r="AC177" i="7"/>
  <c r="AD177" i="7"/>
  <c r="B178" i="7"/>
  <c r="C178" i="7"/>
  <c r="P178" i="7"/>
  <c r="Q178" i="7"/>
  <c r="R178" i="7"/>
  <c r="S178" i="7"/>
  <c r="T178" i="7"/>
  <c r="V178" i="7"/>
  <c r="AB178" i="7"/>
  <c r="AC178" i="7"/>
  <c r="AD178" i="7"/>
  <c r="B179" i="7"/>
  <c r="C179" i="7"/>
  <c r="P179" i="7"/>
  <c r="Q179" i="7"/>
  <c r="R179" i="7"/>
  <c r="S179" i="7"/>
  <c r="T179" i="7"/>
  <c r="V179" i="7"/>
  <c r="AB179" i="7"/>
  <c r="AC179" i="7"/>
  <c r="AD179" i="7"/>
  <c r="B180" i="7"/>
  <c r="C180" i="7"/>
  <c r="P180" i="7"/>
  <c r="Q180" i="7"/>
  <c r="R180" i="7"/>
  <c r="S180" i="7"/>
  <c r="T180" i="7"/>
  <c r="V180" i="7"/>
  <c r="AB180" i="7"/>
  <c r="AC180" i="7"/>
  <c r="AD180" i="7"/>
  <c r="B181" i="7"/>
  <c r="C181" i="7"/>
  <c r="P181" i="7"/>
  <c r="Q181" i="7"/>
  <c r="R181" i="7"/>
  <c r="S181" i="7"/>
  <c r="T181" i="7"/>
  <c r="V181" i="7"/>
  <c r="AB181" i="7"/>
  <c r="AC181" i="7"/>
  <c r="AD181" i="7"/>
  <c r="B182" i="7"/>
  <c r="C182" i="7"/>
  <c r="P182" i="7"/>
  <c r="Q182" i="7"/>
  <c r="R182" i="7"/>
  <c r="S182" i="7"/>
  <c r="T182" i="7"/>
  <c r="V182" i="7"/>
  <c r="AB182" i="7"/>
  <c r="AC182" i="7"/>
  <c r="AD182" i="7"/>
  <c r="B183" i="7"/>
  <c r="C183" i="7"/>
  <c r="P183" i="7"/>
  <c r="Q183" i="7"/>
  <c r="R183" i="7"/>
  <c r="S183" i="7"/>
  <c r="T183" i="7"/>
  <c r="V183" i="7"/>
  <c r="AB183" i="7"/>
  <c r="AC183" i="7"/>
  <c r="AD183" i="7"/>
  <c r="B184" i="7"/>
  <c r="C184" i="7"/>
  <c r="P184" i="7"/>
  <c r="Q184" i="7"/>
  <c r="R184" i="7"/>
  <c r="S184" i="7"/>
  <c r="T184" i="7"/>
  <c r="V184" i="7"/>
  <c r="AB184" i="7"/>
  <c r="AC184" i="7"/>
  <c r="AD184" i="7"/>
  <c r="B185" i="7"/>
  <c r="C185" i="7"/>
  <c r="P185" i="7"/>
  <c r="Q185" i="7"/>
  <c r="R185" i="7"/>
  <c r="S185" i="7"/>
  <c r="T185" i="7"/>
  <c r="V185" i="7"/>
  <c r="AB185" i="7"/>
  <c r="AC185" i="7"/>
  <c r="AD185" i="7"/>
  <c r="B186" i="7"/>
  <c r="C186" i="7"/>
  <c r="P186" i="7"/>
  <c r="Q186" i="7"/>
  <c r="R186" i="7"/>
  <c r="S186" i="7"/>
  <c r="T186" i="7"/>
  <c r="V186" i="7"/>
  <c r="AB186" i="7"/>
  <c r="AC186" i="7"/>
  <c r="AD186" i="7"/>
  <c r="B187" i="7"/>
  <c r="C187" i="7"/>
  <c r="P187" i="7"/>
  <c r="Q187" i="7"/>
  <c r="R187" i="7"/>
  <c r="S187" i="7"/>
  <c r="T187" i="7"/>
  <c r="V187" i="7"/>
  <c r="AB187" i="7"/>
  <c r="AC187" i="7"/>
  <c r="AD187" i="7"/>
  <c r="B188" i="7"/>
  <c r="C188" i="7"/>
  <c r="P188" i="7"/>
  <c r="Q188" i="7"/>
  <c r="R188" i="7"/>
  <c r="S188" i="7"/>
  <c r="T188" i="7"/>
  <c r="V188" i="7"/>
  <c r="AB188" i="7"/>
  <c r="AC188" i="7"/>
  <c r="AD188" i="7"/>
  <c r="B189" i="7"/>
  <c r="C189" i="7"/>
  <c r="P189" i="7"/>
  <c r="Q189" i="7"/>
  <c r="R189" i="7"/>
  <c r="S189" i="7"/>
  <c r="T189" i="7"/>
  <c r="V189" i="7"/>
  <c r="AB189" i="7"/>
  <c r="AC189" i="7"/>
  <c r="AD189" i="7"/>
  <c r="B190" i="7"/>
  <c r="C190" i="7"/>
  <c r="P190" i="7"/>
  <c r="Q190" i="7"/>
  <c r="R190" i="7"/>
  <c r="S190" i="7"/>
  <c r="T190" i="7"/>
  <c r="V190" i="7"/>
  <c r="AB190" i="7"/>
  <c r="AC190" i="7"/>
  <c r="AD190" i="7"/>
  <c r="B191" i="7"/>
  <c r="C191" i="7"/>
  <c r="P191" i="7"/>
  <c r="Q191" i="7"/>
  <c r="R191" i="7"/>
  <c r="S191" i="7"/>
  <c r="T191" i="7"/>
  <c r="V191" i="7"/>
  <c r="AB191" i="7"/>
  <c r="AC191" i="7"/>
  <c r="AD191" i="7"/>
  <c r="B192" i="7"/>
  <c r="C192" i="7"/>
  <c r="P192" i="7"/>
  <c r="Q192" i="7"/>
  <c r="R192" i="7"/>
  <c r="S192" i="7"/>
  <c r="T192" i="7"/>
  <c r="V192" i="7"/>
  <c r="AB192" i="7"/>
  <c r="AC192" i="7"/>
  <c r="AD192" i="7"/>
  <c r="B193" i="7"/>
  <c r="C193" i="7"/>
  <c r="P193" i="7"/>
  <c r="Q193" i="7"/>
  <c r="R193" i="7"/>
  <c r="S193" i="7"/>
  <c r="T193" i="7"/>
  <c r="V193" i="7"/>
  <c r="AB193" i="7"/>
  <c r="AC193" i="7"/>
  <c r="AD193" i="7"/>
  <c r="B194" i="7"/>
  <c r="C194" i="7"/>
  <c r="P194" i="7"/>
  <c r="Q194" i="7"/>
  <c r="R194" i="7"/>
  <c r="S194" i="7"/>
  <c r="T194" i="7"/>
  <c r="V194" i="7"/>
  <c r="AB194" i="7"/>
  <c r="AC194" i="7"/>
  <c r="AD194" i="7"/>
  <c r="B195" i="7"/>
  <c r="C195" i="7"/>
  <c r="P195" i="7"/>
  <c r="Q195" i="7"/>
  <c r="R195" i="7"/>
  <c r="S195" i="7"/>
  <c r="T195" i="7"/>
  <c r="V195" i="7"/>
  <c r="AB195" i="7"/>
  <c r="AC195" i="7"/>
  <c r="AD195" i="7"/>
  <c r="B196" i="7"/>
  <c r="C196" i="7"/>
  <c r="P196" i="7"/>
  <c r="Q196" i="7"/>
  <c r="R196" i="7"/>
  <c r="S196" i="7"/>
  <c r="T196" i="7"/>
  <c r="V196" i="7"/>
  <c r="AB196" i="7"/>
  <c r="AC196" i="7"/>
  <c r="AD196" i="7"/>
  <c r="B197" i="7"/>
  <c r="C197" i="7"/>
  <c r="P197" i="7"/>
  <c r="Q197" i="7"/>
  <c r="R197" i="7"/>
  <c r="S197" i="7"/>
  <c r="T197" i="7"/>
  <c r="V197" i="7"/>
  <c r="AB197" i="7"/>
  <c r="AC197" i="7"/>
  <c r="AD197" i="7"/>
  <c r="B198" i="7"/>
  <c r="C198" i="7"/>
  <c r="P198" i="7"/>
  <c r="Q198" i="7"/>
  <c r="R198" i="7"/>
  <c r="S198" i="7"/>
  <c r="T198" i="7"/>
  <c r="V198" i="7"/>
  <c r="AB198" i="7"/>
  <c r="AC198" i="7"/>
  <c r="AD198" i="7"/>
  <c r="B199" i="7"/>
  <c r="C199" i="7"/>
  <c r="P199" i="7"/>
  <c r="Q199" i="7"/>
  <c r="R199" i="7"/>
  <c r="S199" i="7"/>
  <c r="T199" i="7"/>
  <c r="V199" i="7"/>
  <c r="AB199" i="7"/>
  <c r="AC199" i="7"/>
  <c r="AD199" i="7"/>
  <c r="B200" i="7"/>
  <c r="C200" i="7"/>
  <c r="P200" i="7"/>
  <c r="Q200" i="7"/>
  <c r="R200" i="7"/>
  <c r="S200" i="7"/>
  <c r="T200" i="7"/>
  <c r="V200" i="7"/>
  <c r="AB200" i="7"/>
  <c r="AC200" i="7"/>
  <c r="AD200" i="7"/>
  <c r="B201" i="7"/>
  <c r="C201" i="7"/>
  <c r="P201" i="7"/>
  <c r="Q201" i="7"/>
  <c r="R201" i="7"/>
  <c r="S201" i="7"/>
  <c r="T201" i="7"/>
  <c r="V201" i="7"/>
  <c r="AB201" i="7"/>
  <c r="AC201" i="7"/>
  <c r="AD201" i="7"/>
  <c r="B202" i="7"/>
  <c r="C202" i="7"/>
  <c r="P202" i="7"/>
  <c r="Q202" i="7"/>
  <c r="R202" i="7"/>
  <c r="S202" i="7"/>
  <c r="T202" i="7"/>
  <c r="V202" i="7"/>
  <c r="AB202" i="7"/>
  <c r="AC202" i="7"/>
  <c r="AD202" i="7"/>
  <c r="B203" i="7"/>
  <c r="C203" i="7"/>
  <c r="P203" i="7"/>
  <c r="Q203" i="7"/>
  <c r="R203" i="7"/>
  <c r="S203" i="7"/>
  <c r="T203" i="7"/>
  <c r="V203" i="7"/>
  <c r="AB203" i="7"/>
  <c r="AC203" i="7"/>
  <c r="AD203" i="7"/>
  <c r="B204" i="7"/>
  <c r="C204" i="7"/>
  <c r="P204" i="7"/>
  <c r="Q204" i="7"/>
  <c r="R204" i="7"/>
  <c r="S204" i="7"/>
  <c r="T204" i="7"/>
  <c r="V204" i="7"/>
  <c r="AB204" i="7"/>
  <c r="AC204" i="7"/>
  <c r="AD204" i="7"/>
  <c r="B205" i="7"/>
  <c r="C205" i="7"/>
  <c r="P205" i="7"/>
  <c r="Q205" i="7"/>
  <c r="R205" i="7"/>
  <c r="S205" i="7"/>
  <c r="T205" i="7"/>
  <c r="V205" i="7"/>
  <c r="AB205" i="7"/>
  <c r="AC205" i="7"/>
  <c r="AD205" i="7"/>
  <c r="B206" i="7"/>
  <c r="C206" i="7"/>
  <c r="P206" i="7"/>
  <c r="Q206" i="7"/>
  <c r="R206" i="7"/>
  <c r="S206" i="7"/>
  <c r="T206" i="7"/>
  <c r="V206" i="7"/>
  <c r="AB206" i="7"/>
  <c r="AC206" i="7"/>
  <c r="AD206" i="7"/>
  <c r="B207" i="7"/>
  <c r="C207" i="7"/>
  <c r="P207" i="7"/>
  <c r="Q207" i="7"/>
  <c r="R207" i="7"/>
  <c r="S207" i="7"/>
  <c r="T207" i="7"/>
  <c r="V207" i="7"/>
  <c r="AB207" i="7"/>
  <c r="AC207" i="7"/>
  <c r="AD207" i="7"/>
  <c r="B208" i="7"/>
  <c r="C208" i="7"/>
  <c r="P208" i="7"/>
  <c r="Q208" i="7"/>
  <c r="R208" i="7"/>
  <c r="S208" i="7"/>
  <c r="T208" i="7"/>
  <c r="V208" i="7"/>
  <c r="AB208" i="7"/>
  <c r="AC208" i="7"/>
  <c r="AD208" i="7"/>
  <c r="B209" i="7"/>
  <c r="C209" i="7"/>
  <c r="P209" i="7"/>
  <c r="Q209" i="7"/>
  <c r="R209" i="7"/>
  <c r="S209" i="7"/>
  <c r="T209" i="7"/>
  <c r="V209" i="7"/>
  <c r="AB209" i="7"/>
  <c r="AC209" i="7"/>
  <c r="AD209" i="7"/>
  <c r="B210" i="7"/>
  <c r="C210" i="7"/>
  <c r="P210" i="7"/>
  <c r="Q210" i="7"/>
  <c r="R210" i="7"/>
  <c r="S210" i="7"/>
  <c r="T210" i="7"/>
  <c r="V210" i="7"/>
  <c r="AB210" i="7"/>
  <c r="AC210" i="7"/>
  <c r="AD210" i="7"/>
  <c r="B211" i="7"/>
  <c r="C211" i="7"/>
  <c r="P211" i="7"/>
  <c r="Q211" i="7"/>
  <c r="R211" i="7"/>
  <c r="S211" i="7"/>
  <c r="T211" i="7"/>
  <c r="V211" i="7"/>
  <c r="AB211" i="7"/>
  <c r="AC211" i="7"/>
  <c r="AD211" i="7"/>
  <c r="B212" i="7"/>
  <c r="C212" i="7"/>
  <c r="P212" i="7"/>
  <c r="Q212" i="7"/>
  <c r="R212" i="7"/>
  <c r="S212" i="7"/>
  <c r="T212" i="7"/>
  <c r="V212" i="7"/>
  <c r="AB212" i="7"/>
  <c r="AC212" i="7"/>
  <c r="AD212" i="7"/>
  <c r="B213" i="7"/>
  <c r="C213" i="7"/>
  <c r="P213" i="7"/>
  <c r="Q213" i="7"/>
  <c r="R213" i="7"/>
  <c r="S213" i="7"/>
  <c r="T213" i="7"/>
  <c r="V213" i="7"/>
  <c r="AB213" i="7"/>
  <c r="AC213" i="7"/>
  <c r="AD213" i="7"/>
  <c r="B214" i="7"/>
  <c r="C214" i="7"/>
  <c r="P214" i="7"/>
  <c r="Q214" i="7"/>
  <c r="R214" i="7"/>
  <c r="S214" i="7"/>
  <c r="T214" i="7"/>
  <c r="V214" i="7"/>
  <c r="AB214" i="7"/>
  <c r="AC214" i="7"/>
  <c r="AD214" i="7"/>
  <c r="B215" i="7"/>
  <c r="C215" i="7"/>
  <c r="P215" i="7"/>
  <c r="Q215" i="7"/>
  <c r="R215" i="7"/>
  <c r="S215" i="7"/>
  <c r="T215" i="7"/>
  <c r="V215" i="7"/>
  <c r="AB215" i="7"/>
  <c r="AC215" i="7"/>
  <c r="AD215" i="7"/>
  <c r="B216" i="7"/>
  <c r="C216" i="7"/>
  <c r="P216" i="7"/>
  <c r="Q216" i="7"/>
  <c r="R216" i="7"/>
  <c r="S216" i="7"/>
  <c r="T216" i="7"/>
  <c r="V216" i="7"/>
  <c r="AB216" i="7"/>
  <c r="AC216" i="7"/>
  <c r="AD216" i="7"/>
  <c r="B217" i="7"/>
  <c r="C217" i="7"/>
  <c r="P217" i="7"/>
  <c r="Q217" i="7"/>
  <c r="R217" i="7"/>
  <c r="S217" i="7"/>
  <c r="T217" i="7"/>
  <c r="V217" i="7"/>
  <c r="AB217" i="7"/>
  <c r="AC217" i="7"/>
  <c r="AD217" i="7"/>
  <c r="B218" i="7"/>
  <c r="C218" i="7"/>
  <c r="P218" i="7"/>
  <c r="Q218" i="7"/>
  <c r="R218" i="7"/>
  <c r="S218" i="7"/>
  <c r="T218" i="7"/>
  <c r="V218" i="7"/>
  <c r="AB218" i="7"/>
  <c r="AC218" i="7"/>
  <c r="AD218" i="7"/>
  <c r="B219" i="7"/>
  <c r="C219" i="7"/>
  <c r="P219" i="7"/>
  <c r="Q219" i="7"/>
  <c r="R219" i="7"/>
  <c r="S219" i="7"/>
  <c r="T219" i="7"/>
  <c r="V219" i="7"/>
  <c r="AB219" i="7"/>
  <c r="AC219" i="7"/>
  <c r="AD219" i="7"/>
  <c r="B220" i="7"/>
  <c r="C220" i="7"/>
  <c r="P220" i="7"/>
  <c r="Q220" i="7"/>
  <c r="R220" i="7"/>
  <c r="S220" i="7"/>
  <c r="T220" i="7"/>
  <c r="V220" i="7"/>
  <c r="AB220" i="7"/>
  <c r="AC220" i="7"/>
  <c r="AD220" i="7"/>
  <c r="B221" i="7"/>
  <c r="C221" i="7"/>
  <c r="P221" i="7"/>
  <c r="Q221" i="7"/>
  <c r="R221" i="7"/>
  <c r="S221" i="7"/>
  <c r="T221" i="7"/>
  <c r="V221" i="7"/>
  <c r="AB221" i="7"/>
  <c r="AC221" i="7"/>
  <c r="AD221" i="7"/>
  <c r="B222" i="7"/>
  <c r="C222" i="7"/>
  <c r="P222" i="7"/>
  <c r="Q222" i="7"/>
  <c r="R222" i="7"/>
  <c r="S222" i="7"/>
  <c r="T222" i="7"/>
  <c r="V222" i="7"/>
  <c r="AB222" i="7"/>
  <c r="AC222" i="7"/>
  <c r="AD222" i="7"/>
  <c r="B223" i="7"/>
  <c r="C223" i="7"/>
  <c r="P223" i="7"/>
  <c r="Q223" i="7"/>
  <c r="R223" i="7"/>
  <c r="S223" i="7"/>
  <c r="T223" i="7"/>
  <c r="V223" i="7"/>
  <c r="AB223" i="7"/>
  <c r="AC223" i="7"/>
  <c r="AD223" i="7"/>
  <c r="B224" i="7"/>
  <c r="C224" i="7"/>
  <c r="P224" i="7"/>
  <c r="Q224" i="7"/>
  <c r="R224" i="7"/>
  <c r="S224" i="7"/>
  <c r="T224" i="7"/>
  <c r="V224" i="7"/>
  <c r="AB224" i="7"/>
  <c r="AC224" i="7"/>
  <c r="AD224" i="7"/>
  <c r="B225" i="7"/>
  <c r="C225" i="7"/>
  <c r="P225" i="7"/>
  <c r="Q225" i="7"/>
  <c r="R225" i="7"/>
  <c r="S225" i="7"/>
  <c r="T225" i="7"/>
  <c r="V225" i="7"/>
  <c r="AB225" i="7"/>
  <c r="AC225" i="7"/>
  <c r="AD225" i="7"/>
  <c r="B226" i="7"/>
  <c r="C226" i="7"/>
  <c r="P226" i="7"/>
  <c r="Q226" i="7"/>
  <c r="R226" i="7"/>
  <c r="S226" i="7"/>
  <c r="T226" i="7"/>
  <c r="V226" i="7"/>
  <c r="AB226" i="7"/>
  <c r="AC226" i="7"/>
  <c r="AD226" i="7"/>
  <c r="B227" i="7"/>
  <c r="C227" i="7"/>
  <c r="P227" i="7"/>
  <c r="Q227" i="7"/>
  <c r="R227" i="7"/>
  <c r="S227" i="7"/>
  <c r="T227" i="7"/>
  <c r="V227" i="7"/>
  <c r="AB227" i="7"/>
  <c r="AC227" i="7"/>
  <c r="AD227" i="7"/>
  <c r="B228" i="7"/>
  <c r="C228" i="7"/>
  <c r="P228" i="7"/>
  <c r="Q228" i="7"/>
  <c r="R228" i="7"/>
  <c r="S228" i="7"/>
  <c r="T228" i="7"/>
  <c r="V228" i="7"/>
  <c r="AB228" i="7"/>
  <c r="AC228" i="7"/>
  <c r="AD228" i="7"/>
  <c r="B229" i="7"/>
  <c r="C229" i="7"/>
  <c r="P229" i="7"/>
  <c r="Q229" i="7"/>
  <c r="R229" i="7"/>
  <c r="S229" i="7"/>
  <c r="T229" i="7"/>
  <c r="V229" i="7"/>
  <c r="AB229" i="7"/>
  <c r="AC229" i="7"/>
  <c r="AD229" i="7"/>
  <c r="B230" i="7"/>
  <c r="C230" i="7"/>
  <c r="P230" i="7"/>
  <c r="Q230" i="7"/>
  <c r="R230" i="7"/>
  <c r="S230" i="7"/>
  <c r="T230" i="7"/>
  <c r="V230" i="7"/>
  <c r="AB230" i="7"/>
  <c r="AC230" i="7"/>
  <c r="AD230" i="7"/>
  <c r="B231" i="7"/>
  <c r="C231" i="7"/>
  <c r="P231" i="7"/>
  <c r="Q231" i="7"/>
  <c r="R231" i="7"/>
  <c r="S231" i="7"/>
  <c r="T231" i="7"/>
  <c r="V231" i="7"/>
  <c r="AB231" i="7"/>
  <c r="AC231" i="7"/>
  <c r="AD231" i="7"/>
  <c r="B232" i="7"/>
  <c r="C232" i="7"/>
  <c r="P232" i="7"/>
  <c r="Q232" i="7"/>
  <c r="R232" i="7"/>
  <c r="S232" i="7"/>
  <c r="T232" i="7"/>
  <c r="V232" i="7"/>
  <c r="AB232" i="7"/>
  <c r="AC232" i="7"/>
  <c r="AD232" i="7"/>
  <c r="B233" i="7"/>
  <c r="C233" i="7"/>
  <c r="P233" i="7"/>
  <c r="Q233" i="7"/>
  <c r="R233" i="7"/>
  <c r="S233" i="7"/>
  <c r="T233" i="7"/>
  <c r="V233" i="7"/>
  <c r="AB233" i="7"/>
  <c r="AC233" i="7"/>
  <c r="AD233" i="7"/>
  <c r="B234" i="7"/>
  <c r="C234" i="7"/>
  <c r="P234" i="7"/>
  <c r="Q234" i="7"/>
  <c r="R234" i="7"/>
  <c r="S234" i="7"/>
  <c r="T234" i="7"/>
  <c r="V234" i="7"/>
  <c r="AB234" i="7"/>
  <c r="AC234" i="7"/>
  <c r="AD234" i="7"/>
  <c r="B235" i="7"/>
  <c r="C235" i="7"/>
  <c r="P235" i="7"/>
  <c r="Q235" i="7"/>
  <c r="R235" i="7"/>
  <c r="S235" i="7"/>
  <c r="T235" i="7"/>
  <c r="V235" i="7"/>
  <c r="AB235" i="7"/>
  <c r="AC235" i="7"/>
  <c r="AD235" i="7"/>
  <c r="B236" i="7"/>
  <c r="C236" i="7"/>
  <c r="P236" i="7"/>
  <c r="Q236" i="7"/>
  <c r="R236" i="7"/>
  <c r="S236" i="7"/>
  <c r="T236" i="7"/>
  <c r="V236" i="7"/>
  <c r="AB236" i="7"/>
  <c r="AC236" i="7"/>
  <c r="AD236" i="7"/>
  <c r="B237" i="7"/>
  <c r="C237" i="7"/>
  <c r="P237" i="7"/>
  <c r="Q237" i="7"/>
  <c r="R237" i="7"/>
  <c r="S237" i="7"/>
  <c r="T237" i="7"/>
  <c r="V237" i="7"/>
  <c r="AB237" i="7"/>
  <c r="AC237" i="7"/>
  <c r="AD237" i="7"/>
  <c r="B238" i="7"/>
  <c r="C238" i="7"/>
  <c r="P238" i="7"/>
  <c r="Q238" i="7"/>
  <c r="R238" i="7"/>
  <c r="S238" i="7"/>
  <c r="T238" i="7"/>
  <c r="V238" i="7"/>
  <c r="AB238" i="7"/>
  <c r="AC238" i="7"/>
  <c r="AD238" i="7"/>
  <c r="B239" i="7"/>
  <c r="C239" i="7"/>
  <c r="P239" i="7"/>
  <c r="Q239" i="7"/>
  <c r="R239" i="7"/>
  <c r="S239" i="7"/>
  <c r="T239" i="7"/>
  <c r="V239" i="7"/>
  <c r="AB239" i="7"/>
  <c r="AC239" i="7"/>
  <c r="AD239" i="7"/>
  <c r="B240" i="7"/>
  <c r="C240" i="7"/>
  <c r="P240" i="7"/>
  <c r="Q240" i="7"/>
  <c r="R240" i="7"/>
  <c r="S240" i="7"/>
  <c r="T240" i="7"/>
  <c r="V240" i="7"/>
  <c r="AB240" i="7"/>
  <c r="AC240" i="7"/>
  <c r="AD240" i="7"/>
  <c r="B241" i="7"/>
  <c r="C241" i="7"/>
  <c r="P241" i="7"/>
  <c r="Q241" i="7"/>
  <c r="R241" i="7"/>
  <c r="S241" i="7"/>
  <c r="T241" i="7"/>
  <c r="V241" i="7"/>
  <c r="AB241" i="7"/>
  <c r="AC241" i="7"/>
  <c r="AD241" i="7"/>
  <c r="B242" i="7"/>
  <c r="C242" i="7"/>
  <c r="P242" i="7"/>
  <c r="Q242" i="7"/>
  <c r="R242" i="7"/>
  <c r="S242" i="7"/>
  <c r="T242" i="7"/>
  <c r="V242" i="7"/>
  <c r="AB242" i="7"/>
  <c r="AC242" i="7"/>
  <c r="AD242" i="7"/>
  <c r="B243" i="7"/>
  <c r="C243" i="7"/>
  <c r="P243" i="7"/>
  <c r="Q243" i="7"/>
  <c r="R243" i="7"/>
  <c r="S243" i="7"/>
  <c r="T243" i="7"/>
  <c r="V243" i="7"/>
  <c r="AB243" i="7"/>
  <c r="AC243" i="7"/>
  <c r="AD243" i="7"/>
  <c r="B244" i="7"/>
  <c r="C244" i="7"/>
  <c r="P244" i="7"/>
  <c r="Q244" i="7"/>
  <c r="R244" i="7"/>
  <c r="S244" i="7"/>
  <c r="T244" i="7"/>
  <c r="V244" i="7"/>
  <c r="AB244" i="7"/>
  <c r="AC244" i="7"/>
  <c r="AD244" i="7"/>
  <c r="B245" i="7"/>
  <c r="C245" i="7"/>
  <c r="P245" i="7"/>
  <c r="Q245" i="7"/>
  <c r="R245" i="7"/>
  <c r="S245" i="7"/>
  <c r="T245" i="7"/>
  <c r="V245" i="7"/>
  <c r="AB245" i="7"/>
  <c r="AC245" i="7"/>
  <c r="AD245" i="7"/>
  <c r="B246" i="7"/>
  <c r="C246" i="7"/>
  <c r="P246" i="7"/>
  <c r="Q246" i="7"/>
  <c r="R246" i="7"/>
  <c r="S246" i="7"/>
  <c r="T246" i="7"/>
  <c r="V246" i="7"/>
  <c r="AB246" i="7"/>
  <c r="AC246" i="7"/>
  <c r="AD246" i="7"/>
  <c r="B247" i="7"/>
  <c r="C247" i="7"/>
  <c r="P247" i="7"/>
  <c r="Q247" i="7"/>
  <c r="R247" i="7"/>
  <c r="S247" i="7"/>
  <c r="T247" i="7"/>
  <c r="V247" i="7"/>
  <c r="AB247" i="7"/>
  <c r="AC247" i="7"/>
  <c r="AD247" i="7"/>
  <c r="B248" i="7"/>
  <c r="C248" i="7"/>
  <c r="P248" i="7"/>
  <c r="Q248" i="7"/>
  <c r="R248" i="7"/>
  <c r="S248" i="7"/>
  <c r="T248" i="7"/>
  <c r="V248" i="7"/>
  <c r="AB248" i="7"/>
  <c r="AC248" i="7"/>
  <c r="AD248" i="7"/>
  <c r="B249" i="7"/>
  <c r="C249" i="7"/>
  <c r="P249" i="7"/>
  <c r="Q249" i="7"/>
  <c r="R249" i="7"/>
  <c r="S249" i="7"/>
  <c r="T249" i="7"/>
  <c r="V249" i="7"/>
  <c r="AB249" i="7"/>
  <c r="AC249" i="7"/>
  <c r="AD249" i="7"/>
  <c r="B250" i="7"/>
  <c r="C250" i="7"/>
  <c r="P250" i="7"/>
  <c r="Q250" i="7"/>
  <c r="R250" i="7"/>
  <c r="S250" i="7"/>
  <c r="T250" i="7"/>
  <c r="V250" i="7"/>
  <c r="AB250" i="7"/>
  <c r="AC250" i="7"/>
  <c r="AD250" i="7"/>
  <c r="B251" i="7"/>
  <c r="C251" i="7"/>
  <c r="P251" i="7"/>
  <c r="Q251" i="7"/>
  <c r="R251" i="7"/>
  <c r="S251" i="7"/>
  <c r="T251" i="7"/>
  <c r="V251" i="7"/>
  <c r="AB251" i="7"/>
  <c r="AC251" i="7"/>
  <c r="AD251" i="7"/>
  <c r="B252" i="7"/>
  <c r="C252" i="7"/>
  <c r="P252" i="7"/>
  <c r="Q252" i="7"/>
  <c r="R252" i="7"/>
  <c r="S252" i="7"/>
  <c r="T252" i="7"/>
  <c r="V252" i="7"/>
  <c r="AB252" i="7"/>
  <c r="AC252" i="7"/>
  <c r="AD252" i="7"/>
  <c r="B253" i="7"/>
  <c r="C253" i="7"/>
  <c r="P253" i="7"/>
  <c r="Q253" i="7"/>
  <c r="R253" i="7"/>
  <c r="S253" i="7"/>
  <c r="T253" i="7"/>
  <c r="V253" i="7"/>
  <c r="AB253" i="7"/>
  <c r="AC253" i="7"/>
  <c r="AD253" i="7"/>
  <c r="B254" i="7"/>
  <c r="C254" i="7"/>
  <c r="P254" i="7"/>
  <c r="Q254" i="7"/>
  <c r="R254" i="7"/>
  <c r="S254" i="7"/>
  <c r="T254" i="7"/>
  <c r="V254" i="7"/>
  <c r="AB254" i="7"/>
  <c r="AC254" i="7"/>
  <c r="AD254" i="7"/>
  <c r="B255" i="7"/>
  <c r="C255" i="7"/>
  <c r="P255" i="7"/>
  <c r="Q255" i="7"/>
  <c r="R255" i="7"/>
  <c r="S255" i="7"/>
  <c r="T255" i="7"/>
  <c r="V255" i="7"/>
  <c r="AB255" i="7"/>
  <c r="AC255" i="7"/>
  <c r="AD255" i="7"/>
  <c r="B256" i="7"/>
  <c r="C256" i="7"/>
  <c r="P256" i="7"/>
  <c r="Q256" i="7"/>
  <c r="R256" i="7"/>
  <c r="S256" i="7"/>
  <c r="T256" i="7"/>
  <c r="V256" i="7"/>
  <c r="AB256" i="7"/>
  <c r="AC256" i="7"/>
  <c r="AD256" i="7"/>
  <c r="B257" i="7"/>
  <c r="C257" i="7"/>
  <c r="P257" i="7"/>
  <c r="Q257" i="7"/>
  <c r="R257" i="7"/>
  <c r="S257" i="7"/>
  <c r="T257" i="7"/>
  <c r="V257" i="7"/>
  <c r="AB257" i="7"/>
  <c r="AC257" i="7"/>
  <c r="AD257" i="7"/>
  <c r="B258" i="7"/>
  <c r="C258" i="7"/>
  <c r="P258" i="7"/>
  <c r="Q258" i="7"/>
  <c r="R258" i="7"/>
  <c r="S258" i="7"/>
  <c r="T258" i="7"/>
  <c r="V258" i="7"/>
  <c r="AB258" i="7"/>
  <c r="AC258" i="7"/>
  <c r="AD258" i="7"/>
  <c r="B259" i="7"/>
  <c r="C259" i="7"/>
  <c r="P259" i="7"/>
  <c r="Q259" i="7"/>
  <c r="R259" i="7"/>
  <c r="S259" i="7"/>
  <c r="T259" i="7"/>
  <c r="V259" i="7"/>
  <c r="AB259" i="7"/>
  <c r="AC259" i="7"/>
  <c r="AD259" i="7"/>
  <c r="B260" i="7"/>
  <c r="C260" i="7"/>
  <c r="P260" i="7"/>
  <c r="Q260" i="7"/>
  <c r="R260" i="7"/>
  <c r="S260" i="7"/>
  <c r="T260" i="7"/>
  <c r="V260" i="7"/>
  <c r="AB260" i="7"/>
  <c r="AC260" i="7"/>
  <c r="AD260" i="7"/>
  <c r="B261" i="7"/>
  <c r="C261" i="7"/>
  <c r="P261" i="7"/>
  <c r="Q261" i="7"/>
  <c r="R261" i="7"/>
  <c r="S261" i="7"/>
  <c r="T261" i="7"/>
  <c r="V261" i="7"/>
  <c r="AB261" i="7"/>
  <c r="AC261" i="7"/>
  <c r="AD261" i="7"/>
  <c r="B262" i="7"/>
  <c r="C262" i="7"/>
  <c r="P262" i="7"/>
  <c r="Q262" i="7"/>
  <c r="R262" i="7"/>
  <c r="S262" i="7"/>
  <c r="T262" i="7"/>
  <c r="V262" i="7"/>
  <c r="AB262" i="7"/>
  <c r="AC262" i="7"/>
  <c r="AD262" i="7"/>
  <c r="B263" i="7"/>
  <c r="C263" i="7"/>
  <c r="P263" i="7"/>
  <c r="Q263" i="7"/>
  <c r="R263" i="7"/>
  <c r="S263" i="7"/>
  <c r="T263" i="7"/>
  <c r="V263" i="7"/>
  <c r="AB263" i="7"/>
  <c r="AC263" i="7"/>
  <c r="AD263" i="7"/>
  <c r="B264" i="7"/>
  <c r="C264" i="7"/>
  <c r="P264" i="7"/>
  <c r="Q264" i="7"/>
  <c r="R264" i="7"/>
  <c r="S264" i="7"/>
  <c r="T264" i="7"/>
  <c r="V264" i="7"/>
  <c r="AB264" i="7"/>
  <c r="AC264" i="7"/>
  <c r="AD264" i="7"/>
  <c r="B265" i="7"/>
  <c r="C265" i="7"/>
  <c r="P265" i="7"/>
  <c r="Q265" i="7"/>
  <c r="R265" i="7"/>
  <c r="S265" i="7"/>
  <c r="T265" i="7"/>
  <c r="V265" i="7"/>
  <c r="AB265" i="7"/>
  <c r="AC265" i="7"/>
  <c r="AD265" i="7"/>
  <c r="B266" i="7"/>
  <c r="C266" i="7"/>
  <c r="P266" i="7"/>
  <c r="Q266" i="7"/>
  <c r="R266" i="7"/>
  <c r="S266" i="7"/>
  <c r="T266" i="7"/>
  <c r="V266" i="7"/>
  <c r="AB266" i="7"/>
  <c r="AC266" i="7"/>
  <c r="AD266" i="7"/>
  <c r="B267" i="7"/>
  <c r="C267" i="7"/>
  <c r="P267" i="7"/>
  <c r="Q267" i="7"/>
  <c r="R267" i="7"/>
  <c r="S267" i="7"/>
  <c r="T267" i="7"/>
  <c r="V267" i="7"/>
  <c r="AB267" i="7"/>
  <c r="AC267" i="7"/>
  <c r="AD267" i="7"/>
  <c r="B268" i="7"/>
  <c r="C268" i="7"/>
  <c r="P268" i="7"/>
  <c r="Q268" i="7"/>
  <c r="R268" i="7"/>
  <c r="S268" i="7"/>
  <c r="T268" i="7"/>
  <c r="V268" i="7"/>
  <c r="AB268" i="7"/>
  <c r="AC268" i="7"/>
  <c r="AD268" i="7"/>
  <c r="B269" i="7"/>
  <c r="C269" i="7"/>
  <c r="P269" i="7"/>
  <c r="Q269" i="7"/>
  <c r="R269" i="7"/>
  <c r="S269" i="7"/>
  <c r="T269" i="7"/>
  <c r="V269" i="7"/>
  <c r="AB269" i="7"/>
  <c r="AC269" i="7"/>
  <c r="AD269" i="7"/>
  <c r="B270" i="7"/>
  <c r="C270" i="7"/>
  <c r="P270" i="7"/>
  <c r="Q270" i="7"/>
  <c r="R270" i="7"/>
  <c r="S270" i="7"/>
  <c r="T270" i="7"/>
  <c r="V270" i="7"/>
  <c r="AB270" i="7"/>
  <c r="AC270" i="7"/>
  <c r="AD270" i="7"/>
  <c r="B271" i="7"/>
  <c r="C271" i="7"/>
  <c r="P271" i="7"/>
  <c r="Q271" i="7"/>
  <c r="R271" i="7"/>
  <c r="S271" i="7"/>
  <c r="T271" i="7"/>
  <c r="V271" i="7"/>
  <c r="AB271" i="7"/>
  <c r="AC271" i="7"/>
  <c r="AD271" i="7"/>
  <c r="B272" i="7"/>
  <c r="C272" i="7"/>
  <c r="P272" i="7"/>
  <c r="Q272" i="7"/>
  <c r="R272" i="7"/>
  <c r="S272" i="7"/>
  <c r="T272" i="7"/>
  <c r="V272" i="7"/>
  <c r="AB272" i="7"/>
  <c r="AC272" i="7"/>
  <c r="AD272" i="7"/>
  <c r="B273" i="7"/>
  <c r="C273" i="7"/>
  <c r="P273" i="7"/>
  <c r="Q273" i="7"/>
  <c r="R273" i="7"/>
  <c r="S273" i="7"/>
  <c r="T273" i="7"/>
  <c r="V273" i="7"/>
  <c r="AB273" i="7"/>
  <c r="AC273" i="7"/>
  <c r="AD273" i="7"/>
  <c r="B274" i="7"/>
  <c r="C274" i="7"/>
  <c r="P274" i="7"/>
  <c r="Q274" i="7"/>
  <c r="R274" i="7"/>
  <c r="S274" i="7"/>
  <c r="T274" i="7"/>
  <c r="V274" i="7"/>
  <c r="AB274" i="7"/>
  <c r="AC274" i="7"/>
  <c r="AD274" i="7"/>
  <c r="B275" i="7"/>
  <c r="C275" i="7"/>
  <c r="P275" i="7"/>
  <c r="Q275" i="7"/>
  <c r="R275" i="7"/>
  <c r="S275" i="7"/>
  <c r="T275" i="7"/>
  <c r="V275" i="7"/>
  <c r="AB275" i="7"/>
  <c r="AC275" i="7"/>
  <c r="AD275" i="7"/>
  <c r="B276" i="7"/>
  <c r="C276" i="7"/>
  <c r="P276" i="7"/>
  <c r="Q276" i="7"/>
  <c r="R276" i="7"/>
  <c r="S276" i="7"/>
  <c r="T276" i="7"/>
  <c r="V276" i="7"/>
  <c r="AB276" i="7"/>
  <c r="AC276" i="7"/>
  <c r="AD276" i="7"/>
  <c r="B277" i="7"/>
  <c r="C277" i="7"/>
  <c r="P277" i="7"/>
  <c r="Q277" i="7"/>
  <c r="R277" i="7"/>
  <c r="S277" i="7"/>
  <c r="T277" i="7"/>
  <c r="V277" i="7"/>
  <c r="AB277" i="7"/>
  <c r="AC277" i="7"/>
  <c r="AD277" i="7"/>
  <c r="B278" i="7"/>
  <c r="C278" i="7"/>
  <c r="P278" i="7"/>
  <c r="Q278" i="7"/>
  <c r="R278" i="7"/>
  <c r="S278" i="7"/>
  <c r="T278" i="7"/>
  <c r="V278" i="7"/>
  <c r="AB278" i="7"/>
  <c r="AC278" i="7"/>
  <c r="AD278" i="7"/>
  <c r="B279" i="7"/>
  <c r="C279" i="7"/>
  <c r="P279" i="7"/>
  <c r="Q279" i="7"/>
  <c r="R279" i="7"/>
  <c r="S279" i="7"/>
  <c r="T279" i="7"/>
  <c r="V279" i="7"/>
  <c r="AB279" i="7"/>
  <c r="AC279" i="7"/>
  <c r="AD279" i="7"/>
  <c r="B280" i="7"/>
  <c r="C280" i="7"/>
  <c r="P280" i="7"/>
  <c r="Q280" i="7"/>
  <c r="R280" i="7"/>
  <c r="S280" i="7"/>
  <c r="T280" i="7"/>
  <c r="V280" i="7"/>
  <c r="AB280" i="7"/>
  <c r="AC280" i="7"/>
  <c r="AD280" i="7"/>
  <c r="B281" i="7"/>
  <c r="C281" i="7"/>
  <c r="P281" i="7"/>
  <c r="Q281" i="7"/>
  <c r="R281" i="7"/>
  <c r="S281" i="7"/>
  <c r="T281" i="7"/>
  <c r="V281" i="7"/>
  <c r="AB281" i="7"/>
  <c r="AC281" i="7"/>
  <c r="AD281" i="7"/>
  <c r="B282" i="7"/>
  <c r="C282" i="7"/>
  <c r="P282" i="7"/>
  <c r="Q282" i="7"/>
  <c r="R282" i="7"/>
  <c r="S282" i="7"/>
  <c r="T282" i="7"/>
  <c r="V282" i="7"/>
  <c r="AB282" i="7"/>
  <c r="AC282" i="7"/>
  <c r="AD282" i="7"/>
  <c r="B283" i="7"/>
  <c r="C283" i="7"/>
  <c r="P283" i="7"/>
  <c r="Q283" i="7"/>
  <c r="R283" i="7"/>
  <c r="S283" i="7"/>
  <c r="T283" i="7"/>
  <c r="V283" i="7"/>
  <c r="AB283" i="7"/>
  <c r="AC283" i="7"/>
  <c r="AD283" i="7"/>
  <c r="B284" i="7"/>
  <c r="C284" i="7"/>
  <c r="P284" i="7"/>
  <c r="Q284" i="7"/>
  <c r="R284" i="7"/>
  <c r="S284" i="7"/>
  <c r="T284" i="7"/>
  <c r="V284" i="7"/>
  <c r="AB284" i="7"/>
  <c r="AC284" i="7"/>
  <c r="AD284" i="7"/>
  <c r="B285" i="7"/>
  <c r="C285" i="7"/>
  <c r="P285" i="7"/>
  <c r="Q285" i="7"/>
  <c r="R285" i="7"/>
  <c r="S285" i="7"/>
  <c r="T285" i="7"/>
  <c r="V285" i="7"/>
  <c r="AB285" i="7"/>
  <c r="AC285" i="7"/>
  <c r="AD285" i="7"/>
  <c r="B286" i="7"/>
  <c r="C286" i="7"/>
  <c r="P286" i="7"/>
  <c r="Q286" i="7"/>
  <c r="R286" i="7"/>
  <c r="S286" i="7"/>
  <c r="T286" i="7"/>
  <c r="V286" i="7"/>
  <c r="AB286" i="7"/>
  <c r="AC286" i="7"/>
  <c r="AD286" i="7"/>
  <c r="B287" i="7"/>
  <c r="C287" i="7"/>
  <c r="P287" i="7"/>
  <c r="Q287" i="7"/>
  <c r="R287" i="7"/>
  <c r="S287" i="7"/>
  <c r="T287" i="7"/>
  <c r="V287" i="7"/>
  <c r="AB287" i="7"/>
  <c r="AC287" i="7"/>
  <c r="AD287" i="7"/>
  <c r="B288" i="7"/>
  <c r="C288" i="7"/>
  <c r="P288" i="7"/>
  <c r="Q288" i="7"/>
  <c r="R288" i="7"/>
  <c r="S288" i="7"/>
  <c r="T288" i="7"/>
  <c r="V288" i="7"/>
  <c r="AB288" i="7"/>
  <c r="AC288" i="7"/>
  <c r="AD288" i="7"/>
  <c r="B289" i="7"/>
  <c r="C289" i="7"/>
  <c r="P289" i="7"/>
  <c r="Q289" i="7"/>
  <c r="R289" i="7"/>
  <c r="S289" i="7"/>
  <c r="T289" i="7"/>
  <c r="V289" i="7"/>
  <c r="AB289" i="7"/>
  <c r="AC289" i="7"/>
  <c r="AD289" i="7"/>
  <c r="B290" i="7"/>
  <c r="C290" i="7"/>
  <c r="P290" i="7"/>
  <c r="Q290" i="7"/>
  <c r="R290" i="7"/>
  <c r="S290" i="7"/>
  <c r="T290" i="7"/>
  <c r="V290" i="7"/>
  <c r="AB290" i="7"/>
  <c r="AC290" i="7"/>
  <c r="AD290" i="7"/>
  <c r="B291" i="7"/>
  <c r="C291" i="7"/>
  <c r="P291" i="7"/>
  <c r="Q291" i="7"/>
  <c r="R291" i="7"/>
  <c r="S291" i="7"/>
  <c r="T291" i="7"/>
  <c r="V291" i="7"/>
  <c r="AB291" i="7"/>
  <c r="AC291" i="7"/>
  <c r="AD291" i="7"/>
  <c r="B292" i="7"/>
  <c r="C292" i="7"/>
  <c r="P292" i="7"/>
  <c r="Q292" i="7"/>
  <c r="R292" i="7"/>
  <c r="S292" i="7"/>
  <c r="T292" i="7"/>
  <c r="V292" i="7"/>
  <c r="AB292" i="7"/>
  <c r="AC292" i="7"/>
  <c r="AD292" i="7"/>
  <c r="B293" i="7"/>
  <c r="C293" i="7"/>
  <c r="P293" i="7"/>
  <c r="Q293" i="7"/>
  <c r="R293" i="7"/>
  <c r="S293" i="7"/>
  <c r="T293" i="7"/>
  <c r="V293" i="7"/>
  <c r="AB293" i="7"/>
  <c r="AC293" i="7"/>
  <c r="AD293" i="7"/>
  <c r="B294" i="7"/>
  <c r="C294" i="7"/>
  <c r="P294" i="7"/>
  <c r="Q294" i="7"/>
  <c r="R294" i="7"/>
  <c r="S294" i="7"/>
  <c r="T294" i="7"/>
  <c r="V294" i="7"/>
  <c r="AB294" i="7"/>
  <c r="AC294" i="7"/>
  <c r="AD294" i="7"/>
  <c r="B295" i="7"/>
  <c r="C295" i="7"/>
  <c r="P295" i="7"/>
  <c r="Q295" i="7"/>
  <c r="R295" i="7"/>
  <c r="S295" i="7"/>
  <c r="T295" i="7"/>
  <c r="V295" i="7"/>
  <c r="AB295" i="7"/>
  <c r="AC295" i="7"/>
  <c r="AD295" i="7"/>
  <c r="B296" i="7"/>
  <c r="C296" i="7"/>
  <c r="P296" i="7"/>
  <c r="Q296" i="7"/>
  <c r="R296" i="7"/>
  <c r="S296" i="7"/>
  <c r="T296" i="7"/>
  <c r="V296" i="7"/>
  <c r="AB296" i="7"/>
  <c r="AC296" i="7"/>
  <c r="AD296" i="7"/>
  <c r="B297" i="7"/>
  <c r="C297" i="7"/>
  <c r="P297" i="7"/>
  <c r="Q297" i="7"/>
  <c r="R297" i="7"/>
  <c r="S297" i="7"/>
  <c r="T297" i="7"/>
  <c r="V297" i="7"/>
  <c r="AB297" i="7"/>
  <c r="AC297" i="7"/>
  <c r="AD297" i="7"/>
  <c r="B298" i="7"/>
  <c r="C298" i="7"/>
  <c r="P298" i="7"/>
  <c r="Q298" i="7"/>
  <c r="R298" i="7"/>
  <c r="S298" i="7"/>
  <c r="T298" i="7"/>
  <c r="V298" i="7"/>
  <c r="AB298" i="7"/>
  <c r="AC298" i="7"/>
  <c r="AD298" i="7"/>
  <c r="B299" i="7"/>
  <c r="C299" i="7"/>
  <c r="P299" i="7"/>
  <c r="Q299" i="7"/>
  <c r="R299" i="7"/>
  <c r="S299" i="7"/>
  <c r="T299" i="7"/>
  <c r="V299" i="7"/>
  <c r="AB299" i="7"/>
  <c r="AC299" i="7"/>
  <c r="AD299" i="7"/>
  <c r="B300" i="7"/>
  <c r="C300" i="7"/>
  <c r="P300" i="7"/>
  <c r="Q300" i="7"/>
  <c r="R300" i="7"/>
  <c r="S300" i="7"/>
  <c r="T300" i="7"/>
  <c r="V300" i="7"/>
  <c r="AB300" i="7"/>
  <c r="AC300" i="7"/>
  <c r="AD300" i="7"/>
  <c r="B301" i="7"/>
  <c r="C301" i="7"/>
  <c r="P301" i="7"/>
  <c r="Q301" i="7"/>
  <c r="R301" i="7"/>
  <c r="S301" i="7"/>
  <c r="T301" i="7"/>
  <c r="V301" i="7"/>
  <c r="AB301" i="7"/>
  <c r="AC301" i="7"/>
  <c r="AD301" i="7"/>
  <c r="B302" i="7"/>
  <c r="C302" i="7"/>
  <c r="P302" i="7"/>
  <c r="Q302" i="7"/>
  <c r="R302" i="7"/>
  <c r="S302" i="7"/>
  <c r="T302" i="7"/>
  <c r="V302" i="7"/>
  <c r="AB302" i="7"/>
  <c r="AC302" i="7"/>
  <c r="AD302" i="7"/>
  <c r="B303" i="7"/>
  <c r="C303" i="7"/>
  <c r="P303" i="7"/>
  <c r="Q303" i="7"/>
  <c r="R303" i="7"/>
  <c r="S303" i="7"/>
  <c r="T303" i="7"/>
  <c r="V303" i="7"/>
  <c r="AB303" i="7"/>
  <c r="AC303" i="7"/>
  <c r="AD303" i="7"/>
  <c r="B304" i="7"/>
  <c r="C304" i="7"/>
  <c r="P304" i="7"/>
  <c r="Q304" i="7"/>
  <c r="R304" i="7"/>
  <c r="S304" i="7"/>
  <c r="T304" i="7"/>
  <c r="V304" i="7"/>
  <c r="AB304" i="7"/>
  <c r="AC304" i="7"/>
  <c r="AD304" i="7"/>
  <c r="B305" i="7"/>
  <c r="C305" i="7"/>
  <c r="P305" i="7"/>
  <c r="Q305" i="7"/>
  <c r="R305" i="7"/>
  <c r="S305" i="7"/>
  <c r="T305" i="7"/>
  <c r="V305" i="7"/>
  <c r="AB305" i="7"/>
  <c r="AC305" i="7"/>
  <c r="AD305" i="7"/>
  <c r="B306" i="7"/>
  <c r="C306" i="7"/>
  <c r="P306" i="7"/>
  <c r="Q306" i="7"/>
  <c r="R306" i="7"/>
  <c r="S306" i="7"/>
  <c r="T306" i="7"/>
  <c r="V306" i="7"/>
  <c r="AB306" i="7"/>
  <c r="AC306" i="7"/>
  <c r="AD306" i="7"/>
  <c r="B307" i="7"/>
  <c r="C307" i="7"/>
  <c r="P307" i="7"/>
  <c r="Q307" i="7"/>
  <c r="R307" i="7"/>
  <c r="S307" i="7"/>
  <c r="T307" i="7"/>
  <c r="V307" i="7"/>
  <c r="AB307" i="7"/>
  <c r="AC307" i="7"/>
  <c r="AD307" i="7"/>
  <c r="B308" i="7"/>
  <c r="C308" i="7"/>
  <c r="P308" i="7"/>
  <c r="Q308" i="7"/>
  <c r="R308" i="7"/>
  <c r="S308" i="7"/>
  <c r="T308" i="7"/>
  <c r="V308" i="7"/>
  <c r="AB308" i="7"/>
  <c r="AC308" i="7"/>
  <c r="AD308" i="7"/>
  <c r="B309" i="7"/>
  <c r="C309" i="7"/>
  <c r="P309" i="7"/>
  <c r="Q309" i="7"/>
  <c r="R309" i="7"/>
  <c r="S309" i="7"/>
  <c r="T309" i="7"/>
  <c r="V309" i="7"/>
  <c r="AB309" i="7"/>
  <c r="AC309" i="7"/>
  <c r="AD309" i="7"/>
  <c r="B310" i="7"/>
  <c r="C310" i="7"/>
  <c r="P310" i="7"/>
  <c r="Q310" i="7"/>
  <c r="R310" i="7"/>
  <c r="S310" i="7"/>
  <c r="T310" i="7"/>
  <c r="V310" i="7"/>
  <c r="AB310" i="7"/>
  <c r="AC310" i="7"/>
  <c r="AD310" i="7"/>
  <c r="B311" i="7"/>
  <c r="C311" i="7"/>
  <c r="P311" i="7"/>
  <c r="Q311" i="7"/>
  <c r="R311" i="7"/>
  <c r="S311" i="7"/>
  <c r="T311" i="7"/>
  <c r="V311" i="7"/>
  <c r="AB311" i="7"/>
  <c r="AC311" i="7"/>
  <c r="AD311" i="7"/>
  <c r="B312" i="7"/>
  <c r="C312" i="7"/>
  <c r="P312" i="7"/>
  <c r="Q312" i="7"/>
  <c r="R312" i="7"/>
  <c r="S312" i="7"/>
  <c r="T312" i="7"/>
  <c r="V312" i="7"/>
  <c r="AB312" i="7"/>
  <c r="AC312" i="7"/>
  <c r="AD312" i="7"/>
  <c r="B313" i="7"/>
  <c r="C313" i="7"/>
  <c r="P313" i="7"/>
  <c r="Q313" i="7"/>
  <c r="R313" i="7"/>
  <c r="S313" i="7"/>
  <c r="T313" i="7"/>
  <c r="V313" i="7"/>
  <c r="AB313" i="7"/>
  <c r="AC313" i="7"/>
  <c r="AD313" i="7"/>
  <c r="B314" i="7"/>
  <c r="C314" i="7"/>
  <c r="P314" i="7"/>
  <c r="Q314" i="7"/>
  <c r="R314" i="7"/>
  <c r="S314" i="7"/>
  <c r="T314" i="7"/>
  <c r="V314" i="7"/>
  <c r="AB314" i="7"/>
  <c r="AC314" i="7"/>
  <c r="AD314" i="7"/>
  <c r="B315" i="7"/>
  <c r="C315" i="7"/>
  <c r="P315" i="7"/>
  <c r="Q315" i="7"/>
  <c r="R315" i="7"/>
  <c r="S315" i="7"/>
  <c r="T315" i="7"/>
  <c r="V315" i="7"/>
  <c r="AB315" i="7"/>
  <c r="AC315" i="7"/>
  <c r="AD315" i="7"/>
  <c r="B316" i="7"/>
  <c r="C316" i="7"/>
  <c r="P316" i="7"/>
  <c r="Q316" i="7"/>
  <c r="R316" i="7"/>
  <c r="S316" i="7"/>
  <c r="T316" i="7"/>
  <c r="V316" i="7"/>
  <c r="AB316" i="7"/>
  <c r="AC316" i="7"/>
  <c r="AD316" i="7"/>
  <c r="B317" i="7"/>
  <c r="C317" i="7"/>
  <c r="P317" i="7"/>
  <c r="Q317" i="7"/>
  <c r="R317" i="7"/>
  <c r="S317" i="7"/>
  <c r="T317" i="7"/>
  <c r="V317" i="7"/>
  <c r="AB317" i="7"/>
  <c r="AC317" i="7"/>
  <c r="AD317" i="7"/>
  <c r="B318" i="7"/>
  <c r="C318" i="7"/>
  <c r="P318" i="7"/>
  <c r="Q318" i="7"/>
  <c r="R318" i="7"/>
  <c r="S318" i="7"/>
  <c r="T318" i="7"/>
  <c r="V318" i="7"/>
  <c r="AB318" i="7"/>
  <c r="AC318" i="7"/>
  <c r="AD318" i="7"/>
  <c r="B319" i="7"/>
  <c r="C319" i="7"/>
  <c r="P319" i="7"/>
  <c r="Q319" i="7"/>
  <c r="R319" i="7"/>
  <c r="S319" i="7"/>
  <c r="T319" i="7"/>
  <c r="V319" i="7"/>
  <c r="AB319" i="7"/>
  <c r="AC319" i="7"/>
  <c r="AD319" i="7"/>
  <c r="B320" i="7"/>
  <c r="C320" i="7"/>
  <c r="P320" i="7"/>
  <c r="Q320" i="7"/>
  <c r="R320" i="7"/>
  <c r="S320" i="7"/>
  <c r="T320" i="7"/>
  <c r="V320" i="7"/>
  <c r="AB320" i="7"/>
  <c r="AC320" i="7"/>
  <c r="AD320" i="7"/>
  <c r="B321" i="7"/>
  <c r="C321" i="7"/>
  <c r="P321" i="7"/>
  <c r="Q321" i="7"/>
  <c r="R321" i="7"/>
  <c r="S321" i="7"/>
  <c r="T321" i="7"/>
  <c r="V321" i="7"/>
  <c r="AB321" i="7"/>
  <c r="AC321" i="7"/>
  <c r="AD321" i="7"/>
  <c r="B322" i="7"/>
  <c r="C322" i="7"/>
  <c r="P322" i="7"/>
  <c r="Q322" i="7"/>
  <c r="R322" i="7"/>
  <c r="S322" i="7"/>
  <c r="T322" i="7"/>
  <c r="V322" i="7"/>
  <c r="AB322" i="7"/>
  <c r="AC322" i="7"/>
  <c r="AD322" i="7"/>
  <c r="B323" i="7"/>
  <c r="C323" i="7"/>
  <c r="P323" i="7"/>
  <c r="Q323" i="7"/>
  <c r="R323" i="7"/>
  <c r="S323" i="7"/>
  <c r="T323" i="7"/>
  <c r="V323" i="7"/>
  <c r="AB323" i="7"/>
  <c r="AC323" i="7"/>
  <c r="AD323" i="7"/>
  <c r="B324" i="7"/>
  <c r="C324" i="7"/>
  <c r="P324" i="7"/>
  <c r="Q324" i="7"/>
  <c r="R324" i="7"/>
  <c r="S324" i="7"/>
  <c r="T324" i="7"/>
  <c r="V324" i="7"/>
  <c r="AB324" i="7"/>
  <c r="AC324" i="7"/>
  <c r="AD324" i="7"/>
  <c r="B325" i="7"/>
  <c r="C325" i="7"/>
  <c r="P325" i="7"/>
  <c r="Q325" i="7"/>
  <c r="R325" i="7"/>
  <c r="S325" i="7"/>
  <c r="T325" i="7"/>
  <c r="V325" i="7"/>
  <c r="AB325" i="7"/>
  <c r="AC325" i="7"/>
  <c r="AD325" i="7"/>
  <c r="B326" i="7"/>
  <c r="C326" i="7"/>
  <c r="P326" i="7"/>
  <c r="Q326" i="7"/>
  <c r="R326" i="7"/>
  <c r="S326" i="7"/>
  <c r="T326" i="7"/>
  <c r="V326" i="7"/>
  <c r="AB326" i="7"/>
  <c r="AC326" i="7"/>
  <c r="AD326" i="7"/>
  <c r="B327" i="7"/>
  <c r="C327" i="7"/>
  <c r="P327" i="7"/>
  <c r="Q327" i="7"/>
  <c r="R327" i="7"/>
  <c r="S327" i="7"/>
  <c r="T327" i="7"/>
  <c r="V327" i="7"/>
  <c r="AB327" i="7"/>
  <c r="AC327" i="7"/>
  <c r="AD327" i="7"/>
  <c r="B328" i="7"/>
  <c r="C328" i="7"/>
  <c r="P328" i="7"/>
  <c r="Q328" i="7"/>
  <c r="R328" i="7"/>
  <c r="S328" i="7"/>
  <c r="T328" i="7"/>
  <c r="V328" i="7"/>
  <c r="AB328" i="7"/>
  <c r="AC328" i="7"/>
  <c r="AD328" i="7"/>
  <c r="B329" i="7"/>
  <c r="C329" i="7"/>
  <c r="P329" i="7"/>
  <c r="Q329" i="7"/>
  <c r="R329" i="7"/>
  <c r="S329" i="7"/>
  <c r="T329" i="7"/>
  <c r="V329" i="7"/>
  <c r="AB329" i="7"/>
  <c r="AC329" i="7"/>
  <c r="AD329" i="7"/>
  <c r="B330" i="7"/>
  <c r="C330" i="7"/>
  <c r="P330" i="7"/>
  <c r="Q330" i="7"/>
  <c r="R330" i="7"/>
  <c r="S330" i="7"/>
  <c r="T330" i="7"/>
  <c r="V330" i="7"/>
  <c r="AB330" i="7"/>
  <c r="AC330" i="7"/>
  <c r="AD330" i="7"/>
  <c r="B331" i="7"/>
  <c r="C331" i="7"/>
  <c r="P331" i="7"/>
  <c r="Q331" i="7"/>
  <c r="R331" i="7"/>
  <c r="S331" i="7"/>
  <c r="T331" i="7"/>
  <c r="V331" i="7"/>
  <c r="AB331" i="7"/>
  <c r="AC331" i="7"/>
  <c r="AD331" i="7"/>
  <c r="B332" i="7"/>
  <c r="C332" i="7"/>
  <c r="P332" i="7"/>
  <c r="Q332" i="7"/>
  <c r="R332" i="7"/>
  <c r="S332" i="7"/>
  <c r="T332" i="7"/>
  <c r="V332" i="7"/>
  <c r="AB332" i="7"/>
  <c r="AC332" i="7"/>
  <c r="AD332" i="7"/>
  <c r="B333" i="7"/>
  <c r="C333" i="7"/>
  <c r="P333" i="7"/>
  <c r="Q333" i="7"/>
  <c r="R333" i="7"/>
  <c r="S333" i="7"/>
  <c r="T333" i="7"/>
  <c r="V333" i="7"/>
  <c r="AB333" i="7"/>
  <c r="AC333" i="7"/>
  <c r="AD333" i="7"/>
  <c r="B334" i="7"/>
  <c r="C334" i="7"/>
  <c r="P334" i="7"/>
  <c r="Q334" i="7"/>
  <c r="R334" i="7"/>
  <c r="S334" i="7"/>
  <c r="T334" i="7"/>
  <c r="V334" i="7"/>
  <c r="AB334" i="7"/>
  <c r="AC334" i="7"/>
  <c r="AD334" i="7"/>
  <c r="B335" i="7"/>
  <c r="C335" i="7"/>
  <c r="P335" i="7"/>
  <c r="Q335" i="7"/>
  <c r="R335" i="7"/>
  <c r="S335" i="7"/>
  <c r="T335" i="7"/>
  <c r="V335" i="7"/>
  <c r="AB335" i="7"/>
  <c r="AC335" i="7"/>
  <c r="AD335" i="7"/>
  <c r="B336" i="7"/>
  <c r="C336" i="7"/>
  <c r="P336" i="7"/>
  <c r="Q336" i="7"/>
  <c r="R336" i="7"/>
  <c r="S336" i="7"/>
  <c r="T336" i="7"/>
  <c r="V336" i="7"/>
  <c r="AB336" i="7"/>
  <c r="AC336" i="7"/>
  <c r="AD336" i="7"/>
  <c r="B337" i="7"/>
  <c r="C337" i="7"/>
  <c r="P337" i="7"/>
  <c r="Q337" i="7"/>
  <c r="R337" i="7"/>
  <c r="S337" i="7"/>
  <c r="T337" i="7"/>
  <c r="V337" i="7"/>
  <c r="AB337" i="7"/>
  <c r="AC337" i="7"/>
  <c r="AD337" i="7"/>
  <c r="B338" i="7"/>
  <c r="C338" i="7"/>
  <c r="P338" i="7"/>
  <c r="Q338" i="7"/>
  <c r="R338" i="7"/>
  <c r="S338" i="7"/>
  <c r="T338" i="7"/>
  <c r="V338" i="7"/>
  <c r="AB338" i="7"/>
  <c r="AC338" i="7"/>
  <c r="AD338" i="7"/>
  <c r="B339" i="7"/>
  <c r="C339" i="7"/>
  <c r="P339" i="7"/>
  <c r="Q339" i="7"/>
  <c r="R339" i="7"/>
  <c r="S339" i="7"/>
  <c r="T339" i="7"/>
  <c r="V339" i="7"/>
  <c r="AB339" i="7"/>
  <c r="AC339" i="7"/>
  <c r="AD339" i="7"/>
  <c r="B340" i="7"/>
  <c r="C340" i="7"/>
  <c r="P340" i="7"/>
  <c r="Q340" i="7"/>
  <c r="R340" i="7"/>
  <c r="S340" i="7"/>
  <c r="T340" i="7"/>
  <c r="V340" i="7"/>
  <c r="AB340" i="7"/>
  <c r="AC340" i="7"/>
  <c r="AD340" i="7"/>
  <c r="B341" i="7"/>
  <c r="C341" i="7"/>
  <c r="P341" i="7"/>
  <c r="Q341" i="7"/>
  <c r="R341" i="7"/>
  <c r="S341" i="7"/>
  <c r="T341" i="7"/>
  <c r="V341" i="7"/>
  <c r="AB341" i="7"/>
  <c r="AC341" i="7"/>
  <c r="AD341" i="7"/>
  <c r="B342" i="7"/>
  <c r="C342" i="7"/>
  <c r="P342" i="7"/>
  <c r="Q342" i="7"/>
  <c r="R342" i="7"/>
  <c r="S342" i="7"/>
  <c r="T342" i="7"/>
  <c r="V342" i="7"/>
  <c r="AB342" i="7"/>
  <c r="AC342" i="7"/>
  <c r="AD342" i="7"/>
  <c r="B343" i="7"/>
  <c r="C343" i="7"/>
  <c r="P343" i="7"/>
  <c r="Q343" i="7"/>
  <c r="R343" i="7"/>
  <c r="S343" i="7"/>
  <c r="T343" i="7"/>
  <c r="V343" i="7"/>
  <c r="AB343" i="7"/>
  <c r="AC343" i="7"/>
  <c r="AD343" i="7"/>
  <c r="B344" i="7"/>
  <c r="C344" i="7"/>
  <c r="P344" i="7"/>
  <c r="Q344" i="7"/>
  <c r="R344" i="7"/>
  <c r="S344" i="7"/>
  <c r="T344" i="7"/>
  <c r="V344" i="7"/>
  <c r="AB344" i="7"/>
  <c r="AC344" i="7"/>
  <c r="AD344" i="7"/>
  <c r="B345" i="7"/>
  <c r="C345" i="7"/>
  <c r="P345" i="7"/>
  <c r="Q345" i="7"/>
  <c r="R345" i="7"/>
  <c r="S345" i="7"/>
  <c r="T345" i="7"/>
  <c r="V345" i="7"/>
  <c r="AB345" i="7"/>
  <c r="AC345" i="7"/>
  <c r="AD345" i="7"/>
  <c r="B346" i="7"/>
  <c r="C346" i="7"/>
  <c r="P346" i="7"/>
  <c r="Q346" i="7"/>
  <c r="R346" i="7"/>
  <c r="S346" i="7"/>
  <c r="T346" i="7"/>
  <c r="V346" i="7"/>
  <c r="AB346" i="7"/>
  <c r="AC346" i="7"/>
  <c r="AD346" i="7"/>
  <c r="B347" i="7"/>
  <c r="C347" i="7"/>
  <c r="P347" i="7"/>
  <c r="Q347" i="7"/>
  <c r="R347" i="7"/>
  <c r="S347" i="7"/>
  <c r="T347" i="7"/>
  <c r="V347" i="7"/>
  <c r="AB347" i="7"/>
  <c r="AC347" i="7"/>
  <c r="AD347" i="7"/>
  <c r="B348" i="7"/>
  <c r="C348" i="7"/>
  <c r="P348" i="7"/>
  <c r="Q348" i="7"/>
  <c r="R348" i="7"/>
  <c r="S348" i="7"/>
  <c r="T348" i="7"/>
  <c r="V348" i="7"/>
  <c r="AB348" i="7"/>
  <c r="AC348" i="7"/>
  <c r="AD348" i="7"/>
  <c r="B349" i="7"/>
  <c r="C349" i="7"/>
  <c r="P349" i="7"/>
  <c r="Q349" i="7"/>
  <c r="R349" i="7"/>
  <c r="S349" i="7"/>
  <c r="T349" i="7"/>
  <c r="V349" i="7"/>
  <c r="AB349" i="7"/>
  <c r="AC349" i="7"/>
  <c r="AD349" i="7"/>
  <c r="B350" i="7"/>
  <c r="C350" i="7"/>
  <c r="P350" i="7"/>
  <c r="Q350" i="7"/>
  <c r="R350" i="7"/>
  <c r="S350" i="7"/>
  <c r="T350" i="7"/>
  <c r="V350" i="7"/>
  <c r="AB350" i="7"/>
  <c r="AC350" i="7"/>
  <c r="AD350" i="7"/>
  <c r="B351" i="7"/>
  <c r="C351" i="7"/>
  <c r="P351" i="7"/>
  <c r="Q351" i="7"/>
  <c r="R351" i="7"/>
  <c r="S351" i="7"/>
  <c r="T351" i="7"/>
  <c r="V351" i="7"/>
  <c r="AB351" i="7"/>
  <c r="AC351" i="7"/>
  <c r="AD351" i="7"/>
  <c r="B352" i="7"/>
  <c r="C352" i="7"/>
  <c r="P352" i="7"/>
  <c r="Q352" i="7"/>
  <c r="R352" i="7"/>
  <c r="S352" i="7"/>
  <c r="T352" i="7"/>
  <c r="V352" i="7"/>
  <c r="AB352" i="7"/>
  <c r="AC352" i="7"/>
  <c r="AD352" i="7"/>
  <c r="B353" i="7"/>
  <c r="C353" i="7"/>
  <c r="P353" i="7"/>
  <c r="Q353" i="7"/>
  <c r="R353" i="7"/>
  <c r="S353" i="7"/>
  <c r="T353" i="7"/>
  <c r="V353" i="7"/>
  <c r="AB353" i="7"/>
  <c r="AC353" i="7"/>
  <c r="AD353" i="7"/>
  <c r="B354" i="7"/>
  <c r="C354" i="7"/>
  <c r="P354" i="7"/>
  <c r="Q354" i="7"/>
  <c r="R354" i="7"/>
  <c r="S354" i="7"/>
  <c r="T354" i="7"/>
  <c r="V354" i="7"/>
  <c r="AB354" i="7"/>
  <c r="AC354" i="7"/>
  <c r="AD354" i="7"/>
  <c r="B355" i="7"/>
  <c r="C355" i="7"/>
  <c r="P355" i="7"/>
  <c r="Q355" i="7"/>
  <c r="R355" i="7"/>
  <c r="S355" i="7"/>
  <c r="T355" i="7"/>
  <c r="V355" i="7"/>
  <c r="AB355" i="7"/>
  <c r="AC355" i="7"/>
  <c r="AD355" i="7"/>
  <c r="B356" i="7"/>
  <c r="C356" i="7"/>
  <c r="P356" i="7"/>
  <c r="Q356" i="7"/>
  <c r="R356" i="7"/>
  <c r="S356" i="7"/>
  <c r="T356" i="7"/>
  <c r="V356" i="7"/>
  <c r="AB356" i="7"/>
  <c r="AC356" i="7"/>
  <c r="AD356" i="7"/>
  <c r="B357" i="7"/>
  <c r="C357" i="7"/>
  <c r="P357" i="7"/>
  <c r="Q357" i="7"/>
  <c r="R357" i="7"/>
  <c r="S357" i="7"/>
  <c r="T357" i="7"/>
  <c r="V357" i="7"/>
  <c r="AB357" i="7"/>
  <c r="AC357" i="7"/>
  <c r="AD357" i="7"/>
  <c r="B358" i="7"/>
  <c r="C358" i="7"/>
  <c r="P358" i="7"/>
  <c r="Q358" i="7"/>
  <c r="R358" i="7"/>
  <c r="S358" i="7"/>
  <c r="T358" i="7"/>
  <c r="V358" i="7"/>
  <c r="AB358" i="7"/>
  <c r="AC358" i="7"/>
  <c r="AD358" i="7"/>
  <c r="B359" i="7"/>
  <c r="C359" i="7"/>
  <c r="P359" i="7"/>
  <c r="Q359" i="7"/>
  <c r="R359" i="7"/>
  <c r="S359" i="7"/>
  <c r="T359" i="7"/>
  <c r="V359" i="7"/>
  <c r="AB359" i="7"/>
  <c r="AC359" i="7"/>
  <c r="AD359" i="7"/>
  <c r="B360" i="7"/>
  <c r="C360" i="7"/>
  <c r="P360" i="7"/>
  <c r="Q360" i="7"/>
  <c r="R360" i="7"/>
  <c r="S360" i="7"/>
  <c r="T360" i="7"/>
  <c r="V360" i="7"/>
  <c r="AB360" i="7"/>
  <c r="AC360" i="7"/>
  <c r="AD360" i="7"/>
  <c r="B361" i="7"/>
  <c r="C361" i="7"/>
  <c r="P361" i="7"/>
  <c r="Q361" i="7"/>
  <c r="R361" i="7"/>
  <c r="S361" i="7"/>
  <c r="T361" i="7"/>
  <c r="V361" i="7"/>
  <c r="AB361" i="7"/>
  <c r="AC361" i="7"/>
  <c r="AD361" i="7"/>
  <c r="B362" i="7"/>
  <c r="C362" i="7"/>
  <c r="P362" i="7"/>
  <c r="Q362" i="7"/>
  <c r="R362" i="7"/>
  <c r="S362" i="7"/>
  <c r="T362" i="7"/>
  <c r="V362" i="7"/>
  <c r="AB362" i="7"/>
  <c r="AC362" i="7"/>
  <c r="AD362" i="7"/>
  <c r="B363" i="7"/>
  <c r="C363" i="7"/>
  <c r="P363" i="7"/>
  <c r="Q363" i="7"/>
  <c r="R363" i="7"/>
  <c r="S363" i="7"/>
  <c r="T363" i="7"/>
  <c r="V363" i="7"/>
  <c r="AB363" i="7"/>
  <c r="AC363" i="7"/>
  <c r="AD363" i="7"/>
  <c r="B364" i="7"/>
  <c r="C364" i="7"/>
  <c r="P364" i="7"/>
  <c r="Q364" i="7"/>
  <c r="R364" i="7"/>
  <c r="S364" i="7"/>
  <c r="T364" i="7"/>
  <c r="V364" i="7"/>
  <c r="AB364" i="7"/>
  <c r="AC364" i="7"/>
  <c r="AD364" i="7"/>
  <c r="B365" i="7"/>
  <c r="C365" i="7"/>
  <c r="P365" i="7"/>
  <c r="Q365" i="7"/>
  <c r="R365" i="7"/>
  <c r="S365" i="7"/>
  <c r="T365" i="7"/>
  <c r="V365" i="7"/>
  <c r="AB365" i="7"/>
  <c r="AC365" i="7"/>
  <c r="AD365" i="7"/>
  <c r="B366" i="7"/>
  <c r="C366" i="7"/>
  <c r="P366" i="7"/>
  <c r="Q366" i="7"/>
  <c r="R366" i="7"/>
  <c r="S366" i="7"/>
  <c r="T366" i="7"/>
  <c r="V366" i="7"/>
  <c r="AB366" i="7"/>
  <c r="AC366" i="7"/>
  <c r="AD366" i="7"/>
  <c r="B367" i="7"/>
  <c r="C367" i="7"/>
  <c r="P367" i="7"/>
  <c r="Q367" i="7"/>
  <c r="R367" i="7"/>
  <c r="S367" i="7"/>
  <c r="T367" i="7"/>
  <c r="V367" i="7"/>
  <c r="AB367" i="7"/>
  <c r="AC367" i="7"/>
  <c r="AD367" i="7"/>
  <c r="B368" i="7"/>
  <c r="C368" i="7"/>
  <c r="P368" i="7"/>
  <c r="Q368" i="7"/>
  <c r="R368" i="7"/>
  <c r="S368" i="7"/>
  <c r="T368" i="7"/>
  <c r="V368" i="7"/>
  <c r="AB368" i="7"/>
  <c r="AC368" i="7"/>
  <c r="AD368" i="7"/>
  <c r="B369" i="7"/>
  <c r="C369" i="7"/>
  <c r="P369" i="7"/>
  <c r="Q369" i="7"/>
  <c r="R369" i="7"/>
  <c r="S369" i="7"/>
  <c r="T369" i="7"/>
  <c r="V369" i="7"/>
  <c r="AB369" i="7"/>
  <c r="AC369" i="7"/>
  <c r="AD369" i="7"/>
  <c r="B370" i="7"/>
  <c r="C370" i="7"/>
  <c r="P370" i="7"/>
  <c r="Q370" i="7"/>
  <c r="R370" i="7"/>
  <c r="S370" i="7"/>
  <c r="T370" i="7"/>
  <c r="V370" i="7"/>
  <c r="AB370" i="7"/>
  <c r="AC370" i="7"/>
  <c r="AD370" i="7"/>
  <c r="B371" i="7"/>
  <c r="C371" i="7"/>
  <c r="P371" i="7"/>
  <c r="Q371" i="7"/>
  <c r="R371" i="7"/>
  <c r="S371" i="7"/>
  <c r="T371" i="7"/>
  <c r="V371" i="7"/>
  <c r="AB371" i="7"/>
  <c r="AC371" i="7"/>
  <c r="AD371" i="7"/>
  <c r="B372" i="7"/>
  <c r="C372" i="7"/>
  <c r="P372" i="7"/>
  <c r="Q372" i="7"/>
  <c r="R372" i="7"/>
  <c r="S372" i="7"/>
  <c r="T372" i="7"/>
  <c r="V372" i="7"/>
  <c r="AB372" i="7"/>
  <c r="AC372" i="7"/>
  <c r="AD372" i="7"/>
  <c r="B373" i="7"/>
  <c r="C373" i="7"/>
  <c r="P373" i="7"/>
  <c r="Q373" i="7"/>
  <c r="R373" i="7"/>
  <c r="S373" i="7"/>
  <c r="T373" i="7"/>
  <c r="V373" i="7"/>
  <c r="AB373" i="7"/>
  <c r="AC373" i="7"/>
  <c r="AD373" i="7"/>
  <c r="B374" i="7"/>
  <c r="C374" i="7"/>
  <c r="P374" i="7"/>
  <c r="Q374" i="7"/>
  <c r="R374" i="7"/>
  <c r="S374" i="7"/>
  <c r="T374" i="7"/>
  <c r="V374" i="7"/>
  <c r="AB374" i="7"/>
  <c r="AC374" i="7"/>
  <c r="AD374" i="7"/>
  <c r="B375" i="7"/>
  <c r="C375" i="7"/>
  <c r="P375" i="7"/>
  <c r="Q375" i="7"/>
  <c r="R375" i="7"/>
  <c r="S375" i="7"/>
  <c r="T375" i="7"/>
  <c r="V375" i="7"/>
  <c r="AB375" i="7"/>
  <c r="AC375" i="7"/>
  <c r="AD375" i="7"/>
  <c r="B376" i="7"/>
  <c r="C376" i="7"/>
  <c r="P376" i="7"/>
  <c r="Q376" i="7"/>
  <c r="R376" i="7"/>
  <c r="S376" i="7"/>
  <c r="T376" i="7"/>
  <c r="V376" i="7"/>
  <c r="AB376" i="7"/>
  <c r="AC376" i="7"/>
  <c r="AD376" i="7"/>
  <c r="B377" i="7"/>
  <c r="C377" i="7"/>
  <c r="P377" i="7"/>
  <c r="Q377" i="7"/>
  <c r="R377" i="7"/>
  <c r="S377" i="7"/>
  <c r="T377" i="7"/>
  <c r="V377" i="7"/>
  <c r="AB377" i="7"/>
  <c r="AC377" i="7"/>
  <c r="AD377" i="7"/>
  <c r="B378" i="7"/>
  <c r="C378" i="7"/>
  <c r="P378" i="7"/>
  <c r="Q378" i="7"/>
  <c r="R378" i="7"/>
  <c r="S378" i="7"/>
  <c r="T378" i="7"/>
  <c r="V378" i="7"/>
  <c r="AB378" i="7"/>
  <c r="AC378" i="7"/>
  <c r="AD378" i="7"/>
  <c r="B379" i="7"/>
  <c r="C379" i="7"/>
  <c r="P379" i="7"/>
  <c r="Q379" i="7"/>
  <c r="R379" i="7"/>
  <c r="S379" i="7"/>
  <c r="T379" i="7"/>
  <c r="V379" i="7"/>
  <c r="AB379" i="7"/>
  <c r="AC379" i="7"/>
  <c r="AD379" i="7"/>
  <c r="B380" i="7"/>
  <c r="C380" i="7"/>
  <c r="P380" i="7"/>
  <c r="Q380" i="7"/>
  <c r="R380" i="7"/>
  <c r="S380" i="7"/>
  <c r="T380" i="7"/>
  <c r="V380" i="7"/>
  <c r="AB380" i="7"/>
  <c r="AC380" i="7"/>
  <c r="AD380" i="7"/>
  <c r="B381" i="7"/>
  <c r="C381" i="7"/>
  <c r="P381" i="7"/>
  <c r="Q381" i="7"/>
  <c r="R381" i="7"/>
  <c r="S381" i="7"/>
  <c r="T381" i="7"/>
  <c r="V381" i="7"/>
  <c r="AB381" i="7"/>
  <c r="AC381" i="7"/>
  <c r="AD381" i="7"/>
  <c r="B382" i="7"/>
  <c r="C382" i="7"/>
  <c r="P382" i="7"/>
  <c r="Q382" i="7"/>
  <c r="R382" i="7"/>
  <c r="S382" i="7"/>
  <c r="T382" i="7"/>
  <c r="V382" i="7"/>
  <c r="AB382" i="7"/>
  <c r="AC382" i="7"/>
  <c r="AD382" i="7"/>
  <c r="B383" i="7"/>
  <c r="C383" i="7"/>
  <c r="P383" i="7"/>
  <c r="Q383" i="7"/>
  <c r="R383" i="7"/>
  <c r="S383" i="7"/>
  <c r="T383" i="7"/>
  <c r="V383" i="7"/>
  <c r="AB383" i="7"/>
  <c r="AC383" i="7"/>
  <c r="AD383" i="7"/>
  <c r="B384" i="7"/>
  <c r="C384" i="7"/>
  <c r="P384" i="7"/>
  <c r="Q384" i="7"/>
  <c r="R384" i="7"/>
  <c r="S384" i="7"/>
  <c r="T384" i="7"/>
  <c r="V384" i="7"/>
  <c r="AB384" i="7"/>
  <c r="AC384" i="7"/>
  <c r="AD384" i="7"/>
  <c r="B385" i="7"/>
  <c r="C385" i="7"/>
  <c r="P385" i="7"/>
  <c r="Q385" i="7"/>
  <c r="R385" i="7"/>
  <c r="S385" i="7"/>
  <c r="T385" i="7"/>
  <c r="V385" i="7"/>
  <c r="AB385" i="7"/>
  <c r="AC385" i="7"/>
  <c r="AD385" i="7"/>
  <c r="B386" i="7"/>
  <c r="C386" i="7"/>
  <c r="P386" i="7"/>
  <c r="Q386" i="7"/>
  <c r="R386" i="7"/>
  <c r="S386" i="7"/>
  <c r="T386" i="7"/>
  <c r="V386" i="7"/>
  <c r="AB386" i="7"/>
  <c r="AC386" i="7"/>
  <c r="AD386" i="7"/>
  <c r="B387" i="7"/>
  <c r="C387" i="7"/>
  <c r="P387" i="7"/>
  <c r="Q387" i="7"/>
  <c r="R387" i="7"/>
  <c r="S387" i="7"/>
  <c r="T387" i="7"/>
  <c r="V387" i="7"/>
  <c r="AB387" i="7"/>
  <c r="AC387" i="7"/>
  <c r="AD387" i="7"/>
  <c r="B388" i="7"/>
  <c r="C388" i="7"/>
  <c r="P388" i="7"/>
  <c r="Q388" i="7"/>
  <c r="R388" i="7"/>
  <c r="S388" i="7"/>
  <c r="T388" i="7"/>
  <c r="V388" i="7"/>
  <c r="AB388" i="7"/>
  <c r="AC388" i="7"/>
  <c r="AD388" i="7"/>
  <c r="B389" i="7"/>
  <c r="C389" i="7"/>
  <c r="P389" i="7"/>
  <c r="Q389" i="7"/>
  <c r="R389" i="7"/>
  <c r="S389" i="7"/>
  <c r="T389" i="7"/>
  <c r="V389" i="7"/>
  <c r="AB389" i="7"/>
  <c r="AC389" i="7"/>
  <c r="AD389" i="7"/>
  <c r="B390" i="7"/>
  <c r="C390" i="7"/>
  <c r="P390" i="7"/>
  <c r="Q390" i="7"/>
  <c r="R390" i="7"/>
  <c r="S390" i="7"/>
  <c r="T390" i="7"/>
  <c r="V390" i="7"/>
  <c r="AB390" i="7"/>
  <c r="AC390" i="7"/>
  <c r="AD390" i="7"/>
  <c r="B391" i="7"/>
  <c r="C391" i="7"/>
  <c r="P391" i="7"/>
  <c r="Q391" i="7"/>
  <c r="R391" i="7"/>
  <c r="S391" i="7"/>
  <c r="T391" i="7"/>
  <c r="V391" i="7"/>
  <c r="AB391" i="7"/>
  <c r="AC391" i="7"/>
  <c r="AD391" i="7"/>
  <c r="B392" i="7"/>
  <c r="C392" i="7"/>
  <c r="P392" i="7"/>
  <c r="Q392" i="7"/>
  <c r="R392" i="7"/>
  <c r="S392" i="7"/>
  <c r="T392" i="7"/>
  <c r="V392" i="7"/>
  <c r="AB392" i="7"/>
  <c r="AC392" i="7"/>
  <c r="AD392" i="7"/>
  <c r="B393" i="7"/>
  <c r="C393" i="7"/>
  <c r="P393" i="7"/>
  <c r="Q393" i="7"/>
  <c r="R393" i="7"/>
  <c r="S393" i="7"/>
  <c r="T393" i="7"/>
  <c r="V393" i="7"/>
  <c r="AB393" i="7"/>
  <c r="AC393" i="7"/>
  <c r="AD393" i="7"/>
  <c r="B394" i="7"/>
  <c r="C394" i="7"/>
  <c r="P394" i="7"/>
  <c r="Q394" i="7"/>
  <c r="R394" i="7"/>
  <c r="S394" i="7"/>
  <c r="T394" i="7"/>
  <c r="V394" i="7"/>
  <c r="AB394" i="7"/>
  <c r="AC394" i="7"/>
  <c r="AD394" i="7"/>
  <c r="B395" i="7"/>
  <c r="C395" i="7"/>
  <c r="P395" i="7"/>
  <c r="Q395" i="7"/>
  <c r="R395" i="7"/>
  <c r="S395" i="7"/>
  <c r="T395" i="7"/>
  <c r="V395" i="7"/>
  <c r="AB395" i="7"/>
  <c r="AC395" i="7"/>
  <c r="AD395" i="7"/>
  <c r="B396" i="7"/>
  <c r="C396" i="7"/>
  <c r="P396" i="7"/>
  <c r="Q396" i="7"/>
  <c r="R396" i="7"/>
  <c r="S396" i="7"/>
  <c r="T396" i="7"/>
  <c r="V396" i="7"/>
  <c r="AB396" i="7"/>
  <c r="AC396" i="7"/>
  <c r="AD396" i="7"/>
  <c r="B397" i="7"/>
  <c r="C397" i="7"/>
  <c r="P397" i="7"/>
  <c r="Q397" i="7"/>
  <c r="R397" i="7"/>
  <c r="S397" i="7"/>
  <c r="T397" i="7"/>
  <c r="V397" i="7"/>
  <c r="AB397" i="7"/>
  <c r="AC397" i="7"/>
  <c r="AD397" i="7"/>
  <c r="B398" i="7"/>
  <c r="C398" i="7"/>
  <c r="P398" i="7"/>
  <c r="Q398" i="7"/>
  <c r="R398" i="7"/>
  <c r="S398" i="7"/>
  <c r="T398" i="7"/>
  <c r="V398" i="7"/>
  <c r="AB398" i="7"/>
  <c r="AC398" i="7"/>
  <c r="AD398" i="7"/>
  <c r="B399" i="7"/>
  <c r="C399" i="7"/>
  <c r="P399" i="7"/>
  <c r="Q399" i="7"/>
  <c r="R399" i="7"/>
  <c r="S399" i="7"/>
  <c r="T399" i="7"/>
  <c r="V399" i="7"/>
  <c r="AB399" i="7"/>
  <c r="AC399" i="7"/>
  <c r="AD399" i="7"/>
  <c r="B400" i="7"/>
  <c r="C400" i="7"/>
  <c r="P400" i="7"/>
  <c r="Q400" i="7"/>
  <c r="R400" i="7"/>
  <c r="S400" i="7"/>
  <c r="T400" i="7"/>
  <c r="V400" i="7"/>
  <c r="AB400" i="7"/>
  <c r="AC400" i="7"/>
  <c r="AD400" i="7"/>
  <c r="B401" i="7"/>
  <c r="C401" i="7"/>
  <c r="P401" i="7"/>
  <c r="Q401" i="7"/>
  <c r="R401" i="7"/>
  <c r="S401" i="7"/>
  <c r="T401" i="7"/>
  <c r="V401" i="7"/>
  <c r="AB401" i="7"/>
  <c r="AC401" i="7"/>
  <c r="AD401" i="7"/>
  <c r="B402" i="7"/>
  <c r="C402" i="7"/>
  <c r="P402" i="7"/>
  <c r="Q402" i="7"/>
  <c r="R402" i="7"/>
  <c r="S402" i="7"/>
  <c r="T402" i="7"/>
  <c r="V402" i="7"/>
  <c r="AB402" i="7"/>
  <c r="AC402" i="7"/>
  <c r="AD402" i="7"/>
  <c r="B403" i="7"/>
  <c r="C403" i="7"/>
  <c r="P403" i="7"/>
  <c r="Q403" i="7"/>
  <c r="R403" i="7"/>
  <c r="S403" i="7"/>
  <c r="T403" i="7"/>
  <c r="V403" i="7"/>
  <c r="AB403" i="7"/>
  <c r="AC403" i="7"/>
  <c r="AD403" i="7"/>
  <c r="B404" i="7"/>
  <c r="C404" i="7"/>
  <c r="P404" i="7"/>
  <c r="Q404" i="7"/>
  <c r="R404" i="7"/>
  <c r="S404" i="7"/>
  <c r="T404" i="7"/>
  <c r="V404" i="7"/>
  <c r="AB404" i="7"/>
  <c r="AC404" i="7"/>
  <c r="AD404" i="7"/>
  <c r="B405" i="7"/>
  <c r="C405" i="7"/>
  <c r="P405" i="7"/>
  <c r="Q405" i="7"/>
  <c r="R405" i="7"/>
  <c r="S405" i="7"/>
  <c r="T405" i="7"/>
  <c r="V405" i="7"/>
  <c r="AB405" i="7"/>
  <c r="AC405" i="7"/>
  <c r="AD405" i="7"/>
  <c r="B406" i="7"/>
  <c r="C406" i="7"/>
  <c r="P406" i="7"/>
  <c r="Q406" i="7"/>
  <c r="R406" i="7"/>
  <c r="S406" i="7"/>
  <c r="T406" i="7"/>
  <c r="V406" i="7"/>
  <c r="AB406" i="7"/>
  <c r="AC406" i="7"/>
  <c r="AD406" i="7"/>
  <c r="B407" i="7"/>
  <c r="C407" i="7"/>
  <c r="P407" i="7"/>
  <c r="Q407" i="7"/>
  <c r="R407" i="7"/>
  <c r="S407" i="7"/>
  <c r="T407" i="7"/>
  <c r="V407" i="7"/>
  <c r="AB407" i="7"/>
  <c r="AC407" i="7"/>
  <c r="AD407" i="7"/>
  <c r="B408" i="7"/>
  <c r="C408" i="7"/>
  <c r="P408" i="7"/>
  <c r="Q408" i="7"/>
  <c r="R408" i="7"/>
  <c r="S408" i="7"/>
  <c r="T408" i="7"/>
  <c r="V408" i="7"/>
  <c r="AB408" i="7"/>
  <c r="AC408" i="7"/>
  <c r="AD408" i="7"/>
  <c r="B409" i="7"/>
  <c r="C409" i="7"/>
  <c r="P409" i="7"/>
  <c r="Q409" i="7"/>
  <c r="R409" i="7"/>
  <c r="S409" i="7"/>
  <c r="T409" i="7"/>
  <c r="V409" i="7"/>
  <c r="AB409" i="7"/>
  <c r="AC409" i="7"/>
  <c r="AD409" i="7"/>
  <c r="B410" i="7"/>
  <c r="C410" i="7"/>
  <c r="P410" i="7"/>
  <c r="Q410" i="7"/>
  <c r="R410" i="7"/>
  <c r="S410" i="7"/>
  <c r="T410" i="7"/>
  <c r="V410" i="7"/>
  <c r="AB410" i="7"/>
  <c r="AC410" i="7"/>
  <c r="AD410" i="7"/>
  <c r="B411" i="7"/>
  <c r="C411" i="7"/>
  <c r="P411" i="7"/>
  <c r="Q411" i="7"/>
  <c r="R411" i="7"/>
  <c r="S411" i="7"/>
  <c r="T411" i="7"/>
  <c r="V411" i="7"/>
  <c r="AB411" i="7"/>
  <c r="AC411" i="7"/>
  <c r="AD411" i="7"/>
  <c r="B412" i="7"/>
  <c r="C412" i="7"/>
  <c r="P412" i="7"/>
  <c r="Q412" i="7"/>
  <c r="R412" i="7"/>
  <c r="S412" i="7"/>
  <c r="T412" i="7"/>
  <c r="V412" i="7"/>
  <c r="AB412" i="7"/>
  <c r="AC412" i="7"/>
  <c r="AD412" i="7"/>
  <c r="B413" i="7"/>
  <c r="C413" i="7"/>
  <c r="P413" i="7"/>
  <c r="Q413" i="7"/>
  <c r="R413" i="7"/>
  <c r="S413" i="7"/>
  <c r="T413" i="7"/>
  <c r="V413" i="7"/>
  <c r="AB413" i="7"/>
  <c r="AC413" i="7"/>
  <c r="AD413" i="7"/>
  <c r="B414" i="7"/>
  <c r="C414" i="7"/>
  <c r="P414" i="7"/>
  <c r="Q414" i="7"/>
  <c r="R414" i="7"/>
  <c r="S414" i="7"/>
  <c r="T414" i="7"/>
  <c r="V414" i="7"/>
  <c r="AB414" i="7"/>
  <c r="AC414" i="7"/>
  <c r="AD414" i="7"/>
  <c r="B415" i="7"/>
  <c r="C415" i="7"/>
  <c r="P415" i="7"/>
  <c r="Q415" i="7"/>
  <c r="R415" i="7"/>
  <c r="S415" i="7"/>
  <c r="T415" i="7"/>
  <c r="V415" i="7"/>
  <c r="AB415" i="7"/>
  <c r="AC415" i="7"/>
  <c r="AD415" i="7"/>
  <c r="B416" i="7"/>
  <c r="C416" i="7"/>
  <c r="P416" i="7"/>
  <c r="Q416" i="7"/>
  <c r="R416" i="7"/>
  <c r="S416" i="7"/>
  <c r="T416" i="7"/>
  <c r="V416" i="7"/>
  <c r="AB416" i="7"/>
  <c r="AC416" i="7"/>
  <c r="AD416" i="7"/>
  <c r="B417" i="7"/>
  <c r="C417" i="7"/>
  <c r="P417" i="7"/>
  <c r="Q417" i="7"/>
  <c r="R417" i="7"/>
  <c r="S417" i="7"/>
  <c r="T417" i="7"/>
  <c r="V417" i="7"/>
  <c r="AB417" i="7"/>
  <c r="AC417" i="7"/>
  <c r="AD417" i="7"/>
  <c r="B418" i="7"/>
  <c r="C418" i="7"/>
  <c r="P418" i="7"/>
  <c r="Q418" i="7"/>
  <c r="R418" i="7"/>
  <c r="S418" i="7"/>
  <c r="T418" i="7"/>
  <c r="V418" i="7"/>
  <c r="AB418" i="7"/>
  <c r="AC418" i="7"/>
  <c r="AD418" i="7"/>
  <c r="B419" i="7"/>
  <c r="C419" i="7"/>
  <c r="P419" i="7"/>
  <c r="Q419" i="7"/>
  <c r="R419" i="7"/>
  <c r="S419" i="7"/>
  <c r="T419" i="7"/>
  <c r="V419" i="7"/>
  <c r="AB419" i="7"/>
  <c r="AC419" i="7"/>
  <c r="AD419" i="7"/>
  <c r="B420" i="7"/>
  <c r="C420" i="7"/>
  <c r="P420" i="7"/>
  <c r="Q420" i="7"/>
  <c r="R420" i="7"/>
  <c r="S420" i="7"/>
  <c r="T420" i="7"/>
  <c r="V420" i="7"/>
  <c r="AB420" i="7"/>
  <c r="AC420" i="7"/>
  <c r="AD420" i="7"/>
  <c r="B421" i="7"/>
  <c r="C421" i="7"/>
  <c r="P421" i="7"/>
  <c r="Q421" i="7"/>
  <c r="R421" i="7"/>
  <c r="S421" i="7"/>
  <c r="T421" i="7"/>
  <c r="V421" i="7"/>
  <c r="AB421" i="7"/>
  <c r="AC421" i="7"/>
  <c r="AD421" i="7"/>
  <c r="B422" i="7"/>
  <c r="C422" i="7"/>
  <c r="P422" i="7"/>
  <c r="Q422" i="7"/>
  <c r="R422" i="7"/>
  <c r="S422" i="7"/>
  <c r="T422" i="7"/>
  <c r="V422" i="7"/>
  <c r="AB422" i="7"/>
  <c r="AC422" i="7"/>
  <c r="AD422" i="7"/>
  <c r="B423" i="7"/>
  <c r="C423" i="7"/>
  <c r="P423" i="7"/>
  <c r="Q423" i="7"/>
  <c r="R423" i="7"/>
  <c r="S423" i="7"/>
  <c r="T423" i="7"/>
  <c r="V423" i="7"/>
  <c r="AB423" i="7"/>
  <c r="AC423" i="7"/>
  <c r="AD423" i="7"/>
  <c r="B424" i="7"/>
  <c r="C424" i="7"/>
  <c r="P424" i="7"/>
  <c r="Q424" i="7"/>
  <c r="R424" i="7"/>
  <c r="S424" i="7"/>
  <c r="T424" i="7"/>
  <c r="V424" i="7"/>
  <c r="AB424" i="7"/>
  <c r="AC424" i="7"/>
  <c r="AD424" i="7"/>
  <c r="B425" i="7"/>
  <c r="C425" i="7"/>
  <c r="P425" i="7"/>
  <c r="Q425" i="7"/>
  <c r="R425" i="7"/>
  <c r="S425" i="7"/>
  <c r="T425" i="7"/>
  <c r="V425" i="7"/>
  <c r="AB425" i="7"/>
  <c r="AC425" i="7"/>
  <c r="AD425" i="7"/>
  <c r="B426" i="7"/>
  <c r="C426" i="7"/>
  <c r="P426" i="7"/>
  <c r="Q426" i="7"/>
  <c r="R426" i="7"/>
  <c r="S426" i="7"/>
  <c r="T426" i="7"/>
  <c r="V426" i="7"/>
  <c r="AB426" i="7"/>
  <c r="AC426" i="7"/>
  <c r="AD426" i="7"/>
  <c r="B427" i="7"/>
  <c r="C427" i="7"/>
  <c r="P427" i="7"/>
  <c r="Q427" i="7"/>
  <c r="R427" i="7"/>
  <c r="S427" i="7"/>
  <c r="T427" i="7"/>
  <c r="V427" i="7"/>
  <c r="AB427" i="7"/>
  <c r="AC427" i="7"/>
  <c r="AD427" i="7"/>
  <c r="B428" i="7"/>
  <c r="C428" i="7"/>
  <c r="P428" i="7"/>
  <c r="Q428" i="7"/>
  <c r="R428" i="7"/>
  <c r="S428" i="7"/>
  <c r="T428" i="7"/>
  <c r="V428" i="7"/>
  <c r="AB428" i="7"/>
  <c r="AC428" i="7"/>
  <c r="AD428" i="7"/>
  <c r="B429" i="7"/>
  <c r="C429" i="7"/>
  <c r="P429" i="7"/>
  <c r="Q429" i="7"/>
  <c r="R429" i="7"/>
  <c r="S429" i="7"/>
  <c r="T429" i="7"/>
  <c r="V429" i="7"/>
  <c r="AB429" i="7"/>
  <c r="AC429" i="7"/>
  <c r="AD429" i="7"/>
  <c r="B430" i="7"/>
  <c r="C430" i="7"/>
  <c r="P430" i="7"/>
  <c r="Q430" i="7"/>
  <c r="R430" i="7"/>
  <c r="S430" i="7"/>
  <c r="T430" i="7"/>
  <c r="V430" i="7"/>
  <c r="AB430" i="7"/>
  <c r="AC430" i="7"/>
  <c r="AD430" i="7"/>
  <c r="B431" i="7"/>
  <c r="C431" i="7"/>
  <c r="P431" i="7"/>
  <c r="Q431" i="7"/>
  <c r="R431" i="7"/>
  <c r="S431" i="7"/>
  <c r="T431" i="7"/>
  <c r="V431" i="7"/>
  <c r="AB431" i="7"/>
  <c r="AC431" i="7"/>
  <c r="AD431" i="7"/>
  <c r="B432" i="7"/>
  <c r="C432" i="7"/>
  <c r="P432" i="7"/>
  <c r="Q432" i="7"/>
  <c r="R432" i="7"/>
  <c r="S432" i="7"/>
  <c r="T432" i="7"/>
  <c r="V432" i="7"/>
  <c r="AB432" i="7"/>
  <c r="AC432" i="7"/>
  <c r="AD432" i="7"/>
  <c r="B433" i="7"/>
  <c r="C433" i="7"/>
  <c r="P433" i="7"/>
  <c r="Q433" i="7"/>
  <c r="R433" i="7"/>
  <c r="S433" i="7"/>
  <c r="T433" i="7"/>
  <c r="V433" i="7"/>
  <c r="AB433" i="7"/>
  <c r="AC433" i="7"/>
  <c r="AD433" i="7"/>
  <c r="B434" i="7"/>
  <c r="C434" i="7"/>
  <c r="P434" i="7"/>
  <c r="Q434" i="7"/>
  <c r="R434" i="7"/>
  <c r="S434" i="7"/>
  <c r="T434" i="7"/>
  <c r="V434" i="7"/>
  <c r="AB434" i="7"/>
  <c r="AC434" i="7"/>
  <c r="AD434" i="7"/>
  <c r="B435" i="7"/>
  <c r="C435" i="7"/>
  <c r="P435" i="7"/>
  <c r="Q435" i="7"/>
  <c r="R435" i="7"/>
  <c r="S435" i="7"/>
  <c r="T435" i="7"/>
  <c r="V435" i="7"/>
  <c r="AB435" i="7"/>
  <c r="AC435" i="7"/>
  <c r="AD435" i="7"/>
  <c r="B436" i="7"/>
  <c r="C436" i="7"/>
  <c r="P436" i="7"/>
  <c r="Q436" i="7"/>
  <c r="R436" i="7"/>
  <c r="S436" i="7"/>
  <c r="T436" i="7"/>
  <c r="V436" i="7"/>
  <c r="AB436" i="7"/>
  <c r="AC436" i="7"/>
  <c r="AD436" i="7"/>
  <c r="B437" i="7"/>
  <c r="C437" i="7"/>
  <c r="P437" i="7"/>
  <c r="Q437" i="7"/>
  <c r="R437" i="7"/>
  <c r="S437" i="7"/>
  <c r="T437" i="7"/>
  <c r="V437" i="7"/>
  <c r="AB437" i="7"/>
  <c r="AC437" i="7"/>
  <c r="AD437" i="7"/>
  <c r="B438" i="7"/>
  <c r="C438" i="7"/>
  <c r="P438" i="7"/>
  <c r="Q438" i="7"/>
  <c r="R438" i="7"/>
  <c r="S438" i="7"/>
  <c r="T438" i="7"/>
  <c r="V438" i="7"/>
  <c r="AB438" i="7"/>
  <c r="AC438" i="7"/>
  <c r="AD438" i="7"/>
  <c r="B439" i="7"/>
  <c r="C439" i="7"/>
  <c r="P439" i="7"/>
  <c r="Q439" i="7"/>
  <c r="R439" i="7"/>
  <c r="S439" i="7"/>
  <c r="T439" i="7"/>
  <c r="V439" i="7"/>
  <c r="AB439" i="7"/>
  <c r="AC439" i="7"/>
  <c r="AD439" i="7"/>
  <c r="B440" i="7"/>
  <c r="C440" i="7"/>
  <c r="P440" i="7"/>
  <c r="Q440" i="7"/>
  <c r="R440" i="7"/>
  <c r="S440" i="7"/>
  <c r="T440" i="7"/>
  <c r="V440" i="7"/>
  <c r="AB440" i="7"/>
  <c r="AC440" i="7"/>
  <c r="AD440" i="7"/>
  <c r="B441" i="7"/>
  <c r="C441" i="7"/>
  <c r="P441" i="7"/>
  <c r="Q441" i="7"/>
  <c r="R441" i="7"/>
  <c r="S441" i="7"/>
  <c r="T441" i="7"/>
  <c r="V441" i="7"/>
  <c r="AB441" i="7"/>
  <c r="AC441" i="7"/>
  <c r="AD441" i="7"/>
  <c r="B442" i="7"/>
  <c r="C442" i="7"/>
  <c r="P442" i="7"/>
  <c r="Q442" i="7"/>
  <c r="R442" i="7"/>
  <c r="S442" i="7"/>
  <c r="T442" i="7"/>
  <c r="V442" i="7"/>
  <c r="AB442" i="7"/>
  <c r="AC442" i="7"/>
  <c r="AD442" i="7"/>
  <c r="B443" i="7"/>
  <c r="C443" i="7"/>
  <c r="P443" i="7"/>
  <c r="Q443" i="7"/>
  <c r="R443" i="7"/>
  <c r="S443" i="7"/>
  <c r="T443" i="7"/>
  <c r="V443" i="7"/>
  <c r="AB443" i="7"/>
  <c r="AC443" i="7"/>
  <c r="AD443" i="7"/>
  <c r="B444" i="7"/>
  <c r="C444" i="7"/>
  <c r="P444" i="7"/>
  <c r="Q444" i="7"/>
  <c r="R444" i="7"/>
  <c r="S444" i="7"/>
  <c r="T444" i="7"/>
  <c r="V444" i="7"/>
  <c r="AB444" i="7"/>
  <c r="AC444" i="7"/>
  <c r="AD444" i="7"/>
  <c r="B445" i="7"/>
  <c r="C445" i="7"/>
  <c r="P445" i="7"/>
  <c r="Q445" i="7"/>
  <c r="R445" i="7"/>
  <c r="S445" i="7"/>
  <c r="T445" i="7"/>
  <c r="V445" i="7"/>
  <c r="AB445" i="7"/>
  <c r="AC445" i="7"/>
  <c r="AD445" i="7"/>
  <c r="B446" i="7"/>
  <c r="C446" i="7"/>
  <c r="P446" i="7"/>
  <c r="Q446" i="7"/>
  <c r="R446" i="7"/>
  <c r="S446" i="7"/>
  <c r="T446" i="7"/>
  <c r="V446" i="7"/>
  <c r="AB446" i="7"/>
  <c r="AC446" i="7"/>
  <c r="AD446" i="7"/>
  <c r="B447" i="7"/>
  <c r="C447" i="7"/>
  <c r="P447" i="7"/>
  <c r="Q447" i="7"/>
  <c r="R447" i="7"/>
  <c r="S447" i="7"/>
  <c r="T447" i="7"/>
  <c r="V447" i="7"/>
  <c r="AB447" i="7"/>
  <c r="AC447" i="7"/>
  <c r="AD447" i="7"/>
  <c r="B448" i="7"/>
  <c r="C448" i="7"/>
  <c r="P448" i="7"/>
  <c r="Q448" i="7"/>
  <c r="R448" i="7"/>
  <c r="S448" i="7"/>
  <c r="T448" i="7"/>
  <c r="V448" i="7"/>
  <c r="AB448" i="7"/>
  <c r="AC448" i="7"/>
  <c r="AD448" i="7"/>
  <c r="B449" i="7"/>
  <c r="C449" i="7"/>
  <c r="P449" i="7"/>
  <c r="Q449" i="7"/>
  <c r="R449" i="7"/>
  <c r="S449" i="7"/>
  <c r="T449" i="7"/>
  <c r="V449" i="7"/>
  <c r="AB449" i="7"/>
  <c r="AC449" i="7"/>
  <c r="AD449" i="7"/>
  <c r="B450" i="7"/>
  <c r="C450" i="7"/>
  <c r="P450" i="7"/>
  <c r="Q450" i="7"/>
  <c r="R450" i="7"/>
  <c r="S450" i="7"/>
  <c r="T450" i="7"/>
  <c r="V450" i="7"/>
  <c r="AB450" i="7"/>
  <c r="AC450" i="7"/>
  <c r="AD450" i="7"/>
  <c r="B451" i="7"/>
  <c r="C451" i="7"/>
  <c r="P451" i="7"/>
  <c r="Q451" i="7"/>
  <c r="R451" i="7"/>
  <c r="S451" i="7"/>
  <c r="T451" i="7"/>
  <c r="V451" i="7"/>
  <c r="AB451" i="7"/>
  <c r="AC451" i="7"/>
  <c r="AD451" i="7"/>
  <c r="B452" i="7"/>
  <c r="C452" i="7"/>
  <c r="P452" i="7"/>
  <c r="Q452" i="7"/>
  <c r="R452" i="7"/>
  <c r="S452" i="7"/>
  <c r="T452" i="7"/>
  <c r="V452" i="7"/>
  <c r="AB452" i="7"/>
  <c r="AC452" i="7"/>
  <c r="AD452" i="7"/>
  <c r="B453" i="7"/>
  <c r="C453" i="7"/>
  <c r="P453" i="7"/>
  <c r="Q453" i="7"/>
  <c r="R453" i="7"/>
  <c r="S453" i="7"/>
  <c r="T453" i="7"/>
  <c r="V453" i="7"/>
  <c r="AB453" i="7"/>
  <c r="AC453" i="7"/>
  <c r="AD453" i="7"/>
  <c r="B454" i="7"/>
  <c r="C454" i="7"/>
  <c r="P454" i="7"/>
  <c r="Q454" i="7"/>
  <c r="R454" i="7"/>
  <c r="S454" i="7"/>
  <c r="T454" i="7"/>
  <c r="V454" i="7"/>
  <c r="AB454" i="7"/>
  <c r="AC454" i="7"/>
  <c r="AD454" i="7"/>
  <c r="B455" i="7"/>
  <c r="C455" i="7"/>
  <c r="P455" i="7"/>
  <c r="Q455" i="7"/>
  <c r="R455" i="7"/>
  <c r="S455" i="7"/>
  <c r="T455" i="7"/>
  <c r="V455" i="7"/>
  <c r="AB455" i="7"/>
  <c r="AC455" i="7"/>
  <c r="AD455" i="7"/>
  <c r="B456" i="7"/>
  <c r="C456" i="7"/>
  <c r="P456" i="7"/>
  <c r="Q456" i="7"/>
  <c r="R456" i="7"/>
  <c r="S456" i="7"/>
  <c r="T456" i="7"/>
  <c r="V456" i="7"/>
  <c r="AB456" i="7"/>
  <c r="AC456" i="7"/>
  <c r="AD456" i="7"/>
  <c r="B457" i="7"/>
  <c r="C457" i="7"/>
  <c r="P457" i="7"/>
  <c r="Q457" i="7"/>
  <c r="R457" i="7"/>
  <c r="S457" i="7"/>
  <c r="T457" i="7"/>
  <c r="V457" i="7"/>
  <c r="AB457" i="7"/>
  <c r="AC457" i="7"/>
  <c r="AD457" i="7"/>
  <c r="B458" i="7"/>
  <c r="C458" i="7"/>
  <c r="P458" i="7"/>
  <c r="Q458" i="7"/>
  <c r="R458" i="7"/>
  <c r="S458" i="7"/>
  <c r="T458" i="7"/>
  <c r="V458" i="7"/>
  <c r="AB458" i="7"/>
  <c r="AC458" i="7"/>
  <c r="AD458" i="7"/>
  <c r="B459" i="7"/>
  <c r="C459" i="7"/>
  <c r="P459" i="7"/>
  <c r="Q459" i="7"/>
  <c r="R459" i="7"/>
  <c r="S459" i="7"/>
  <c r="T459" i="7"/>
  <c r="V459" i="7"/>
  <c r="AB459" i="7"/>
  <c r="AC459" i="7"/>
  <c r="AD459" i="7"/>
  <c r="B460" i="7"/>
  <c r="C460" i="7"/>
  <c r="P460" i="7"/>
  <c r="Q460" i="7"/>
  <c r="R460" i="7"/>
  <c r="S460" i="7"/>
  <c r="T460" i="7"/>
  <c r="V460" i="7"/>
  <c r="AB460" i="7"/>
  <c r="AC460" i="7"/>
  <c r="AD460" i="7"/>
  <c r="B461" i="7"/>
  <c r="C461" i="7"/>
  <c r="P461" i="7"/>
  <c r="Q461" i="7"/>
  <c r="R461" i="7"/>
  <c r="S461" i="7"/>
  <c r="T461" i="7"/>
  <c r="V461" i="7"/>
  <c r="AB461" i="7"/>
  <c r="AC461" i="7"/>
  <c r="AD461" i="7"/>
  <c r="B462" i="7"/>
  <c r="C462" i="7"/>
  <c r="P462" i="7"/>
  <c r="Q462" i="7"/>
  <c r="R462" i="7"/>
  <c r="S462" i="7"/>
  <c r="T462" i="7"/>
  <c r="V462" i="7"/>
  <c r="AB462" i="7"/>
  <c r="AC462" i="7"/>
  <c r="AD462" i="7"/>
  <c r="B463" i="7"/>
  <c r="C463" i="7"/>
  <c r="P463" i="7"/>
  <c r="Q463" i="7"/>
  <c r="R463" i="7"/>
  <c r="S463" i="7"/>
  <c r="T463" i="7"/>
  <c r="V463" i="7"/>
  <c r="AB463" i="7"/>
  <c r="AC463" i="7"/>
  <c r="AD463" i="7"/>
  <c r="B464" i="7"/>
  <c r="C464" i="7"/>
  <c r="P464" i="7"/>
  <c r="Q464" i="7"/>
  <c r="R464" i="7"/>
  <c r="S464" i="7"/>
  <c r="T464" i="7"/>
  <c r="V464" i="7"/>
  <c r="AB464" i="7"/>
  <c r="AC464" i="7"/>
  <c r="AD464" i="7"/>
  <c r="B465" i="7"/>
  <c r="C465" i="7"/>
  <c r="P465" i="7"/>
  <c r="Q465" i="7"/>
  <c r="R465" i="7"/>
  <c r="S465" i="7"/>
  <c r="T465" i="7"/>
  <c r="V465" i="7"/>
  <c r="AB465" i="7"/>
  <c r="AC465" i="7"/>
  <c r="AD465" i="7"/>
  <c r="B466" i="7"/>
  <c r="C466" i="7"/>
  <c r="P466" i="7"/>
  <c r="Q466" i="7"/>
  <c r="R466" i="7"/>
  <c r="S466" i="7"/>
  <c r="T466" i="7"/>
  <c r="V466" i="7"/>
  <c r="AB466" i="7"/>
  <c r="AC466" i="7"/>
  <c r="AD466" i="7"/>
  <c r="B467" i="7"/>
  <c r="C467" i="7"/>
  <c r="P467" i="7"/>
  <c r="Q467" i="7"/>
  <c r="R467" i="7"/>
  <c r="S467" i="7"/>
  <c r="T467" i="7"/>
  <c r="V467" i="7"/>
  <c r="AB467" i="7"/>
  <c r="AC467" i="7"/>
  <c r="AD467" i="7"/>
  <c r="B468" i="7"/>
  <c r="C468" i="7"/>
  <c r="P468" i="7"/>
  <c r="Q468" i="7"/>
  <c r="R468" i="7"/>
  <c r="S468" i="7"/>
  <c r="T468" i="7"/>
  <c r="V468" i="7"/>
  <c r="AB468" i="7"/>
  <c r="AC468" i="7"/>
  <c r="AD468" i="7"/>
  <c r="B469" i="7"/>
  <c r="C469" i="7"/>
  <c r="P469" i="7"/>
  <c r="Q469" i="7"/>
  <c r="R469" i="7"/>
  <c r="S469" i="7"/>
  <c r="T469" i="7"/>
  <c r="V469" i="7"/>
  <c r="AB469" i="7"/>
  <c r="AC469" i="7"/>
  <c r="AD469" i="7"/>
  <c r="B470" i="7"/>
  <c r="C470" i="7"/>
  <c r="P470" i="7"/>
  <c r="Q470" i="7"/>
  <c r="R470" i="7"/>
  <c r="S470" i="7"/>
  <c r="T470" i="7"/>
  <c r="V470" i="7"/>
  <c r="AB470" i="7"/>
  <c r="AC470" i="7"/>
  <c r="AD470" i="7"/>
  <c r="B471" i="7"/>
  <c r="C471" i="7"/>
  <c r="P471" i="7"/>
  <c r="Q471" i="7"/>
  <c r="R471" i="7"/>
  <c r="S471" i="7"/>
  <c r="T471" i="7"/>
  <c r="V471" i="7"/>
  <c r="AB471" i="7"/>
  <c r="AC471" i="7"/>
  <c r="AD471" i="7"/>
  <c r="B472" i="7"/>
  <c r="C472" i="7"/>
  <c r="P472" i="7"/>
  <c r="Q472" i="7"/>
  <c r="R472" i="7"/>
  <c r="S472" i="7"/>
  <c r="T472" i="7"/>
  <c r="V472" i="7"/>
  <c r="AB472" i="7"/>
  <c r="AC472" i="7"/>
  <c r="AD472" i="7"/>
  <c r="B473" i="7"/>
  <c r="C473" i="7"/>
  <c r="P473" i="7"/>
  <c r="Q473" i="7"/>
  <c r="R473" i="7"/>
  <c r="S473" i="7"/>
  <c r="T473" i="7"/>
  <c r="V473" i="7"/>
  <c r="AB473" i="7"/>
  <c r="AC473" i="7"/>
  <c r="AD473" i="7"/>
  <c r="B474" i="7"/>
  <c r="C474" i="7"/>
  <c r="P474" i="7"/>
  <c r="Q474" i="7"/>
  <c r="R474" i="7"/>
  <c r="S474" i="7"/>
  <c r="T474" i="7"/>
  <c r="V474" i="7"/>
  <c r="AB474" i="7"/>
  <c r="AC474" i="7"/>
  <c r="AD474" i="7"/>
  <c r="B475" i="7"/>
  <c r="C475" i="7"/>
  <c r="P475" i="7"/>
  <c r="Q475" i="7"/>
  <c r="R475" i="7"/>
  <c r="S475" i="7"/>
  <c r="T475" i="7"/>
  <c r="V475" i="7"/>
  <c r="AB475" i="7"/>
  <c r="AC475" i="7"/>
  <c r="AD475" i="7"/>
  <c r="B476" i="7"/>
  <c r="C476" i="7"/>
  <c r="P476" i="7"/>
  <c r="Q476" i="7"/>
  <c r="R476" i="7"/>
  <c r="S476" i="7"/>
  <c r="T476" i="7"/>
  <c r="V476" i="7"/>
  <c r="AB476" i="7"/>
  <c r="AC476" i="7"/>
  <c r="AD476" i="7"/>
  <c r="B477" i="7"/>
  <c r="C477" i="7"/>
  <c r="P477" i="7"/>
  <c r="Q477" i="7"/>
  <c r="R477" i="7"/>
  <c r="S477" i="7"/>
  <c r="T477" i="7"/>
  <c r="V477" i="7"/>
  <c r="AB477" i="7"/>
  <c r="AC477" i="7"/>
  <c r="AD477" i="7"/>
  <c r="B478" i="7"/>
  <c r="C478" i="7"/>
  <c r="P478" i="7"/>
  <c r="Q478" i="7"/>
  <c r="R478" i="7"/>
  <c r="S478" i="7"/>
  <c r="T478" i="7"/>
  <c r="V478" i="7"/>
  <c r="AB478" i="7"/>
  <c r="AC478" i="7"/>
  <c r="AD478" i="7"/>
  <c r="B479" i="7"/>
  <c r="C479" i="7"/>
  <c r="P479" i="7"/>
  <c r="Q479" i="7"/>
  <c r="R479" i="7"/>
  <c r="S479" i="7"/>
  <c r="T479" i="7"/>
  <c r="V479" i="7"/>
  <c r="AB479" i="7"/>
  <c r="AC479" i="7"/>
  <c r="AD479" i="7"/>
  <c r="B480" i="7"/>
  <c r="C480" i="7"/>
  <c r="P480" i="7"/>
  <c r="Q480" i="7"/>
  <c r="R480" i="7"/>
  <c r="S480" i="7"/>
  <c r="T480" i="7"/>
  <c r="V480" i="7"/>
  <c r="AB480" i="7"/>
  <c r="AC480" i="7"/>
  <c r="AD480" i="7"/>
  <c r="B481" i="7"/>
  <c r="C481" i="7"/>
  <c r="P481" i="7"/>
  <c r="Q481" i="7"/>
  <c r="R481" i="7"/>
  <c r="S481" i="7"/>
  <c r="T481" i="7"/>
  <c r="V481" i="7"/>
  <c r="AB481" i="7"/>
  <c r="AC481" i="7"/>
  <c r="AD481" i="7"/>
  <c r="B482" i="7"/>
  <c r="C482" i="7"/>
  <c r="P482" i="7"/>
  <c r="Q482" i="7"/>
  <c r="R482" i="7"/>
  <c r="S482" i="7"/>
  <c r="T482" i="7"/>
  <c r="V482" i="7"/>
  <c r="AB482" i="7"/>
  <c r="AC482" i="7"/>
  <c r="AD482" i="7"/>
  <c r="B483" i="7"/>
  <c r="C483" i="7"/>
  <c r="P483" i="7"/>
  <c r="Q483" i="7"/>
  <c r="R483" i="7"/>
  <c r="S483" i="7"/>
  <c r="T483" i="7"/>
  <c r="V483" i="7"/>
  <c r="AB483" i="7"/>
  <c r="AC483" i="7"/>
  <c r="AD483" i="7"/>
  <c r="B484" i="7"/>
  <c r="C484" i="7"/>
  <c r="P484" i="7"/>
  <c r="Q484" i="7"/>
  <c r="R484" i="7"/>
  <c r="S484" i="7"/>
  <c r="T484" i="7"/>
  <c r="V484" i="7"/>
  <c r="AB484" i="7"/>
  <c r="AC484" i="7"/>
  <c r="AD484" i="7"/>
  <c r="B485" i="7"/>
  <c r="C485" i="7"/>
  <c r="P485" i="7"/>
  <c r="Q485" i="7"/>
  <c r="R485" i="7"/>
  <c r="S485" i="7"/>
  <c r="T485" i="7"/>
  <c r="V485" i="7"/>
  <c r="AB485" i="7"/>
  <c r="AC485" i="7"/>
  <c r="AD485" i="7"/>
  <c r="B486" i="7"/>
  <c r="C486" i="7"/>
  <c r="P486" i="7"/>
  <c r="Q486" i="7"/>
  <c r="R486" i="7"/>
  <c r="S486" i="7"/>
  <c r="T486" i="7"/>
  <c r="V486" i="7"/>
  <c r="AB486" i="7"/>
  <c r="AC486" i="7"/>
  <c r="AD486" i="7"/>
  <c r="B487" i="7"/>
  <c r="C487" i="7"/>
  <c r="P487" i="7"/>
  <c r="Q487" i="7"/>
  <c r="R487" i="7"/>
  <c r="S487" i="7"/>
  <c r="T487" i="7"/>
  <c r="V487" i="7"/>
  <c r="AB487" i="7"/>
  <c r="AC487" i="7"/>
  <c r="AD487" i="7"/>
  <c r="B488" i="7"/>
  <c r="C488" i="7"/>
  <c r="P488" i="7"/>
  <c r="Q488" i="7"/>
  <c r="R488" i="7"/>
  <c r="S488" i="7"/>
  <c r="T488" i="7"/>
  <c r="V488" i="7"/>
  <c r="AB488" i="7"/>
  <c r="AC488" i="7"/>
  <c r="AD488" i="7"/>
  <c r="B489" i="7"/>
  <c r="C489" i="7"/>
  <c r="P489" i="7"/>
  <c r="Q489" i="7"/>
  <c r="R489" i="7"/>
  <c r="S489" i="7"/>
  <c r="T489" i="7"/>
  <c r="V489" i="7"/>
  <c r="AB489" i="7"/>
  <c r="AC489" i="7"/>
  <c r="AD489" i="7"/>
  <c r="B490" i="7"/>
  <c r="C490" i="7"/>
  <c r="P490" i="7"/>
  <c r="Q490" i="7"/>
  <c r="R490" i="7"/>
  <c r="S490" i="7"/>
  <c r="T490" i="7"/>
  <c r="V490" i="7"/>
  <c r="AB490" i="7"/>
  <c r="AC490" i="7"/>
  <c r="AD490" i="7"/>
  <c r="B491" i="7"/>
  <c r="C491" i="7"/>
  <c r="P491" i="7"/>
  <c r="Q491" i="7"/>
  <c r="R491" i="7"/>
  <c r="S491" i="7"/>
  <c r="T491" i="7"/>
  <c r="V491" i="7"/>
  <c r="AB491" i="7"/>
  <c r="AC491" i="7"/>
  <c r="AD491" i="7"/>
  <c r="B492" i="7"/>
  <c r="C492" i="7"/>
  <c r="P492" i="7"/>
  <c r="Q492" i="7"/>
  <c r="R492" i="7"/>
  <c r="S492" i="7"/>
  <c r="T492" i="7"/>
  <c r="V492" i="7"/>
  <c r="AB492" i="7"/>
  <c r="AC492" i="7"/>
  <c r="AD492" i="7"/>
  <c r="B493" i="7"/>
  <c r="C493" i="7"/>
  <c r="P493" i="7"/>
  <c r="Q493" i="7"/>
  <c r="R493" i="7"/>
  <c r="S493" i="7"/>
  <c r="T493" i="7"/>
  <c r="V493" i="7"/>
  <c r="AB493" i="7"/>
  <c r="AC493" i="7"/>
  <c r="AD493" i="7"/>
  <c r="B494" i="7"/>
  <c r="C494" i="7"/>
  <c r="P494" i="7"/>
  <c r="Q494" i="7"/>
  <c r="R494" i="7"/>
  <c r="S494" i="7"/>
  <c r="T494" i="7"/>
  <c r="V494" i="7"/>
  <c r="AB494" i="7"/>
  <c r="AC494" i="7"/>
  <c r="AD494" i="7"/>
  <c r="B495" i="7"/>
  <c r="C495" i="7"/>
  <c r="P495" i="7"/>
  <c r="Q495" i="7"/>
  <c r="R495" i="7"/>
  <c r="S495" i="7"/>
  <c r="T495" i="7"/>
  <c r="V495" i="7"/>
  <c r="AB495" i="7"/>
  <c r="AC495" i="7"/>
  <c r="AD495" i="7"/>
  <c r="B496" i="7"/>
  <c r="C496" i="7"/>
  <c r="P496" i="7"/>
  <c r="Q496" i="7"/>
  <c r="R496" i="7"/>
  <c r="S496" i="7"/>
  <c r="T496" i="7"/>
  <c r="V496" i="7"/>
  <c r="AB496" i="7"/>
  <c r="AC496" i="7"/>
  <c r="AD496" i="7"/>
  <c r="B497" i="7"/>
  <c r="C497" i="7"/>
  <c r="P497" i="7"/>
  <c r="Q497" i="7"/>
  <c r="R497" i="7"/>
  <c r="S497" i="7"/>
  <c r="T497" i="7"/>
  <c r="V497" i="7"/>
  <c r="AB497" i="7"/>
  <c r="AC497" i="7"/>
  <c r="AD497" i="7"/>
  <c r="B498" i="7"/>
  <c r="C498" i="7"/>
  <c r="P498" i="7"/>
  <c r="Q498" i="7"/>
  <c r="R498" i="7"/>
  <c r="S498" i="7"/>
  <c r="T498" i="7"/>
  <c r="V498" i="7"/>
  <c r="AB498" i="7"/>
  <c r="AC498" i="7"/>
  <c r="AD498" i="7"/>
  <c r="B499" i="7"/>
  <c r="C499" i="7"/>
  <c r="P499" i="7"/>
  <c r="Q499" i="7"/>
  <c r="R499" i="7"/>
  <c r="S499" i="7"/>
  <c r="T499" i="7"/>
  <c r="V499" i="7"/>
  <c r="AB499" i="7"/>
  <c r="AC499" i="7"/>
  <c r="AD499" i="7"/>
  <c r="B500" i="7"/>
  <c r="C500" i="7"/>
  <c r="P500" i="7"/>
  <c r="Q500" i="7"/>
  <c r="R500" i="7"/>
  <c r="S500" i="7"/>
  <c r="T500" i="7"/>
  <c r="V500" i="7"/>
  <c r="AB500" i="7"/>
  <c r="AC500" i="7"/>
  <c r="AD500" i="7"/>
  <c r="B501" i="7"/>
  <c r="C501" i="7"/>
  <c r="P501" i="7"/>
  <c r="Q501" i="7"/>
  <c r="R501" i="7"/>
  <c r="S501" i="7"/>
  <c r="T501" i="7"/>
  <c r="V501" i="7"/>
  <c r="AB501" i="7"/>
  <c r="AC501" i="7"/>
  <c r="AD501" i="7"/>
  <c r="B502" i="7"/>
  <c r="C502" i="7"/>
  <c r="P502" i="7"/>
  <c r="Q502" i="7"/>
  <c r="R502" i="7"/>
  <c r="S502" i="7"/>
  <c r="T502" i="7"/>
  <c r="V502" i="7"/>
  <c r="AB502" i="7"/>
  <c r="AC502" i="7"/>
  <c r="AD502" i="7"/>
  <c r="B503" i="7"/>
  <c r="C503" i="7"/>
  <c r="P503" i="7"/>
  <c r="Q503" i="7"/>
  <c r="R503" i="7"/>
  <c r="S503" i="7"/>
  <c r="T503" i="7"/>
  <c r="V503" i="7"/>
  <c r="AB503" i="7"/>
  <c r="AC503" i="7"/>
  <c r="AD503" i="7"/>
  <c r="B504" i="7"/>
  <c r="C504" i="7"/>
  <c r="P504" i="7"/>
  <c r="Q504" i="7"/>
  <c r="R504" i="7"/>
  <c r="S504" i="7"/>
  <c r="T504" i="7"/>
  <c r="V504" i="7"/>
  <c r="AB504" i="7"/>
  <c r="AC504" i="7"/>
  <c r="AD504" i="7"/>
  <c r="B505" i="7"/>
  <c r="C505" i="7"/>
  <c r="P505" i="7"/>
  <c r="Q505" i="7"/>
  <c r="R505" i="7"/>
  <c r="S505" i="7"/>
  <c r="T505" i="7"/>
  <c r="V505" i="7"/>
  <c r="AB505" i="7"/>
  <c r="AC505" i="7"/>
  <c r="AD505" i="7"/>
  <c r="B506" i="7"/>
  <c r="C506" i="7"/>
  <c r="P506" i="7"/>
  <c r="Q506" i="7"/>
  <c r="R506" i="7"/>
  <c r="S506" i="7"/>
  <c r="T506" i="7"/>
  <c r="V506" i="7"/>
  <c r="AB506" i="7"/>
  <c r="AC506" i="7"/>
  <c r="AD506" i="7"/>
  <c r="B507" i="7"/>
  <c r="C507" i="7"/>
  <c r="P507" i="7"/>
  <c r="Q507" i="7"/>
  <c r="R507" i="7"/>
  <c r="S507" i="7"/>
  <c r="T507" i="7"/>
  <c r="V507" i="7"/>
  <c r="AB507" i="7"/>
  <c r="AC507" i="7"/>
  <c r="AD507" i="7"/>
  <c r="B508" i="7"/>
  <c r="C508" i="7"/>
  <c r="P508" i="7"/>
  <c r="Q508" i="7"/>
  <c r="R508" i="7"/>
  <c r="S508" i="7"/>
  <c r="T508" i="7"/>
  <c r="V508" i="7"/>
  <c r="AB508" i="7"/>
  <c r="AC508" i="7"/>
  <c r="AD508" i="7"/>
  <c r="B509" i="7"/>
  <c r="C509" i="7"/>
  <c r="P509" i="7"/>
  <c r="Q509" i="7"/>
  <c r="R509" i="7"/>
  <c r="S509" i="7"/>
  <c r="T509" i="7"/>
  <c r="V509" i="7"/>
  <c r="AB509" i="7"/>
  <c r="AC509" i="7"/>
  <c r="AD509" i="7"/>
  <c r="B510" i="7"/>
  <c r="C510" i="7"/>
  <c r="P510" i="7"/>
  <c r="Q510" i="7"/>
  <c r="R510" i="7"/>
  <c r="S510" i="7"/>
  <c r="T510" i="7"/>
  <c r="V510" i="7"/>
  <c r="AB510" i="7"/>
  <c r="AC510" i="7"/>
  <c r="AD510" i="7"/>
  <c r="B511" i="7"/>
  <c r="C511" i="7"/>
  <c r="P511" i="7"/>
  <c r="Q511" i="7"/>
  <c r="R511" i="7"/>
  <c r="S511" i="7"/>
  <c r="T511" i="7"/>
  <c r="V511" i="7"/>
  <c r="AB511" i="7"/>
  <c r="AC511" i="7"/>
  <c r="AD511" i="7"/>
  <c r="B512" i="7"/>
  <c r="C512" i="7"/>
  <c r="P512" i="7"/>
  <c r="Q512" i="7"/>
  <c r="R512" i="7"/>
  <c r="S512" i="7"/>
  <c r="T512" i="7"/>
  <c r="V512" i="7"/>
  <c r="AB512" i="7"/>
  <c r="AC512" i="7"/>
  <c r="AD512" i="7"/>
  <c r="B513" i="7"/>
  <c r="C513" i="7"/>
  <c r="P513" i="7"/>
  <c r="Q513" i="7"/>
  <c r="R513" i="7"/>
  <c r="S513" i="7"/>
  <c r="T513" i="7"/>
  <c r="V513" i="7"/>
  <c r="AB513" i="7"/>
  <c r="AC513" i="7"/>
  <c r="AD513" i="7"/>
  <c r="B514" i="7"/>
  <c r="C514" i="7"/>
  <c r="P514" i="7"/>
  <c r="Q514" i="7"/>
  <c r="R514" i="7"/>
  <c r="S514" i="7"/>
  <c r="T514" i="7"/>
  <c r="V514" i="7"/>
  <c r="AB514" i="7"/>
  <c r="AC514" i="7"/>
  <c r="AD514" i="7"/>
  <c r="B515" i="7"/>
  <c r="C515" i="7"/>
  <c r="P515" i="7"/>
  <c r="Q515" i="7"/>
  <c r="R515" i="7"/>
  <c r="S515" i="7"/>
  <c r="T515" i="7"/>
  <c r="V515" i="7"/>
  <c r="AB515" i="7"/>
  <c r="AC515" i="7"/>
  <c r="AD515" i="7"/>
  <c r="B516" i="7"/>
  <c r="C516" i="7"/>
  <c r="P516" i="7"/>
  <c r="Q516" i="7"/>
  <c r="R516" i="7"/>
  <c r="S516" i="7"/>
  <c r="T516" i="7"/>
  <c r="V516" i="7"/>
  <c r="AB516" i="7"/>
  <c r="AC516" i="7"/>
  <c r="AD516" i="7"/>
  <c r="B517" i="7"/>
  <c r="C517" i="7"/>
  <c r="P517" i="7"/>
  <c r="Q517" i="7"/>
  <c r="R517" i="7"/>
  <c r="S517" i="7"/>
  <c r="T517" i="7"/>
  <c r="V517" i="7"/>
  <c r="AB517" i="7"/>
  <c r="AC517" i="7"/>
  <c r="AD517" i="7"/>
  <c r="B518" i="7"/>
  <c r="C518" i="7"/>
  <c r="P518" i="7"/>
  <c r="Q518" i="7"/>
  <c r="R518" i="7"/>
  <c r="S518" i="7"/>
  <c r="T518" i="7"/>
  <c r="V518" i="7"/>
  <c r="AB518" i="7"/>
  <c r="AC518" i="7"/>
  <c r="AD518" i="7"/>
  <c r="B519" i="7"/>
  <c r="C519" i="7"/>
  <c r="P519" i="7"/>
  <c r="Q519" i="7"/>
  <c r="R519" i="7"/>
  <c r="S519" i="7"/>
  <c r="T519" i="7"/>
  <c r="V519" i="7"/>
  <c r="AB519" i="7"/>
  <c r="AC519" i="7"/>
  <c r="AD519" i="7"/>
  <c r="B520" i="7"/>
  <c r="C520" i="7"/>
  <c r="P520" i="7"/>
  <c r="Q520" i="7"/>
  <c r="R520" i="7"/>
  <c r="S520" i="7"/>
  <c r="T520" i="7"/>
  <c r="V520" i="7"/>
  <c r="AB520" i="7"/>
  <c r="AC520" i="7"/>
  <c r="AD520" i="7"/>
  <c r="B521" i="7"/>
  <c r="C521" i="7"/>
  <c r="P521" i="7"/>
  <c r="Q521" i="7"/>
  <c r="R521" i="7"/>
  <c r="S521" i="7"/>
  <c r="T521" i="7"/>
  <c r="V521" i="7"/>
  <c r="AB521" i="7"/>
  <c r="AC521" i="7"/>
  <c r="AD521" i="7"/>
  <c r="B522" i="7"/>
  <c r="C522" i="7"/>
  <c r="P522" i="7"/>
  <c r="Q522" i="7"/>
  <c r="R522" i="7"/>
  <c r="S522" i="7"/>
  <c r="T522" i="7"/>
  <c r="V522" i="7"/>
  <c r="AB522" i="7"/>
  <c r="AC522" i="7"/>
  <c r="AD522" i="7"/>
  <c r="B523" i="7"/>
  <c r="C523" i="7"/>
  <c r="P523" i="7"/>
  <c r="Q523" i="7"/>
  <c r="R523" i="7"/>
  <c r="S523" i="7"/>
  <c r="T523" i="7"/>
  <c r="V523" i="7"/>
  <c r="AB523" i="7"/>
  <c r="AC523" i="7"/>
  <c r="AD523" i="7"/>
  <c r="B524" i="7"/>
  <c r="C524" i="7"/>
  <c r="P524" i="7"/>
  <c r="Q524" i="7"/>
  <c r="R524" i="7"/>
  <c r="S524" i="7"/>
  <c r="T524" i="7"/>
  <c r="V524" i="7"/>
  <c r="AB524" i="7"/>
  <c r="AC524" i="7"/>
  <c r="AD524" i="7"/>
  <c r="B525" i="7"/>
  <c r="C525" i="7"/>
  <c r="P525" i="7"/>
  <c r="Q525" i="7"/>
  <c r="R525" i="7"/>
  <c r="S525" i="7"/>
  <c r="T525" i="7"/>
  <c r="V525" i="7"/>
  <c r="AB525" i="7"/>
  <c r="AC525" i="7"/>
  <c r="AD525" i="7"/>
  <c r="B526" i="7"/>
  <c r="C526" i="7"/>
  <c r="P526" i="7"/>
  <c r="Q526" i="7"/>
  <c r="R526" i="7"/>
  <c r="S526" i="7"/>
  <c r="T526" i="7"/>
  <c r="V526" i="7"/>
  <c r="AB526" i="7"/>
  <c r="AC526" i="7"/>
  <c r="AD526" i="7"/>
  <c r="B527" i="7"/>
  <c r="C527" i="7"/>
  <c r="P527" i="7"/>
  <c r="Q527" i="7"/>
  <c r="R527" i="7"/>
  <c r="S527" i="7"/>
  <c r="T527" i="7"/>
  <c r="V527" i="7"/>
  <c r="AB527" i="7"/>
  <c r="AC527" i="7"/>
  <c r="AD527" i="7"/>
  <c r="B528" i="7"/>
  <c r="C528" i="7"/>
  <c r="P528" i="7"/>
  <c r="Q528" i="7"/>
  <c r="R528" i="7"/>
  <c r="S528" i="7"/>
  <c r="T528" i="7"/>
  <c r="V528" i="7"/>
  <c r="AB528" i="7"/>
  <c r="AC528" i="7"/>
  <c r="AD528" i="7"/>
  <c r="B529" i="7"/>
  <c r="C529" i="7"/>
  <c r="P529" i="7"/>
  <c r="Q529" i="7"/>
  <c r="R529" i="7"/>
  <c r="S529" i="7"/>
  <c r="T529" i="7"/>
  <c r="V529" i="7"/>
  <c r="AB529" i="7"/>
  <c r="AC529" i="7"/>
  <c r="AD529" i="7"/>
  <c r="B530" i="7"/>
  <c r="C530" i="7"/>
  <c r="P530" i="7"/>
  <c r="Q530" i="7"/>
  <c r="R530" i="7"/>
  <c r="S530" i="7"/>
  <c r="T530" i="7"/>
  <c r="V530" i="7"/>
  <c r="AB530" i="7"/>
  <c r="AC530" i="7"/>
  <c r="AD530" i="7"/>
  <c r="B531" i="7"/>
  <c r="C531" i="7"/>
  <c r="P531" i="7"/>
  <c r="Q531" i="7"/>
  <c r="R531" i="7"/>
  <c r="S531" i="7"/>
  <c r="T531" i="7"/>
  <c r="V531" i="7"/>
  <c r="AB531" i="7"/>
  <c r="AC531" i="7"/>
  <c r="AD531" i="7"/>
  <c r="B532" i="7"/>
  <c r="C532" i="7"/>
  <c r="P532" i="7"/>
  <c r="Q532" i="7"/>
  <c r="R532" i="7"/>
  <c r="S532" i="7"/>
  <c r="T532" i="7"/>
  <c r="V532" i="7"/>
  <c r="AB532" i="7"/>
  <c r="AC532" i="7"/>
  <c r="AD532" i="7"/>
  <c r="B533" i="7"/>
  <c r="C533" i="7"/>
  <c r="P533" i="7"/>
  <c r="Q533" i="7"/>
  <c r="R533" i="7"/>
  <c r="S533" i="7"/>
  <c r="T533" i="7"/>
  <c r="V533" i="7"/>
  <c r="AB533" i="7"/>
  <c r="AC533" i="7"/>
  <c r="AD533" i="7"/>
  <c r="B534" i="7"/>
  <c r="C534" i="7"/>
  <c r="P534" i="7"/>
  <c r="Q534" i="7"/>
  <c r="R534" i="7"/>
  <c r="S534" i="7"/>
  <c r="T534" i="7"/>
  <c r="V534" i="7"/>
  <c r="AB534" i="7"/>
  <c r="AC534" i="7"/>
  <c r="AD534" i="7"/>
  <c r="B535" i="7"/>
  <c r="C535" i="7"/>
  <c r="P535" i="7"/>
  <c r="Q535" i="7"/>
  <c r="R535" i="7"/>
  <c r="S535" i="7"/>
  <c r="T535" i="7"/>
  <c r="V535" i="7"/>
  <c r="AB535" i="7"/>
  <c r="AC535" i="7"/>
  <c r="AD535" i="7"/>
  <c r="B536" i="7"/>
  <c r="C536" i="7"/>
  <c r="P536" i="7"/>
  <c r="Q536" i="7"/>
  <c r="R536" i="7"/>
  <c r="S536" i="7"/>
  <c r="T536" i="7"/>
  <c r="V536" i="7"/>
  <c r="AB536" i="7"/>
  <c r="AC536" i="7"/>
  <c r="AD536" i="7"/>
  <c r="B537" i="7"/>
  <c r="C537" i="7"/>
  <c r="P537" i="7"/>
  <c r="Q537" i="7"/>
  <c r="R537" i="7"/>
  <c r="S537" i="7"/>
  <c r="T537" i="7"/>
  <c r="V537" i="7"/>
  <c r="AB537" i="7"/>
  <c r="AC537" i="7"/>
  <c r="AD537" i="7"/>
  <c r="B538" i="7"/>
  <c r="C538" i="7"/>
  <c r="P538" i="7"/>
  <c r="Q538" i="7"/>
  <c r="R538" i="7"/>
  <c r="S538" i="7"/>
  <c r="T538" i="7"/>
  <c r="V538" i="7"/>
  <c r="AB538" i="7"/>
  <c r="AC538" i="7"/>
  <c r="AD538" i="7"/>
  <c r="B539" i="7"/>
  <c r="C539" i="7"/>
  <c r="P539" i="7"/>
  <c r="Q539" i="7"/>
  <c r="R539" i="7"/>
  <c r="S539" i="7"/>
  <c r="T539" i="7"/>
  <c r="V539" i="7"/>
  <c r="AB539" i="7"/>
  <c r="AC539" i="7"/>
  <c r="AD539" i="7"/>
  <c r="B540" i="7"/>
  <c r="C540" i="7"/>
  <c r="P540" i="7"/>
  <c r="Q540" i="7"/>
  <c r="R540" i="7"/>
  <c r="S540" i="7"/>
  <c r="T540" i="7"/>
  <c r="V540" i="7"/>
  <c r="AB540" i="7"/>
  <c r="AC540" i="7"/>
  <c r="AD540" i="7"/>
  <c r="B541" i="7"/>
  <c r="C541" i="7"/>
  <c r="P541" i="7"/>
  <c r="Q541" i="7"/>
  <c r="R541" i="7"/>
  <c r="S541" i="7"/>
  <c r="T541" i="7"/>
  <c r="V541" i="7"/>
  <c r="AB541" i="7"/>
  <c r="AC541" i="7"/>
  <c r="AD541" i="7"/>
  <c r="B542" i="7"/>
  <c r="C542" i="7"/>
  <c r="P542" i="7"/>
  <c r="Q542" i="7"/>
  <c r="R542" i="7"/>
  <c r="S542" i="7"/>
  <c r="T542" i="7"/>
  <c r="V542" i="7"/>
  <c r="AB542" i="7"/>
  <c r="AC542" i="7"/>
  <c r="AD542" i="7"/>
  <c r="B543" i="7"/>
  <c r="C543" i="7"/>
  <c r="P543" i="7"/>
  <c r="Q543" i="7"/>
  <c r="R543" i="7"/>
  <c r="S543" i="7"/>
  <c r="T543" i="7"/>
  <c r="V543" i="7"/>
  <c r="AB543" i="7"/>
  <c r="AC543" i="7"/>
  <c r="AD543" i="7"/>
  <c r="B544" i="7"/>
  <c r="C544" i="7"/>
  <c r="P544" i="7"/>
  <c r="Q544" i="7"/>
  <c r="R544" i="7"/>
  <c r="S544" i="7"/>
  <c r="T544" i="7"/>
  <c r="V544" i="7"/>
  <c r="AB544" i="7"/>
  <c r="AC544" i="7"/>
  <c r="AD544" i="7"/>
  <c r="B545" i="7"/>
  <c r="C545" i="7"/>
  <c r="P545" i="7"/>
  <c r="Q545" i="7"/>
  <c r="R545" i="7"/>
  <c r="S545" i="7"/>
  <c r="T545" i="7"/>
  <c r="V545" i="7"/>
  <c r="AB545" i="7"/>
  <c r="AC545" i="7"/>
  <c r="AD545" i="7"/>
  <c r="B546" i="7"/>
  <c r="C546" i="7"/>
  <c r="P546" i="7"/>
  <c r="Q546" i="7"/>
  <c r="R546" i="7"/>
  <c r="S546" i="7"/>
  <c r="T546" i="7"/>
  <c r="V546" i="7"/>
  <c r="AB546" i="7"/>
  <c r="AC546" i="7"/>
  <c r="AD546" i="7"/>
  <c r="B547" i="7"/>
  <c r="C547" i="7"/>
  <c r="P547" i="7"/>
  <c r="Q547" i="7"/>
  <c r="R547" i="7"/>
  <c r="S547" i="7"/>
  <c r="T547" i="7"/>
  <c r="V547" i="7"/>
  <c r="AB547" i="7"/>
  <c r="AC547" i="7"/>
  <c r="AD547" i="7"/>
  <c r="B548" i="7"/>
  <c r="C548" i="7"/>
  <c r="P548" i="7"/>
  <c r="Q548" i="7"/>
  <c r="R548" i="7"/>
  <c r="S548" i="7"/>
  <c r="T548" i="7"/>
  <c r="V548" i="7"/>
  <c r="AB548" i="7"/>
  <c r="AC548" i="7"/>
  <c r="AD548" i="7"/>
  <c r="B549" i="7"/>
  <c r="C549" i="7"/>
  <c r="P549" i="7"/>
  <c r="Q549" i="7"/>
  <c r="R549" i="7"/>
  <c r="S549" i="7"/>
  <c r="T549" i="7"/>
  <c r="V549" i="7"/>
  <c r="AB549" i="7"/>
  <c r="AC549" i="7"/>
  <c r="AD549" i="7"/>
  <c r="B550" i="7"/>
  <c r="C550" i="7"/>
  <c r="P550" i="7"/>
  <c r="Q550" i="7"/>
  <c r="R550" i="7"/>
  <c r="S550" i="7"/>
  <c r="T550" i="7"/>
  <c r="V550" i="7"/>
  <c r="AB550" i="7"/>
  <c r="AC550" i="7"/>
  <c r="AD550" i="7"/>
  <c r="B551" i="7"/>
  <c r="C551" i="7"/>
  <c r="P551" i="7"/>
  <c r="Q551" i="7"/>
  <c r="R551" i="7"/>
  <c r="S551" i="7"/>
  <c r="T551" i="7"/>
  <c r="V551" i="7"/>
  <c r="AB551" i="7"/>
  <c r="AC551" i="7"/>
  <c r="AD551" i="7"/>
  <c r="B552" i="7"/>
  <c r="C552" i="7"/>
  <c r="P552" i="7"/>
  <c r="Q552" i="7"/>
  <c r="R552" i="7"/>
  <c r="S552" i="7"/>
  <c r="T552" i="7"/>
  <c r="V552" i="7"/>
  <c r="AB552" i="7"/>
  <c r="AC552" i="7"/>
  <c r="AD552" i="7"/>
  <c r="B553" i="7"/>
  <c r="C553" i="7"/>
  <c r="P553" i="7"/>
  <c r="Q553" i="7"/>
  <c r="R553" i="7"/>
  <c r="S553" i="7"/>
  <c r="T553" i="7"/>
  <c r="V553" i="7"/>
  <c r="AB553" i="7"/>
  <c r="AC553" i="7"/>
  <c r="AD553" i="7"/>
  <c r="B554" i="7"/>
  <c r="C554" i="7"/>
  <c r="P554" i="7"/>
  <c r="Q554" i="7"/>
  <c r="R554" i="7"/>
  <c r="S554" i="7"/>
  <c r="T554" i="7"/>
  <c r="V554" i="7"/>
  <c r="AB554" i="7"/>
  <c r="AC554" i="7"/>
  <c r="AD554" i="7"/>
  <c r="B555" i="7"/>
  <c r="C555" i="7"/>
  <c r="P555" i="7"/>
  <c r="Q555" i="7"/>
  <c r="R555" i="7"/>
  <c r="S555" i="7"/>
  <c r="T555" i="7"/>
  <c r="V555" i="7"/>
  <c r="AB555" i="7"/>
  <c r="AC555" i="7"/>
  <c r="AD555" i="7"/>
  <c r="B556" i="7"/>
  <c r="C556" i="7"/>
  <c r="P556" i="7"/>
  <c r="Q556" i="7"/>
  <c r="R556" i="7"/>
  <c r="S556" i="7"/>
  <c r="T556" i="7"/>
  <c r="V556" i="7"/>
  <c r="AB556" i="7"/>
  <c r="AC556" i="7"/>
  <c r="AD556" i="7"/>
  <c r="B557" i="7"/>
  <c r="C557" i="7"/>
  <c r="P557" i="7"/>
  <c r="Q557" i="7"/>
  <c r="R557" i="7"/>
  <c r="S557" i="7"/>
  <c r="T557" i="7"/>
  <c r="V557" i="7"/>
  <c r="AB557" i="7"/>
  <c r="AC557" i="7"/>
  <c r="AD557" i="7"/>
  <c r="B558" i="7"/>
  <c r="C558" i="7"/>
  <c r="P558" i="7"/>
  <c r="Q558" i="7"/>
  <c r="R558" i="7"/>
  <c r="S558" i="7"/>
  <c r="T558" i="7"/>
  <c r="V558" i="7"/>
  <c r="AB558" i="7"/>
  <c r="AC558" i="7"/>
  <c r="AD558" i="7"/>
  <c r="B559" i="7"/>
  <c r="C559" i="7"/>
  <c r="P559" i="7"/>
  <c r="Q559" i="7"/>
  <c r="R559" i="7"/>
  <c r="S559" i="7"/>
  <c r="T559" i="7"/>
  <c r="V559" i="7"/>
  <c r="AB559" i="7"/>
  <c r="AC559" i="7"/>
  <c r="AD559" i="7"/>
  <c r="B560" i="7"/>
  <c r="C560" i="7"/>
  <c r="P560" i="7"/>
  <c r="Q560" i="7"/>
  <c r="R560" i="7"/>
  <c r="S560" i="7"/>
  <c r="T560" i="7"/>
  <c r="V560" i="7"/>
  <c r="AB560" i="7"/>
  <c r="AC560" i="7"/>
  <c r="AD560" i="7"/>
  <c r="B561" i="7"/>
  <c r="C561" i="7"/>
  <c r="P561" i="7"/>
  <c r="Q561" i="7"/>
  <c r="R561" i="7"/>
  <c r="S561" i="7"/>
  <c r="T561" i="7"/>
  <c r="V561" i="7"/>
  <c r="AB561" i="7"/>
  <c r="AC561" i="7"/>
  <c r="AD561" i="7"/>
  <c r="B562" i="7"/>
  <c r="C562" i="7"/>
  <c r="P562" i="7"/>
  <c r="Q562" i="7"/>
  <c r="R562" i="7"/>
  <c r="S562" i="7"/>
  <c r="T562" i="7"/>
  <c r="V562" i="7"/>
  <c r="AB562" i="7"/>
  <c r="AC562" i="7"/>
  <c r="AD562" i="7"/>
  <c r="B563" i="7"/>
  <c r="C563" i="7"/>
  <c r="P563" i="7"/>
  <c r="Q563" i="7"/>
  <c r="R563" i="7"/>
  <c r="S563" i="7"/>
  <c r="T563" i="7"/>
  <c r="V563" i="7"/>
  <c r="AB563" i="7"/>
  <c r="AC563" i="7"/>
  <c r="AD563" i="7"/>
  <c r="B564" i="7"/>
  <c r="C564" i="7"/>
  <c r="P564" i="7"/>
  <c r="Q564" i="7"/>
  <c r="R564" i="7"/>
  <c r="S564" i="7"/>
  <c r="T564" i="7"/>
  <c r="V564" i="7"/>
  <c r="AB564" i="7"/>
  <c r="AC564" i="7"/>
  <c r="AD564" i="7"/>
  <c r="B565" i="7"/>
  <c r="C565" i="7"/>
  <c r="P565" i="7"/>
  <c r="Q565" i="7"/>
  <c r="R565" i="7"/>
  <c r="S565" i="7"/>
  <c r="T565" i="7"/>
  <c r="V565" i="7"/>
  <c r="AB565" i="7"/>
  <c r="AC565" i="7"/>
  <c r="AD565" i="7"/>
  <c r="B566" i="7"/>
  <c r="C566" i="7"/>
  <c r="P566" i="7"/>
  <c r="Q566" i="7"/>
  <c r="R566" i="7"/>
  <c r="S566" i="7"/>
  <c r="T566" i="7"/>
  <c r="V566" i="7"/>
  <c r="AB566" i="7"/>
  <c r="AC566" i="7"/>
  <c r="AD566" i="7"/>
  <c r="B567" i="7"/>
  <c r="C567" i="7"/>
  <c r="P567" i="7"/>
  <c r="Q567" i="7"/>
  <c r="R567" i="7"/>
  <c r="S567" i="7"/>
  <c r="T567" i="7"/>
  <c r="V567" i="7"/>
  <c r="AB567" i="7"/>
  <c r="AC567" i="7"/>
  <c r="AD567" i="7"/>
  <c r="B568" i="7"/>
  <c r="C568" i="7"/>
  <c r="P568" i="7"/>
  <c r="Q568" i="7"/>
  <c r="R568" i="7"/>
  <c r="S568" i="7"/>
  <c r="T568" i="7"/>
  <c r="V568" i="7"/>
  <c r="AB568" i="7"/>
  <c r="AC568" i="7"/>
  <c r="AD568" i="7"/>
  <c r="B569" i="7"/>
  <c r="C569" i="7"/>
  <c r="P569" i="7"/>
  <c r="Q569" i="7"/>
  <c r="R569" i="7"/>
  <c r="S569" i="7"/>
  <c r="T569" i="7"/>
  <c r="V569" i="7"/>
  <c r="AB569" i="7"/>
  <c r="AC569" i="7"/>
  <c r="AD569" i="7"/>
  <c r="B570" i="7"/>
  <c r="C570" i="7"/>
  <c r="P570" i="7"/>
  <c r="Q570" i="7"/>
  <c r="R570" i="7"/>
  <c r="S570" i="7"/>
  <c r="T570" i="7"/>
  <c r="V570" i="7"/>
  <c r="AB570" i="7"/>
  <c r="AC570" i="7"/>
  <c r="AD570" i="7"/>
  <c r="B571" i="7"/>
  <c r="C571" i="7"/>
  <c r="P571" i="7"/>
  <c r="Q571" i="7"/>
  <c r="R571" i="7"/>
  <c r="S571" i="7"/>
  <c r="T571" i="7"/>
  <c r="V571" i="7"/>
  <c r="AB571" i="7"/>
  <c r="AC571" i="7"/>
  <c r="AD571" i="7"/>
  <c r="B572" i="7"/>
  <c r="C572" i="7"/>
  <c r="P572" i="7"/>
  <c r="Q572" i="7"/>
  <c r="R572" i="7"/>
  <c r="S572" i="7"/>
  <c r="T572" i="7"/>
  <c r="V572" i="7"/>
  <c r="AB572" i="7"/>
  <c r="AC572" i="7"/>
  <c r="AD572" i="7"/>
  <c r="B573" i="7"/>
  <c r="C573" i="7"/>
  <c r="P573" i="7"/>
  <c r="Q573" i="7"/>
  <c r="R573" i="7"/>
  <c r="S573" i="7"/>
  <c r="T573" i="7"/>
  <c r="V573" i="7"/>
  <c r="AB573" i="7"/>
  <c r="AC573" i="7"/>
  <c r="AD573" i="7"/>
  <c r="B574" i="7"/>
  <c r="C574" i="7"/>
  <c r="P574" i="7"/>
  <c r="Q574" i="7"/>
  <c r="R574" i="7"/>
  <c r="S574" i="7"/>
  <c r="T574" i="7"/>
  <c r="V574" i="7"/>
  <c r="AB574" i="7"/>
  <c r="AC574" i="7"/>
  <c r="AD574" i="7"/>
  <c r="B575" i="7"/>
  <c r="C575" i="7"/>
  <c r="P575" i="7"/>
  <c r="Q575" i="7"/>
  <c r="R575" i="7"/>
  <c r="S575" i="7"/>
  <c r="T575" i="7"/>
  <c r="V575" i="7"/>
  <c r="AB575" i="7"/>
  <c r="AC575" i="7"/>
  <c r="AD575" i="7"/>
  <c r="B576" i="7"/>
  <c r="C576" i="7"/>
  <c r="P576" i="7"/>
  <c r="Q576" i="7"/>
  <c r="R576" i="7"/>
  <c r="S576" i="7"/>
  <c r="T576" i="7"/>
  <c r="V576" i="7"/>
  <c r="AB576" i="7"/>
  <c r="AC576" i="7"/>
  <c r="AD576" i="7"/>
  <c r="B577" i="7"/>
  <c r="C577" i="7"/>
  <c r="P577" i="7"/>
  <c r="Q577" i="7"/>
  <c r="R577" i="7"/>
  <c r="S577" i="7"/>
  <c r="T577" i="7"/>
  <c r="V577" i="7"/>
  <c r="AB577" i="7"/>
  <c r="AC577" i="7"/>
  <c r="AD577" i="7"/>
  <c r="B578" i="7"/>
  <c r="C578" i="7"/>
  <c r="P578" i="7"/>
  <c r="Q578" i="7"/>
  <c r="R578" i="7"/>
  <c r="S578" i="7"/>
  <c r="T578" i="7"/>
  <c r="V578" i="7"/>
  <c r="AB578" i="7"/>
  <c r="AC578" i="7"/>
  <c r="AD578" i="7"/>
  <c r="B579" i="7"/>
  <c r="C579" i="7"/>
  <c r="P579" i="7"/>
  <c r="Q579" i="7"/>
  <c r="R579" i="7"/>
  <c r="S579" i="7"/>
  <c r="T579" i="7"/>
  <c r="V579" i="7"/>
  <c r="AB579" i="7"/>
  <c r="AC579" i="7"/>
  <c r="AD579" i="7"/>
  <c r="B580" i="7"/>
  <c r="C580" i="7"/>
  <c r="P580" i="7"/>
  <c r="Q580" i="7"/>
  <c r="R580" i="7"/>
  <c r="S580" i="7"/>
  <c r="T580" i="7"/>
  <c r="V580" i="7"/>
  <c r="AB580" i="7"/>
  <c r="AC580" i="7"/>
  <c r="AD580" i="7"/>
  <c r="B581" i="7"/>
  <c r="C581" i="7"/>
  <c r="P581" i="7"/>
  <c r="Q581" i="7"/>
  <c r="R581" i="7"/>
  <c r="S581" i="7"/>
  <c r="T581" i="7"/>
  <c r="V581" i="7"/>
  <c r="AB581" i="7"/>
  <c r="AC581" i="7"/>
  <c r="AD581" i="7"/>
  <c r="B582" i="7"/>
  <c r="C582" i="7"/>
  <c r="P582" i="7"/>
  <c r="Q582" i="7"/>
  <c r="R582" i="7"/>
  <c r="S582" i="7"/>
  <c r="T582" i="7"/>
  <c r="V582" i="7"/>
  <c r="AB582" i="7"/>
  <c r="AC582" i="7"/>
  <c r="AD582" i="7"/>
  <c r="B583" i="7"/>
  <c r="C583" i="7"/>
  <c r="P583" i="7"/>
  <c r="Q583" i="7"/>
  <c r="R583" i="7"/>
  <c r="S583" i="7"/>
  <c r="T583" i="7"/>
  <c r="V583" i="7"/>
  <c r="AB583" i="7"/>
  <c r="AC583" i="7"/>
  <c r="AD583" i="7"/>
  <c r="B584" i="7"/>
  <c r="C584" i="7"/>
  <c r="P584" i="7"/>
  <c r="Q584" i="7"/>
  <c r="R584" i="7"/>
  <c r="S584" i="7"/>
  <c r="T584" i="7"/>
  <c r="V584" i="7"/>
  <c r="AB584" i="7"/>
  <c r="AC584" i="7"/>
  <c r="AD584" i="7"/>
  <c r="B585" i="7"/>
  <c r="C585" i="7"/>
  <c r="P585" i="7"/>
  <c r="Q585" i="7"/>
  <c r="R585" i="7"/>
  <c r="S585" i="7"/>
  <c r="T585" i="7"/>
  <c r="V585" i="7"/>
  <c r="AB585" i="7"/>
  <c r="AC585" i="7"/>
  <c r="AD585" i="7"/>
  <c r="B586" i="7"/>
  <c r="C586" i="7"/>
  <c r="P586" i="7"/>
  <c r="Q586" i="7"/>
  <c r="R586" i="7"/>
  <c r="S586" i="7"/>
  <c r="T586" i="7"/>
  <c r="V586" i="7"/>
  <c r="AB586" i="7"/>
  <c r="AC586" i="7"/>
  <c r="AD586" i="7"/>
  <c r="B587" i="7"/>
  <c r="C587" i="7"/>
  <c r="P587" i="7"/>
  <c r="Q587" i="7"/>
  <c r="R587" i="7"/>
  <c r="S587" i="7"/>
  <c r="T587" i="7"/>
  <c r="V587" i="7"/>
  <c r="AB587" i="7"/>
  <c r="AC587" i="7"/>
  <c r="AD587" i="7"/>
  <c r="B588" i="7"/>
  <c r="C588" i="7"/>
  <c r="P588" i="7"/>
  <c r="Q588" i="7"/>
  <c r="R588" i="7"/>
  <c r="S588" i="7"/>
  <c r="T588" i="7"/>
  <c r="V588" i="7"/>
  <c r="AB588" i="7"/>
  <c r="AC588" i="7"/>
  <c r="AD588" i="7"/>
  <c r="B589" i="7"/>
  <c r="C589" i="7"/>
  <c r="P589" i="7"/>
  <c r="Q589" i="7"/>
  <c r="R589" i="7"/>
  <c r="S589" i="7"/>
  <c r="T589" i="7"/>
  <c r="V589" i="7"/>
  <c r="AB589" i="7"/>
  <c r="AC589" i="7"/>
  <c r="AD589" i="7"/>
  <c r="B590" i="7"/>
  <c r="C590" i="7"/>
  <c r="P590" i="7"/>
  <c r="Q590" i="7"/>
  <c r="R590" i="7"/>
  <c r="S590" i="7"/>
  <c r="T590" i="7"/>
  <c r="V590" i="7"/>
  <c r="AB590" i="7"/>
  <c r="AC590" i="7"/>
  <c r="AD590" i="7"/>
  <c r="B591" i="7"/>
  <c r="C591" i="7"/>
  <c r="P591" i="7"/>
  <c r="Q591" i="7"/>
  <c r="R591" i="7"/>
  <c r="S591" i="7"/>
  <c r="T591" i="7"/>
  <c r="V591" i="7"/>
  <c r="AB591" i="7"/>
  <c r="AC591" i="7"/>
  <c r="AD591" i="7"/>
  <c r="B592" i="7"/>
  <c r="C592" i="7"/>
  <c r="P592" i="7"/>
  <c r="Q592" i="7"/>
  <c r="R592" i="7"/>
  <c r="S592" i="7"/>
  <c r="T592" i="7"/>
  <c r="V592" i="7"/>
  <c r="AB592" i="7"/>
  <c r="AC592" i="7"/>
  <c r="AD592" i="7"/>
  <c r="B593" i="7"/>
  <c r="C593" i="7"/>
  <c r="P593" i="7"/>
  <c r="Q593" i="7"/>
  <c r="R593" i="7"/>
  <c r="S593" i="7"/>
  <c r="T593" i="7"/>
  <c r="V593" i="7"/>
  <c r="AB593" i="7"/>
  <c r="AC593" i="7"/>
  <c r="AD593" i="7"/>
  <c r="B594" i="7"/>
  <c r="C594" i="7"/>
  <c r="P594" i="7"/>
  <c r="Q594" i="7"/>
  <c r="R594" i="7"/>
  <c r="S594" i="7"/>
  <c r="T594" i="7"/>
  <c r="V594" i="7"/>
  <c r="AB594" i="7"/>
  <c r="AC594" i="7"/>
  <c r="AD594" i="7"/>
  <c r="B595" i="7"/>
  <c r="C595" i="7"/>
  <c r="P595" i="7"/>
  <c r="Q595" i="7"/>
  <c r="R595" i="7"/>
  <c r="S595" i="7"/>
  <c r="T595" i="7"/>
  <c r="V595" i="7"/>
  <c r="AB595" i="7"/>
  <c r="AC595" i="7"/>
  <c r="AD595" i="7"/>
  <c r="B596" i="7"/>
  <c r="C596" i="7"/>
  <c r="P596" i="7"/>
  <c r="Q596" i="7"/>
  <c r="R596" i="7"/>
  <c r="S596" i="7"/>
  <c r="T596" i="7"/>
  <c r="V596" i="7"/>
  <c r="AB596" i="7"/>
  <c r="AC596" i="7"/>
  <c r="AD596" i="7"/>
  <c r="B597" i="7"/>
  <c r="C597" i="7"/>
  <c r="P597" i="7"/>
  <c r="Q597" i="7"/>
  <c r="R597" i="7"/>
  <c r="S597" i="7"/>
  <c r="T597" i="7"/>
  <c r="V597" i="7"/>
  <c r="AB597" i="7"/>
  <c r="AC597" i="7"/>
  <c r="AD597" i="7"/>
  <c r="B598" i="7"/>
  <c r="C598" i="7"/>
  <c r="P598" i="7"/>
  <c r="Q598" i="7"/>
  <c r="R598" i="7"/>
  <c r="S598" i="7"/>
  <c r="T598" i="7"/>
  <c r="V598" i="7"/>
  <c r="AB598" i="7"/>
  <c r="AC598" i="7"/>
  <c r="AD598" i="7"/>
  <c r="B599" i="7"/>
  <c r="C599" i="7"/>
  <c r="P599" i="7"/>
  <c r="Q599" i="7"/>
  <c r="R599" i="7"/>
  <c r="S599" i="7"/>
  <c r="T599" i="7"/>
  <c r="V599" i="7"/>
  <c r="AB599" i="7"/>
  <c r="AC599" i="7"/>
  <c r="AD599" i="7"/>
  <c r="B600" i="7"/>
  <c r="C600" i="7"/>
  <c r="P600" i="7"/>
  <c r="Q600" i="7"/>
  <c r="R600" i="7"/>
  <c r="S600" i="7"/>
  <c r="T600" i="7"/>
  <c r="V600" i="7"/>
  <c r="AB600" i="7"/>
  <c r="AC600" i="7"/>
  <c r="AD600" i="7"/>
  <c r="B601" i="7"/>
  <c r="C601" i="7"/>
  <c r="P601" i="7"/>
  <c r="Q601" i="7"/>
  <c r="R601" i="7"/>
  <c r="S601" i="7"/>
  <c r="T601" i="7"/>
  <c r="V601" i="7"/>
  <c r="AB601" i="7"/>
  <c r="AC601" i="7"/>
  <c r="AD601" i="7"/>
  <c r="B602" i="7"/>
  <c r="C602" i="7"/>
  <c r="P602" i="7"/>
  <c r="Q602" i="7"/>
  <c r="R602" i="7"/>
  <c r="S602" i="7"/>
  <c r="T602" i="7"/>
  <c r="V602" i="7"/>
  <c r="AB602" i="7"/>
  <c r="AC602" i="7"/>
  <c r="AD602" i="7"/>
  <c r="B603" i="7"/>
  <c r="C603" i="7"/>
  <c r="P603" i="7"/>
  <c r="Q603" i="7"/>
  <c r="R603" i="7"/>
  <c r="S603" i="7"/>
  <c r="T603" i="7"/>
  <c r="V603" i="7"/>
  <c r="AB603" i="7"/>
  <c r="AC603" i="7"/>
  <c r="AD603" i="7"/>
  <c r="B604" i="7"/>
  <c r="C604" i="7"/>
  <c r="P604" i="7"/>
  <c r="Q604" i="7"/>
  <c r="R604" i="7"/>
  <c r="S604" i="7"/>
  <c r="T604" i="7"/>
  <c r="V604" i="7"/>
  <c r="AB604" i="7"/>
  <c r="AC604" i="7"/>
  <c r="AD604" i="7"/>
  <c r="B605" i="7"/>
  <c r="C605" i="7"/>
  <c r="P605" i="7"/>
  <c r="Q605" i="7"/>
  <c r="R605" i="7"/>
  <c r="S605" i="7"/>
  <c r="T605" i="7"/>
  <c r="V605" i="7"/>
  <c r="AB605" i="7"/>
  <c r="AC605" i="7"/>
  <c r="AD605" i="7"/>
  <c r="B606" i="7"/>
  <c r="C606" i="7"/>
  <c r="P606" i="7"/>
  <c r="Q606" i="7"/>
  <c r="R606" i="7"/>
  <c r="S606" i="7"/>
  <c r="T606" i="7"/>
  <c r="V606" i="7"/>
  <c r="AB606" i="7"/>
  <c r="AC606" i="7"/>
  <c r="AD606" i="7"/>
  <c r="B607" i="7"/>
  <c r="C607" i="7"/>
  <c r="P607" i="7"/>
  <c r="Q607" i="7"/>
  <c r="R607" i="7"/>
  <c r="S607" i="7"/>
  <c r="T607" i="7"/>
  <c r="V607" i="7"/>
  <c r="AB607" i="7"/>
  <c r="AC607" i="7"/>
  <c r="AD607" i="7"/>
  <c r="B608" i="7"/>
  <c r="C608" i="7"/>
  <c r="P608" i="7"/>
  <c r="Q608" i="7"/>
  <c r="R608" i="7"/>
  <c r="S608" i="7"/>
  <c r="T608" i="7"/>
  <c r="V608" i="7"/>
  <c r="AB608" i="7"/>
  <c r="AC608" i="7"/>
  <c r="AD608" i="7"/>
  <c r="B609" i="7"/>
  <c r="C609" i="7"/>
  <c r="P609" i="7"/>
  <c r="Q609" i="7"/>
  <c r="R609" i="7"/>
  <c r="S609" i="7"/>
  <c r="T609" i="7"/>
  <c r="V609" i="7"/>
  <c r="AB609" i="7"/>
  <c r="AC609" i="7"/>
  <c r="AD609" i="7"/>
  <c r="B610" i="7"/>
  <c r="C610" i="7"/>
  <c r="P610" i="7"/>
  <c r="Q610" i="7"/>
  <c r="R610" i="7"/>
  <c r="S610" i="7"/>
  <c r="T610" i="7"/>
  <c r="V610" i="7"/>
  <c r="AB610" i="7"/>
  <c r="AC610" i="7"/>
  <c r="AD610" i="7"/>
  <c r="B611" i="7"/>
  <c r="C611" i="7"/>
  <c r="P611" i="7"/>
  <c r="Q611" i="7"/>
  <c r="R611" i="7"/>
  <c r="S611" i="7"/>
  <c r="T611" i="7"/>
  <c r="V611" i="7"/>
  <c r="AB611" i="7"/>
  <c r="AC611" i="7"/>
  <c r="AD611" i="7"/>
  <c r="B612" i="7"/>
  <c r="C612" i="7"/>
  <c r="P612" i="7"/>
  <c r="Q612" i="7"/>
  <c r="R612" i="7"/>
  <c r="S612" i="7"/>
  <c r="T612" i="7"/>
  <c r="V612" i="7"/>
  <c r="AB612" i="7"/>
  <c r="AC612" i="7"/>
  <c r="AD612" i="7"/>
  <c r="B613" i="7"/>
  <c r="C613" i="7"/>
  <c r="P613" i="7"/>
  <c r="Q613" i="7"/>
  <c r="R613" i="7"/>
  <c r="S613" i="7"/>
  <c r="T613" i="7"/>
  <c r="V613" i="7"/>
  <c r="AB613" i="7"/>
  <c r="AC613" i="7"/>
  <c r="AD613" i="7"/>
  <c r="B614" i="7"/>
  <c r="C614" i="7"/>
  <c r="P614" i="7"/>
  <c r="Q614" i="7"/>
  <c r="R614" i="7"/>
  <c r="S614" i="7"/>
  <c r="T614" i="7"/>
  <c r="V614" i="7"/>
  <c r="AB614" i="7"/>
  <c r="AC614" i="7"/>
  <c r="AD614" i="7"/>
  <c r="A618" i="7"/>
  <c r="B618" i="7"/>
  <c r="C618" i="7"/>
  <c r="D618" i="7"/>
  <c r="E618" i="7"/>
  <c r="F618" i="7"/>
  <c r="G618" i="7"/>
  <c r="H618" i="7"/>
  <c r="I618" i="7"/>
  <c r="J618" i="7"/>
  <c r="K618" i="7"/>
  <c r="L618" i="7"/>
  <c r="M618" i="7"/>
  <c r="N618" i="7"/>
  <c r="O618" i="7"/>
  <c r="P618" i="7"/>
  <c r="Q618" i="7"/>
  <c r="R618" i="7"/>
  <c r="S618" i="7"/>
  <c r="T618" i="7"/>
  <c r="W618" i="7"/>
  <c r="Y618" i="7"/>
  <c r="Z618" i="7"/>
  <c r="AA618" i="7"/>
  <c r="AB618" i="7"/>
  <c r="AC618" i="7"/>
  <c r="AD618" i="7"/>
  <c r="A619" i="7"/>
  <c r="B619" i="7"/>
  <c r="C619" i="7"/>
  <c r="D619" i="7"/>
  <c r="E619" i="7"/>
  <c r="F619" i="7"/>
  <c r="G619" i="7"/>
  <c r="H619" i="7"/>
  <c r="I619" i="7"/>
  <c r="J619" i="7"/>
  <c r="K619" i="7"/>
  <c r="L619" i="7"/>
  <c r="M619" i="7"/>
  <c r="N619" i="7"/>
  <c r="O619" i="7"/>
  <c r="P619" i="7"/>
  <c r="Q619" i="7"/>
  <c r="R619" i="7"/>
  <c r="S619" i="7"/>
  <c r="T619" i="7"/>
  <c r="Y619" i="7"/>
  <c r="Z619" i="7"/>
  <c r="AA619" i="7"/>
  <c r="AB619" i="7"/>
  <c r="AC619" i="7"/>
  <c r="AD619" i="7"/>
  <c r="B620" i="7"/>
  <c r="C620" i="7"/>
  <c r="P620" i="7"/>
  <c r="Q620" i="7"/>
  <c r="R620" i="7"/>
  <c r="S620" i="7"/>
  <c r="T620" i="7"/>
  <c r="AB620" i="7"/>
  <c r="AC620" i="7"/>
  <c r="AD620" i="7"/>
  <c r="B621" i="7"/>
  <c r="C621" i="7"/>
  <c r="P621" i="7"/>
  <c r="Q621" i="7"/>
  <c r="R621" i="7"/>
  <c r="S621" i="7"/>
  <c r="T621" i="7"/>
  <c r="AB621" i="7"/>
  <c r="AC621" i="7"/>
  <c r="AD621" i="7"/>
  <c r="B622" i="7"/>
  <c r="C622" i="7"/>
  <c r="P622" i="7"/>
  <c r="Q622" i="7"/>
  <c r="R622" i="7"/>
  <c r="S622" i="7"/>
  <c r="T622" i="7"/>
  <c r="AB622" i="7"/>
  <c r="AC622" i="7"/>
  <c r="AD622" i="7"/>
  <c r="B623" i="7"/>
  <c r="C623" i="7"/>
  <c r="P623" i="7"/>
  <c r="Q623" i="7"/>
  <c r="R623" i="7"/>
  <c r="S623" i="7"/>
  <c r="T623" i="7"/>
  <c r="AB623" i="7"/>
  <c r="AC623" i="7"/>
  <c r="AD623" i="7"/>
  <c r="X2" i="3"/>
  <c r="Y2" i="3"/>
  <c r="H2" i="5"/>
  <c r="J2" i="5"/>
  <c r="R2" i="5"/>
  <c r="S2" i="5"/>
  <c r="T2" i="5"/>
  <c r="U2" i="5"/>
  <c r="V2" i="5"/>
  <c r="H3" i="5"/>
  <c r="J3" i="5"/>
  <c r="R3" i="5"/>
  <c r="S3" i="5"/>
  <c r="T3" i="5"/>
  <c r="U3" i="5"/>
  <c r="V3" i="5"/>
  <c r="H4" i="5"/>
  <c r="J4" i="5"/>
  <c r="R4" i="5"/>
  <c r="S4" i="5"/>
  <c r="T4" i="5"/>
  <c r="U4" i="5"/>
  <c r="V4" i="5"/>
  <c r="H5" i="5"/>
  <c r="J5" i="5"/>
  <c r="R5" i="5"/>
  <c r="S5" i="5"/>
  <c r="T5" i="5"/>
  <c r="U5" i="5"/>
  <c r="V5" i="5"/>
  <c r="H6" i="5"/>
  <c r="J6" i="5"/>
  <c r="R6" i="5"/>
  <c r="S6" i="5"/>
  <c r="T6" i="5"/>
  <c r="U6" i="5"/>
  <c r="V6" i="5"/>
  <c r="H7" i="5"/>
  <c r="J7" i="5"/>
  <c r="R7" i="5"/>
  <c r="S7" i="5"/>
  <c r="T7" i="5"/>
  <c r="U7" i="5"/>
  <c r="V7" i="5"/>
  <c r="H8" i="5"/>
  <c r="J8" i="5"/>
  <c r="R8" i="5"/>
  <c r="S8" i="5"/>
  <c r="T8" i="5"/>
  <c r="U8" i="5"/>
  <c r="V8" i="5"/>
  <c r="H9" i="5"/>
  <c r="J9" i="5"/>
  <c r="R9" i="5"/>
  <c r="S9" i="5"/>
  <c r="T9" i="5"/>
  <c r="U9" i="5"/>
  <c r="V9" i="5"/>
  <c r="H10" i="5"/>
  <c r="J10" i="5"/>
  <c r="R10" i="5"/>
  <c r="S10" i="5"/>
  <c r="T10" i="5"/>
  <c r="U10" i="5"/>
  <c r="V10" i="5"/>
  <c r="H11" i="5"/>
  <c r="J11" i="5"/>
  <c r="R11" i="5"/>
  <c r="S11" i="5"/>
  <c r="T11" i="5"/>
  <c r="U11" i="5"/>
  <c r="V11" i="5"/>
  <c r="H12" i="5"/>
  <c r="J12" i="5"/>
  <c r="R12" i="5"/>
  <c r="S12" i="5"/>
  <c r="T12" i="5"/>
  <c r="U12" i="5"/>
  <c r="V12" i="5"/>
  <c r="H13" i="5"/>
  <c r="J13" i="5"/>
  <c r="R13" i="5"/>
  <c r="S13" i="5"/>
  <c r="T13" i="5"/>
  <c r="U13" i="5"/>
  <c r="V13" i="5"/>
  <c r="H14" i="5"/>
  <c r="J14" i="5"/>
  <c r="R14" i="5"/>
  <c r="S14" i="5"/>
  <c r="T14" i="5"/>
  <c r="U14" i="5"/>
  <c r="V14" i="5"/>
  <c r="H15" i="5"/>
  <c r="J15" i="5"/>
  <c r="R15" i="5"/>
  <c r="S15" i="5"/>
  <c r="T15" i="5"/>
  <c r="U15" i="5"/>
  <c r="V15" i="5"/>
  <c r="H16" i="5"/>
  <c r="J16" i="5"/>
  <c r="R16" i="5"/>
  <c r="S16" i="5"/>
  <c r="T16" i="5"/>
  <c r="U16" i="5"/>
  <c r="V16" i="5"/>
  <c r="H17" i="5"/>
  <c r="J17" i="5"/>
  <c r="R17" i="5"/>
  <c r="S17" i="5"/>
  <c r="T17" i="5"/>
  <c r="U17" i="5"/>
  <c r="V17" i="5"/>
  <c r="H18" i="5"/>
  <c r="J18" i="5"/>
  <c r="R18" i="5"/>
  <c r="S18" i="5"/>
  <c r="T18" i="5"/>
  <c r="U18" i="5"/>
  <c r="V18" i="5"/>
  <c r="H19" i="5"/>
  <c r="J19" i="5"/>
  <c r="R19" i="5"/>
  <c r="S19" i="5"/>
  <c r="T19" i="5"/>
  <c r="U19" i="5"/>
  <c r="V19" i="5"/>
  <c r="H20" i="5"/>
  <c r="J20" i="5"/>
  <c r="R20" i="5"/>
  <c r="S20" i="5"/>
  <c r="T20" i="5"/>
  <c r="U20" i="5"/>
  <c r="V20" i="5"/>
  <c r="H21" i="5"/>
  <c r="J21" i="5"/>
  <c r="R21" i="5"/>
  <c r="S21" i="5"/>
  <c r="T21" i="5"/>
  <c r="U21" i="5"/>
  <c r="V21" i="5"/>
  <c r="H22" i="5"/>
  <c r="J22" i="5"/>
  <c r="R22" i="5"/>
  <c r="S22" i="5"/>
  <c r="T22" i="5"/>
  <c r="U22" i="5"/>
  <c r="V22" i="5"/>
  <c r="H23" i="5"/>
  <c r="J23" i="5"/>
  <c r="R23" i="5"/>
  <c r="S23" i="5"/>
  <c r="T23" i="5"/>
  <c r="U23" i="5"/>
  <c r="V23" i="5"/>
  <c r="H24" i="5"/>
  <c r="J24" i="5"/>
  <c r="R24" i="5"/>
  <c r="S24" i="5"/>
  <c r="T24" i="5"/>
  <c r="U24" i="5"/>
  <c r="V24" i="5"/>
  <c r="H25" i="5"/>
  <c r="J25" i="5"/>
  <c r="R25" i="5"/>
  <c r="S25" i="5"/>
  <c r="T25" i="5"/>
  <c r="U25" i="5"/>
  <c r="V25" i="5"/>
  <c r="H26" i="5"/>
  <c r="J26" i="5"/>
  <c r="R26" i="5"/>
  <c r="S26" i="5"/>
  <c r="T26" i="5"/>
  <c r="U26" i="5"/>
  <c r="V26" i="5"/>
  <c r="H27" i="5"/>
  <c r="J27" i="5"/>
  <c r="R27" i="5"/>
  <c r="S27" i="5"/>
  <c r="T27" i="5"/>
  <c r="U27" i="5"/>
  <c r="V27" i="5"/>
  <c r="H28" i="5"/>
  <c r="J28" i="5"/>
  <c r="R28" i="5"/>
  <c r="S28" i="5"/>
  <c r="T28" i="5"/>
  <c r="U28" i="5"/>
  <c r="V28" i="5"/>
  <c r="H29" i="5"/>
  <c r="J29" i="5"/>
  <c r="R29" i="5"/>
  <c r="S29" i="5"/>
  <c r="T29" i="5"/>
  <c r="U29" i="5"/>
  <c r="V29" i="5"/>
  <c r="H30" i="5"/>
  <c r="J30" i="5"/>
  <c r="R30" i="5"/>
  <c r="S30" i="5"/>
  <c r="T30" i="5"/>
  <c r="U30" i="5"/>
  <c r="V30" i="5"/>
  <c r="H31" i="5"/>
  <c r="J31" i="5"/>
  <c r="R31" i="5"/>
  <c r="S31" i="5"/>
  <c r="T31" i="5"/>
  <c r="U31" i="5"/>
  <c r="V31" i="5"/>
  <c r="H32" i="5"/>
  <c r="J32" i="5"/>
  <c r="R32" i="5"/>
  <c r="S32" i="5"/>
  <c r="T32" i="5"/>
  <c r="U32" i="5"/>
  <c r="V32" i="5"/>
  <c r="H33" i="5"/>
  <c r="J33" i="5"/>
  <c r="R33" i="5"/>
  <c r="S33" i="5"/>
  <c r="T33" i="5"/>
  <c r="U33" i="5"/>
  <c r="V33" i="5"/>
  <c r="H34" i="5"/>
  <c r="J34" i="5"/>
  <c r="R34" i="5"/>
  <c r="S34" i="5"/>
  <c r="T34" i="5"/>
  <c r="U34" i="5"/>
  <c r="V34" i="5"/>
  <c r="H35" i="5"/>
  <c r="J35" i="5"/>
  <c r="R35" i="5"/>
  <c r="S35" i="5"/>
  <c r="T35" i="5"/>
  <c r="U35" i="5"/>
  <c r="V35" i="5"/>
  <c r="H36" i="5"/>
  <c r="J36" i="5"/>
  <c r="R36" i="5"/>
  <c r="S36" i="5"/>
  <c r="T36" i="5"/>
  <c r="U36" i="5"/>
  <c r="V36" i="5"/>
  <c r="H37" i="5"/>
  <c r="J37" i="5"/>
  <c r="R37" i="5"/>
  <c r="S37" i="5"/>
  <c r="T37" i="5"/>
  <c r="U37" i="5"/>
  <c r="V37" i="5"/>
  <c r="H38" i="5"/>
  <c r="J38" i="5"/>
  <c r="R38" i="5"/>
  <c r="S38" i="5"/>
  <c r="T38" i="5"/>
  <c r="U38" i="5"/>
  <c r="V38" i="5"/>
  <c r="H39" i="5"/>
  <c r="J39" i="5"/>
  <c r="R39" i="5"/>
  <c r="S39" i="5"/>
  <c r="T39" i="5"/>
  <c r="U39" i="5"/>
  <c r="V39" i="5"/>
  <c r="H40" i="5"/>
  <c r="J40" i="5"/>
  <c r="R40" i="5"/>
  <c r="S40" i="5"/>
  <c r="T40" i="5"/>
  <c r="U40" i="5"/>
  <c r="V40" i="5"/>
  <c r="H41" i="5"/>
  <c r="J41" i="5"/>
  <c r="R41" i="5"/>
  <c r="S41" i="5"/>
  <c r="T41" i="5"/>
  <c r="U41" i="5"/>
  <c r="V41" i="5"/>
  <c r="H42" i="5"/>
  <c r="J42" i="5"/>
  <c r="R42" i="5"/>
  <c r="S42" i="5"/>
  <c r="T42" i="5"/>
  <c r="U42" i="5"/>
  <c r="V42" i="5"/>
  <c r="H43" i="5"/>
  <c r="J43" i="5"/>
  <c r="R43" i="5"/>
  <c r="S43" i="5"/>
  <c r="T43" i="5"/>
  <c r="U43" i="5"/>
  <c r="V43" i="5"/>
  <c r="H44" i="5"/>
  <c r="J44" i="5"/>
  <c r="R44" i="5"/>
  <c r="S44" i="5"/>
  <c r="T44" i="5"/>
  <c r="U44" i="5"/>
  <c r="V44" i="5"/>
  <c r="H45" i="5"/>
  <c r="J45" i="5"/>
  <c r="R45" i="5"/>
  <c r="S45" i="5"/>
  <c r="T45" i="5"/>
  <c r="U45" i="5"/>
  <c r="V45" i="5"/>
  <c r="H46" i="5"/>
  <c r="J46" i="5"/>
  <c r="R46" i="5"/>
  <c r="S46" i="5"/>
  <c r="T46" i="5"/>
  <c r="U46" i="5"/>
  <c r="V46" i="5"/>
  <c r="H47" i="5"/>
  <c r="J47" i="5"/>
  <c r="R47" i="5"/>
  <c r="S47" i="5"/>
  <c r="T47" i="5"/>
  <c r="U47" i="5"/>
  <c r="V47" i="5"/>
  <c r="H48" i="5"/>
  <c r="J48" i="5"/>
  <c r="R48" i="5"/>
  <c r="S48" i="5"/>
  <c r="T48" i="5"/>
  <c r="U48" i="5"/>
  <c r="V48" i="5"/>
  <c r="H49" i="5"/>
  <c r="J49" i="5"/>
  <c r="R49" i="5"/>
  <c r="S49" i="5"/>
  <c r="T49" i="5"/>
  <c r="U49" i="5"/>
  <c r="V49" i="5"/>
  <c r="H50" i="5"/>
  <c r="J50" i="5"/>
  <c r="R50" i="5"/>
  <c r="S50" i="5"/>
  <c r="T50" i="5"/>
  <c r="U50" i="5"/>
  <c r="V50" i="5"/>
  <c r="H51" i="5"/>
  <c r="J51" i="5"/>
  <c r="R51" i="5"/>
  <c r="S51" i="5"/>
  <c r="T51" i="5"/>
  <c r="U51" i="5"/>
  <c r="V51" i="5"/>
  <c r="H52" i="5"/>
  <c r="J52" i="5"/>
  <c r="R52" i="5"/>
  <c r="S52" i="5"/>
  <c r="T52" i="5"/>
  <c r="U52" i="5"/>
  <c r="V52" i="5"/>
  <c r="H53" i="5"/>
  <c r="J53" i="5"/>
  <c r="R53" i="5"/>
  <c r="S53" i="5"/>
  <c r="T53" i="5"/>
  <c r="U53" i="5"/>
  <c r="V53" i="5"/>
  <c r="H54" i="5"/>
  <c r="J54" i="5"/>
  <c r="R54" i="5"/>
  <c r="S54" i="5"/>
  <c r="T54" i="5"/>
  <c r="U54" i="5"/>
  <c r="V54" i="5"/>
  <c r="H55" i="5"/>
  <c r="J55" i="5"/>
  <c r="R55" i="5"/>
  <c r="S55" i="5"/>
  <c r="T55" i="5"/>
  <c r="U55" i="5"/>
  <c r="V55" i="5"/>
  <c r="H56" i="5"/>
  <c r="J56" i="5"/>
  <c r="R56" i="5"/>
  <c r="S56" i="5"/>
  <c r="T56" i="5"/>
  <c r="U56" i="5"/>
  <c r="V56" i="5"/>
  <c r="H57" i="5"/>
  <c r="J57" i="5"/>
  <c r="R57" i="5"/>
  <c r="S57" i="5"/>
  <c r="T57" i="5"/>
  <c r="U57" i="5"/>
  <c r="V57" i="5"/>
  <c r="H58" i="5"/>
  <c r="J58" i="5"/>
  <c r="R58" i="5"/>
  <c r="S58" i="5"/>
  <c r="T58" i="5"/>
  <c r="U58" i="5"/>
  <c r="V58" i="5"/>
  <c r="H59" i="5"/>
  <c r="J59" i="5"/>
  <c r="R59" i="5"/>
  <c r="S59" i="5"/>
  <c r="T59" i="5"/>
  <c r="U59" i="5"/>
  <c r="V59" i="5"/>
  <c r="H60" i="5"/>
  <c r="J60" i="5"/>
  <c r="R60" i="5"/>
  <c r="S60" i="5"/>
  <c r="T60" i="5"/>
  <c r="U60" i="5"/>
  <c r="V60" i="5"/>
  <c r="H61" i="5"/>
  <c r="J61" i="5"/>
  <c r="R61" i="5"/>
  <c r="S61" i="5"/>
  <c r="T61" i="5"/>
  <c r="U61" i="5"/>
  <c r="V61" i="5"/>
  <c r="H62" i="5"/>
  <c r="J62" i="5"/>
  <c r="R62" i="5"/>
  <c r="S62" i="5"/>
  <c r="T62" i="5"/>
  <c r="U62" i="5"/>
  <c r="V62" i="5"/>
  <c r="H63" i="5"/>
  <c r="J63" i="5"/>
  <c r="R63" i="5"/>
  <c r="S63" i="5"/>
  <c r="T63" i="5"/>
  <c r="U63" i="5"/>
  <c r="V63" i="5"/>
  <c r="H64" i="5"/>
  <c r="J64" i="5"/>
  <c r="R64" i="5"/>
  <c r="S64" i="5"/>
  <c r="T64" i="5"/>
  <c r="U64" i="5"/>
  <c r="V64" i="5"/>
  <c r="H65" i="5"/>
  <c r="J65" i="5"/>
  <c r="R65" i="5"/>
  <c r="S65" i="5"/>
  <c r="T65" i="5"/>
  <c r="U65" i="5"/>
  <c r="V65" i="5"/>
  <c r="H66" i="5"/>
  <c r="J66" i="5"/>
  <c r="R66" i="5"/>
  <c r="S66" i="5"/>
  <c r="T66" i="5"/>
  <c r="U66" i="5"/>
  <c r="V66" i="5"/>
  <c r="H67" i="5"/>
  <c r="J67" i="5"/>
  <c r="R67" i="5"/>
  <c r="S67" i="5"/>
  <c r="T67" i="5"/>
  <c r="U67" i="5"/>
  <c r="V67" i="5"/>
  <c r="H68" i="5"/>
  <c r="J68" i="5"/>
  <c r="R68" i="5"/>
  <c r="S68" i="5"/>
  <c r="T68" i="5"/>
  <c r="U68" i="5"/>
  <c r="V68" i="5"/>
  <c r="H69" i="5"/>
  <c r="J69" i="5"/>
  <c r="R69" i="5"/>
  <c r="S69" i="5"/>
  <c r="T69" i="5"/>
  <c r="U69" i="5"/>
  <c r="V69" i="5"/>
  <c r="H70" i="5"/>
  <c r="J70" i="5"/>
  <c r="R70" i="5"/>
  <c r="S70" i="5"/>
  <c r="T70" i="5"/>
  <c r="U70" i="5"/>
  <c r="V70" i="5"/>
  <c r="H71" i="5"/>
  <c r="J71" i="5"/>
  <c r="R71" i="5"/>
  <c r="S71" i="5"/>
  <c r="T71" i="5"/>
  <c r="U71" i="5"/>
  <c r="V71" i="5"/>
  <c r="H72" i="5"/>
  <c r="J72" i="5"/>
  <c r="R72" i="5"/>
  <c r="S72" i="5"/>
  <c r="T72" i="5"/>
  <c r="U72" i="5"/>
  <c r="V72" i="5"/>
  <c r="H73" i="5"/>
  <c r="J73" i="5"/>
  <c r="R73" i="5"/>
  <c r="S73" i="5"/>
  <c r="T73" i="5"/>
  <c r="U73" i="5"/>
  <c r="V73" i="5"/>
  <c r="H74" i="5"/>
  <c r="J74" i="5"/>
  <c r="R74" i="5"/>
  <c r="S74" i="5"/>
  <c r="T74" i="5"/>
  <c r="U74" i="5"/>
  <c r="V74" i="5"/>
  <c r="H75" i="5"/>
  <c r="J75" i="5"/>
  <c r="R75" i="5"/>
  <c r="S75" i="5"/>
  <c r="T75" i="5"/>
  <c r="U75" i="5"/>
  <c r="V75" i="5"/>
  <c r="H76" i="5"/>
  <c r="J76" i="5"/>
  <c r="R76" i="5"/>
  <c r="S76" i="5"/>
  <c r="T76" i="5"/>
  <c r="U76" i="5"/>
  <c r="V76" i="5"/>
  <c r="H77" i="5"/>
  <c r="J77" i="5"/>
  <c r="R77" i="5"/>
  <c r="S77" i="5"/>
  <c r="T77" i="5"/>
  <c r="U77" i="5"/>
  <c r="V77" i="5"/>
  <c r="H78" i="5"/>
  <c r="J78" i="5"/>
  <c r="R78" i="5"/>
  <c r="S78" i="5"/>
  <c r="T78" i="5"/>
  <c r="U78" i="5"/>
  <c r="V78" i="5"/>
  <c r="H79" i="5"/>
  <c r="J79" i="5"/>
  <c r="R79" i="5"/>
  <c r="S79" i="5"/>
  <c r="T79" i="5"/>
  <c r="U79" i="5"/>
  <c r="V79" i="5"/>
  <c r="H80" i="5"/>
  <c r="J80" i="5"/>
  <c r="R80" i="5"/>
  <c r="S80" i="5"/>
  <c r="T80" i="5"/>
  <c r="U80" i="5"/>
  <c r="V80" i="5"/>
  <c r="H81" i="5"/>
  <c r="J81" i="5"/>
  <c r="R81" i="5"/>
  <c r="S81" i="5"/>
  <c r="T81" i="5"/>
  <c r="U81" i="5"/>
  <c r="V81" i="5"/>
  <c r="H82" i="5"/>
  <c r="J82" i="5"/>
  <c r="R82" i="5"/>
  <c r="S82" i="5"/>
  <c r="T82" i="5"/>
  <c r="U82" i="5"/>
  <c r="V82" i="5"/>
  <c r="H83" i="5"/>
  <c r="J83" i="5"/>
  <c r="R83" i="5"/>
  <c r="S83" i="5"/>
  <c r="T83" i="5"/>
  <c r="U83" i="5"/>
  <c r="V83" i="5"/>
  <c r="H84" i="5"/>
  <c r="J84" i="5"/>
  <c r="R84" i="5"/>
  <c r="S84" i="5"/>
  <c r="T84" i="5"/>
  <c r="U84" i="5"/>
  <c r="V84" i="5"/>
  <c r="H85" i="5"/>
  <c r="J85" i="5"/>
  <c r="R85" i="5"/>
  <c r="S85" i="5"/>
  <c r="T85" i="5"/>
  <c r="U85" i="5"/>
  <c r="V85" i="5"/>
  <c r="H86" i="5"/>
  <c r="J86" i="5"/>
  <c r="R86" i="5"/>
  <c r="S86" i="5"/>
  <c r="T86" i="5"/>
  <c r="U86" i="5"/>
  <c r="V86" i="5"/>
  <c r="H87" i="5"/>
  <c r="J87" i="5"/>
  <c r="R87" i="5"/>
  <c r="S87" i="5"/>
  <c r="T87" i="5"/>
  <c r="U87" i="5"/>
  <c r="V87" i="5"/>
  <c r="H88" i="5"/>
  <c r="J88" i="5"/>
  <c r="R88" i="5"/>
  <c r="S88" i="5"/>
  <c r="T88" i="5"/>
  <c r="U88" i="5"/>
  <c r="V88" i="5"/>
  <c r="H89" i="5"/>
  <c r="J89" i="5"/>
  <c r="R89" i="5"/>
  <c r="S89" i="5"/>
  <c r="T89" i="5"/>
  <c r="U89" i="5"/>
  <c r="V89" i="5"/>
  <c r="H90" i="5"/>
  <c r="J90" i="5"/>
  <c r="R90" i="5"/>
  <c r="S90" i="5"/>
  <c r="T90" i="5"/>
  <c r="U90" i="5"/>
  <c r="V90" i="5"/>
  <c r="H91" i="5"/>
  <c r="J91" i="5"/>
  <c r="R91" i="5"/>
  <c r="S91" i="5"/>
  <c r="T91" i="5"/>
  <c r="U91" i="5"/>
  <c r="V91" i="5"/>
  <c r="H92" i="5"/>
  <c r="J92" i="5"/>
  <c r="R92" i="5"/>
  <c r="S92" i="5"/>
  <c r="T92" i="5"/>
  <c r="U92" i="5"/>
  <c r="V92" i="5"/>
  <c r="H93" i="5"/>
  <c r="J93" i="5"/>
  <c r="R93" i="5"/>
  <c r="S93" i="5"/>
  <c r="T93" i="5"/>
  <c r="U93" i="5"/>
  <c r="V93" i="5"/>
  <c r="H94" i="5"/>
  <c r="J94" i="5"/>
  <c r="R94" i="5"/>
  <c r="S94" i="5"/>
  <c r="T94" i="5"/>
  <c r="U94" i="5"/>
  <c r="V94" i="5"/>
  <c r="H95" i="5"/>
  <c r="J95" i="5"/>
  <c r="R95" i="5"/>
  <c r="S95" i="5"/>
  <c r="T95" i="5"/>
  <c r="U95" i="5"/>
  <c r="V95" i="5"/>
  <c r="H96" i="5"/>
  <c r="J96" i="5"/>
  <c r="R96" i="5"/>
  <c r="S96" i="5"/>
  <c r="T96" i="5"/>
  <c r="U96" i="5"/>
  <c r="V96" i="5"/>
  <c r="H97" i="5"/>
  <c r="J97" i="5"/>
  <c r="R97" i="5"/>
  <c r="S97" i="5"/>
  <c r="T97" i="5"/>
  <c r="U97" i="5"/>
  <c r="V97" i="5"/>
  <c r="H98" i="5"/>
  <c r="J98" i="5"/>
  <c r="R98" i="5"/>
  <c r="S98" i="5"/>
  <c r="T98" i="5"/>
  <c r="U98" i="5"/>
  <c r="V98" i="5"/>
  <c r="H99" i="5"/>
  <c r="J99" i="5"/>
  <c r="R99" i="5"/>
  <c r="S99" i="5"/>
  <c r="T99" i="5"/>
  <c r="U99" i="5"/>
  <c r="V99" i="5"/>
  <c r="H100" i="5"/>
  <c r="J100" i="5"/>
  <c r="R100" i="5"/>
  <c r="S100" i="5"/>
  <c r="T100" i="5"/>
  <c r="U100" i="5"/>
  <c r="V100" i="5"/>
  <c r="H101" i="5"/>
  <c r="J101" i="5"/>
  <c r="R101" i="5"/>
  <c r="S101" i="5"/>
  <c r="T101" i="5"/>
  <c r="U101" i="5"/>
  <c r="V101" i="5"/>
  <c r="H102" i="5"/>
  <c r="J102" i="5"/>
  <c r="R102" i="5"/>
  <c r="S102" i="5"/>
  <c r="T102" i="5"/>
  <c r="U102" i="5"/>
  <c r="V102" i="5"/>
  <c r="H103" i="5"/>
  <c r="J103" i="5"/>
  <c r="R103" i="5"/>
  <c r="S103" i="5"/>
  <c r="T103" i="5"/>
  <c r="U103" i="5"/>
  <c r="V103" i="5"/>
  <c r="H104" i="5"/>
  <c r="J104" i="5"/>
  <c r="R104" i="5"/>
  <c r="S104" i="5"/>
  <c r="T104" i="5"/>
  <c r="U104" i="5"/>
  <c r="V104" i="5"/>
  <c r="H105" i="5"/>
  <c r="J105" i="5"/>
  <c r="R105" i="5"/>
  <c r="S105" i="5"/>
  <c r="T105" i="5"/>
  <c r="U105" i="5"/>
  <c r="V105" i="5"/>
  <c r="H106" i="5"/>
  <c r="J106" i="5"/>
  <c r="R106" i="5"/>
  <c r="S106" i="5"/>
  <c r="T106" i="5"/>
  <c r="U106" i="5"/>
  <c r="V106" i="5"/>
  <c r="H107" i="5"/>
  <c r="J107" i="5"/>
  <c r="R107" i="5"/>
  <c r="S107" i="5"/>
  <c r="T107" i="5"/>
  <c r="U107" i="5"/>
  <c r="V107" i="5"/>
  <c r="H108" i="5"/>
  <c r="J108" i="5"/>
  <c r="R108" i="5"/>
  <c r="S108" i="5"/>
  <c r="T108" i="5"/>
  <c r="U108" i="5"/>
  <c r="V108" i="5"/>
  <c r="H109" i="5"/>
  <c r="J109" i="5"/>
  <c r="R109" i="5"/>
  <c r="S109" i="5"/>
  <c r="T109" i="5"/>
  <c r="U109" i="5"/>
  <c r="V109" i="5"/>
  <c r="H110" i="5"/>
  <c r="J110" i="5"/>
  <c r="R110" i="5"/>
  <c r="S110" i="5"/>
  <c r="T110" i="5"/>
  <c r="U110" i="5"/>
  <c r="V110" i="5"/>
  <c r="H111" i="5"/>
  <c r="J111" i="5"/>
  <c r="R111" i="5"/>
  <c r="S111" i="5"/>
  <c r="T111" i="5"/>
  <c r="U111" i="5"/>
  <c r="V111" i="5"/>
  <c r="H112" i="5"/>
  <c r="J112" i="5"/>
  <c r="R112" i="5"/>
  <c r="S112" i="5"/>
  <c r="T112" i="5"/>
  <c r="U112" i="5"/>
  <c r="V112" i="5"/>
  <c r="H113" i="5"/>
  <c r="J113" i="5"/>
  <c r="R113" i="5"/>
  <c r="S113" i="5"/>
  <c r="T113" i="5"/>
  <c r="U113" i="5"/>
  <c r="V113" i="5"/>
  <c r="H114" i="5"/>
  <c r="J114" i="5"/>
  <c r="R114" i="5"/>
  <c r="S114" i="5"/>
  <c r="T114" i="5"/>
  <c r="U114" i="5"/>
  <c r="V114" i="5"/>
  <c r="H115" i="5"/>
  <c r="J115" i="5"/>
  <c r="R115" i="5"/>
  <c r="S115" i="5"/>
  <c r="T115" i="5"/>
  <c r="U115" i="5"/>
  <c r="V115" i="5"/>
  <c r="H116" i="5"/>
  <c r="J116" i="5"/>
  <c r="R116" i="5"/>
  <c r="S116" i="5"/>
  <c r="T116" i="5"/>
  <c r="U116" i="5"/>
  <c r="V116" i="5"/>
  <c r="H117" i="5"/>
  <c r="J117" i="5"/>
  <c r="R117" i="5"/>
  <c r="S117" i="5"/>
  <c r="T117" i="5"/>
  <c r="U117" i="5"/>
  <c r="V117" i="5"/>
  <c r="H118" i="5"/>
  <c r="J118" i="5"/>
  <c r="R118" i="5"/>
  <c r="S118" i="5"/>
  <c r="T118" i="5"/>
  <c r="U118" i="5"/>
  <c r="V118" i="5"/>
  <c r="H119" i="5"/>
  <c r="J119" i="5"/>
  <c r="R119" i="5"/>
  <c r="S119" i="5"/>
  <c r="T119" i="5"/>
  <c r="U119" i="5"/>
  <c r="V119" i="5"/>
  <c r="H120" i="5"/>
  <c r="J120" i="5"/>
  <c r="R120" i="5"/>
  <c r="S120" i="5"/>
  <c r="T120" i="5"/>
  <c r="U120" i="5"/>
  <c r="V120" i="5"/>
  <c r="H121" i="5"/>
  <c r="J121" i="5"/>
  <c r="R121" i="5"/>
  <c r="S121" i="5"/>
  <c r="T121" i="5"/>
  <c r="U121" i="5"/>
  <c r="V121" i="5"/>
  <c r="H122" i="5"/>
  <c r="J122" i="5"/>
  <c r="R122" i="5"/>
  <c r="S122" i="5"/>
  <c r="T122" i="5"/>
  <c r="U122" i="5"/>
  <c r="V122" i="5"/>
  <c r="H123" i="5"/>
  <c r="J123" i="5"/>
  <c r="R123" i="5"/>
  <c r="S123" i="5"/>
  <c r="T123" i="5"/>
  <c r="U123" i="5"/>
  <c r="V123" i="5"/>
  <c r="H124" i="5"/>
  <c r="J124" i="5"/>
  <c r="R124" i="5"/>
  <c r="S124" i="5"/>
  <c r="T124" i="5"/>
  <c r="U124" i="5"/>
  <c r="V124" i="5"/>
  <c r="H125" i="5"/>
  <c r="J125" i="5"/>
  <c r="R125" i="5"/>
  <c r="S125" i="5"/>
  <c r="T125" i="5"/>
  <c r="U125" i="5"/>
  <c r="V125" i="5"/>
  <c r="H126" i="5"/>
  <c r="J126" i="5"/>
  <c r="R126" i="5"/>
  <c r="S126" i="5"/>
  <c r="T126" i="5"/>
  <c r="U126" i="5"/>
  <c r="V126" i="5"/>
  <c r="H127" i="5"/>
  <c r="J127" i="5"/>
  <c r="R127" i="5"/>
  <c r="S127" i="5"/>
  <c r="T127" i="5"/>
  <c r="U127" i="5"/>
  <c r="V127" i="5"/>
  <c r="H128" i="5"/>
  <c r="J128" i="5"/>
  <c r="R128" i="5"/>
  <c r="S128" i="5"/>
  <c r="T128" i="5"/>
  <c r="U128" i="5"/>
  <c r="V128" i="5"/>
  <c r="H129" i="5"/>
  <c r="J129" i="5"/>
  <c r="R129" i="5"/>
  <c r="S129" i="5"/>
  <c r="T129" i="5"/>
  <c r="U129" i="5"/>
  <c r="V129" i="5"/>
  <c r="H130" i="5"/>
  <c r="J130" i="5"/>
  <c r="R130" i="5"/>
  <c r="S130" i="5"/>
  <c r="T130" i="5"/>
  <c r="U130" i="5"/>
  <c r="V130" i="5"/>
  <c r="H131" i="5"/>
  <c r="J131" i="5"/>
  <c r="R131" i="5"/>
  <c r="S131" i="5"/>
  <c r="T131" i="5"/>
  <c r="U131" i="5"/>
  <c r="V131" i="5"/>
  <c r="H132" i="5"/>
  <c r="J132" i="5"/>
  <c r="R132" i="5"/>
  <c r="S132" i="5"/>
  <c r="T132" i="5"/>
  <c r="U132" i="5"/>
  <c r="V132" i="5"/>
  <c r="H133" i="5"/>
  <c r="J133" i="5"/>
  <c r="R133" i="5"/>
  <c r="S133" i="5"/>
  <c r="T133" i="5"/>
  <c r="U133" i="5"/>
  <c r="V133" i="5"/>
  <c r="H134" i="5"/>
  <c r="J134" i="5"/>
  <c r="R134" i="5"/>
  <c r="S134" i="5"/>
  <c r="T134" i="5"/>
  <c r="U134" i="5"/>
  <c r="V134" i="5"/>
  <c r="H135" i="5"/>
  <c r="J135" i="5"/>
  <c r="R135" i="5"/>
  <c r="S135" i="5"/>
  <c r="T135" i="5"/>
  <c r="U135" i="5"/>
  <c r="V135" i="5"/>
  <c r="H136" i="5"/>
  <c r="J136" i="5"/>
  <c r="R136" i="5"/>
  <c r="S136" i="5"/>
  <c r="T136" i="5"/>
  <c r="U136" i="5"/>
  <c r="V136" i="5"/>
  <c r="H137" i="5"/>
  <c r="J137" i="5"/>
  <c r="R137" i="5"/>
  <c r="S137" i="5"/>
  <c r="T137" i="5"/>
  <c r="U137" i="5"/>
  <c r="V137" i="5"/>
  <c r="H138" i="5"/>
  <c r="J138" i="5"/>
  <c r="R138" i="5"/>
  <c r="S138" i="5"/>
  <c r="T138" i="5"/>
  <c r="U138" i="5"/>
  <c r="V138" i="5"/>
  <c r="H139" i="5"/>
  <c r="J139" i="5"/>
  <c r="R139" i="5"/>
  <c r="S139" i="5"/>
  <c r="T139" i="5"/>
  <c r="U139" i="5"/>
  <c r="V139" i="5"/>
  <c r="H140" i="5"/>
  <c r="J140" i="5"/>
  <c r="R140" i="5"/>
  <c r="S140" i="5"/>
  <c r="T140" i="5"/>
  <c r="U140" i="5"/>
  <c r="V140" i="5"/>
  <c r="H141" i="5"/>
  <c r="J141" i="5"/>
  <c r="R141" i="5"/>
  <c r="S141" i="5"/>
  <c r="T141" i="5"/>
  <c r="U141" i="5"/>
  <c r="V141" i="5"/>
  <c r="H142" i="5"/>
  <c r="J142" i="5"/>
  <c r="R142" i="5"/>
  <c r="S142" i="5"/>
  <c r="T142" i="5"/>
  <c r="U142" i="5"/>
  <c r="V142" i="5"/>
  <c r="H143" i="5"/>
  <c r="J143" i="5"/>
  <c r="R143" i="5"/>
  <c r="S143" i="5"/>
  <c r="T143" i="5"/>
  <c r="U143" i="5"/>
  <c r="V143" i="5"/>
  <c r="H144" i="5"/>
  <c r="J144" i="5"/>
  <c r="R144" i="5"/>
  <c r="S144" i="5"/>
  <c r="T144" i="5"/>
  <c r="U144" i="5"/>
  <c r="V144" i="5"/>
  <c r="H145" i="5"/>
  <c r="J145" i="5"/>
  <c r="R145" i="5"/>
  <c r="S145" i="5"/>
  <c r="T145" i="5"/>
  <c r="U145" i="5"/>
  <c r="V145" i="5"/>
  <c r="H146" i="5"/>
  <c r="J146" i="5"/>
  <c r="R146" i="5"/>
  <c r="S146" i="5"/>
  <c r="T146" i="5"/>
  <c r="U146" i="5"/>
  <c r="V146" i="5"/>
  <c r="H147" i="5"/>
  <c r="J147" i="5"/>
  <c r="R147" i="5"/>
  <c r="S147" i="5"/>
  <c r="T147" i="5"/>
  <c r="U147" i="5"/>
  <c r="V147" i="5"/>
  <c r="H148" i="5"/>
  <c r="J148" i="5"/>
  <c r="R148" i="5"/>
  <c r="S148" i="5"/>
  <c r="T148" i="5"/>
  <c r="U148" i="5"/>
  <c r="V148" i="5"/>
  <c r="H149" i="5"/>
  <c r="J149" i="5"/>
  <c r="R149" i="5"/>
  <c r="S149" i="5"/>
  <c r="T149" i="5"/>
  <c r="U149" i="5"/>
  <c r="V149" i="5"/>
  <c r="H150" i="5"/>
  <c r="J150" i="5"/>
  <c r="R150" i="5"/>
  <c r="S150" i="5"/>
  <c r="T150" i="5"/>
  <c r="U150" i="5"/>
  <c r="V150" i="5"/>
  <c r="H151" i="5"/>
  <c r="J151" i="5"/>
  <c r="R151" i="5"/>
  <c r="S151" i="5"/>
  <c r="T151" i="5"/>
  <c r="U151" i="5"/>
  <c r="V151" i="5"/>
  <c r="H152" i="5"/>
  <c r="J152" i="5"/>
  <c r="R152" i="5"/>
  <c r="S152" i="5"/>
  <c r="T152" i="5"/>
  <c r="U152" i="5"/>
  <c r="V152" i="5"/>
  <c r="H153" i="5"/>
  <c r="J153" i="5"/>
  <c r="R153" i="5"/>
  <c r="S153" i="5"/>
  <c r="T153" i="5"/>
  <c r="U153" i="5"/>
  <c r="V153" i="5"/>
  <c r="H154" i="5"/>
  <c r="J154" i="5"/>
  <c r="R154" i="5"/>
  <c r="S154" i="5"/>
  <c r="T154" i="5"/>
  <c r="U154" i="5"/>
  <c r="V154" i="5"/>
  <c r="H155" i="5"/>
  <c r="J155" i="5"/>
  <c r="R155" i="5"/>
  <c r="S155" i="5"/>
  <c r="T155" i="5"/>
  <c r="U155" i="5"/>
  <c r="V155" i="5"/>
  <c r="H156" i="5"/>
  <c r="J156" i="5"/>
  <c r="R156" i="5"/>
  <c r="S156" i="5"/>
  <c r="T156" i="5"/>
  <c r="U156" i="5"/>
  <c r="V156" i="5"/>
  <c r="H157" i="5"/>
  <c r="J157" i="5"/>
  <c r="R157" i="5"/>
  <c r="S157" i="5"/>
  <c r="T157" i="5"/>
  <c r="U157" i="5"/>
  <c r="V157" i="5"/>
  <c r="H158" i="5"/>
  <c r="J158" i="5"/>
  <c r="R158" i="5"/>
  <c r="S158" i="5"/>
  <c r="T158" i="5"/>
  <c r="U158" i="5"/>
  <c r="V158" i="5"/>
  <c r="H159" i="5"/>
  <c r="J159" i="5"/>
  <c r="R159" i="5"/>
  <c r="S159" i="5"/>
  <c r="T159" i="5"/>
  <c r="U159" i="5"/>
  <c r="V159" i="5"/>
  <c r="H160" i="5"/>
  <c r="J160" i="5"/>
  <c r="R160" i="5"/>
  <c r="S160" i="5"/>
  <c r="T160" i="5"/>
  <c r="U160" i="5"/>
  <c r="V160" i="5"/>
  <c r="H161" i="5"/>
  <c r="J161" i="5"/>
  <c r="R161" i="5"/>
  <c r="S161" i="5"/>
  <c r="T161" i="5"/>
  <c r="U161" i="5"/>
  <c r="V161" i="5"/>
  <c r="H162" i="5"/>
  <c r="J162" i="5"/>
  <c r="R162" i="5"/>
  <c r="S162" i="5"/>
  <c r="T162" i="5"/>
  <c r="U162" i="5"/>
  <c r="V162" i="5"/>
  <c r="H163" i="5"/>
  <c r="J163" i="5"/>
  <c r="R163" i="5"/>
  <c r="S163" i="5"/>
  <c r="T163" i="5"/>
  <c r="U163" i="5"/>
  <c r="V163" i="5"/>
  <c r="H164" i="5"/>
  <c r="J164" i="5"/>
  <c r="R164" i="5"/>
  <c r="S164" i="5"/>
  <c r="T164" i="5"/>
  <c r="U164" i="5"/>
  <c r="V164" i="5"/>
  <c r="H165" i="5"/>
  <c r="J165" i="5"/>
  <c r="R165" i="5"/>
  <c r="S165" i="5"/>
  <c r="T165" i="5"/>
  <c r="U165" i="5"/>
  <c r="V165" i="5"/>
  <c r="H166" i="5"/>
  <c r="J166" i="5"/>
  <c r="R166" i="5"/>
  <c r="S166" i="5"/>
  <c r="T166" i="5"/>
  <c r="U166" i="5"/>
  <c r="V166" i="5"/>
  <c r="H167" i="5"/>
  <c r="J167" i="5"/>
  <c r="R167" i="5"/>
  <c r="S167" i="5"/>
  <c r="T167" i="5"/>
  <c r="U167" i="5"/>
  <c r="V167" i="5"/>
  <c r="H168" i="5"/>
  <c r="J168" i="5"/>
  <c r="R168" i="5"/>
  <c r="S168" i="5"/>
  <c r="T168" i="5"/>
  <c r="U168" i="5"/>
  <c r="V168" i="5"/>
  <c r="H169" i="5"/>
  <c r="J169" i="5"/>
  <c r="R169" i="5"/>
  <c r="S169" i="5"/>
  <c r="T169" i="5"/>
  <c r="U169" i="5"/>
  <c r="V169" i="5"/>
  <c r="H170" i="5"/>
  <c r="J170" i="5"/>
  <c r="R170" i="5"/>
  <c r="S170" i="5"/>
  <c r="T170" i="5"/>
  <c r="U170" i="5"/>
  <c r="V170" i="5"/>
  <c r="H171" i="5"/>
  <c r="J171" i="5"/>
  <c r="R171" i="5"/>
  <c r="S171" i="5"/>
  <c r="T171" i="5"/>
  <c r="U171" i="5"/>
  <c r="V171" i="5"/>
  <c r="H172" i="5"/>
  <c r="J172" i="5"/>
  <c r="R172" i="5"/>
  <c r="S172" i="5"/>
  <c r="T172" i="5"/>
  <c r="U172" i="5"/>
  <c r="V172" i="5"/>
  <c r="H173" i="5"/>
  <c r="J173" i="5"/>
  <c r="R173" i="5"/>
  <c r="S173" i="5"/>
  <c r="T173" i="5"/>
  <c r="U173" i="5"/>
  <c r="V173" i="5"/>
  <c r="H174" i="5"/>
  <c r="J174" i="5"/>
  <c r="R174" i="5"/>
  <c r="S174" i="5"/>
  <c r="T174" i="5"/>
  <c r="U174" i="5"/>
  <c r="V174" i="5"/>
  <c r="H175" i="5"/>
  <c r="J175" i="5"/>
  <c r="R175" i="5"/>
  <c r="S175" i="5"/>
  <c r="T175" i="5"/>
  <c r="U175" i="5"/>
  <c r="V175" i="5"/>
  <c r="H176" i="5"/>
  <c r="J176" i="5"/>
  <c r="R176" i="5"/>
  <c r="S176" i="5"/>
  <c r="T176" i="5"/>
  <c r="U176" i="5"/>
  <c r="V176" i="5"/>
  <c r="H177" i="5"/>
  <c r="J177" i="5"/>
  <c r="R177" i="5"/>
  <c r="S177" i="5"/>
  <c r="T177" i="5"/>
  <c r="U177" i="5"/>
  <c r="V177" i="5"/>
  <c r="H178" i="5"/>
  <c r="J178" i="5"/>
  <c r="R178" i="5"/>
  <c r="S178" i="5"/>
  <c r="T178" i="5"/>
  <c r="U178" i="5"/>
  <c r="V178" i="5"/>
  <c r="H179" i="5"/>
  <c r="J179" i="5"/>
  <c r="R179" i="5"/>
  <c r="S179" i="5"/>
  <c r="T179" i="5"/>
  <c r="U179" i="5"/>
  <c r="V179" i="5"/>
  <c r="H180" i="5"/>
  <c r="J180" i="5"/>
  <c r="R180" i="5"/>
  <c r="S180" i="5"/>
  <c r="T180" i="5"/>
  <c r="U180" i="5"/>
  <c r="V180" i="5"/>
  <c r="H181" i="5"/>
  <c r="J181" i="5"/>
  <c r="R181" i="5"/>
  <c r="S181" i="5"/>
  <c r="T181" i="5"/>
  <c r="U181" i="5"/>
  <c r="V181" i="5"/>
  <c r="H182" i="5"/>
  <c r="J182" i="5"/>
  <c r="R182" i="5"/>
  <c r="S182" i="5"/>
  <c r="T182" i="5"/>
  <c r="U182" i="5"/>
  <c r="V182" i="5"/>
  <c r="H183" i="5"/>
  <c r="J183" i="5"/>
  <c r="R183" i="5"/>
  <c r="S183" i="5"/>
  <c r="T183" i="5"/>
  <c r="U183" i="5"/>
  <c r="V183" i="5"/>
  <c r="H184" i="5"/>
  <c r="J184" i="5"/>
  <c r="R184" i="5"/>
  <c r="S184" i="5"/>
  <c r="T184" i="5"/>
  <c r="U184" i="5"/>
  <c r="V184" i="5"/>
  <c r="H185" i="5"/>
  <c r="J185" i="5"/>
  <c r="R185" i="5"/>
  <c r="S185" i="5"/>
  <c r="T185" i="5"/>
  <c r="U185" i="5"/>
  <c r="V185" i="5"/>
  <c r="H186" i="5"/>
  <c r="J186" i="5"/>
  <c r="R186" i="5"/>
  <c r="S186" i="5"/>
  <c r="T186" i="5"/>
  <c r="U186" i="5"/>
  <c r="V186" i="5"/>
  <c r="H187" i="5"/>
  <c r="J187" i="5"/>
  <c r="R187" i="5"/>
  <c r="S187" i="5"/>
  <c r="T187" i="5"/>
  <c r="U187" i="5"/>
  <c r="V187" i="5"/>
  <c r="H188" i="5"/>
  <c r="J188" i="5"/>
  <c r="R188" i="5"/>
  <c r="S188" i="5"/>
  <c r="T188" i="5"/>
  <c r="U188" i="5"/>
  <c r="V188" i="5"/>
  <c r="H189" i="5"/>
  <c r="J189" i="5"/>
  <c r="R189" i="5"/>
  <c r="S189" i="5"/>
  <c r="T189" i="5"/>
  <c r="U189" i="5"/>
  <c r="V189" i="5"/>
  <c r="H190" i="5"/>
  <c r="J190" i="5"/>
  <c r="R190" i="5"/>
  <c r="S190" i="5"/>
  <c r="T190" i="5"/>
  <c r="U190" i="5"/>
  <c r="V190" i="5"/>
  <c r="H191" i="5"/>
  <c r="J191" i="5"/>
  <c r="R191" i="5"/>
  <c r="S191" i="5"/>
  <c r="T191" i="5"/>
  <c r="U191" i="5"/>
  <c r="V191" i="5"/>
  <c r="H192" i="5"/>
  <c r="J192" i="5"/>
  <c r="R192" i="5"/>
  <c r="S192" i="5"/>
  <c r="T192" i="5"/>
  <c r="U192" i="5"/>
  <c r="V192" i="5"/>
  <c r="H193" i="5"/>
  <c r="J193" i="5"/>
  <c r="R193" i="5"/>
  <c r="S193" i="5"/>
  <c r="T193" i="5"/>
  <c r="U193" i="5"/>
  <c r="V193" i="5"/>
  <c r="H194" i="5"/>
  <c r="J194" i="5"/>
  <c r="R194" i="5"/>
  <c r="S194" i="5"/>
  <c r="T194" i="5"/>
  <c r="U194" i="5"/>
  <c r="V194" i="5"/>
  <c r="H195" i="5"/>
  <c r="J195" i="5"/>
  <c r="R195" i="5"/>
  <c r="S195" i="5"/>
  <c r="T195" i="5"/>
  <c r="U195" i="5"/>
  <c r="V195" i="5"/>
  <c r="H196" i="5"/>
  <c r="J196" i="5"/>
  <c r="R196" i="5"/>
  <c r="S196" i="5"/>
  <c r="T196" i="5"/>
  <c r="U196" i="5"/>
  <c r="V196" i="5"/>
  <c r="H197" i="5"/>
  <c r="J197" i="5"/>
  <c r="R197" i="5"/>
  <c r="S197" i="5"/>
  <c r="T197" i="5"/>
  <c r="U197" i="5"/>
  <c r="V197" i="5"/>
  <c r="H198" i="5"/>
  <c r="J198" i="5"/>
  <c r="R198" i="5"/>
  <c r="S198" i="5"/>
  <c r="T198" i="5"/>
  <c r="U198" i="5"/>
  <c r="V198" i="5"/>
  <c r="H199" i="5"/>
  <c r="J199" i="5"/>
  <c r="R199" i="5"/>
  <c r="S199" i="5"/>
  <c r="T199" i="5"/>
  <c r="U199" i="5"/>
  <c r="V199" i="5"/>
  <c r="H200" i="5"/>
  <c r="J200" i="5"/>
  <c r="R200" i="5"/>
  <c r="S200" i="5"/>
  <c r="T200" i="5"/>
  <c r="U200" i="5"/>
  <c r="V200" i="5"/>
  <c r="H201" i="5"/>
  <c r="J201" i="5"/>
  <c r="R201" i="5"/>
  <c r="S201" i="5"/>
  <c r="T201" i="5"/>
  <c r="U201" i="5"/>
  <c r="V201" i="5"/>
  <c r="H202" i="5"/>
  <c r="J202" i="5"/>
  <c r="R202" i="5"/>
  <c r="S202" i="5"/>
  <c r="T202" i="5"/>
  <c r="U202" i="5"/>
  <c r="V202" i="5"/>
  <c r="H203" i="5"/>
  <c r="J203" i="5"/>
  <c r="R203" i="5"/>
  <c r="S203" i="5"/>
  <c r="T203" i="5"/>
  <c r="U203" i="5"/>
  <c r="V203" i="5"/>
  <c r="H204" i="5"/>
  <c r="J204" i="5"/>
  <c r="R204" i="5"/>
  <c r="S204" i="5"/>
  <c r="T204" i="5"/>
  <c r="U204" i="5"/>
  <c r="V204" i="5"/>
  <c r="H205" i="5"/>
  <c r="J205" i="5"/>
  <c r="R205" i="5"/>
  <c r="S205" i="5"/>
  <c r="T205" i="5"/>
  <c r="U205" i="5"/>
  <c r="V205" i="5"/>
  <c r="H206" i="5"/>
  <c r="J206" i="5"/>
  <c r="R206" i="5"/>
  <c r="S206" i="5"/>
  <c r="T206" i="5"/>
  <c r="U206" i="5"/>
  <c r="V206" i="5"/>
  <c r="H207" i="5"/>
  <c r="J207" i="5"/>
  <c r="R207" i="5"/>
  <c r="S207" i="5"/>
  <c r="T207" i="5"/>
  <c r="U207" i="5"/>
  <c r="V207" i="5"/>
  <c r="H208" i="5"/>
  <c r="J208" i="5"/>
  <c r="R208" i="5"/>
  <c r="S208" i="5"/>
  <c r="T208" i="5"/>
  <c r="U208" i="5"/>
  <c r="V208" i="5"/>
  <c r="H209" i="5"/>
  <c r="J209" i="5"/>
  <c r="R209" i="5"/>
  <c r="S209" i="5"/>
  <c r="T209" i="5"/>
  <c r="U209" i="5"/>
  <c r="V209" i="5"/>
  <c r="H210" i="5"/>
  <c r="J210" i="5"/>
  <c r="R210" i="5"/>
  <c r="S210" i="5"/>
  <c r="T210" i="5"/>
  <c r="U210" i="5"/>
  <c r="V210" i="5"/>
  <c r="H211" i="5"/>
  <c r="J211" i="5"/>
  <c r="R211" i="5"/>
  <c r="S211" i="5"/>
  <c r="T211" i="5"/>
  <c r="U211" i="5"/>
  <c r="V211" i="5"/>
  <c r="H212" i="5"/>
  <c r="J212" i="5"/>
  <c r="R212" i="5"/>
  <c r="S212" i="5"/>
  <c r="T212" i="5"/>
  <c r="U212" i="5"/>
  <c r="V212" i="5"/>
  <c r="H213" i="5"/>
  <c r="J213" i="5"/>
  <c r="R213" i="5"/>
  <c r="S213" i="5"/>
  <c r="T213" i="5"/>
  <c r="U213" i="5"/>
  <c r="V213" i="5"/>
  <c r="H214" i="5"/>
  <c r="J214" i="5"/>
  <c r="R214" i="5"/>
  <c r="S214" i="5"/>
  <c r="T214" i="5"/>
  <c r="U214" i="5"/>
  <c r="V214" i="5"/>
  <c r="H215" i="5"/>
  <c r="J215" i="5"/>
  <c r="R215" i="5"/>
  <c r="S215" i="5"/>
  <c r="T215" i="5"/>
  <c r="U215" i="5"/>
  <c r="V215" i="5"/>
  <c r="H216" i="5"/>
  <c r="J216" i="5"/>
  <c r="R216" i="5"/>
  <c r="S216" i="5"/>
  <c r="T216" i="5"/>
  <c r="U216" i="5"/>
  <c r="V216" i="5"/>
  <c r="H217" i="5"/>
  <c r="J217" i="5"/>
  <c r="R217" i="5"/>
  <c r="S217" i="5"/>
  <c r="T217" i="5"/>
  <c r="U217" i="5"/>
  <c r="V217" i="5"/>
  <c r="H218" i="5"/>
  <c r="J218" i="5"/>
  <c r="R218" i="5"/>
  <c r="S218" i="5"/>
  <c r="T218" i="5"/>
  <c r="U218" i="5"/>
  <c r="V218" i="5"/>
  <c r="H219" i="5"/>
  <c r="J219" i="5"/>
  <c r="R219" i="5"/>
  <c r="S219" i="5"/>
  <c r="T219" i="5"/>
  <c r="U219" i="5"/>
  <c r="V219" i="5"/>
  <c r="H220" i="5"/>
  <c r="J220" i="5"/>
  <c r="R220" i="5"/>
  <c r="S220" i="5"/>
  <c r="T220" i="5"/>
  <c r="U220" i="5"/>
  <c r="V220" i="5"/>
  <c r="H221" i="5"/>
  <c r="J221" i="5"/>
  <c r="R221" i="5"/>
  <c r="S221" i="5"/>
  <c r="T221" i="5"/>
  <c r="U221" i="5"/>
  <c r="V221" i="5"/>
  <c r="H222" i="5"/>
  <c r="J222" i="5"/>
  <c r="R222" i="5"/>
  <c r="S222" i="5"/>
  <c r="T222" i="5"/>
  <c r="U222" i="5"/>
  <c r="V222" i="5"/>
  <c r="H223" i="5"/>
  <c r="J223" i="5"/>
  <c r="R223" i="5"/>
  <c r="S223" i="5"/>
  <c r="T223" i="5"/>
  <c r="U223" i="5"/>
  <c r="V223" i="5"/>
  <c r="H224" i="5"/>
  <c r="J224" i="5"/>
  <c r="R224" i="5"/>
  <c r="S224" i="5"/>
  <c r="T224" i="5"/>
  <c r="U224" i="5"/>
  <c r="V224" i="5"/>
  <c r="H225" i="5"/>
  <c r="J225" i="5"/>
  <c r="R225" i="5"/>
  <c r="S225" i="5"/>
  <c r="T225" i="5"/>
  <c r="U225" i="5"/>
  <c r="V225" i="5"/>
  <c r="H226" i="5"/>
  <c r="J226" i="5"/>
  <c r="R226" i="5"/>
  <c r="S226" i="5"/>
  <c r="T226" i="5"/>
  <c r="U226" i="5"/>
  <c r="V226" i="5"/>
  <c r="H227" i="5"/>
  <c r="J227" i="5"/>
  <c r="R227" i="5"/>
  <c r="S227" i="5"/>
  <c r="T227" i="5"/>
  <c r="U227" i="5"/>
  <c r="V227" i="5"/>
  <c r="H228" i="5"/>
  <c r="J228" i="5"/>
  <c r="R228" i="5"/>
  <c r="S228" i="5"/>
  <c r="T228" i="5"/>
  <c r="U228" i="5"/>
  <c r="V228" i="5"/>
  <c r="H229" i="5"/>
  <c r="J229" i="5"/>
  <c r="R229" i="5"/>
  <c r="S229" i="5"/>
  <c r="T229" i="5"/>
  <c r="U229" i="5"/>
  <c r="V229" i="5"/>
  <c r="H230" i="5"/>
  <c r="J230" i="5"/>
  <c r="R230" i="5"/>
  <c r="S230" i="5"/>
  <c r="T230" i="5"/>
  <c r="U230" i="5"/>
  <c r="V230" i="5"/>
  <c r="H231" i="5"/>
  <c r="J231" i="5"/>
  <c r="R231" i="5"/>
  <c r="S231" i="5"/>
  <c r="T231" i="5"/>
  <c r="U231" i="5"/>
  <c r="V231" i="5"/>
  <c r="H232" i="5"/>
  <c r="J232" i="5"/>
  <c r="R232" i="5"/>
  <c r="S232" i="5"/>
  <c r="T232" i="5"/>
  <c r="U232" i="5"/>
  <c r="V232" i="5"/>
  <c r="H233" i="5"/>
  <c r="J233" i="5"/>
  <c r="R233" i="5"/>
  <c r="S233" i="5"/>
  <c r="T233" i="5"/>
  <c r="U233" i="5"/>
  <c r="V233" i="5"/>
  <c r="H234" i="5"/>
  <c r="J234" i="5"/>
  <c r="R234" i="5"/>
  <c r="S234" i="5"/>
  <c r="T234" i="5"/>
  <c r="U234" i="5"/>
  <c r="V234" i="5"/>
  <c r="H235" i="5"/>
  <c r="J235" i="5"/>
  <c r="R235" i="5"/>
  <c r="S235" i="5"/>
  <c r="T235" i="5"/>
  <c r="U235" i="5"/>
  <c r="V235" i="5"/>
  <c r="H236" i="5"/>
  <c r="J236" i="5"/>
  <c r="R236" i="5"/>
  <c r="S236" i="5"/>
  <c r="T236" i="5"/>
  <c r="U236" i="5"/>
  <c r="V236" i="5"/>
  <c r="H237" i="5"/>
  <c r="J237" i="5"/>
  <c r="R237" i="5"/>
  <c r="S237" i="5"/>
  <c r="T237" i="5"/>
  <c r="U237" i="5"/>
  <c r="V237" i="5"/>
  <c r="H238" i="5"/>
  <c r="J238" i="5"/>
  <c r="R238" i="5"/>
  <c r="S238" i="5"/>
  <c r="T238" i="5"/>
  <c r="U238" i="5"/>
  <c r="V238" i="5"/>
  <c r="H239" i="5"/>
  <c r="J239" i="5"/>
  <c r="R239" i="5"/>
  <c r="S239" i="5"/>
  <c r="T239" i="5"/>
  <c r="U239" i="5"/>
  <c r="V239" i="5"/>
  <c r="H240" i="5"/>
  <c r="J240" i="5"/>
  <c r="R240" i="5"/>
  <c r="S240" i="5"/>
  <c r="T240" i="5"/>
  <c r="U240" i="5"/>
  <c r="V240" i="5"/>
  <c r="H241" i="5"/>
  <c r="J241" i="5"/>
  <c r="R241" i="5"/>
  <c r="S241" i="5"/>
  <c r="T241" i="5"/>
  <c r="U241" i="5"/>
  <c r="V241" i="5"/>
  <c r="H242" i="5"/>
  <c r="J242" i="5"/>
  <c r="R242" i="5"/>
  <c r="S242" i="5"/>
  <c r="T242" i="5"/>
  <c r="U242" i="5"/>
  <c r="V242" i="5"/>
  <c r="H243" i="5"/>
  <c r="J243" i="5"/>
  <c r="R243" i="5"/>
  <c r="S243" i="5"/>
  <c r="T243" i="5"/>
  <c r="U243" i="5"/>
  <c r="V243" i="5"/>
  <c r="H244" i="5"/>
  <c r="J244" i="5"/>
  <c r="R244" i="5"/>
  <c r="S244" i="5"/>
  <c r="T244" i="5"/>
  <c r="U244" i="5"/>
  <c r="V244" i="5"/>
  <c r="H245" i="5"/>
  <c r="J245" i="5"/>
  <c r="R245" i="5"/>
  <c r="S245" i="5"/>
  <c r="T245" i="5"/>
  <c r="U245" i="5"/>
  <c r="V245" i="5"/>
  <c r="H246" i="5"/>
  <c r="J246" i="5"/>
  <c r="R246" i="5"/>
  <c r="S246" i="5"/>
  <c r="T246" i="5"/>
  <c r="U246" i="5"/>
  <c r="V246" i="5"/>
  <c r="H247" i="5"/>
  <c r="J247" i="5"/>
  <c r="R247" i="5"/>
  <c r="S247" i="5"/>
  <c r="T247" i="5"/>
  <c r="U247" i="5"/>
  <c r="V247" i="5"/>
  <c r="H248" i="5"/>
  <c r="J248" i="5"/>
  <c r="R248" i="5"/>
  <c r="S248" i="5"/>
  <c r="T248" i="5"/>
  <c r="U248" i="5"/>
  <c r="V248" i="5"/>
  <c r="H249" i="5"/>
  <c r="J249" i="5"/>
  <c r="R249" i="5"/>
  <c r="S249" i="5"/>
  <c r="T249" i="5"/>
  <c r="U249" i="5"/>
  <c r="V249" i="5"/>
  <c r="H250" i="5"/>
  <c r="J250" i="5"/>
  <c r="R250" i="5"/>
  <c r="S250" i="5"/>
  <c r="T250" i="5"/>
  <c r="U250" i="5"/>
  <c r="V250" i="5"/>
  <c r="H251" i="5"/>
  <c r="J251" i="5"/>
  <c r="R251" i="5"/>
  <c r="S251" i="5"/>
  <c r="T251" i="5"/>
  <c r="U251" i="5"/>
  <c r="V251" i="5"/>
  <c r="H252" i="5"/>
  <c r="J252" i="5"/>
  <c r="R252" i="5"/>
  <c r="S252" i="5"/>
  <c r="T252" i="5"/>
  <c r="U252" i="5"/>
  <c r="V252" i="5"/>
  <c r="H253" i="5"/>
  <c r="J253" i="5"/>
  <c r="R253" i="5"/>
  <c r="S253" i="5"/>
  <c r="T253" i="5"/>
  <c r="U253" i="5"/>
  <c r="V253" i="5"/>
  <c r="H254" i="5"/>
  <c r="J254" i="5"/>
  <c r="R254" i="5"/>
  <c r="S254" i="5"/>
  <c r="T254" i="5"/>
  <c r="U254" i="5"/>
  <c r="V254" i="5"/>
  <c r="H255" i="5"/>
  <c r="J255" i="5"/>
  <c r="R255" i="5"/>
  <c r="S255" i="5"/>
  <c r="T255" i="5"/>
  <c r="U255" i="5"/>
  <c r="V255" i="5"/>
  <c r="H256" i="5"/>
  <c r="J256" i="5"/>
  <c r="R256" i="5"/>
  <c r="S256" i="5"/>
  <c r="T256" i="5"/>
  <c r="U256" i="5"/>
  <c r="V256" i="5"/>
  <c r="H257" i="5"/>
  <c r="J257" i="5"/>
  <c r="R257" i="5"/>
  <c r="S257" i="5"/>
  <c r="T257" i="5"/>
  <c r="U257" i="5"/>
  <c r="V257" i="5"/>
  <c r="H258" i="5"/>
  <c r="J258" i="5"/>
  <c r="R258" i="5"/>
  <c r="S258" i="5"/>
  <c r="T258" i="5"/>
  <c r="U258" i="5"/>
  <c r="V258" i="5"/>
  <c r="H259" i="5"/>
  <c r="J259" i="5"/>
  <c r="R259" i="5"/>
  <c r="S259" i="5"/>
  <c r="T259" i="5"/>
  <c r="U259" i="5"/>
  <c r="V259" i="5"/>
  <c r="H260" i="5"/>
  <c r="J260" i="5"/>
  <c r="R260" i="5"/>
  <c r="S260" i="5"/>
  <c r="T260" i="5"/>
  <c r="U260" i="5"/>
  <c r="V260" i="5"/>
  <c r="H261" i="5"/>
  <c r="J261" i="5"/>
  <c r="R261" i="5"/>
  <c r="S261" i="5"/>
  <c r="T261" i="5"/>
  <c r="U261" i="5"/>
  <c r="V261" i="5"/>
  <c r="H262" i="5"/>
  <c r="J262" i="5"/>
  <c r="R262" i="5"/>
  <c r="S262" i="5"/>
  <c r="T262" i="5"/>
  <c r="U262" i="5"/>
  <c r="V262" i="5"/>
  <c r="H263" i="5"/>
  <c r="J263" i="5"/>
  <c r="R263" i="5"/>
  <c r="S263" i="5"/>
  <c r="T263" i="5"/>
  <c r="U263" i="5"/>
  <c r="V263" i="5"/>
  <c r="H264" i="5"/>
  <c r="J264" i="5"/>
  <c r="R264" i="5"/>
  <c r="S264" i="5"/>
  <c r="T264" i="5"/>
  <c r="U264" i="5"/>
  <c r="V264" i="5"/>
  <c r="H265" i="5"/>
  <c r="J265" i="5"/>
  <c r="R265" i="5"/>
  <c r="S265" i="5"/>
  <c r="T265" i="5"/>
  <c r="U265" i="5"/>
  <c r="V265" i="5"/>
  <c r="H266" i="5"/>
  <c r="J266" i="5"/>
  <c r="R266" i="5"/>
  <c r="S266" i="5"/>
  <c r="T266" i="5"/>
  <c r="U266" i="5"/>
  <c r="V266" i="5"/>
  <c r="H267" i="5"/>
  <c r="J267" i="5"/>
  <c r="R267" i="5"/>
  <c r="S267" i="5"/>
  <c r="T267" i="5"/>
  <c r="U267" i="5"/>
  <c r="V267" i="5"/>
  <c r="H268" i="5"/>
  <c r="J268" i="5"/>
  <c r="R268" i="5"/>
  <c r="S268" i="5"/>
  <c r="T268" i="5"/>
  <c r="U268" i="5"/>
  <c r="V268" i="5"/>
  <c r="H269" i="5"/>
  <c r="J269" i="5"/>
  <c r="R269" i="5"/>
  <c r="S269" i="5"/>
  <c r="T269" i="5"/>
  <c r="U269" i="5"/>
  <c r="V269" i="5"/>
  <c r="H270" i="5"/>
  <c r="J270" i="5"/>
  <c r="R270" i="5"/>
  <c r="S270" i="5"/>
  <c r="T270" i="5"/>
  <c r="U270" i="5"/>
  <c r="V270" i="5"/>
  <c r="H271" i="5"/>
  <c r="J271" i="5"/>
  <c r="R271" i="5"/>
  <c r="S271" i="5"/>
  <c r="T271" i="5"/>
  <c r="U271" i="5"/>
  <c r="V271" i="5"/>
  <c r="H272" i="5"/>
  <c r="J272" i="5"/>
  <c r="R272" i="5"/>
  <c r="S272" i="5"/>
  <c r="T272" i="5"/>
  <c r="U272" i="5"/>
  <c r="V272" i="5"/>
  <c r="H273" i="5"/>
  <c r="J273" i="5"/>
  <c r="R273" i="5"/>
  <c r="S273" i="5"/>
  <c r="T273" i="5"/>
  <c r="U273" i="5"/>
  <c r="V273" i="5"/>
  <c r="H274" i="5"/>
  <c r="J274" i="5"/>
  <c r="R274" i="5"/>
  <c r="S274" i="5"/>
  <c r="T274" i="5"/>
  <c r="U274" i="5"/>
  <c r="V274" i="5"/>
  <c r="H275" i="5"/>
  <c r="J275" i="5"/>
  <c r="R275" i="5"/>
  <c r="S275" i="5"/>
  <c r="T275" i="5"/>
  <c r="U275" i="5"/>
  <c r="V275" i="5"/>
  <c r="H276" i="5"/>
  <c r="J276" i="5"/>
  <c r="R276" i="5"/>
  <c r="S276" i="5"/>
  <c r="T276" i="5"/>
  <c r="U276" i="5"/>
  <c r="V276" i="5"/>
  <c r="H277" i="5"/>
  <c r="J277" i="5"/>
  <c r="R277" i="5"/>
  <c r="S277" i="5"/>
  <c r="T277" i="5"/>
  <c r="U277" i="5"/>
  <c r="V277" i="5"/>
  <c r="H278" i="5"/>
  <c r="J278" i="5"/>
  <c r="R278" i="5"/>
  <c r="S278" i="5"/>
  <c r="T278" i="5"/>
  <c r="U278" i="5"/>
  <c r="V278" i="5"/>
  <c r="H279" i="5"/>
  <c r="J279" i="5"/>
  <c r="R279" i="5"/>
  <c r="S279" i="5"/>
  <c r="T279" i="5"/>
  <c r="U279" i="5"/>
  <c r="V279" i="5"/>
  <c r="H280" i="5"/>
  <c r="J280" i="5"/>
  <c r="R280" i="5"/>
  <c r="S280" i="5"/>
  <c r="T280" i="5"/>
  <c r="U280" i="5"/>
  <c r="V280" i="5"/>
  <c r="H281" i="5"/>
  <c r="J281" i="5"/>
  <c r="R281" i="5"/>
  <c r="S281" i="5"/>
  <c r="T281" i="5"/>
  <c r="U281" i="5"/>
  <c r="V281" i="5"/>
  <c r="H282" i="5"/>
  <c r="J282" i="5"/>
  <c r="R282" i="5"/>
  <c r="S282" i="5"/>
  <c r="T282" i="5"/>
  <c r="U282" i="5"/>
  <c r="V282" i="5"/>
  <c r="H283" i="5"/>
  <c r="J283" i="5"/>
  <c r="R283" i="5"/>
  <c r="S283" i="5"/>
  <c r="T283" i="5"/>
  <c r="U283" i="5"/>
  <c r="V283" i="5"/>
  <c r="H284" i="5"/>
  <c r="J284" i="5"/>
  <c r="R284" i="5"/>
  <c r="S284" i="5"/>
  <c r="T284" i="5"/>
  <c r="U284" i="5"/>
  <c r="V284" i="5"/>
  <c r="H285" i="5"/>
  <c r="J285" i="5"/>
  <c r="R285" i="5"/>
  <c r="S285" i="5"/>
  <c r="T285" i="5"/>
  <c r="U285" i="5"/>
  <c r="V285" i="5"/>
  <c r="H286" i="5"/>
  <c r="J286" i="5"/>
  <c r="R286" i="5"/>
  <c r="S286" i="5"/>
  <c r="T286" i="5"/>
  <c r="U286" i="5"/>
  <c r="V286" i="5"/>
  <c r="H287" i="5"/>
  <c r="J287" i="5"/>
  <c r="R287" i="5"/>
  <c r="S287" i="5"/>
  <c r="T287" i="5"/>
  <c r="U287" i="5"/>
  <c r="V287" i="5"/>
  <c r="H288" i="5"/>
  <c r="J288" i="5"/>
  <c r="R288" i="5"/>
  <c r="S288" i="5"/>
  <c r="T288" i="5"/>
  <c r="U288" i="5"/>
  <c r="V288" i="5"/>
  <c r="H289" i="5"/>
  <c r="J289" i="5"/>
  <c r="R289" i="5"/>
  <c r="S289" i="5"/>
  <c r="T289" i="5"/>
  <c r="U289" i="5"/>
  <c r="V289" i="5"/>
  <c r="H290" i="5"/>
  <c r="J290" i="5"/>
  <c r="R290" i="5"/>
  <c r="S290" i="5"/>
  <c r="T290" i="5"/>
  <c r="U290" i="5"/>
  <c r="V290" i="5"/>
  <c r="H291" i="5"/>
  <c r="J291" i="5"/>
  <c r="R291" i="5"/>
  <c r="S291" i="5"/>
  <c r="T291" i="5"/>
  <c r="U291" i="5"/>
  <c r="V291" i="5"/>
  <c r="H292" i="5"/>
  <c r="J292" i="5"/>
  <c r="R292" i="5"/>
  <c r="S292" i="5"/>
  <c r="T292" i="5"/>
  <c r="U292" i="5"/>
  <c r="V292" i="5"/>
  <c r="H293" i="5"/>
  <c r="J293" i="5"/>
  <c r="R293" i="5"/>
  <c r="S293" i="5"/>
  <c r="T293" i="5"/>
  <c r="U293" i="5"/>
  <c r="V293" i="5"/>
  <c r="H294" i="5"/>
  <c r="J294" i="5"/>
  <c r="R294" i="5"/>
  <c r="S294" i="5"/>
  <c r="T294" i="5"/>
  <c r="U294" i="5"/>
  <c r="V294" i="5"/>
  <c r="H295" i="5"/>
  <c r="J295" i="5"/>
  <c r="R295" i="5"/>
  <c r="S295" i="5"/>
  <c r="T295" i="5"/>
  <c r="U295" i="5"/>
  <c r="V295" i="5"/>
  <c r="H296" i="5"/>
  <c r="J296" i="5"/>
  <c r="R296" i="5"/>
  <c r="S296" i="5"/>
  <c r="T296" i="5"/>
  <c r="U296" i="5"/>
  <c r="V296" i="5"/>
  <c r="H297" i="5"/>
  <c r="J297" i="5"/>
  <c r="R297" i="5"/>
  <c r="S297" i="5"/>
  <c r="T297" i="5"/>
  <c r="U297" i="5"/>
  <c r="V297" i="5"/>
  <c r="H298" i="5"/>
  <c r="J298" i="5"/>
  <c r="R298" i="5"/>
  <c r="S298" i="5"/>
  <c r="T298" i="5"/>
  <c r="U298" i="5"/>
  <c r="V298" i="5"/>
  <c r="H299" i="5"/>
  <c r="J299" i="5"/>
  <c r="R299" i="5"/>
  <c r="S299" i="5"/>
  <c r="T299" i="5"/>
  <c r="U299" i="5"/>
  <c r="V299" i="5"/>
  <c r="H300" i="5"/>
  <c r="J300" i="5"/>
  <c r="R300" i="5"/>
  <c r="S300" i="5"/>
  <c r="T300" i="5"/>
  <c r="U300" i="5"/>
  <c r="V300" i="5"/>
  <c r="H301" i="5"/>
  <c r="J301" i="5"/>
  <c r="R301" i="5"/>
  <c r="S301" i="5"/>
  <c r="T301" i="5"/>
  <c r="U301" i="5"/>
  <c r="V301" i="5"/>
  <c r="N53" i="1"/>
  <c r="N54" i="1"/>
  <c r="N55" i="1"/>
  <c r="N56" i="1"/>
  <c r="N63" i="1"/>
  <c r="N64" i="1"/>
  <c r="N68" i="1"/>
  <c r="N69" i="1"/>
  <c r="N80" i="1"/>
  <c r="N81" i="1"/>
  <c r="B25" i="4"/>
  <c r="B26" i="4"/>
</calcChain>
</file>

<file path=xl/comments1.xml><?xml version="1.0" encoding="utf-8"?>
<comments xmlns="http://schemas.openxmlformats.org/spreadsheetml/2006/main">
  <authors>
    <author>yuding</author>
  </authors>
  <commentList>
    <comment ref="A10" authorId="0">
      <text>
        <r>
          <rPr>
            <b/>
            <sz val="9"/>
            <color indexed="81"/>
            <rFont val="宋体"/>
            <charset val="134"/>
          </rPr>
          <t>ALPHA &amp; OMEGA Semiconductor:</t>
        </r>
        <r>
          <rPr>
            <sz val="9"/>
            <color indexed="81"/>
            <rFont val="宋体"/>
            <charset val="134"/>
          </rPr>
          <t xml:space="preserve">
</t>
        </r>
      </text>
    </comment>
    <comment ref="N29" authorId="0">
      <text>
        <r>
          <rPr>
            <sz val="9"/>
            <color indexed="81"/>
            <rFont val="宋体"/>
            <charset val="134"/>
          </rPr>
          <t xml:space="preserve">The inductor value do not take into account inductor tolerance.An inductor that is too small will result in the IC reaching OCP in normal operation;while an inductor that is too large will result in protential instability in the control loop.
</t>
        </r>
      </text>
    </comment>
    <comment ref="N37" authorId="0">
      <text>
        <r>
          <rPr>
            <sz val="9"/>
            <color indexed="81"/>
            <rFont val="宋体"/>
            <charset val="134"/>
          </rPr>
          <t xml:space="preserve">For reliable operation and best performance,the input capacitors must have current rating higher than the value shown in this cell.
</t>
        </r>
      </text>
    </comment>
    <comment ref="N44" authorId="0">
      <text>
        <r>
          <rPr>
            <sz val="9"/>
            <color indexed="81"/>
            <rFont val="宋体"/>
            <charset val="134"/>
          </rPr>
          <t xml:space="preserve">In reality,due to PCB layout effects,the output voltage ripple may be slightly higher.
</t>
        </r>
      </text>
    </comment>
    <comment ref="N49" authorId="0">
      <text>
        <r>
          <rPr>
            <sz val="9"/>
            <color indexed="81"/>
            <rFont val="宋体"/>
            <charset val="134"/>
          </rPr>
          <t xml:space="preserve">Often the RFB1 calculation will yield a non-standard 1% value so the next lighest standard 1% value is used in order to compensate for I*R drops on the PCB.
</t>
        </r>
      </text>
    </comment>
    <comment ref="N52" authorId="0">
      <text>
        <r>
          <rPr>
            <sz val="9"/>
            <color indexed="81"/>
            <rFont val="宋体"/>
            <charset val="134"/>
          </rPr>
          <t xml:space="preserve">It is recommended to set the crossover frequency to be
equal or less than 1/10 of switching frequency.
</t>
        </r>
      </text>
    </comment>
    <comment ref="N55" authorId="0">
      <text>
        <r>
          <rPr>
            <sz val="9"/>
            <color indexed="81"/>
            <rFont val="宋体"/>
            <charset val="134"/>
          </rPr>
          <t xml:space="preserve">Cc2 is typically required for large value,non-ceramic output capacitors.
</t>
        </r>
      </text>
    </comment>
    <comment ref="N63" authorId="0">
      <text>
        <r>
          <rPr>
            <sz val="9"/>
            <color indexed="81"/>
            <rFont val="宋体"/>
            <charset val="134"/>
          </rPr>
          <t xml:space="preserve">The crossover frequency and phase margin should always be verified on the bench.
</t>
        </r>
      </text>
    </comment>
    <comment ref="N64" authorId="0">
      <text>
        <r>
          <rPr>
            <sz val="9"/>
            <color indexed="81"/>
            <rFont val="宋体"/>
            <charset val="134"/>
          </rPr>
          <t>Typically, the minimum acceptable phase margin is 45</t>
        </r>
        <r>
          <rPr>
            <sz val="9"/>
            <color indexed="81"/>
            <rFont val="Arial"/>
            <family val="2"/>
          </rPr>
          <t>º</t>
        </r>
        <r>
          <rPr>
            <sz val="9"/>
            <color indexed="81"/>
            <rFont val="宋体"/>
            <charset val="134"/>
          </rPr>
          <t xml:space="preserve">.
</t>
        </r>
      </text>
    </comment>
    <comment ref="N69" authorId="0">
      <text>
        <r>
          <rPr>
            <sz val="9"/>
            <color indexed="81"/>
            <rFont val="宋体"/>
            <charset val="134"/>
          </rPr>
          <t xml:space="preserve">The value of Tj is calculated with the device mounted on 1-in2 FR-4
board with 2oz Copper, in a still air environment.The value in any given application depends on the user’s specific board design.
</t>
        </r>
      </text>
    </comment>
  </commentList>
</comments>
</file>

<file path=xl/sharedStrings.xml><?xml version="1.0" encoding="utf-8"?>
<sst xmlns="http://schemas.openxmlformats.org/spreadsheetml/2006/main" count="332" uniqueCount="244">
  <si>
    <t>EZBuck Design Spreadsheet</t>
    <phoneticPr fontId="2" type="noConversion"/>
  </si>
  <si>
    <t>V</t>
  </si>
  <si>
    <t>A</t>
  </si>
  <si>
    <t>kHz</t>
  </si>
  <si>
    <t>kΩ</t>
  </si>
  <si>
    <t>%</t>
  </si>
  <si>
    <t>Recommended L:</t>
  </si>
  <si>
    <t>µH</t>
  </si>
  <si>
    <t>mΩ</t>
  </si>
  <si>
    <t>Minimum Recommended Input Capacitance:</t>
  </si>
  <si>
    <t>µF</t>
  </si>
  <si>
    <t>Minimum Input Capacitor RMS current rating:</t>
  </si>
  <si>
    <t>Arms</t>
  </si>
  <si>
    <t>Minimum Recommended Output Capacitance:</t>
  </si>
  <si>
    <t>Maximum Output Capacitor ESR:</t>
  </si>
  <si>
    <r>
      <t>Capacitor Selection (C</t>
    </r>
    <r>
      <rPr>
        <vertAlign val="subscript"/>
        <sz val="11"/>
        <rFont val="Arial"/>
        <family val="2"/>
      </rPr>
      <t>IN</t>
    </r>
    <r>
      <rPr>
        <sz val="11"/>
        <rFont val="Arial"/>
        <family val="2"/>
      </rPr>
      <t xml:space="preserve"> and C</t>
    </r>
    <r>
      <rPr>
        <vertAlign val="subscript"/>
        <sz val="11"/>
        <rFont val="Arial"/>
        <family val="2"/>
      </rPr>
      <t>O</t>
    </r>
    <r>
      <rPr>
        <sz val="11"/>
        <rFont val="Arial"/>
        <family val="2"/>
      </rPr>
      <t>)</t>
    </r>
    <phoneticPr fontId="2" type="noConversion"/>
  </si>
  <si>
    <t>Output Voltage Characteristics</t>
  </si>
  <si>
    <t>mV</t>
  </si>
  <si>
    <t>Estimated Output Voltage Ripple:</t>
  </si>
  <si>
    <t>nF</t>
  </si>
  <si>
    <t>pF</t>
  </si>
  <si>
    <r>
      <t>Compensation Component Selection (R</t>
    </r>
    <r>
      <rPr>
        <vertAlign val="subscript"/>
        <sz val="11"/>
        <rFont val="Arial"/>
        <family val="2"/>
      </rPr>
      <t>C</t>
    </r>
    <r>
      <rPr>
        <sz val="11"/>
        <rFont val="Arial"/>
        <family val="2"/>
      </rPr>
      <t>, C</t>
    </r>
    <r>
      <rPr>
        <vertAlign val="subscript"/>
        <sz val="11"/>
        <rFont val="Arial"/>
        <family val="2"/>
      </rPr>
      <t>C1</t>
    </r>
    <r>
      <rPr>
        <sz val="11"/>
        <rFont val="Arial"/>
        <family val="2"/>
      </rPr>
      <t>, C</t>
    </r>
    <r>
      <rPr>
        <vertAlign val="subscript"/>
        <sz val="11"/>
        <rFont val="Arial"/>
        <family val="2"/>
      </rPr>
      <t>C2</t>
    </r>
    <r>
      <rPr>
        <sz val="11"/>
        <rFont val="Arial"/>
        <family val="2"/>
      </rPr>
      <t>)</t>
    </r>
    <phoneticPr fontId="2" type="noConversion"/>
  </si>
  <si>
    <t>Calculated Efficiency vs Load Current</t>
  </si>
  <si>
    <t>Loop Characteristics</t>
  </si>
  <si>
    <t>Expected Crossover Frequency:</t>
  </si>
  <si>
    <t>Expected Phase Margin:</t>
  </si>
  <si>
    <t>°</t>
  </si>
  <si>
    <r>
      <t>Feedback Resistors Selection(R</t>
    </r>
    <r>
      <rPr>
        <vertAlign val="subscript"/>
        <sz val="11"/>
        <rFont val="Arial"/>
        <family val="2"/>
      </rPr>
      <t>FB1</t>
    </r>
    <r>
      <rPr>
        <sz val="11"/>
        <rFont val="Arial"/>
        <family val="2"/>
      </rPr>
      <t>, R</t>
    </r>
    <r>
      <rPr>
        <vertAlign val="subscript"/>
        <sz val="11"/>
        <rFont val="Arial"/>
        <family val="2"/>
      </rPr>
      <t>FB2</t>
    </r>
    <r>
      <rPr>
        <sz val="11"/>
        <rFont val="Arial"/>
        <family val="2"/>
      </rPr>
      <t>)</t>
    </r>
    <phoneticPr fontId="2" type="noConversion"/>
  </si>
  <si>
    <t>Calculated Bode Plot</t>
  </si>
  <si>
    <t>Hz</t>
  </si>
  <si>
    <t>uH</t>
  </si>
  <si>
    <t>Part #</t>
  </si>
  <si>
    <t>Theta J-A</t>
  </si>
  <si>
    <t>Controller / Driver:</t>
  </si>
  <si>
    <t>Current sense amplifier gain</t>
    <phoneticPr fontId="2" type="noConversion"/>
  </si>
  <si>
    <t>uF</t>
  </si>
  <si>
    <t>D=</t>
  </si>
  <si>
    <t>Vin=</t>
  </si>
  <si>
    <t>Vout=</t>
  </si>
  <si>
    <t>L=</t>
  </si>
  <si>
    <t>Cout=</t>
  </si>
  <si>
    <t>mΩ</t>
  </si>
  <si>
    <t>Iripple=</t>
  </si>
  <si>
    <t>Total Loss</t>
  </si>
  <si>
    <t>η</t>
  </si>
  <si>
    <t>Cout(rms)=</t>
  </si>
  <si>
    <t>Parameters</t>
  </si>
  <si>
    <t>fsw=</t>
  </si>
  <si>
    <t>Iout(max)=</t>
  </si>
  <si>
    <t>L(DCR)=</t>
  </si>
  <si>
    <t>Cout(ESR)=</t>
  </si>
  <si>
    <t>Vd=</t>
  </si>
  <si>
    <t>Load Current</t>
  </si>
  <si>
    <t>Inductor DCR Loss</t>
  </si>
  <si>
    <t>High Side MOSFET Rds(on) Loss</t>
  </si>
  <si>
    <t>Low Side MOSFET Rds(on) Loss</t>
  </si>
  <si>
    <t>Deadtime Loss</t>
  </si>
  <si>
    <t>Output Cap ESR Loss</t>
  </si>
  <si>
    <t>Controller Loss</t>
  </si>
  <si>
    <t>High Side Gate Charge Loss</t>
  </si>
  <si>
    <t>Low Side Gate Charge Loss</t>
  </si>
  <si>
    <t>Error amplifier transconductance(Gm)(uA/V)</t>
    <phoneticPr fontId="2" type="noConversion"/>
  </si>
  <si>
    <r>
      <t>High-Side Pull-up (Turn on) Resistance(</t>
    </r>
    <r>
      <rPr>
        <sz val="10"/>
        <rFont val="Arial"/>
        <family val="2"/>
      </rPr>
      <t>Ω</t>
    </r>
    <r>
      <rPr>
        <sz val="10"/>
        <rFont val="Helvetica"/>
        <family val="2"/>
      </rPr>
      <t>)</t>
    </r>
    <phoneticPr fontId="2" type="noConversion"/>
  </si>
  <si>
    <r>
      <t>High-Side Pull-down
(Turn off) Resistance(</t>
    </r>
    <r>
      <rPr>
        <sz val="10"/>
        <rFont val="Arial"/>
        <family val="2"/>
      </rPr>
      <t>Ω</t>
    </r>
    <r>
      <rPr>
        <sz val="10"/>
        <rFont val="Helvetica"/>
        <family val="2"/>
      </rPr>
      <t>)</t>
    </r>
    <phoneticPr fontId="2" type="noConversion"/>
  </si>
  <si>
    <r>
      <t>Low-Side Pull-up (Turn on) Resistance(</t>
    </r>
    <r>
      <rPr>
        <sz val="10"/>
        <rFont val="Arial"/>
        <family val="2"/>
      </rPr>
      <t>Ω</t>
    </r>
    <r>
      <rPr>
        <sz val="10"/>
        <rFont val="Helvetica"/>
        <family val="2"/>
      </rPr>
      <t>)</t>
    </r>
    <phoneticPr fontId="2" type="noConversion"/>
  </si>
  <si>
    <r>
      <t>Low-Side Pull-down
(Turn off) Resistance(</t>
    </r>
    <r>
      <rPr>
        <sz val="10"/>
        <rFont val="Arial"/>
        <family val="2"/>
      </rPr>
      <t>Ω</t>
    </r>
    <r>
      <rPr>
        <sz val="10"/>
        <rFont val="Helvetica"/>
        <family val="2"/>
      </rPr>
      <t>)</t>
    </r>
    <phoneticPr fontId="2" type="noConversion"/>
  </si>
  <si>
    <t>Dead Time L-H
(ns)</t>
    <phoneticPr fontId="2" type="noConversion"/>
  </si>
  <si>
    <t>Dead Time H-L
(ns)</t>
    <phoneticPr fontId="2" type="noConversion"/>
  </si>
  <si>
    <t>Switching 
frequency
(KHz)</t>
    <phoneticPr fontId="2" type="noConversion"/>
  </si>
  <si>
    <t>Se peak voltage
(V)</t>
    <phoneticPr fontId="2" type="noConversion"/>
  </si>
  <si>
    <r>
      <t>Error amplifier output impedance(Rm)
(M</t>
    </r>
    <r>
      <rPr>
        <sz val="10"/>
        <rFont val="Arial"/>
        <family val="2"/>
      </rPr>
      <t>Ω</t>
    </r>
    <r>
      <rPr>
        <sz val="10"/>
        <rFont val="Helvetica"/>
        <family val="2"/>
      </rPr>
      <t>)</t>
    </r>
    <phoneticPr fontId="2" type="noConversion"/>
  </si>
  <si>
    <r>
      <t>High-Side Rdson@12V
 25C
(m</t>
    </r>
    <r>
      <rPr>
        <sz val="10"/>
        <rFont val="Arial"/>
        <family val="2"/>
      </rPr>
      <t>Ω</t>
    </r>
    <r>
      <rPr>
        <sz val="10"/>
        <rFont val="Helvetica"/>
        <family val="2"/>
      </rPr>
      <t>)</t>
    </r>
    <phoneticPr fontId="2" type="noConversion"/>
  </si>
  <si>
    <r>
      <t>Low-Side Rdson@12V
 25C
(m</t>
    </r>
    <r>
      <rPr>
        <sz val="10"/>
        <rFont val="Arial"/>
        <family val="2"/>
      </rPr>
      <t>Ω</t>
    </r>
    <r>
      <rPr>
        <sz val="10"/>
        <rFont val="Helvetica"/>
        <family val="2"/>
      </rPr>
      <t>)</t>
    </r>
    <phoneticPr fontId="2" type="noConversion"/>
  </si>
  <si>
    <t>Reference voltage
(V)</t>
    <phoneticPr fontId="2" type="noConversion"/>
  </si>
  <si>
    <t>℃</t>
    <phoneticPr fontId="2" type="noConversion"/>
  </si>
  <si>
    <t>Switching 
frequency
(KHz)</t>
    <phoneticPr fontId="2" type="noConversion"/>
  </si>
  <si>
    <t>Se peak voltage
(V)</t>
    <phoneticPr fontId="2" type="noConversion"/>
  </si>
  <si>
    <t>High-Side Pull-up (Turn on) Resistance(Ω)</t>
    <phoneticPr fontId="2" type="noConversion"/>
  </si>
  <si>
    <t>High-Side Pull-down
(Turn off) Resistance(Ω)</t>
    <phoneticPr fontId="2" type="noConversion"/>
  </si>
  <si>
    <t>Low-Side Pull-down
(Turn off) Resistance(Ω)</t>
    <phoneticPr fontId="2" type="noConversion"/>
  </si>
  <si>
    <t>Low-Side Pull-up (Turn on) Resistance(Ω)</t>
    <phoneticPr fontId="2" type="noConversion"/>
  </si>
  <si>
    <t>Dead Time L-H
(ns)</t>
    <phoneticPr fontId="2" type="noConversion"/>
  </si>
  <si>
    <t>Dead Time H-L
(ns)</t>
    <phoneticPr fontId="2" type="noConversion"/>
  </si>
  <si>
    <t>High-Side Rdson@12V
 25C
(mΩ)</t>
    <phoneticPr fontId="2" type="noConversion"/>
  </si>
  <si>
    <t>Low-Side Rdson@12V
 25C
(mΩ)</t>
    <phoneticPr fontId="2" type="noConversion"/>
  </si>
  <si>
    <t>Reference voltage
(V)</t>
    <phoneticPr fontId="2" type="noConversion"/>
  </si>
  <si>
    <t>High-Side Gate threshold voltage
(V)</t>
    <phoneticPr fontId="2" type="noConversion"/>
  </si>
  <si>
    <t>Low-Side Gate threshold voltage
(V)</t>
    <phoneticPr fontId="2" type="noConversion"/>
  </si>
  <si>
    <t>High-Side transconductance(Gfs)(s)</t>
    <phoneticPr fontId="2" type="noConversion"/>
  </si>
  <si>
    <t>Low-Side transconductance(Gfs)(s)</t>
    <phoneticPr fontId="2" type="noConversion"/>
  </si>
  <si>
    <t>High-Side Vsp(V)</t>
    <phoneticPr fontId="2" type="noConversion"/>
  </si>
  <si>
    <t>Low-Side Vsp(V)</t>
    <phoneticPr fontId="2" type="noConversion"/>
  </si>
  <si>
    <t>Controller Quiescent Current (mA)</t>
    <phoneticPr fontId="2" type="noConversion"/>
  </si>
  <si>
    <r>
      <t>High-Side Rgate
(</t>
    </r>
    <r>
      <rPr>
        <sz val="10"/>
        <rFont val="Arial"/>
        <family val="2"/>
      </rPr>
      <t>Ω</t>
    </r>
    <r>
      <rPr>
        <sz val="10"/>
        <rFont val="Helvetica"/>
        <family val="2"/>
      </rPr>
      <t>)</t>
    </r>
    <phoneticPr fontId="2" type="noConversion"/>
  </si>
  <si>
    <r>
      <t>Low-Side Rgate
(</t>
    </r>
    <r>
      <rPr>
        <sz val="10"/>
        <rFont val="Arial"/>
        <family val="2"/>
      </rPr>
      <t>Ω</t>
    </r>
    <r>
      <rPr>
        <sz val="10"/>
        <rFont val="Helvetica"/>
        <family val="2"/>
      </rPr>
      <t>)</t>
    </r>
    <phoneticPr fontId="2" type="noConversion"/>
  </si>
  <si>
    <t>Modulator</t>
  </si>
  <si>
    <t>Complex Pole pair</t>
  </si>
  <si>
    <t>Total System</t>
  </si>
  <si>
    <t>Afb</t>
  </si>
  <si>
    <t>V/V</t>
  </si>
  <si>
    <t>Acs</t>
  </si>
  <si>
    <t>z1</t>
  </si>
  <si>
    <t>p3</t>
  </si>
  <si>
    <t>Adc</t>
  </si>
  <si>
    <t>Q</t>
  </si>
  <si>
    <t>z2</t>
  </si>
  <si>
    <t>Am</t>
  </si>
  <si>
    <t>p1</t>
  </si>
  <si>
    <t>pterm1</t>
  </si>
  <si>
    <t>Crossover</t>
  </si>
  <si>
    <t>Khz</t>
  </si>
  <si>
    <t>p2</t>
  </si>
  <si>
    <t>pterm2</t>
  </si>
  <si>
    <t>Phase Margin</t>
  </si>
  <si>
    <t>Deg</t>
  </si>
  <si>
    <t>Aea</t>
  </si>
  <si>
    <t>radconv</t>
  </si>
  <si>
    <t>p4</t>
  </si>
  <si>
    <t>Frequency(Hz)</t>
  </si>
  <si>
    <t>Power Stage</t>
  </si>
  <si>
    <t>Error Amplifier</t>
  </si>
  <si>
    <t>Sampling Double Pole</t>
  </si>
  <si>
    <t>System Response</t>
  </si>
  <si>
    <t>ERROR AMP Response</t>
  </si>
  <si>
    <t>PLANT Response</t>
  </si>
  <si>
    <t>P3</t>
  </si>
  <si>
    <t>Gain (dB)</t>
  </si>
  <si>
    <t>Gain(V/V)</t>
  </si>
  <si>
    <t>Phase(rad)</t>
  </si>
  <si>
    <t>Phase (Deg)</t>
  </si>
  <si>
    <t>Fsquare</t>
  </si>
  <si>
    <t>Gain(dB)</t>
  </si>
  <si>
    <t>Phase(Deg)</t>
  </si>
  <si>
    <t>Pole/Zero Locations for Chart</t>
  </si>
  <si>
    <t>crossover</t>
  </si>
  <si>
    <t>Se</t>
    <phoneticPr fontId="20" type="noConversion"/>
  </si>
  <si>
    <t>Sn</t>
    <phoneticPr fontId="20" type="noConversion"/>
  </si>
  <si>
    <t>mc</t>
    <phoneticPr fontId="20" type="noConversion"/>
  </si>
  <si>
    <t>Q</t>
    <phoneticPr fontId="20" type="noConversion"/>
  </si>
  <si>
    <t>Current Limit
(A)</t>
    <phoneticPr fontId="2" type="noConversion"/>
  </si>
  <si>
    <r>
      <t>θ</t>
    </r>
    <r>
      <rPr>
        <sz val="12"/>
        <rFont val="宋体"/>
        <charset val="134"/>
      </rPr>
      <t>ja
(</t>
    </r>
    <r>
      <rPr>
        <sz val="10"/>
        <rFont val="宋体"/>
        <charset val="134"/>
      </rPr>
      <t>℃</t>
    </r>
    <r>
      <rPr>
        <sz val="12"/>
        <rFont val="宋体"/>
        <charset val="134"/>
      </rPr>
      <t>/w)</t>
    </r>
    <phoneticPr fontId="2" type="noConversion"/>
  </si>
  <si>
    <t>High-Side Tatal gate charge Qg
(nc)</t>
    <phoneticPr fontId="2" type="noConversion"/>
  </si>
  <si>
    <t>High-Side Gate drain charge Qgd
(nc)</t>
    <phoneticPr fontId="2" type="noConversion"/>
  </si>
  <si>
    <t>Low-Side Tatal gate charge Qg
(nc)</t>
    <phoneticPr fontId="2" type="noConversion"/>
  </si>
  <si>
    <t>High-Side Gate source charge Qgs
(nc)</t>
    <phoneticPr fontId="2" type="noConversion"/>
  </si>
  <si>
    <t>Low-Side Gate source charge Qgs
(nc)</t>
    <phoneticPr fontId="2" type="noConversion"/>
  </si>
  <si>
    <t>Low-Side Gate drain charge Qgd
(nc)</t>
    <phoneticPr fontId="2" type="noConversion"/>
  </si>
  <si>
    <r>
      <t>High-Side Die temperature
(</t>
    </r>
    <r>
      <rPr>
        <sz val="10"/>
        <rFont val="宋体"/>
        <charset val="134"/>
      </rPr>
      <t>℃</t>
    </r>
    <r>
      <rPr>
        <sz val="10"/>
        <rFont val="Helvetica"/>
        <family val="2"/>
      </rPr>
      <t>)</t>
    </r>
    <phoneticPr fontId="2" type="noConversion"/>
  </si>
  <si>
    <r>
      <t>Low-Side Die temperature
(</t>
    </r>
    <r>
      <rPr>
        <sz val="10"/>
        <rFont val="宋体"/>
        <charset val="134"/>
      </rPr>
      <t>℃</t>
    </r>
    <r>
      <rPr>
        <sz val="10"/>
        <rFont val="Helvetica"/>
        <family val="2"/>
      </rPr>
      <t>)</t>
    </r>
    <phoneticPr fontId="2" type="noConversion"/>
  </si>
  <si>
    <t>High-Side Rdson as function of temp&amp;Vin(Ω)</t>
    <phoneticPr fontId="2" type="noConversion"/>
  </si>
  <si>
    <t>Low-Side Rdson as function of temp&amp;Vin(Ω)</t>
    <phoneticPr fontId="2" type="noConversion"/>
  </si>
  <si>
    <r>
      <t>High-Side Rdson as function of temp&amp;Vin(</t>
    </r>
    <r>
      <rPr>
        <sz val="10"/>
        <rFont val="Arial"/>
        <family val="2"/>
      </rPr>
      <t>Ω</t>
    </r>
    <r>
      <rPr>
        <sz val="10"/>
        <rFont val="Helvetica"/>
        <family val="2"/>
      </rPr>
      <t>)</t>
    </r>
    <phoneticPr fontId="2" type="noConversion"/>
  </si>
  <si>
    <r>
      <t>Low-Side Rdson as function of temp&amp;Vin(</t>
    </r>
    <r>
      <rPr>
        <sz val="10"/>
        <rFont val="Arial"/>
        <family val="2"/>
      </rPr>
      <t>Ω</t>
    </r>
    <r>
      <rPr>
        <sz val="10"/>
        <rFont val="Helvetica"/>
        <family val="2"/>
      </rPr>
      <t>)</t>
    </r>
    <phoneticPr fontId="2" type="noConversion"/>
  </si>
  <si>
    <t>High-Side drive voltage
(V)</t>
    <phoneticPr fontId="2" type="noConversion"/>
  </si>
  <si>
    <t>Schottky diode loss</t>
    <phoneticPr fontId="2" type="noConversion"/>
  </si>
  <si>
    <t>Schottky diode voltage droop
(V)</t>
    <phoneticPr fontId="2" type="noConversion"/>
  </si>
  <si>
    <t>HS MOSFET tr+tf Loss</t>
    <phoneticPr fontId="2" type="noConversion"/>
  </si>
  <si>
    <t>Factor</t>
    <phoneticPr fontId="2" type="noConversion"/>
  </si>
  <si>
    <t>Icloss</t>
    <phoneticPr fontId="2" type="noConversion"/>
  </si>
  <si>
    <t>µF</t>
    <phoneticPr fontId="2" type="noConversion"/>
  </si>
  <si>
    <t xml:space="preserve">Enter Application Parameters </t>
    <phoneticPr fontId="2" type="noConversion"/>
  </si>
  <si>
    <t>Load step</t>
    <phoneticPr fontId="2" type="noConversion"/>
  </si>
  <si>
    <t>LS MOSFET tr+tf loss</t>
    <phoneticPr fontId="2" type="noConversion"/>
  </si>
  <si>
    <t>Maxim output current
(A)</t>
    <phoneticPr fontId="2" type="noConversion"/>
  </si>
  <si>
    <t>Maxim 
input voltage
(V)</t>
    <phoneticPr fontId="2" type="noConversion"/>
  </si>
  <si>
    <t>Step1: Buck regulator IC selection</t>
    <phoneticPr fontId="2" type="noConversion"/>
  </si>
  <si>
    <t>Step2: Define the system specification</t>
    <phoneticPr fontId="2" type="noConversion"/>
  </si>
  <si>
    <t>Blue cell</t>
    <phoneticPr fontId="2" type="noConversion"/>
  </si>
  <si>
    <r>
      <t>i</t>
    </r>
    <r>
      <rPr>
        <sz val="12"/>
        <rFont val="宋体"/>
        <charset val="134"/>
      </rPr>
      <t>s the input parameters</t>
    </r>
    <phoneticPr fontId="2" type="noConversion"/>
  </si>
  <si>
    <t>is the calculated parameters</t>
    <phoneticPr fontId="2" type="noConversion"/>
  </si>
  <si>
    <t>Yellow cell</t>
    <phoneticPr fontId="2" type="noConversion"/>
  </si>
  <si>
    <t>Typical application schematic</t>
    <phoneticPr fontId="2" type="noConversion"/>
  </si>
  <si>
    <t>is the cell with comment</t>
    <phoneticPr fontId="2" type="noConversion"/>
  </si>
  <si>
    <t xml:space="preserve"> Input Voltage:</t>
    <phoneticPr fontId="2" type="noConversion"/>
  </si>
  <si>
    <t xml:space="preserve"> Maximum Output Current:</t>
    <phoneticPr fontId="2" type="noConversion"/>
  </si>
  <si>
    <t>Maximum Output Voltage Ripple%:</t>
    <phoneticPr fontId="2" type="noConversion"/>
  </si>
  <si>
    <t>Ambient Temperature</t>
    <phoneticPr fontId="2" type="noConversion"/>
  </si>
  <si>
    <t>Enter The Chosen Inductor Value:</t>
    <phoneticPr fontId="2" type="noConversion"/>
  </si>
  <si>
    <t>Enter The DCR of Chosen Inductor:</t>
    <phoneticPr fontId="2" type="noConversion"/>
  </si>
  <si>
    <t>Enter Desired Crossover Frequency:</t>
    <phoneticPr fontId="2" type="noConversion"/>
  </si>
  <si>
    <r>
      <t>Enter The Chosen Value for C</t>
    </r>
    <r>
      <rPr>
        <vertAlign val="subscript"/>
        <sz val="10"/>
        <color indexed="12"/>
        <rFont val="Arial"/>
        <family val="2"/>
      </rPr>
      <t>C1</t>
    </r>
    <r>
      <rPr>
        <sz val="10"/>
        <color indexed="12"/>
        <rFont val="Arial"/>
        <family val="2"/>
      </rPr>
      <t>:</t>
    </r>
    <phoneticPr fontId="2" type="noConversion"/>
  </si>
  <si>
    <r>
      <t>Enter The Chosen Value for R</t>
    </r>
    <r>
      <rPr>
        <vertAlign val="subscript"/>
        <sz val="10"/>
        <color indexed="12"/>
        <rFont val="Arial"/>
        <family val="2"/>
      </rPr>
      <t>C</t>
    </r>
    <r>
      <rPr>
        <sz val="10"/>
        <color indexed="12"/>
        <rFont val="Arial"/>
        <family val="2"/>
      </rPr>
      <t>:</t>
    </r>
    <phoneticPr fontId="2" type="noConversion"/>
  </si>
  <si>
    <r>
      <t>Enter The Chosen Value for C</t>
    </r>
    <r>
      <rPr>
        <vertAlign val="subscript"/>
        <sz val="10"/>
        <color indexed="12"/>
        <rFont val="Arial"/>
        <family val="2"/>
      </rPr>
      <t>C2</t>
    </r>
    <r>
      <rPr>
        <sz val="10"/>
        <color indexed="12"/>
        <rFont val="Arial"/>
        <family val="2"/>
      </rPr>
      <t>:</t>
    </r>
    <phoneticPr fontId="2" type="noConversion"/>
  </si>
  <si>
    <r>
      <t>Recommended  Value for R</t>
    </r>
    <r>
      <rPr>
        <vertAlign val="subscript"/>
        <sz val="10"/>
        <color indexed="60"/>
        <rFont val="Arial"/>
        <family val="2"/>
      </rPr>
      <t>FB1</t>
    </r>
    <r>
      <rPr>
        <sz val="10"/>
        <color indexed="60"/>
        <rFont val="Arial"/>
        <family val="2"/>
      </rPr>
      <t>:</t>
    </r>
    <phoneticPr fontId="2" type="noConversion"/>
  </si>
  <si>
    <r>
      <t>Recommended Value for C</t>
    </r>
    <r>
      <rPr>
        <vertAlign val="subscript"/>
        <sz val="10"/>
        <color indexed="60"/>
        <rFont val="Arial"/>
        <family val="2"/>
      </rPr>
      <t>C1</t>
    </r>
    <r>
      <rPr>
        <sz val="10"/>
        <color indexed="60"/>
        <rFont val="Arial"/>
        <family val="2"/>
      </rPr>
      <t>:</t>
    </r>
    <phoneticPr fontId="2" type="noConversion"/>
  </si>
  <si>
    <r>
      <t>Recommended Value for R</t>
    </r>
    <r>
      <rPr>
        <vertAlign val="subscript"/>
        <sz val="10"/>
        <color indexed="60"/>
        <rFont val="Arial"/>
        <family val="2"/>
      </rPr>
      <t>C</t>
    </r>
    <r>
      <rPr>
        <sz val="10"/>
        <color indexed="60"/>
        <rFont val="Arial"/>
        <family val="2"/>
      </rPr>
      <t>:</t>
    </r>
    <phoneticPr fontId="2" type="noConversion"/>
  </si>
  <si>
    <r>
      <t>Recommended Value for C</t>
    </r>
    <r>
      <rPr>
        <vertAlign val="subscript"/>
        <sz val="10"/>
        <color indexed="60"/>
        <rFont val="Arial"/>
        <family val="2"/>
      </rPr>
      <t>C2</t>
    </r>
    <r>
      <rPr>
        <sz val="10"/>
        <color indexed="60"/>
        <rFont val="Arial"/>
        <family val="2"/>
      </rPr>
      <t>:</t>
    </r>
    <phoneticPr fontId="2" type="noConversion"/>
  </si>
  <si>
    <t>Divider and EA</t>
    <phoneticPr fontId="20" type="noConversion"/>
  </si>
  <si>
    <t xml:space="preserve">Power Stage </t>
    <phoneticPr fontId="20" type="noConversion"/>
  </si>
  <si>
    <t xml:space="preserve">Input converter parameters: </t>
  </si>
  <si>
    <t>Select buck regulator IC:</t>
  </si>
  <si>
    <t>Input voltage:</t>
  </si>
  <si>
    <t>Which is converter input voltage.</t>
  </si>
  <si>
    <t>Output voltage:</t>
  </si>
  <si>
    <t>Which is converter output voltage.</t>
  </si>
  <si>
    <t xml:space="preserve">EZbuck Design Sheet Directions   </t>
    <phoneticPr fontId="2" type="noConversion"/>
  </si>
  <si>
    <t>Pick the IC you want to design with.</t>
    <phoneticPr fontId="2" type="noConversion"/>
  </si>
  <si>
    <t>Maximum output current:</t>
    <phoneticPr fontId="2" type="noConversion"/>
  </si>
  <si>
    <t>Which is converter maximum output current.</t>
    <phoneticPr fontId="2" type="noConversion"/>
  </si>
  <si>
    <t>Which is the output voltage ripple ratio.</t>
    <phoneticPr fontId="2" type="noConversion"/>
  </si>
  <si>
    <t>Maximum output voltage ripple%:</t>
    <phoneticPr fontId="2" type="noConversion"/>
  </si>
  <si>
    <t>Ambient temperature:</t>
    <phoneticPr fontId="2" type="noConversion"/>
  </si>
  <si>
    <t>Which is the converter ambient temperature.</t>
    <phoneticPr fontId="2" type="noConversion"/>
  </si>
  <si>
    <t>The design tool will generate a recommended design that includes the loop compensation parameters and the calculated efficiency.The recommended values in the design may not be practical, yet the operation of the converter can be altered by using the closest parameter.</t>
    <phoneticPr fontId="2" type="noConversion"/>
  </si>
  <si>
    <r>
      <t>To use the design tool, enter data in the cells with the</t>
    </r>
    <r>
      <rPr>
        <b/>
        <sz val="10"/>
        <color indexed="13"/>
        <rFont val="Arial"/>
        <family val="2"/>
      </rPr>
      <t xml:space="preserve"> </t>
    </r>
    <r>
      <rPr>
        <b/>
        <sz val="10"/>
        <rFont val="Arial"/>
        <family val="2"/>
      </rPr>
      <t xml:space="preserve">yellow text, the calculated values are in the cells with blue text. Red font indicate illegal input or
potential design problems. </t>
    </r>
    <phoneticPr fontId="2" type="noConversion"/>
  </si>
  <si>
    <r>
      <t>Recommended I</t>
    </r>
    <r>
      <rPr>
        <vertAlign val="subscript"/>
        <sz val="10"/>
        <color indexed="60"/>
        <rFont val="Arial"/>
        <family val="2"/>
      </rPr>
      <t>SATURATE</t>
    </r>
    <r>
      <rPr>
        <sz val="10"/>
        <color indexed="60"/>
        <rFont val="Arial"/>
        <family val="2"/>
      </rPr>
      <t>:</t>
    </r>
    <phoneticPr fontId="2" type="noConversion"/>
  </si>
  <si>
    <t>Thermal Characteristics</t>
  </si>
  <si>
    <t>Internal Power Dissipation:</t>
    <phoneticPr fontId="2" type="noConversion"/>
  </si>
  <si>
    <t>Junction Temperature:</t>
    <phoneticPr fontId="2" type="noConversion"/>
  </si>
  <si>
    <t>W</t>
    <phoneticPr fontId="2" type="noConversion"/>
  </si>
  <si>
    <t>For datasheets,evaluation note,please visit:
www.aosmd.com</t>
    <phoneticPr fontId="2" type="noConversion"/>
  </si>
  <si>
    <t>Recommend Value for Cfeedforward:</t>
    <phoneticPr fontId="2" type="noConversion"/>
  </si>
  <si>
    <t>pF</t>
    <phoneticPr fontId="2" type="noConversion"/>
  </si>
  <si>
    <t>pF</t>
    <phoneticPr fontId="2" type="noConversion"/>
  </si>
  <si>
    <t>Enter The Chosen Value for Cfeedforward:</t>
    <phoneticPr fontId="2" type="noConversion"/>
  </si>
  <si>
    <t>Zfeed</t>
    <phoneticPr fontId="20" type="noConversion"/>
  </si>
  <si>
    <t>Pfeed</t>
    <phoneticPr fontId="20" type="noConversion"/>
  </si>
  <si>
    <t>Hz</t>
    <phoneticPr fontId="20" type="noConversion"/>
  </si>
  <si>
    <t>Zfeed</t>
    <phoneticPr fontId="20" type="noConversion"/>
  </si>
  <si>
    <t>Pfeed</t>
    <phoneticPr fontId="20" type="noConversion"/>
  </si>
  <si>
    <t>Tj(HS)</t>
    <phoneticPr fontId="2" type="noConversion"/>
  </si>
  <si>
    <t xml:space="preserve">The spreadsheet requires Iteration to be enabled to operate correctly.This is done through"Tools/Options/Calculation, select "Iteration", set the "Maximum iteration" to"1000" and the "Maximum change" to"0.0001".  </t>
    <phoneticPr fontId="2" type="noConversion"/>
  </si>
  <si>
    <t>V</t>
    <phoneticPr fontId="2" type="noConversion"/>
  </si>
  <si>
    <t>Enter The chosen Output Capacitor Value:</t>
    <phoneticPr fontId="2" type="noConversion"/>
  </si>
  <si>
    <t>Enter The chosen Output Capacitor ESR:</t>
    <phoneticPr fontId="2" type="noConversion"/>
  </si>
  <si>
    <r>
      <t>Rev.</t>
    </r>
    <r>
      <rPr>
        <sz val="12"/>
        <rFont val="宋体"/>
        <charset val="134"/>
      </rPr>
      <t>1</t>
    </r>
    <r>
      <rPr>
        <sz val="12"/>
        <rFont val="宋体"/>
        <charset val="134"/>
      </rPr>
      <t>.</t>
    </r>
    <r>
      <rPr>
        <sz val="12"/>
        <rFont val="宋体"/>
        <charset val="134"/>
      </rPr>
      <t>0</t>
    </r>
    <phoneticPr fontId="2" type="noConversion"/>
  </si>
  <si>
    <t>Rev. 1.0</t>
    <phoneticPr fontId="2" type="noConversion"/>
  </si>
  <si>
    <t xml:space="preserve"> Output Voltage:</t>
    <phoneticPr fontId="2" type="noConversion"/>
  </si>
  <si>
    <t xml:space="preserve"> Switching Frequency needed:</t>
    <phoneticPr fontId="2" type="noConversion"/>
  </si>
  <si>
    <r>
      <t>k</t>
    </r>
    <r>
      <rPr>
        <sz val="12"/>
        <rFont val="宋体"/>
        <charset val="134"/>
      </rPr>
      <t>Hz</t>
    </r>
    <phoneticPr fontId="2" type="noConversion"/>
  </si>
  <si>
    <r>
      <rPr>
        <sz val="12"/>
        <rFont val="宋体"/>
        <charset val="134"/>
      </rPr>
      <t>k</t>
    </r>
    <r>
      <rPr>
        <sz val="12"/>
        <rFont val="BatangChe"/>
        <family val="3"/>
        <charset val="129"/>
      </rPr>
      <t>Ω</t>
    </r>
    <phoneticPr fontId="2" type="noConversion"/>
  </si>
  <si>
    <t>Enter The Diode Saturation Voltage:</t>
    <phoneticPr fontId="2" type="noConversion"/>
  </si>
  <si>
    <t>Inductor Selection (L1)</t>
    <phoneticPr fontId="2" type="noConversion"/>
  </si>
  <si>
    <t>Diode Selection (D1)</t>
    <phoneticPr fontId="2" type="noConversion"/>
  </si>
  <si>
    <r>
      <t>Rcommend value for R</t>
    </r>
    <r>
      <rPr>
        <vertAlign val="subscript"/>
        <sz val="10"/>
        <color indexed="12"/>
        <rFont val="Arial"/>
        <family val="2"/>
      </rPr>
      <t>F</t>
    </r>
    <r>
      <rPr>
        <sz val="10"/>
        <color indexed="12"/>
        <rFont val="Arial"/>
        <family val="2"/>
      </rPr>
      <t xml:space="preserve"> :</t>
    </r>
    <phoneticPr fontId="2" type="noConversion"/>
  </si>
  <si>
    <r>
      <t>Step3: R</t>
    </r>
    <r>
      <rPr>
        <b/>
        <vertAlign val="subscript"/>
        <sz val="14"/>
        <rFont val="Arial"/>
        <family val="2"/>
      </rPr>
      <t>F</t>
    </r>
    <r>
      <rPr>
        <b/>
        <sz val="14"/>
        <rFont val="Arial"/>
        <family val="2"/>
      </rPr>
      <t xml:space="preserve"> selection</t>
    </r>
    <phoneticPr fontId="2" type="noConversion"/>
  </si>
  <si>
    <r>
      <t>Tj(LS</t>
    </r>
    <r>
      <rPr>
        <sz val="12"/>
        <rFont val="宋体"/>
        <charset val="134"/>
      </rPr>
      <t>)</t>
    </r>
    <phoneticPr fontId="2" type="noConversion"/>
  </si>
  <si>
    <t>NA</t>
    <phoneticPr fontId="2" type="noConversion"/>
  </si>
  <si>
    <r>
      <t>Enter a Value for R</t>
    </r>
    <r>
      <rPr>
        <vertAlign val="subscript"/>
        <sz val="10"/>
        <color indexed="12"/>
        <rFont val="Arial"/>
        <family val="2"/>
      </rPr>
      <t>FB2</t>
    </r>
    <r>
      <rPr>
        <sz val="10"/>
        <color indexed="12"/>
        <rFont val="Arial"/>
        <family val="2"/>
      </rPr>
      <t>:</t>
    </r>
    <phoneticPr fontId="2" type="noConversion"/>
  </si>
  <si>
    <t xml:space="preserve">The spreadsheet was design to help quickly implement the AOZ1284PI EZbuck controllers in a DC/DC converter using a buck converter. </t>
    <phoneticPr fontId="2" type="noConversion"/>
  </si>
  <si>
    <t>Step4: Power stage component selection</t>
    <phoneticPr fontId="2" type="noConversion"/>
  </si>
  <si>
    <t>Step5: Control component selection</t>
    <phoneticPr fontId="2" type="noConversion"/>
  </si>
  <si>
    <t>Step6: Thermal Performance</t>
    <phoneticPr fontId="2" type="noConversion"/>
  </si>
  <si>
    <t>AOZ1284PI</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</si>
</sst>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
    <numFmt numFmtId="165" formatCode="0.000000"/>
    <numFmt numFmtId="166" formatCode="0.000"/>
  </numFmts>
  <fonts count="44">
    <font>
      <sz val="12"/>
      <name val="宋体"/>
      <charset val="134"/>
    </font>
    <font>
      <sz val="12"/>
      <name val="宋体"/>
      <charset val="134"/>
    </font>
    <font>
      <sz val="9"/>
      <name val="宋体"/>
      <charset val="134"/>
    </font>
    <font>
      <b/>
      <sz val="20"/>
      <name val="Arial"/>
      <family val="2"/>
    </font>
    <font>
      <sz val="10"/>
      <name val="Microsoft Sans Serif"/>
      <family val="2"/>
    </font>
    <font>
      <sz val="10"/>
      <color indexed="48"/>
      <name val="Arial"/>
      <family val="2"/>
    </font>
    <font>
      <sz val="10"/>
      <name val="Arial"/>
      <family val="2"/>
    </font>
    <font>
      <sz val="10"/>
      <color indexed="10"/>
      <name val="Arial"/>
      <family val="2"/>
    </font>
    <font>
      <sz val="12"/>
      <name val="Arial"/>
      <family val="2"/>
    </font>
    <font>
      <b/>
      <sz val="14"/>
      <name val="Arial"/>
      <family val="2"/>
    </font>
    <font>
      <b/>
      <sz val="10"/>
      <name val="Arial"/>
      <family val="2"/>
    </font>
    <font>
      <sz val="11"/>
      <name val="Arial"/>
      <family val="2"/>
    </font>
    <font>
      <b/>
      <sz val="10"/>
      <color indexed="12"/>
      <name val="Arial"/>
      <family val="2"/>
    </font>
    <font>
      <b/>
      <sz val="12"/>
      <name val="宋体"/>
      <charset val="134"/>
    </font>
    <font>
      <vertAlign val="subscript"/>
      <sz val="11"/>
      <name val="Arial"/>
      <family val="2"/>
    </font>
    <font>
      <sz val="11"/>
      <name val="宋体"/>
      <charset val="134"/>
    </font>
    <font>
      <b/>
      <sz val="10"/>
      <name val="Helvetica"/>
      <family val="2"/>
    </font>
    <font>
      <sz val="10"/>
      <name val="Helvetica"/>
      <family val="2"/>
    </font>
    <font>
      <u/>
      <sz val="10"/>
      <color indexed="12"/>
      <name val="Arial"/>
      <family val="2"/>
    </font>
    <font>
      <b/>
      <u/>
      <sz val="10"/>
      <name val="Arial"/>
      <family val="2"/>
    </font>
    <font>
      <sz val="8"/>
      <name val="Arial"/>
      <family val="2"/>
    </font>
    <font>
      <b/>
      <i/>
      <sz val="10"/>
      <name val="Arial"/>
      <family val="2"/>
    </font>
    <font>
      <b/>
      <sz val="11"/>
      <name val="Arial"/>
      <family val="2"/>
    </font>
    <font>
      <sz val="12"/>
      <color indexed="10"/>
      <name val="宋体"/>
      <charset val="134"/>
    </font>
    <font>
      <sz val="9"/>
      <color indexed="8"/>
      <name val="Tahoma"/>
      <family val="2"/>
    </font>
    <font>
      <sz val="12"/>
      <color indexed="53"/>
      <name val="宋体"/>
      <charset val="134"/>
    </font>
    <font>
      <sz val="12"/>
      <color indexed="12"/>
      <name val="宋体"/>
      <charset val="134"/>
    </font>
    <font>
      <sz val="10"/>
      <name val="宋体"/>
      <charset val="134"/>
    </font>
    <font>
      <sz val="12"/>
      <name val="宋体"/>
      <charset val="134"/>
    </font>
    <font>
      <sz val="9"/>
      <color indexed="81"/>
      <name val="宋体"/>
      <charset val="134"/>
    </font>
    <font>
      <b/>
      <sz val="9"/>
      <color indexed="81"/>
      <name val="宋体"/>
      <charset val="134"/>
    </font>
    <font>
      <sz val="10"/>
      <color indexed="12"/>
      <name val="Arial"/>
      <family val="2"/>
    </font>
    <font>
      <vertAlign val="subscript"/>
      <sz val="10"/>
      <color indexed="12"/>
      <name val="Arial"/>
      <family val="2"/>
    </font>
    <font>
      <sz val="10"/>
      <color indexed="60"/>
      <name val="Arial"/>
      <family val="2"/>
    </font>
    <font>
      <vertAlign val="subscript"/>
      <sz val="10"/>
      <color indexed="60"/>
      <name val="Arial"/>
      <family val="2"/>
    </font>
    <font>
      <sz val="9"/>
      <color indexed="81"/>
      <name val="Arial"/>
      <family val="2"/>
    </font>
    <font>
      <b/>
      <sz val="12"/>
      <name val="Arial"/>
      <family val="2"/>
    </font>
    <font>
      <b/>
      <sz val="10"/>
      <color indexed="10"/>
      <name val="Arial"/>
      <family val="2"/>
    </font>
    <font>
      <b/>
      <sz val="10"/>
      <color indexed="13"/>
      <name val="Arial"/>
      <family val="2"/>
    </font>
    <font>
      <u/>
      <sz val="14"/>
      <color indexed="12"/>
      <name val="Arial"/>
      <family val="2"/>
    </font>
    <font>
      <sz val="12"/>
      <name val="BatangChe"/>
      <family val="3"/>
      <charset val="129"/>
    </font>
    <font>
      <b/>
      <vertAlign val="subscript"/>
      <sz val="14"/>
      <name val="Arial"/>
      <family val="2"/>
    </font>
    <font>
      <sz val="10.5"/>
      <name val="Calibri"/>
      <family val="2"/>
    </font>
    <font>
      <sz val="12"/>
      <name val="宋体"/>
      <charset val="134"/>
    </font>
  </fonts>
  <fills count="13">
    <fill>
      <patternFill patternType="none"/>
    </fill>
    <fill>
      <patternFill patternType="gray125"/>
    </fill>
    <fill>
      <patternFill patternType="solid">
        <fgColor indexed="9"/>
        <bgColor indexed="64"/>
      </patternFill>
    </fill>
    <fill>
      <patternFill patternType="solid">
        <fgColor indexed="15"/>
        <bgColor indexed="64"/>
      </patternFill>
    </fill>
    <fill>
      <patternFill patternType="solid">
        <fgColor indexed="22"/>
        <bgColor indexed="64"/>
      </patternFill>
    </fill>
    <fill>
      <patternFill patternType="solid">
        <fgColor indexed="55"/>
        <bgColor indexed="64"/>
      </patternFill>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indexed="52"/>
        <bgColor indexed="64"/>
      </patternFill>
    </fill>
    <fill>
      <patternFill patternType="solid">
        <fgColor indexed="43"/>
        <bgColor indexed="64"/>
      </patternFill>
    </fill>
    <fill>
      <patternFill patternType="solid">
        <fgColor rgb="FFFFFF00"/>
        <bgColor indexed="64"/>
      </patternFill>
    </fill>
    <fill>
      <patternFill patternType="solid">
        <fgColor rgb="FF00FFFF"/>
        <bgColor indexed="64"/>
      </patternFill>
    </fill>
  </fills>
  <borders count="53">
    <border>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31"/>
      </left>
      <right style="thin">
        <color indexed="31"/>
      </right>
      <top/>
      <bottom style="thin">
        <color indexed="31"/>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alignment vertical="center"/>
    </xf>
    <xf numFmtId="0" fontId="18" fillId="0" borderId="0" applyNumberFormat="0" applyFill="0" applyBorder="0" applyAlignment="0" applyProtection="0">
      <alignment vertical="top"/>
      <protection locked="0"/>
    </xf>
    <xf numFmtId="0" fontId="6" fillId="0" borderId="0"/>
  </cellStyleXfs>
  <cellXfs count="326">
    <xf numFmtId="0" fontId="0" fillId="0" borderId="0" xfId="0">
      <alignment vertical="center"/>
    </xf>
    <xf numFmtId="0" fontId="0" fillId="0" borderId="0" xfId="0" applyAlignment="1">
      <alignment vertical="center"/>
    </xf>
    <xf numFmtId="0" fontId="0" fillId="0" borderId="0" xfId="0" applyBorder="1">
      <alignment vertical="center"/>
    </xf>
    <xf numFmtId="0" fontId="3" fillId="2" borderId="0" xfId="0" applyFont="1" applyFill="1">
      <alignment vertical="center"/>
    </xf>
    <xf numFmtId="0" fontId="4" fillId="2" borderId="0" xfId="0" applyFont="1" applyFill="1">
      <alignment vertical="center"/>
    </xf>
    <xf numFmtId="0" fontId="0" fillId="2" borderId="0" xfId="0" applyFill="1">
      <alignment vertical="center"/>
    </xf>
    <xf numFmtId="0" fontId="7" fillId="2" borderId="0" xfId="0" applyFont="1" applyFill="1">
      <alignment vertical="center"/>
    </xf>
    <xf numFmtId="0" fontId="8" fillId="2" borderId="0" xfId="0" applyFont="1" applyFill="1">
      <alignment vertical="center"/>
    </xf>
    <xf numFmtId="2" fontId="9" fillId="2" borderId="0" xfId="0" applyNumberFormat="1" applyFont="1" applyFill="1">
      <alignment vertical="center"/>
    </xf>
    <xf numFmtId="0" fontId="11" fillId="2" borderId="0" xfId="0" applyFont="1" applyFill="1">
      <alignment vertical="center"/>
    </xf>
    <xf numFmtId="0" fontId="5" fillId="2" borderId="0" xfId="0" applyFont="1" applyFill="1" applyBorder="1" applyAlignment="1">
      <alignment horizontal="right"/>
    </xf>
    <xf numFmtId="0" fontId="0" fillId="2" borderId="1" xfId="0" applyFill="1" applyBorder="1">
      <alignment vertical="center"/>
    </xf>
    <xf numFmtId="0" fontId="0" fillId="2" borderId="1" xfId="0" applyFill="1" applyBorder="1" applyProtection="1">
      <alignment vertical="center"/>
      <protection hidden="1"/>
    </xf>
    <xf numFmtId="0" fontId="0" fillId="2" borderId="2" xfId="0" applyFill="1" applyBorder="1">
      <alignment vertical="center"/>
    </xf>
    <xf numFmtId="0" fontId="9" fillId="0" borderId="0" xfId="0" applyFont="1">
      <alignment vertical="center"/>
    </xf>
    <xf numFmtId="0" fontId="13" fillId="0" borderId="0" xfId="0" applyFont="1" applyAlignment="1">
      <alignment vertical="center"/>
    </xf>
    <xf numFmtId="0" fontId="0" fillId="2" borderId="3" xfId="0" applyFill="1" applyBorder="1">
      <alignment vertical="center"/>
    </xf>
    <xf numFmtId="0" fontId="0" fillId="2" borderId="3" xfId="0" applyFill="1" applyBorder="1" applyProtection="1">
      <alignment vertical="center"/>
      <protection hidden="1"/>
    </xf>
    <xf numFmtId="0" fontId="0" fillId="2" borderId="0" xfId="0" applyNumberFormat="1" applyFill="1" applyBorder="1" applyProtection="1">
      <alignment vertical="center"/>
      <protection hidden="1"/>
    </xf>
    <xf numFmtId="0" fontId="6" fillId="2" borderId="0" xfId="0" applyFont="1" applyFill="1" applyBorder="1" applyAlignment="1">
      <alignment horizontal="right"/>
    </xf>
    <xf numFmtId="0" fontId="11" fillId="0" borderId="0" xfId="0" applyFont="1" applyAlignment="1">
      <alignment vertical="center"/>
    </xf>
    <xf numFmtId="0" fontId="11" fillId="0" borderId="0" xfId="0" applyFont="1">
      <alignment vertical="center"/>
    </xf>
    <xf numFmtId="0" fontId="0" fillId="2" borderId="0" xfId="0" applyFill="1" applyBorder="1">
      <alignment vertical="center"/>
    </xf>
    <xf numFmtId="0" fontId="0" fillId="0" borderId="4" xfId="0" applyBorder="1">
      <alignment vertical="center"/>
    </xf>
    <xf numFmtId="0" fontId="0" fillId="0" borderId="0" xfId="0" applyFill="1">
      <alignment vertical="center"/>
    </xf>
    <xf numFmtId="0" fontId="6" fillId="0" borderId="0" xfId="0" applyFont="1" applyFill="1" applyAlignment="1" applyProtection="1">
      <alignment horizontal="right"/>
    </xf>
    <xf numFmtId="0" fontId="0" fillId="0" borderId="5" xfId="0" applyBorder="1">
      <alignment vertical="center"/>
    </xf>
    <xf numFmtId="0" fontId="15" fillId="2" borderId="0" xfId="0" applyFont="1" applyFill="1">
      <alignment vertical="center"/>
    </xf>
    <xf numFmtId="0" fontId="0" fillId="0" borderId="1" xfId="0" applyBorder="1">
      <alignment vertical="center"/>
    </xf>
    <xf numFmtId="0" fontId="0" fillId="0" borderId="6" xfId="0" applyBorder="1">
      <alignment vertical="center"/>
    </xf>
    <xf numFmtId="0" fontId="0" fillId="0" borderId="2" xfId="0" applyBorder="1">
      <alignment vertical="center"/>
    </xf>
    <xf numFmtId="0" fontId="0" fillId="0" borderId="7" xfId="0" applyBorder="1">
      <alignment vertical="center"/>
    </xf>
    <xf numFmtId="0" fontId="0" fillId="0" borderId="7" xfId="0" applyBorder="1" applyAlignment="1">
      <alignment horizontal="center"/>
    </xf>
    <xf numFmtId="0" fontId="16" fillId="0" borderId="8" xfId="0" quotePrefix="1" applyFont="1" applyBorder="1" applyAlignment="1">
      <alignment horizontal="left"/>
    </xf>
    <xf numFmtId="0" fontId="0" fillId="0" borderId="9" xfId="0" applyBorder="1">
      <alignment vertical="center"/>
    </xf>
    <xf numFmtId="0" fontId="0" fillId="3" borderId="10" xfId="0" applyFill="1" applyBorder="1" applyAlignment="1">
      <alignment horizontal="center"/>
    </xf>
    <xf numFmtId="0" fontId="0" fillId="4" borderId="11" xfId="0" applyFill="1" applyBorder="1" applyAlignment="1">
      <alignment horizontal="center"/>
    </xf>
    <xf numFmtId="0" fontId="0" fillId="0" borderId="12" xfId="0" applyBorder="1">
      <alignment vertical="center"/>
    </xf>
    <xf numFmtId="0" fontId="0" fillId="4" borderId="13" xfId="0" applyFill="1" applyBorder="1" applyAlignment="1">
      <alignment horizontal="center"/>
    </xf>
    <xf numFmtId="0" fontId="0" fillId="4" borderId="14" xfId="0" applyFill="1" applyBorder="1" applyAlignment="1">
      <alignment horizontal="center"/>
    </xf>
    <xf numFmtId="0" fontId="0" fillId="5" borderId="15" xfId="0" applyFill="1" applyBorder="1" applyAlignment="1">
      <alignment horizontal="center"/>
    </xf>
    <xf numFmtId="165" fontId="0" fillId="5" borderId="15" xfId="0" applyNumberFormat="1" applyFill="1" applyBorder="1" applyAlignment="1">
      <alignment horizontal="center" wrapText="1"/>
    </xf>
    <xf numFmtId="166" fontId="0" fillId="5" borderId="15" xfId="0" applyNumberFormat="1" applyFill="1" applyBorder="1" applyAlignment="1">
      <alignment horizontal="center" wrapText="1"/>
    </xf>
    <xf numFmtId="0" fontId="0" fillId="5" borderId="15" xfId="0" applyFill="1" applyBorder="1" applyAlignment="1">
      <alignment horizontal="center" wrapText="1"/>
    </xf>
    <xf numFmtId="0" fontId="0" fillId="0" borderId="16" xfId="0" applyBorder="1" applyAlignment="1">
      <alignment horizontal="center"/>
    </xf>
    <xf numFmtId="165" fontId="0" fillId="0" borderId="16" xfId="0" applyNumberFormat="1" applyBorder="1" applyAlignment="1">
      <alignment horizontal="center"/>
    </xf>
    <xf numFmtId="166" fontId="0" fillId="0" borderId="16" xfId="0" applyNumberFormat="1" applyBorder="1" applyAlignment="1">
      <alignment horizontal="center"/>
    </xf>
    <xf numFmtId="165" fontId="0" fillId="0" borderId="0" xfId="0" applyNumberFormat="1">
      <alignment vertical="center"/>
    </xf>
    <xf numFmtId="10" fontId="0" fillId="0" borderId="16" xfId="0" applyNumberFormat="1" applyBorder="1" applyAlignment="1">
      <alignment horizontal="center"/>
    </xf>
    <xf numFmtId="0" fontId="19" fillId="0" borderId="0" xfId="0" applyFont="1">
      <alignment vertical="center"/>
    </xf>
    <xf numFmtId="165" fontId="0" fillId="0" borderId="7" xfId="0" applyNumberFormat="1" applyBorder="1" applyAlignment="1">
      <alignment horizontal="center"/>
    </xf>
    <xf numFmtId="165" fontId="0" fillId="0" borderId="17" xfId="0" applyNumberFormat="1" applyBorder="1">
      <alignment vertical="center"/>
    </xf>
    <xf numFmtId="0" fontId="0" fillId="0" borderId="18" xfId="0" applyBorder="1">
      <alignment vertical="center"/>
    </xf>
    <xf numFmtId="165" fontId="0" fillId="0" borderId="19" xfId="0" applyNumberFormat="1" applyBorder="1">
      <alignment vertical="center"/>
    </xf>
    <xf numFmtId="0" fontId="0" fillId="0" borderId="20" xfId="0" applyBorder="1">
      <alignment vertical="center"/>
    </xf>
    <xf numFmtId="165" fontId="0" fillId="0" borderId="21" xfId="0" applyNumberFormat="1" applyBorder="1">
      <alignment vertical="center"/>
    </xf>
    <xf numFmtId="0" fontId="10" fillId="0" borderId="8" xfId="0" applyFont="1" applyBorder="1">
      <alignment vertical="center"/>
    </xf>
    <xf numFmtId="0" fontId="0" fillId="0" borderId="3" xfId="0" applyBorder="1">
      <alignment vertical="center"/>
    </xf>
    <xf numFmtId="0" fontId="0" fillId="0" borderId="22" xfId="0" applyBorder="1">
      <alignment vertical="center"/>
    </xf>
    <xf numFmtId="0" fontId="0" fillId="0" borderId="23" xfId="0" applyBorder="1">
      <alignment vertical="center"/>
    </xf>
    <xf numFmtId="0" fontId="0" fillId="0" borderId="24" xfId="0" applyBorder="1">
      <alignment vertical="center"/>
    </xf>
    <xf numFmtId="0" fontId="0" fillId="0" borderId="13" xfId="0" applyBorder="1">
      <alignment vertical="center"/>
    </xf>
    <xf numFmtId="0" fontId="0" fillId="0" borderId="19" xfId="0" applyBorder="1">
      <alignment vertical="center"/>
    </xf>
    <xf numFmtId="0" fontId="6" fillId="0" borderId="13" xfId="0" applyFont="1" applyBorder="1">
      <alignment vertical="center"/>
    </xf>
    <xf numFmtId="0" fontId="0" fillId="0" borderId="25" xfId="0" applyBorder="1">
      <alignment vertical="center"/>
    </xf>
    <xf numFmtId="0" fontId="17" fillId="0" borderId="7" xfId="0" applyFont="1" applyBorder="1" applyAlignment="1">
      <alignment horizontal="center" vertical="center" wrapText="1"/>
    </xf>
    <xf numFmtId="0" fontId="17" fillId="0" borderId="7" xfId="0" quotePrefix="1" applyFont="1" applyBorder="1" applyAlignment="1">
      <alignment horizontal="center" vertical="center" wrapText="1"/>
    </xf>
    <xf numFmtId="0" fontId="6" fillId="0" borderId="7" xfId="0" applyFont="1" applyBorder="1" applyAlignment="1">
      <alignment horizontal="center" vertical="center" wrapText="1"/>
    </xf>
    <xf numFmtId="0" fontId="0" fillId="0" borderId="7" xfId="0" applyBorder="1" applyAlignment="1">
      <alignment horizontal="right" vertical="center"/>
    </xf>
    <xf numFmtId="0" fontId="0" fillId="4" borderId="26" xfId="0" applyFill="1" applyBorder="1" applyAlignment="1">
      <alignment horizontal="center"/>
    </xf>
    <xf numFmtId="0" fontId="0" fillId="4" borderId="7" xfId="0" applyFill="1" applyBorder="1" applyAlignment="1">
      <alignment horizontal="center"/>
    </xf>
    <xf numFmtId="0" fontId="6" fillId="0" borderId="0" xfId="2" applyAlignment="1">
      <alignment horizontal="right"/>
    </xf>
    <xf numFmtId="0" fontId="6" fillId="0" borderId="0" xfId="2"/>
    <xf numFmtId="0" fontId="21" fillId="0" borderId="27" xfId="2" applyFont="1" applyBorder="1" applyAlignment="1">
      <alignment horizontal="center"/>
    </xf>
    <xf numFmtId="0" fontId="6" fillId="0" borderId="28" xfId="2" applyBorder="1" applyAlignment="1">
      <alignment horizontal="center"/>
    </xf>
    <xf numFmtId="0" fontId="6" fillId="0" borderId="23" xfId="2" applyBorder="1" applyAlignment="1">
      <alignment horizontal="center"/>
    </xf>
    <xf numFmtId="0" fontId="6" fillId="0" borderId="29" xfId="2" applyBorder="1" applyAlignment="1">
      <alignment horizontal="left"/>
    </xf>
    <xf numFmtId="0" fontId="6" fillId="0" borderId="7" xfId="2" applyBorder="1"/>
    <xf numFmtId="0" fontId="6" fillId="0" borderId="14" xfId="2" applyBorder="1"/>
    <xf numFmtId="0" fontId="6" fillId="0" borderId="29" xfId="2" applyFont="1" applyBorder="1"/>
    <xf numFmtId="0" fontId="6" fillId="0" borderId="29" xfId="2" applyBorder="1"/>
    <xf numFmtId="3" fontId="6" fillId="0" borderId="7" xfId="2" applyNumberFormat="1" applyBorder="1"/>
    <xf numFmtId="0" fontId="6" fillId="0" borderId="30" xfId="2" applyBorder="1"/>
    <xf numFmtId="0" fontId="6" fillId="0" borderId="14" xfId="2" applyFill="1" applyBorder="1"/>
    <xf numFmtId="0" fontId="6" fillId="0" borderId="29" xfId="2" applyFill="1" applyBorder="1"/>
    <xf numFmtId="3" fontId="6" fillId="0" borderId="7" xfId="2" applyNumberFormat="1" applyFill="1" applyBorder="1"/>
    <xf numFmtId="0" fontId="6" fillId="0" borderId="30" xfId="2" applyFill="1" applyBorder="1"/>
    <xf numFmtId="2" fontId="6" fillId="0" borderId="7" xfId="2" applyNumberFormat="1" applyFill="1" applyBorder="1"/>
    <xf numFmtId="2" fontId="6" fillId="0" borderId="7" xfId="2" applyNumberFormat="1" applyBorder="1"/>
    <xf numFmtId="3" fontId="6" fillId="0" borderId="31" xfId="2" applyNumberFormat="1" applyBorder="1"/>
    <xf numFmtId="0" fontId="6" fillId="0" borderId="32" xfId="2" applyBorder="1"/>
    <xf numFmtId="0" fontId="21" fillId="0" borderId="33" xfId="2" applyFont="1" applyBorder="1" applyAlignment="1">
      <alignment horizontal="center"/>
    </xf>
    <xf numFmtId="0" fontId="21" fillId="0" borderId="31" xfId="2" applyFont="1" applyBorder="1" applyAlignment="1">
      <alignment horizontal="center"/>
    </xf>
    <xf numFmtId="0" fontId="21" fillId="0" borderId="32" xfId="2" applyFont="1" applyBorder="1" applyAlignment="1">
      <alignment horizontal="center"/>
    </xf>
    <xf numFmtId="0" fontId="21" fillId="0" borderId="33" xfId="2" applyFont="1" applyFill="1" applyBorder="1" applyAlignment="1">
      <alignment horizontal="center"/>
    </xf>
    <xf numFmtId="0" fontId="21" fillId="0" borderId="31" xfId="2" applyFont="1" applyFill="1" applyBorder="1" applyAlignment="1">
      <alignment horizontal="center"/>
    </xf>
    <xf numFmtId="0" fontId="21" fillId="0" borderId="32" xfId="2" applyFont="1" applyFill="1" applyBorder="1" applyAlignment="1">
      <alignment horizontal="center"/>
    </xf>
    <xf numFmtId="0" fontId="21" fillId="0" borderId="0" xfId="2" applyFont="1" applyFill="1" applyBorder="1" applyAlignment="1">
      <alignment horizontal="center"/>
    </xf>
    <xf numFmtId="0" fontId="21" fillId="0" borderId="29" xfId="2" applyFont="1" applyBorder="1"/>
    <xf numFmtId="0" fontId="21" fillId="0" borderId="14" xfId="2" applyFont="1" applyBorder="1"/>
    <xf numFmtId="166" fontId="6" fillId="0" borderId="34" xfId="2" applyNumberFormat="1" applyBorder="1" applyAlignment="1">
      <alignment horizontal="right"/>
    </xf>
    <xf numFmtId="164" fontId="6" fillId="0" borderId="35" xfId="2" applyNumberFormat="1" applyBorder="1" applyAlignment="1">
      <alignment horizontal="center"/>
    </xf>
    <xf numFmtId="164" fontId="6" fillId="0" borderId="16" xfId="2" applyNumberFormat="1" applyBorder="1" applyAlignment="1">
      <alignment horizontal="center"/>
    </xf>
    <xf numFmtId="164" fontId="6" fillId="0" borderId="36" xfId="2" applyNumberFormat="1" applyBorder="1" applyAlignment="1">
      <alignment horizontal="center"/>
    </xf>
    <xf numFmtId="164" fontId="6" fillId="0" borderId="21" xfId="2" applyNumberFormat="1" applyBorder="1" applyAlignment="1">
      <alignment horizontal="center"/>
    </xf>
    <xf numFmtId="165" fontId="6" fillId="0" borderId="35" xfId="2" applyNumberFormat="1" applyBorder="1" applyAlignment="1">
      <alignment horizontal="center"/>
    </xf>
    <xf numFmtId="165" fontId="6" fillId="0" borderId="36" xfId="2" applyNumberFormat="1" applyBorder="1" applyAlignment="1">
      <alignment horizontal="center"/>
    </xf>
    <xf numFmtId="2" fontId="6" fillId="0" borderId="35" xfId="2" applyNumberFormat="1" applyBorder="1" applyAlignment="1">
      <alignment horizontal="center"/>
    </xf>
    <xf numFmtId="2" fontId="6" fillId="0" borderId="16" xfId="2" applyNumberFormat="1" applyBorder="1" applyAlignment="1">
      <alignment horizontal="center"/>
    </xf>
    <xf numFmtId="0" fontId="6" fillId="0" borderId="36" xfId="2" applyBorder="1"/>
    <xf numFmtId="2" fontId="6" fillId="0" borderId="29" xfId="2" applyNumberFormat="1" applyBorder="1" applyAlignment="1">
      <alignment horizontal="center"/>
    </xf>
    <xf numFmtId="2" fontId="6" fillId="0" borderId="14" xfId="2" applyNumberFormat="1" applyBorder="1" applyAlignment="1">
      <alignment horizontal="center"/>
    </xf>
    <xf numFmtId="166" fontId="6" fillId="0" borderId="37" xfId="2" applyNumberFormat="1" applyBorder="1" applyAlignment="1">
      <alignment horizontal="right"/>
    </xf>
    <xf numFmtId="164" fontId="6" fillId="0" borderId="7" xfId="2" applyNumberFormat="1" applyBorder="1" applyAlignment="1">
      <alignment horizontal="center"/>
    </xf>
    <xf numFmtId="164" fontId="6" fillId="0" borderId="14" xfId="2" applyNumberFormat="1" applyBorder="1" applyAlignment="1">
      <alignment horizontal="center"/>
    </xf>
    <xf numFmtId="2" fontId="6" fillId="0" borderId="37" xfId="2" applyNumberFormat="1" applyBorder="1" applyAlignment="1">
      <alignment horizontal="right"/>
    </xf>
    <xf numFmtId="0" fontId="6" fillId="0" borderId="14" xfId="2" applyBorder="1" applyAlignment="1">
      <alignment horizontal="center"/>
    </xf>
    <xf numFmtId="0" fontId="6" fillId="0" borderId="37" xfId="2" applyBorder="1" applyAlignment="1">
      <alignment horizontal="right"/>
    </xf>
    <xf numFmtId="3" fontId="6" fillId="0" borderId="37" xfId="2" applyNumberFormat="1" applyBorder="1" applyAlignment="1">
      <alignment horizontal="right"/>
    </xf>
    <xf numFmtId="3" fontId="6" fillId="0" borderId="0" xfId="2" applyNumberFormat="1" applyAlignment="1">
      <alignment horizontal="right"/>
    </xf>
    <xf numFmtId="0" fontId="6" fillId="0" borderId="0" xfId="2" applyBorder="1" applyAlignment="1">
      <alignment horizontal="right"/>
    </xf>
    <xf numFmtId="0" fontId="6" fillId="0" borderId="0" xfId="2" applyBorder="1" applyAlignment="1">
      <alignment horizontal="left"/>
    </xf>
    <xf numFmtId="0" fontId="6" fillId="0" borderId="0" xfId="2" applyAlignment="1">
      <alignment horizontal="left"/>
    </xf>
    <xf numFmtId="0" fontId="6" fillId="0" borderId="0" xfId="2" applyFill="1" applyBorder="1" applyAlignment="1">
      <alignment horizontal="left"/>
    </xf>
    <xf numFmtId="2" fontId="6" fillId="0" borderId="33" xfId="2" applyNumberFormat="1" applyBorder="1" applyAlignment="1">
      <alignment horizontal="center"/>
    </xf>
    <xf numFmtId="2" fontId="6" fillId="0" borderId="32" xfId="2" applyNumberFormat="1" applyBorder="1" applyAlignment="1">
      <alignment horizontal="center"/>
    </xf>
    <xf numFmtId="2" fontId="6" fillId="0" borderId="0" xfId="2" applyNumberFormat="1"/>
    <xf numFmtId="0" fontId="6" fillId="0" borderId="0" xfId="2" applyFont="1"/>
    <xf numFmtId="0" fontId="0" fillId="0" borderId="0" xfId="0" applyBorder="1" applyAlignment="1">
      <alignment vertical="center"/>
    </xf>
    <xf numFmtId="0" fontId="9" fillId="0" borderId="8" xfId="0" applyFont="1"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38" xfId="0" applyBorder="1" applyAlignment="1">
      <alignment vertical="center"/>
    </xf>
    <xf numFmtId="0" fontId="0" fillId="0" borderId="1" xfId="0" applyBorder="1" applyAlignment="1">
      <alignment vertical="center"/>
    </xf>
    <xf numFmtId="0" fontId="0" fillId="0" borderId="6" xfId="0" applyBorder="1" applyAlignment="1">
      <alignment vertical="center"/>
    </xf>
    <xf numFmtId="0" fontId="0" fillId="0" borderId="4" xfId="0" applyBorder="1" applyAlignment="1">
      <alignment vertical="center"/>
    </xf>
    <xf numFmtId="0" fontId="0" fillId="0" borderId="2" xfId="0" applyBorder="1" applyAlignment="1">
      <alignment vertical="center"/>
    </xf>
    <xf numFmtId="0" fontId="0" fillId="6" borderId="0" xfId="0" applyFill="1">
      <alignment vertical="center"/>
    </xf>
    <xf numFmtId="0" fontId="24" fillId="0" borderId="0" xfId="0" applyFont="1">
      <alignment vertical="center"/>
    </xf>
    <xf numFmtId="0" fontId="25" fillId="0" borderId="0" xfId="0" applyFont="1" applyFill="1" applyAlignment="1">
      <alignment horizontal="center" vertical="center"/>
    </xf>
    <xf numFmtId="0" fontId="26" fillId="0" borderId="0" xfId="0" applyFont="1" applyFill="1" applyAlignment="1">
      <alignment horizontal="center" vertical="center"/>
    </xf>
    <xf numFmtId="0" fontId="23" fillId="0" borderId="0" xfId="0" applyFont="1" applyFill="1" applyAlignment="1">
      <alignment horizontal="center" vertical="center"/>
    </xf>
    <xf numFmtId="0" fontId="0" fillId="0" borderId="17" xfId="0" applyFill="1" applyBorder="1">
      <alignment vertical="center"/>
    </xf>
    <xf numFmtId="0" fontId="0" fillId="0" borderId="39" xfId="0" applyFill="1" applyBorder="1">
      <alignment vertical="center"/>
    </xf>
    <xf numFmtId="0" fontId="0" fillId="0" borderId="18" xfId="0" applyFill="1" applyBorder="1">
      <alignment vertical="center"/>
    </xf>
    <xf numFmtId="0" fontId="0" fillId="0" borderId="21" xfId="0" applyFill="1" applyBorder="1">
      <alignment vertical="center"/>
    </xf>
    <xf numFmtId="0" fontId="0" fillId="0" borderId="40" xfId="0" quotePrefix="1" applyFill="1" applyBorder="1">
      <alignment vertical="center"/>
    </xf>
    <xf numFmtId="0" fontId="0" fillId="0" borderId="40" xfId="0" applyFill="1" applyBorder="1">
      <alignment vertical="center"/>
    </xf>
    <xf numFmtId="0" fontId="0" fillId="0" borderId="12" xfId="0" applyFill="1" applyBorder="1">
      <alignment vertical="center"/>
    </xf>
    <xf numFmtId="0" fontId="17" fillId="0" borderId="41" xfId="0" applyFont="1" applyFill="1" applyBorder="1" applyAlignment="1">
      <alignment horizontal="center" vertical="center" wrapText="1"/>
    </xf>
    <xf numFmtId="0" fontId="17" fillId="0" borderId="7" xfId="0" applyFont="1" applyFill="1" applyBorder="1" applyAlignment="1">
      <alignment horizontal="center" vertical="center" wrapText="1"/>
    </xf>
    <xf numFmtId="0" fontId="0" fillId="4" borderId="7" xfId="0" applyFill="1" applyBorder="1">
      <alignment vertical="center"/>
    </xf>
    <xf numFmtId="0" fontId="8" fillId="0" borderId="7" xfId="0" applyFont="1" applyBorder="1" applyAlignment="1">
      <alignment horizontal="center" vertical="center" wrapText="1"/>
    </xf>
    <xf numFmtId="0" fontId="0" fillId="5" borderId="15" xfId="0" applyFill="1" applyBorder="1">
      <alignment vertical="center"/>
    </xf>
    <xf numFmtId="0" fontId="28" fillId="2" borderId="0" xfId="0" applyFont="1" applyFill="1">
      <alignment vertical="center"/>
    </xf>
    <xf numFmtId="0" fontId="0" fillId="0" borderId="38" xfId="0" applyFill="1" applyBorder="1">
      <alignment vertical="center"/>
    </xf>
    <xf numFmtId="0" fontId="0" fillId="0" borderId="0" xfId="0" applyFill="1" applyBorder="1">
      <alignment vertical="center"/>
    </xf>
    <xf numFmtId="0" fontId="0" fillId="0" borderId="1" xfId="0" applyFill="1" applyBorder="1">
      <alignment vertical="center"/>
    </xf>
    <xf numFmtId="0" fontId="0" fillId="0" borderId="42" xfId="0" applyFill="1" applyBorder="1" applyAlignment="1">
      <alignment horizontal="right"/>
    </xf>
    <xf numFmtId="0" fontId="0" fillId="0" borderId="29" xfId="0" applyFill="1" applyBorder="1" applyAlignment="1">
      <alignment horizontal="right"/>
    </xf>
    <xf numFmtId="0" fontId="0" fillId="0" borderId="33" xfId="0" applyFill="1" applyBorder="1" applyAlignment="1">
      <alignment horizontal="right"/>
    </xf>
    <xf numFmtId="0" fontId="0" fillId="0" borderId="7" xfId="0" applyFill="1" applyBorder="1" applyAlignment="1">
      <alignment horizontal="right"/>
    </xf>
    <xf numFmtId="0" fontId="10" fillId="0" borderId="0" xfId="0" applyFont="1" applyFill="1" applyBorder="1" applyAlignment="1">
      <alignment horizontal="center"/>
    </xf>
    <xf numFmtId="0" fontId="0" fillId="0" borderId="0" xfId="0" applyFill="1" applyBorder="1" applyAlignment="1">
      <alignment horizontal="right"/>
    </xf>
    <xf numFmtId="0" fontId="0" fillId="0" borderId="0" xfId="0" applyNumberFormat="1" applyFill="1" applyBorder="1">
      <alignment vertical="center"/>
    </xf>
    <xf numFmtId="0" fontId="0" fillId="0" borderId="0" xfId="0" applyFill="1" applyBorder="1" applyAlignment="1">
      <alignment horizontal="center"/>
    </xf>
    <xf numFmtId="0" fontId="0" fillId="5" borderId="6" xfId="0" applyFill="1" applyBorder="1" applyAlignment="1">
      <alignment horizontal="center" wrapText="1"/>
    </xf>
    <xf numFmtId="165" fontId="0" fillId="5" borderId="2" xfId="0" applyNumberFormat="1" applyFill="1" applyBorder="1" applyAlignment="1">
      <alignment horizontal="center"/>
    </xf>
    <xf numFmtId="0" fontId="0" fillId="0" borderId="7" xfId="0" applyBorder="1" applyAlignment="1">
      <alignment vertical="center" wrapText="1"/>
    </xf>
    <xf numFmtId="0" fontId="0" fillId="0" borderId="0" xfId="0" applyNumberFormat="1">
      <alignment vertical="center"/>
    </xf>
    <xf numFmtId="0" fontId="0" fillId="7" borderId="5" xfId="0" applyFill="1" applyBorder="1" applyProtection="1">
      <alignment vertical="center"/>
      <protection locked="0"/>
    </xf>
    <xf numFmtId="0" fontId="0" fillId="7" borderId="0" xfId="0" applyFill="1" applyBorder="1" applyProtection="1">
      <alignment vertical="center"/>
      <protection locked="0"/>
    </xf>
    <xf numFmtId="0" fontId="0" fillId="7" borderId="4" xfId="0" applyFill="1" applyBorder="1" applyProtection="1">
      <alignment vertical="center"/>
      <protection locked="0"/>
    </xf>
    <xf numFmtId="2" fontId="0" fillId="3" borderId="5" xfId="0" applyNumberFormat="1" applyFill="1" applyBorder="1" applyProtection="1">
      <alignment vertical="center"/>
      <protection hidden="1"/>
    </xf>
    <xf numFmtId="2" fontId="0" fillId="3" borderId="0" xfId="0" applyNumberFormat="1" applyFill="1" applyBorder="1" applyProtection="1">
      <alignment vertical="center"/>
      <protection hidden="1"/>
    </xf>
    <xf numFmtId="0" fontId="0" fillId="3" borderId="5" xfId="0" applyFill="1" applyBorder="1" applyProtection="1">
      <alignment vertical="center"/>
      <protection hidden="1"/>
    </xf>
    <xf numFmtId="1" fontId="0" fillId="3" borderId="0" xfId="0" applyNumberFormat="1" applyFill="1" applyBorder="1" applyProtection="1">
      <alignment vertical="center"/>
      <protection hidden="1"/>
    </xf>
    <xf numFmtId="1" fontId="0" fillId="3" borderId="4" xfId="0" applyNumberFormat="1" applyFill="1" applyBorder="1" applyProtection="1">
      <alignment vertical="center"/>
      <protection hidden="1"/>
    </xf>
    <xf numFmtId="0" fontId="0" fillId="7" borderId="5" xfId="0" applyNumberFormat="1" applyFill="1" applyBorder="1" applyProtection="1">
      <alignment vertical="center"/>
      <protection locked="0" hidden="1"/>
    </xf>
    <xf numFmtId="0" fontId="0" fillId="3" borderId="0" xfId="0" applyNumberFormat="1" applyFill="1" applyBorder="1" applyProtection="1">
      <alignment vertical="center"/>
      <protection hidden="1"/>
    </xf>
    <xf numFmtId="0" fontId="0" fillId="7" borderId="5" xfId="0" applyNumberFormat="1" applyFill="1" applyBorder="1" applyProtection="1">
      <alignment vertical="center"/>
      <protection locked="0"/>
    </xf>
    <xf numFmtId="0" fontId="0" fillId="7" borderId="0" xfId="0" applyNumberFormat="1" applyFill="1" applyBorder="1" applyProtection="1">
      <alignment vertical="center"/>
      <protection locked="0"/>
    </xf>
    <xf numFmtId="0" fontId="0" fillId="7" borderId="4" xfId="0" applyNumberFormat="1" applyFill="1" applyBorder="1" applyProtection="1">
      <alignment vertical="center"/>
      <protection locked="0"/>
    </xf>
    <xf numFmtId="0" fontId="0" fillId="3" borderId="5" xfId="0" applyNumberFormat="1" applyFill="1" applyBorder="1" applyProtection="1">
      <alignment vertical="center"/>
      <protection hidden="1"/>
    </xf>
    <xf numFmtId="0" fontId="0" fillId="3" borderId="4" xfId="0" applyNumberFormat="1" applyFill="1" applyBorder="1" applyProtection="1">
      <alignment vertical="center"/>
      <protection hidden="1"/>
    </xf>
    <xf numFmtId="0" fontId="12" fillId="8" borderId="0" xfId="0" applyFont="1" applyFill="1" applyAlignment="1" applyProtection="1">
      <alignment horizontal="right"/>
      <protection locked="0"/>
    </xf>
    <xf numFmtId="0" fontId="9" fillId="9" borderId="0" xfId="0" applyFont="1" applyFill="1">
      <alignment vertical="center"/>
    </xf>
    <xf numFmtId="0" fontId="13" fillId="9" borderId="0" xfId="0" applyFont="1" applyFill="1" applyAlignment="1">
      <alignment vertical="center"/>
    </xf>
    <xf numFmtId="0" fontId="28" fillId="9" borderId="0" xfId="0" applyFont="1" applyFill="1" applyAlignment="1">
      <alignment vertical="center"/>
    </xf>
    <xf numFmtId="0" fontId="28" fillId="9" borderId="0" xfId="0" applyFont="1" applyFill="1">
      <alignment vertical="center"/>
    </xf>
    <xf numFmtId="2" fontId="9" fillId="9" borderId="0" xfId="0" applyNumberFormat="1" applyFont="1" applyFill="1">
      <alignment vertical="center"/>
    </xf>
    <xf numFmtId="0" fontId="10" fillId="9" borderId="0" xfId="0" applyFont="1" applyFill="1">
      <alignment vertical="center"/>
    </xf>
    <xf numFmtId="0" fontId="0" fillId="9" borderId="0" xfId="0" applyFill="1">
      <alignment vertical="center"/>
    </xf>
    <xf numFmtId="0" fontId="11" fillId="7" borderId="0" xfId="0" applyFont="1" applyFill="1">
      <alignment vertical="center"/>
    </xf>
    <xf numFmtId="0" fontId="11" fillId="3" borderId="0" xfId="0" applyFont="1" applyFill="1">
      <alignment vertical="center"/>
    </xf>
    <xf numFmtId="0" fontId="7" fillId="2" borderId="43" xfId="0" applyFont="1" applyFill="1" applyBorder="1">
      <alignment vertical="center"/>
    </xf>
    <xf numFmtId="0" fontId="1" fillId="7" borderId="0" xfId="0" applyFont="1" applyFill="1" applyBorder="1" applyProtection="1">
      <alignment vertical="center"/>
      <protection locked="0"/>
    </xf>
    <xf numFmtId="0" fontId="15" fillId="2" borderId="2" xfId="0" applyFont="1" applyFill="1" applyBorder="1">
      <alignment vertical="center"/>
    </xf>
    <xf numFmtId="0" fontId="6" fillId="0" borderId="29" xfId="2" applyFont="1" applyFill="1" applyBorder="1"/>
    <xf numFmtId="0" fontId="6" fillId="0" borderId="7" xfId="2" applyFill="1" applyBorder="1"/>
    <xf numFmtId="0" fontId="6" fillId="0" borderId="33" xfId="2" applyFont="1" applyFill="1" applyBorder="1"/>
    <xf numFmtId="0" fontId="6" fillId="0" borderId="32" xfId="2" applyFill="1" applyBorder="1"/>
    <xf numFmtId="0" fontId="6" fillId="0" borderId="31" xfId="2" applyFill="1" applyBorder="1"/>
    <xf numFmtId="0" fontId="6" fillId="0" borderId="44" xfId="2" applyFill="1" applyBorder="1"/>
    <xf numFmtId="0" fontId="10" fillId="0" borderId="45" xfId="2" applyFont="1" applyFill="1" applyBorder="1" applyAlignment="1">
      <alignment horizontal="center"/>
    </xf>
    <xf numFmtId="0" fontId="6" fillId="0" borderId="15" xfId="2" applyFill="1" applyBorder="1"/>
    <xf numFmtId="0" fontId="22" fillId="0" borderId="28" xfId="2" applyFont="1" applyFill="1" applyBorder="1" applyAlignment="1">
      <alignment horizontal="center"/>
    </xf>
    <xf numFmtId="0" fontId="13" fillId="2" borderId="0" xfId="0" applyFont="1" applyFill="1">
      <alignment vertical="center"/>
    </xf>
    <xf numFmtId="0" fontId="9" fillId="9" borderId="0" xfId="0" applyFont="1" applyFill="1" applyAlignment="1">
      <alignment vertical="center"/>
    </xf>
    <xf numFmtId="0" fontId="15" fillId="0" borderId="2" xfId="0" applyFont="1" applyBorder="1" applyAlignment="1">
      <alignment vertical="center"/>
    </xf>
    <xf numFmtId="0" fontId="26" fillId="0" borderId="0" xfId="0" applyFont="1">
      <alignment vertical="center"/>
    </xf>
    <xf numFmtId="0" fontId="0" fillId="10" borderId="0" xfId="0" applyFill="1">
      <alignment vertical="center"/>
    </xf>
    <xf numFmtId="0" fontId="0" fillId="3" borderId="5" xfId="0" applyFill="1" applyBorder="1" applyAlignment="1" applyProtection="1">
      <alignment vertical="center"/>
      <protection hidden="1"/>
    </xf>
    <xf numFmtId="0" fontId="0" fillId="3" borderId="4" xfId="0" applyFill="1" applyBorder="1" applyAlignment="1" applyProtection="1">
      <alignment vertical="center"/>
      <protection hidden="1"/>
    </xf>
    <xf numFmtId="1" fontId="0" fillId="3" borderId="0" xfId="0" applyNumberFormat="1" applyFill="1" applyAlignment="1" applyProtection="1">
      <alignment horizontal="right"/>
      <protection hidden="1"/>
    </xf>
    <xf numFmtId="0" fontId="6" fillId="0" borderId="46" xfId="2" applyBorder="1" applyAlignment="1">
      <alignment horizontal="left"/>
    </xf>
    <xf numFmtId="0" fontId="6" fillId="0" borderId="29" xfId="2" applyFill="1" applyBorder="1" applyAlignment="1">
      <alignment horizontal="left"/>
    </xf>
    <xf numFmtId="3" fontId="6" fillId="0" borderId="0" xfId="2" applyNumberFormat="1" applyBorder="1"/>
    <xf numFmtId="0" fontId="6" fillId="0" borderId="29" xfId="2" applyFont="1" applyFill="1" applyBorder="1" applyAlignment="1">
      <alignment horizontal="left"/>
    </xf>
    <xf numFmtId="0" fontId="6" fillId="0" borderId="33" xfId="2" applyFont="1" applyFill="1" applyBorder="1" applyAlignment="1">
      <alignment horizontal="left"/>
    </xf>
    <xf numFmtId="0" fontId="6" fillId="0" borderId="14" xfId="2" applyFont="1" applyBorder="1"/>
    <xf numFmtId="0" fontId="6" fillId="0" borderId="32" xfId="2" applyFont="1" applyBorder="1"/>
    <xf numFmtId="0" fontId="6" fillId="0" borderId="24" xfId="2" applyFont="1" applyBorder="1"/>
    <xf numFmtId="0" fontId="6" fillId="0" borderId="47" xfId="2" applyNumberFormat="1" applyFill="1" applyBorder="1"/>
    <xf numFmtId="0" fontId="6" fillId="0" borderId="26" xfId="2" applyFill="1" applyBorder="1"/>
    <xf numFmtId="0" fontId="6" fillId="0" borderId="24" xfId="2" applyBorder="1"/>
    <xf numFmtId="0" fontId="6" fillId="0" borderId="17" xfId="2" applyBorder="1"/>
    <xf numFmtId="0" fontId="6" fillId="0" borderId="46" xfId="2" applyFont="1" applyFill="1" applyBorder="1"/>
    <xf numFmtId="0" fontId="6" fillId="0" borderId="33" xfId="2" applyFont="1" applyBorder="1"/>
    <xf numFmtId="0" fontId="6" fillId="0" borderId="31" xfId="2" applyBorder="1"/>
    <xf numFmtId="3" fontId="6" fillId="0" borderId="24" xfId="2" applyNumberFormat="1" applyBorder="1"/>
    <xf numFmtId="3" fontId="6" fillId="0" borderId="24" xfId="2" applyNumberFormat="1" applyFill="1" applyBorder="1"/>
    <xf numFmtId="0" fontId="6" fillId="0" borderId="25" xfId="2" applyFill="1" applyBorder="1"/>
    <xf numFmtId="0" fontId="31" fillId="2" borderId="0" xfId="0" applyFont="1" applyFill="1" applyBorder="1" applyAlignment="1">
      <alignment horizontal="right"/>
    </xf>
    <xf numFmtId="0" fontId="1" fillId="10" borderId="0" xfId="0" applyFont="1" applyFill="1">
      <alignment vertical="center"/>
    </xf>
    <xf numFmtId="0" fontId="1" fillId="0" borderId="3" xfId="0" applyFont="1" applyBorder="1">
      <alignment vertical="center"/>
    </xf>
    <xf numFmtId="0" fontId="0" fillId="11" borderId="5" xfId="0" applyFill="1" applyBorder="1">
      <alignment vertical="center"/>
    </xf>
    <xf numFmtId="0" fontId="0" fillId="12" borderId="4" xfId="0" applyFill="1" applyBorder="1">
      <alignment vertical="center"/>
    </xf>
    <xf numFmtId="0" fontId="1" fillId="2" borderId="2" xfId="0" applyFont="1" applyFill="1" applyBorder="1">
      <alignment vertical="center"/>
    </xf>
    <xf numFmtId="0" fontId="11" fillId="2" borderId="0" xfId="0" applyFont="1" applyFill="1" applyBorder="1" applyAlignment="1">
      <alignment horizontal="left"/>
    </xf>
    <xf numFmtId="0" fontId="11" fillId="2" borderId="9" xfId="0" applyFont="1" applyFill="1" applyBorder="1" applyAlignment="1">
      <alignment horizontal="left"/>
    </xf>
    <xf numFmtId="0" fontId="11" fillId="11" borderId="48" xfId="0" applyFont="1" applyFill="1" applyBorder="1" applyAlignment="1">
      <alignment horizontal="right"/>
    </xf>
    <xf numFmtId="0" fontId="0" fillId="5" borderId="15" xfId="0" applyFill="1" applyBorder="1" applyAlignment="1">
      <alignment vertical="center"/>
    </xf>
    <xf numFmtId="0" fontId="42" fillId="0" borderId="0" xfId="0" applyFont="1" applyAlignment="1">
      <alignment horizontal="justify" vertical="center"/>
    </xf>
    <xf numFmtId="0" fontId="43" fillId="0" borderId="0" xfId="0" applyFont="1">
      <alignment vertical="center"/>
    </xf>
    <xf numFmtId="0" fontId="43" fillId="0" borderId="7" xfId="0" applyFont="1" applyBorder="1">
      <alignment vertical="center"/>
    </xf>
    <xf numFmtId="0" fontId="36" fillId="10" borderId="0" xfId="0" applyFont="1" applyFill="1" applyAlignment="1">
      <alignment horizontal="center" vertical="center"/>
    </xf>
    <xf numFmtId="0" fontId="10" fillId="10" borderId="0" xfId="0" applyFont="1" applyFill="1" applyAlignment="1">
      <alignment horizontal="right"/>
    </xf>
    <xf numFmtId="0" fontId="10" fillId="10" borderId="0" xfId="0" applyFont="1" applyFill="1" applyAlignment="1">
      <alignment horizontal="left"/>
    </xf>
    <xf numFmtId="0" fontId="0" fillId="10" borderId="0" xfId="0" applyFill="1" applyAlignment="1"/>
    <xf numFmtId="0" fontId="0" fillId="10" borderId="0" xfId="0" applyFill="1" applyAlignment="1">
      <alignment vertical="center"/>
    </xf>
    <xf numFmtId="0" fontId="10" fillId="10" borderId="0" xfId="0" applyFont="1" applyFill="1" applyAlignment="1">
      <alignment vertical="center" wrapText="1"/>
    </xf>
    <xf numFmtId="0" fontId="10" fillId="10" borderId="0" xfId="0" applyFont="1" applyFill="1" applyAlignment="1">
      <alignment horizontal="left" wrapText="1"/>
    </xf>
    <xf numFmtId="0" fontId="10" fillId="10" borderId="0" xfId="0" applyFont="1" applyFill="1" applyAlignment="1">
      <alignment vertical="center"/>
    </xf>
    <xf numFmtId="0" fontId="37" fillId="10" borderId="0" xfId="0" applyFont="1" applyFill="1" applyAlignment="1">
      <alignment vertical="center" wrapText="1"/>
    </xf>
    <xf numFmtId="0" fontId="23" fillId="10" borderId="0" xfId="0" applyFont="1" applyFill="1" applyAlignment="1">
      <alignment vertical="center" wrapText="1"/>
    </xf>
    <xf numFmtId="0" fontId="0" fillId="10" borderId="0" xfId="0" applyFill="1" applyAlignment="1">
      <alignment horizontal="left"/>
    </xf>
    <xf numFmtId="0" fontId="0" fillId="10" borderId="0" xfId="0" applyFill="1" applyAlignment="1">
      <alignment horizontal="left" wrapText="1"/>
    </xf>
    <xf numFmtId="0" fontId="31" fillId="2" borderId="6" xfId="0" applyFont="1" applyFill="1" applyBorder="1" applyAlignment="1">
      <alignment horizontal="right"/>
    </xf>
    <xf numFmtId="0" fontId="31" fillId="2" borderId="4" xfId="0" applyFont="1" applyFill="1" applyBorder="1" applyAlignment="1">
      <alignment horizontal="right"/>
    </xf>
    <xf numFmtId="0" fontId="11" fillId="2" borderId="0" xfId="0" applyFont="1" applyFill="1" applyBorder="1" applyAlignment="1">
      <alignment horizontal="left"/>
    </xf>
    <xf numFmtId="0" fontId="31" fillId="2" borderId="8" xfId="0" applyFont="1" applyFill="1" applyBorder="1" applyAlignment="1">
      <alignment horizontal="right"/>
    </xf>
    <xf numFmtId="0" fontId="31" fillId="2" borderId="5" xfId="0" applyFont="1" applyFill="1" applyBorder="1" applyAlignment="1">
      <alignment horizontal="right"/>
    </xf>
    <xf numFmtId="0" fontId="31" fillId="2" borderId="49" xfId="0" applyFont="1" applyFill="1" applyBorder="1" applyAlignment="1">
      <alignment horizontal="right"/>
    </xf>
    <xf numFmtId="0" fontId="31" fillId="2" borderId="48" xfId="0" applyFont="1" applyFill="1" applyBorder="1" applyAlignment="1">
      <alignment horizontal="right"/>
    </xf>
    <xf numFmtId="0" fontId="33" fillId="2" borderId="38" xfId="0" applyFont="1" applyFill="1" applyBorder="1" applyAlignment="1" applyProtection="1">
      <alignment horizontal="right"/>
      <protection hidden="1"/>
    </xf>
    <xf numFmtId="0" fontId="33" fillId="2" borderId="0" xfId="0" applyFont="1" applyFill="1" applyBorder="1" applyAlignment="1" applyProtection="1">
      <alignment horizontal="right"/>
      <protection hidden="1"/>
    </xf>
    <xf numFmtId="0" fontId="11" fillId="2" borderId="4" xfId="0" applyFont="1" applyFill="1" applyBorder="1" applyAlignment="1">
      <alignment horizontal="left"/>
    </xf>
    <xf numFmtId="0" fontId="39" fillId="0" borderId="8" xfId="1" applyFont="1" applyBorder="1" applyAlignment="1" applyProtection="1">
      <alignment vertical="center" wrapText="1"/>
    </xf>
    <xf numFmtId="0" fontId="39" fillId="0" borderId="5" xfId="1" applyFont="1" applyBorder="1" applyAlignment="1" applyProtection="1">
      <alignment vertical="center"/>
    </xf>
    <xf numFmtId="0" fontId="39" fillId="0" borderId="3" xfId="1" applyFont="1" applyBorder="1" applyAlignment="1" applyProtection="1">
      <alignment vertical="center"/>
    </xf>
    <xf numFmtId="0" fontId="39" fillId="0" borderId="38" xfId="1" applyFont="1" applyBorder="1" applyAlignment="1" applyProtection="1">
      <alignment vertical="center"/>
    </xf>
    <xf numFmtId="0" fontId="39" fillId="0" borderId="0" xfId="1" applyFont="1" applyAlignment="1" applyProtection="1">
      <alignment vertical="center"/>
    </xf>
    <xf numFmtId="0" fontId="39" fillId="0" borderId="1" xfId="1" applyFont="1" applyBorder="1" applyAlignment="1" applyProtection="1">
      <alignment vertical="center"/>
    </xf>
    <xf numFmtId="0" fontId="39" fillId="0" borderId="6" xfId="1" applyFont="1" applyBorder="1" applyAlignment="1" applyProtection="1">
      <alignment vertical="center"/>
    </xf>
    <xf numFmtId="0" fontId="39" fillId="0" borderId="4" xfId="1" applyFont="1" applyBorder="1" applyAlignment="1" applyProtection="1">
      <alignment vertical="center"/>
    </xf>
    <xf numFmtId="0" fontId="39" fillId="0" borderId="2" xfId="1" applyFont="1" applyBorder="1" applyAlignment="1" applyProtection="1">
      <alignment vertical="center"/>
    </xf>
    <xf numFmtId="0" fontId="33" fillId="0" borderId="6" xfId="0" applyFont="1" applyBorder="1" applyAlignment="1">
      <alignment horizontal="right" vertical="center"/>
    </xf>
    <xf numFmtId="0" fontId="33" fillId="0" borderId="4" xfId="0" applyFont="1" applyBorder="1" applyAlignment="1">
      <alignment horizontal="right" vertical="center"/>
    </xf>
    <xf numFmtId="0" fontId="33" fillId="2" borderId="38" xfId="0" applyFont="1" applyFill="1" applyBorder="1" applyAlignment="1">
      <alignment horizontal="right"/>
    </xf>
    <xf numFmtId="0" fontId="33" fillId="2" borderId="0" xfId="0" applyFont="1" applyFill="1" applyBorder="1" applyAlignment="1">
      <alignment horizontal="right"/>
    </xf>
    <xf numFmtId="0" fontId="31" fillId="2" borderId="38" xfId="0" applyFont="1" applyFill="1" applyBorder="1" applyAlignment="1">
      <alignment horizontal="right"/>
    </xf>
    <xf numFmtId="0" fontId="31" fillId="2" borderId="0" xfId="0" applyFont="1" applyFill="1" applyBorder="1" applyAlignment="1">
      <alignment horizontal="right"/>
    </xf>
    <xf numFmtId="0" fontId="33" fillId="2" borderId="6" xfId="0" applyFont="1" applyFill="1" applyBorder="1" applyAlignment="1">
      <alignment horizontal="right"/>
    </xf>
    <xf numFmtId="0" fontId="33" fillId="2" borderId="4" xfId="0" applyFont="1" applyFill="1" applyBorder="1" applyAlignment="1">
      <alignment horizontal="right"/>
    </xf>
    <xf numFmtId="0" fontId="0" fillId="0" borderId="0" xfId="0" applyAlignment="1">
      <alignment vertical="center"/>
    </xf>
    <xf numFmtId="0" fontId="6" fillId="8" borderId="0" xfId="0" applyFont="1" applyFill="1" applyAlignment="1" applyProtection="1">
      <alignment horizontal="right"/>
    </xf>
    <xf numFmtId="0" fontId="0" fillId="2" borderId="0" xfId="0" applyFill="1" applyAlignment="1">
      <alignment vertical="center"/>
    </xf>
    <xf numFmtId="0" fontId="33" fillId="2" borderId="8" xfId="0" applyFont="1" applyFill="1" applyBorder="1" applyAlignment="1">
      <alignment horizontal="right"/>
    </xf>
    <xf numFmtId="0" fontId="33" fillId="2" borderId="5" xfId="0" applyFont="1" applyFill="1" applyBorder="1" applyAlignment="1">
      <alignment horizontal="right"/>
    </xf>
    <xf numFmtId="0" fontId="28" fillId="2" borderId="0" xfId="0" applyFont="1" applyFill="1" applyBorder="1" applyAlignment="1">
      <alignment vertical="center"/>
    </xf>
    <xf numFmtId="0" fontId="0" fillId="2" borderId="0" xfId="0" applyFill="1" applyBorder="1" applyAlignment="1">
      <alignment vertical="center"/>
    </xf>
    <xf numFmtId="0" fontId="33" fillId="2" borderId="8" xfId="0" applyFont="1" applyFill="1" applyBorder="1" applyAlignment="1" applyProtection="1">
      <alignment horizontal="right"/>
      <protection hidden="1"/>
    </xf>
    <xf numFmtId="0" fontId="33" fillId="2" borderId="5" xfId="0" applyFont="1" applyFill="1" applyBorder="1" applyAlignment="1" applyProtection="1">
      <alignment horizontal="right"/>
      <protection hidden="1"/>
    </xf>
    <xf numFmtId="0" fontId="0" fillId="0" borderId="0" xfId="0" applyBorder="1" applyAlignment="1">
      <alignment vertical="center"/>
    </xf>
    <xf numFmtId="0" fontId="26" fillId="0" borderId="4" xfId="0" applyFont="1" applyBorder="1">
      <alignment vertical="center"/>
    </xf>
    <xf numFmtId="0" fontId="31" fillId="0" borderId="8" xfId="0" applyFont="1" applyFill="1" applyBorder="1" applyAlignment="1">
      <alignment horizontal="right"/>
    </xf>
    <xf numFmtId="0" fontId="31" fillId="0" borderId="5" xfId="0" applyFont="1" applyFill="1" applyBorder="1" applyAlignment="1">
      <alignment horizontal="right"/>
    </xf>
    <xf numFmtId="0" fontId="0" fillId="0" borderId="0" xfId="0" applyBorder="1" applyAlignment="1">
      <alignment horizontal="right"/>
    </xf>
    <xf numFmtId="0" fontId="33" fillId="0" borderId="8" xfId="0" applyFont="1" applyBorder="1" applyAlignment="1">
      <alignment horizontal="right" vertical="center"/>
    </xf>
    <xf numFmtId="0" fontId="33" fillId="0" borderId="5" xfId="0" applyFont="1" applyBorder="1" applyAlignment="1">
      <alignment horizontal="right" vertical="center"/>
    </xf>
    <xf numFmtId="0" fontId="0" fillId="0" borderId="17" xfId="0" applyFill="1" applyBorder="1" applyAlignment="1">
      <alignment vertical="center"/>
    </xf>
    <xf numFmtId="0" fontId="0" fillId="0" borderId="39" xfId="0" applyFill="1" applyBorder="1" applyAlignment="1">
      <alignment vertical="center"/>
    </xf>
    <xf numFmtId="0" fontId="0" fillId="0" borderId="18" xfId="0" applyFill="1" applyBorder="1" applyAlignment="1">
      <alignment vertical="center"/>
    </xf>
    <xf numFmtId="0" fontId="0" fillId="0" borderId="21" xfId="0" applyFill="1" applyBorder="1" applyAlignment="1">
      <alignment vertical="center"/>
    </xf>
    <xf numFmtId="0" fontId="0" fillId="0" borderId="40" xfId="0" applyFill="1" applyBorder="1" applyAlignment="1">
      <alignment vertical="center"/>
    </xf>
    <xf numFmtId="0" fontId="0" fillId="0" borderId="12" xfId="0" applyFill="1" applyBorder="1" applyAlignment="1">
      <alignment vertical="center"/>
    </xf>
    <xf numFmtId="0" fontId="10" fillId="4" borderId="42" xfId="2" applyFont="1" applyFill="1" applyBorder="1" applyAlignment="1"/>
    <xf numFmtId="0" fontId="10" fillId="4" borderId="50" xfId="2" applyFont="1" applyFill="1" applyBorder="1" applyAlignment="1"/>
    <xf numFmtId="0" fontId="21" fillId="0" borderId="27" xfId="2" applyFont="1" applyBorder="1" applyAlignment="1">
      <alignment horizontal="center"/>
    </xf>
    <xf numFmtId="0" fontId="6" fillId="0" borderId="28" xfId="2" applyBorder="1" applyAlignment="1">
      <alignment horizontal="center"/>
    </xf>
    <xf numFmtId="0" fontId="21" fillId="0" borderId="28" xfId="2" applyFont="1" applyBorder="1" applyAlignment="1">
      <alignment horizontal="center"/>
    </xf>
    <xf numFmtId="0" fontId="6" fillId="0" borderId="23" xfId="2" applyBorder="1" applyAlignment="1">
      <alignment horizontal="center"/>
    </xf>
    <xf numFmtId="0" fontId="22" fillId="0" borderId="45" xfId="2" applyFont="1" applyFill="1" applyBorder="1" applyAlignment="1">
      <alignment horizontal="right" vertical="center"/>
    </xf>
    <xf numFmtId="0" fontId="6" fillId="0" borderId="37" xfId="2" applyFill="1" applyBorder="1" applyAlignment="1">
      <alignment horizontal="right" vertical="center"/>
    </xf>
    <xf numFmtId="0" fontId="6" fillId="0" borderId="51" xfId="2" applyFill="1" applyBorder="1" applyAlignment="1">
      <alignment horizontal="right" vertical="center"/>
    </xf>
    <xf numFmtId="0" fontId="22" fillId="0" borderId="42" xfId="2" applyFont="1" applyFill="1" applyBorder="1" applyAlignment="1">
      <alignment horizontal="center"/>
    </xf>
    <xf numFmtId="0" fontId="6" fillId="0" borderId="52" xfId="2" applyFill="1" applyBorder="1" applyAlignment="1">
      <alignment horizontal="center"/>
    </xf>
    <xf numFmtId="0" fontId="6" fillId="0" borderId="50" xfId="2" applyFill="1" applyBorder="1" applyAlignment="1">
      <alignment horizontal="center"/>
    </xf>
    <xf numFmtId="0" fontId="10" fillId="0" borderId="7" xfId="2" applyFont="1" applyBorder="1" applyAlignment="1">
      <alignment horizontal="center"/>
    </xf>
    <xf numFmtId="0" fontId="10" fillId="0" borderId="14" xfId="2" applyFont="1" applyBorder="1" applyAlignment="1">
      <alignment horizontal="center"/>
    </xf>
    <xf numFmtId="0" fontId="22" fillId="0" borderId="52" xfId="2" applyFont="1" applyFill="1" applyBorder="1" applyAlignment="1">
      <alignment horizontal="center"/>
    </xf>
    <xf numFmtId="0" fontId="22" fillId="0" borderId="50" xfId="2" applyFont="1" applyFill="1" applyBorder="1" applyAlignment="1">
      <alignment horizontal="center"/>
    </xf>
    <xf numFmtId="0" fontId="10" fillId="0" borderId="29" xfId="2" applyFont="1" applyBorder="1" applyAlignment="1">
      <alignment horizontal="center"/>
    </xf>
    <xf numFmtId="0" fontId="10" fillId="0" borderId="10" xfId="2" applyFont="1" applyBorder="1" applyAlignment="1">
      <alignment horizontal="center"/>
    </xf>
    <xf numFmtId="0" fontId="10" fillId="0" borderId="13" xfId="2" applyFont="1" applyBorder="1" applyAlignment="1">
      <alignment horizontal="center"/>
    </xf>
  </cellXfs>
  <cellStyles count="3">
    <cellStyle name="Hyperlink" xfId="1" builtinId="8"/>
    <cellStyle name="Normal" xfId="0" builtinId="0"/>
    <cellStyle name="常规_LM20242_Calculator" xfId="2"/>
  </cellStyles>
  <dxfs count="16">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patternType="none">
          <bgColor indexed="6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en-US"/>
              <a:t>Close loop Gain&amp;Phase</a:t>
            </a:r>
          </a:p>
        </c:rich>
      </c:tx>
      <c:layout>
        <c:manualLayout>
          <c:xMode val="edge"/>
          <c:yMode val="edge"/>
          <c:x val="0.3339130434782609"/>
          <c:y val="2.2727272727272728E-2"/>
        </c:manualLayout>
      </c:layout>
      <c:overlay val="0"/>
      <c:spPr>
        <a:noFill/>
        <a:ln w="25400">
          <a:noFill/>
        </a:ln>
      </c:spPr>
    </c:title>
    <c:autoTitleDeleted val="0"/>
    <c:plotArea>
      <c:layout>
        <c:manualLayout>
          <c:layoutTarget val="inner"/>
          <c:xMode val="edge"/>
          <c:yMode val="edge"/>
          <c:x val="0.13739130434782609"/>
          <c:y val="0.13409090909090909"/>
          <c:w val="0.74260869565217391"/>
          <c:h val="0.64090909090909087"/>
        </c:manualLayout>
      </c:layout>
      <c:scatterChart>
        <c:scatterStyle val="smoothMarker"/>
        <c:varyColors val="0"/>
        <c:ser>
          <c:idx val="0"/>
          <c:order val="0"/>
          <c:tx>
            <c:strRef>
              <c:f>'Bode Plot Calculations'!$R$13</c:f>
              <c:strCache>
                <c:ptCount val="1"/>
                <c:pt idx="0">
                  <c:v>Gain (dB)</c:v>
                </c:pt>
              </c:strCache>
            </c:strRef>
          </c:tx>
          <c:spPr>
            <a:ln w="25400">
              <a:solidFill>
                <a:srgbClr val="FF0000"/>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Calculations'!$R$14:$R$614</c:f>
              <c:numCache>
                <c:formatCode>0.00</c:formatCode>
                <c:ptCount val="601"/>
                <c:pt idx="0">
                  <c:v>72.116880392163139</c:v>
                </c:pt>
                <c:pt idx="1">
                  <c:v>72.101017713730741</c:v>
                </c:pt>
                <c:pt idx="2">
                  <c:v>72.082024499081598</c:v>
                </c:pt>
                <c:pt idx="3">
                  <c:v>72.05930034427989</c:v>
                </c:pt>
                <c:pt idx="4">
                  <c:v>72.032156652060152</c:v>
                </c:pt>
                <c:pt idx="5">
                  <c:v>71.999714249401322</c:v>
                </c:pt>
                <c:pt idx="6">
                  <c:v>71.961042303505437</c:v>
                </c:pt>
                <c:pt idx="7">
                  <c:v>71.914986024937477</c:v>
                </c:pt>
                <c:pt idx="8">
                  <c:v>71.860276516886316</c:v>
                </c:pt>
                <c:pt idx="9">
                  <c:v>71.795379329446888</c:v>
                </c:pt>
                <c:pt idx="10">
                  <c:v>71.718635178491454</c:v>
                </c:pt>
                <c:pt idx="11">
                  <c:v>71.628137453365099</c:v>
                </c:pt>
                <c:pt idx="12">
                  <c:v>71.521724491884356</c:v>
                </c:pt>
                <c:pt idx="13">
                  <c:v>71.397206558758697</c:v>
                </c:pt>
                <c:pt idx="14">
                  <c:v>71.252038117296763</c:v>
                </c:pt>
                <c:pt idx="15">
                  <c:v>71.08370726837839</c:v>
                </c:pt>
                <c:pt idx="16">
                  <c:v>70.889600669241887</c:v>
                </c:pt>
                <c:pt idx="17">
                  <c:v>70.667195223111861</c:v>
                </c:pt>
                <c:pt idx="18">
                  <c:v>70.414018690517764</c:v>
                </c:pt>
                <c:pt idx="19">
                  <c:v>70.127993454040109</c:v>
                </c:pt>
                <c:pt idx="20">
                  <c:v>69.807296841719932</c:v>
                </c:pt>
                <c:pt idx="21">
                  <c:v>69.450709418306701</c:v>
                </c:pt>
                <c:pt idx="22">
                  <c:v>69.057430184113159</c:v>
                </c:pt>
                <c:pt idx="23">
                  <c:v>68.627441378506575</c:v>
                </c:pt>
                <c:pt idx="24">
                  <c:v>68.161133550427849</c:v>
                </c:pt>
                <c:pt idx="25">
                  <c:v>67.659655859758928</c:v>
                </c:pt>
                <c:pt idx="26">
                  <c:v>67.124478398406879</c:v>
                </c:pt>
                <c:pt idx="27">
                  <c:v>66.557780392651097</c:v>
                </c:pt>
                <c:pt idx="28">
                  <c:v>65.961867448087702</c:v>
                </c:pt>
                <c:pt idx="29">
                  <c:v>65.339649399902356</c:v>
                </c:pt>
                <c:pt idx="30">
                  <c:v>64.692653547645278</c:v>
                </c:pt>
                <c:pt idx="31">
                  <c:v>64.024342379290061</c:v>
                </c:pt>
                <c:pt idx="32">
                  <c:v>63.336761331429727</c:v>
                </c:pt>
                <c:pt idx="33">
                  <c:v>62.632756050330002</c:v>
                </c:pt>
                <c:pt idx="34">
                  <c:v>61.913959654544463</c:v>
                </c:pt>
                <c:pt idx="35">
                  <c:v>61.182748588960948</c:v>
                </c:pt>
                <c:pt idx="36">
                  <c:v>60.440784825272679</c:v>
                </c:pt>
                <c:pt idx="37">
                  <c:v>59.689229095303062</c:v>
                </c:pt>
                <c:pt idx="38">
                  <c:v>58.930170325088511</c:v>
                </c:pt>
                <c:pt idx="39">
                  <c:v>58.164193608394996</c:v>
                </c:pt>
                <c:pt idx="40">
                  <c:v>57.392618500886798</c:v>
                </c:pt>
                <c:pt idx="41">
                  <c:v>56.616266657108739</c:v>
                </c:pt>
                <c:pt idx="42">
                  <c:v>55.836005576646627</c:v>
                </c:pt>
                <c:pt idx="43">
                  <c:v>55.052254133531207</c:v>
                </c:pt>
                <c:pt idx="44">
                  <c:v>54.265772182730103</c:v>
                </c:pt>
                <c:pt idx="45">
                  <c:v>53.476869608820621</c:v>
                </c:pt>
                <c:pt idx="46">
                  <c:v>52.686102525155086</c:v>
                </c:pt>
                <c:pt idx="47">
                  <c:v>51.893635849297652</c:v>
                </c:pt>
                <c:pt idx="48">
                  <c:v>51.099946846838279</c:v>
                </c:pt>
                <c:pt idx="49">
                  <c:v>50.305069601181209</c:v>
                </c:pt>
                <c:pt idx="50">
                  <c:v>49.50932453826865</c:v>
                </c:pt>
                <c:pt idx="51">
                  <c:v>48.712690922523961</c:v>
                </c:pt>
                <c:pt idx="52">
                  <c:v>47.915559571231384</c:v>
                </c:pt>
                <c:pt idx="53">
                  <c:v>47.118013895846516</c:v>
                </c:pt>
                <c:pt idx="54">
                  <c:v>46.320644943349322</c:v>
                </c:pt>
                <c:pt idx="55">
                  <c:v>45.522183866520791</c:v>
                </c:pt>
                <c:pt idx="56">
                  <c:v>44.723813143365867</c:v>
                </c:pt>
                <c:pt idx="57">
                  <c:v>43.925048098541495</c:v>
                </c:pt>
                <c:pt idx="58">
                  <c:v>43.126506524589196</c:v>
                </c:pt>
                <c:pt idx="59">
                  <c:v>42.327614563015004</c:v>
                </c:pt>
                <c:pt idx="60">
                  <c:v>41.528858235694884</c:v>
                </c:pt>
                <c:pt idx="61">
                  <c:v>40.730146961504012</c:v>
                </c:pt>
                <c:pt idx="62">
                  <c:v>39.931078079810007</c:v>
                </c:pt>
                <c:pt idx="63">
                  <c:v>39.132436003244486</c:v>
                </c:pt>
                <c:pt idx="64">
                  <c:v>38.333596849379987</c:v>
                </c:pt>
                <c:pt idx="65">
                  <c:v>37.534878401625846</c:v>
                </c:pt>
                <c:pt idx="66">
                  <c:v>36.736223735148357</c:v>
                </c:pt>
                <c:pt idx="67">
                  <c:v>35.937751142940598</c:v>
                </c:pt>
                <c:pt idx="68">
                  <c:v>35.139231375164755</c:v>
                </c:pt>
                <c:pt idx="69">
                  <c:v>34.340880480444028</c:v>
                </c:pt>
                <c:pt idx="70">
                  <c:v>33.542540988685879</c:v>
                </c:pt>
                <c:pt idx="71">
                  <c:v>32.744379434270556</c:v>
                </c:pt>
                <c:pt idx="72">
                  <c:v>31.946232986468964</c:v>
                </c:pt>
                <c:pt idx="73">
                  <c:v>31.148312755913192</c:v>
                </c:pt>
                <c:pt idx="74">
                  <c:v>30.350437148468373</c:v>
                </c:pt>
                <c:pt idx="75">
                  <c:v>29.552760725668211</c:v>
                </c:pt>
                <c:pt idx="76">
                  <c:v>28.755139846158446</c:v>
                </c:pt>
                <c:pt idx="77">
                  <c:v>27.95788318223218</c:v>
                </c:pt>
                <c:pt idx="78">
                  <c:v>27.161028381143666</c:v>
                </c:pt>
                <c:pt idx="79">
                  <c:v>26.36515428483758</c:v>
                </c:pt>
                <c:pt idx="80">
                  <c:v>25.5690171454631</c:v>
                </c:pt>
                <c:pt idx="81">
                  <c:v>24.773851421330889</c:v>
                </c:pt>
                <c:pt idx="82">
                  <c:v>23.979261367965531</c:v>
                </c:pt>
                <c:pt idx="83">
                  <c:v>23.185981758622045</c:v>
                </c:pt>
                <c:pt idx="84">
                  <c:v>22.393597890371261</c:v>
                </c:pt>
                <c:pt idx="85">
                  <c:v>21.602784868365976</c:v>
                </c:pt>
                <c:pt idx="86">
                  <c:v>20.813685164323662</c:v>
                </c:pt>
                <c:pt idx="87">
                  <c:v>20.026177620882201</c:v>
                </c:pt>
                <c:pt idx="88">
                  <c:v>19.241355629158839</c:v>
                </c:pt>
                <c:pt idx="89">
                  <c:v>18.458971884511964</c:v>
                </c:pt>
                <c:pt idx="90">
                  <c:v>17.67974971268653</c:v>
                </c:pt>
                <c:pt idx="91">
                  <c:v>16.904084816505819</c:v>
                </c:pt>
                <c:pt idx="92">
                  <c:v>16.132574090967459</c:v>
                </c:pt>
                <c:pt idx="93">
                  <c:v>15.365494827454821</c:v>
                </c:pt>
                <c:pt idx="94">
                  <c:v>15.174573622771927</c:v>
                </c:pt>
                <c:pt idx="95">
                  <c:v>15.07864369509341</c:v>
                </c:pt>
                <c:pt idx="96">
                  <c:v>14.983893219997222</c:v>
                </c:pt>
                <c:pt idx="97">
                  <c:v>14.888139189471188</c:v>
                </c:pt>
                <c:pt idx="98">
                  <c:v>14.793564248205104</c:v>
                </c:pt>
                <c:pt idx="99">
                  <c:v>14.697965637695434</c:v>
                </c:pt>
                <c:pt idx="100">
                  <c:v>14.60354624128974</c:v>
                </c:pt>
                <c:pt idx="101">
                  <c:v>14.508156630273977</c:v>
                </c:pt>
                <c:pt idx="102">
                  <c:v>14.413945018216994</c:v>
                </c:pt>
                <c:pt idx="103">
                  <c:v>14.318676070257865</c:v>
                </c:pt>
                <c:pt idx="104">
                  <c:v>14.224586038024569</c:v>
                </c:pt>
                <c:pt idx="105">
                  <c:v>14.12949385526138</c:v>
                </c:pt>
                <c:pt idx="106">
                  <c:v>14.035580076897178</c:v>
                </c:pt>
                <c:pt idx="107">
                  <c:v>13.940716668353883</c:v>
                </c:pt>
                <c:pt idx="108">
                  <c:v>13.847029803375415</c:v>
                </c:pt>
                <c:pt idx="109">
                  <c:v>13.752379208953494</c:v>
                </c:pt>
                <c:pt idx="110">
                  <c:v>13.658903605454093</c:v>
                </c:pt>
                <c:pt idx="111">
                  <c:v>13.564389948353517</c:v>
                </c:pt>
                <c:pt idx="112">
                  <c:v>13.471051505022253</c:v>
                </c:pt>
                <c:pt idx="113">
                  <c:v>13.376729189025687</c:v>
                </c:pt>
                <c:pt idx="114">
                  <c:v>13.283580852205601</c:v>
                </c:pt>
                <c:pt idx="115">
                  <c:v>13.189440709938435</c:v>
                </c:pt>
                <c:pt idx="116">
                  <c:v>13.096473405852407</c:v>
                </c:pt>
                <c:pt idx="117">
                  <c:v>13.00250813210009</c:v>
                </c:pt>
                <c:pt idx="118">
                  <c:v>12.909714585151946</c:v>
                </c:pt>
                <c:pt idx="119">
                  <c:v>12.815975019484355</c:v>
                </c:pt>
                <c:pt idx="120">
                  <c:v>12.723404637161256</c:v>
                </c:pt>
                <c:pt idx="121">
                  <c:v>12.629882386062183</c:v>
                </c:pt>
                <c:pt idx="122">
                  <c:v>12.537526789799085</c:v>
                </c:pt>
                <c:pt idx="123">
                  <c:v>12.444161212074681</c:v>
                </c:pt>
                <c:pt idx="124">
                  <c:v>12.351961052355875</c:v>
                </c:pt>
                <c:pt idx="125">
                  <c:v>12.258802902941001</c:v>
                </c:pt>
                <c:pt idx="126">
                  <c:v>12.166807442607663</c:v>
                </c:pt>
                <c:pt idx="127">
                  <c:v>12.073852098965872</c:v>
                </c:pt>
                <c:pt idx="128">
                  <c:v>11.982056574882584</c:v>
                </c:pt>
                <c:pt idx="129">
                  <c:v>11.889300355723499</c:v>
                </c:pt>
                <c:pt idx="130">
                  <c:v>11.797700901176791</c:v>
                </c:pt>
                <c:pt idx="131">
                  <c:v>11.705140904930554</c:v>
                </c:pt>
                <c:pt idx="132">
                  <c:v>11.659295218743742</c:v>
                </c:pt>
                <c:pt idx="133">
                  <c:v>11.6137343919274</c:v>
                </c:pt>
                <c:pt idx="134">
                  <c:v>11.567382009604906</c:v>
                </c:pt>
                <c:pt idx="135">
                  <c:v>11.521320958161592</c:v>
                </c:pt>
                <c:pt idx="136">
                  <c:v>11.475547669713732</c:v>
                </c:pt>
                <c:pt idx="137">
                  <c:v>11.430058635783311</c:v>
                </c:pt>
                <c:pt idx="138">
                  <c:v>11.383827239929644</c:v>
                </c:pt>
                <c:pt idx="139">
                  <c:v>11.337885914583602</c:v>
                </c:pt>
                <c:pt idx="140">
                  <c:v>11.292231091301518</c:v>
                </c:pt>
                <c:pt idx="141">
                  <c:v>11.246859261131728</c:v>
                </c:pt>
                <c:pt idx="142">
                  <c:v>11.200701046075167</c:v>
                </c:pt>
                <c:pt idx="143">
                  <c:v>11.154832148309685</c:v>
                </c:pt>
                <c:pt idx="144">
                  <c:v>11.109248988686106</c:v>
                </c:pt>
                <c:pt idx="145">
                  <c:v>11.063948047881727</c:v>
                </c:pt>
                <c:pt idx="146">
                  <c:v>11.017886241914901</c:v>
                </c:pt>
                <c:pt idx="147">
                  <c:v>10.972112613275279</c:v>
                </c:pt>
                <c:pt idx="148">
                  <c:v>10.926623578470201</c:v>
                </c:pt>
                <c:pt idx="149">
                  <c:v>10.881415614051644</c:v>
                </c:pt>
                <c:pt idx="150">
                  <c:v>10.835449659320409</c:v>
                </c:pt>
                <c:pt idx="151">
                  <c:v>10.789770647796795</c:v>
                </c:pt>
                <c:pt idx="152">
                  <c:v>10.744374992711514</c:v>
                </c:pt>
                <c:pt idx="153">
                  <c:v>10.699259167560264</c:v>
                </c:pt>
                <c:pt idx="154">
                  <c:v>10.653367463497588</c:v>
                </c:pt>
                <c:pt idx="155">
                  <c:v>10.607761630971011</c:v>
                </c:pt>
                <c:pt idx="156">
                  <c:v>10.562438076264959</c:v>
                </c:pt>
                <c:pt idx="157">
                  <c:v>10.517393266258733</c:v>
                </c:pt>
                <c:pt idx="158">
                  <c:v>10.471576752512018</c:v>
                </c:pt>
                <c:pt idx="159">
                  <c:v>10.426044915369063</c:v>
                </c:pt>
                <c:pt idx="160">
                  <c:v>10.380794155910515</c:v>
                </c:pt>
                <c:pt idx="161">
                  <c:v>10.335820936131586</c:v>
                </c:pt>
                <c:pt idx="162">
                  <c:v>10.290100398421378</c:v>
                </c:pt>
                <c:pt idx="163">
                  <c:v>10.24466296993036</c:v>
                </c:pt>
                <c:pt idx="164">
                  <c:v>10.199505053136743</c:v>
                </c:pt>
                <c:pt idx="165">
                  <c:v>10.154623111633718</c:v>
                </c:pt>
                <c:pt idx="166">
                  <c:v>10.108958553751851</c:v>
                </c:pt>
                <c:pt idx="167">
                  <c:v>10.063575912241911</c:v>
                </c:pt>
                <c:pt idx="168">
                  <c:v>10.018471583511268</c:v>
                </c:pt>
                <c:pt idx="169">
                  <c:v>9.9736420254815652</c:v>
                </c:pt>
                <c:pt idx="170">
                  <c:v>9.9281305181348394</c:v>
                </c:pt>
                <c:pt idx="171">
                  <c:v>9.8828984205958221</c:v>
                </c:pt>
                <c:pt idx="172">
                  <c:v>9.8379421481435063</c:v>
                </c:pt>
                <c:pt idx="173">
                  <c:v>9.793258177433529</c:v>
                </c:pt>
                <c:pt idx="174">
                  <c:v>9.7477267802900727</c:v>
                </c:pt>
                <c:pt idx="175">
                  <c:v>9.7024742798482624</c:v>
                </c:pt>
                <c:pt idx="176">
                  <c:v>9.6574970718690452</c:v>
                </c:pt>
                <c:pt idx="177">
                  <c:v>9.6127916142578655</c:v>
                </c:pt>
                <c:pt idx="178">
                  <c:v>9.5672650582631</c:v>
                </c:pt>
                <c:pt idx="179">
                  <c:v>9.5220164476907012</c:v>
                </c:pt>
                <c:pt idx="180">
                  <c:v>9.4770421669958687</c:v>
                </c:pt>
                <c:pt idx="181">
                  <c:v>9.432338663393832</c:v>
                </c:pt>
                <c:pt idx="182">
                  <c:v>9.3870164237978848</c:v>
                </c:pt>
                <c:pt idx="183">
                  <c:v>9.341968627786196</c:v>
                </c:pt>
                <c:pt idx="184">
                  <c:v>9.2971916983049709</c:v>
                </c:pt>
                <c:pt idx="185">
                  <c:v>9.2526821205553169</c:v>
                </c:pt>
                <c:pt idx="186">
                  <c:v>9.2072255424355802</c:v>
                </c:pt>
                <c:pt idx="187">
                  <c:v>9.1620438691541253</c:v>
                </c:pt>
                <c:pt idx="188">
                  <c:v>9.1171334850188703</c:v>
                </c:pt>
                <c:pt idx="189">
                  <c:v>9.0724908379063915</c:v>
                </c:pt>
                <c:pt idx="190">
                  <c:v>9.0272680688788469</c:v>
                </c:pt>
                <c:pt idx="191">
                  <c:v>8.9823161005886334</c:v>
                </c:pt>
                <c:pt idx="192">
                  <c:v>8.9376313686765858</c:v>
                </c:pt>
                <c:pt idx="193">
                  <c:v>8.8932103715953978</c:v>
                </c:pt>
                <c:pt idx="194">
                  <c:v>8.8478953687499189</c:v>
                </c:pt>
                <c:pt idx="195">
                  <c:v>8.8028508362582052</c:v>
                </c:pt>
                <c:pt idx="196">
                  <c:v>8.7580731873621289</c:v>
                </c:pt>
                <c:pt idx="197">
                  <c:v>8.7135588991136999</c:v>
                </c:pt>
                <c:pt idx="198">
                  <c:v>8.6683383189867307</c:v>
                </c:pt>
                <c:pt idx="199">
                  <c:v>8.6233855193378108</c:v>
                </c:pt>
                <c:pt idx="200">
                  <c:v>8.5786969383144402</c:v>
                </c:pt>
                <c:pt idx="201">
                  <c:v>8.5342690777832004</c:v>
                </c:pt>
                <c:pt idx="202">
                  <c:v>8.489154780302</c:v>
                </c:pt>
                <c:pt idx="203">
                  <c:v>8.4443053166007402</c:v>
                </c:pt>
                <c:pt idx="204">
                  <c:v>8.3997171558316115</c:v>
                </c:pt>
                <c:pt idx="205">
                  <c:v>8.3553868306469941</c:v>
                </c:pt>
                <c:pt idx="206">
                  <c:v>8.3102353166199059</c:v>
                </c:pt>
                <c:pt idx="207">
                  <c:v>8.2653472449462235</c:v>
                </c:pt>
                <c:pt idx="208">
                  <c:v>8.2207190857731547</c:v>
                </c:pt>
                <c:pt idx="209">
                  <c:v>8.1763473732664878</c:v>
                </c:pt>
                <c:pt idx="210">
                  <c:v>8.1310276159358015</c:v>
                </c:pt>
                <c:pt idx="211">
                  <c:v>8.085971286695262</c:v>
                </c:pt>
                <c:pt idx="212">
                  <c:v>8.0411748298702204</c:v>
                </c:pt>
                <c:pt idx="213">
                  <c:v>7.9966347550004429</c:v>
                </c:pt>
                <c:pt idx="214">
                  <c:v>7.9514673839455918</c:v>
                </c:pt>
                <c:pt idx="215">
                  <c:v>7.9065595845812089</c:v>
                </c:pt>
                <c:pt idx="216">
                  <c:v>7.8619078539894875</c:v>
                </c:pt>
                <c:pt idx="217">
                  <c:v>7.8175087537667496</c:v>
                </c:pt>
                <c:pt idx="218">
                  <c:v>7.7723551148930392</c:v>
                </c:pt>
                <c:pt idx="219">
                  <c:v>7.7274586828189404</c:v>
                </c:pt>
                <c:pt idx="220">
                  <c:v>7.6828159787754977</c:v>
                </c:pt>
                <c:pt idx="221">
                  <c:v>7.6384235885125502</c:v>
                </c:pt>
                <c:pt idx="222">
                  <c:v>7.5932968158763403</c:v>
                </c:pt>
                <c:pt idx="223">
                  <c:v>7.5484246261891732</c:v>
                </c:pt>
                <c:pt idx="224">
                  <c:v>7.5038035715847107</c:v>
                </c:pt>
                <c:pt idx="225">
                  <c:v>7.4594302685585756</c:v>
                </c:pt>
                <c:pt idx="226">
                  <c:v>7.4142047051086237</c:v>
                </c:pt>
                <c:pt idx="227">
                  <c:v>7.3692324001609464</c:v>
                </c:pt>
                <c:pt idx="228">
                  <c:v>7.3245099119898427</c:v>
                </c:pt>
                <c:pt idx="229">
                  <c:v>7.2800338636952509</c:v>
                </c:pt>
                <c:pt idx="230">
                  <c:v>7.1896744756754183</c:v>
                </c:pt>
                <c:pt idx="231">
                  <c:v>7.1448687548913545</c:v>
                </c:pt>
                <c:pt idx="232">
                  <c:v>7.1003078450506205</c:v>
                </c:pt>
                <c:pt idx="233">
                  <c:v>7.054939263115811</c:v>
                </c:pt>
                <c:pt idx="234">
                  <c:v>7.0098203248168369</c:v>
                </c:pt>
                <c:pt idx="235">
                  <c:v>6.9649476252422442</c:v>
                </c:pt>
                <c:pt idx="236">
                  <c:v>6.920317824630466</c:v>
                </c:pt>
                <c:pt idx="237">
                  <c:v>6.8750294343705693</c:v>
                </c:pt>
                <c:pt idx="238">
                  <c:v>6.8299870767680018</c:v>
                </c:pt>
                <c:pt idx="239">
                  <c:v>6.785187404758739</c:v>
                </c:pt>
                <c:pt idx="240">
                  <c:v>6.7406271355763847</c:v>
                </c:pt>
                <c:pt idx="241">
                  <c:v>6.6951728314592174</c:v>
                </c:pt>
                <c:pt idx="242">
                  <c:v>6.6499635361326987</c:v>
                </c:pt>
                <c:pt idx="243">
                  <c:v>6.6049959095900137</c:v>
                </c:pt>
                <c:pt idx="244">
                  <c:v>6.5602666765547921</c:v>
                </c:pt>
                <c:pt idx="245">
                  <c:v>6.5147892466770427</c:v>
                </c:pt>
                <c:pt idx="246">
                  <c:v>6.469554173823143</c:v>
                </c:pt>
                <c:pt idx="247">
                  <c:v>6.4245581600804673</c:v>
                </c:pt>
                <c:pt idx="248">
                  <c:v>6.3797979717843667</c:v>
                </c:pt>
                <c:pt idx="249">
                  <c:v>6.3341872807083588</c:v>
                </c:pt>
                <c:pt idx="250">
                  <c:v>6.2888173898005464</c:v>
                </c:pt>
                <c:pt idx="251">
                  <c:v>6.2436850228897747</c:v>
                </c:pt>
                <c:pt idx="252">
                  <c:v>6.1987869680776653</c:v>
                </c:pt>
                <c:pt idx="253">
                  <c:v>6.1531772205159472</c:v>
                </c:pt>
                <c:pt idx="254">
                  <c:v>6.1078052368812052</c:v>
                </c:pt>
                <c:pt idx="255">
                  <c:v>6.0626677947145025</c:v>
                </c:pt>
                <c:pt idx="256">
                  <c:v>6.0177617349962933</c:v>
                </c:pt>
                <c:pt idx="257">
                  <c:v>5.9719295116227293</c:v>
                </c:pt>
                <c:pt idx="258">
                  <c:v>5.9263342773374381</c:v>
                </c:pt>
                <c:pt idx="259">
                  <c:v>5.8809728194486492</c:v>
                </c:pt>
                <c:pt idx="260">
                  <c:v>5.8358419889950417</c:v>
                </c:pt>
                <c:pt idx="261">
                  <c:v>5.7899207905159935</c:v>
                </c:pt>
                <c:pt idx="262">
                  <c:v>5.7442343568082075</c:v>
                </c:pt>
                <c:pt idx="263">
                  <c:v>5.6987795162098553</c:v>
                </c:pt>
                <c:pt idx="264">
                  <c:v>5.6535531602297473</c:v>
                </c:pt>
                <c:pt idx="265">
                  <c:v>5.6075547591485098</c:v>
                </c:pt>
                <c:pt idx="266">
                  <c:v>5.5617887372243437</c:v>
                </c:pt>
                <c:pt idx="267">
                  <c:v>5.516251968865812</c:v>
                </c:pt>
                <c:pt idx="268">
                  <c:v>5.4709413909231692</c:v>
                </c:pt>
                <c:pt idx="269">
                  <c:v>5.424767669704206</c:v>
                </c:pt>
                <c:pt idx="270">
                  <c:v>5.3788248886382108</c:v>
                </c:pt>
                <c:pt idx="271">
                  <c:v>5.3331099509238777</c:v>
                </c:pt>
                <c:pt idx="272">
                  <c:v>5.2876198218949311</c:v>
                </c:pt>
                <c:pt idx="273">
                  <c:v>5.2412865328446321</c:v>
                </c:pt>
                <c:pt idx="274">
                  <c:v>5.1951825405325529</c:v>
                </c:pt>
                <c:pt idx="275">
                  <c:v>5.1493047827760314</c:v>
                </c:pt>
                <c:pt idx="276">
                  <c:v>5.1036502590279733</c:v>
                </c:pt>
                <c:pt idx="277">
                  <c:v>5.057276155205801</c:v>
                </c:pt>
                <c:pt idx="278">
                  <c:v>5.0111285122130447</c:v>
                </c:pt>
                <c:pt idx="279">
                  <c:v>4.9652043277682241</c:v>
                </c:pt>
                <c:pt idx="280">
                  <c:v>4.9195006600082181</c:v>
                </c:pt>
                <c:pt idx="281">
                  <c:v>4.8727854994245101</c:v>
                </c:pt>
                <c:pt idx="282">
                  <c:v>4.8262968624427893</c:v>
                </c:pt>
                <c:pt idx="283">
                  <c:v>4.7800317506928369</c:v>
                </c:pt>
                <c:pt idx="284">
                  <c:v>4.7339872264639986</c:v>
                </c:pt>
                <c:pt idx="285">
                  <c:v>4.6872561231854037</c:v>
                </c:pt>
                <c:pt idx="286">
                  <c:v>4.6407484357406767</c:v>
                </c:pt>
                <c:pt idx="287">
                  <c:v>4.5944612336997581</c:v>
                </c:pt>
                <c:pt idx="288">
                  <c:v>4.5483916457726545</c:v>
                </c:pt>
                <c:pt idx="289">
                  <c:v>4.501353783223613</c:v>
                </c:pt>
                <c:pt idx="290">
                  <c:v>4.4545389991517066</c:v>
                </c:pt>
                <c:pt idx="291">
                  <c:v>4.4079443778659062</c:v>
                </c:pt>
                <c:pt idx="292">
                  <c:v>4.361567062680856</c:v>
                </c:pt>
                <c:pt idx="293">
                  <c:v>4.3143399806531821</c:v>
                </c:pt>
                <c:pt idx="294">
                  <c:v>4.2673344973553089</c:v>
                </c:pt>
                <c:pt idx="295">
                  <c:v>4.2205477354070968</c:v>
                </c:pt>
                <c:pt idx="296">
                  <c:v>4.1739768756236444</c:v>
                </c:pt>
                <c:pt idx="297">
                  <c:v>4.1265745015180251</c:v>
                </c:pt>
                <c:pt idx="298">
                  <c:v>4.0793921102603399</c:v>
                </c:pt>
                <c:pt idx="299">
                  <c:v>4.0324268663763876</c:v>
                </c:pt>
                <c:pt idx="300">
                  <c:v>3.9856759916374545</c:v>
                </c:pt>
                <c:pt idx="301">
                  <c:v>3.9381111573420475</c:v>
                </c:pt>
                <c:pt idx="302">
                  <c:v>3.8907645747454289</c:v>
                </c:pt>
                <c:pt idx="303">
                  <c:v>3.843633453247822</c:v>
                </c:pt>
                <c:pt idx="304">
                  <c:v>3.7967150584246174</c:v>
                </c:pt>
                <c:pt idx="305">
                  <c:v>3.7488164940014834</c:v>
                </c:pt>
                <c:pt idx="306">
                  <c:v>3.7011360109462417</c:v>
                </c:pt>
                <c:pt idx="307">
                  <c:v>3.6536708344660997</c:v>
                </c:pt>
                <c:pt idx="308">
                  <c:v>3.6064182456106799</c:v>
                </c:pt>
                <c:pt idx="309">
                  <c:v>3.5583864986765734</c:v>
                </c:pt>
                <c:pt idx="310">
                  <c:v>3.5105708358656695</c:v>
                </c:pt>
                <c:pt idx="311">
                  <c:v>3.4629685335248963</c:v>
                </c:pt>
                <c:pt idx="312">
                  <c:v>3.4155769225288739</c:v>
                </c:pt>
                <c:pt idx="313">
                  <c:v>3.3672451465685804</c:v>
                </c:pt>
                <c:pt idx="314">
                  <c:v>3.3191289640004156</c:v>
                </c:pt>
                <c:pt idx="315">
                  <c:v>3.2712256742902683</c:v>
                </c:pt>
                <c:pt idx="316">
                  <c:v>3.2235326308278704</c:v>
                </c:pt>
                <c:pt idx="317">
                  <c:v>3.1749191448395546</c:v>
                </c:pt>
                <c:pt idx="318">
                  <c:v>3.1265205887396124</c:v>
                </c:pt>
                <c:pt idx="319">
                  <c:v>3.0783342888030192</c:v>
                </c:pt>
                <c:pt idx="320">
                  <c:v>3.0303576244924253</c:v>
                </c:pt>
                <c:pt idx="321">
                  <c:v>2.9814795496170903</c:v>
                </c:pt>
                <c:pt idx="322">
                  <c:v>2.9328155872551296</c:v>
                </c:pt>
                <c:pt idx="323">
                  <c:v>2.8843630936202667</c:v>
                </c:pt>
                <c:pt idx="324">
                  <c:v>2.8361194772640932</c:v>
                </c:pt>
                <c:pt idx="325">
                  <c:v>2.7869928197436518</c:v>
                </c:pt>
                <c:pt idx="326">
                  <c:v>2.7380793206812082</c:v>
                </c:pt>
                <c:pt idx="327">
                  <c:v>2.6893763688412409</c:v>
                </c:pt>
                <c:pt idx="328">
                  <c:v>2.6408814043812399</c:v>
                </c:pt>
                <c:pt idx="329">
                  <c:v>2.5914387687520151</c:v>
                </c:pt>
                <c:pt idx="330">
                  <c:v>2.5422089219381676</c:v>
                </c:pt>
                <c:pt idx="331">
                  <c:v>2.4931892745764852</c:v>
                </c:pt>
                <c:pt idx="332">
                  <c:v>2.4443772880074204</c:v>
                </c:pt>
                <c:pt idx="333">
                  <c:v>2.3947178234855553</c:v>
                </c:pt>
                <c:pt idx="334">
                  <c:v>2.3452699297496036</c:v>
                </c:pt>
                <c:pt idx="335">
                  <c:v>2.2960310546236409</c:v>
                </c:pt>
                <c:pt idx="336">
                  <c:v>2.2469986955289141</c:v>
                </c:pt>
                <c:pt idx="337">
                  <c:v>2.1969761677328599</c:v>
                </c:pt>
                <c:pt idx="338">
                  <c:v>2.147165239425707</c:v>
                </c:pt>
                <c:pt idx="339">
                  <c:v>2.0975633729484597</c:v>
                </c:pt>
                <c:pt idx="340">
                  <c:v>2.0481680797027835</c:v>
                </c:pt>
                <c:pt idx="341">
                  <c:v>1.9978025771364438</c:v>
                </c:pt>
                <c:pt idx="342">
                  <c:v>1.947648521357598</c:v>
                </c:pt>
                <c:pt idx="343">
                  <c:v>1.897703392380923</c:v>
                </c:pt>
                <c:pt idx="344">
                  <c:v>1.8479647186491901</c:v>
                </c:pt>
                <c:pt idx="345">
                  <c:v>1.79735213625526</c:v>
                </c:pt>
                <c:pt idx="346">
                  <c:v>1.7469500434437264</c:v>
                </c:pt>
                <c:pt idx="347">
                  <c:v>1.6967559519360065</c:v>
                </c:pt>
                <c:pt idx="348">
                  <c:v>1.6467674208829783</c:v>
                </c:pt>
                <c:pt idx="349">
                  <c:v>1.5957702965804557</c:v>
                </c:pt>
                <c:pt idx="350">
                  <c:v>1.544983844379165</c:v>
                </c:pt>
                <c:pt idx="351">
                  <c:v>1.4944055872265214</c:v>
                </c:pt>
                <c:pt idx="352">
                  <c:v>1.4440330950151949</c:v>
                </c:pt>
                <c:pt idx="353">
                  <c:v>1.3926719402136545</c:v>
                </c:pt>
                <c:pt idx="354">
                  <c:v>1.3415214557808222</c:v>
                </c:pt>
                <c:pt idx="355">
                  <c:v>1.2905791788951215</c:v>
                </c:pt>
                <c:pt idx="356">
                  <c:v>1.2398426931165196</c:v>
                </c:pt>
                <c:pt idx="357">
                  <c:v>1.1882101371321414</c:v>
                </c:pt>
                <c:pt idx="358">
                  <c:v>1.1367874855774254</c:v>
                </c:pt>
                <c:pt idx="359">
                  <c:v>1.0855723028400239</c:v>
                </c:pt>
                <c:pt idx="360">
                  <c:v>1.0345621988036371</c:v>
                </c:pt>
                <c:pt idx="361">
                  <c:v>0.98252869112214525</c:v>
                </c:pt>
                <c:pt idx="362">
                  <c:v>0.93070536690238748</c:v>
                </c:pt>
                <c:pt idx="363">
                  <c:v>0.87908979923288855</c:v>
                </c:pt>
                <c:pt idx="364">
                  <c:v>0.82767960627811066</c:v>
                </c:pt>
                <c:pt idx="365">
                  <c:v>0.77533680176264186</c:v>
                </c:pt>
                <c:pt idx="366">
                  <c:v>0.72320370727375849</c:v>
                </c:pt>
                <c:pt idx="367">
                  <c:v>0.67127791727183694</c:v>
                </c:pt>
                <c:pt idx="368">
                  <c:v>0.61955707056831055</c:v>
                </c:pt>
                <c:pt idx="369">
                  <c:v>0.56678141172187479</c:v>
                </c:pt>
                <c:pt idx="370">
                  <c:v>0.5142159642075852</c:v>
                </c:pt>
                <c:pt idx="371">
                  <c:v>0.46185832683691863</c:v>
                </c:pt>
                <c:pt idx="372">
                  <c:v>0.40970614247526044</c:v>
                </c:pt>
                <c:pt idx="373">
                  <c:v>0.35658815589358017</c:v>
                </c:pt>
                <c:pt idx="374">
                  <c:v>0.30368014262232812</c:v>
                </c:pt>
                <c:pt idx="375">
                  <c:v>0.25097971821982007</c:v>
                </c:pt>
                <c:pt idx="376">
                  <c:v>0.19848454171131463</c:v>
                </c:pt>
                <c:pt idx="377">
                  <c:v>0.14490620336866619</c:v>
                </c:pt>
                <c:pt idx="378">
                  <c:v>9.1538512665514854E-2</c:v>
                </c:pt>
                <c:pt idx="379">
                  <c:v>3.8379086218872198E-2</c:v>
                </c:pt>
                <c:pt idx="380">
                  <c:v>-1.4574416079450264E-2</c:v>
                </c:pt>
                <c:pt idx="381">
                  <c:v>-6.8457194783867387E-2</c:v>
                </c:pt>
                <c:pt idx="382">
                  <c:v>-0.12212989429414334</c:v>
                </c:pt>
                <c:pt idx="383">
                  <c:v>-0.17559487607595958</c:v>
                </c:pt>
                <c:pt idx="384">
                  <c:v>-0.22885445899835474</c:v>
                </c:pt>
                <c:pt idx="385">
                  <c:v>-0.28322326637207046</c:v>
                </c:pt>
                <c:pt idx="386">
                  <c:v>-0.33738116602538204</c:v>
                </c:pt>
                <c:pt idx="387">
                  <c:v>-0.39133052110923572</c:v>
                </c:pt>
                <c:pt idx="388">
                  <c:v>-0.44507365227106355</c:v>
                </c:pt>
                <c:pt idx="389">
                  <c:v>-0.4998405016835844</c:v>
                </c:pt>
                <c:pt idx="390">
                  <c:v>-0.55439632357351021</c:v>
                </c:pt>
                <c:pt idx="391">
                  <c:v>-0.60874347086250835</c:v>
                </c:pt>
                <c:pt idx="392">
                  <c:v>-0.66288425432802345</c:v>
                </c:pt>
                <c:pt idx="393">
                  <c:v>-0.71802996173781719</c:v>
                </c:pt>
                <c:pt idx="394">
                  <c:v>-0.77296468721003864</c:v>
                </c:pt>
                <c:pt idx="395">
                  <c:v>-0.82769077064436281</c:v>
                </c:pt>
                <c:pt idx="396">
                  <c:v>-0.8822105102010448</c:v>
                </c:pt>
                <c:pt idx="397">
                  <c:v>-0.9378422904132504</c:v>
                </c:pt>
                <c:pt idx="398">
                  <c:v>-0.99326233695330324</c:v>
                </c:pt>
                <c:pt idx="399">
                  <c:v>-1.0484729897608611</c:v>
                </c:pt>
                <c:pt idx="400">
                  <c:v>-1.1034765471104151</c:v>
                </c:pt>
                <c:pt idx="401">
                  <c:v>-1.1595099112251566</c:v>
                </c:pt>
                <c:pt idx="402">
                  <c:v>-1.2153314562511157</c:v>
                </c:pt>
                <c:pt idx="403">
                  <c:v>-1.2709435108830842</c:v>
                </c:pt>
                <c:pt idx="404">
                  <c:v>-1.3263483624712689</c:v>
                </c:pt>
                <c:pt idx="405">
                  <c:v>-1.3828253131360584</c:v>
                </c:pt>
                <c:pt idx="406">
                  <c:v>-1.439090060392092</c:v>
                </c:pt>
                <c:pt idx="407">
                  <c:v>-1.4951449262785965</c:v>
                </c:pt>
                <c:pt idx="408">
                  <c:v>-1.5509921916815306</c:v>
                </c:pt>
                <c:pt idx="409">
                  <c:v>-1.6079521406180395</c:v>
                </c:pt>
                <c:pt idx="410">
                  <c:v>-1.664699228022628</c:v>
                </c:pt>
                <c:pt idx="411">
                  <c:v>-1.7212357732894665</c:v>
                </c:pt>
                <c:pt idx="412">
                  <c:v>-1.7775640547361362</c:v>
                </c:pt>
                <c:pt idx="413">
                  <c:v>-1.8349849276093844</c:v>
                </c:pt>
                <c:pt idx="414">
                  <c:v>-1.8921924667550127</c:v>
                </c:pt>
                <c:pt idx="415">
                  <c:v>-1.9491889853157482</c:v>
                </c:pt>
                <c:pt idx="416">
                  <c:v>-2.0059767555000003</c:v>
                </c:pt>
                <c:pt idx="417">
                  <c:v>-2.063895759428342</c:v>
                </c:pt>
                <c:pt idx="418">
                  <c:v>-2.1216006999787318</c:v>
                </c:pt>
                <c:pt idx="419">
                  <c:v>-2.1790938875428094</c:v>
                </c:pt>
                <c:pt idx="420">
                  <c:v>-2.236377591619549</c:v>
                </c:pt>
                <c:pt idx="421">
                  <c:v>-2.2947149756941676</c:v>
                </c:pt>
                <c:pt idx="422">
                  <c:v>-2.3528381687224305</c:v>
                </c:pt>
                <c:pt idx="423">
                  <c:v>-2.4107494678927663</c:v>
                </c:pt>
                <c:pt idx="424">
                  <c:v>-2.4684511297714757</c:v>
                </c:pt>
                <c:pt idx="425">
                  <c:v>-2.5273574956429723</c:v>
                </c:pt>
                <c:pt idx="426">
                  <c:v>-2.5860484500423637</c:v>
                </c:pt>
                <c:pt idx="427">
                  <c:v>-2.6445262936287453</c:v>
                </c:pt>
                <c:pt idx="428">
                  <c:v>-2.7027932863020991</c:v>
                </c:pt>
                <c:pt idx="429">
                  <c:v>-2.7621877264639396</c:v>
                </c:pt>
                <c:pt idx="430">
                  <c:v>-2.8213661399539278</c:v>
                </c:pt>
                <c:pt idx="431">
                  <c:v>-2.8803308202230564</c:v>
                </c:pt>
                <c:pt idx="432">
                  <c:v>-2.9390840200641621</c:v>
                </c:pt>
                <c:pt idx="433">
                  <c:v>-2.9989448583182483</c:v>
                </c:pt>
                <c:pt idx="434">
                  <c:v>-3.0585892151526197</c:v>
                </c:pt>
                <c:pt idx="435">
                  <c:v>-3.1180193732567578</c:v>
                </c:pt>
                <c:pt idx="436">
                  <c:v>-3.1772375748355235</c:v>
                </c:pt>
                <c:pt idx="437">
                  <c:v>-3.2376523101914638</c:v>
                </c:pt>
                <c:pt idx="438">
                  <c:v>-3.2978494783950554</c:v>
                </c:pt>
                <c:pt idx="439">
                  <c:v>-3.357831360203793</c:v>
                </c:pt>
                <c:pt idx="440">
                  <c:v>-3.4176001958470974</c:v>
                </c:pt>
                <c:pt idx="441">
                  <c:v>-3.4785444839996549</c:v>
                </c:pt>
                <c:pt idx="442">
                  <c:v>-3.5392702949219084</c:v>
                </c:pt>
                <c:pt idx="443">
                  <c:v>-3.5997799034350071</c:v>
                </c:pt>
                <c:pt idx="444">
                  <c:v>-3.660075543876709</c:v>
                </c:pt>
                <c:pt idx="445">
                  <c:v>-3.721526093042042</c:v>
                </c:pt>
                <c:pt idx="446">
                  <c:v>-3.7827574138926017</c:v>
                </c:pt>
                <c:pt idx="447">
                  <c:v>-3.8437717715766953</c:v>
                </c:pt>
                <c:pt idx="448">
                  <c:v>-3.9045713908890223</c:v>
                </c:pt>
                <c:pt idx="449">
                  <c:v>-3.9666095382369706</c:v>
                </c:pt>
                <c:pt idx="450">
                  <c:v>-4.0284271150571769</c:v>
                </c:pt>
                <c:pt idx="451">
                  <c:v>-4.0900263846100318</c:v>
                </c:pt>
                <c:pt idx="452">
                  <c:v>-4.1514095697471074</c:v>
                </c:pt>
                <c:pt idx="453">
                  <c:v>-4.2139584670744314</c:v>
                </c:pt>
                <c:pt idx="454">
                  <c:v>-4.2762859812294582</c:v>
                </c:pt>
                <c:pt idx="455">
                  <c:v>-4.338394364058785</c:v>
                </c:pt>
                <c:pt idx="456">
                  <c:v>-4.400285827173672</c:v>
                </c:pt>
                <c:pt idx="457">
                  <c:v>-4.4634236382008634</c:v>
                </c:pt>
                <c:pt idx="458">
                  <c:v>-4.5263386771048975</c:v>
                </c:pt>
                <c:pt idx="459">
                  <c:v>-4.5890331916784461</c:v>
                </c:pt>
                <c:pt idx="460">
                  <c:v>-4.6515093894834143</c:v>
                </c:pt>
                <c:pt idx="461">
                  <c:v>-4.7152101710182865</c:v>
                </c:pt>
                <c:pt idx="462">
                  <c:v>-4.7786869474539282</c:v>
                </c:pt>
                <c:pt idx="463">
                  <c:v>-4.8419419586928276</c:v>
                </c:pt>
                <c:pt idx="464">
                  <c:v>-4.9049774045116665</c:v>
                </c:pt>
                <c:pt idx="465">
                  <c:v>-4.9692651531487622</c:v>
                </c:pt>
                <c:pt idx="466">
                  <c:v>-5.0333274610984464</c:v>
                </c:pt>
                <c:pt idx="467">
                  <c:v>-5.0971665619333102</c:v>
                </c:pt>
                <c:pt idx="468">
                  <c:v>-5.1607846491805729</c:v>
                </c:pt>
                <c:pt idx="469">
                  <c:v>-5.2256332213536005</c:v>
                </c:pt>
                <c:pt idx="470">
                  <c:v>-5.2902550598476363</c:v>
                </c:pt>
                <c:pt idx="471">
                  <c:v>-5.3546523883430464</c:v>
                </c:pt>
                <c:pt idx="472">
                  <c:v>-5.4188273906563058</c:v>
                </c:pt>
                <c:pt idx="473">
                  <c:v>-5.4843068166237385</c:v>
                </c:pt>
                <c:pt idx="474">
                  <c:v>-5.5495576804218905</c:v>
                </c:pt>
                <c:pt idx="475">
                  <c:v>-5.6145822022380862</c:v>
                </c:pt>
                <c:pt idx="476">
                  <c:v>-5.6793825624443741</c:v>
                </c:pt>
                <c:pt idx="477">
                  <c:v>-5.7454644703507238</c:v>
                </c:pt>
                <c:pt idx="478">
                  <c:v>-5.8113161343107569</c:v>
                </c:pt>
                <c:pt idx="479">
                  <c:v>-5.8769397674185777</c:v>
                </c:pt>
                <c:pt idx="480">
                  <c:v>-5.9423375431104217</c:v>
                </c:pt>
                <c:pt idx="481">
                  <c:v>-6.0089944535047293</c:v>
                </c:pt>
                <c:pt idx="482">
                  <c:v>-6.0754195697939926</c:v>
                </c:pt>
                <c:pt idx="483">
                  <c:v>-6.141615094757217</c:v>
                </c:pt>
                <c:pt idx="484">
                  <c:v>-6.2075831917760862</c:v>
                </c:pt>
                <c:pt idx="485">
                  <c:v>-6.2748341564829735</c:v>
                </c:pt>
                <c:pt idx="486">
                  <c:v>-6.3418515780598037</c:v>
                </c:pt>
                <c:pt idx="487">
                  <c:v>-6.4086376505683731</c:v>
                </c:pt>
                <c:pt idx="488">
                  <c:v>-6.4751945289249964</c:v>
                </c:pt>
                <c:pt idx="489">
                  <c:v>-6.5431019334766525</c:v>
                </c:pt>
                <c:pt idx="490">
                  <c:v>-6.6107735421145986</c:v>
                </c:pt>
                <c:pt idx="491">
                  <c:v>-6.6782115460267129</c:v>
                </c:pt>
                <c:pt idx="492">
                  <c:v>-6.745418097401469</c:v>
                </c:pt>
                <c:pt idx="493">
                  <c:v>-6.8139512417729184</c:v>
                </c:pt>
                <c:pt idx="494">
                  <c:v>-6.8822464743426721</c:v>
                </c:pt>
                <c:pt idx="495">
                  <c:v>-6.950305980342625</c:v>
                </c:pt>
                <c:pt idx="496">
                  <c:v>-7.0181319062601037</c:v>
                </c:pt>
                <c:pt idx="497">
                  <c:v>-7.0873047638144806</c:v>
                </c:pt>
                <c:pt idx="498">
                  <c:v>-7.1562374142639325</c:v>
                </c:pt>
                <c:pt idx="499">
                  <c:v>-7.2249320383214899</c:v>
                </c:pt>
                <c:pt idx="500">
                  <c:v>-7.2933907782147802</c:v>
                </c:pt>
                <c:pt idx="501">
                  <c:v>-7.3632156900825514</c:v>
                </c:pt>
                <c:pt idx="502">
                  <c:v>-7.432797926188929</c:v>
                </c:pt>
                <c:pt idx="503">
                  <c:v>-7.5021396641551208</c:v>
                </c:pt>
                <c:pt idx="504">
                  <c:v>-7.5712430433834568</c:v>
                </c:pt>
                <c:pt idx="505">
                  <c:v>-7.6416881057905073</c:v>
                </c:pt>
                <c:pt idx="506">
                  <c:v>-7.7118881523105953</c:v>
                </c:pt>
                <c:pt idx="507">
                  <c:v>-7.7818453549909448</c:v>
                </c:pt>
                <c:pt idx="508">
                  <c:v>-7.8515618480266633</c:v>
                </c:pt>
                <c:pt idx="509">
                  <c:v>-7.9226379994630332</c:v>
                </c:pt>
                <c:pt idx="510">
                  <c:v>-7.9934666210412271</c:v>
                </c:pt>
                <c:pt idx="511">
                  <c:v>-8.06404988097459</c:v>
                </c:pt>
                <c:pt idx="512">
                  <c:v>-8.1343899099940291</c:v>
                </c:pt>
                <c:pt idx="513">
                  <c:v>-8.2061479885039397</c:v>
                </c:pt>
                <c:pt idx="514">
                  <c:v>-8.2776555675389858</c:v>
                </c:pt>
                <c:pt idx="515">
                  <c:v>-8.348914816972913</c:v>
                </c:pt>
                <c:pt idx="516">
                  <c:v>-8.4199278694857682</c:v>
                </c:pt>
                <c:pt idx="517">
                  <c:v>-8.492333064434753</c:v>
                </c:pt>
                <c:pt idx="518">
                  <c:v>-8.564484927481768</c:v>
                </c:pt>
                <c:pt idx="519">
                  <c:v>-8.6363856280495899</c:v>
                </c:pt>
                <c:pt idx="520">
                  <c:v>-8.7080372987502379</c:v>
                </c:pt>
                <c:pt idx="521">
                  <c:v>-8.7810959378035491</c:v>
                </c:pt>
                <c:pt idx="522">
                  <c:v>-8.8538982595543576</c:v>
                </c:pt>
                <c:pt idx="523">
                  <c:v>-8.9264464348203703</c:v>
                </c:pt>
                <c:pt idx="524">
                  <c:v>-8.9987425979953315</c:v>
                </c:pt>
                <c:pt idx="525">
                  <c:v>-9.0724595351590214</c:v>
                </c:pt>
                <c:pt idx="526">
                  <c:v>-9.1459170241877104</c:v>
                </c:pt>
                <c:pt idx="527">
                  <c:v>-9.219117239190286</c:v>
                </c:pt>
                <c:pt idx="528">
                  <c:v>-9.2920623182412641</c:v>
                </c:pt>
                <c:pt idx="529">
                  <c:v>-9.3664409708532492</c:v>
                </c:pt>
                <c:pt idx="530">
                  <c:v>-9.4405569069349937</c:v>
                </c:pt>
                <c:pt idx="531">
                  <c:v>-9.5144123058378671</c:v>
                </c:pt>
                <c:pt idx="532">
                  <c:v>-9.5880093112696745</c:v>
                </c:pt>
                <c:pt idx="533">
                  <c:v>-9.6630903709898845</c:v>
                </c:pt>
                <c:pt idx="534">
                  <c:v>-9.7379050427668261</c:v>
                </c:pt>
                <c:pt idx="535">
                  <c:v>-9.8124555165633183</c:v>
                </c:pt>
                <c:pt idx="536">
                  <c:v>-9.8867439470165426</c:v>
                </c:pt>
                <c:pt idx="537">
                  <c:v>-9.9624501828999286</c:v>
                </c:pt>
                <c:pt idx="538">
                  <c:v>-10.037886790658364</c:v>
                </c:pt>
                <c:pt idx="539">
                  <c:v>-10.113055966137619</c:v>
                </c:pt>
                <c:pt idx="540">
                  <c:v>-10.187959870317744</c:v>
                </c:pt>
                <c:pt idx="541">
                  <c:v>-10.264367441139353</c:v>
                </c:pt>
                <c:pt idx="542">
                  <c:v>-10.340501485418807</c:v>
                </c:pt>
                <c:pt idx="543">
                  <c:v>-10.416364213676985</c:v>
                </c:pt>
                <c:pt idx="544">
                  <c:v>-10.491957801881263</c:v>
                </c:pt>
                <c:pt idx="545">
                  <c:v>-10.569026119422153</c:v>
                </c:pt>
                <c:pt idx="546">
                  <c:v>-10.645817185325892</c:v>
                </c:pt>
                <c:pt idx="547">
                  <c:v>-10.722333223590063</c:v>
                </c:pt>
                <c:pt idx="548">
                  <c:v>-10.798576424031818</c:v>
                </c:pt>
                <c:pt idx="549">
                  <c:v>-10.876302348572702</c:v>
                </c:pt>
                <c:pt idx="550">
                  <c:v>-10.953747204272666</c:v>
                </c:pt>
                <c:pt idx="551">
                  <c:v>-11.030913230814971</c:v>
                </c:pt>
                <c:pt idx="552">
                  <c:v>-11.107802634061292</c:v>
                </c:pt>
                <c:pt idx="553">
                  <c:v>-11.186217851467573</c:v>
                </c:pt>
                <c:pt idx="554">
                  <c:v>-11.264347839950501</c:v>
                </c:pt>
                <c:pt idx="555">
                  <c:v>-11.34219486020919</c:v>
                </c:pt>
                <c:pt idx="556">
                  <c:v>-11.419761139401004</c:v>
                </c:pt>
                <c:pt idx="557">
                  <c:v>-11.577666696345322</c:v>
                </c:pt>
                <c:pt idx="558">
                  <c:v>-11.734423551383649</c:v>
                </c:pt>
                <c:pt idx="559">
                  <c:v>-11.893603620226159</c:v>
                </c:pt>
                <c:pt idx="560">
                  <c:v>-12.051619012313918</c:v>
                </c:pt>
                <c:pt idx="561">
                  <c:v>-12.212195847449831</c:v>
                </c:pt>
                <c:pt idx="562">
                  <c:v>-12.371589834783471</c:v>
                </c:pt>
                <c:pt idx="563">
                  <c:v>-12.533202127707437</c:v>
                </c:pt>
                <c:pt idx="564">
                  <c:v>-12.693618324487101</c:v>
                </c:pt>
                <c:pt idx="565">
                  <c:v>-12.856856230049662</c:v>
                </c:pt>
                <c:pt idx="566">
                  <c:v>-13.018875699990748</c:v>
                </c:pt>
                <c:pt idx="567">
                  <c:v>-13.183635184359062</c:v>
                </c:pt>
                <c:pt idx="568">
                  <c:v>-13.347155027473136</c:v>
                </c:pt>
                <c:pt idx="569">
                  <c:v>-13.512688075528718</c:v>
                </c:pt>
                <c:pt idx="570">
                  <c:v>-13.676971169781012</c:v>
                </c:pt>
                <c:pt idx="571">
                  <c:v>-13.844482387213915</c:v>
                </c:pt>
                <c:pt idx="572">
                  <c:v>-14.010714852474425</c:v>
                </c:pt>
                <c:pt idx="573">
                  <c:v>-14.178824672221113</c:v>
                </c:pt>
                <c:pt idx="574">
                  <c:v>-14.345647593769186</c:v>
                </c:pt>
                <c:pt idx="575">
                  <c:v>-14.515527147194838</c:v>
                </c:pt>
                <c:pt idx="576">
                  <c:v>-14.684093520228954</c:v>
                </c:pt>
                <c:pt idx="577">
                  <c:v>-15.383647397449655</c:v>
                </c:pt>
                <c:pt idx="578">
                  <c:v>-16.061482973744646</c:v>
                </c:pt>
                <c:pt idx="579">
                  <c:v>-17.477238423830887</c:v>
                </c:pt>
                <c:pt idx="580">
                  <c:v>-18.932521583874493</c:v>
                </c:pt>
                <c:pt idx="581">
                  <c:v>-20.424141876094573</c:v>
                </c:pt>
                <c:pt idx="582">
                  <c:v>-21.952083659153008</c:v>
                </c:pt>
                <c:pt idx="583">
                  <c:v>-23.514491159986797</c:v>
                </c:pt>
                <c:pt idx="584">
                  <c:v>-25.112129386892565</c:v>
                </c:pt>
                <c:pt idx="585">
                  <c:v>-26.744025693530389</c:v>
                </c:pt>
                <c:pt idx="586">
                  <c:v>-28.410688654163479</c:v>
                </c:pt>
                <c:pt idx="587">
                  <c:v>-30.113629691096051</c:v>
                </c:pt>
                <c:pt idx="588">
                  <c:v>-31.852071284008154</c:v>
                </c:pt>
                <c:pt idx="589">
                  <c:v>-33.628408546674137</c:v>
                </c:pt>
                <c:pt idx="590">
                  <c:v>-35.443029878986934</c:v>
                </c:pt>
                <c:pt idx="591">
                  <c:v>-37.297048072875583</c:v>
                </c:pt>
                <c:pt idx="592">
                  <c:v>-39.190942681909974</c:v>
                </c:pt>
                <c:pt idx="593">
                  <c:v>-41.125676102880277</c:v>
                </c:pt>
                <c:pt idx="594">
                  <c:v>-43.100706097570544</c:v>
                </c:pt>
                <c:pt idx="595">
                  <c:v>-45.115901803853632</c:v>
                </c:pt>
                <c:pt idx="596">
                  <c:v>-47.169808293082902</c:v>
                </c:pt>
                <c:pt idx="597">
                  <c:v>-49.261322570507467</c:v>
                </c:pt>
                <c:pt idx="598">
                  <c:v>-51.387943801993373</c:v>
                </c:pt>
                <c:pt idx="599">
                  <c:v>-53.547876339694149</c:v>
                </c:pt>
                <c:pt idx="600">
                  <c:v>-55.738202946108132</c:v>
                </c:pt>
              </c:numCache>
            </c:numRef>
          </c:yVal>
          <c:smooth val="0"/>
        </c:ser>
        <c:dLbls>
          <c:showLegendKey val="0"/>
          <c:showVal val="0"/>
          <c:showCatName val="0"/>
          <c:showSerName val="0"/>
          <c:showPercent val="0"/>
          <c:showBubbleSize val="0"/>
        </c:dLbls>
        <c:axId val="220013120"/>
        <c:axId val="220013696"/>
      </c:scatterChart>
      <c:scatterChart>
        <c:scatterStyle val="lineMarker"/>
        <c:varyColors val="0"/>
        <c:ser>
          <c:idx val="1"/>
          <c:order val="1"/>
          <c:tx>
            <c:strRef>
              <c:f>'Bode Plot Calculations'!$T$13</c:f>
              <c:strCache>
                <c:ptCount val="1"/>
                <c:pt idx="0">
                  <c:v>Phase Margin</c:v>
                </c:pt>
              </c:strCache>
            </c:strRef>
          </c:tx>
          <c:spPr>
            <a:ln w="25400">
              <a:solidFill>
                <a:srgbClr val="0000FF"/>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Calculations'!$T$14:$T$614</c:f>
              <c:numCache>
                <c:formatCode>General</c:formatCode>
                <c:ptCount val="601"/>
                <c:pt idx="0">
                  <c:v>172.26998576990192</c:v>
                </c:pt>
                <c:pt idx="1">
                  <c:v>171.53437813260462</c:v>
                </c:pt>
                <c:pt idx="2">
                  <c:v>170.73110278091121</c:v>
                </c:pt>
                <c:pt idx="3">
                  <c:v>169.85459851606473</c:v>
                </c:pt>
                <c:pt idx="4">
                  <c:v>168.89971173544936</c:v>
                </c:pt>
                <c:pt idx="5">
                  <c:v>167.85881982126827</c:v>
                </c:pt>
                <c:pt idx="6">
                  <c:v>166.7272319576015</c:v>
                </c:pt>
                <c:pt idx="7">
                  <c:v>165.49814272984747</c:v>
                </c:pt>
                <c:pt idx="8">
                  <c:v>164.16657143961498</c:v>
                </c:pt>
                <c:pt idx="9">
                  <c:v>162.72599251970811</c:v>
                </c:pt>
                <c:pt idx="10">
                  <c:v>161.17229760807317</c:v>
                </c:pt>
                <c:pt idx="11">
                  <c:v>159.5013032674654</c:v>
                </c:pt>
                <c:pt idx="12">
                  <c:v>157.70928486133477</c:v>
                </c:pt>
                <c:pt idx="13">
                  <c:v>155.79681796429335</c:v>
                </c:pt>
                <c:pt idx="14">
                  <c:v>153.76327334479203</c:v>
                </c:pt>
                <c:pt idx="15">
                  <c:v>151.61265853729216</c:v>
                </c:pt>
                <c:pt idx="16">
                  <c:v>149.35082669812303</c:v>
                </c:pt>
                <c:pt idx="17">
                  <c:v>146.98713141808258</c:v>
                </c:pt>
                <c:pt idx="18">
                  <c:v>144.53300351752551</c:v>
                </c:pt>
                <c:pt idx="19">
                  <c:v>142.00424672541624</c:v>
                </c:pt>
                <c:pt idx="20">
                  <c:v>139.41824870680711</c:v>
                </c:pt>
                <c:pt idx="21">
                  <c:v>136.79564303718399</c:v>
                </c:pt>
                <c:pt idx="22">
                  <c:v>134.15747522993226</c:v>
                </c:pt>
                <c:pt idx="23">
                  <c:v>131.52663411219473</c:v>
                </c:pt>
                <c:pt idx="24">
                  <c:v>128.92439533959043</c:v>
                </c:pt>
                <c:pt idx="25">
                  <c:v>126.37191985409095</c:v>
                </c:pt>
                <c:pt idx="26">
                  <c:v>123.88741518054145</c:v>
                </c:pt>
                <c:pt idx="27">
                  <c:v>121.48789935329305</c:v>
                </c:pt>
                <c:pt idx="28">
                  <c:v>119.18652259814723</c:v>
                </c:pt>
                <c:pt idx="29">
                  <c:v>116.99475404262591</c:v>
                </c:pt>
                <c:pt idx="30">
                  <c:v>114.91604757692228</c:v>
                </c:pt>
                <c:pt idx="31">
                  <c:v>112.9576737378181</c:v>
                </c:pt>
                <c:pt idx="32">
                  <c:v>111.12001448113672</c:v>
                </c:pt>
                <c:pt idx="33">
                  <c:v>109.40392842761462</c:v>
                </c:pt>
                <c:pt idx="34">
                  <c:v>107.80589595832461</c:v>
                </c:pt>
                <c:pt idx="35">
                  <c:v>106.32328965982097</c:v>
                </c:pt>
                <c:pt idx="36">
                  <c:v>104.9512715101789</c:v>
                </c:pt>
                <c:pt idx="37">
                  <c:v>103.68390083241594</c:v>
                </c:pt>
                <c:pt idx="38">
                  <c:v>102.51667410726972</c:v>
                </c:pt>
                <c:pt idx="39">
                  <c:v>101.4426855044195</c:v>
                </c:pt>
                <c:pt idx="40">
                  <c:v>100.45637193927594</c:v>
                </c:pt>
                <c:pt idx="41">
                  <c:v>99.551698175706576</c:v>
                </c:pt>
                <c:pt idx="42">
                  <c:v>98.722985183395181</c:v>
                </c:pt>
                <c:pt idx="43">
                  <c:v>97.964417681323368</c:v>
                </c:pt>
                <c:pt idx="44">
                  <c:v>97.270884420122016</c:v>
                </c:pt>
                <c:pt idx="45">
                  <c:v>96.63720526684574</c:v>
                </c:pt>
                <c:pt idx="46">
                  <c:v>96.058761431418247</c:v>
                </c:pt>
                <c:pt idx="47">
                  <c:v>95.530978864004496</c:v>
                </c:pt>
                <c:pt idx="48">
                  <c:v>95.049831519180898</c:v>
                </c:pt>
                <c:pt idx="49">
                  <c:v>94.611330466536501</c:v>
                </c:pt>
                <c:pt idx="50">
                  <c:v>94.211965494187083</c:v>
                </c:pt>
                <c:pt idx="51">
                  <c:v>93.848339976576071</c:v>
                </c:pt>
                <c:pt idx="52">
                  <c:v>93.517520663964049</c:v>
                </c:pt>
                <c:pt idx="53">
                  <c:v>93.216678455258645</c:v>
                </c:pt>
                <c:pt idx="54">
                  <c:v>92.943393998130389</c:v>
                </c:pt>
                <c:pt idx="55">
                  <c:v>92.694859033872234</c:v>
                </c:pt>
                <c:pt idx="56">
                  <c:v>92.469285328579446</c:v>
                </c:pt>
                <c:pt idx="57">
                  <c:v>92.264541072013955</c:v>
                </c:pt>
                <c:pt idx="58">
                  <c:v>92.078962479259857</c:v>
                </c:pt>
                <c:pt idx="59">
                  <c:v>91.910751440869603</c:v>
                </c:pt>
                <c:pt idx="60">
                  <c:v>91.758492585136281</c:v>
                </c:pt>
                <c:pt idx="61">
                  <c:v>91.620768507769142</c:v>
                </c:pt>
                <c:pt idx="62">
                  <c:v>91.49623988257359</c:v>
                </c:pt>
                <c:pt idx="63">
                  <c:v>91.383856355107298</c:v>
                </c:pt>
                <c:pt idx="64">
                  <c:v>91.282452458180614</c:v>
                </c:pt>
                <c:pt idx="65">
                  <c:v>91.191090677489527</c:v>
                </c:pt>
                <c:pt idx="66">
                  <c:v>91.108870920825595</c:v>
                </c:pt>
                <c:pt idx="67">
                  <c:v>91.034998805364381</c:v>
                </c:pt>
                <c:pt idx="68">
                  <c:v>90.968735323889959</c:v>
                </c:pt>
                <c:pt idx="69">
                  <c:v>90.909467271262471</c:v>
                </c:pt>
                <c:pt idx="70">
                  <c:v>90.856635931558131</c:v>
                </c:pt>
                <c:pt idx="71">
                  <c:v>90.809787144361707</c:v>
                </c:pt>
                <c:pt idx="72">
                  <c:v>90.768522537389401</c:v>
                </c:pt>
                <c:pt idx="73">
                  <c:v>90.732532437377955</c:v>
                </c:pt>
                <c:pt idx="74">
                  <c:v>90.701546536304093</c:v>
                </c:pt>
                <c:pt idx="75">
                  <c:v>90.675356404049921</c:v>
                </c:pt>
                <c:pt idx="76">
                  <c:v>90.653777896682797</c:v>
                </c:pt>
                <c:pt idx="77">
                  <c:v>90.63666109591712</c:v>
                </c:pt>
                <c:pt idx="78">
                  <c:v>90.623855507181162</c:v>
                </c:pt>
                <c:pt idx="79">
                  <c:v>90.615211110346451</c:v>
                </c:pt>
                <c:pt idx="80">
                  <c:v>90.61054287977251</c:v>
                </c:pt>
                <c:pt idx="81">
                  <c:v>90.609653169941311</c:v>
                </c:pt>
                <c:pt idx="82">
                  <c:v>90.612277853242986</c:v>
                </c:pt>
                <c:pt idx="83">
                  <c:v>90.618072530643474</c:v>
                </c:pt>
                <c:pt idx="84">
                  <c:v>90.626589927626839</c:v>
                </c:pt>
                <c:pt idx="85">
                  <c:v>90.637226635414038</c:v>
                </c:pt>
                <c:pt idx="86">
                  <c:v>90.649187880443989</c:v>
                </c:pt>
                <c:pt idx="87">
                  <c:v>90.661427179469428</c:v>
                </c:pt>
                <c:pt idx="88">
                  <c:v>90.672546764743913</c:v>
                </c:pt>
                <c:pt idx="89">
                  <c:v>90.680744408618224</c:v>
                </c:pt>
                <c:pt idx="90">
                  <c:v>90.683670044219227</c:v>
                </c:pt>
                <c:pt idx="91">
                  <c:v>90.678316561065557</c:v>
                </c:pt>
                <c:pt idx="92">
                  <c:v>90.660874452244641</c:v>
                </c:pt>
                <c:pt idx="93">
                  <c:v>90.626566937685752</c:v>
                </c:pt>
                <c:pt idx="94">
                  <c:v>90.614697132506876</c:v>
                </c:pt>
                <c:pt idx="95">
                  <c:v>90.608158148849995</c:v>
                </c:pt>
                <c:pt idx="96">
                  <c:v>90.60130302147725</c:v>
                </c:pt>
                <c:pt idx="97">
                  <c:v>90.593959944792346</c:v>
                </c:pt>
                <c:pt idx="98">
                  <c:v>90.586282322765825</c:v>
                </c:pt>
                <c:pt idx="99">
                  <c:v>90.578076647802263</c:v>
                </c:pt>
                <c:pt idx="100">
                  <c:v>90.569517206467395</c:v>
                </c:pt>
                <c:pt idx="101">
                  <c:v>90.560394150296574</c:v>
                </c:pt>
                <c:pt idx="102">
                  <c:v>90.550897842415239</c:v>
                </c:pt>
                <c:pt idx="103">
                  <c:v>90.540786584910578</c:v>
                </c:pt>
                <c:pt idx="104">
                  <c:v>90.53028123083341</c:v>
                </c:pt>
                <c:pt idx="105">
                  <c:v>90.519121581969131</c:v>
                </c:pt>
                <c:pt idx="106">
                  <c:v>90.507546771669368</c:v>
                </c:pt>
                <c:pt idx="107">
                  <c:v>90.495277593091487</c:v>
                </c:pt>
                <c:pt idx="108">
                  <c:v>90.482572034615629</c:v>
                </c:pt>
                <c:pt idx="109">
                  <c:v>90.469122079877479</c:v>
                </c:pt>
                <c:pt idx="110">
                  <c:v>90.455213818955926</c:v>
                </c:pt>
                <c:pt idx="111">
                  <c:v>90.440498728324044</c:v>
                </c:pt>
                <c:pt idx="112">
                  <c:v>90.425302083603398</c:v>
                </c:pt>
                <c:pt idx="113">
                  <c:v>90.409252928486893</c:v>
                </c:pt>
                <c:pt idx="114">
                  <c:v>90.392698949125204</c:v>
                </c:pt>
                <c:pt idx="115">
                  <c:v>90.375234996342144</c:v>
                </c:pt>
                <c:pt idx="116">
                  <c:v>90.357242345560763</c:v>
                </c:pt>
                <c:pt idx="117">
                  <c:v>90.338279800382509</c:v>
                </c:pt>
                <c:pt idx="118">
                  <c:v>90.318764130634293</c:v>
                </c:pt>
                <c:pt idx="119">
                  <c:v>90.298228841326832</c:v>
                </c:pt>
                <c:pt idx="120">
                  <c:v>90.277116207491332</c:v>
                </c:pt>
                <c:pt idx="121">
                  <c:v>90.254920636289782</c:v>
                </c:pt>
                <c:pt idx="122">
                  <c:v>90.23212310113513</c:v>
                </c:pt>
                <c:pt idx="123">
                  <c:v>90.208162968553594</c:v>
                </c:pt>
                <c:pt idx="124">
                  <c:v>90.183575201977604</c:v>
                </c:pt>
                <c:pt idx="125">
                  <c:v>90.15777031942639</c:v>
                </c:pt>
                <c:pt idx="126">
                  <c:v>90.131312607576362</c:v>
                </c:pt>
                <c:pt idx="127">
                  <c:v>90.10356778329492</c:v>
                </c:pt>
                <c:pt idx="128">
                  <c:v>90.075144787022239</c:v>
                </c:pt>
                <c:pt idx="129">
                  <c:v>90.045362633064215</c:v>
                </c:pt>
                <c:pt idx="130">
                  <c:v>90.014876918456224</c:v>
                </c:pt>
                <c:pt idx="131">
                  <c:v>89.982958061175481</c:v>
                </c:pt>
                <c:pt idx="132">
                  <c:v>89.966725041459483</c:v>
                </c:pt>
                <c:pt idx="133">
                  <c:v>89.950310318757317</c:v>
                </c:pt>
                <c:pt idx="134">
                  <c:v>89.933317712043774</c:v>
                </c:pt>
                <c:pt idx="135">
                  <c:v>89.916135804391573</c:v>
                </c:pt>
                <c:pt idx="136">
                  <c:v>89.898765192911625</c:v>
                </c:pt>
                <c:pt idx="137">
                  <c:v>89.881206486867157</c:v>
                </c:pt>
                <c:pt idx="138">
                  <c:v>89.863055229788202</c:v>
                </c:pt>
                <c:pt idx="139">
                  <c:v>89.844708566908778</c:v>
                </c:pt>
                <c:pt idx="140">
                  <c:v>89.826167187546417</c:v>
                </c:pt>
                <c:pt idx="141">
                  <c:v>89.807431793085996</c:v>
                </c:pt>
                <c:pt idx="142">
                  <c:v>89.788051892170913</c:v>
                </c:pt>
                <c:pt idx="143">
                  <c:v>89.768470190498221</c:v>
                </c:pt>
                <c:pt idx="144">
                  <c:v>89.74868747787184</c:v>
                </c:pt>
                <c:pt idx="145">
                  <c:v>89.728704556030536</c:v>
                </c:pt>
                <c:pt idx="146">
                  <c:v>89.708052376347496</c:v>
                </c:pt>
                <c:pt idx="147">
                  <c:v>89.687192339614271</c:v>
                </c:pt>
                <c:pt idx="148">
                  <c:v>89.666125341269463</c:v>
                </c:pt>
                <c:pt idx="149">
                  <c:v>89.644852288419983</c:v>
                </c:pt>
                <c:pt idx="150">
                  <c:v>89.622875075015585</c:v>
                </c:pt>
                <c:pt idx="151">
                  <c:v>89.600684125365689</c:v>
                </c:pt>
                <c:pt idx="152">
                  <c:v>89.578280446635688</c:v>
                </c:pt>
                <c:pt idx="153">
                  <c:v>89.555665057271511</c:v>
                </c:pt>
                <c:pt idx="154">
                  <c:v>89.532299120036768</c:v>
                </c:pt>
                <c:pt idx="155">
                  <c:v>89.508713580957249</c:v>
                </c:pt>
                <c:pt idx="156">
                  <c:v>89.48490956642587</c:v>
                </c:pt>
                <c:pt idx="157">
                  <c:v>89.460888213614083</c:v>
                </c:pt>
                <c:pt idx="158">
                  <c:v>89.436079494102273</c:v>
                </c:pt>
                <c:pt idx="159">
                  <c:v>89.411045562742956</c:v>
                </c:pt>
                <c:pt idx="160">
                  <c:v>89.385787671154276</c:v>
                </c:pt>
                <c:pt idx="161">
                  <c:v>89.360307081079981</c:v>
                </c:pt>
                <c:pt idx="162">
                  <c:v>89.334013353325261</c:v>
                </c:pt>
                <c:pt idx="163">
                  <c:v>89.307489302402757</c:v>
                </c:pt>
                <c:pt idx="164">
                  <c:v>89.280736309021677</c:v>
                </c:pt>
                <c:pt idx="165">
                  <c:v>89.25375576318568</c:v>
                </c:pt>
                <c:pt idx="166">
                  <c:v>89.225900827120299</c:v>
                </c:pt>
                <c:pt idx="167">
                  <c:v>89.197810388786564</c:v>
                </c:pt>
                <c:pt idx="168">
                  <c:v>89.169485966930225</c:v>
                </c:pt>
                <c:pt idx="169">
                  <c:v>89.140929088619387</c:v>
                </c:pt>
                <c:pt idx="170">
                  <c:v>89.111521005350696</c:v>
                </c:pt>
                <c:pt idx="171">
                  <c:v>89.081873627320917</c:v>
                </c:pt>
                <c:pt idx="172">
                  <c:v>89.051988605979872</c:v>
                </c:pt>
                <c:pt idx="173">
                  <c:v>89.021867599878846</c:v>
                </c:pt>
                <c:pt idx="174">
                  <c:v>88.9907440003864</c:v>
                </c:pt>
                <c:pt idx="175">
                  <c:v>88.959375919029654</c:v>
                </c:pt>
                <c:pt idx="176">
                  <c:v>88.927765163147413</c:v>
                </c:pt>
                <c:pt idx="177">
                  <c:v>88.895913545870499</c:v>
                </c:pt>
                <c:pt idx="178">
                  <c:v>88.863030775197913</c:v>
                </c:pt>
                <c:pt idx="179">
                  <c:v>88.829899021961495</c:v>
                </c:pt>
                <c:pt idx="180">
                  <c:v>88.7965202520665</c:v>
                </c:pt>
                <c:pt idx="181">
                  <c:v>88.76289643566362</c:v>
                </c:pt>
                <c:pt idx="182">
                  <c:v>88.728349743088813</c:v>
                </c:pt>
                <c:pt idx="183">
                  <c:v>88.693552255925255</c:v>
                </c:pt>
                <c:pt idx="184">
                  <c:v>88.658506075287718</c:v>
                </c:pt>
                <c:pt idx="185">
                  <c:v>88.623213304718163</c:v>
                </c:pt>
                <c:pt idx="186">
                  <c:v>88.586697089468259</c:v>
                </c:pt>
                <c:pt idx="187">
                  <c:v>88.54992506801922</c:v>
                </c:pt>
                <c:pt idx="188">
                  <c:v>88.512899526558044</c:v>
                </c:pt>
                <c:pt idx="189">
                  <c:v>88.475622751724785</c:v>
                </c:pt>
                <c:pt idx="190">
                  <c:v>88.437378484533141</c:v>
                </c:pt>
                <c:pt idx="191">
                  <c:v>88.398878097401223</c:v>
                </c:pt>
                <c:pt idx="192">
                  <c:v>88.360124008446249</c:v>
                </c:pt>
                <c:pt idx="193">
                  <c:v>88.32111863402902</c:v>
                </c:pt>
                <c:pt idx="194">
                  <c:v>88.280831924719919</c:v>
                </c:pt>
                <c:pt idx="195">
                  <c:v>88.240285729407304</c:v>
                </c:pt>
                <c:pt idx="196">
                  <c:v>88.199482650307516</c:v>
                </c:pt>
                <c:pt idx="197">
                  <c:v>88.158425285407489</c:v>
                </c:pt>
                <c:pt idx="198">
                  <c:v>88.116208853448185</c:v>
                </c:pt>
                <c:pt idx="199">
                  <c:v>88.073732346789413</c:v>
                </c:pt>
                <c:pt idx="200">
                  <c:v>88.030998520725916</c:v>
                </c:pt>
                <c:pt idx="201">
                  <c:v>87.988010123677398</c:v>
                </c:pt>
                <c:pt idx="202">
                  <c:v>87.943840584540141</c:v>
                </c:pt>
                <c:pt idx="203">
                  <c:v>87.899411219553926</c:v>
                </c:pt>
                <c:pt idx="204">
                  <c:v>87.854724932053699</c:v>
                </c:pt>
                <c:pt idx="205">
                  <c:v>87.809784615680343</c:v>
                </c:pt>
                <c:pt idx="206">
                  <c:v>87.763483944784284</c:v>
                </c:pt>
                <c:pt idx="207">
                  <c:v>87.71692277285041</c:v>
                </c:pt>
                <c:pt idx="208">
                  <c:v>87.670104176283104</c:v>
                </c:pt>
                <c:pt idx="209">
                  <c:v>87.62303121864629</c:v>
                </c:pt>
                <c:pt idx="210">
                  <c:v>87.574411324237758</c:v>
                </c:pt>
                <c:pt idx="211">
                  <c:v>87.525529499875375</c:v>
                </c:pt>
                <c:pt idx="212">
                  <c:v>87.476389021413596</c:v>
                </c:pt>
                <c:pt idx="213">
                  <c:v>87.426993148291132</c:v>
                </c:pt>
                <c:pt idx="214">
                  <c:v>87.376352920280539</c:v>
                </c:pt>
                <c:pt idx="215">
                  <c:v>87.325453809053684</c:v>
                </c:pt>
                <c:pt idx="216">
                  <c:v>87.27429921707224</c:v>
                </c:pt>
                <c:pt idx="217">
                  <c:v>87.222892527063621</c:v>
                </c:pt>
                <c:pt idx="218">
                  <c:v>87.170056416486005</c:v>
                </c:pt>
                <c:pt idx="219">
                  <c:v>87.116963673602186</c:v>
                </c:pt>
                <c:pt idx="220">
                  <c:v>87.063617850981046</c:v>
                </c:pt>
                <c:pt idx="221">
                  <c:v>87.010022477782655</c:v>
                </c:pt>
                <c:pt idx="222">
                  <c:v>86.954977996063391</c:v>
                </c:pt>
                <c:pt idx="223">
                  <c:v>86.899680095489444</c:v>
                </c:pt>
                <c:pt idx="224">
                  <c:v>86.844132468160808</c:v>
                </c:pt>
                <c:pt idx="225">
                  <c:v>86.788338778987963</c:v>
                </c:pt>
                <c:pt idx="226">
                  <c:v>86.73090306170613</c:v>
                </c:pt>
                <c:pt idx="227">
                  <c:v>86.673216571567337</c:v>
                </c:pt>
                <c:pt idx="228">
                  <c:v>86.615283163250652</c:v>
                </c:pt>
                <c:pt idx="229">
                  <c:v>86.557106660017965</c:v>
                </c:pt>
                <c:pt idx="230">
                  <c:v>86.437181216689766</c:v>
                </c:pt>
                <c:pt idx="231">
                  <c:v>86.376851935546611</c:v>
                </c:pt>
                <c:pt idx="232">
                  <c:v>86.316283585164754</c:v>
                </c:pt>
                <c:pt idx="233">
                  <c:v>86.254033867045635</c:v>
                </c:pt>
                <c:pt idx="234">
                  <c:v>86.191541896562285</c:v>
                </c:pt>
                <c:pt idx="235">
                  <c:v>86.128811814143631</c:v>
                </c:pt>
                <c:pt idx="236">
                  <c:v>86.065847720078366</c:v>
                </c:pt>
                <c:pt idx="237">
                  <c:v>86.001369124241151</c:v>
                </c:pt>
                <c:pt idx="238">
                  <c:v>85.936655419360108</c:v>
                </c:pt>
                <c:pt idx="239">
                  <c:v>85.871710830293338</c:v>
                </c:pt>
                <c:pt idx="240">
                  <c:v>85.806539537869128</c:v>
                </c:pt>
                <c:pt idx="241">
                  <c:v>85.739470794997857</c:v>
                </c:pt>
                <c:pt idx="242">
                  <c:v>85.672172372526774</c:v>
                </c:pt>
                <c:pt idx="243">
                  <c:v>85.604648635562782</c:v>
                </c:pt>
                <c:pt idx="244">
                  <c:v>85.536903900335417</c:v>
                </c:pt>
                <c:pt idx="245">
                  <c:v>85.467433940573457</c:v>
                </c:pt>
                <c:pt idx="246">
                  <c:v>85.397742042189591</c:v>
                </c:pt>
                <c:pt idx="247">
                  <c:v>85.327832656663958</c:v>
                </c:pt>
                <c:pt idx="248">
                  <c:v>85.257710182355197</c:v>
                </c:pt>
                <c:pt idx="249">
                  <c:v>85.185660997617873</c:v>
                </c:pt>
                <c:pt idx="250">
                  <c:v>85.113397376051296</c:v>
                </c:pt>
                <c:pt idx="251">
                  <c:v>85.040923873238143</c:v>
                </c:pt>
                <c:pt idx="252">
                  <c:v>84.968244986938402</c:v>
                </c:pt>
                <c:pt idx="253">
                  <c:v>84.893820587683479</c:v>
                </c:pt>
                <c:pt idx="254">
                  <c:v>84.819191315732112</c:v>
                </c:pt>
                <c:pt idx="255">
                  <c:v>84.744361775406091</c:v>
                </c:pt>
                <c:pt idx="256">
                  <c:v>84.669336509287731</c:v>
                </c:pt>
                <c:pt idx="257">
                  <c:v>84.592168882651279</c:v>
                </c:pt>
                <c:pt idx="258">
                  <c:v>84.514804745523534</c:v>
                </c:pt>
                <c:pt idx="259">
                  <c:v>84.43724880251834</c:v>
                </c:pt>
                <c:pt idx="260">
                  <c:v>84.359505691508247</c:v>
                </c:pt>
                <c:pt idx="261">
                  <c:v>84.279806858601233</c:v>
                </c:pt>
                <c:pt idx="262">
                  <c:v>84.199921854131645</c:v>
                </c:pt>
                <c:pt idx="263">
                  <c:v>84.119855425941267</c:v>
                </c:pt>
                <c:pt idx="264">
                  <c:v>84.039612251028771</c:v>
                </c:pt>
                <c:pt idx="265">
                  <c:v>83.95740800884154</c:v>
                </c:pt>
                <c:pt idx="266">
                  <c:v>83.875028736267538</c:v>
                </c:pt>
                <c:pt idx="267">
                  <c:v>83.792479203491197</c:v>
                </c:pt>
                <c:pt idx="268">
                  <c:v>83.709764106057136</c:v>
                </c:pt>
                <c:pt idx="269">
                  <c:v>83.624884276267238</c:v>
                </c:pt>
                <c:pt idx="270">
                  <c:v>83.53984051933422</c:v>
                </c:pt>
                <c:pt idx="271">
                  <c:v>83.454637640710104</c:v>
                </c:pt>
                <c:pt idx="272">
                  <c:v>83.369280367023052</c:v>
                </c:pt>
                <c:pt idx="273">
                  <c:v>83.281754901785533</c:v>
                </c:pt>
                <c:pt idx="274">
                  <c:v>83.194077444784526</c:v>
                </c:pt>
                <c:pt idx="275">
                  <c:v>83.106252814141769</c:v>
                </c:pt>
                <c:pt idx="276">
                  <c:v>83.018285745336414</c:v>
                </c:pt>
                <c:pt idx="277">
                  <c:v>82.928352407517451</c:v>
                </c:pt>
                <c:pt idx="278">
                  <c:v>82.838280374049518</c:v>
                </c:pt>
                <c:pt idx="279">
                  <c:v>82.748074421301396</c:v>
                </c:pt>
                <c:pt idx="280">
                  <c:v>82.657739240358836</c:v>
                </c:pt>
                <c:pt idx="281">
                  <c:v>82.564827368882291</c:v>
                </c:pt>
                <c:pt idx="282">
                  <c:v>82.471788933199875</c:v>
                </c:pt>
                <c:pt idx="283">
                  <c:v>82.378628742605301</c:v>
                </c:pt>
                <c:pt idx="284">
                  <c:v>82.285351516592016</c:v>
                </c:pt>
                <c:pt idx="285">
                  <c:v>82.190113516045756</c:v>
                </c:pt>
                <c:pt idx="286">
                  <c:v>82.094763437883202</c:v>
                </c:pt>
                <c:pt idx="287">
                  <c:v>81.999306007067219</c:v>
                </c:pt>
                <c:pt idx="288">
                  <c:v>81.903745857072579</c:v>
                </c:pt>
                <c:pt idx="289">
                  <c:v>81.805612346829633</c:v>
                </c:pt>
                <c:pt idx="290">
                  <c:v>81.707380324824967</c:v>
                </c:pt>
                <c:pt idx="291">
                  <c:v>81.609054502586702</c:v>
                </c:pt>
                <c:pt idx="292">
                  <c:v>81.510639496600945</c:v>
                </c:pt>
                <c:pt idx="293">
                  <c:v>81.409862611750683</c:v>
                </c:pt>
                <c:pt idx="294">
                  <c:v>81.309001852014717</c:v>
                </c:pt>
                <c:pt idx="295">
                  <c:v>81.208061862739825</c:v>
                </c:pt>
                <c:pt idx="296">
                  <c:v>81.10704719200956</c:v>
                </c:pt>
                <c:pt idx="297">
                  <c:v>81.003678283585145</c:v>
                </c:pt>
                <c:pt idx="298">
                  <c:v>80.900240597070763</c:v>
                </c:pt>
                <c:pt idx="299">
                  <c:v>80.796738691292063</c:v>
                </c:pt>
                <c:pt idx="300">
                  <c:v>80.693177026142749</c:v>
                </c:pt>
                <c:pt idx="301">
                  <c:v>80.587270641453244</c:v>
                </c:pt>
                <c:pt idx="302">
                  <c:v>80.481310941011458</c:v>
                </c:pt>
                <c:pt idx="303">
                  <c:v>80.375302378275109</c:v>
                </c:pt>
                <c:pt idx="304">
                  <c:v>80.269249306659646</c:v>
                </c:pt>
                <c:pt idx="305">
                  <c:v>80.16044583858401</c:v>
                </c:pt>
                <c:pt idx="306">
                  <c:v>80.051604518795557</c:v>
                </c:pt>
                <c:pt idx="307">
                  <c:v>79.942729727763776</c:v>
                </c:pt>
                <c:pt idx="308">
                  <c:v>79.833825743823027</c:v>
                </c:pt>
                <c:pt idx="309">
                  <c:v>79.722601067215052</c:v>
                </c:pt>
                <c:pt idx="310">
                  <c:v>79.611354652881218</c:v>
                </c:pt>
                <c:pt idx="311">
                  <c:v>79.500090739165728</c:v>
                </c:pt>
                <c:pt idx="312">
                  <c:v>79.38881346233542</c:v>
                </c:pt>
                <c:pt idx="313">
                  <c:v>79.274812468232014</c:v>
                </c:pt>
                <c:pt idx="314">
                  <c:v>79.160805919052152</c:v>
                </c:pt>
                <c:pt idx="315">
                  <c:v>79.046797942110601</c:v>
                </c:pt>
                <c:pt idx="316">
                  <c:v>78.932792561751867</c:v>
                </c:pt>
                <c:pt idx="317">
                  <c:v>78.816079554177634</c:v>
                </c:pt>
                <c:pt idx="318">
                  <c:v>78.699377484391377</c:v>
                </c:pt>
                <c:pt idx="319">
                  <c:v>78.58269035049058</c:v>
                </c:pt>
                <c:pt idx="320">
                  <c:v>78.466022047324344</c:v>
                </c:pt>
                <c:pt idx="321">
                  <c:v>78.346663977722201</c:v>
                </c:pt>
                <c:pt idx="322">
                  <c:v>78.227333555110491</c:v>
                </c:pt>
                <c:pt idx="323">
                  <c:v>78.108034632170259</c:v>
                </c:pt>
                <c:pt idx="324">
                  <c:v>77.988770958655792</c:v>
                </c:pt>
                <c:pt idx="325">
                  <c:v>77.866837009978184</c:v>
                </c:pt>
                <c:pt idx="326">
                  <c:v>77.744947545606777</c:v>
                </c:pt>
                <c:pt idx="327">
                  <c:v>77.62310625868389</c:v>
                </c:pt>
                <c:pt idx="328">
                  <c:v>77.501316740320078</c:v>
                </c:pt>
                <c:pt idx="329">
                  <c:v>77.376669888948555</c:v>
                </c:pt>
                <c:pt idx="330">
                  <c:v>77.252084616881774</c:v>
                </c:pt>
                <c:pt idx="331">
                  <c:v>77.127564463159459</c:v>
                </c:pt>
                <c:pt idx="332">
                  <c:v>77.003112865557924</c:v>
                </c:pt>
                <c:pt idx="333">
                  <c:v>76.876034592151996</c:v>
                </c:pt>
                <c:pt idx="334">
                  <c:v>76.749034825808806</c:v>
                </c:pt>
                <c:pt idx="335">
                  <c:v>76.622116922217145</c:v>
                </c:pt>
                <c:pt idx="336">
                  <c:v>76.495284137780232</c:v>
                </c:pt>
                <c:pt idx="337">
                  <c:v>76.365434283796645</c:v>
                </c:pt>
                <c:pt idx="338">
                  <c:v>76.235680384170067</c:v>
                </c:pt>
                <c:pt idx="339">
                  <c:v>76.106025633499456</c:v>
                </c:pt>
                <c:pt idx="340">
                  <c:v>75.976473128300299</c:v>
                </c:pt>
                <c:pt idx="341">
                  <c:v>75.843930358581915</c:v>
                </c:pt>
                <c:pt idx="342">
                  <c:v>75.711501051949696</c:v>
                </c:pt>
                <c:pt idx="343">
                  <c:v>75.579188230215465</c:v>
                </c:pt>
                <c:pt idx="344">
                  <c:v>75.446994818857576</c:v>
                </c:pt>
                <c:pt idx="345">
                  <c:v>75.312044975759491</c:v>
                </c:pt>
                <c:pt idx="346">
                  <c:v>75.177225687229964</c:v>
                </c:pt>
                <c:pt idx="347">
                  <c:v>75.042539780074108</c:v>
                </c:pt>
                <c:pt idx="348">
                  <c:v>74.907989987578603</c:v>
                </c:pt>
                <c:pt idx="349">
                  <c:v>74.770302389428977</c:v>
                </c:pt>
                <c:pt idx="350">
                  <c:v>74.632763143902039</c:v>
                </c:pt>
                <c:pt idx="351">
                  <c:v>74.495374901470655</c:v>
                </c:pt>
                <c:pt idx="352">
                  <c:v>74.358140221209226</c:v>
                </c:pt>
                <c:pt idx="353">
                  <c:v>74.217799717724745</c:v>
                </c:pt>
                <c:pt idx="354">
                  <c:v>74.077625322737205</c:v>
                </c:pt>
                <c:pt idx="355">
                  <c:v>73.93761950233575</c:v>
                </c:pt>
                <c:pt idx="356">
                  <c:v>73.797784633793611</c:v>
                </c:pt>
                <c:pt idx="357">
                  <c:v>73.655080006510204</c:v>
                </c:pt>
                <c:pt idx="358">
                  <c:v>73.512558612862691</c:v>
                </c:pt>
                <c:pt idx="359">
                  <c:v>73.370222719100326</c:v>
                </c:pt>
                <c:pt idx="360">
                  <c:v>73.22807450612558</c:v>
                </c:pt>
                <c:pt idx="361">
                  <c:v>73.082685589560711</c:v>
                </c:pt>
                <c:pt idx="362">
                  <c:v>72.937497908309794</c:v>
                </c:pt>
                <c:pt idx="363">
                  <c:v>72.792513544269269</c:v>
                </c:pt>
                <c:pt idx="364">
                  <c:v>72.647734496832257</c:v>
                </c:pt>
                <c:pt idx="365">
                  <c:v>72.499952346674419</c:v>
                </c:pt>
                <c:pt idx="366">
                  <c:v>72.352388712179689</c:v>
                </c:pt>
                <c:pt idx="367">
                  <c:v>72.205045478746911</c:v>
                </c:pt>
                <c:pt idx="368">
                  <c:v>72.05792445289525</c:v>
                </c:pt>
                <c:pt idx="369">
                  <c:v>71.907437592539665</c:v>
                </c:pt>
                <c:pt idx="370">
                  <c:v>71.757187537212317</c:v>
                </c:pt>
                <c:pt idx="371">
                  <c:v>71.607175988530116</c:v>
                </c:pt>
                <c:pt idx="372">
                  <c:v>71.457404572291807</c:v>
                </c:pt>
                <c:pt idx="373">
                  <c:v>71.304506278704309</c:v>
                </c:pt>
                <c:pt idx="374">
                  <c:v>71.151862274426705</c:v>
                </c:pt>
                <c:pt idx="375">
                  <c:v>70.999474068255523</c:v>
                </c:pt>
                <c:pt idx="376">
                  <c:v>70.847343096902762</c:v>
                </c:pt>
                <c:pt idx="377">
                  <c:v>70.691731364187405</c:v>
                </c:pt>
                <c:pt idx="378">
                  <c:v>70.536392533398256</c:v>
                </c:pt>
                <c:pt idx="379">
                  <c:v>70.381327930736973</c:v>
                </c:pt>
                <c:pt idx="380">
                  <c:v>70.22653881354718</c:v>
                </c:pt>
                <c:pt idx="381">
                  <c:v>70.068704470925326</c:v>
                </c:pt>
                <c:pt idx="382">
                  <c:v>69.911160040693545</c:v>
                </c:pt>
                <c:pt idx="383">
                  <c:v>69.753906656165213</c:v>
                </c:pt>
                <c:pt idx="384">
                  <c:v>69.596945385898991</c:v>
                </c:pt>
                <c:pt idx="385">
                  <c:v>69.436398236667529</c:v>
                </c:pt>
                <c:pt idx="386">
                  <c:v>69.276159933878205</c:v>
                </c:pt>
                <c:pt idx="387">
                  <c:v>69.116231431043488</c:v>
                </c:pt>
                <c:pt idx="388">
                  <c:v>68.956613620213716</c:v>
                </c:pt>
                <c:pt idx="389">
                  <c:v>68.793651002008531</c:v>
                </c:pt>
                <c:pt idx="390">
                  <c:v>68.631015217174195</c:v>
                </c:pt>
                <c:pt idx="391">
                  <c:v>68.468707035667549</c:v>
                </c:pt>
                <c:pt idx="392">
                  <c:v>68.306727169730635</c:v>
                </c:pt>
                <c:pt idx="393">
                  <c:v>68.141449600537214</c:v>
                </c:pt>
                <c:pt idx="394">
                  <c:v>67.976516590181632</c:v>
                </c:pt>
                <c:pt idx="395">
                  <c:v>67.811928726868899</c:v>
                </c:pt>
                <c:pt idx="396">
                  <c:v>67.647686544908794</c:v>
                </c:pt>
                <c:pt idx="397">
                  <c:v>67.479815856076229</c:v>
                </c:pt>
                <c:pt idx="398">
                  <c:v>67.312308807290052</c:v>
                </c:pt>
                <c:pt idx="399">
                  <c:v>67.145165810358577</c:v>
                </c:pt>
                <c:pt idx="400">
                  <c:v>66.978387226590499</c:v>
                </c:pt>
                <c:pt idx="401">
                  <c:v>66.80822105994929</c:v>
                </c:pt>
                <c:pt idx="402">
                  <c:v>66.63843655532898</c:v>
                </c:pt>
                <c:pt idx="403">
                  <c:v>66.469033948096111</c:v>
                </c:pt>
                <c:pt idx="404">
                  <c:v>66.300013426793228</c:v>
                </c:pt>
                <c:pt idx="405">
                  <c:v>66.12747083385058</c:v>
                </c:pt>
                <c:pt idx="406">
                  <c:v>65.955328502093963</c:v>
                </c:pt>
                <c:pt idx="407">
                  <c:v>65.783586493476875</c:v>
                </c:pt>
                <c:pt idx="408">
                  <c:v>65.612244826601241</c:v>
                </c:pt>
                <c:pt idx="409">
                  <c:v>65.437251480632526</c:v>
                </c:pt>
                <c:pt idx="410">
                  <c:v>65.262677612077056</c:v>
                </c:pt>
                <c:pt idx="411">
                  <c:v>65.088523111282086</c:v>
                </c:pt>
                <c:pt idx="412">
                  <c:v>64.914787828534458</c:v>
                </c:pt>
                <c:pt idx="413">
                  <c:v>64.737458674810796</c:v>
                </c:pt>
                <c:pt idx="414">
                  <c:v>64.560567963080061</c:v>
                </c:pt>
                <c:pt idx="415">
                  <c:v>64.384115413679623</c:v>
                </c:pt>
                <c:pt idx="416">
                  <c:v>64.208100710164985</c:v>
                </c:pt>
                <c:pt idx="417">
                  <c:v>64.028369918583124</c:v>
                </c:pt>
                <c:pt idx="418">
                  <c:v>63.849097178702706</c:v>
                </c:pt>
                <c:pt idx="419">
                  <c:v>63.670282041573614</c:v>
                </c:pt>
                <c:pt idx="420">
                  <c:v>63.491924024558557</c:v>
                </c:pt>
                <c:pt idx="421">
                  <c:v>63.310090317764462</c:v>
                </c:pt>
                <c:pt idx="422">
                  <c:v>63.128733068820225</c:v>
                </c:pt>
                <c:pt idx="423">
                  <c:v>62.947851662817712</c:v>
                </c:pt>
                <c:pt idx="424">
                  <c:v>62.767445454326705</c:v>
                </c:pt>
                <c:pt idx="425">
                  <c:v>62.583092291770996</c:v>
                </c:pt>
                <c:pt idx="426">
                  <c:v>62.399236536075321</c:v>
                </c:pt>
                <c:pt idx="427">
                  <c:v>62.215877402276689</c:v>
                </c:pt>
                <c:pt idx="428">
                  <c:v>62.033014077630767</c:v>
                </c:pt>
                <c:pt idx="429">
                  <c:v>61.846447095606564</c:v>
                </c:pt>
                <c:pt idx="430">
                  <c:v>61.660397243446866</c:v>
                </c:pt>
                <c:pt idx="431">
                  <c:v>61.474863568995474</c:v>
                </c:pt>
                <c:pt idx="432">
                  <c:v>61.289845095105846</c:v>
                </c:pt>
                <c:pt idx="433">
                  <c:v>61.101188894517051</c:v>
                </c:pt>
                <c:pt idx="434">
                  <c:v>60.913069235261986</c:v>
                </c:pt>
                <c:pt idx="435">
                  <c:v>60.72548499931851</c:v>
                </c:pt>
                <c:pt idx="436">
                  <c:v>60.538435046370083</c:v>
                </c:pt>
                <c:pt idx="437">
                  <c:v>60.347471610579944</c:v>
                </c:pt>
                <c:pt idx="438">
                  <c:v>60.157065788278672</c:v>
                </c:pt>
                <c:pt idx="439">
                  <c:v>59.967216290023899</c:v>
                </c:pt>
                <c:pt idx="440">
                  <c:v>59.777921806522471</c:v>
                </c:pt>
                <c:pt idx="441">
                  <c:v>59.584786474255239</c:v>
                </c:pt>
                <c:pt idx="442">
                  <c:v>59.392229509277684</c:v>
                </c:pt>
                <c:pt idx="443">
                  <c:v>59.200249450591912</c:v>
                </c:pt>
                <c:pt idx="444">
                  <c:v>59.008844819713175</c:v>
                </c:pt>
                <c:pt idx="445">
                  <c:v>58.813672333265913</c:v>
                </c:pt>
                <c:pt idx="446">
                  <c:v>58.61909861754485</c:v>
                </c:pt>
                <c:pt idx="447">
                  <c:v>58.425122039956051</c:v>
                </c:pt>
                <c:pt idx="448">
                  <c:v>58.231740952691439</c:v>
                </c:pt>
                <c:pt idx="449">
                  <c:v>58.034335401941092</c:v>
                </c:pt>
                <c:pt idx="450">
                  <c:v>57.837550717410991</c:v>
                </c:pt>
                <c:pt idx="451">
                  <c:v>57.641385085774402</c:v>
                </c:pt>
                <c:pt idx="452">
                  <c:v>57.445836680577202</c:v>
                </c:pt>
                <c:pt idx="453">
                  <c:v>57.246506413473128</c:v>
                </c:pt>
                <c:pt idx="454">
                  <c:v>57.047817677692194</c:v>
                </c:pt>
                <c:pt idx="455">
                  <c:v>56.849768482639888</c:v>
                </c:pt>
                <c:pt idx="456">
                  <c:v>56.652356826648514</c:v>
                </c:pt>
                <c:pt idx="457">
                  <c:v>56.450918591216904</c:v>
                </c:pt>
                <c:pt idx="458">
                  <c:v>56.250144235690271</c:v>
                </c:pt>
                <c:pt idx="459">
                  <c:v>56.050031581048557</c:v>
                </c:pt>
                <c:pt idx="460">
                  <c:v>55.850578439108077</c:v>
                </c:pt>
                <c:pt idx="461">
                  <c:v>55.647182014494888</c:v>
                </c:pt>
                <c:pt idx="462">
                  <c:v>55.444471372647655</c:v>
                </c:pt>
                <c:pt idx="463">
                  <c:v>55.242444144085198</c:v>
                </c:pt>
                <c:pt idx="464">
                  <c:v>55.041097952016926</c:v>
                </c:pt>
                <c:pt idx="465">
                  <c:v>54.835735387546094</c:v>
                </c:pt>
                <c:pt idx="466">
                  <c:v>54.631081099026645</c:v>
                </c:pt>
                <c:pt idx="467">
                  <c:v>54.427132518672408</c:v>
                </c:pt>
                <c:pt idx="468">
                  <c:v>54.223887073173486</c:v>
                </c:pt>
                <c:pt idx="469">
                  <c:v>54.016711936630969</c:v>
                </c:pt>
                <c:pt idx="470">
                  <c:v>53.810267046304915</c:v>
                </c:pt>
                <c:pt idx="471">
                  <c:v>53.604549633585265</c:v>
                </c:pt>
                <c:pt idx="472">
                  <c:v>53.39955692608973</c:v>
                </c:pt>
                <c:pt idx="473">
                  <c:v>53.190416843035976</c:v>
                </c:pt>
                <c:pt idx="474">
                  <c:v>52.98203059915997</c:v>
                </c:pt>
                <c:pt idx="475">
                  <c:v>52.774395209606411</c:v>
                </c:pt>
                <c:pt idx="476">
                  <c:v>52.567507687462339</c:v>
                </c:pt>
                <c:pt idx="477">
                  <c:v>52.356565917719919</c:v>
                </c:pt>
                <c:pt idx="478">
                  <c:v>52.146400974852099</c:v>
                </c:pt>
                <c:pt idx="479">
                  <c:v>51.937009654301875</c:v>
                </c:pt>
                <c:pt idx="480">
                  <c:v>51.72838875117543</c:v>
                </c:pt>
                <c:pt idx="481">
                  <c:v>51.515806571874151</c:v>
                </c:pt>
                <c:pt idx="482">
                  <c:v>51.304023547983491</c:v>
                </c:pt>
                <c:pt idx="483">
                  <c:v>51.093036252070959</c:v>
                </c:pt>
                <c:pt idx="484">
                  <c:v>50.882841258105316</c:v>
                </c:pt>
                <c:pt idx="485">
                  <c:v>50.668632129885737</c:v>
                </c:pt>
                <c:pt idx="486">
                  <c:v>50.455244890200163</c:v>
                </c:pt>
                <c:pt idx="487">
                  <c:v>50.242675878430134</c:v>
                </c:pt>
                <c:pt idx="488">
                  <c:v>50.03092143713485</c:v>
                </c:pt>
                <c:pt idx="489">
                  <c:v>49.814961889043673</c:v>
                </c:pt>
                <c:pt idx="490">
                  <c:v>49.59984844214992</c:v>
                </c:pt>
                <c:pt idx="491">
                  <c:v>49.385577184030211</c:v>
                </c:pt>
                <c:pt idx="492">
                  <c:v>49.172144207295332</c:v>
                </c:pt>
                <c:pt idx="493">
                  <c:v>48.954608072344598</c:v>
                </c:pt>
                <c:pt idx="494">
                  <c:v>48.737941428197701</c:v>
                </c:pt>
                <c:pt idx="495">
                  <c:v>48.522140106879732</c:v>
                </c:pt>
                <c:pt idx="496">
                  <c:v>48.307199947391553</c:v>
                </c:pt>
                <c:pt idx="497">
                  <c:v>48.088119227496378</c:v>
                </c:pt>
                <c:pt idx="498">
                  <c:v>47.869931634879237</c:v>
                </c:pt>
                <c:pt idx="499">
                  <c:v>47.652632734474508</c:v>
                </c:pt>
                <c:pt idx="500">
                  <c:v>47.436218100255957</c:v>
                </c:pt>
                <c:pt idx="501">
                  <c:v>47.215630500478255</c:v>
                </c:pt>
                <c:pt idx="502">
                  <c:v>46.995959849967363</c:v>
                </c:pt>
                <c:pt idx="503">
                  <c:v>46.777201434836229</c:v>
                </c:pt>
                <c:pt idx="504">
                  <c:v>46.559350552450326</c:v>
                </c:pt>
                <c:pt idx="505">
                  <c:v>46.337433497272741</c:v>
                </c:pt>
                <c:pt idx="506">
                  <c:v>46.116456196319717</c:v>
                </c:pt>
                <c:pt idx="507">
                  <c:v>45.896413654165173</c:v>
                </c:pt>
                <c:pt idx="508">
                  <c:v>45.677300888991397</c:v>
                </c:pt>
                <c:pt idx="509">
                  <c:v>45.454095812801597</c:v>
                </c:pt>
                <c:pt idx="510">
                  <c:v>45.231853355985749</c:v>
                </c:pt>
                <c:pt idx="511">
                  <c:v>45.010568230440384</c:v>
                </c:pt>
                <c:pt idx="512">
                  <c:v>44.790235164215829</c:v>
                </c:pt>
                <c:pt idx="513">
                  <c:v>44.565658541496106</c:v>
                </c:pt>
                <c:pt idx="514">
                  <c:v>44.34206853365086</c:v>
                </c:pt>
                <c:pt idx="515">
                  <c:v>44.119459539227847</c:v>
                </c:pt>
                <c:pt idx="516">
                  <c:v>43.897825975734378</c:v>
                </c:pt>
                <c:pt idx="517">
                  <c:v>43.672062813922395</c:v>
                </c:pt>
                <c:pt idx="518">
                  <c:v>43.447309029754848</c:v>
                </c:pt>
                <c:pt idx="519">
                  <c:v>43.223558707224043</c:v>
                </c:pt>
                <c:pt idx="520">
                  <c:v>43.00080595228647</c:v>
                </c:pt>
                <c:pt idx="521">
                  <c:v>42.773911059085179</c:v>
                </c:pt>
                <c:pt idx="522">
                  <c:v>42.548048150943146</c:v>
                </c:pt>
                <c:pt idx="523">
                  <c:v>42.323210987103721</c:v>
                </c:pt>
                <c:pt idx="524">
                  <c:v>42.099393352037225</c:v>
                </c:pt>
                <c:pt idx="525">
                  <c:v>41.871425286116789</c:v>
                </c:pt>
                <c:pt idx="526">
                  <c:v>41.644511582153314</c:v>
                </c:pt>
                <c:pt idx="527">
                  <c:v>41.41864566503142</c:v>
                </c:pt>
                <c:pt idx="528">
                  <c:v>41.193820988400432</c:v>
                </c:pt>
                <c:pt idx="529">
                  <c:v>40.964841683178321</c:v>
                </c:pt>
                <c:pt idx="530">
                  <c:v>40.736938810178657</c:v>
                </c:pt>
                <c:pt idx="531">
                  <c:v>40.510105451035713</c:v>
                </c:pt>
                <c:pt idx="532">
                  <c:v>40.284334719978233</c:v>
                </c:pt>
                <c:pt idx="533">
                  <c:v>40.054290678238942</c:v>
                </c:pt>
                <c:pt idx="534">
                  <c:v>39.825345886274334</c:v>
                </c:pt>
                <c:pt idx="535">
                  <c:v>39.597493063191877</c:v>
                </c:pt>
                <c:pt idx="536">
                  <c:v>39.370724964902905</c:v>
                </c:pt>
                <c:pt idx="537">
                  <c:v>39.139922799797262</c:v>
                </c:pt>
                <c:pt idx="538">
                  <c:v>38.91023996664174</c:v>
                </c:pt>
                <c:pt idx="539">
                  <c:v>38.681668837512774</c:v>
                </c:pt>
                <c:pt idx="540">
                  <c:v>38.454201825661102</c:v>
                </c:pt>
                <c:pt idx="541">
                  <c:v>38.222476616743279</c:v>
                </c:pt>
                <c:pt idx="542">
                  <c:v>37.991892553611109</c:v>
                </c:pt>
                <c:pt idx="543">
                  <c:v>37.762441632245071</c:v>
                </c:pt>
                <c:pt idx="544">
                  <c:v>37.534115894654747</c:v>
                </c:pt>
                <c:pt idx="545">
                  <c:v>37.301657521943127</c:v>
                </c:pt>
                <c:pt idx="546">
                  <c:v>37.070360357954883</c:v>
                </c:pt>
                <c:pt idx="547">
                  <c:v>36.840216029461146</c:v>
                </c:pt>
                <c:pt idx="548">
                  <c:v>36.611216214353362</c:v>
                </c:pt>
                <c:pt idx="549">
                  <c:v>36.378097493676194</c:v>
                </c:pt>
                <c:pt idx="550">
                  <c:v>36.14615936392741</c:v>
                </c:pt>
                <c:pt idx="551">
                  <c:v>35.915393079271581</c:v>
                </c:pt>
                <c:pt idx="552">
                  <c:v>35.685789950401585</c:v>
                </c:pt>
                <c:pt idx="553">
                  <c:v>35.451977391703593</c:v>
                </c:pt>
                <c:pt idx="554">
                  <c:v>35.219365156917263</c:v>
                </c:pt>
                <c:pt idx="555">
                  <c:v>34.987944113058887</c:v>
                </c:pt>
                <c:pt idx="556">
                  <c:v>34.757705189505913</c:v>
                </c:pt>
                <c:pt idx="557">
                  <c:v>34.290073457865702</c:v>
                </c:pt>
                <c:pt idx="558">
                  <c:v>33.827280545642992</c:v>
                </c:pt>
                <c:pt idx="559">
                  <c:v>33.358807709711783</c:v>
                </c:pt>
                <c:pt idx="560">
                  <c:v>0</c:v>
                </c:pt>
                <c:pt idx="561">
                  <c:v>32.425672407306564</c:v>
                </c:pt>
                <c:pt idx="562">
                  <c:v>31.961080759013612</c:v>
                </c:pt>
                <c:pt idx="563">
                  <c:v>31.491571753314247</c:v>
                </c:pt>
                <c:pt idx="564">
                  <c:v>31.027084093347042</c:v>
                </c:pt>
                <c:pt idx="565">
                  <c:v>30.556011656748325</c:v>
                </c:pt>
                <c:pt idx="566">
                  <c:v>30.090039866303556</c:v>
                </c:pt>
                <c:pt idx="567">
                  <c:v>29.617808750494419</c:v>
                </c:pt>
                <c:pt idx="568">
                  <c:v>29.150748233837504</c:v>
                </c:pt>
                <c:pt idx="569">
                  <c:v>28.679579280578054</c:v>
                </c:pt>
                <c:pt idx="570">
                  <c:v>28.213601130822781</c:v>
                </c:pt>
                <c:pt idx="571">
                  <c:v>27.74014056466865</c:v>
                </c:pt>
                <c:pt idx="572">
                  <c:v>27.271963357447703</c:v>
                </c:pt>
                <c:pt idx="573">
                  <c:v>26.800186995213465</c:v>
                </c:pt>
                <c:pt idx="574">
                  <c:v>26.333696984586538</c:v>
                </c:pt>
                <c:pt idx="575">
                  <c:v>25.860369967379029</c:v>
                </c:pt>
                <c:pt idx="576">
                  <c:v>25.392402738518342</c:v>
                </c:pt>
                <c:pt idx="577">
                  <c:v>23.468302071952849</c:v>
                </c:pt>
                <c:pt idx="578">
                  <c:v>21.631187730922761</c:v>
                </c:pt>
                <c:pt idx="579">
                  <c:v>17.877835379717965</c:v>
                </c:pt>
                <c:pt idx="580">
                  <c:v>14.131554642856372</c:v>
                </c:pt>
                <c:pt idx="581">
                  <c:v>10.400422495565238</c:v>
                </c:pt>
                <c:pt idx="582">
                  <c:v>6.6823772012859592</c:v>
                </c:pt>
                <c:pt idx="583">
                  <c:v>2.9787237299893548</c:v>
                </c:pt>
                <c:pt idx="584">
                  <c:v>-0.71586430720535077</c:v>
                </c:pt>
                <c:pt idx="585">
                  <c:v>-4.4021318621545902</c:v>
                </c:pt>
                <c:pt idx="586">
                  <c:v>-8.0830356954691069</c:v>
                </c:pt>
                <c:pt idx="587">
                  <c:v>-11.761742817487999</c:v>
                </c:pt>
                <c:pt idx="588">
                  <c:v>-15.434054175642643</c:v>
                </c:pt>
                <c:pt idx="589">
                  <c:v>-19.099809186787439</c:v>
                </c:pt>
                <c:pt idx="590">
                  <c:v>-22.751726863341787</c:v>
                </c:pt>
                <c:pt idx="591">
                  <c:v>-26.381348103409692</c:v>
                </c:pt>
                <c:pt idx="592">
                  <c:v>-29.976674077127939</c:v>
                </c:pt>
                <c:pt idx="593">
                  <c:v>-33.524937284448924</c:v>
                </c:pt>
                <c:pt idx="594">
                  <c:v>-37.009695049150992</c:v>
                </c:pt>
                <c:pt idx="595">
                  <c:v>-40.415290149311261</c:v>
                </c:pt>
                <c:pt idx="596">
                  <c:v>-43.724704232331248</c:v>
                </c:pt>
                <c:pt idx="597">
                  <c:v>-46.923215628893786</c:v>
                </c:pt>
                <c:pt idx="598">
                  <c:v>-49.996276962508659</c:v>
                </c:pt>
                <c:pt idx="599">
                  <c:v>-52.933165474277615</c:v>
                </c:pt>
                <c:pt idx="600">
                  <c:v>-55.724531240247018</c:v>
                </c:pt>
              </c:numCache>
            </c:numRef>
          </c:yVal>
          <c:smooth val="0"/>
        </c:ser>
        <c:dLbls>
          <c:showLegendKey val="0"/>
          <c:showVal val="0"/>
          <c:showCatName val="0"/>
          <c:showSerName val="0"/>
          <c:showPercent val="0"/>
          <c:showBubbleSize val="0"/>
        </c:dLbls>
        <c:axId val="220014272"/>
        <c:axId val="220014848"/>
      </c:scatterChart>
      <c:valAx>
        <c:axId val="220013120"/>
        <c:scaling>
          <c:logBase val="10"/>
          <c:orientation val="minMax"/>
          <c:max val="1000000"/>
          <c:min val="100"/>
        </c:scaling>
        <c:delete val="0"/>
        <c:axPos val="b"/>
        <c:majorGridlines>
          <c:spPr>
            <a:ln w="3175">
              <a:solidFill>
                <a:srgbClr val="00FF00"/>
              </a:solidFill>
              <a:prstDash val="solid"/>
            </a:ln>
          </c:spPr>
        </c:majorGridlines>
        <c:minorGridlines>
          <c:spPr>
            <a:ln w="3175">
              <a:solidFill>
                <a:srgbClr val="00FF00"/>
              </a:solidFill>
              <a:prstDash val="solid"/>
            </a:ln>
          </c:spPr>
        </c:minorGridlines>
        <c:title>
          <c:tx>
            <c:rich>
              <a:bodyPr/>
              <a:lstStyle/>
              <a:p>
                <a:pPr>
                  <a:defRPr sz="1075" b="1" i="0" u="none" strike="noStrike" baseline="0">
                    <a:solidFill>
                      <a:srgbClr val="000000"/>
                    </a:solidFill>
                    <a:latin typeface="Arial"/>
                    <a:ea typeface="Arial"/>
                    <a:cs typeface="Arial"/>
                  </a:defRPr>
                </a:pPr>
                <a:r>
                  <a:rPr lang="en-US"/>
                  <a:t>Frequency (Hz)</a:t>
                </a:r>
              </a:p>
            </c:rich>
          </c:tx>
          <c:layout>
            <c:manualLayout>
              <c:xMode val="edge"/>
              <c:yMode val="edge"/>
              <c:x val="0.41217391304347828"/>
              <c:y val="0.83636363636363631"/>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0013696"/>
        <c:crossesAt val="-60"/>
        <c:crossBetween val="midCat"/>
        <c:majorUnit val="10"/>
        <c:minorUnit val="10"/>
      </c:valAx>
      <c:valAx>
        <c:axId val="220013696"/>
        <c:scaling>
          <c:orientation val="minMax"/>
          <c:max val="60"/>
          <c:min val="-60"/>
        </c:scaling>
        <c:delete val="0"/>
        <c:axPos val="l"/>
        <c:majorGridlines>
          <c:spPr>
            <a:ln w="3175">
              <a:solidFill>
                <a:srgbClr val="000000"/>
              </a:solidFill>
              <a:prstDash val="solid"/>
            </a:ln>
          </c:spPr>
        </c:majorGridlines>
        <c:title>
          <c:tx>
            <c:rich>
              <a:bodyPr/>
              <a:lstStyle/>
              <a:p>
                <a:pPr>
                  <a:defRPr sz="1075" b="1" i="0" u="none" strike="noStrike" baseline="0">
                    <a:solidFill>
                      <a:srgbClr val="FF0000"/>
                    </a:solidFill>
                    <a:latin typeface="Arial"/>
                    <a:ea typeface="Arial"/>
                    <a:cs typeface="Arial"/>
                  </a:defRPr>
                </a:pPr>
                <a:r>
                  <a:rPr lang="en-US"/>
                  <a:t>Gain (dB)</a:t>
                </a:r>
              </a:p>
            </c:rich>
          </c:tx>
          <c:layout>
            <c:manualLayout>
              <c:xMode val="edge"/>
              <c:yMode val="edge"/>
              <c:x val="3.826086956521739E-2"/>
              <c:y val="0.3772727272727272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20013120"/>
        <c:crossesAt val="1"/>
        <c:crossBetween val="midCat"/>
        <c:majorUnit val="20"/>
        <c:minorUnit val="4"/>
      </c:valAx>
      <c:valAx>
        <c:axId val="220014272"/>
        <c:scaling>
          <c:logBase val="10"/>
          <c:orientation val="minMax"/>
        </c:scaling>
        <c:delete val="1"/>
        <c:axPos val="t"/>
        <c:numFmt formatCode="0\.000" sourceLinked="1"/>
        <c:majorTickMark val="out"/>
        <c:minorTickMark val="none"/>
        <c:tickLblPos val="nextTo"/>
        <c:crossAx val="220014848"/>
        <c:crossesAt val="0"/>
        <c:crossBetween val="midCat"/>
      </c:valAx>
      <c:valAx>
        <c:axId val="220014848"/>
        <c:scaling>
          <c:orientation val="minMax"/>
          <c:max val="180"/>
          <c:min val="-180"/>
        </c:scaling>
        <c:delete val="0"/>
        <c:axPos val="r"/>
        <c:title>
          <c:tx>
            <c:rich>
              <a:bodyPr/>
              <a:lstStyle/>
              <a:p>
                <a:pPr>
                  <a:defRPr sz="1075" b="1" i="0" u="none" strike="noStrike" baseline="0">
                    <a:solidFill>
                      <a:srgbClr val="0000FF"/>
                    </a:solidFill>
                    <a:latin typeface="Arial"/>
                    <a:ea typeface="Arial"/>
                    <a:cs typeface="Arial"/>
                  </a:defRPr>
                </a:pPr>
                <a:r>
                  <a:rPr lang="en-US"/>
                  <a:t>Phase (degrees)</a:t>
                </a:r>
              </a:p>
            </c:rich>
          </c:tx>
          <c:layout>
            <c:manualLayout>
              <c:xMode val="edge"/>
              <c:yMode val="edge"/>
              <c:x val="0.92869565217391303"/>
              <c:y val="0.318181818181818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2001427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Efficiency vs Load Current</a:t>
            </a:r>
          </a:p>
        </c:rich>
      </c:tx>
      <c:layout>
        <c:manualLayout>
          <c:xMode val="edge"/>
          <c:yMode val="edge"/>
          <c:x val="0.3373913043478261"/>
          <c:y val="3.174591306650467E-2"/>
        </c:manualLayout>
      </c:layout>
      <c:overlay val="0"/>
      <c:spPr>
        <a:noFill/>
        <a:ln w="25400">
          <a:noFill/>
        </a:ln>
      </c:spPr>
    </c:title>
    <c:autoTitleDeleted val="0"/>
    <c:plotArea>
      <c:layout>
        <c:manualLayout>
          <c:layoutTarget val="inner"/>
          <c:xMode val="edge"/>
          <c:yMode val="edge"/>
          <c:x val="0.17739130434782607"/>
          <c:y val="0.12698445504829864"/>
          <c:w val="0.73391304347826092"/>
          <c:h val="0.60846718043976433"/>
        </c:manualLayout>
      </c:layout>
      <c:scatterChart>
        <c:scatterStyle val="smoothMarker"/>
        <c:varyColors val="0"/>
        <c:ser>
          <c:idx val="0"/>
          <c:order val="0"/>
          <c:tx>
            <c:v>Efficiency vs Load Current</c:v>
          </c:tx>
          <c:spPr>
            <a:ln w="25400">
              <a:solidFill>
                <a:srgbClr val="000080"/>
              </a:solidFill>
              <a:prstDash val="solid"/>
            </a:ln>
          </c:spPr>
          <c:marker>
            <c:symbol val="none"/>
          </c:marker>
          <c:xVal>
            <c:numRef>
              <c:f>'Efficiency calculations'!$F$2:$F$301</c:f>
              <c:numCache>
                <c:formatCode>0\.000000</c:formatCode>
                <c:ptCount val="300"/>
                <c:pt idx="0">
                  <c:v>2.666666666666667E-3</c:v>
                </c:pt>
                <c:pt idx="1">
                  <c:v>5.333333333333334E-3</c:v>
                </c:pt>
                <c:pt idx="2">
                  <c:v>8.0000000000000019E-3</c:v>
                </c:pt>
                <c:pt idx="3">
                  <c:v>1.0666666666666668E-2</c:v>
                </c:pt>
                <c:pt idx="4">
                  <c:v>1.3333333333333334E-2</c:v>
                </c:pt>
                <c:pt idx="5">
                  <c:v>1.6000000000000004E-2</c:v>
                </c:pt>
                <c:pt idx="6">
                  <c:v>1.8666666666666668E-2</c:v>
                </c:pt>
                <c:pt idx="7">
                  <c:v>2.1333333333333336E-2</c:v>
                </c:pt>
                <c:pt idx="8">
                  <c:v>2.4E-2</c:v>
                </c:pt>
                <c:pt idx="9">
                  <c:v>2.6666666666666668E-2</c:v>
                </c:pt>
                <c:pt idx="10">
                  <c:v>2.9333333333333336E-2</c:v>
                </c:pt>
                <c:pt idx="11">
                  <c:v>3.2000000000000008E-2</c:v>
                </c:pt>
                <c:pt idx="12">
                  <c:v>3.4666666666666665E-2</c:v>
                </c:pt>
                <c:pt idx="13">
                  <c:v>3.7333333333333336E-2</c:v>
                </c:pt>
                <c:pt idx="14">
                  <c:v>0.04</c:v>
                </c:pt>
                <c:pt idx="15">
                  <c:v>4.2666666666666672E-2</c:v>
                </c:pt>
                <c:pt idx="16">
                  <c:v>4.5333333333333337E-2</c:v>
                </c:pt>
                <c:pt idx="17">
                  <c:v>4.8000000000000001E-2</c:v>
                </c:pt>
                <c:pt idx="18">
                  <c:v>5.0666666666666672E-2</c:v>
                </c:pt>
                <c:pt idx="19">
                  <c:v>5.3333333333333337E-2</c:v>
                </c:pt>
                <c:pt idx="20">
                  <c:v>5.6000000000000001E-2</c:v>
                </c:pt>
                <c:pt idx="21">
                  <c:v>5.8666666666666673E-2</c:v>
                </c:pt>
                <c:pt idx="22">
                  <c:v>6.1333333333333344E-2</c:v>
                </c:pt>
                <c:pt idx="23">
                  <c:v>6.4000000000000015E-2</c:v>
                </c:pt>
                <c:pt idx="24">
                  <c:v>6.6666666666666666E-2</c:v>
                </c:pt>
                <c:pt idx="25">
                  <c:v>6.933333333333333E-2</c:v>
                </c:pt>
                <c:pt idx="26">
                  <c:v>7.2000000000000008E-2</c:v>
                </c:pt>
                <c:pt idx="27">
                  <c:v>7.4666666666666673E-2</c:v>
                </c:pt>
                <c:pt idx="28">
                  <c:v>7.7333333333333337E-2</c:v>
                </c:pt>
                <c:pt idx="29">
                  <c:v>0.08</c:v>
                </c:pt>
                <c:pt idx="30">
                  <c:v>8.2666666666666666E-2</c:v>
                </c:pt>
                <c:pt idx="31">
                  <c:v>8.5333333333333344E-2</c:v>
                </c:pt>
                <c:pt idx="32">
                  <c:v>8.8000000000000009E-2</c:v>
                </c:pt>
                <c:pt idx="33">
                  <c:v>9.0666666666666673E-2</c:v>
                </c:pt>
                <c:pt idx="34">
                  <c:v>9.3333333333333338E-2</c:v>
                </c:pt>
                <c:pt idx="35">
                  <c:v>9.6000000000000002E-2</c:v>
                </c:pt>
                <c:pt idx="36">
                  <c:v>9.8666666666666666E-2</c:v>
                </c:pt>
                <c:pt idx="37">
                  <c:v>0.10133333333333334</c:v>
                </c:pt>
                <c:pt idx="38">
                  <c:v>0.10400000000000001</c:v>
                </c:pt>
                <c:pt idx="39">
                  <c:v>0.10666666666666667</c:v>
                </c:pt>
                <c:pt idx="40">
                  <c:v>0.10933333333333335</c:v>
                </c:pt>
                <c:pt idx="41">
                  <c:v>0.112</c:v>
                </c:pt>
                <c:pt idx="42">
                  <c:v>0.11466666666666667</c:v>
                </c:pt>
                <c:pt idx="43">
                  <c:v>0.11733333333333335</c:v>
                </c:pt>
                <c:pt idx="44">
                  <c:v>0.12</c:v>
                </c:pt>
                <c:pt idx="45">
                  <c:v>0.12266666666666669</c:v>
                </c:pt>
                <c:pt idx="46">
                  <c:v>0.12533333333333332</c:v>
                </c:pt>
                <c:pt idx="47">
                  <c:v>0.12800000000000003</c:v>
                </c:pt>
                <c:pt idx="48">
                  <c:v>0.13066666666666668</c:v>
                </c:pt>
                <c:pt idx="49">
                  <c:v>0.13333333333333333</c:v>
                </c:pt>
                <c:pt idx="50">
                  <c:v>0.13600000000000001</c:v>
                </c:pt>
                <c:pt idx="51">
                  <c:v>0.13866666666666666</c:v>
                </c:pt>
                <c:pt idx="52">
                  <c:v>0.14133333333333334</c:v>
                </c:pt>
                <c:pt idx="53">
                  <c:v>0.14400000000000002</c:v>
                </c:pt>
                <c:pt idx="54">
                  <c:v>0.14666666666666667</c:v>
                </c:pt>
                <c:pt idx="55">
                  <c:v>0.14933333333333335</c:v>
                </c:pt>
                <c:pt idx="56">
                  <c:v>0.152</c:v>
                </c:pt>
                <c:pt idx="57">
                  <c:v>0.15466666666666667</c:v>
                </c:pt>
                <c:pt idx="58">
                  <c:v>0.15733333333333335</c:v>
                </c:pt>
                <c:pt idx="59">
                  <c:v>0.16</c:v>
                </c:pt>
                <c:pt idx="60">
                  <c:v>0.16266666666666668</c:v>
                </c:pt>
                <c:pt idx="61">
                  <c:v>0.16533333333333333</c:v>
                </c:pt>
                <c:pt idx="62">
                  <c:v>0.16800000000000001</c:v>
                </c:pt>
                <c:pt idx="63">
                  <c:v>0.17066666666666669</c:v>
                </c:pt>
                <c:pt idx="64">
                  <c:v>0.17333333333333334</c:v>
                </c:pt>
                <c:pt idx="65">
                  <c:v>0.17600000000000002</c:v>
                </c:pt>
                <c:pt idx="66">
                  <c:v>0.17866666666666667</c:v>
                </c:pt>
                <c:pt idx="67">
                  <c:v>0.18133333333333335</c:v>
                </c:pt>
                <c:pt idx="68">
                  <c:v>0.184</c:v>
                </c:pt>
                <c:pt idx="69">
                  <c:v>0.18666666666666668</c:v>
                </c:pt>
                <c:pt idx="70">
                  <c:v>0.18933333333333335</c:v>
                </c:pt>
                <c:pt idx="71">
                  <c:v>0.192</c:v>
                </c:pt>
                <c:pt idx="72">
                  <c:v>0.19466666666666668</c:v>
                </c:pt>
                <c:pt idx="73">
                  <c:v>0.19733333333333333</c:v>
                </c:pt>
                <c:pt idx="74">
                  <c:v>0.2</c:v>
                </c:pt>
                <c:pt idx="75">
                  <c:v>0.20266666666666669</c:v>
                </c:pt>
                <c:pt idx="76">
                  <c:v>0.20533333333333334</c:v>
                </c:pt>
                <c:pt idx="77">
                  <c:v>0.20800000000000002</c:v>
                </c:pt>
                <c:pt idx="78">
                  <c:v>0.21066666666666667</c:v>
                </c:pt>
                <c:pt idx="79">
                  <c:v>0.21333333333333335</c:v>
                </c:pt>
                <c:pt idx="80">
                  <c:v>0.216</c:v>
                </c:pt>
                <c:pt idx="81">
                  <c:v>0.2186666666666667</c:v>
                </c:pt>
                <c:pt idx="82">
                  <c:v>0.22133333333333335</c:v>
                </c:pt>
                <c:pt idx="83">
                  <c:v>0.224</c:v>
                </c:pt>
                <c:pt idx="84">
                  <c:v>0.22666666666666666</c:v>
                </c:pt>
                <c:pt idx="85">
                  <c:v>0.22933333333333333</c:v>
                </c:pt>
                <c:pt idx="86">
                  <c:v>0.23200000000000004</c:v>
                </c:pt>
                <c:pt idx="87">
                  <c:v>0.23466666666666669</c:v>
                </c:pt>
                <c:pt idx="88">
                  <c:v>0.23733333333333334</c:v>
                </c:pt>
                <c:pt idx="89">
                  <c:v>0.24</c:v>
                </c:pt>
                <c:pt idx="90">
                  <c:v>0.24266666666666667</c:v>
                </c:pt>
                <c:pt idx="91">
                  <c:v>0.24533333333333338</c:v>
                </c:pt>
                <c:pt idx="92">
                  <c:v>0.24800000000000003</c:v>
                </c:pt>
                <c:pt idx="93">
                  <c:v>0.25066666666666665</c:v>
                </c:pt>
                <c:pt idx="94">
                  <c:v>0.25333333333333335</c:v>
                </c:pt>
                <c:pt idx="95">
                  <c:v>0.25600000000000006</c:v>
                </c:pt>
                <c:pt idx="96">
                  <c:v>0.25866666666666671</c:v>
                </c:pt>
                <c:pt idx="97">
                  <c:v>0.26133333333333336</c:v>
                </c:pt>
                <c:pt idx="98">
                  <c:v>0.26400000000000001</c:v>
                </c:pt>
                <c:pt idx="99">
                  <c:v>0.26666666666666666</c:v>
                </c:pt>
                <c:pt idx="100">
                  <c:v>0.26933333333333337</c:v>
                </c:pt>
                <c:pt idx="101">
                  <c:v>0.27200000000000002</c:v>
                </c:pt>
                <c:pt idx="102">
                  <c:v>0.27466666666666667</c:v>
                </c:pt>
                <c:pt idx="103">
                  <c:v>0.27733333333333332</c:v>
                </c:pt>
                <c:pt idx="104">
                  <c:v>0.28000000000000003</c:v>
                </c:pt>
                <c:pt idx="105">
                  <c:v>0.28266666666666668</c:v>
                </c:pt>
                <c:pt idx="106">
                  <c:v>0.28533333333333338</c:v>
                </c:pt>
                <c:pt idx="107">
                  <c:v>0.28800000000000003</c:v>
                </c:pt>
                <c:pt idx="108">
                  <c:v>0.29066666666666668</c:v>
                </c:pt>
                <c:pt idx="109">
                  <c:v>0.29333333333333333</c:v>
                </c:pt>
                <c:pt idx="110">
                  <c:v>0.29600000000000004</c:v>
                </c:pt>
                <c:pt idx="111">
                  <c:v>0.29866666666666669</c:v>
                </c:pt>
                <c:pt idx="112">
                  <c:v>0.30133333333333334</c:v>
                </c:pt>
                <c:pt idx="113">
                  <c:v>0.30399999999999999</c:v>
                </c:pt>
                <c:pt idx="114">
                  <c:v>0.30666666666666664</c:v>
                </c:pt>
                <c:pt idx="115">
                  <c:v>0.30933333333333335</c:v>
                </c:pt>
                <c:pt idx="116">
                  <c:v>0.31200000000000006</c:v>
                </c:pt>
                <c:pt idx="117">
                  <c:v>0.31466666666666671</c:v>
                </c:pt>
                <c:pt idx="118">
                  <c:v>0.31733333333333336</c:v>
                </c:pt>
                <c:pt idx="119">
                  <c:v>0.32</c:v>
                </c:pt>
                <c:pt idx="120">
                  <c:v>0.32266666666666671</c:v>
                </c:pt>
                <c:pt idx="121">
                  <c:v>0.32533333333333336</c:v>
                </c:pt>
                <c:pt idx="122">
                  <c:v>0.32800000000000001</c:v>
                </c:pt>
                <c:pt idx="123">
                  <c:v>0.33066666666666666</c:v>
                </c:pt>
                <c:pt idx="124">
                  <c:v>0.33333333333333331</c:v>
                </c:pt>
                <c:pt idx="125">
                  <c:v>0.33600000000000002</c:v>
                </c:pt>
                <c:pt idx="126">
                  <c:v>0.33866666666666667</c:v>
                </c:pt>
                <c:pt idx="127">
                  <c:v>0.34133333333333338</c:v>
                </c:pt>
                <c:pt idx="128">
                  <c:v>0.34400000000000003</c:v>
                </c:pt>
                <c:pt idx="129">
                  <c:v>0.34666666666666668</c:v>
                </c:pt>
                <c:pt idx="130">
                  <c:v>0.34933333333333338</c:v>
                </c:pt>
                <c:pt idx="131">
                  <c:v>0.35200000000000004</c:v>
                </c:pt>
                <c:pt idx="132">
                  <c:v>0.35466666666666669</c:v>
                </c:pt>
                <c:pt idx="133">
                  <c:v>0.35733333333333334</c:v>
                </c:pt>
                <c:pt idx="134">
                  <c:v>0.36</c:v>
                </c:pt>
                <c:pt idx="135">
                  <c:v>0.36266666666666669</c:v>
                </c:pt>
                <c:pt idx="136">
                  <c:v>0.36533333333333334</c:v>
                </c:pt>
                <c:pt idx="137">
                  <c:v>0.36799999999999999</c:v>
                </c:pt>
                <c:pt idx="138">
                  <c:v>0.3706666666666667</c:v>
                </c:pt>
                <c:pt idx="139">
                  <c:v>0.37333333333333335</c:v>
                </c:pt>
                <c:pt idx="140">
                  <c:v>0.37600000000000006</c:v>
                </c:pt>
                <c:pt idx="141">
                  <c:v>0.37866666666666671</c:v>
                </c:pt>
                <c:pt idx="142">
                  <c:v>0.38133333333333336</c:v>
                </c:pt>
                <c:pt idx="143">
                  <c:v>0.38400000000000001</c:v>
                </c:pt>
                <c:pt idx="144">
                  <c:v>0.38666666666666666</c:v>
                </c:pt>
                <c:pt idx="145">
                  <c:v>0.38933333333333336</c:v>
                </c:pt>
                <c:pt idx="146">
                  <c:v>0.39200000000000002</c:v>
                </c:pt>
                <c:pt idx="147">
                  <c:v>0.39466666666666667</c:v>
                </c:pt>
                <c:pt idx="148">
                  <c:v>0.39733333333333332</c:v>
                </c:pt>
                <c:pt idx="149">
                  <c:v>0.4</c:v>
                </c:pt>
                <c:pt idx="150">
                  <c:v>0.40266666666666673</c:v>
                </c:pt>
                <c:pt idx="151">
                  <c:v>0.40533333333333338</c:v>
                </c:pt>
                <c:pt idx="152">
                  <c:v>0.40800000000000003</c:v>
                </c:pt>
                <c:pt idx="153">
                  <c:v>0.41066666666666668</c:v>
                </c:pt>
                <c:pt idx="154">
                  <c:v>0.41333333333333333</c:v>
                </c:pt>
                <c:pt idx="155">
                  <c:v>0.41600000000000004</c:v>
                </c:pt>
                <c:pt idx="156">
                  <c:v>0.41866666666666669</c:v>
                </c:pt>
                <c:pt idx="157">
                  <c:v>0.42133333333333334</c:v>
                </c:pt>
                <c:pt idx="158">
                  <c:v>0.42399999999999999</c:v>
                </c:pt>
                <c:pt idx="159">
                  <c:v>0.42666666666666669</c:v>
                </c:pt>
                <c:pt idx="160">
                  <c:v>0.42933333333333334</c:v>
                </c:pt>
                <c:pt idx="161">
                  <c:v>0.432</c:v>
                </c:pt>
                <c:pt idx="162">
                  <c:v>0.4346666666666667</c:v>
                </c:pt>
                <c:pt idx="163">
                  <c:v>0.43733333333333341</c:v>
                </c:pt>
                <c:pt idx="164">
                  <c:v>0.44</c:v>
                </c:pt>
                <c:pt idx="165">
                  <c:v>0.44266666666666671</c:v>
                </c:pt>
                <c:pt idx="166">
                  <c:v>0.4453333333333333</c:v>
                </c:pt>
                <c:pt idx="167">
                  <c:v>0.44800000000000001</c:v>
                </c:pt>
                <c:pt idx="168">
                  <c:v>0.45066666666666672</c:v>
                </c:pt>
                <c:pt idx="169">
                  <c:v>0.45333333333333331</c:v>
                </c:pt>
                <c:pt idx="170">
                  <c:v>0.45600000000000002</c:v>
                </c:pt>
                <c:pt idx="171">
                  <c:v>0.45866666666666667</c:v>
                </c:pt>
                <c:pt idx="172">
                  <c:v>0.46133333333333337</c:v>
                </c:pt>
                <c:pt idx="173">
                  <c:v>0.46400000000000008</c:v>
                </c:pt>
                <c:pt idx="174">
                  <c:v>0.46666666666666667</c:v>
                </c:pt>
                <c:pt idx="175">
                  <c:v>0.46933333333333338</c:v>
                </c:pt>
                <c:pt idx="176">
                  <c:v>0.47199999999999998</c:v>
                </c:pt>
                <c:pt idx="177">
                  <c:v>0.47466666666666668</c:v>
                </c:pt>
                <c:pt idx="178">
                  <c:v>0.47733333333333339</c:v>
                </c:pt>
                <c:pt idx="179">
                  <c:v>0.48</c:v>
                </c:pt>
                <c:pt idx="180">
                  <c:v>0.48266666666666669</c:v>
                </c:pt>
                <c:pt idx="181">
                  <c:v>0.48533333333333334</c:v>
                </c:pt>
                <c:pt idx="182">
                  <c:v>0.48800000000000004</c:v>
                </c:pt>
                <c:pt idx="183">
                  <c:v>0.49066666666666675</c:v>
                </c:pt>
                <c:pt idx="184">
                  <c:v>0.49333333333333335</c:v>
                </c:pt>
                <c:pt idx="185">
                  <c:v>0.49600000000000005</c:v>
                </c:pt>
                <c:pt idx="186">
                  <c:v>0.49866666666666665</c:v>
                </c:pt>
                <c:pt idx="187">
                  <c:v>0.5013333333333333</c:v>
                </c:pt>
                <c:pt idx="188">
                  <c:v>0.504</c:v>
                </c:pt>
                <c:pt idx="189">
                  <c:v>0.50666666666666671</c:v>
                </c:pt>
                <c:pt idx="190">
                  <c:v>0.50933333333333342</c:v>
                </c:pt>
                <c:pt idx="191">
                  <c:v>0.51200000000000012</c:v>
                </c:pt>
                <c:pt idx="192">
                  <c:v>0.51466666666666672</c:v>
                </c:pt>
                <c:pt idx="193">
                  <c:v>0.51733333333333342</c:v>
                </c:pt>
                <c:pt idx="194">
                  <c:v>0.52</c:v>
                </c:pt>
                <c:pt idx="195">
                  <c:v>0.52266666666666672</c:v>
                </c:pt>
                <c:pt idx="196">
                  <c:v>0.52533333333333343</c:v>
                </c:pt>
                <c:pt idx="197">
                  <c:v>0.52800000000000002</c:v>
                </c:pt>
                <c:pt idx="198">
                  <c:v>0.53066666666666673</c:v>
                </c:pt>
                <c:pt idx="199">
                  <c:v>0.53333333333333333</c:v>
                </c:pt>
                <c:pt idx="200">
                  <c:v>0.53600000000000003</c:v>
                </c:pt>
                <c:pt idx="201">
                  <c:v>0.53866666666666674</c:v>
                </c:pt>
                <c:pt idx="202">
                  <c:v>0.54133333333333333</c:v>
                </c:pt>
                <c:pt idx="203">
                  <c:v>0.54400000000000004</c:v>
                </c:pt>
                <c:pt idx="204">
                  <c:v>0.54666666666666663</c:v>
                </c:pt>
                <c:pt idx="205">
                  <c:v>0.54933333333333334</c:v>
                </c:pt>
                <c:pt idx="206">
                  <c:v>0.55200000000000005</c:v>
                </c:pt>
                <c:pt idx="207">
                  <c:v>0.55466666666666664</c:v>
                </c:pt>
                <c:pt idx="208">
                  <c:v>0.55733333333333335</c:v>
                </c:pt>
                <c:pt idx="209">
                  <c:v>0.56000000000000005</c:v>
                </c:pt>
                <c:pt idx="210">
                  <c:v>0.56266666666666676</c:v>
                </c:pt>
                <c:pt idx="211">
                  <c:v>0.56533333333333335</c:v>
                </c:pt>
                <c:pt idx="212">
                  <c:v>0.56800000000000006</c:v>
                </c:pt>
                <c:pt idx="213">
                  <c:v>0.57066666666666677</c:v>
                </c:pt>
                <c:pt idx="214">
                  <c:v>0.57333333333333336</c:v>
                </c:pt>
                <c:pt idx="215">
                  <c:v>0.57600000000000007</c:v>
                </c:pt>
                <c:pt idx="216">
                  <c:v>0.57866666666666677</c:v>
                </c:pt>
                <c:pt idx="217">
                  <c:v>0.58133333333333337</c:v>
                </c:pt>
                <c:pt idx="218">
                  <c:v>0.58400000000000007</c:v>
                </c:pt>
                <c:pt idx="219">
                  <c:v>0.58666666666666667</c:v>
                </c:pt>
                <c:pt idx="220">
                  <c:v>0.58933333333333338</c:v>
                </c:pt>
                <c:pt idx="221">
                  <c:v>0.59200000000000008</c:v>
                </c:pt>
                <c:pt idx="222">
                  <c:v>0.59466666666666668</c:v>
                </c:pt>
                <c:pt idx="223">
                  <c:v>0.59733333333333338</c:v>
                </c:pt>
                <c:pt idx="224">
                  <c:v>0.6</c:v>
                </c:pt>
                <c:pt idx="225">
                  <c:v>0.60266666666666668</c:v>
                </c:pt>
                <c:pt idx="226">
                  <c:v>0.60533333333333339</c:v>
                </c:pt>
                <c:pt idx="227">
                  <c:v>0.60799999999999998</c:v>
                </c:pt>
                <c:pt idx="228">
                  <c:v>0.61066666666666669</c:v>
                </c:pt>
                <c:pt idx="229">
                  <c:v>0.61333333333333329</c:v>
                </c:pt>
                <c:pt idx="230">
                  <c:v>0.61599999999999999</c:v>
                </c:pt>
                <c:pt idx="231">
                  <c:v>0.6186666666666667</c:v>
                </c:pt>
                <c:pt idx="232">
                  <c:v>0.6213333333333334</c:v>
                </c:pt>
                <c:pt idx="233">
                  <c:v>0.62400000000000011</c:v>
                </c:pt>
                <c:pt idx="234">
                  <c:v>0.62666666666666671</c:v>
                </c:pt>
                <c:pt idx="235">
                  <c:v>0.62933333333333341</c:v>
                </c:pt>
                <c:pt idx="236">
                  <c:v>0.63200000000000012</c:v>
                </c:pt>
                <c:pt idx="237">
                  <c:v>0.63466666666666671</c:v>
                </c:pt>
                <c:pt idx="238">
                  <c:v>0.63733333333333342</c:v>
                </c:pt>
                <c:pt idx="239">
                  <c:v>0.64</c:v>
                </c:pt>
                <c:pt idx="240">
                  <c:v>0.64266666666666672</c:v>
                </c:pt>
                <c:pt idx="241">
                  <c:v>0.64533333333333343</c:v>
                </c:pt>
                <c:pt idx="242">
                  <c:v>0.64800000000000002</c:v>
                </c:pt>
                <c:pt idx="243">
                  <c:v>0.65066666666666673</c:v>
                </c:pt>
                <c:pt idx="244">
                  <c:v>0.65333333333333332</c:v>
                </c:pt>
                <c:pt idx="245">
                  <c:v>0.65600000000000003</c:v>
                </c:pt>
                <c:pt idx="246">
                  <c:v>0.65866666666666673</c:v>
                </c:pt>
                <c:pt idx="247">
                  <c:v>0.66133333333333333</c:v>
                </c:pt>
                <c:pt idx="248">
                  <c:v>0.66400000000000003</c:v>
                </c:pt>
                <c:pt idx="249">
                  <c:v>0.66666666666666663</c:v>
                </c:pt>
                <c:pt idx="250">
                  <c:v>0.66933333333333334</c:v>
                </c:pt>
                <c:pt idx="251">
                  <c:v>0.67200000000000004</c:v>
                </c:pt>
                <c:pt idx="252">
                  <c:v>0.67466666666666664</c:v>
                </c:pt>
                <c:pt idx="253">
                  <c:v>0.67733333333333334</c:v>
                </c:pt>
                <c:pt idx="254">
                  <c:v>0.68</c:v>
                </c:pt>
                <c:pt idx="255">
                  <c:v>0.68266666666666675</c:v>
                </c:pt>
                <c:pt idx="256">
                  <c:v>0.68533333333333346</c:v>
                </c:pt>
                <c:pt idx="257">
                  <c:v>0.68800000000000006</c:v>
                </c:pt>
                <c:pt idx="258">
                  <c:v>0.69066666666666676</c:v>
                </c:pt>
                <c:pt idx="259">
                  <c:v>0.69333333333333336</c:v>
                </c:pt>
                <c:pt idx="260">
                  <c:v>0.69600000000000006</c:v>
                </c:pt>
                <c:pt idx="261">
                  <c:v>0.69866666666666677</c:v>
                </c:pt>
                <c:pt idx="262">
                  <c:v>0.70133333333333336</c:v>
                </c:pt>
                <c:pt idx="263">
                  <c:v>0.70400000000000007</c:v>
                </c:pt>
                <c:pt idx="264">
                  <c:v>0.70666666666666667</c:v>
                </c:pt>
                <c:pt idx="265">
                  <c:v>0.70933333333333337</c:v>
                </c:pt>
                <c:pt idx="266">
                  <c:v>0.71200000000000008</c:v>
                </c:pt>
                <c:pt idx="267">
                  <c:v>0.71466666666666667</c:v>
                </c:pt>
                <c:pt idx="268">
                  <c:v>0.71733333333333338</c:v>
                </c:pt>
                <c:pt idx="269">
                  <c:v>0.72</c:v>
                </c:pt>
                <c:pt idx="270">
                  <c:v>0.72266666666666668</c:v>
                </c:pt>
                <c:pt idx="271">
                  <c:v>0.72533333333333339</c:v>
                </c:pt>
                <c:pt idx="272">
                  <c:v>0.72799999999999998</c:v>
                </c:pt>
                <c:pt idx="273">
                  <c:v>0.73066666666666669</c:v>
                </c:pt>
                <c:pt idx="274">
                  <c:v>0.73333333333333328</c:v>
                </c:pt>
                <c:pt idx="275">
                  <c:v>0.73599999999999999</c:v>
                </c:pt>
                <c:pt idx="276">
                  <c:v>0.73866666666666669</c:v>
                </c:pt>
                <c:pt idx="277">
                  <c:v>0.7413333333333334</c:v>
                </c:pt>
                <c:pt idx="278">
                  <c:v>0.74400000000000011</c:v>
                </c:pt>
                <c:pt idx="279">
                  <c:v>0.7466666666666667</c:v>
                </c:pt>
                <c:pt idx="280">
                  <c:v>0.74933333333333341</c:v>
                </c:pt>
                <c:pt idx="281">
                  <c:v>0.75200000000000011</c:v>
                </c:pt>
                <c:pt idx="282">
                  <c:v>0.75466666666666671</c:v>
                </c:pt>
                <c:pt idx="283">
                  <c:v>0.75733333333333341</c:v>
                </c:pt>
                <c:pt idx="284">
                  <c:v>0.76</c:v>
                </c:pt>
                <c:pt idx="285">
                  <c:v>0.76266666666666671</c:v>
                </c:pt>
                <c:pt idx="286">
                  <c:v>0.76533333333333342</c:v>
                </c:pt>
                <c:pt idx="287">
                  <c:v>0.76800000000000002</c:v>
                </c:pt>
                <c:pt idx="288">
                  <c:v>0.77066666666666672</c:v>
                </c:pt>
                <c:pt idx="289">
                  <c:v>0.77333333333333332</c:v>
                </c:pt>
                <c:pt idx="290">
                  <c:v>0.77600000000000002</c:v>
                </c:pt>
                <c:pt idx="291">
                  <c:v>0.77866666666666673</c:v>
                </c:pt>
                <c:pt idx="292">
                  <c:v>0.78133333333333332</c:v>
                </c:pt>
                <c:pt idx="293">
                  <c:v>0.78400000000000003</c:v>
                </c:pt>
                <c:pt idx="294">
                  <c:v>0.78666666666666663</c:v>
                </c:pt>
                <c:pt idx="295">
                  <c:v>0.78933333333333333</c:v>
                </c:pt>
                <c:pt idx="296">
                  <c:v>0.79200000000000004</c:v>
                </c:pt>
                <c:pt idx="297">
                  <c:v>0.79466666666666663</c:v>
                </c:pt>
                <c:pt idx="298">
                  <c:v>0.79733333333333334</c:v>
                </c:pt>
                <c:pt idx="299">
                  <c:v>0.8</c:v>
                </c:pt>
              </c:numCache>
            </c:numRef>
          </c:xVal>
          <c:yVal>
            <c:numRef>
              <c:f>'Efficiency calculations'!$S$2:$S$301</c:f>
              <c:numCache>
                <c:formatCode>0.00%</c:formatCode>
                <c:ptCount val="300"/>
                <c:pt idx="0">
                  <c:v>0.37585234121371364</c:v>
                </c:pt>
                <c:pt idx="1">
                  <c:v>0.53902822938575212</c:v>
                </c:pt>
                <c:pt idx="2">
                  <c:v>0.63020180370972545</c:v>
                </c:pt>
                <c:pt idx="3">
                  <c:v>0.68839510282997485</c:v>
                </c:pt>
                <c:pt idx="4">
                  <c:v>0.7287470904251403</c:v>
                </c:pt>
                <c:pt idx="5">
                  <c:v>0.75836066784347311</c:v>
                </c:pt>
                <c:pt idx="6">
                  <c:v>0.78101010178009489</c:v>
                </c:pt>
                <c:pt idx="7">
                  <c:v>0.79888641256429038</c:v>
                </c:pt>
                <c:pt idx="8">
                  <c:v>0.81334875964848941</c:v>
                </c:pt>
                <c:pt idx="9">
                  <c:v>0.82528500678366801</c:v>
                </c:pt>
                <c:pt idx="10">
                  <c:v>0.83529970622443972</c:v>
                </c:pt>
                <c:pt idx="11">
                  <c:v>0.84381875360605574</c:v>
                </c:pt>
                <c:pt idx="12">
                  <c:v>0.85115084315943701</c:v>
                </c:pt>
                <c:pt idx="13">
                  <c:v>0.85752518819131096</c:v>
                </c:pt>
                <c:pt idx="14">
                  <c:v>0.86311555448512556</c:v>
                </c:pt>
                <c:pt idx="15">
                  <c:v>0.86805607036667543</c:v>
                </c:pt>
                <c:pt idx="16">
                  <c:v>0.8724519190051373</c:v>
                </c:pt>
                <c:pt idx="17">
                  <c:v>0.87638674675605654</c:v>
                </c:pt>
                <c:pt idx="18">
                  <c:v>0.87992790695859224</c:v>
                </c:pt>
                <c:pt idx="19">
                  <c:v>0.88313024276069141</c:v>
                </c:pt>
                <c:pt idx="20">
                  <c:v>0.88603886278056154</c:v>
                </c:pt>
                <c:pt idx="21">
                  <c:v>0.8886912091579614</c:v>
                </c:pt>
                <c:pt idx="22">
                  <c:v>0.89111861987701713</c:v>
                </c:pt>
                <c:pt idx="23">
                  <c:v>0.89334752399491435</c:v>
                </c:pt>
                <c:pt idx="24">
                  <c:v>0.89540036661494871</c:v>
                </c:pt>
                <c:pt idx="25">
                  <c:v>0.89729633230755834</c:v>
                </c:pt>
                <c:pt idx="26">
                  <c:v>0.8990519164217321</c:v>
                </c:pt>
                <c:pt idx="27">
                  <c:v>0.90068138033720468</c:v>
                </c:pt>
                <c:pt idx="28">
                  <c:v>0.90219711726299967</c:v>
                </c:pt>
                <c:pt idx="29">
                  <c:v>0.90360994843852438</c:v>
                </c:pt>
                <c:pt idx="30">
                  <c:v>0.90492936471107399</c:v>
                </c:pt>
                <c:pt idx="31">
                  <c:v>0.90616372489154196</c:v>
                </c:pt>
                <c:pt idx="32">
                  <c:v>0.90732041964895915</c:v>
                </c:pt>
                <c:pt idx="33">
                  <c:v>0.90840600773223024</c:v>
                </c:pt>
                <c:pt idx="34">
                  <c:v>0.90942632982102189</c:v>
                </c:pt>
                <c:pt idx="35">
                  <c:v>0.91038660417774386</c:v>
                </c:pt>
                <c:pt idx="36">
                  <c:v>0.9112915074064657</c:v>
                </c:pt>
                <c:pt idx="37">
                  <c:v>0.91214524295567512</c:v>
                </c:pt>
                <c:pt idx="38">
                  <c:v>0.9129515994813705</c:v>
                </c:pt>
                <c:pt idx="39">
                  <c:v>0.91371400077933174</c:v>
                </c:pt>
                <c:pt idx="40">
                  <c:v>0.91443554867401278</c:v>
                </c:pt>
                <c:pt idx="41">
                  <c:v>0.91511905999655252</c:v>
                </c:pt>
                <c:pt idx="42">
                  <c:v>0.91576709858096117</c:v>
                </c:pt>
                <c:pt idx="43">
                  <c:v>0.91638200304431994</c:v>
                </c:pt>
                <c:pt idx="44">
                  <c:v>0.9169659109851751</c:v>
                </c:pt>
                <c:pt idx="45">
                  <c:v>0.91752078012757476</c:v>
                </c:pt>
                <c:pt idx="46">
                  <c:v>0.91804840685126476</c:v>
                </c:pt>
                <c:pt idx="47">
                  <c:v>0.91855044247740858</c:v>
                </c:pt>
                <c:pt idx="48">
                  <c:v>0.91902840762073035</c:v>
                </c:pt>
                <c:pt idx="49">
                  <c:v>0.91948370487071718</c:v>
                </c:pt>
                <c:pt idx="50">
                  <c:v>0.91991763002451854</c:v>
                </c:pt>
                <c:pt idx="51">
                  <c:v>0.92033138206091925</c:v>
                </c:pt>
                <c:pt idx="52">
                  <c:v>0.92072607201697365</c:v>
                </c:pt>
                <c:pt idx="53">
                  <c:v>0.92110273090561823</c:v>
                </c:pt>
                <c:pt idx="54">
                  <c:v>0.9214623167930045</c:v>
                </c:pt>
                <c:pt idx="55">
                  <c:v>0.92180572113778125</c:v>
                </c:pt>
                <c:pt idx="56">
                  <c:v>0.92213377448059131</c:v>
                </c:pt>
                <c:pt idx="57">
                  <c:v>0.92244725156017793</c:v>
                </c:pt>
                <c:pt idx="58">
                  <c:v>0.92274687592240634</c:v>
                </c:pt>
                <c:pt idx="59">
                  <c:v>0.92303332407988536</c:v>
                </c:pt>
                <c:pt idx="60">
                  <c:v>0.9233072292724912</c:v>
                </c:pt>
                <c:pt idx="61">
                  <c:v>0.92356918487276474</c:v>
                </c:pt>
                <c:pt idx="62">
                  <c:v>0.92381974747470275</c:v>
                </c:pt>
                <c:pt idx="63">
                  <c:v>0.9240594396997589</c:v>
                </c:pt>
                <c:pt idx="64">
                  <c:v>0.92428875274980671</c:v>
                </c:pt>
                <c:pt idx="65">
                  <c:v>0.92450814873329379</c:v>
                </c:pt>
                <c:pt idx="66">
                  <c:v>0.92471806278774771</c:v>
                </c:pt>
                <c:pt idx="67">
                  <c:v>0.92491890501914031</c:v>
                </c:pt>
                <c:pt idx="68">
                  <c:v>0.92511106227628159</c:v>
                </c:pt>
                <c:pt idx="69">
                  <c:v>0.92529489977638701</c:v>
                </c:pt>
                <c:pt idx="70">
                  <c:v>0.92547076259618222</c:v>
                </c:pt>
                <c:pt idx="71">
                  <c:v>0.92563897704134235</c:v>
                </c:pt>
                <c:pt idx="72">
                  <c:v>0.92579985190569414</c:v>
                </c:pt>
                <c:pt idx="73">
                  <c:v>0.92595367963039665</c:v>
                </c:pt>
                <c:pt idx="74">
                  <c:v>0.9261007373722463</c:v>
                </c:pt>
                <c:pt idx="75">
                  <c:v>0.92624128798931393</c:v>
                </c:pt>
                <c:pt idx="76">
                  <c:v>0.92637558095128059</c:v>
                </c:pt>
                <c:pt idx="77">
                  <c:v>0.9265038531810974</c:v>
                </c:pt>
                <c:pt idx="78">
                  <c:v>0.92662632983394377</c:v>
                </c:pt>
                <c:pt idx="79">
                  <c:v>0.92674322501886142</c:v>
                </c:pt>
                <c:pt idx="80">
                  <c:v>0.92685474246792954</c:v>
                </c:pt>
                <c:pt idx="81">
                  <c:v>0.92696107615737589</c:v>
                </c:pt>
                <c:pt idx="82">
                  <c:v>0.92706241088460395</c:v>
                </c:pt>
                <c:pt idx="83">
                  <c:v>0.92715892280474332</c:v>
                </c:pt>
                <c:pt idx="84">
                  <c:v>0.92725077992999871</c:v>
                </c:pt>
                <c:pt idx="85">
                  <c:v>0.92733814259477121</c:v>
                </c:pt>
                <c:pt idx="86">
                  <c:v>0.92742116388925844</c:v>
                </c:pt>
                <c:pt idx="87">
                  <c:v>0.92749999006399886</c:v>
                </c:pt>
                <c:pt idx="88">
                  <c:v>0.92757476090760471</c:v>
                </c:pt>
                <c:pt idx="89">
                  <c:v>0.92764561009973678</c:v>
                </c:pt>
                <c:pt idx="90">
                  <c:v>0.92771266554119081</c:v>
                </c:pt>
                <c:pt idx="91">
                  <c:v>0.92777604966281091</c:v>
                </c:pt>
                <c:pt idx="92">
                  <c:v>0.92783587971479642</c:v>
                </c:pt>
                <c:pt idx="93">
                  <c:v>0.92789226803783909</c:v>
                </c:pt>
                <c:pt idx="94">
                  <c:v>0.92794532231740823</c:v>
                </c:pt>
                <c:pt idx="95">
                  <c:v>0.92799514582239362</c:v>
                </c:pt>
                <c:pt idx="96">
                  <c:v>0.92804183762921644</c:v>
                </c:pt>
                <c:pt idx="97">
                  <c:v>0.92808549283243158</c:v>
                </c:pt>
                <c:pt idx="98">
                  <c:v>0.92812620274275992</c:v>
                </c:pt>
                <c:pt idx="99">
                  <c:v>0.9281640550734197</c:v>
                </c:pt>
                <c:pt idx="100">
                  <c:v>0.92819913411555333</c:v>
                </c:pt>
                <c:pt idx="101">
                  <c:v>0.92823152090348915</c:v>
                </c:pt>
                <c:pt idx="102">
                  <c:v>0.92826129337051633</c:v>
                </c:pt>
                <c:pt idx="103">
                  <c:v>0.92828852649580518</c:v>
                </c:pt>
                <c:pt idx="104">
                  <c:v>0.92831329244305094</c:v>
                </c:pt>
                <c:pt idx="105">
                  <c:v>0.92833566069138429</c:v>
                </c:pt>
                <c:pt idx="106">
                  <c:v>0.92835569815904262</c:v>
                </c:pt>
                <c:pt idx="107">
                  <c:v>0.92837346932026865</c:v>
                </c:pt>
                <c:pt idx="108">
                  <c:v>0.928389036315863</c:v>
                </c:pt>
                <c:pt idx="109">
                  <c:v>0.9284024590577894</c:v>
                </c:pt>
                <c:pt idx="110">
                  <c:v>0.92841379532820345</c:v>
                </c:pt>
                <c:pt idx="111">
                  <c:v>0.92842310087324675</c:v>
                </c:pt>
                <c:pt idx="112">
                  <c:v>0.92843042949192967</c:v>
                </c:pt>
                <c:pt idx="113">
                  <c:v>0.92843583312039579</c:v>
                </c:pt>
                <c:pt idx="114">
                  <c:v>0.92843936191184973</c:v>
                </c:pt>
                <c:pt idx="115">
                  <c:v>0.92844106431240381</c:v>
                </c:pt>
                <c:pt idx="116">
                  <c:v>0.92844098713308587</c:v>
                </c:pt>
                <c:pt idx="117">
                  <c:v>0.92843917561823297</c:v>
                </c:pt>
                <c:pt idx="118">
                  <c:v>0.92843567351047973</c:v>
                </c:pt>
                <c:pt idx="119">
                  <c:v>0.92843052311253949</c:v>
                </c:pt>
                <c:pt idx="120">
                  <c:v>0.92842376534595927</c:v>
                </c:pt>
                <c:pt idx="121">
                  <c:v>0.92841543980702179</c:v>
                </c:pt>
                <c:pt idx="122">
                  <c:v>0.92840558481995339</c:v>
                </c:pt>
                <c:pt idx="123">
                  <c:v>0.92839423748759009</c:v>
                </c:pt>
                <c:pt idx="124">
                  <c:v>0.92838143373964011</c:v>
                </c:pt>
                <c:pt idx="125">
                  <c:v>0.92836720837867626</c:v>
                </c:pt>
                <c:pt idx="126">
                  <c:v>0.92835159512398069</c:v>
                </c:pt>
                <c:pt idx="127">
                  <c:v>0.92833462665336108</c:v>
                </c:pt>
                <c:pt idx="128">
                  <c:v>0.92831633464304142</c:v>
                </c:pt>
                <c:pt idx="129">
                  <c:v>0.92829674980573595</c:v>
                </c:pt>
                <c:pt idx="130">
                  <c:v>0.92827590192699783</c:v>
                </c:pt>
                <c:pt idx="131">
                  <c:v>0.92825381989993583</c:v>
                </c:pt>
                <c:pt idx="132">
                  <c:v>0.92823053175838122</c:v>
                </c:pt>
                <c:pt idx="133">
                  <c:v>0.92820606470858802</c:v>
                </c:pt>
                <c:pt idx="134">
                  <c:v>0.92818044515953879</c:v>
                </c:pt>
                <c:pt idx="135">
                  <c:v>0.92815369875192943</c:v>
                </c:pt>
                <c:pt idx="136">
                  <c:v>0.92812585038589812</c:v>
                </c:pt>
                <c:pt idx="137">
                  <c:v>0.92809692424756174</c:v>
                </c:pt>
                <c:pt idx="138">
                  <c:v>0.92806694383441968</c:v>
                </c:pt>
                <c:pt idx="139">
                  <c:v>0.92803593197968048</c:v>
                </c:pt>
                <c:pt idx="140">
                  <c:v>0.92800391087556522</c:v>
                </c:pt>
                <c:pt idx="141">
                  <c:v>0.92797090209563537</c:v>
                </c:pt>
                <c:pt idx="142">
                  <c:v>0.92793692661619487</c:v>
                </c:pt>
                <c:pt idx="143">
                  <c:v>0.92790200483680985</c:v>
                </c:pt>
                <c:pt idx="144">
                  <c:v>0.92786615659998728</c:v>
                </c:pt>
                <c:pt idx="145">
                  <c:v>0.92782940121005442</c:v>
                </c:pt>
                <c:pt idx="146">
                  <c:v>0.92779175745127496</c:v>
                </c:pt>
                <c:pt idx="147">
                  <c:v>0.92775324360523825</c:v>
                </c:pt>
                <c:pt idx="148">
                  <c:v>0.92771387746755574</c:v>
                </c:pt>
                <c:pt idx="149">
                  <c:v>0.92767367636389653</c:v>
                </c:pt>
                <c:pt idx="150">
                  <c:v>0.92763265716539112</c:v>
                </c:pt>
                <c:pt idx="151">
                  <c:v>0.92759083630343497</c:v>
                </c:pt>
                <c:pt idx="152">
                  <c:v>0.92754822978391482</c:v>
                </c:pt>
                <c:pt idx="153">
                  <c:v>0.92750485320088893</c:v>
                </c:pt>
                <c:pt idx="154">
                  <c:v>0.92746072174974126</c:v>
                </c:pt>
                <c:pt idx="155">
                  <c:v>0.92741585023983442</c:v>
                </c:pt>
                <c:pt idx="156">
                  <c:v>0.9273702531066853</c:v>
                </c:pt>
                <c:pt idx="157">
                  <c:v>0.92732394442368149</c:v>
                </c:pt>
                <c:pt idx="158">
                  <c:v>0.92727693791336008</c:v>
                </c:pt>
                <c:pt idx="159">
                  <c:v>0.92722924695826769</c:v>
                </c:pt>
                <c:pt idx="160">
                  <c:v>0.92718088461141945</c:v>
                </c:pt>
                <c:pt idx="161">
                  <c:v>0.92713186360637467</c:v>
                </c:pt>
                <c:pt idx="162">
                  <c:v>0.92708219636694433</c:v>
                </c:pt>
                <c:pt idx="163">
                  <c:v>0.92703189501654737</c:v>
                </c:pt>
                <c:pt idx="164">
                  <c:v>0.92698097138722935</c:v>
                </c:pt>
                <c:pt idx="165">
                  <c:v>0.92692943702835906</c:v>
                </c:pt>
                <c:pt idx="166">
                  <c:v>0.92687730321501427</c:v>
                </c:pt>
                <c:pt idx="167">
                  <c:v>0.92682458095607168</c:v>
                </c:pt>
                <c:pt idx="168">
                  <c:v>0.92677128100201123</c:v>
                </c:pt>
                <c:pt idx="169">
                  <c:v>0.92671741385244943</c:v>
                </c:pt>
                <c:pt idx="170">
                  <c:v>0.92666298976340755</c:v>
                </c:pt>
                <c:pt idx="171">
                  <c:v>0.92660801875433207</c:v>
                </c:pt>
                <c:pt idx="172">
                  <c:v>0.92655251061487065</c:v>
                </c:pt>
                <c:pt idx="173">
                  <c:v>0.92649647491141873</c:v>
                </c:pt>
                <c:pt idx="174">
                  <c:v>0.92643992099344252</c:v>
                </c:pt>
                <c:pt idx="175">
                  <c:v>0.92638285799958853</c:v>
                </c:pt>
                <c:pt idx="176">
                  <c:v>0.92632529486358794</c:v>
                </c:pt>
                <c:pt idx="177">
                  <c:v>0.92626724031996299</c:v>
                </c:pt>
                <c:pt idx="178">
                  <c:v>0.92620870290954516</c:v>
                </c:pt>
                <c:pt idx="179">
                  <c:v>0.92614969098480904</c:v>
                </c:pt>
                <c:pt idx="180">
                  <c:v>0.92609021271503278</c:v>
                </c:pt>
                <c:pt idx="181">
                  <c:v>0.92603027609128863</c:v>
                </c:pt>
                <c:pt idx="182">
                  <c:v>0.92596988893127052</c:v>
                </c:pt>
                <c:pt idx="183">
                  <c:v>0.92590905888396868</c:v>
                </c:pt>
                <c:pt idx="184">
                  <c:v>0.92584779343418977</c:v>
                </c:pt>
                <c:pt idx="185">
                  <c:v>0.92578609990693528</c:v>
                </c:pt>
                <c:pt idx="186">
                  <c:v>0.92572398547163959</c:v>
                </c:pt>
                <c:pt idx="187">
                  <c:v>0.92566145714627368</c:v>
                </c:pt>
                <c:pt idx="188">
                  <c:v>0.92559852180132052</c:v>
                </c:pt>
                <c:pt idx="189">
                  <c:v>0.92553518616362418</c:v>
                </c:pt>
                <c:pt idx="190">
                  <c:v>0.92547145682012177</c:v>
                </c:pt>
                <c:pt idx="191">
                  <c:v>0.92540734022145632</c:v>
                </c:pt>
                <c:pt idx="192">
                  <c:v>0.92534284268548084</c:v>
                </c:pt>
                <c:pt idx="193">
                  <c:v>0.92527797040065407</c:v>
                </c:pt>
                <c:pt idx="194">
                  <c:v>0.92521272942933186</c:v>
                </c:pt>
                <c:pt idx="195">
                  <c:v>0.92514712571095969</c:v>
                </c:pt>
                <c:pt idx="196">
                  <c:v>0.92508116506516791</c:v>
                </c:pt>
                <c:pt idx="197">
                  <c:v>0.92501485319477406</c:v>
                </c:pt>
                <c:pt idx="198">
                  <c:v>0.92494819568869591</c:v>
                </c:pt>
                <c:pt idx="199">
                  <c:v>0.92488119802477653</c:v>
                </c:pt>
                <c:pt idx="200">
                  <c:v>0.92481386557252787</c:v>
                </c:pt>
                <c:pt idx="201">
                  <c:v>0.92474620359579041</c:v>
                </c:pt>
                <c:pt idx="202">
                  <c:v>0.92467821725531774</c:v>
                </c:pt>
                <c:pt idx="203">
                  <c:v>0.92460991161128381</c:v>
                </c:pt>
                <c:pt idx="204">
                  <c:v>0.92454129162571785</c:v>
                </c:pt>
                <c:pt idx="205">
                  <c:v>0.92447236216486917</c:v>
                </c:pt>
                <c:pt idx="206">
                  <c:v>0.92440312800150415</c:v>
                </c:pt>
                <c:pt idx="207">
                  <c:v>0.9243335938171362</c:v>
                </c:pt>
                <c:pt idx="208">
                  <c:v>0.92426376420419343</c:v>
                </c:pt>
                <c:pt idx="209">
                  <c:v>0.92419364366812462</c:v>
                </c:pt>
                <c:pt idx="210">
                  <c:v>0.92412323662944507</c:v>
                </c:pt>
                <c:pt idx="211">
                  <c:v>0.92405254742572573</c:v>
                </c:pt>
                <c:pt idx="212">
                  <c:v>0.92398158031352629</c:v>
                </c:pt>
                <c:pt idx="213">
                  <c:v>0.92391033947027479</c:v>
                </c:pt>
                <c:pt idx="214">
                  <c:v>0.92383882899609415</c:v>
                </c:pt>
                <c:pt idx="215">
                  <c:v>0.92376705291558048</c:v>
                </c:pt>
                <c:pt idx="216">
                  <c:v>0.92369501517952946</c:v>
                </c:pt>
                <c:pt idx="217">
                  <c:v>0.9236227196666188</c:v>
                </c:pt>
                <c:pt idx="218">
                  <c:v>0.92355017018504204</c:v>
                </c:pt>
                <c:pt idx="219">
                  <c:v>0.92347737047410094</c:v>
                </c:pt>
                <c:pt idx="220">
                  <c:v>0.92340432420575169</c:v>
                </c:pt>
                <c:pt idx="221">
                  <c:v>0.9233310349861128</c:v>
                </c:pt>
                <c:pt idx="222">
                  <c:v>0.92325750635693071</c:v>
                </c:pt>
                <c:pt idx="223">
                  <c:v>0.92318374179700646</c:v>
                </c:pt>
                <c:pt idx="224">
                  <c:v>0.92310974472358631</c:v>
                </c:pt>
                <c:pt idx="225">
                  <c:v>0.92303551849371313</c:v>
                </c:pt>
                <c:pt idx="226">
                  <c:v>0.92296106640554432</c:v>
                </c:pt>
                <c:pt idx="227">
                  <c:v>0.9228863916996346</c:v>
                </c:pt>
                <c:pt idx="228">
                  <c:v>0.92281149756018521</c:v>
                </c:pt>
                <c:pt idx="229">
                  <c:v>0.92273638711626105</c:v>
                </c:pt>
                <c:pt idx="230">
                  <c:v>0.92266106344297605</c:v>
                </c:pt>
                <c:pt idx="231">
                  <c:v>0.92258552956264872</c:v>
                </c:pt>
                <c:pt idx="232">
                  <c:v>0.92250978844592735</c:v>
                </c:pt>
                <c:pt idx="233">
                  <c:v>0.92243384301288756</c:v>
                </c:pt>
                <c:pt idx="234">
                  <c:v>0.92235769613410046</c:v>
                </c:pt>
                <c:pt idx="235">
                  <c:v>0.9222813506316756</c:v>
                </c:pt>
                <c:pt idx="236">
                  <c:v>0.92220480928027637</c:v>
                </c:pt>
                <c:pt idx="237">
                  <c:v>0.92212807480811088</c:v>
                </c:pt>
                <c:pt idx="238">
                  <c:v>0.92205114989789694</c:v>
                </c:pt>
                <c:pt idx="239">
                  <c:v>0.92197403718780502</c:v>
                </c:pt>
                <c:pt idx="240">
                  <c:v>0.92189673927237514</c:v>
                </c:pt>
                <c:pt idx="241">
                  <c:v>0.9218192587034143</c:v>
                </c:pt>
                <c:pt idx="242">
                  <c:v>0.92174159799086886</c:v>
                </c:pt>
                <c:pt idx="243">
                  <c:v>0.92166375960367819</c:v>
                </c:pt>
                <c:pt idx="244">
                  <c:v>0.92158574597060572</c:v>
                </c:pt>
                <c:pt idx="245">
                  <c:v>0.92150755948105079</c:v>
                </c:pt>
                <c:pt idx="246">
                  <c:v>0.92142920248584037</c:v>
                </c:pt>
                <c:pt idx="247">
                  <c:v>0.92135067729800268</c:v>
                </c:pt>
                <c:pt idx="248">
                  <c:v>0.92127198619352058</c:v>
                </c:pt>
                <c:pt idx="249">
                  <c:v>0.92119313141206904</c:v>
                </c:pt>
                <c:pt idx="250">
                  <c:v>0.92111411515773334</c:v>
                </c:pt>
                <c:pt idx="251">
                  <c:v>0.92103493959971139</c:v>
                </c:pt>
                <c:pt idx="252">
                  <c:v>0.92095560687299882</c:v>
                </c:pt>
                <c:pt idx="253">
                  <c:v>0.92087611907905875</c:v>
                </c:pt>
                <c:pt idx="254">
                  <c:v>0.92079647828647493</c:v>
                </c:pt>
                <c:pt idx="255">
                  <c:v>0.92071668653159011</c:v>
                </c:pt>
                <c:pt idx="256">
                  <c:v>0.92063674581913002</c:v>
                </c:pt>
                <c:pt idx="257">
                  <c:v>0.92055665812281262</c:v>
                </c:pt>
                <c:pt idx="258">
                  <c:v>0.92047642538594265</c:v>
                </c:pt>
                <c:pt idx="259">
                  <c:v>0.9203960495219935</c:v>
                </c:pt>
                <c:pt idx="260">
                  <c:v>0.92031553241517561</c:v>
                </c:pt>
                <c:pt idx="261">
                  <c:v>0.92023487592099107</c:v>
                </c:pt>
                <c:pt idx="262">
                  <c:v>0.92015408186677705</c:v>
                </c:pt>
                <c:pt idx="263">
                  <c:v>0.92007315205223572</c:v>
                </c:pt>
                <c:pt idx="264">
                  <c:v>0.91999208824995304</c:v>
                </c:pt>
                <c:pt idx="265">
                  <c:v>0.91991089220590516</c:v>
                </c:pt>
                <c:pt idx="266">
                  <c:v>0.91982956563995444</c:v>
                </c:pt>
                <c:pt idx="267">
                  <c:v>0.91974811024633352</c:v>
                </c:pt>
                <c:pt idx="268">
                  <c:v>0.91966652769411927</c:v>
                </c:pt>
                <c:pt idx="269">
                  <c:v>0.919584819627696</c:v>
                </c:pt>
                <c:pt idx="270">
                  <c:v>0.91950298766720884</c:v>
                </c:pt>
                <c:pt idx="271">
                  <c:v>0.91942103340900627</c:v>
                </c:pt>
                <c:pt idx="272">
                  <c:v>0.91933895842607394</c:v>
                </c:pt>
                <c:pt idx="273">
                  <c:v>0.91925676426845881</c:v>
                </c:pt>
                <c:pt idx="274">
                  <c:v>0.91917445246368357</c:v>
                </c:pt>
                <c:pt idx="275">
                  <c:v>0.91909202451715299</c:v>
                </c:pt>
                <c:pt idx="276">
                  <c:v>0.91900948191255005</c:v>
                </c:pt>
                <c:pt idx="277">
                  <c:v>0.9189268261122262</c:v>
                </c:pt>
                <c:pt idx="278">
                  <c:v>0.91884405855758</c:v>
                </c:pt>
                <c:pt idx="279">
                  <c:v>0.91876118066942991</c:v>
                </c:pt>
                <c:pt idx="280">
                  <c:v>0.91867819384837868</c:v>
                </c:pt>
                <c:pt idx="281">
                  <c:v>0.91859509947516982</c:v>
                </c:pt>
                <c:pt idx="282">
                  <c:v>0.91851189891103635</c:v>
                </c:pt>
                <c:pt idx="283">
                  <c:v>0.91842859349804273</c:v>
                </c:pt>
                <c:pt idx="284">
                  <c:v>0.91834518455942005</c:v>
                </c:pt>
                <c:pt idx="285">
                  <c:v>0.91826167339989206</c:v>
                </c:pt>
                <c:pt idx="286">
                  <c:v>0.91817806130599733</c:v>
                </c:pt>
                <c:pt idx="287">
                  <c:v>0.91809434954640234</c:v>
                </c:pt>
                <c:pt idx="288">
                  <c:v>0.91801053937221033</c:v>
                </c:pt>
                <c:pt idx="289">
                  <c:v>0.91792663201726121</c:v>
                </c:pt>
                <c:pt idx="290">
                  <c:v>0.91784262869842748</c:v>
                </c:pt>
                <c:pt idx="291">
                  <c:v>0.91775853061590329</c:v>
                </c:pt>
                <c:pt idx="292">
                  <c:v>0.91767433895348716</c:v>
                </c:pt>
                <c:pt idx="293">
                  <c:v>0.91759005487885981</c:v>
                </c:pt>
                <c:pt idx="294">
                  <c:v>0.91750567954385609</c:v>
                </c:pt>
                <c:pt idx="295">
                  <c:v>0.91742121408473065</c:v>
                </c:pt>
                <c:pt idx="296">
                  <c:v>0.91733665962241995</c:v>
                </c:pt>
                <c:pt idx="297">
                  <c:v>0.91725201726279704</c:v>
                </c:pt>
                <c:pt idx="298">
                  <c:v>0.91716728809692294</c:v>
                </c:pt>
                <c:pt idx="299">
                  <c:v>0.91708247320129155</c:v>
                </c:pt>
              </c:numCache>
            </c:numRef>
          </c:yVal>
          <c:smooth val="1"/>
        </c:ser>
        <c:dLbls>
          <c:showLegendKey val="0"/>
          <c:showVal val="0"/>
          <c:showCatName val="0"/>
          <c:showSerName val="0"/>
          <c:showPercent val="0"/>
          <c:showBubbleSize val="0"/>
        </c:dLbls>
        <c:axId val="220017152"/>
        <c:axId val="220017728"/>
      </c:scatterChart>
      <c:valAx>
        <c:axId val="220017152"/>
        <c:scaling>
          <c:orientation val="minMax"/>
          <c:max val="4"/>
        </c:scaling>
        <c:delete val="0"/>
        <c:axPos val="b"/>
        <c:title>
          <c:tx>
            <c:rich>
              <a:bodyPr/>
              <a:lstStyle/>
              <a:p>
                <a:pPr>
                  <a:defRPr sz="1175" b="1" i="0" u="none" strike="noStrike" baseline="0">
                    <a:solidFill>
                      <a:srgbClr val="000000"/>
                    </a:solidFill>
                    <a:latin typeface="Arial"/>
                    <a:ea typeface="Arial"/>
                    <a:cs typeface="Arial"/>
                  </a:defRPr>
                </a:pPr>
                <a:r>
                  <a:rPr lang="en-US"/>
                  <a:t>Load Current (A)</a:t>
                </a:r>
              </a:p>
            </c:rich>
          </c:tx>
          <c:layout>
            <c:manualLayout>
              <c:xMode val="edge"/>
              <c:yMode val="edge"/>
              <c:x val="0.42956521739130432"/>
              <c:y val="0.88360008411411473"/>
            </c:manualLayout>
          </c:layout>
          <c:overlay val="0"/>
          <c:spPr>
            <a:noFill/>
            <a:ln w="25400">
              <a:noFill/>
            </a:ln>
          </c:spPr>
        </c:title>
        <c:numFmt formatCode="#,##0.00_);[Red]\(#,##0.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20017728"/>
        <c:crosses val="autoZero"/>
        <c:crossBetween val="midCat"/>
        <c:majorUnit val="0.5"/>
      </c:valAx>
      <c:valAx>
        <c:axId val="220017728"/>
        <c:scaling>
          <c:orientation val="minMax"/>
          <c:max val="1"/>
          <c:min val="0.5"/>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Efficiency (%)</a:t>
                </a:r>
              </a:p>
            </c:rich>
          </c:tx>
          <c:layout>
            <c:manualLayout>
              <c:xMode val="edge"/>
              <c:yMode val="edge"/>
              <c:x val="2.782608695652174E-2"/>
              <c:y val="0.285715086801093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2001715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Drop" dropStyle="combo" dx="16" fmlaLink="'Sheet1 select'!$A$2" fmlaRange="'Controller parameters'!$A$2" val="0"/>
</file>

<file path=xl/ctrlProps/ctrlProp2.xml><?xml version="1.0" encoding="utf-8"?>
<formControlPr xmlns="http://schemas.microsoft.com/office/spreadsheetml/2009/9/main" objectType="Drop" dropStyle="combo" dx="16" fmlaLink="$A$2" fmlaRange="'Controller parameters'!$A$2"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53</xdr:row>
      <xdr:rowOff>0</xdr:rowOff>
    </xdr:from>
    <xdr:to>
      <xdr:col>8</xdr:col>
      <xdr:colOff>0</xdr:colOff>
      <xdr:row>74</xdr:row>
      <xdr:rowOff>171450</xdr:rowOff>
    </xdr:to>
    <xdr:graphicFrame macro="">
      <xdr:nvGraphicFramePr>
        <xdr:cNvPr id="56563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35</xdr:row>
      <xdr:rowOff>0</xdr:rowOff>
    </xdr:from>
    <xdr:to>
      <xdr:col>8</xdr:col>
      <xdr:colOff>0</xdr:colOff>
      <xdr:row>51</xdr:row>
      <xdr:rowOff>28575</xdr:rowOff>
    </xdr:to>
    <xdr:graphicFrame macro="">
      <xdr:nvGraphicFramePr>
        <xdr:cNvPr id="565631"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123825</xdr:colOff>
      <xdr:row>0</xdr:row>
      <xdr:rowOff>76200</xdr:rowOff>
    </xdr:from>
    <xdr:to>
      <xdr:col>5</xdr:col>
      <xdr:colOff>419100</xdr:colOff>
      <xdr:row>4</xdr:row>
      <xdr:rowOff>123825</xdr:rowOff>
    </xdr:to>
    <xdr:pic>
      <xdr:nvPicPr>
        <xdr:cNvPr id="565632" name="Picture 48" descr="AOS_Universal"/>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5" y="76200"/>
          <a:ext cx="368617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xdr:row>
      <xdr:rowOff>180975</xdr:rowOff>
    </xdr:from>
    <xdr:to>
      <xdr:col>8</xdr:col>
      <xdr:colOff>28575</xdr:colOff>
      <xdr:row>29</xdr:row>
      <xdr:rowOff>0</xdr:rowOff>
    </xdr:to>
    <xdr:pic>
      <xdr:nvPicPr>
        <xdr:cNvPr id="565633" name="Picture 135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505075"/>
          <a:ext cx="550545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190500</xdr:colOff>
          <xdr:row>10</xdr:row>
          <xdr:rowOff>19050</xdr:rowOff>
        </xdr:from>
        <xdr:to>
          <xdr:col>11</xdr:col>
          <xdr:colOff>504825</xdr:colOff>
          <xdr:row>10</xdr:row>
          <xdr:rowOff>219075</xdr:rowOff>
        </xdr:to>
        <xdr:sp macro="" textlink="">
          <xdr:nvSpPr>
            <xdr:cNvPr id="1079" name="Drop Down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xdr:col>
      <xdr:colOff>47625</xdr:colOff>
      <xdr:row>7</xdr:row>
      <xdr:rowOff>28575</xdr:rowOff>
    </xdr:to>
    <xdr:pic>
      <xdr:nvPicPr>
        <xdr:cNvPr id="11590"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0"/>
          <a:ext cx="5524500"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28575</xdr:rowOff>
        </xdr:from>
        <xdr:to>
          <xdr:col>0</xdr:col>
          <xdr:colOff>1571625</xdr:colOff>
          <xdr:row>1</xdr:row>
          <xdr:rowOff>228600</xdr:rowOff>
        </xdr:to>
        <xdr:sp macro="" textlink="">
          <xdr:nvSpPr>
            <xdr:cNvPr id="3073" name="Drop Down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yuding\&#26700;&#38754;\LM20242_Calculato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esign%20tool\summary\___.rar___200641019282086737\&#21160;&#24577;&#22270;&#2925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M20242 Design Calculator"/>
      <sheetName val="EfficiencyCalculations"/>
      <sheetName val="Design"/>
      <sheetName val="Main Page"/>
      <sheetName val="Slope Comp Calculations"/>
      <sheetName val="Stability Graph Calculations"/>
    </sheetNames>
    <sheetDataSet>
      <sheetData sheetId="0"/>
      <sheetData sheetId="1"/>
      <sheetData sheetId="2"/>
      <sheetData sheetId="3">
        <row r="6">
          <cell r="B6">
            <v>3.3</v>
          </cell>
        </row>
        <row r="18">
          <cell r="B18">
            <v>300</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1">
          <cell r="A1">
            <v>8</v>
          </cell>
        </row>
      </sheetData>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aosmd.com/web/products/poweric.jsp"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5"/>
  <sheetViews>
    <sheetView workbookViewId="0">
      <selection activeCell="D28" sqref="D28"/>
    </sheetView>
  </sheetViews>
  <sheetFormatPr defaultRowHeight="14.25"/>
  <cols>
    <col min="3" max="3" width="5.5" customWidth="1"/>
    <col min="5" max="5" width="18.75" customWidth="1"/>
  </cols>
  <sheetData>
    <row r="1" spans="1:13" ht="15.75">
      <c r="A1" s="211"/>
      <c r="B1" s="211"/>
      <c r="C1" s="246" t="s">
        <v>195</v>
      </c>
      <c r="D1" s="246"/>
      <c r="E1" s="246"/>
      <c r="F1" s="246"/>
      <c r="G1" s="246"/>
      <c r="H1" s="246"/>
      <c r="I1" s="234" t="s">
        <v>225</v>
      </c>
      <c r="J1" s="211"/>
      <c r="K1" s="211"/>
      <c r="L1" s="211"/>
      <c r="M1" s="211"/>
    </row>
    <row r="2" spans="1:13">
      <c r="A2" s="211"/>
      <c r="B2" s="211"/>
      <c r="C2" s="211"/>
      <c r="D2" s="211"/>
      <c r="E2" s="211"/>
      <c r="F2" s="211"/>
      <c r="G2" s="211"/>
      <c r="H2" s="211"/>
      <c r="I2" s="211"/>
      <c r="J2" s="211"/>
      <c r="K2" s="211"/>
      <c r="L2" s="211"/>
      <c r="M2" s="211"/>
    </row>
    <row r="3" spans="1:13">
      <c r="A3" s="251" t="s">
        <v>239</v>
      </c>
      <c r="B3" s="253"/>
      <c r="C3" s="253"/>
      <c r="D3" s="253"/>
      <c r="E3" s="253"/>
      <c r="F3" s="253"/>
      <c r="G3" s="253"/>
      <c r="H3" s="253"/>
      <c r="I3" s="253"/>
      <c r="J3" s="250"/>
      <c r="K3" s="250"/>
      <c r="L3" s="250"/>
      <c r="M3" s="250"/>
    </row>
    <row r="4" spans="1:13">
      <c r="A4" s="250"/>
      <c r="B4" s="250"/>
      <c r="C4" s="250"/>
      <c r="D4" s="250"/>
      <c r="E4" s="250"/>
      <c r="F4" s="250"/>
      <c r="G4" s="250"/>
      <c r="H4" s="250"/>
      <c r="I4" s="250"/>
      <c r="J4" s="250"/>
      <c r="K4" s="250"/>
      <c r="L4" s="250"/>
      <c r="M4" s="250"/>
    </row>
    <row r="5" spans="1:13" ht="8.25" customHeight="1">
      <c r="A5" s="250"/>
      <c r="B5" s="250"/>
      <c r="C5" s="250"/>
      <c r="D5" s="250"/>
      <c r="E5" s="250"/>
      <c r="F5" s="250"/>
      <c r="G5" s="250"/>
      <c r="H5" s="250"/>
      <c r="I5" s="250"/>
      <c r="J5" s="250"/>
      <c r="K5" s="250"/>
      <c r="L5" s="250"/>
      <c r="M5" s="250"/>
    </row>
    <row r="6" spans="1:13" ht="26.25" customHeight="1">
      <c r="A6" s="254" t="s">
        <v>221</v>
      </c>
      <c r="B6" s="254"/>
      <c r="C6" s="254"/>
      <c r="D6" s="254"/>
      <c r="E6" s="254"/>
      <c r="F6" s="254"/>
      <c r="G6" s="254"/>
      <c r="H6" s="254"/>
      <c r="I6" s="255"/>
      <c r="J6" s="255"/>
      <c r="K6" s="255"/>
      <c r="L6" s="255"/>
      <c r="M6" s="255"/>
    </row>
    <row r="7" spans="1:13" ht="19.5" customHeight="1">
      <c r="A7" s="251" t="s">
        <v>203</v>
      </c>
      <c r="B7" s="250"/>
      <c r="C7" s="250"/>
      <c r="D7" s="250"/>
      <c r="E7" s="250"/>
      <c r="F7" s="250"/>
      <c r="G7" s="250"/>
      <c r="H7" s="250"/>
      <c r="I7" s="250"/>
      <c r="J7" s="250"/>
      <c r="K7" s="250"/>
      <c r="L7" s="250"/>
      <c r="M7" s="250"/>
    </row>
    <row r="8" spans="1:13" ht="19.5" customHeight="1">
      <c r="A8" s="250"/>
      <c r="B8" s="250"/>
      <c r="C8" s="250"/>
      <c r="D8" s="250"/>
      <c r="E8" s="250"/>
      <c r="F8" s="250"/>
      <c r="G8" s="250"/>
      <c r="H8" s="250"/>
      <c r="I8" s="250"/>
      <c r="J8" s="250"/>
      <c r="K8" s="250"/>
      <c r="L8" s="250"/>
      <c r="M8" s="250"/>
    </row>
    <row r="9" spans="1:13" ht="15">
      <c r="A9" s="248" t="s">
        <v>189</v>
      </c>
      <c r="B9" s="248"/>
      <c r="C9" s="248"/>
      <c r="D9" s="247" t="s">
        <v>190</v>
      </c>
      <c r="E9" s="247"/>
      <c r="F9" s="257" t="s">
        <v>196</v>
      </c>
      <c r="G9" s="257"/>
      <c r="H9" s="257"/>
      <c r="I9" s="257"/>
      <c r="J9" s="257"/>
      <c r="K9" s="250"/>
      <c r="L9" s="211"/>
      <c r="M9" s="211"/>
    </row>
    <row r="10" spans="1:13" ht="15">
      <c r="A10" s="211"/>
      <c r="B10" s="211"/>
      <c r="C10" s="211"/>
      <c r="D10" s="247" t="s">
        <v>191</v>
      </c>
      <c r="E10" s="247"/>
      <c r="F10" s="256" t="s">
        <v>192</v>
      </c>
      <c r="G10" s="256"/>
      <c r="H10" s="256"/>
      <c r="I10" s="256"/>
      <c r="J10" s="250"/>
      <c r="K10" s="250"/>
      <c r="L10" s="211"/>
      <c r="M10" s="211"/>
    </row>
    <row r="11" spans="1:13" ht="15">
      <c r="A11" s="211"/>
      <c r="B11" s="211"/>
      <c r="C11" s="211"/>
      <c r="D11" s="247" t="s">
        <v>193</v>
      </c>
      <c r="E11" s="247"/>
      <c r="F11" s="249" t="s">
        <v>194</v>
      </c>
      <c r="G11" s="250"/>
      <c r="H11" s="250"/>
      <c r="I11" s="250"/>
      <c r="J11" s="250"/>
      <c r="K11" s="250"/>
      <c r="L11" s="211"/>
      <c r="M11" s="211"/>
    </row>
    <row r="12" spans="1:13" ht="15">
      <c r="A12" s="211"/>
      <c r="B12" s="211"/>
      <c r="C12" s="211"/>
      <c r="D12" s="247" t="s">
        <v>197</v>
      </c>
      <c r="E12" s="247"/>
      <c r="F12" s="256" t="s">
        <v>198</v>
      </c>
      <c r="G12" s="256"/>
      <c r="H12" s="256"/>
      <c r="I12" s="256"/>
      <c r="J12" s="250"/>
      <c r="K12" s="250"/>
      <c r="L12" s="211"/>
      <c r="M12" s="211"/>
    </row>
    <row r="13" spans="1:13" ht="15">
      <c r="A13" s="211"/>
      <c r="B13" s="211"/>
      <c r="C13" s="211"/>
      <c r="D13" s="247" t="s">
        <v>200</v>
      </c>
      <c r="E13" s="247"/>
      <c r="F13" s="256" t="s">
        <v>199</v>
      </c>
      <c r="G13" s="256"/>
      <c r="H13" s="256"/>
      <c r="I13" s="256"/>
      <c r="J13" s="250"/>
      <c r="K13" s="250"/>
      <c r="L13" s="211"/>
      <c r="M13" s="211"/>
    </row>
    <row r="14" spans="1:13" ht="15">
      <c r="A14" s="211"/>
      <c r="B14" s="211"/>
      <c r="C14" s="211"/>
      <c r="D14" s="247" t="s">
        <v>201</v>
      </c>
      <c r="E14" s="247"/>
      <c r="F14" s="257" t="s">
        <v>202</v>
      </c>
      <c r="G14" s="257"/>
      <c r="H14" s="257"/>
      <c r="I14" s="257"/>
      <c r="J14" s="250"/>
      <c r="K14" s="250"/>
      <c r="L14" s="211"/>
      <c r="M14" s="211"/>
    </row>
    <row r="15" spans="1:13">
      <c r="A15" s="252"/>
      <c r="B15" s="252"/>
      <c r="C15" s="252"/>
      <c r="D15" s="252"/>
      <c r="E15" s="252"/>
      <c r="F15" s="252"/>
      <c r="G15" s="252"/>
      <c r="H15" s="252"/>
      <c r="I15" s="252"/>
      <c r="J15" s="252"/>
      <c r="K15" s="211"/>
      <c r="L15" s="211"/>
      <c r="M15" s="211"/>
    </row>
    <row r="16" spans="1:13">
      <c r="A16" s="251" t="s">
        <v>204</v>
      </c>
      <c r="B16" s="250"/>
      <c r="C16" s="250"/>
      <c r="D16" s="250"/>
      <c r="E16" s="250"/>
      <c r="F16" s="250"/>
      <c r="G16" s="250"/>
      <c r="H16" s="250"/>
      <c r="I16" s="250"/>
      <c r="J16" s="250"/>
      <c r="K16" s="250"/>
      <c r="L16" s="250"/>
      <c r="M16" s="250"/>
    </row>
    <row r="17" spans="1:13">
      <c r="A17" s="250"/>
      <c r="B17" s="250"/>
      <c r="C17" s="250"/>
      <c r="D17" s="250"/>
      <c r="E17" s="250"/>
      <c r="F17" s="250"/>
      <c r="G17" s="250"/>
      <c r="H17" s="250"/>
      <c r="I17" s="250"/>
      <c r="J17" s="250"/>
      <c r="K17" s="250"/>
      <c r="L17" s="250"/>
      <c r="M17" s="250"/>
    </row>
    <row r="18" spans="1:13">
      <c r="A18" s="250"/>
      <c r="B18" s="250"/>
      <c r="C18" s="250"/>
      <c r="D18" s="250"/>
      <c r="E18" s="250"/>
      <c r="F18" s="250"/>
      <c r="G18" s="250"/>
      <c r="H18" s="250"/>
      <c r="I18" s="250"/>
      <c r="J18" s="250"/>
      <c r="K18" s="250"/>
      <c r="L18" s="250"/>
      <c r="M18" s="250"/>
    </row>
    <row r="19" spans="1:13">
      <c r="A19" s="211"/>
      <c r="B19" s="211"/>
      <c r="C19" s="211"/>
      <c r="D19" s="211"/>
      <c r="E19" s="211"/>
      <c r="F19" s="211"/>
      <c r="G19" s="211"/>
      <c r="H19" s="211"/>
      <c r="I19" s="211"/>
      <c r="J19" s="211"/>
      <c r="K19" s="211"/>
      <c r="L19" s="211"/>
      <c r="M19" s="211"/>
    </row>
    <row r="20" spans="1:13">
      <c r="A20" s="211"/>
      <c r="B20" s="211"/>
      <c r="C20" s="211"/>
      <c r="D20" s="211"/>
      <c r="E20" s="211"/>
      <c r="F20" s="211"/>
      <c r="G20" s="211"/>
      <c r="H20" s="211"/>
      <c r="I20" s="211"/>
      <c r="J20" s="211"/>
      <c r="K20" s="211"/>
      <c r="L20" s="211"/>
      <c r="M20" s="211"/>
    </row>
    <row r="21" spans="1:13">
      <c r="A21" s="211"/>
      <c r="B21" s="211"/>
      <c r="C21" s="211"/>
      <c r="D21" s="211"/>
      <c r="E21" s="211"/>
      <c r="F21" s="211"/>
      <c r="G21" s="211"/>
      <c r="H21" s="211"/>
      <c r="I21" s="211"/>
      <c r="J21" s="211"/>
      <c r="K21" s="211"/>
      <c r="L21" s="211"/>
      <c r="M21" s="211"/>
    </row>
    <row r="22" spans="1:13">
      <c r="A22" s="211"/>
      <c r="B22" s="211"/>
      <c r="C22" s="211"/>
      <c r="D22" s="211"/>
      <c r="E22" s="211"/>
      <c r="F22" s="211"/>
      <c r="G22" s="211"/>
      <c r="H22" s="211"/>
      <c r="I22" s="211"/>
      <c r="J22" s="211"/>
      <c r="K22" s="211"/>
      <c r="L22" s="211"/>
      <c r="M22" s="211"/>
    </row>
    <row r="23" spans="1:13">
      <c r="A23" s="211"/>
      <c r="B23" s="211"/>
      <c r="C23" s="211"/>
      <c r="D23" s="211"/>
      <c r="E23" s="211"/>
      <c r="F23" s="211"/>
      <c r="G23" s="211"/>
      <c r="H23" s="211"/>
      <c r="I23" s="211"/>
      <c r="J23" s="211"/>
      <c r="K23" s="211"/>
      <c r="L23" s="211"/>
      <c r="M23" s="211"/>
    </row>
    <row r="24" spans="1:13">
      <c r="A24" s="211"/>
      <c r="B24" s="211"/>
      <c r="C24" s="211"/>
      <c r="D24" s="211"/>
      <c r="E24" s="211"/>
      <c r="F24" s="211"/>
      <c r="G24" s="211"/>
      <c r="H24" s="211"/>
      <c r="I24" s="211"/>
      <c r="J24" s="211"/>
      <c r="K24" s="211"/>
      <c r="L24" s="211"/>
      <c r="M24" s="211"/>
    </row>
    <row r="25" spans="1:13">
      <c r="A25" s="211"/>
      <c r="B25" s="211"/>
      <c r="C25" s="211"/>
      <c r="D25" s="211"/>
      <c r="E25" s="211"/>
      <c r="F25" s="211"/>
      <c r="G25" s="211"/>
      <c r="H25" s="211"/>
      <c r="I25" s="211"/>
      <c r="J25" s="211"/>
      <c r="K25" s="211"/>
      <c r="L25" s="211"/>
      <c r="M25" s="211"/>
    </row>
  </sheetData>
  <mergeCells count="19">
    <mergeCell ref="A16:M18"/>
    <mergeCell ref="A15:J15"/>
    <mergeCell ref="A3:M5"/>
    <mergeCell ref="A6:M6"/>
    <mergeCell ref="A7:M8"/>
    <mergeCell ref="F12:K12"/>
    <mergeCell ref="F9:K9"/>
    <mergeCell ref="F10:K10"/>
    <mergeCell ref="F13:K13"/>
    <mergeCell ref="F14:K14"/>
    <mergeCell ref="C1:H1"/>
    <mergeCell ref="D14:E14"/>
    <mergeCell ref="A9:C9"/>
    <mergeCell ref="D9:E9"/>
    <mergeCell ref="D10:E10"/>
    <mergeCell ref="D11:E11"/>
    <mergeCell ref="D12:E12"/>
    <mergeCell ref="D13:E13"/>
    <mergeCell ref="F11:K11"/>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89"/>
  <sheetViews>
    <sheetView showGridLines="0" tabSelected="1" workbookViewId="0">
      <selection activeCell="P49" sqref="P49"/>
    </sheetView>
  </sheetViews>
  <sheetFormatPr defaultRowHeight="14.25"/>
  <cols>
    <col min="5" max="5" width="8.5" customWidth="1"/>
    <col min="8" max="8" width="9.375" customWidth="1"/>
    <col min="9" max="9" width="2.5" customWidth="1"/>
    <col min="10" max="10" width="6" customWidth="1"/>
    <col min="13" max="13" width="10.125" customWidth="1"/>
    <col min="14" max="14" width="6.375" customWidth="1"/>
    <col min="15" max="15" width="5.625" customWidth="1"/>
  </cols>
  <sheetData>
    <row r="1" spans="1:16">
      <c r="A1" s="285"/>
      <c r="B1" s="285"/>
      <c r="C1" s="285"/>
      <c r="D1" s="285"/>
      <c r="E1" s="285"/>
      <c r="F1" s="285"/>
      <c r="I1" s="1"/>
    </row>
    <row r="2" spans="1:16">
      <c r="A2" s="285">
        <v>7</v>
      </c>
      <c r="B2" s="285"/>
      <c r="C2" s="285"/>
      <c r="D2" s="285"/>
      <c r="E2" s="285"/>
      <c r="F2" s="285"/>
      <c r="I2" s="1"/>
    </row>
    <row r="3" spans="1:16">
      <c r="A3" s="285"/>
      <c r="B3" s="285"/>
      <c r="C3" s="285"/>
      <c r="D3" s="285"/>
      <c r="E3" s="285"/>
      <c r="F3" s="285"/>
      <c r="I3" s="1"/>
    </row>
    <row r="4" spans="1:16">
      <c r="A4" s="285"/>
      <c r="B4" s="285"/>
      <c r="C4" s="285"/>
      <c r="D4" s="285"/>
      <c r="E4" s="285"/>
      <c r="F4" s="285"/>
      <c r="I4" s="1"/>
      <c r="K4" s="24"/>
    </row>
    <row r="5" spans="1:16">
      <c r="A5" s="285"/>
      <c r="B5" s="285"/>
      <c r="C5" s="285"/>
      <c r="D5" s="285"/>
      <c r="E5" s="285"/>
      <c r="F5" s="285"/>
      <c r="I5" s="1"/>
    </row>
    <row r="6" spans="1:16">
      <c r="A6" s="2"/>
      <c r="B6" s="2"/>
      <c r="C6" s="2"/>
      <c r="D6" s="2"/>
      <c r="E6" s="2"/>
      <c r="I6" s="1"/>
    </row>
    <row r="7" spans="1:16" ht="24" customHeight="1">
      <c r="A7" s="3" t="s">
        <v>0</v>
      </c>
      <c r="B7" s="4"/>
      <c r="C7" s="4"/>
      <c r="D7" s="4"/>
      <c r="E7" s="4"/>
      <c r="F7" s="5"/>
      <c r="G7" s="207" t="s">
        <v>226</v>
      </c>
      <c r="I7" s="1"/>
      <c r="J7" s="14"/>
      <c r="K7" s="15"/>
      <c r="L7" s="15"/>
      <c r="M7" s="15"/>
      <c r="N7" s="1"/>
    </row>
    <row r="8" spans="1:16" ht="18" customHeight="1">
      <c r="A8" s="193" t="s">
        <v>170</v>
      </c>
      <c r="B8" s="290" t="s">
        <v>168</v>
      </c>
      <c r="C8" s="290"/>
      <c r="D8" s="290"/>
      <c r="E8" s="285"/>
      <c r="F8" s="154"/>
      <c r="G8" s="154"/>
      <c r="I8" s="1"/>
      <c r="J8" s="25"/>
      <c r="K8" s="25"/>
      <c r="L8" s="25"/>
      <c r="M8" s="24"/>
      <c r="N8" s="1"/>
    </row>
    <row r="9" spans="1:16" ht="18" customHeight="1">
      <c r="A9" s="194" t="s">
        <v>167</v>
      </c>
      <c r="B9" s="291" t="s">
        <v>169</v>
      </c>
      <c r="C9" s="291"/>
      <c r="D9" s="291"/>
      <c r="E9" s="285"/>
      <c r="F9" s="5"/>
      <c r="G9" s="5"/>
      <c r="I9" s="1"/>
      <c r="J9" s="14"/>
      <c r="K9" s="15"/>
      <c r="L9" s="15"/>
      <c r="M9" s="15"/>
      <c r="N9" s="1"/>
    </row>
    <row r="10" spans="1:16" ht="18" customHeight="1">
      <c r="A10" s="195"/>
      <c r="B10" s="287" t="s">
        <v>172</v>
      </c>
      <c r="C10" s="287"/>
      <c r="D10" s="287"/>
      <c r="E10" s="287"/>
      <c r="F10" s="5"/>
      <c r="G10" s="5"/>
      <c r="I10" s="1"/>
      <c r="J10" s="186" t="s">
        <v>165</v>
      </c>
      <c r="K10" s="187"/>
      <c r="L10" s="187"/>
      <c r="M10" s="187"/>
      <c r="N10" s="188"/>
      <c r="O10" s="189"/>
      <c r="P10" s="189"/>
    </row>
    <row r="11" spans="1:16" ht="19.5" customHeight="1">
      <c r="A11" s="6"/>
      <c r="B11" s="5"/>
      <c r="C11" s="5"/>
      <c r="D11" s="5"/>
      <c r="E11" s="5"/>
      <c r="F11" s="5"/>
      <c r="G11" s="5"/>
      <c r="I11" s="1"/>
      <c r="J11" s="286">
        <v>4</v>
      </c>
      <c r="K11" s="286"/>
      <c r="L11" s="185"/>
      <c r="M11" s="24"/>
      <c r="N11" s="1"/>
    </row>
    <row r="12" spans="1:16" ht="15" thickBot="1">
      <c r="A12" s="20" t="s">
        <v>171</v>
      </c>
      <c r="B12" s="21"/>
      <c r="C12" s="21"/>
      <c r="D12" s="5"/>
      <c r="E12" s="5"/>
      <c r="F12" s="5"/>
      <c r="G12" s="5"/>
      <c r="I12" s="1"/>
    </row>
    <row r="13" spans="1:16" ht="18">
      <c r="A13" s="129"/>
      <c r="B13" s="130"/>
      <c r="C13" s="130"/>
      <c r="D13" s="130"/>
      <c r="E13" s="130"/>
      <c r="F13" s="130"/>
      <c r="G13" s="130"/>
      <c r="H13" s="131"/>
      <c r="I13" s="8"/>
      <c r="J13" s="190" t="s">
        <v>166</v>
      </c>
      <c r="K13" s="191"/>
      <c r="L13" s="191"/>
      <c r="M13" s="189"/>
      <c r="N13" s="189"/>
      <c r="O13" s="189"/>
      <c r="P13" s="189"/>
    </row>
    <row r="14" spans="1:16" ht="15" thickBot="1">
      <c r="A14" s="132"/>
      <c r="B14" s="1"/>
      <c r="C14" s="1"/>
      <c r="D14" s="1"/>
      <c r="E14" s="1"/>
      <c r="F14" s="1"/>
      <c r="G14" s="1"/>
      <c r="H14" s="133"/>
      <c r="I14" s="9"/>
      <c r="J14" s="9" t="s">
        <v>160</v>
      </c>
      <c r="K14" s="9"/>
      <c r="L14" s="9"/>
      <c r="M14" s="21"/>
      <c r="P14" s="294"/>
    </row>
    <row r="15" spans="1:16">
      <c r="A15" s="132"/>
      <c r="B15" s="1"/>
      <c r="C15" s="1"/>
      <c r="D15" s="1"/>
      <c r="E15" s="1"/>
      <c r="F15" s="1"/>
      <c r="G15" s="1"/>
      <c r="H15" s="133"/>
      <c r="I15" s="10"/>
      <c r="J15" s="296" t="s">
        <v>173</v>
      </c>
      <c r="K15" s="297"/>
      <c r="L15" s="297"/>
      <c r="M15" s="297"/>
      <c r="N15" s="170">
        <v>12</v>
      </c>
      <c r="O15" s="16" t="s">
        <v>1</v>
      </c>
      <c r="P15" s="294"/>
    </row>
    <row r="16" spans="1:16">
      <c r="A16" s="132"/>
      <c r="B16" s="1"/>
      <c r="C16" s="1"/>
      <c r="D16" s="1"/>
      <c r="E16" s="1"/>
      <c r="F16" s="1"/>
      <c r="G16" s="1"/>
      <c r="H16" s="133"/>
      <c r="I16" s="10"/>
      <c r="J16" s="281" t="s">
        <v>227</v>
      </c>
      <c r="K16" s="282"/>
      <c r="L16" s="282"/>
      <c r="M16" s="282"/>
      <c r="N16" s="171">
        <v>5</v>
      </c>
      <c r="O16" s="11" t="s">
        <v>1</v>
      </c>
      <c r="P16" s="294"/>
    </row>
    <row r="17" spans="1:16">
      <c r="A17" s="132"/>
      <c r="B17" s="1"/>
      <c r="C17" s="1"/>
      <c r="D17" s="1"/>
      <c r="E17" s="1"/>
      <c r="F17" s="1"/>
      <c r="G17" s="1"/>
      <c r="H17" s="133"/>
      <c r="I17" s="10"/>
      <c r="J17" s="281" t="s">
        <v>174</v>
      </c>
      <c r="K17" s="282"/>
      <c r="L17" s="282"/>
      <c r="M17" s="282"/>
      <c r="N17" s="196">
        <v>0.8</v>
      </c>
      <c r="O17" s="11" t="s">
        <v>2</v>
      </c>
      <c r="P17" s="294"/>
    </row>
    <row r="18" spans="1:16">
      <c r="A18" s="132"/>
      <c r="B18" s="1"/>
      <c r="C18" s="1"/>
      <c r="D18" s="1"/>
      <c r="E18" s="1"/>
      <c r="F18" s="1"/>
      <c r="G18" s="1"/>
      <c r="H18" s="133"/>
      <c r="I18" s="10"/>
      <c r="J18" s="281" t="s">
        <v>175</v>
      </c>
      <c r="K18" s="282"/>
      <c r="L18" s="282"/>
      <c r="M18" s="282"/>
      <c r="N18" s="171">
        <v>3</v>
      </c>
      <c r="O18" s="11" t="s">
        <v>5</v>
      </c>
      <c r="P18" s="294"/>
    </row>
    <row r="19" spans="1:16" ht="15" thickBot="1">
      <c r="A19" s="132"/>
      <c r="B19" s="1"/>
      <c r="C19" s="1"/>
      <c r="D19" s="1"/>
      <c r="E19" s="1"/>
      <c r="F19" s="1"/>
      <c r="G19" s="1"/>
      <c r="H19" s="133"/>
      <c r="I19" s="10"/>
      <c r="J19" s="258" t="s">
        <v>176</v>
      </c>
      <c r="K19" s="295"/>
      <c r="L19" s="295"/>
      <c r="M19" s="295"/>
      <c r="N19" s="172">
        <v>25</v>
      </c>
      <c r="O19" s="197" t="s">
        <v>74</v>
      </c>
      <c r="P19" s="294"/>
    </row>
    <row r="20" spans="1:16">
      <c r="A20" s="132"/>
      <c r="B20" s="1"/>
      <c r="C20" s="1"/>
      <c r="D20" s="1"/>
      <c r="E20" s="1"/>
      <c r="F20" s="1"/>
      <c r="G20" s="1"/>
      <c r="H20" s="133"/>
    </row>
    <row r="21" spans="1:16" ht="21.75" thickBot="1">
      <c r="A21" s="132"/>
      <c r="B21" s="1"/>
      <c r="C21" s="1"/>
      <c r="D21" s="1"/>
      <c r="E21" s="1"/>
      <c r="F21" s="1"/>
      <c r="G21" s="1"/>
      <c r="H21" s="133"/>
      <c r="J21" s="190" t="s">
        <v>235</v>
      </c>
      <c r="K21" s="191"/>
      <c r="L21" s="191"/>
      <c r="M21" s="189"/>
      <c r="N21" s="189"/>
      <c r="O21" s="189"/>
      <c r="P21" s="189"/>
    </row>
    <row r="22" spans="1:16">
      <c r="A22" s="132"/>
      <c r="B22" s="1"/>
      <c r="C22" s="1"/>
      <c r="D22" s="1"/>
      <c r="E22" s="1"/>
      <c r="F22" s="1"/>
      <c r="G22" s="1"/>
      <c r="H22" s="133"/>
      <c r="J22" s="261" t="s">
        <v>228</v>
      </c>
      <c r="K22" s="262"/>
      <c r="L22" s="262"/>
      <c r="M22" s="262"/>
      <c r="N22" s="236">
        <v>200</v>
      </c>
      <c r="O22" s="235" t="s">
        <v>229</v>
      </c>
    </row>
    <row r="23" spans="1:16" ht="16.5" thickBot="1">
      <c r="A23" s="132"/>
      <c r="B23" s="1"/>
      <c r="C23" s="1"/>
      <c r="D23" s="1"/>
      <c r="E23" s="1"/>
      <c r="F23" s="1"/>
      <c r="G23" s="1"/>
      <c r="H23" s="133"/>
      <c r="J23" s="258" t="s">
        <v>234</v>
      </c>
      <c r="K23" s="259"/>
      <c r="L23" s="259"/>
      <c r="M23" s="259"/>
      <c r="N23" s="237">
        <f>50000/N22</f>
        <v>250</v>
      </c>
      <c r="O23" s="238" t="s">
        <v>230</v>
      </c>
    </row>
    <row r="24" spans="1:16">
      <c r="A24" s="132"/>
      <c r="B24" s="1"/>
      <c r="C24" s="1"/>
      <c r="D24" s="1"/>
      <c r="E24" s="1"/>
      <c r="F24" s="1"/>
      <c r="G24" s="1"/>
      <c r="H24" s="133"/>
      <c r="J24" s="233"/>
      <c r="K24" s="233"/>
      <c r="L24" s="233"/>
      <c r="M24" s="233"/>
      <c r="O24" s="22"/>
    </row>
    <row r="25" spans="1:16" ht="18">
      <c r="A25" s="132"/>
      <c r="B25" s="1"/>
      <c r="C25" s="1"/>
      <c r="D25" s="1"/>
      <c r="E25" s="1"/>
      <c r="F25" s="1"/>
      <c r="G25" s="1"/>
      <c r="H25" s="133"/>
      <c r="J25" s="190" t="s">
        <v>240</v>
      </c>
      <c r="K25" s="191"/>
      <c r="L25" s="191"/>
      <c r="M25" s="189"/>
      <c r="N25" s="189"/>
      <c r="O25" s="189"/>
      <c r="P25" s="189"/>
    </row>
    <row r="26" spans="1:16" ht="15" thickBot="1">
      <c r="A26" s="132"/>
      <c r="B26" s="1"/>
      <c r="C26" s="1"/>
      <c r="D26" s="1"/>
      <c r="E26" s="1"/>
      <c r="F26" s="1"/>
      <c r="G26" s="1"/>
      <c r="H26" s="133"/>
      <c r="J26" s="267" t="s">
        <v>232</v>
      </c>
      <c r="K26" s="267"/>
      <c r="L26" s="267"/>
      <c r="M26" s="267"/>
      <c r="N26" s="267"/>
      <c r="O26" s="267"/>
    </row>
    <row r="27" spans="1:16">
      <c r="A27" s="132"/>
      <c r="B27" s="1"/>
      <c r="C27" s="1"/>
      <c r="D27" s="1"/>
      <c r="E27" s="1"/>
      <c r="F27" s="1"/>
      <c r="G27" s="1"/>
      <c r="H27" s="133"/>
      <c r="J27" s="288" t="s">
        <v>6</v>
      </c>
      <c r="K27" s="289"/>
      <c r="L27" s="289"/>
      <c r="M27" s="289"/>
      <c r="N27" s="173">
        <f>((N15-N16)*(N16/N15)/(N22*1000*'Sheet1 select'!B42*0.35))*1000000</f>
        <v>10.416666666666668</v>
      </c>
      <c r="O27" s="16" t="s">
        <v>7</v>
      </c>
    </row>
    <row r="28" spans="1:16" ht="15.75">
      <c r="A28" s="132"/>
      <c r="B28" s="1"/>
      <c r="C28" s="1"/>
      <c r="D28" s="1"/>
      <c r="E28" s="1"/>
      <c r="F28" s="1"/>
      <c r="G28" s="1"/>
      <c r="H28" s="133"/>
      <c r="J28" s="265" t="s">
        <v>205</v>
      </c>
      <c r="K28" s="266"/>
      <c r="L28" s="266"/>
      <c r="M28" s="266"/>
      <c r="N28" s="174">
        <f>'Sheet1 select'!B11</f>
        <v>6</v>
      </c>
      <c r="O28" s="12" t="s">
        <v>2</v>
      </c>
    </row>
    <row r="29" spans="1:16" ht="17.25" customHeight="1" thickBot="1">
      <c r="A29" s="134"/>
      <c r="B29" s="135"/>
      <c r="C29" s="135"/>
      <c r="D29" s="135"/>
      <c r="E29" s="135"/>
      <c r="F29" s="135"/>
      <c r="G29" s="135"/>
      <c r="H29" s="136"/>
      <c r="J29" s="281" t="s">
        <v>177</v>
      </c>
      <c r="K29" s="282"/>
      <c r="L29" s="282"/>
      <c r="M29" s="282"/>
      <c r="N29" s="171">
        <v>22</v>
      </c>
      <c r="O29" s="11" t="s">
        <v>7</v>
      </c>
    </row>
    <row r="30" spans="1:16" ht="15.75" customHeight="1" thickBot="1">
      <c r="A30" s="128"/>
      <c r="B30" s="128"/>
      <c r="C30" s="128"/>
      <c r="D30" s="128"/>
      <c r="E30" s="128"/>
      <c r="F30" s="128"/>
      <c r="G30" s="128"/>
      <c r="H30" s="128"/>
      <c r="J30" s="258" t="s">
        <v>178</v>
      </c>
      <c r="K30" s="259"/>
      <c r="L30" s="259"/>
      <c r="M30" s="259"/>
      <c r="N30" s="172">
        <v>100</v>
      </c>
      <c r="O30" s="13" t="s">
        <v>8</v>
      </c>
    </row>
    <row r="31" spans="1:16">
      <c r="E31" s="2"/>
    </row>
    <row r="32" spans="1:16" ht="15" thickBot="1">
      <c r="E32" s="2"/>
      <c r="J32" s="260" t="s">
        <v>233</v>
      </c>
      <c r="K32" s="260"/>
      <c r="L32" s="260"/>
      <c r="M32" s="260"/>
      <c r="N32" s="260"/>
      <c r="O32" s="260"/>
    </row>
    <row r="33" spans="1:16" ht="15" thickBot="1">
      <c r="E33" s="2"/>
      <c r="J33" s="263" t="s">
        <v>231</v>
      </c>
      <c r="K33" s="264"/>
      <c r="L33" s="264"/>
      <c r="M33" s="264"/>
      <c r="N33" s="241">
        <v>0.4</v>
      </c>
      <c r="O33" s="240" t="s">
        <v>222</v>
      </c>
    </row>
    <row r="34" spans="1:16">
      <c r="E34" s="2"/>
      <c r="J34" s="239"/>
      <c r="K34" s="239"/>
      <c r="L34" s="239"/>
      <c r="M34" s="239"/>
      <c r="N34" s="239"/>
      <c r="O34" s="239"/>
    </row>
    <row r="35" spans="1:16" ht="19.5" thickBot="1">
      <c r="A35" s="9" t="s">
        <v>22</v>
      </c>
      <c r="B35" s="27"/>
      <c r="C35" s="27"/>
      <c r="D35" s="27"/>
      <c r="E35" s="5"/>
      <c r="J35" s="267" t="s">
        <v>15</v>
      </c>
      <c r="K35" s="267"/>
      <c r="L35" s="267"/>
      <c r="M35" s="267"/>
      <c r="N35" s="267"/>
      <c r="O35" s="267"/>
    </row>
    <row r="36" spans="1:16" ht="15">
      <c r="A36" s="7"/>
      <c r="B36" s="5"/>
      <c r="C36" s="5"/>
      <c r="E36" s="2"/>
      <c r="J36" s="292" t="s">
        <v>9</v>
      </c>
      <c r="K36" s="293"/>
      <c r="L36" s="293"/>
      <c r="M36" s="293"/>
      <c r="N36" s="175">
        <v>22</v>
      </c>
      <c r="O36" s="17" t="s">
        <v>10</v>
      </c>
    </row>
    <row r="37" spans="1:16">
      <c r="E37" s="2"/>
      <c r="J37" s="265" t="s">
        <v>11</v>
      </c>
      <c r="K37" s="266"/>
      <c r="L37" s="266"/>
      <c r="M37" s="266"/>
      <c r="N37" s="174">
        <f>SQRT((N16/N15)*(1-N16/N15))*N17</f>
        <v>0.39440531887330771</v>
      </c>
      <c r="O37" s="12" t="s">
        <v>12</v>
      </c>
    </row>
    <row r="38" spans="1:16" ht="15">
      <c r="J38" s="265" t="s">
        <v>13</v>
      </c>
      <c r="K38" s="266"/>
      <c r="L38" s="266"/>
      <c r="M38" s="266"/>
      <c r="N38" s="214">
        <f>1000000*(N16*(1-N16/N15)/(N29*N22))/(8*N22*N18*N16*0.01)</f>
        <v>2.7619949494949485</v>
      </c>
      <c r="O38" s="12" t="s">
        <v>159</v>
      </c>
    </row>
    <row r="39" spans="1:16">
      <c r="J39" s="265" t="s">
        <v>14</v>
      </c>
      <c r="K39" s="266"/>
      <c r="L39" s="266"/>
      <c r="M39" s="266"/>
      <c r="N39" s="176">
        <f>((N16*N18/100)/((N15-N16)*(N16/N15)/(N29*0.000001*N22*1000)))*1000</f>
        <v>226.28571428571428</v>
      </c>
      <c r="O39" s="12" t="s">
        <v>8</v>
      </c>
    </row>
    <row r="40" spans="1:16" ht="15">
      <c r="A40" s="7"/>
      <c r="B40" s="5"/>
      <c r="C40" s="5"/>
      <c r="J40" s="281" t="s">
        <v>223</v>
      </c>
      <c r="K40" s="282"/>
      <c r="L40" s="282"/>
      <c r="M40" s="282"/>
      <c r="N40" s="171">
        <v>1500</v>
      </c>
      <c r="O40" s="11" t="s">
        <v>10</v>
      </c>
    </row>
    <row r="41" spans="1:16" ht="15" thickBot="1">
      <c r="J41" s="258" t="s">
        <v>224</v>
      </c>
      <c r="K41" s="259"/>
      <c r="L41" s="259"/>
      <c r="M41" s="259"/>
      <c r="N41" s="172">
        <v>177</v>
      </c>
      <c r="O41" s="13" t="s">
        <v>8</v>
      </c>
    </row>
    <row r="43" spans="1:16" ht="15" thickBot="1">
      <c r="J43" s="267" t="s">
        <v>16</v>
      </c>
      <c r="K43" s="267"/>
      <c r="L43" s="267"/>
      <c r="M43" s="267"/>
      <c r="N43" s="267"/>
      <c r="O43" s="267"/>
    </row>
    <row r="44" spans="1:16" ht="15" thickBot="1">
      <c r="J44" s="283" t="s">
        <v>18</v>
      </c>
      <c r="K44" s="284"/>
      <c r="L44" s="284"/>
      <c r="M44" s="284"/>
      <c r="N44" s="177">
        <f>(((N15-N16)*(N16/N15)/(N29*0.000001*N22*1000))*((N41*0.001+1/(8*N22*1000*N40*0.000001))))*1000</f>
        <v>117.60574494949493</v>
      </c>
      <c r="O44" s="13" t="s">
        <v>17</v>
      </c>
    </row>
    <row r="46" spans="1:16" ht="18">
      <c r="J46" s="190" t="s">
        <v>241</v>
      </c>
      <c r="K46" s="191"/>
      <c r="L46" s="191"/>
      <c r="M46" s="192"/>
      <c r="N46" s="192"/>
      <c r="O46" s="192"/>
      <c r="P46" s="192"/>
    </row>
    <row r="47" spans="1:16" ht="19.5" thickBot="1">
      <c r="J47" s="9" t="s">
        <v>27</v>
      </c>
      <c r="K47" s="5"/>
      <c r="L47" s="5"/>
      <c r="M47" s="5"/>
      <c r="N47" s="5"/>
      <c r="O47" s="5"/>
    </row>
    <row r="48" spans="1:16" ht="15.75">
      <c r="J48" s="261" t="s">
        <v>238</v>
      </c>
      <c r="K48" s="262"/>
      <c r="L48" s="262"/>
      <c r="M48" s="262"/>
      <c r="N48" s="178">
        <v>10</v>
      </c>
      <c r="O48" s="16" t="s">
        <v>4</v>
      </c>
    </row>
    <row r="49" spans="1:15" ht="16.5" thickBot="1">
      <c r="J49" s="283" t="s">
        <v>183</v>
      </c>
      <c r="K49" s="284"/>
      <c r="L49" s="284"/>
      <c r="M49" s="284"/>
      <c r="N49" s="184">
        <f>N48*(N16/0.8-1)</f>
        <v>52.5</v>
      </c>
      <c r="O49" s="13" t="s">
        <v>4</v>
      </c>
    </row>
    <row r="50" spans="1:15">
      <c r="J50" s="19"/>
      <c r="K50" s="19"/>
      <c r="L50" s="19"/>
      <c r="M50" s="19"/>
      <c r="N50" s="18"/>
      <c r="O50" s="22"/>
    </row>
    <row r="51" spans="1:15" ht="19.5" thickBot="1">
      <c r="J51" s="267" t="s">
        <v>21</v>
      </c>
      <c r="K51" s="267"/>
      <c r="L51" s="267"/>
      <c r="M51" s="267"/>
      <c r="N51" s="267"/>
      <c r="O51" s="267"/>
    </row>
    <row r="52" spans="1:15">
      <c r="J52" s="261" t="s">
        <v>179</v>
      </c>
      <c r="K52" s="262"/>
      <c r="L52" s="262"/>
      <c r="M52" s="262"/>
      <c r="N52" s="180">
        <v>20</v>
      </c>
      <c r="O52" s="16" t="s">
        <v>3</v>
      </c>
    </row>
    <row r="53" spans="1:15" ht="15.75">
      <c r="A53" s="9" t="s">
        <v>28</v>
      </c>
      <c r="B53" s="27"/>
      <c r="C53" s="27"/>
      <c r="J53" s="279" t="s">
        <v>184</v>
      </c>
      <c r="K53" s="280"/>
      <c r="L53" s="280"/>
      <c r="M53" s="280"/>
      <c r="N53" s="179">
        <f ca="1">(('Sheet1 select'!B6/1000000)*'Bode Plot Calculations'!E3*'Bode Plot Calculations'!E4*'Bode Plot Calculations'!B3/(SQRT(((1-(('EZBuck design calculator'!N52*1000)/(N22*1000/2))^2)^2)+((1/'Bode Plot Calculations'!K6)*(('EZBuck design calculator'!N52*1000)/(N22*1000/2)))^2)*2*PI()*'EZBuck design calculator'!N52*1000))*1000000000</f>
        <v>2.7042754950609007</v>
      </c>
      <c r="O53" s="11" t="s">
        <v>19</v>
      </c>
    </row>
    <row r="54" spans="1:15" ht="15.75">
      <c r="J54" s="279" t="s">
        <v>185</v>
      </c>
      <c r="K54" s="280"/>
      <c r="L54" s="280"/>
      <c r="M54" s="280"/>
      <c r="N54" s="179">
        <f ca="1">(1/(2*PI()*'Bode Plot Calculations'!H4*N53*0.000000001))*0.001</f>
        <v>963.20121746659993</v>
      </c>
      <c r="O54" s="11" t="s">
        <v>4</v>
      </c>
    </row>
    <row r="55" spans="1:15" ht="15.75">
      <c r="J55" s="279" t="s">
        <v>186</v>
      </c>
      <c r="K55" s="280"/>
      <c r="L55" s="280"/>
      <c r="M55" s="280"/>
      <c r="N55" s="179">
        <f ca="1">IF((1/(2*PI()*'EZBuck design calculator'!N40*0.000001*'EZBuck design calculator'!N41*0.001))&lt;3*'EZBuck design calculator'!N52*1000,('EZBuck design calculator'!N40*0.000001*'EZBuck design calculator'!N41*0.001/('EZBuck design calculator'!N54*1000))*(1000000000000)-10,0)</f>
        <v>265.64333929966875</v>
      </c>
      <c r="O55" s="11" t="s">
        <v>20</v>
      </c>
    </row>
    <row r="56" spans="1:15" ht="15">
      <c r="J56" s="279" t="s">
        <v>211</v>
      </c>
      <c r="K56" s="298"/>
      <c r="L56" s="298"/>
      <c r="M56" s="298"/>
      <c r="N56" s="179">
        <f ca="1">1000000000000*SQRT(((0.001/N49)+(0.001/N48))/(1000*N49))/(2*3.14159265*1000*N63)</f>
        <v>218.57319093729677</v>
      </c>
      <c r="O56" s="11" t="s">
        <v>212</v>
      </c>
    </row>
    <row r="57" spans="1:15" ht="15.75">
      <c r="J57" s="281" t="s">
        <v>180</v>
      </c>
      <c r="K57" s="282"/>
      <c r="L57" s="282"/>
      <c r="M57" s="282"/>
      <c r="N57" s="181">
        <v>2.7</v>
      </c>
      <c r="O57" s="11" t="s">
        <v>19</v>
      </c>
    </row>
    <row r="58" spans="1:15" ht="15.75">
      <c r="J58" s="281" t="s">
        <v>181</v>
      </c>
      <c r="K58" s="282"/>
      <c r="L58" s="282"/>
      <c r="M58" s="282"/>
      <c r="N58" s="181">
        <v>963</v>
      </c>
      <c r="O58" s="11" t="s">
        <v>4</v>
      </c>
    </row>
    <row r="59" spans="1:15" ht="15.75">
      <c r="I59" s="210"/>
      <c r="J59" s="281" t="s">
        <v>182</v>
      </c>
      <c r="K59" s="282"/>
      <c r="L59" s="282"/>
      <c r="M59" s="282"/>
      <c r="N59" s="181">
        <v>265</v>
      </c>
      <c r="O59" s="11" t="s">
        <v>20</v>
      </c>
    </row>
    <row r="60" spans="1:15" ht="15" thickBot="1">
      <c r="I60" s="210"/>
      <c r="J60" s="258" t="s">
        <v>214</v>
      </c>
      <c r="K60" s="259"/>
      <c r="L60" s="259"/>
      <c r="M60" s="259"/>
      <c r="N60" s="182">
        <v>220</v>
      </c>
      <c r="O60" s="13" t="s">
        <v>213</v>
      </c>
    </row>
    <row r="62" spans="1:15" ht="15.75" thickBot="1">
      <c r="A62" s="7"/>
      <c r="B62" s="5"/>
      <c r="C62" s="5"/>
      <c r="D62" s="5"/>
      <c r="E62" s="5"/>
      <c r="J62" s="267" t="s">
        <v>23</v>
      </c>
      <c r="K62" s="267"/>
      <c r="L62" s="267"/>
      <c r="M62" s="267"/>
      <c r="N62" s="267"/>
      <c r="O62" s="267"/>
    </row>
    <row r="63" spans="1:15">
      <c r="J63" s="288" t="s">
        <v>24</v>
      </c>
      <c r="K63" s="289"/>
      <c r="L63" s="289"/>
      <c r="M63" s="289"/>
      <c r="N63" s="183">
        <f ca="1">'Bode Plot Calculations'!R4</f>
        <v>34.673999999999999</v>
      </c>
      <c r="O63" s="16" t="s">
        <v>3</v>
      </c>
    </row>
    <row r="64" spans="1:15" ht="15" thickBot="1">
      <c r="J64" s="283" t="s">
        <v>25</v>
      </c>
      <c r="K64" s="284"/>
      <c r="L64" s="284"/>
      <c r="M64" s="284"/>
      <c r="N64" s="184">
        <f ca="1">'Bode Plot Calculations'!R5</f>
        <v>70.22653881354718</v>
      </c>
      <c r="O64" s="13" t="s">
        <v>26</v>
      </c>
    </row>
    <row r="66" spans="10:16" ht="18">
      <c r="J66" s="208" t="s">
        <v>242</v>
      </c>
      <c r="K66" s="208"/>
      <c r="L66" s="208"/>
      <c r="M66" s="208"/>
      <c r="N66" s="208"/>
      <c r="O66" s="208"/>
      <c r="P66" s="186"/>
    </row>
    <row r="67" spans="10:16" ht="15" customHeight="1" thickBot="1">
      <c r="J67" s="20" t="s">
        <v>206</v>
      </c>
      <c r="K67" s="20"/>
      <c r="L67" s="20"/>
      <c r="M67" s="1"/>
      <c r="N67" s="1"/>
      <c r="O67" s="1"/>
    </row>
    <row r="68" spans="10:16">
      <c r="J68" s="299" t="s">
        <v>207</v>
      </c>
      <c r="K68" s="300"/>
      <c r="L68" s="300"/>
      <c r="M68" s="300"/>
      <c r="N68" s="212">
        <f ca="1">'Efficiency calculations'!T301</f>
        <v>4.0509945620964993E-2</v>
      </c>
      <c r="O68" s="131" t="s">
        <v>209</v>
      </c>
    </row>
    <row r="69" spans="10:16" ht="15" thickBot="1">
      <c r="J69" s="277" t="s">
        <v>208</v>
      </c>
      <c r="K69" s="278"/>
      <c r="L69" s="278"/>
      <c r="M69" s="278"/>
      <c r="N69" s="213">
        <f ca="1">N19+'Sheet1 select'!B34*'Efficiency calculations'!T301</f>
        <v>27.51161662849983</v>
      </c>
      <c r="O69" s="209" t="s">
        <v>74</v>
      </c>
    </row>
    <row r="70" spans="10:16" ht="15" thickBot="1">
      <c r="J70" s="1"/>
      <c r="K70" s="1"/>
      <c r="L70" s="1"/>
      <c r="M70" s="1"/>
      <c r="N70" s="1"/>
      <c r="O70" s="1"/>
    </row>
    <row r="71" spans="10:16">
      <c r="J71" s="268" t="s">
        <v>210</v>
      </c>
      <c r="K71" s="269"/>
      <c r="L71" s="269"/>
      <c r="M71" s="269"/>
      <c r="N71" s="269"/>
      <c r="O71" s="270"/>
    </row>
    <row r="72" spans="10:16">
      <c r="J72" s="271"/>
      <c r="K72" s="272"/>
      <c r="L72" s="272"/>
      <c r="M72" s="272"/>
      <c r="N72" s="272"/>
      <c r="O72" s="273"/>
    </row>
    <row r="73" spans="10:16">
      <c r="J73" s="271"/>
      <c r="K73" s="272"/>
      <c r="L73" s="272"/>
      <c r="M73" s="272"/>
      <c r="N73" s="272"/>
      <c r="O73" s="273"/>
    </row>
    <row r="74" spans="10:16">
      <c r="J74" s="271"/>
      <c r="K74" s="272"/>
      <c r="L74" s="272"/>
      <c r="M74" s="272"/>
      <c r="N74" s="272"/>
      <c r="O74" s="273"/>
    </row>
    <row r="75" spans="10:16" ht="15" thickBot="1">
      <c r="J75" s="274"/>
      <c r="K75" s="275"/>
      <c r="L75" s="275"/>
      <c r="M75" s="275"/>
      <c r="N75" s="275"/>
      <c r="O75" s="276"/>
    </row>
    <row r="80" spans="10:16" hidden="1">
      <c r="M80" t="s">
        <v>220</v>
      </c>
      <c r="N80">
        <f ca="1">N19+'Sheet1 select'!B34*'Efficiency calculations'!U301</f>
        <v>26.76761662849983</v>
      </c>
    </row>
    <row r="81" spans="6:14" hidden="1">
      <c r="M81" s="244" t="s">
        <v>236</v>
      </c>
      <c r="N81">
        <f ca="1">N19+'Sheet1 select'!B34*'Efficiency calculations'!V301</f>
        <v>25</v>
      </c>
    </row>
    <row r="86" spans="6:14" hidden="1">
      <c r="F86">
        <f>N22</f>
        <v>200</v>
      </c>
    </row>
    <row r="87" spans="6:14" hidden="1">
      <c r="F87" s="169">
        <v>4</v>
      </c>
    </row>
    <row r="88" spans="6:14" hidden="1">
      <c r="F88" s="169">
        <v>36</v>
      </c>
    </row>
    <row r="89" spans="6:14" hidden="1">
      <c r="F89">
        <f>N22</f>
        <v>200</v>
      </c>
    </row>
  </sheetData>
  <sheetProtection password="E072" sheet="1"/>
  <protectedRanges>
    <protectedRange sqref="N33" name="区域2"/>
    <protectedRange sqref="N22" name="区域1"/>
  </protectedRanges>
  <mergeCells count="47">
    <mergeCell ref="J49:M49"/>
    <mergeCell ref="J39:M39"/>
    <mergeCell ref="J40:M40"/>
    <mergeCell ref="J64:M64"/>
    <mergeCell ref="P14:P19"/>
    <mergeCell ref="J18:M18"/>
    <mergeCell ref="J19:M19"/>
    <mergeCell ref="J29:M29"/>
    <mergeCell ref="J15:M15"/>
    <mergeCell ref="J16:M16"/>
    <mergeCell ref="J17:M17"/>
    <mergeCell ref="J44:M44"/>
    <mergeCell ref="A1:F5"/>
    <mergeCell ref="J11:K11"/>
    <mergeCell ref="B10:E10"/>
    <mergeCell ref="J26:O26"/>
    <mergeCell ref="J27:M27"/>
    <mergeCell ref="B8:E8"/>
    <mergeCell ref="B9:E9"/>
    <mergeCell ref="J23:M23"/>
    <mergeCell ref="J35:O35"/>
    <mergeCell ref="J36:M36"/>
    <mergeCell ref="J37:M37"/>
    <mergeCell ref="J41:M41"/>
    <mergeCell ref="J43:O43"/>
    <mergeCell ref="J38:M38"/>
    <mergeCell ref="J51:O51"/>
    <mergeCell ref="J48:M48"/>
    <mergeCell ref="J71:O75"/>
    <mergeCell ref="J69:M69"/>
    <mergeCell ref="J55:M55"/>
    <mergeCell ref="J57:M57"/>
    <mergeCell ref="J53:M53"/>
    <mergeCell ref="J54:M54"/>
    <mergeCell ref="J58:M58"/>
    <mergeCell ref="J59:M59"/>
    <mergeCell ref="J62:O62"/>
    <mergeCell ref="J63:M63"/>
    <mergeCell ref="J52:M52"/>
    <mergeCell ref="J56:M56"/>
    <mergeCell ref="J60:M60"/>
    <mergeCell ref="J68:M68"/>
    <mergeCell ref="J30:M30"/>
    <mergeCell ref="J32:O32"/>
    <mergeCell ref="J22:M22"/>
    <mergeCell ref="J33:M33"/>
    <mergeCell ref="J28:M28"/>
  </mergeCells>
  <phoneticPr fontId="2" type="noConversion"/>
  <conditionalFormatting sqref="N64">
    <cfRule type="cellIs" dxfId="15" priority="2" stopIfTrue="1" operator="lessThan">
      <formula>45</formula>
    </cfRule>
  </conditionalFormatting>
  <conditionalFormatting sqref="N48">
    <cfRule type="cellIs" dxfId="14" priority="3" stopIfTrue="1" operator="notBetween">
      <formula>0.001</formula>
      <formula>50</formula>
    </cfRule>
  </conditionalFormatting>
  <conditionalFormatting sqref="N18">
    <cfRule type="cellIs" dxfId="13" priority="4" stopIfTrue="1" operator="notBetween">
      <formula>0.1</formula>
      <formula>3</formula>
    </cfRule>
  </conditionalFormatting>
  <conditionalFormatting sqref="N40">
    <cfRule type="cellIs" dxfId="12" priority="5" stopIfTrue="1" operator="notBetween">
      <formula>20</formula>
      <formula>3000</formula>
    </cfRule>
  </conditionalFormatting>
  <conditionalFormatting sqref="N15">
    <cfRule type="cellIs" dxfId="11" priority="6" stopIfTrue="1" operator="notBetween">
      <formula>3</formula>
      <formula>F88</formula>
    </cfRule>
  </conditionalFormatting>
  <conditionalFormatting sqref="N19">
    <cfRule type="cellIs" dxfId="10" priority="7" stopIfTrue="1" operator="notBetween">
      <formula>0</formula>
      <formula>85</formula>
    </cfRule>
  </conditionalFormatting>
  <conditionalFormatting sqref="N41">
    <cfRule type="cellIs" dxfId="9" priority="8" stopIfTrue="1" operator="notBetween">
      <formula>1</formula>
      <formula>$N$39</formula>
    </cfRule>
  </conditionalFormatting>
  <conditionalFormatting sqref="N44">
    <cfRule type="cellIs" dxfId="8" priority="9" stopIfTrue="1" operator="greaterThan">
      <formula>$N$16*$N$18*10</formula>
    </cfRule>
  </conditionalFormatting>
  <conditionalFormatting sqref="N52">
    <cfRule type="cellIs" dxfId="7" priority="10" stopIfTrue="1" operator="greaterThan">
      <formula>$F$89/10</formula>
    </cfRule>
  </conditionalFormatting>
  <conditionalFormatting sqref="N58">
    <cfRule type="cellIs" dxfId="6" priority="11" stopIfTrue="1" operator="greaterThan">
      <formula>1000</formula>
    </cfRule>
  </conditionalFormatting>
  <conditionalFormatting sqref="N63">
    <cfRule type="cellIs" dxfId="5" priority="12" stopIfTrue="1" operator="notBetween">
      <formula>$F$89/50</formula>
      <formula>$F$89/10</formula>
    </cfRule>
  </conditionalFormatting>
  <conditionalFormatting sqref="N16">
    <cfRule type="cellIs" dxfId="4" priority="13" stopIfTrue="1" operator="notBetween">
      <formula>0.8</formula>
      <formula>0.95*$N$15</formula>
    </cfRule>
  </conditionalFormatting>
  <conditionalFormatting sqref="N30">
    <cfRule type="cellIs" dxfId="3" priority="16" stopIfTrue="1" operator="notBetween">
      <formula>1</formula>
      <formula>200</formula>
    </cfRule>
  </conditionalFormatting>
  <conditionalFormatting sqref="N69">
    <cfRule type="cellIs" dxfId="2" priority="17" stopIfTrue="1" operator="greaterThan">
      <formula>150</formula>
    </cfRule>
  </conditionalFormatting>
  <conditionalFormatting sqref="N22">
    <cfRule type="cellIs" priority="1" stopIfTrue="1" operator="between">
      <formula>200</formula>
      <formula>2000</formula>
    </cfRule>
  </conditionalFormatting>
  <conditionalFormatting sqref="N17">
    <cfRule type="cellIs" dxfId="1" priority="25" stopIfTrue="1" operator="notBetween">
      <formula>(N16*1000*(1-(N16/N15)))/(2*N29*F86)</formula>
      <formula>F87</formula>
    </cfRule>
  </conditionalFormatting>
  <conditionalFormatting sqref="N29">
    <cfRule type="cellIs" dxfId="0" priority="26" stopIfTrue="1" operator="notBetween">
      <formula>1000000*((N15-N16)*N16/N15)/(2*1.05*(N28-N17)*F89*1000)</formula>
      <formula>3.5*N27</formula>
    </cfRule>
  </conditionalFormatting>
  <dataValidations count="8">
    <dataValidation type="decimal" allowBlank="1" showInputMessage="1" showErrorMessage="1" errorTitle="Invalid data!!!" sqref="N15">
      <formula1>3</formula1>
      <formula2>F88</formula2>
    </dataValidation>
    <dataValidation type="decimal" allowBlank="1" showInputMessage="1" showErrorMessage="1" errorTitle="Invalid data!!!" sqref="N16">
      <formula1>0.8</formula1>
      <formula2>0.95*N15</formula2>
    </dataValidation>
    <dataValidation type="decimal" allowBlank="1" showInputMessage="1" showErrorMessage="1" errorTitle="Invalid data!!!" sqref="N17">
      <formula1>0</formula1>
      <formula2>F87</formula2>
    </dataValidation>
    <dataValidation showInputMessage="1" showErrorMessage="1" sqref="L11"/>
    <dataValidation type="decimal" allowBlank="1" showInputMessage="1" showErrorMessage="1" errorTitle="Invalid data!!!" prompt="Operating temperature between 0ºC and 85ºC" sqref="N19">
      <formula1>0</formula1>
      <formula2>85</formula2>
    </dataValidation>
    <dataValidation type="decimal" allowBlank="1" showInputMessage="1" showErrorMessage="1" errorTitle="Invalid data!!!" error="Inductor DCR from inductor datasheet_x000a_Reasonable value between 1mohm and 200mohm" prompt="Inductor DCR from inductor datasheet_x000a_Reasonable value between 1mohm and 200mohm" sqref="N30">
      <formula1>1</formula1>
      <formula2>200</formula2>
    </dataValidation>
    <dataValidation allowBlank="1" showInputMessage="1" showErrorMessage="1" prompt="Usually,RFB2 is set to a convenient value such as 10Kohm,and RFB1 is then calculated." sqref="N48"/>
    <dataValidation type="decimal" allowBlank="1" showInputMessage="1" showErrorMessage="1" sqref="N22">
      <formula1>200</formula1>
      <formula2>2000</formula2>
    </dataValidation>
  </dataValidations>
  <hyperlinks>
    <hyperlink ref="J71:O75" r:id="rId1" display="http://www.aosmd.com/web/products/poweric.jsp"/>
  </hyperlink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79" r:id="rId5" name="Drop Down 55">
              <controlPr defaultSize="0" autoLine="0" autoPict="0">
                <anchor moveWithCells="1">
                  <from>
                    <xdr:col>9</xdr:col>
                    <xdr:colOff>190500</xdr:colOff>
                    <xdr:row>10</xdr:row>
                    <xdr:rowOff>19050</xdr:rowOff>
                  </from>
                  <to>
                    <xdr:col>11</xdr:col>
                    <xdr:colOff>504825</xdr:colOff>
                    <xdr:row>10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1"/>
  <sheetViews>
    <sheetView topLeftCell="A7" workbookViewId="0">
      <selection activeCell="B7" sqref="B7"/>
    </sheetView>
  </sheetViews>
  <sheetFormatPr defaultRowHeight="14.25"/>
  <cols>
    <col min="1" max="1" width="71.875" customWidth="1"/>
  </cols>
  <sheetData>
    <row r="1" spans="1:1" ht="183.75" customHeight="1">
      <c r="A1" s="138"/>
    </row>
    <row r="2" spans="1:1" ht="183.75" customHeight="1">
      <c r="A2" s="138"/>
    </row>
    <row r="3" spans="1:1" ht="183.75" customHeight="1">
      <c r="A3" s="138"/>
    </row>
    <row r="4" spans="1:1" ht="183.75" customHeight="1">
      <c r="A4" s="138"/>
    </row>
    <row r="5" spans="1:1" ht="183.75" customHeight="1">
      <c r="A5" s="138"/>
    </row>
    <row r="6" spans="1:1" ht="183.75" customHeight="1">
      <c r="A6" s="138"/>
    </row>
    <row r="7" spans="1:1" ht="183.75" customHeight="1">
      <c r="A7" s="138"/>
    </row>
    <row r="8" spans="1:1" ht="183.75" customHeight="1">
      <c r="A8" s="139"/>
    </row>
    <row r="9" spans="1:1" ht="183.75" customHeight="1">
      <c r="A9" s="140"/>
    </row>
    <row r="10" spans="1:1" ht="183.75" customHeight="1">
      <c r="A10" s="141"/>
    </row>
    <row r="11" spans="1:1" ht="183.75" customHeight="1"/>
  </sheetData>
  <phoneticPr fontId="2" type="noConversion"/>
  <pageMargins left="0.75" right="0.75" top="1" bottom="1" header="0.5" footer="0.5"/>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2"/>
  <sheetViews>
    <sheetView showGridLines="0" workbookViewId="0">
      <selection activeCell="D2" sqref="D2"/>
    </sheetView>
  </sheetViews>
  <sheetFormatPr defaultRowHeight="14.25"/>
  <cols>
    <col min="2" max="2" width="25.375" customWidth="1"/>
  </cols>
  <sheetData>
    <row r="1" spans="1:11" ht="150.75" customHeight="1">
      <c r="A1" s="137">
        <v>4</v>
      </c>
    </row>
    <row r="2" spans="1:11">
      <c r="A2" t="str">
        <f>'Sheet1 select'!B30</f>
        <v>NA</v>
      </c>
    </row>
    <row r="3" spans="1:11">
      <c r="C3" s="301"/>
      <c r="D3" s="302"/>
      <c r="E3" s="302"/>
      <c r="F3" s="302"/>
      <c r="G3" s="302"/>
      <c r="H3" s="302"/>
      <c r="I3" s="302"/>
      <c r="J3" s="302"/>
      <c r="K3" s="303"/>
    </row>
    <row r="4" spans="1:11">
      <c r="C4" s="304"/>
      <c r="D4" s="305"/>
      <c r="E4" s="305"/>
      <c r="F4" s="305"/>
      <c r="G4" s="305"/>
      <c r="H4" s="305"/>
      <c r="I4" s="305"/>
      <c r="J4" s="305"/>
      <c r="K4" s="306"/>
    </row>
    <row r="5" spans="1:11">
      <c r="C5" s="142"/>
      <c r="D5" s="143"/>
      <c r="E5" s="143"/>
      <c r="F5" s="143"/>
      <c r="G5" s="143"/>
      <c r="H5" s="143"/>
      <c r="I5" s="143"/>
      <c r="J5" s="143"/>
      <c r="K5" s="144"/>
    </row>
    <row r="6" spans="1:11">
      <c r="C6" s="145"/>
      <c r="D6" s="146"/>
      <c r="E6" s="147"/>
      <c r="F6" s="147"/>
      <c r="G6" s="147"/>
      <c r="H6" s="147"/>
      <c r="I6" s="147"/>
      <c r="J6" s="147"/>
      <c r="K6" s="148"/>
    </row>
    <row r="7" spans="1:11">
      <c r="C7" s="142"/>
      <c r="D7" s="143"/>
      <c r="E7" s="143"/>
      <c r="F7" s="143"/>
      <c r="G7" s="143"/>
      <c r="H7" s="143"/>
      <c r="I7" s="143"/>
      <c r="J7" s="143"/>
      <c r="K7" s="144"/>
    </row>
    <row r="8" spans="1:11">
      <c r="C8" s="145"/>
      <c r="D8" s="147"/>
      <c r="E8" s="147"/>
      <c r="F8" s="147"/>
      <c r="G8" s="147"/>
      <c r="H8" s="147"/>
      <c r="I8" s="147"/>
      <c r="J8" s="147"/>
      <c r="K8" s="148"/>
    </row>
    <row r="9" spans="1:11">
      <c r="C9" s="301"/>
      <c r="D9" s="302"/>
      <c r="E9" s="302"/>
      <c r="F9" s="302"/>
      <c r="G9" s="302"/>
      <c r="H9" s="302"/>
      <c r="I9" s="302"/>
      <c r="J9" s="302"/>
      <c r="K9" s="303"/>
    </row>
    <row r="10" spans="1:11">
      <c r="C10" s="304"/>
      <c r="D10" s="305"/>
      <c r="E10" s="305"/>
      <c r="F10" s="305"/>
      <c r="G10" s="305"/>
      <c r="H10" s="305"/>
      <c r="I10" s="305"/>
      <c r="J10" s="305"/>
      <c r="K10" s="306"/>
    </row>
    <row r="11" spans="1:11">
      <c r="C11" s="301"/>
      <c r="D11" s="302"/>
      <c r="E11" s="302"/>
      <c r="F11" s="302"/>
      <c r="G11" s="302"/>
      <c r="H11" s="302"/>
      <c r="I11" s="302"/>
      <c r="J11" s="302"/>
      <c r="K11" s="303"/>
    </row>
    <row r="12" spans="1:11">
      <c r="C12" s="304"/>
      <c r="D12" s="305"/>
      <c r="E12" s="305"/>
      <c r="F12" s="305"/>
      <c r="G12" s="305"/>
      <c r="H12" s="305"/>
      <c r="I12" s="305"/>
      <c r="J12" s="305"/>
      <c r="K12" s="306"/>
    </row>
  </sheetData>
  <mergeCells count="3">
    <mergeCell ref="C3:K4"/>
    <mergeCell ref="C9:K10"/>
    <mergeCell ref="C11:K12"/>
  </mergeCells>
  <phoneticPr fontId="2" type="noConversion"/>
  <dataValidations count="1">
    <dataValidation type="list" allowBlank="1" showInputMessage="1" showErrorMessage="1" sqref="A1">
      <formula1>"1,2,3,4,5,6,7,8,9,10"</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43"/>
  <sheetViews>
    <sheetView workbookViewId="0">
      <selection activeCell="E11" sqref="E11"/>
    </sheetView>
  </sheetViews>
  <sheetFormatPr defaultRowHeight="14.25"/>
  <cols>
    <col min="1" max="1" width="26.875" customWidth="1"/>
    <col min="2" max="2" width="14.25" customWidth="1"/>
  </cols>
  <sheetData>
    <row r="1" spans="1:2" ht="23.25" customHeight="1" thickBot="1">
      <c r="A1" s="33" t="s">
        <v>33</v>
      </c>
      <c r="B1" s="34"/>
    </row>
    <row r="2" spans="1:2" ht="20.25" customHeight="1">
      <c r="A2" s="35">
        <v>1</v>
      </c>
      <c r="B2" s="36" t="str">
        <f>INDEX(ControllerList,A2,1)</f>
        <v>AOZ1284PI</v>
      </c>
    </row>
    <row r="3" spans="1:2" ht="47.25" customHeight="1">
      <c r="A3" s="67" t="s">
        <v>75</v>
      </c>
      <c r="B3" s="38"/>
    </row>
    <row r="4" spans="1:2" ht="27.75" customHeight="1">
      <c r="A4" s="65" t="s">
        <v>76</v>
      </c>
      <c r="B4" s="38">
        <f t="shared" ref="B4:B10" si="0">VLOOKUP(B$2,CData,MATCH(A4,CColHead,0),0)</f>
        <v>0.52</v>
      </c>
    </row>
    <row r="5" spans="1:2">
      <c r="A5" s="65" t="s">
        <v>34</v>
      </c>
      <c r="B5" s="39">
        <f t="shared" si="0"/>
        <v>2</v>
      </c>
    </row>
    <row r="6" spans="1:2" ht="40.5" customHeight="1">
      <c r="A6" s="65" t="s">
        <v>61</v>
      </c>
      <c r="B6" s="39">
        <f t="shared" si="0"/>
        <v>200</v>
      </c>
    </row>
    <row r="7" spans="1:2" ht="42" customHeight="1">
      <c r="A7" s="65" t="s">
        <v>70</v>
      </c>
      <c r="B7" s="39">
        <f t="shared" si="0"/>
        <v>8</v>
      </c>
    </row>
    <row r="8" spans="1:2" ht="25.5">
      <c r="A8" s="66" t="s">
        <v>77</v>
      </c>
      <c r="B8" s="39">
        <f t="shared" si="0"/>
        <v>36</v>
      </c>
    </row>
    <row r="9" spans="1:2" ht="25.5">
      <c r="A9" s="66" t="s">
        <v>78</v>
      </c>
      <c r="B9" s="39">
        <f t="shared" si="0"/>
        <v>6.3</v>
      </c>
    </row>
    <row r="10" spans="1:2" ht="26.25" customHeight="1">
      <c r="A10" s="65" t="s">
        <v>153</v>
      </c>
      <c r="B10" s="39">
        <f t="shared" si="0"/>
        <v>5</v>
      </c>
    </row>
    <row r="11" spans="1:2" ht="25.5">
      <c r="A11" s="65" t="s">
        <v>139</v>
      </c>
      <c r="B11" s="39">
        <v>6</v>
      </c>
    </row>
    <row r="12" spans="1:2" ht="28.5" customHeight="1">
      <c r="A12" s="66" t="s">
        <v>81</v>
      </c>
      <c r="B12" s="39">
        <f t="shared" ref="B12:B40" si="1">VLOOKUP(B$2,CData,MATCH(A12,CColHead,0),0)</f>
        <v>0</v>
      </c>
    </row>
    <row r="13" spans="1:2" ht="29.25" customHeight="1">
      <c r="A13" s="66" t="s">
        <v>82</v>
      </c>
      <c r="B13" s="69">
        <f t="shared" si="1"/>
        <v>0</v>
      </c>
    </row>
    <row r="14" spans="1:2" ht="25.5">
      <c r="A14" s="66" t="s">
        <v>80</v>
      </c>
      <c r="B14" s="70">
        <f t="shared" si="1"/>
        <v>0</v>
      </c>
    </row>
    <row r="15" spans="1:2" ht="25.5">
      <c r="A15" s="66" t="s">
        <v>79</v>
      </c>
      <c r="B15" s="70">
        <f t="shared" si="1"/>
        <v>0</v>
      </c>
    </row>
    <row r="16" spans="1:2" ht="41.25" customHeight="1">
      <c r="A16" s="66" t="s">
        <v>83</v>
      </c>
      <c r="B16" s="70">
        <f t="shared" si="1"/>
        <v>80</v>
      </c>
    </row>
    <row r="17" spans="1:2" ht="41.25" customHeight="1">
      <c r="A17" s="66" t="s">
        <v>84</v>
      </c>
      <c r="B17" s="70">
        <f t="shared" si="1"/>
        <v>0</v>
      </c>
    </row>
    <row r="18" spans="1:2" ht="26.25" customHeight="1">
      <c r="A18" s="65" t="s">
        <v>85</v>
      </c>
      <c r="B18" s="70">
        <f t="shared" si="1"/>
        <v>0.8</v>
      </c>
    </row>
    <row r="19" spans="1:2" ht="32.25" customHeight="1">
      <c r="A19" s="65" t="s">
        <v>86</v>
      </c>
      <c r="B19" s="70">
        <f t="shared" si="1"/>
        <v>0.9</v>
      </c>
    </row>
    <row r="20" spans="1:2" ht="32.25" customHeight="1">
      <c r="A20" s="65" t="s">
        <v>87</v>
      </c>
      <c r="B20" s="70">
        <f t="shared" si="1"/>
        <v>0</v>
      </c>
    </row>
    <row r="21" spans="1:2" ht="32.25" customHeight="1">
      <c r="A21" s="65" t="s">
        <v>88</v>
      </c>
      <c r="B21" s="70">
        <f t="shared" si="1"/>
        <v>14</v>
      </c>
    </row>
    <row r="22" spans="1:2" ht="32.25" customHeight="1">
      <c r="A22" s="65" t="s">
        <v>89</v>
      </c>
      <c r="B22" s="70">
        <f t="shared" si="1"/>
        <v>0</v>
      </c>
    </row>
    <row r="23" spans="1:2" ht="32.25" customHeight="1">
      <c r="A23" s="65" t="s">
        <v>90</v>
      </c>
      <c r="B23" s="70">
        <f t="shared" si="1"/>
        <v>0.95714285714285718</v>
      </c>
    </row>
    <row r="24" spans="1:2" ht="32.25" customHeight="1">
      <c r="A24" s="65" t="s">
        <v>91</v>
      </c>
      <c r="B24" s="70" t="e">
        <f t="shared" si="1"/>
        <v>#DIV/0!</v>
      </c>
    </row>
    <row r="25" spans="1:2" ht="25.5">
      <c r="A25" s="66" t="s">
        <v>149</v>
      </c>
      <c r="B25" s="70">
        <f t="shared" ca="1" si="1"/>
        <v>5.4585737880211448E-2</v>
      </c>
    </row>
    <row r="26" spans="1:2" ht="25.5">
      <c r="A26" s="66" t="s">
        <v>150</v>
      </c>
      <c r="B26" s="70">
        <f t="shared" ca="1" si="1"/>
        <v>0</v>
      </c>
    </row>
    <row r="27" spans="1:2" ht="25.5">
      <c r="A27" s="65" t="s">
        <v>93</v>
      </c>
      <c r="B27" s="70">
        <f t="shared" si="1"/>
        <v>1.6</v>
      </c>
    </row>
    <row r="28" spans="1:2" ht="25.5">
      <c r="A28" s="65" t="s">
        <v>94</v>
      </c>
      <c r="B28" s="70">
        <f t="shared" si="1"/>
        <v>0</v>
      </c>
    </row>
    <row r="29" spans="1:2">
      <c r="A29" s="66" t="s">
        <v>92</v>
      </c>
      <c r="B29" s="70">
        <f t="shared" si="1"/>
        <v>1</v>
      </c>
    </row>
    <row r="30" spans="1:2">
      <c r="A30" s="65" t="s">
        <v>32</v>
      </c>
      <c r="B30" s="70" t="str">
        <f t="shared" si="1"/>
        <v>NA</v>
      </c>
    </row>
    <row r="31" spans="1:2" ht="25.5">
      <c r="A31" s="149" t="s">
        <v>141</v>
      </c>
      <c r="B31" s="151">
        <f t="shared" si="1"/>
        <v>3</v>
      </c>
    </row>
    <row r="32" spans="1:2" ht="25.5">
      <c r="A32" s="150" t="s">
        <v>144</v>
      </c>
      <c r="B32" s="151">
        <f t="shared" si="1"/>
        <v>0.5</v>
      </c>
    </row>
    <row r="33" spans="1:2" ht="25.5">
      <c r="A33" s="150" t="s">
        <v>142</v>
      </c>
      <c r="B33" s="151">
        <f t="shared" si="1"/>
        <v>0.4</v>
      </c>
    </row>
    <row r="34" spans="1:2" ht="29.25">
      <c r="A34" s="152" t="s">
        <v>140</v>
      </c>
      <c r="B34" s="151">
        <f t="shared" si="1"/>
        <v>62</v>
      </c>
    </row>
    <row r="35" spans="1:2" ht="25.5">
      <c r="A35" s="149" t="s">
        <v>143</v>
      </c>
      <c r="B35" s="151">
        <f t="shared" si="1"/>
        <v>0</v>
      </c>
    </row>
    <row r="36" spans="1:2" ht="25.5">
      <c r="A36" s="150" t="s">
        <v>145</v>
      </c>
      <c r="B36" s="151">
        <f t="shared" si="1"/>
        <v>0</v>
      </c>
    </row>
    <row r="37" spans="1:2" ht="25.5">
      <c r="A37" s="150" t="s">
        <v>146</v>
      </c>
      <c r="B37" s="151">
        <f t="shared" si="1"/>
        <v>0</v>
      </c>
    </row>
    <row r="38" spans="1:2" ht="25.5">
      <c r="A38" s="150" t="s">
        <v>147</v>
      </c>
      <c r="B38" s="151" t="e">
        <f t="shared" ca="1" si="1"/>
        <v>#NAME?</v>
      </c>
    </row>
    <row r="39" spans="1:2" ht="25.5">
      <c r="A39" s="150" t="s">
        <v>148</v>
      </c>
      <c r="B39" s="151" t="e">
        <f t="shared" ca="1" si="1"/>
        <v>#NAME?</v>
      </c>
    </row>
    <row r="40" spans="1:2">
      <c r="A40" s="149" t="s">
        <v>157</v>
      </c>
      <c r="B40" s="151">
        <f t="shared" si="1"/>
        <v>0</v>
      </c>
    </row>
    <row r="41" spans="1:2" ht="25.5">
      <c r="A41" s="150" t="s">
        <v>155</v>
      </c>
      <c r="B41" s="151">
        <f>'EZBuck design calculator'!N33</f>
        <v>0.4</v>
      </c>
    </row>
    <row r="42" spans="1:2" ht="25.5">
      <c r="A42" s="150" t="s">
        <v>163</v>
      </c>
      <c r="B42" s="151">
        <f>VLOOKUP(B$2,CData,MATCH(A42,CColHead,0),0)</f>
        <v>4</v>
      </c>
    </row>
    <row r="43" spans="1:2" ht="42.75">
      <c r="A43" s="168" t="s">
        <v>164</v>
      </c>
      <c r="B43" s="151">
        <f>VLOOKUP(B$2,CData,MATCH(A43,CColHead,0),0)</f>
        <v>36</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0</xdr:col>
                    <xdr:colOff>114300</xdr:colOff>
                    <xdr:row>1</xdr:row>
                    <xdr:rowOff>28575</xdr:rowOff>
                  </from>
                  <to>
                    <xdr:col>0</xdr:col>
                    <xdr:colOff>1571625</xdr:colOff>
                    <xdr:row>1</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301"/>
  <sheetViews>
    <sheetView topLeftCell="G1" workbookViewId="0">
      <pane ySplit="1" topLeftCell="A2" activePane="bottomLeft" state="frozen"/>
      <selection pane="bottomLeft" activeCell="Q308" sqref="Q308"/>
    </sheetView>
  </sheetViews>
  <sheetFormatPr defaultRowHeight="14.25"/>
  <cols>
    <col min="1" max="1" width="11.125" customWidth="1"/>
    <col min="2" max="2" width="10.25" customWidth="1"/>
    <col min="6" max="8" width="9.5" bestFit="1" customWidth="1"/>
    <col min="9" max="9" width="9.5" customWidth="1"/>
    <col min="10" max="10" width="9.5" bestFit="1" customWidth="1"/>
    <col min="11" max="11" width="13.875" customWidth="1"/>
    <col min="12" max="13" width="9.5" bestFit="1" customWidth="1"/>
    <col min="17" max="17" width="11" customWidth="1"/>
    <col min="18" max="18" width="11.125" customWidth="1"/>
    <col min="21" max="21" width="15.875" customWidth="1"/>
    <col min="22" max="22" width="16.125" customWidth="1"/>
  </cols>
  <sheetData>
    <row r="1" spans="1:22" ht="72" thickBot="1">
      <c r="A1" s="161" t="s">
        <v>42</v>
      </c>
      <c r="B1" s="51">
        <f>(('EZBuck design calculator'!N15-'EZBuck design calculator'!N16)*'Efficiency calculations'!B3)/('EZBuck design calculator'!N29*0.000001*'EZBuck design calculator'!N22*1000)</f>
        <v>0.66287878787878785</v>
      </c>
      <c r="C1" s="52" t="s">
        <v>2</v>
      </c>
      <c r="E1" s="40" t="s">
        <v>161</v>
      </c>
      <c r="F1" s="41" t="s">
        <v>52</v>
      </c>
      <c r="G1" s="41" t="s">
        <v>53</v>
      </c>
      <c r="H1" s="41" t="s">
        <v>54</v>
      </c>
      <c r="I1" s="41" t="s">
        <v>154</v>
      </c>
      <c r="J1" s="41" t="s">
        <v>55</v>
      </c>
      <c r="K1" s="41" t="s">
        <v>156</v>
      </c>
      <c r="L1" s="41" t="s">
        <v>56</v>
      </c>
      <c r="M1" s="41" t="s">
        <v>57</v>
      </c>
      <c r="N1" s="42" t="s">
        <v>58</v>
      </c>
      <c r="O1" s="43" t="s">
        <v>59</v>
      </c>
      <c r="P1" s="166" t="s">
        <v>60</v>
      </c>
      <c r="Q1" s="43" t="s">
        <v>162</v>
      </c>
      <c r="R1" s="167" t="s">
        <v>43</v>
      </c>
      <c r="S1" s="40" t="s">
        <v>44</v>
      </c>
      <c r="T1" s="153" t="s">
        <v>158</v>
      </c>
      <c r="U1" s="242"/>
      <c r="V1" s="242"/>
    </row>
    <row r="2" spans="1:22">
      <c r="A2" s="161" t="s">
        <v>45</v>
      </c>
      <c r="B2" s="53">
        <f>B1/SQRT(12)</f>
        <v>0.19135662331095551</v>
      </c>
      <c r="C2" s="54" t="s">
        <v>2</v>
      </c>
      <c r="E2" s="44">
        <v>1</v>
      </c>
      <c r="F2" s="45">
        <f t="shared" ref="F2:F65" si="0">$B$12*E2/300</f>
        <v>2.666666666666667E-3</v>
      </c>
      <c r="G2" s="45">
        <f t="shared" ref="G2:G65" si="1">F2*F2*$B$14*0.001*2</f>
        <v>1.4222222222222225E-6</v>
      </c>
      <c r="H2" s="45">
        <f ca="1">F2*F2*('Sheet1 select'!$B$25)*$B$3</f>
        <v>1.6173551964507101E-7</v>
      </c>
      <c r="I2" s="45">
        <f>F2*(1-$B$3)*'Sheet1 select'!$B$41</f>
        <v>6.2222222222222225E-4</v>
      </c>
      <c r="J2" s="45">
        <f ca="1">F2*F2*('Sheet1 select'!$B$26)*(1-$B$3)</f>
        <v>0</v>
      </c>
      <c r="K2" s="45">
        <f>0.0000005*$B$10*F2*$B$8*((('Sheet1 select'!$B$33+0.5*'Sheet1 select'!$B$32)/(('Sheet1 select'!$B$10-'Sheet1 select'!$B$23)/('Sheet1 select'!$B$27+'Sheet1 select'!$B$8)))+(('Sheet1 select'!$B$33+0.5*'Sheet1 select'!$B$32)/(('Sheet1 select'!$B$23)/('Sheet1 select'!$B$27+'Sheet1 select'!$B$9))))</f>
        <v>3.651249617636202E-5</v>
      </c>
      <c r="L2" s="45">
        <f>(F2*$B$28)*(('Sheet1 select'!$B$12+'Sheet1 select'!$B$13)*(0.000000001))*$B$8*1000</f>
        <v>0</v>
      </c>
      <c r="M2" s="45">
        <f t="shared" ref="M2:M65" si="2">($B$2^2)*$B$16*0.001</f>
        <v>6.481272239439854E-3</v>
      </c>
      <c r="N2" s="46">
        <f>$B$10*'Sheet1 select'!$B$29*0.001</f>
        <v>1.2E-2</v>
      </c>
      <c r="O2" s="44">
        <f>'Sheet1 select'!$B$10*'Sheet1 select'!$B$31*$B$8*1000*0.000000001</f>
        <v>3.0000000000000001E-3</v>
      </c>
      <c r="P2" s="44">
        <f>'Sheet1 select'!$B$35*$B$10*$B$8*1000*0.000000001</f>
        <v>0</v>
      </c>
      <c r="Q2" s="47">
        <f>IF('Sheet1 select'!$B$17=0,0,(0.00000006*0.7+0.00000003*(0.7+F2*1.1*'Sheet1 select'!$B$26))*F2*$B$8*1000)</f>
        <v>0</v>
      </c>
      <c r="R2" s="45">
        <f t="shared" ref="R2:R65" ca="1" si="3">SUM(G2:P2)+Q2</f>
        <v>2.2141590915580305E-2</v>
      </c>
      <c r="S2" s="48">
        <f t="shared" ref="S2:S65" ca="1" si="4">($B$11*F2)/($B$11*F2+R2)</f>
        <v>0.37585234121371364</v>
      </c>
      <c r="T2" s="49">
        <f ca="1">H2+K2+O2+N2+'Sheet1 select'!$B$40*I2+J2+P2</f>
        <v>1.5036674231696008E-2</v>
      </c>
      <c r="U2" s="169">
        <f t="shared" ref="U2:U65" ca="1" si="5">H2+K2+O2</f>
        <v>3.0366742316960071E-3</v>
      </c>
      <c r="V2" s="47">
        <f t="shared" ref="V2:V65" ca="1" si="6">J2+P2+Q2</f>
        <v>0</v>
      </c>
    </row>
    <row r="3" spans="1:22">
      <c r="A3" s="161" t="s">
        <v>36</v>
      </c>
      <c r="B3" s="55">
        <f>'EZBuck design calculator'!N16/'EZBuck design calculator'!N15</f>
        <v>0.41666666666666669</v>
      </c>
      <c r="C3" s="37"/>
      <c r="E3" s="32">
        <v>2</v>
      </c>
      <c r="F3" s="45">
        <f t="shared" si="0"/>
        <v>5.333333333333334E-3</v>
      </c>
      <c r="G3" s="45">
        <f t="shared" si="1"/>
        <v>5.6888888888888901E-6</v>
      </c>
      <c r="H3" s="45">
        <f ca="1">F3*F3*('Sheet1 select'!$B$25)*$B$3</f>
        <v>6.4694207858028402E-7</v>
      </c>
      <c r="I3" s="45">
        <f>F3*(1-$B$3)*'Sheet1 select'!$B$41</f>
        <v>1.2444444444444445E-3</v>
      </c>
      <c r="J3" s="45">
        <f ca="1">F3*F3*('Sheet1 select'!$B$26)*(1-$B$3)</f>
        <v>0</v>
      </c>
      <c r="K3" s="45">
        <f>0.0000005*$B$10*F3*$B$8*((('Sheet1 select'!$B$33+0.5*'Sheet1 select'!$B$32)/(('Sheet1 select'!$B$10-'Sheet1 select'!$B$23)/('Sheet1 select'!$B$27+'Sheet1 select'!$B$8)))+(('Sheet1 select'!$B$33+0.5*'Sheet1 select'!$B$32)/(('Sheet1 select'!$B$23)/('Sheet1 select'!$B$27+'Sheet1 select'!$B$9))))</f>
        <v>7.3024992352724039E-5</v>
      </c>
      <c r="L3" s="45">
        <f>(F3*$B$28)*(('Sheet1 select'!$B$12+'Sheet1 select'!$B$13)*(0.000000001))*$B$8*1000</f>
        <v>0</v>
      </c>
      <c r="M3" s="45">
        <f t="shared" si="2"/>
        <v>6.481272239439854E-3</v>
      </c>
      <c r="N3" s="46">
        <f>$B$10*'Sheet1 select'!$B$29*0.001</f>
        <v>1.2E-2</v>
      </c>
      <c r="O3" s="44">
        <f>'Sheet1 select'!$B$10*'Sheet1 select'!$B$31*$B$8*1000*0.000000001</f>
        <v>3.0000000000000001E-3</v>
      </c>
      <c r="P3" s="44">
        <f>'Sheet1 select'!$B$35*$B$10*$B$8*1000*0.000000001</f>
        <v>0</v>
      </c>
      <c r="Q3" s="47">
        <f>IF('Sheet1 select'!$B$17=0,0,(0.00000006*0.7+0.00000003*(0.7+F3*1.1*'Sheet1 select'!$B$26))*F3*$B$8*1000)</f>
        <v>0</v>
      </c>
      <c r="R3" s="45">
        <f t="shared" ca="1" si="3"/>
        <v>2.280507750720449E-2</v>
      </c>
      <c r="S3" s="48">
        <f t="shared" ca="1" si="4"/>
        <v>0.53902822938575212</v>
      </c>
      <c r="T3" s="49">
        <f ca="1">H3+K3+O3+N3+'Sheet1 select'!$B$40*I3+J3+P3</f>
        <v>1.5073671934431305E-2</v>
      </c>
      <c r="U3" s="169">
        <f t="shared" ca="1" si="5"/>
        <v>3.0736719344313045E-3</v>
      </c>
      <c r="V3" s="47">
        <f t="shared" ca="1" si="6"/>
        <v>0</v>
      </c>
    </row>
    <row r="4" spans="1:22">
      <c r="E4" s="32">
        <v>3</v>
      </c>
      <c r="F4" s="45">
        <f t="shared" si="0"/>
        <v>8.0000000000000019E-3</v>
      </c>
      <c r="G4" s="45">
        <f t="shared" si="1"/>
        <v>1.2800000000000005E-5</v>
      </c>
      <c r="H4" s="45">
        <f ca="1">F4*F4*('Sheet1 select'!$B$25)*$B$3</f>
        <v>1.4556196768056392E-6</v>
      </c>
      <c r="I4" s="45">
        <f>F4*(1-$B$3)*'Sheet1 select'!$B$41</f>
        <v>1.8666666666666669E-3</v>
      </c>
      <c r="J4" s="45">
        <f ca="1">F4*F4*('Sheet1 select'!$B$26)*(1-$B$3)</f>
        <v>0</v>
      </c>
      <c r="K4" s="45">
        <f>0.0000005*$B$10*F4*$B$8*((('Sheet1 select'!$B$33+0.5*'Sheet1 select'!$B$32)/(('Sheet1 select'!$B$10-'Sheet1 select'!$B$23)/('Sheet1 select'!$B$27+'Sheet1 select'!$B$8)))+(('Sheet1 select'!$B$33+0.5*'Sheet1 select'!$B$32)/(('Sheet1 select'!$B$23)/('Sheet1 select'!$B$27+'Sheet1 select'!$B$9))))</f>
        <v>1.0953748852908607E-4</v>
      </c>
      <c r="L4" s="45">
        <f>(F4*$B$28)*(('Sheet1 select'!$B$12+'Sheet1 select'!$B$13)*(0.000000001))*$B$8*1000</f>
        <v>0</v>
      </c>
      <c r="M4" s="45">
        <f t="shared" si="2"/>
        <v>6.481272239439854E-3</v>
      </c>
      <c r="N4" s="46">
        <f>$B$10*'Sheet1 select'!$B$29*0.001</f>
        <v>1.2E-2</v>
      </c>
      <c r="O4" s="44">
        <f>'Sheet1 select'!$B$10*'Sheet1 select'!$B$31*$B$8*1000*0.000000001</f>
        <v>3.0000000000000001E-3</v>
      </c>
      <c r="P4" s="44">
        <f>'Sheet1 select'!$B$35*$B$10*$B$8*1000*0.000000001</f>
        <v>0</v>
      </c>
      <c r="Q4" s="47">
        <f>IF('Sheet1 select'!$B$17=0,0,(0.00000006*0.7+0.00000003*(0.7+F4*1.1*'Sheet1 select'!$B$26))*F4*$B$8*1000)</f>
        <v>0</v>
      </c>
      <c r="R4" s="45">
        <f t="shared" ca="1" si="3"/>
        <v>2.3471732014312411E-2</v>
      </c>
      <c r="S4" s="48">
        <f t="shared" ca="1" si="4"/>
        <v>0.63020180370972545</v>
      </c>
      <c r="T4" s="49">
        <f ca="1">H4+K4+O4+N4+'Sheet1 select'!$B$40*I4+J4+P4</f>
        <v>1.5110993108205892E-2</v>
      </c>
      <c r="U4" s="169">
        <f t="shared" ca="1" si="5"/>
        <v>3.1109931082058916E-3</v>
      </c>
      <c r="V4" s="47">
        <f t="shared" ca="1" si="6"/>
        <v>0</v>
      </c>
    </row>
    <row r="5" spans="1:22" ht="15" thickBot="1">
      <c r="E5" s="32">
        <v>4</v>
      </c>
      <c r="F5" s="45">
        <f t="shared" si="0"/>
        <v>1.0666666666666668E-2</v>
      </c>
      <c r="G5" s="45">
        <f t="shared" si="1"/>
        <v>2.2755555555555561E-5</v>
      </c>
      <c r="H5" s="45">
        <f ca="1">F5*F5*('Sheet1 select'!$B$25)*$B$3</f>
        <v>2.5877683143211361E-6</v>
      </c>
      <c r="I5" s="45">
        <f>F5*(1-$B$3)*'Sheet1 select'!$B$41</f>
        <v>2.488888888888889E-3</v>
      </c>
      <c r="J5" s="45">
        <f ca="1">F5*F5*('Sheet1 select'!$B$26)*(1-$B$3)</f>
        <v>0</v>
      </c>
      <c r="K5" s="45">
        <f>0.0000005*$B$10*F5*$B$8*((('Sheet1 select'!$B$33+0.5*'Sheet1 select'!$B$32)/(('Sheet1 select'!$B$10-'Sheet1 select'!$B$23)/('Sheet1 select'!$B$27+'Sheet1 select'!$B$8)))+(('Sheet1 select'!$B$33+0.5*'Sheet1 select'!$B$32)/(('Sheet1 select'!$B$23)/('Sheet1 select'!$B$27+'Sheet1 select'!$B$9))))</f>
        <v>1.4604998470544808E-4</v>
      </c>
      <c r="L5" s="45">
        <f>(F5*$B$28)*(('Sheet1 select'!$B$12+'Sheet1 select'!$B$13)*(0.000000001))*$B$8*1000</f>
        <v>0</v>
      </c>
      <c r="M5" s="45">
        <f t="shared" si="2"/>
        <v>6.481272239439854E-3</v>
      </c>
      <c r="N5" s="46">
        <f>$B$10*'Sheet1 select'!$B$29*0.001</f>
        <v>1.2E-2</v>
      </c>
      <c r="O5" s="44">
        <f>'Sheet1 select'!$B$10*'Sheet1 select'!$B$31*$B$8*1000*0.000000001</f>
        <v>3.0000000000000001E-3</v>
      </c>
      <c r="P5" s="44">
        <f>'Sheet1 select'!$B$35*$B$10*$B$8*1000*0.000000001</f>
        <v>0</v>
      </c>
      <c r="Q5" s="47">
        <f>IF('Sheet1 select'!$B$17=0,0,(0.00000006*0.7+0.00000003*(0.7+F5*1.1*'Sheet1 select'!$B$26))*F5*$B$8*1000)</f>
        <v>0</v>
      </c>
      <c r="R5" s="45">
        <f t="shared" ca="1" si="3"/>
        <v>2.4141554436904068E-2</v>
      </c>
      <c r="S5" s="48">
        <f t="shared" ca="1" si="4"/>
        <v>0.68839510282997485</v>
      </c>
      <c r="T5" s="49">
        <f ca="1">H5+K5+O5+N5+'Sheet1 select'!$B$40*I5+J5+P5</f>
        <v>1.5148637753019769E-2</v>
      </c>
      <c r="U5" s="169">
        <f t="shared" ca="1" si="5"/>
        <v>3.1486377530197691E-3</v>
      </c>
      <c r="V5" s="47">
        <f t="shared" ca="1" si="6"/>
        <v>0</v>
      </c>
    </row>
    <row r="6" spans="1:22">
      <c r="A6" s="56" t="s">
        <v>46</v>
      </c>
      <c r="B6" s="26"/>
      <c r="C6" s="57"/>
      <c r="E6" s="32">
        <v>5</v>
      </c>
      <c r="F6" s="45">
        <f t="shared" si="0"/>
        <v>1.3333333333333334E-2</v>
      </c>
      <c r="G6" s="45">
        <f t="shared" si="1"/>
        <v>3.555555555555556E-5</v>
      </c>
      <c r="H6" s="45">
        <f ca="1">F6*F6*('Sheet1 select'!$B$25)*$B$3</f>
        <v>4.0433879911267749E-6</v>
      </c>
      <c r="I6" s="45">
        <f>F6*(1-$B$3)*'Sheet1 select'!$B$41</f>
        <v>3.1111111111111114E-3</v>
      </c>
      <c r="J6" s="45">
        <f ca="1">F6*F6*('Sheet1 select'!$B$26)*(1-$B$3)</f>
        <v>0</v>
      </c>
      <c r="K6" s="45">
        <f>0.0000005*$B$10*F6*$B$8*((('Sheet1 select'!$B$33+0.5*'Sheet1 select'!$B$32)/(('Sheet1 select'!$B$10-'Sheet1 select'!$B$23)/('Sheet1 select'!$B$27+'Sheet1 select'!$B$8)))+(('Sheet1 select'!$B$33+0.5*'Sheet1 select'!$B$32)/(('Sheet1 select'!$B$23)/('Sheet1 select'!$B$27+'Sheet1 select'!$B$9))))</f>
        <v>1.8256248088181006E-4</v>
      </c>
      <c r="L6" s="45">
        <f>(F6*$B$28)*(('Sheet1 select'!$B$12+'Sheet1 select'!$B$13)*(0.000000001))*$B$8*1000</f>
        <v>0</v>
      </c>
      <c r="M6" s="45">
        <f t="shared" si="2"/>
        <v>6.481272239439854E-3</v>
      </c>
      <c r="N6" s="46">
        <f>$B$10*'Sheet1 select'!$B$29*0.001</f>
        <v>1.2E-2</v>
      </c>
      <c r="O6" s="44">
        <f>'Sheet1 select'!$B$10*'Sheet1 select'!$B$31*$B$8*1000*0.000000001</f>
        <v>3.0000000000000001E-3</v>
      </c>
      <c r="P6" s="44">
        <f>'Sheet1 select'!$B$35*$B$10*$B$8*1000*0.000000001</f>
        <v>0</v>
      </c>
      <c r="Q6" s="47">
        <f>IF('Sheet1 select'!$B$17=0,0,(0.00000006*0.7+0.00000003*(0.7+F6*1.1*'Sheet1 select'!$B$26))*F6*$B$8*1000)</f>
        <v>0</v>
      </c>
      <c r="R6" s="45">
        <f t="shared" ca="1" si="3"/>
        <v>2.4814544774979456E-2</v>
      </c>
      <c r="S6" s="48">
        <f t="shared" ca="1" si="4"/>
        <v>0.7287470904251403</v>
      </c>
      <c r="T6" s="49">
        <f ca="1">H6+K6+O6+N6+'Sheet1 select'!$B$40*I6+J6+P6</f>
        <v>1.5186605868872938E-2</v>
      </c>
      <c r="U6" s="169">
        <f t="shared" ca="1" si="5"/>
        <v>3.186605868872937E-3</v>
      </c>
      <c r="V6" s="47">
        <f t="shared" ca="1" si="6"/>
        <v>0</v>
      </c>
    </row>
    <row r="7" spans="1:22" ht="15" thickBot="1">
      <c r="A7" s="29"/>
      <c r="B7" s="23"/>
      <c r="C7" s="30"/>
      <c r="E7" s="32">
        <v>6</v>
      </c>
      <c r="F7" s="45">
        <f t="shared" si="0"/>
        <v>1.6000000000000004E-2</v>
      </c>
      <c r="G7" s="45">
        <f t="shared" si="1"/>
        <v>5.1200000000000018E-5</v>
      </c>
      <c r="H7" s="45">
        <f ca="1">F7*F7*('Sheet1 select'!$B$25)*$B$3</f>
        <v>5.8224787072225567E-6</v>
      </c>
      <c r="I7" s="45">
        <f>F7*(1-$B$3)*'Sheet1 select'!$B$41</f>
        <v>3.7333333333333337E-3</v>
      </c>
      <c r="J7" s="45">
        <f ca="1">F7*F7*('Sheet1 select'!$B$26)*(1-$B$3)</f>
        <v>0</v>
      </c>
      <c r="K7" s="45">
        <f>0.0000005*$B$10*F7*$B$8*((('Sheet1 select'!$B$33+0.5*'Sheet1 select'!$B$32)/(('Sheet1 select'!$B$10-'Sheet1 select'!$B$23)/('Sheet1 select'!$B$27+'Sheet1 select'!$B$8)))+(('Sheet1 select'!$B$33+0.5*'Sheet1 select'!$B$32)/(('Sheet1 select'!$B$23)/('Sheet1 select'!$B$27+'Sheet1 select'!$B$9))))</f>
        <v>2.1907497705817215E-4</v>
      </c>
      <c r="L7" s="45">
        <f>(F7*$B$28)*(('Sheet1 select'!$B$12+'Sheet1 select'!$B$13)*(0.000000001))*$B$8*1000</f>
        <v>0</v>
      </c>
      <c r="M7" s="45">
        <f t="shared" si="2"/>
        <v>6.481272239439854E-3</v>
      </c>
      <c r="N7" s="46">
        <f>$B$10*'Sheet1 select'!$B$29*0.001</f>
        <v>1.2E-2</v>
      </c>
      <c r="O7" s="44">
        <f>'Sheet1 select'!$B$10*'Sheet1 select'!$B$31*$B$8*1000*0.000000001</f>
        <v>3.0000000000000001E-3</v>
      </c>
      <c r="P7" s="44">
        <f>'Sheet1 select'!$B$35*$B$10*$B$8*1000*0.000000001</f>
        <v>0</v>
      </c>
      <c r="Q7" s="47">
        <f>IF('Sheet1 select'!$B$17=0,0,(0.00000006*0.7+0.00000003*(0.7+F7*1.1*'Sheet1 select'!$B$26))*F7*$B$8*1000)</f>
        <v>0</v>
      </c>
      <c r="R7" s="45">
        <f t="shared" ca="1" si="3"/>
        <v>2.5490703028538581E-2</v>
      </c>
      <c r="S7" s="48">
        <f t="shared" ca="1" si="4"/>
        <v>0.75836066784347311</v>
      </c>
      <c r="T7" s="49">
        <f ca="1">H7+K7+O7+N7+'Sheet1 select'!$B$40*I7+J7+P7</f>
        <v>1.5224897455765395E-2</v>
      </c>
      <c r="U7" s="169">
        <f t="shared" ca="1" si="5"/>
        <v>3.2248974557653946E-3</v>
      </c>
      <c r="V7" s="47">
        <f t="shared" ca="1" si="6"/>
        <v>0</v>
      </c>
    </row>
    <row r="8" spans="1:22">
      <c r="A8" s="158" t="s">
        <v>47</v>
      </c>
      <c r="B8" s="58">
        <f>'EZBuck design calculator'!N22</f>
        <v>200</v>
      </c>
      <c r="C8" s="59" t="s">
        <v>3</v>
      </c>
      <c r="E8" s="32">
        <v>7</v>
      </c>
      <c r="F8" s="45">
        <f t="shared" si="0"/>
        <v>1.8666666666666668E-2</v>
      </c>
      <c r="G8" s="45">
        <f t="shared" si="1"/>
        <v>6.9688888888888901E-5</v>
      </c>
      <c r="H8" s="45">
        <f ca="1">F8*F8*('Sheet1 select'!$B$25)*$B$3</f>
        <v>7.9250404626084796E-6</v>
      </c>
      <c r="I8" s="45">
        <f>F8*(1-$B$3)*'Sheet1 select'!$B$41</f>
        <v>4.3555555555555561E-3</v>
      </c>
      <c r="J8" s="45">
        <f ca="1">F8*F8*('Sheet1 select'!$B$26)*(1-$B$3)</f>
        <v>0</v>
      </c>
      <c r="K8" s="45">
        <f>0.0000005*$B$10*F8*$B$8*((('Sheet1 select'!$B$33+0.5*'Sheet1 select'!$B$32)/(('Sheet1 select'!$B$10-'Sheet1 select'!$B$23)/('Sheet1 select'!$B$27+'Sheet1 select'!$B$8)))+(('Sheet1 select'!$B$33+0.5*'Sheet1 select'!$B$32)/(('Sheet1 select'!$B$23)/('Sheet1 select'!$B$27+'Sheet1 select'!$B$9))))</f>
        <v>2.5558747323453412E-4</v>
      </c>
      <c r="L8" s="45">
        <f>(F8*$B$28)*(('Sheet1 select'!$B$12+'Sheet1 select'!$B$13)*(0.000000001))*$B$8*1000</f>
        <v>0</v>
      </c>
      <c r="M8" s="45">
        <f t="shared" si="2"/>
        <v>6.481272239439854E-3</v>
      </c>
      <c r="N8" s="46">
        <f>$B$10*'Sheet1 select'!$B$29*0.001</f>
        <v>1.2E-2</v>
      </c>
      <c r="O8" s="44">
        <f>'Sheet1 select'!$B$10*'Sheet1 select'!$B$31*$B$8*1000*0.000000001</f>
        <v>3.0000000000000001E-3</v>
      </c>
      <c r="P8" s="44">
        <f>'Sheet1 select'!$B$35*$B$10*$B$8*1000*0.000000001</f>
        <v>0</v>
      </c>
      <c r="Q8" s="47">
        <f>IF('Sheet1 select'!$B$17=0,0,(0.00000006*0.7+0.00000003*(0.7+F8*1.1*'Sheet1 select'!$B$26))*F8*$B$8*1000)</f>
        <v>0</v>
      </c>
      <c r="R8" s="45">
        <f t="shared" ca="1" si="3"/>
        <v>2.6170029197581442E-2</v>
      </c>
      <c r="S8" s="48">
        <f t="shared" ca="1" si="4"/>
        <v>0.78101010178009489</v>
      </c>
      <c r="T8" s="49">
        <f ca="1">H8+K8+O8+N8+'Sheet1 select'!$B$40*I8+J8+P8</f>
        <v>1.5263512513697144E-2</v>
      </c>
      <c r="U8" s="169">
        <f t="shared" ca="1" si="5"/>
        <v>3.2635125136971426E-3</v>
      </c>
      <c r="V8" s="47">
        <f t="shared" ca="1" si="6"/>
        <v>0</v>
      </c>
    </row>
    <row r="9" spans="1:22">
      <c r="A9" s="155"/>
      <c r="B9" s="156"/>
      <c r="C9" s="157"/>
      <c r="E9" s="32">
        <v>8</v>
      </c>
      <c r="F9" s="45">
        <f t="shared" si="0"/>
        <v>2.1333333333333336E-2</v>
      </c>
      <c r="G9" s="45">
        <f t="shared" si="1"/>
        <v>9.1022222222222242E-5</v>
      </c>
      <c r="H9" s="45">
        <f ca="1">F9*F9*('Sheet1 select'!$B$25)*$B$3</f>
        <v>1.0351073257284544E-5</v>
      </c>
      <c r="I9" s="45">
        <f>F9*(1-$B$3)*'Sheet1 select'!$B$41</f>
        <v>4.977777777777778E-3</v>
      </c>
      <c r="J9" s="45">
        <f ca="1">F9*F9*('Sheet1 select'!$B$26)*(1-$B$3)</f>
        <v>0</v>
      </c>
      <c r="K9" s="45">
        <f>0.0000005*$B$10*F9*$B$8*((('Sheet1 select'!$B$33+0.5*'Sheet1 select'!$B$32)/(('Sheet1 select'!$B$10-'Sheet1 select'!$B$23)/('Sheet1 select'!$B$27+'Sheet1 select'!$B$8)))+(('Sheet1 select'!$B$33+0.5*'Sheet1 select'!$B$32)/(('Sheet1 select'!$B$23)/('Sheet1 select'!$B$27+'Sheet1 select'!$B$9))))</f>
        <v>2.9209996941089616E-4</v>
      </c>
      <c r="L9" s="45">
        <f>(F9*$B$28)*(('Sheet1 select'!$B$12+'Sheet1 select'!$B$13)*(0.000000001))*$B$8*1000</f>
        <v>0</v>
      </c>
      <c r="M9" s="45">
        <f t="shared" si="2"/>
        <v>6.481272239439854E-3</v>
      </c>
      <c r="N9" s="46">
        <f>$B$10*'Sheet1 select'!$B$29*0.001</f>
        <v>1.2E-2</v>
      </c>
      <c r="O9" s="44">
        <f>'Sheet1 select'!$B$10*'Sheet1 select'!$B$31*$B$8*1000*0.000000001</f>
        <v>3.0000000000000001E-3</v>
      </c>
      <c r="P9" s="44">
        <f>'Sheet1 select'!$B$35*$B$10*$B$8*1000*0.000000001</f>
        <v>0</v>
      </c>
      <c r="Q9" s="47">
        <f>IF('Sheet1 select'!$B$17=0,0,(0.00000006*0.7+0.00000003*(0.7+F9*1.1*'Sheet1 select'!$B$26))*F9*$B$8*1000)</f>
        <v>0</v>
      </c>
      <c r="R9" s="45">
        <f t="shared" ca="1" si="3"/>
        <v>2.6852523282108035E-2</v>
      </c>
      <c r="S9" s="48">
        <f t="shared" ca="1" si="4"/>
        <v>0.79888641256429038</v>
      </c>
      <c r="T9" s="49">
        <f ca="1">H9+K9+O9+N9+'Sheet1 select'!$B$40*I9+J9+P9</f>
        <v>1.5302451042668181E-2</v>
      </c>
      <c r="U9" s="169">
        <f t="shared" ca="1" si="5"/>
        <v>3.3024510426681807E-3</v>
      </c>
      <c r="V9" s="47">
        <f t="shared" ca="1" si="6"/>
        <v>0</v>
      </c>
    </row>
    <row r="10" spans="1:22">
      <c r="A10" s="159" t="s">
        <v>37</v>
      </c>
      <c r="B10" s="60">
        <f>'EZBuck design calculator'!N15</f>
        <v>12</v>
      </c>
      <c r="C10" s="61" t="s">
        <v>1</v>
      </c>
      <c r="E10" s="32">
        <v>9</v>
      </c>
      <c r="F10" s="45">
        <f t="shared" si="0"/>
        <v>2.4E-2</v>
      </c>
      <c r="G10" s="45">
        <f t="shared" si="1"/>
        <v>1.1519999999999999E-4</v>
      </c>
      <c r="H10" s="45">
        <f ca="1">F10*F10*('Sheet1 select'!$B$25)*$B$3</f>
        <v>1.3100577091250748E-5</v>
      </c>
      <c r="I10" s="45">
        <f>F10*(1-$B$3)*'Sheet1 select'!$B$41</f>
        <v>5.5999999999999999E-3</v>
      </c>
      <c r="J10" s="45">
        <f ca="1">F10*F10*('Sheet1 select'!$B$26)*(1-$B$3)</f>
        <v>0</v>
      </c>
      <c r="K10" s="45">
        <f>0.0000005*$B$10*F10*$B$8*((('Sheet1 select'!$B$33+0.5*'Sheet1 select'!$B$32)/(('Sheet1 select'!$B$10-'Sheet1 select'!$B$23)/('Sheet1 select'!$B$27+'Sheet1 select'!$B$8)))+(('Sheet1 select'!$B$33+0.5*'Sheet1 select'!$B$32)/(('Sheet1 select'!$B$23)/('Sheet1 select'!$B$27+'Sheet1 select'!$B$9))))</f>
        <v>3.2861246558725814E-4</v>
      </c>
      <c r="L10" s="45">
        <f>(F10*$B$28)*(('Sheet1 select'!$B$12+'Sheet1 select'!$B$13)*(0.000000001))*$B$8*1000</f>
        <v>0</v>
      </c>
      <c r="M10" s="45">
        <f t="shared" si="2"/>
        <v>6.481272239439854E-3</v>
      </c>
      <c r="N10" s="46">
        <f>$B$10*'Sheet1 select'!$B$29*0.001</f>
        <v>1.2E-2</v>
      </c>
      <c r="O10" s="44">
        <f>'Sheet1 select'!$B$10*'Sheet1 select'!$B$31*$B$8*1000*0.000000001</f>
        <v>3.0000000000000001E-3</v>
      </c>
      <c r="P10" s="44">
        <f>'Sheet1 select'!$B$35*$B$10*$B$8*1000*0.000000001</f>
        <v>0</v>
      </c>
      <c r="Q10" s="47">
        <f>IF('Sheet1 select'!$B$17=0,0,(0.00000006*0.7+0.00000003*(0.7+F10*1.1*'Sheet1 select'!$B$26))*F10*$B$8*1000)</f>
        <v>0</v>
      </c>
      <c r="R10" s="45">
        <f t="shared" ca="1" si="3"/>
        <v>2.7538185282118363E-2</v>
      </c>
      <c r="S10" s="48">
        <f t="shared" ca="1" si="4"/>
        <v>0.81334875964848941</v>
      </c>
      <c r="T10" s="49">
        <f ca="1">H10+K10+O10+N10+'Sheet1 select'!$B$40*I10+J10+P10</f>
        <v>1.534171304267851E-2</v>
      </c>
      <c r="U10" s="169">
        <f t="shared" ca="1" si="5"/>
        <v>3.3417130426785088E-3</v>
      </c>
      <c r="V10" s="47">
        <f t="shared" ca="1" si="6"/>
        <v>0</v>
      </c>
    </row>
    <row r="11" spans="1:22">
      <c r="A11" s="159" t="s">
        <v>38</v>
      </c>
      <c r="B11" s="62">
        <f>'EZBuck design calculator'!N16</f>
        <v>5</v>
      </c>
      <c r="C11" s="28" t="s">
        <v>1</v>
      </c>
      <c r="E11" s="32">
        <v>10</v>
      </c>
      <c r="F11" s="45">
        <f t="shared" si="0"/>
        <v>2.6666666666666668E-2</v>
      </c>
      <c r="G11" s="45">
        <f t="shared" si="1"/>
        <v>1.4222222222222224E-4</v>
      </c>
      <c r="H11" s="45">
        <f ca="1">F11*F11*('Sheet1 select'!$B$25)*$B$3</f>
        <v>1.6173551964507099E-5</v>
      </c>
      <c r="I11" s="45">
        <f>F11*(1-$B$3)*'Sheet1 select'!$B$41</f>
        <v>6.2222222222222227E-3</v>
      </c>
      <c r="J11" s="45">
        <f ca="1">F11*F11*('Sheet1 select'!$B$26)*(1-$B$3)</f>
        <v>0</v>
      </c>
      <c r="K11" s="45">
        <f>0.0000005*$B$10*F11*$B$8*((('Sheet1 select'!$B$33+0.5*'Sheet1 select'!$B$32)/(('Sheet1 select'!$B$10-'Sheet1 select'!$B$23)/('Sheet1 select'!$B$27+'Sheet1 select'!$B$8)))+(('Sheet1 select'!$B$33+0.5*'Sheet1 select'!$B$32)/(('Sheet1 select'!$B$23)/('Sheet1 select'!$B$27+'Sheet1 select'!$B$9))))</f>
        <v>3.6512496176362012E-4</v>
      </c>
      <c r="L11" s="45">
        <f>(F11*$B$28)*(('Sheet1 select'!$B$12+'Sheet1 select'!$B$13)*(0.000000001))*$B$8*1000</f>
        <v>0</v>
      </c>
      <c r="M11" s="45">
        <f t="shared" si="2"/>
        <v>6.481272239439854E-3</v>
      </c>
      <c r="N11" s="46">
        <f>$B$10*'Sheet1 select'!$B$29*0.001</f>
        <v>1.2E-2</v>
      </c>
      <c r="O11" s="44">
        <f>'Sheet1 select'!$B$10*'Sheet1 select'!$B$31*$B$8*1000*0.000000001</f>
        <v>3.0000000000000001E-3</v>
      </c>
      <c r="P11" s="44">
        <f>'Sheet1 select'!$B$35*$B$10*$B$8*1000*0.000000001</f>
        <v>0</v>
      </c>
      <c r="Q11" s="47">
        <f>IF('Sheet1 select'!$B$17=0,0,(0.00000006*0.7+0.00000003*(0.7+F11*1.1*'Sheet1 select'!$B$26))*F11*$B$8*1000)</f>
        <v>0</v>
      </c>
      <c r="R11" s="45">
        <f t="shared" ca="1" si="3"/>
        <v>2.8227015197612424E-2</v>
      </c>
      <c r="S11" s="48">
        <f t="shared" ca="1" si="4"/>
        <v>0.82528500678366801</v>
      </c>
      <c r="T11" s="49">
        <f ca="1">H11+K11+O11+N11+'Sheet1 select'!$B$40*I11+J11+P11</f>
        <v>1.5381298513728128E-2</v>
      </c>
      <c r="U11" s="169">
        <f t="shared" ca="1" si="5"/>
        <v>3.3812985137281273E-3</v>
      </c>
      <c r="V11" s="47">
        <f t="shared" ca="1" si="6"/>
        <v>0</v>
      </c>
    </row>
    <row r="12" spans="1:22">
      <c r="A12" s="159" t="s">
        <v>48</v>
      </c>
      <c r="B12" s="60">
        <f>'EZBuck design calculator'!N17</f>
        <v>0.8</v>
      </c>
      <c r="C12" s="61" t="s">
        <v>2</v>
      </c>
      <c r="E12" s="32">
        <v>11</v>
      </c>
      <c r="F12" s="45">
        <f t="shared" si="0"/>
        <v>2.9333333333333336E-2</v>
      </c>
      <c r="G12" s="45">
        <f t="shared" si="1"/>
        <v>1.7208888888888894E-4</v>
      </c>
      <c r="H12" s="45">
        <f ca="1">F12*F12*('Sheet1 select'!$B$25)*$B$3</f>
        <v>1.956999787705359E-5</v>
      </c>
      <c r="I12" s="45">
        <f>F12*(1-$B$3)*'Sheet1 select'!$B$41</f>
        <v>6.8444444444444447E-3</v>
      </c>
      <c r="J12" s="45">
        <f ca="1">F12*F12*('Sheet1 select'!$B$26)*(1-$B$3)</f>
        <v>0</v>
      </c>
      <c r="K12" s="45">
        <f>0.0000005*$B$10*F12*$B$8*((('Sheet1 select'!$B$33+0.5*'Sheet1 select'!$B$32)/(('Sheet1 select'!$B$10-'Sheet1 select'!$B$23)/('Sheet1 select'!$B$27+'Sheet1 select'!$B$8)))+(('Sheet1 select'!$B$33+0.5*'Sheet1 select'!$B$32)/(('Sheet1 select'!$B$23)/('Sheet1 select'!$B$27+'Sheet1 select'!$B$9))))</f>
        <v>4.016374579399822E-4</v>
      </c>
      <c r="L12" s="45">
        <f>(F12*$B$28)*(('Sheet1 select'!$B$12+'Sheet1 select'!$B$13)*(0.000000001))*$B$8*1000</f>
        <v>0</v>
      </c>
      <c r="M12" s="45">
        <f t="shared" si="2"/>
        <v>6.481272239439854E-3</v>
      </c>
      <c r="N12" s="46">
        <f>$B$10*'Sheet1 select'!$B$29*0.001</f>
        <v>1.2E-2</v>
      </c>
      <c r="O12" s="44">
        <f>'Sheet1 select'!$B$10*'Sheet1 select'!$B$31*$B$8*1000*0.000000001</f>
        <v>3.0000000000000001E-3</v>
      </c>
      <c r="P12" s="44">
        <f>'Sheet1 select'!$B$35*$B$10*$B$8*1000*0.000000001</f>
        <v>0</v>
      </c>
      <c r="Q12" s="47">
        <f>IF('Sheet1 select'!$B$17=0,0,(0.00000006*0.7+0.00000003*(0.7+F12*1.1*'Sheet1 select'!$B$26))*F12*$B$8*1000)</f>
        <v>0</v>
      </c>
      <c r="R12" s="45">
        <f t="shared" ca="1" si="3"/>
        <v>2.8919013028590224E-2</v>
      </c>
      <c r="S12" s="48">
        <f t="shared" ca="1" si="4"/>
        <v>0.83529970622443972</v>
      </c>
      <c r="T12" s="49">
        <f ca="1">H12+K12+O12+N12+'Sheet1 select'!$B$40*I12+J12+P12</f>
        <v>1.5421207455817036E-2</v>
      </c>
      <c r="U12" s="169">
        <f t="shared" ca="1" si="5"/>
        <v>3.4212074558170359E-3</v>
      </c>
      <c r="V12" s="47">
        <f t="shared" ca="1" si="6"/>
        <v>0</v>
      </c>
    </row>
    <row r="13" spans="1:22">
      <c r="A13" s="159" t="s">
        <v>39</v>
      </c>
      <c r="B13" s="60">
        <f>'EZBuck design calculator'!N29</f>
        <v>22</v>
      </c>
      <c r="C13" s="61" t="s">
        <v>30</v>
      </c>
      <c r="E13" s="32">
        <v>12</v>
      </c>
      <c r="F13" s="45">
        <f t="shared" si="0"/>
        <v>3.2000000000000008E-2</v>
      </c>
      <c r="G13" s="45">
        <f t="shared" si="1"/>
        <v>2.0480000000000007E-4</v>
      </c>
      <c r="H13" s="45">
        <f ca="1">F13*F13*('Sheet1 select'!$B$25)*$B$3</f>
        <v>2.3289914828890227E-5</v>
      </c>
      <c r="I13" s="45">
        <f>F13*(1-$B$3)*'Sheet1 select'!$B$41</f>
        <v>7.4666666666666675E-3</v>
      </c>
      <c r="J13" s="45">
        <f ca="1">F13*F13*('Sheet1 select'!$B$26)*(1-$B$3)</f>
        <v>0</v>
      </c>
      <c r="K13" s="45">
        <f>0.0000005*$B$10*F13*$B$8*((('Sheet1 select'!$B$33+0.5*'Sheet1 select'!$B$32)/(('Sheet1 select'!$B$10-'Sheet1 select'!$B$23)/('Sheet1 select'!$B$27+'Sheet1 select'!$B$8)))+(('Sheet1 select'!$B$33+0.5*'Sheet1 select'!$B$32)/(('Sheet1 select'!$B$23)/('Sheet1 select'!$B$27+'Sheet1 select'!$B$9))))</f>
        <v>4.3814995411634429E-4</v>
      </c>
      <c r="L13" s="45">
        <f>(F13*$B$28)*(('Sheet1 select'!$B$12+'Sheet1 select'!$B$13)*(0.000000001))*$B$8*1000</f>
        <v>0</v>
      </c>
      <c r="M13" s="45">
        <f t="shared" si="2"/>
        <v>6.481272239439854E-3</v>
      </c>
      <c r="N13" s="46">
        <f>$B$10*'Sheet1 select'!$B$29*0.001</f>
        <v>1.2E-2</v>
      </c>
      <c r="O13" s="44">
        <f>'Sheet1 select'!$B$10*'Sheet1 select'!$B$31*$B$8*1000*0.000000001</f>
        <v>3.0000000000000001E-3</v>
      </c>
      <c r="P13" s="44">
        <f>'Sheet1 select'!$B$35*$B$10*$B$8*1000*0.000000001</f>
        <v>0</v>
      </c>
      <c r="Q13" s="47">
        <f>IF('Sheet1 select'!$B$17=0,0,(0.00000006*0.7+0.00000003*(0.7+F13*1.1*'Sheet1 select'!$B$26))*F13*$B$8*1000)</f>
        <v>0</v>
      </c>
      <c r="R13" s="45">
        <f t="shared" ca="1" si="3"/>
        <v>2.9614178775051757E-2</v>
      </c>
      <c r="S13" s="48">
        <f t="shared" ca="1" si="4"/>
        <v>0.84381875360605574</v>
      </c>
      <c r="T13" s="49">
        <f ca="1">H13+K13+O13+N13+'Sheet1 select'!$B$40*I13+J13+P13</f>
        <v>1.5461439868945236E-2</v>
      </c>
      <c r="U13" s="169">
        <f t="shared" ca="1" si="5"/>
        <v>3.4614398689452345E-3</v>
      </c>
      <c r="V13" s="47">
        <f t="shared" ca="1" si="6"/>
        <v>0</v>
      </c>
    </row>
    <row r="14" spans="1:22">
      <c r="A14" s="159" t="s">
        <v>49</v>
      </c>
      <c r="B14" s="60">
        <f>'EZBuck design calculator'!N30</f>
        <v>100</v>
      </c>
      <c r="C14" s="63" t="s">
        <v>41</v>
      </c>
      <c r="E14" s="32">
        <v>13</v>
      </c>
      <c r="F14" s="45">
        <f t="shared" si="0"/>
        <v>3.4666666666666665E-2</v>
      </c>
      <c r="G14" s="45">
        <f t="shared" si="1"/>
        <v>2.4035555555555554E-4</v>
      </c>
      <c r="H14" s="45">
        <f ca="1">F14*F14*('Sheet1 select'!$B$25)*$B$3</f>
        <v>2.7333302820016991E-5</v>
      </c>
      <c r="I14" s="45">
        <f>F14*(1-$B$3)*'Sheet1 select'!$B$41</f>
        <v>8.0888888888888868E-3</v>
      </c>
      <c r="J14" s="45">
        <f ca="1">F14*F14*('Sheet1 select'!$B$26)*(1-$B$3)</f>
        <v>0</v>
      </c>
      <c r="K14" s="45">
        <f>0.0000005*$B$10*F14*$B$8*((('Sheet1 select'!$B$33+0.5*'Sheet1 select'!$B$32)/(('Sheet1 select'!$B$10-'Sheet1 select'!$B$23)/('Sheet1 select'!$B$27+'Sheet1 select'!$B$8)))+(('Sheet1 select'!$B$33+0.5*'Sheet1 select'!$B$32)/(('Sheet1 select'!$B$23)/('Sheet1 select'!$B$27+'Sheet1 select'!$B$9))))</f>
        <v>4.7466245029270611E-4</v>
      </c>
      <c r="L14" s="45">
        <f>(F14*$B$28)*(('Sheet1 select'!$B$12+'Sheet1 select'!$B$13)*(0.000000001))*$B$8*1000</f>
        <v>0</v>
      </c>
      <c r="M14" s="45">
        <f t="shared" si="2"/>
        <v>6.481272239439854E-3</v>
      </c>
      <c r="N14" s="46">
        <f>$B$10*'Sheet1 select'!$B$29*0.001</f>
        <v>1.2E-2</v>
      </c>
      <c r="O14" s="44">
        <f>'Sheet1 select'!$B$10*'Sheet1 select'!$B$31*$B$8*1000*0.000000001</f>
        <v>3.0000000000000001E-3</v>
      </c>
      <c r="P14" s="44">
        <f>'Sheet1 select'!$B$35*$B$10*$B$8*1000*0.000000001</f>
        <v>0</v>
      </c>
      <c r="Q14" s="47">
        <f>IF('Sheet1 select'!$B$17=0,0,(0.00000006*0.7+0.00000003*(0.7+F14*1.1*'Sheet1 select'!$B$26))*F14*$B$8*1000)</f>
        <v>0</v>
      </c>
      <c r="R14" s="45">
        <f t="shared" ca="1" si="3"/>
        <v>3.0312512436997018E-2</v>
      </c>
      <c r="S14" s="48">
        <f t="shared" ca="1" si="4"/>
        <v>0.85115084315943701</v>
      </c>
      <c r="T14" s="49">
        <f ca="1">H14+K14+O14+N14+'Sheet1 select'!$B$40*I14+J14+P14</f>
        <v>1.5501995753112723E-2</v>
      </c>
      <c r="U14" s="169">
        <f t="shared" ca="1" si="5"/>
        <v>3.5019957531127232E-3</v>
      </c>
      <c r="V14" s="47">
        <f t="shared" ca="1" si="6"/>
        <v>0</v>
      </c>
    </row>
    <row r="15" spans="1:22">
      <c r="A15" s="159" t="s">
        <v>40</v>
      </c>
      <c r="B15" s="60">
        <f>'EZBuck design calculator'!N40</f>
        <v>1500</v>
      </c>
      <c r="C15" s="63" t="s">
        <v>35</v>
      </c>
      <c r="E15" s="32">
        <v>14</v>
      </c>
      <c r="F15" s="45">
        <f t="shared" si="0"/>
        <v>3.7333333333333336E-2</v>
      </c>
      <c r="G15" s="45">
        <f t="shared" si="1"/>
        <v>2.787555555555556E-4</v>
      </c>
      <c r="H15" s="45">
        <f ca="1">F15*F15*('Sheet1 select'!$B$25)*$B$3</f>
        <v>3.1700161850433919E-5</v>
      </c>
      <c r="I15" s="45">
        <f>F15*(1-$B$3)*'Sheet1 select'!$B$41</f>
        <v>8.7111111111111122E-3</v>
      </c>
      <c r="J15" s="45">
        <f ca="1">F15*F15*('Sheet1 select'!$B$26)*(1-$B$3)</f>
        <v>0</v>
      </c>
      <c r="K15" s="45">
        <f>0.0000005*$B$10*F15*$B$8*((('Sheet1 select'!$B$33+0.5*'Sheet1 select'!$B$32)/(('Sheet1 select'!$B$10-'Sheet1 select'!$B$23)/('Sheet1 select'!$B$27+'Sheet1 select'!$B$8)))+(('Sheet1 select'!$B$33+0.5*'Sheet1 select'!$B$32)/(('Sheet1 select'!$B$23)/('Sheet1 select'!$B$27+'Sheet1 select'!$B$9))))</f>
        <v>5.1117494646906825E-4</v>
      </c>
      <c r="L15" s="45">
        <f>(F15*$B$28)*(('Sheet1 select'!$B$12+'Sheet1 select'!$B$13)*(0.000000001))*$B$8*1000</f>
        <v>0</v>
      </c>
      <c r="M15" s="45">
        <f t="shared" si="2"/>
        <v>6.481272239439854E-3</v>
      </c>
      <c r="N15" s="46">
        <f>$B$10*'Sheet1 select'!$B$29*0.001</f>
        <v>1.2E-2</v>
      </c>
      <c r="O15" s="44">
        <f>'Sheet1 select'!$B$10*'Sheet1 select'!$B$31*$B$8*1000*0.000000001</f>
        <v>3.0000000000000001E-3</v>
      </c>
      <c r="P15" s="44">
        <f>'Sheet1 select'!$B$35*$B$10*$B$8*1000*0.000000001</f>
        <v>0</v>
      </c>
      <c r="Q15" s="47">
        <f>IF('Sheet1 select'!$B$17=0,0,(0.00000006*0.7+0.00000003*(0.7+F15*1.1*'Sheet1 select'!$B$26))*F15*$B$8*1000)</f>
        <v>0</v>
      </c>
      <c r="R15" s="45">
        <f t="shared" ca="1" si="3"/>
        <v>3.1014014014426022E-2</v>
      </c>
      <c r="S15" s="48">
        <f t="shared" ca="1" si="4"/>
        <v>0.85752518819131096</v>
      </c>
      <c r="T15" s="49">
        <f ca="1">H15+K15+O15+N15+'Sheet1 select'!$B$40*I15+J15+P15</f>
        <v>1.5542875108319502E-2</v>
      </c>
      <c r="U15" s="169">
        <f t="shared" ca="1" si="5"/>
        <v>3.5428751083195023E-3</v>
      </c>
      <c r="V15" s="47">
        <f t="shared" ca="1" si="6"/>
        <v>0</v>
      </c>
    </row>
    <row r="16" spans="1:22" ht="15" thickBot="1">
      <c r="A16" s="160" t="s">
        <v>50</v>
      </c>
      <c r="B16" s="64">
        <f>'EZBuck design calculator'!N41</f>
        <v>177</v>
      </c>
      <c r="C16" s="31" t="s">
        <v>41</v>
      </c>
      <c r="E16" s="32">
        <v>15</v>
      </c>
      <c r="F16" s="45">
        <f t="shared" si="0"/>
        <v>0.04</v>
      </c>
      <c r="G16" s="45">
        <f t="shared" si="1"/>
        <v>3.2000000000000003E-4</v>
      </c>
      <c r="H16" s="45">
        <f ca="1">F16*F16*('Sheet1 select'!$B$25)*$B$3</f>
        <v>3.6390491920140969E-5</v>
      </c>
      <c r="I16" s="45">
        <f>F16*(1-$B$3)*'Sheet1 select'!$B$41</f>
        <v>9.3333333333333324E-3</v>
      </c>
      <c r="J16" s="45">
        <f ca="1">F16*F16*('Sheet1 select'!$B$26)*(1-$B$3)</f>
        <v>0</v>
      </c>
      <c r="K16" s="45">
        <f>0.0000005*$B$10*F16*$B$8*((('Sheet1 select'!$B$33+0.5*'Sheet1 select'!$B$32)/(('Sheet1 select'!$B$10-'Sheet1 select'!$B$23)/('Sheet1 select'!$B$27+'Sheet1 select'!$B$8)))+(('Sheet1 select'!$B$33+0.5*'Sheet1 select'!$B$32)/(('Sheet1 select'!$B$23)/('Sheet1 select'!$B$27+'Sheet1 select'!$B$9))))</f>
        <v>5.4768744264543034E-4</v>
      </c>
      <c r="L16" s="45">
        <f>(F16*$B$28)*(('Sheet1 select'!$B$12+'Sheet1 select'!$B$13)*(0.000000001))*$B$8*1000</f>
        <v>0</v>
      </c>
      <c r="M16" s="45">
        <f t="shared" si="2"/>
        <v>6.481272239439854E-3</v>
      </c>
      <c r="N16" s="46">
        <f>$B$10*'Sheet1 select'!$B$29*0.001</f>
        <v>1.2E-2</v>
      </c>
      <c r="O16" s="44">
        <f>'Sheet1 select'!$B$10*'Sheet1 select'!$B$31*$B$8*1000*0.000000001</f>
        <v>3.0000000000000001E-3</v>
      </c>
      <c r="P16" s="44">
        <f>'Sheet1 select'!$B$35*$B$10*$B$8*1000*0.000000001</f>
        <v>0</v>
      </c>
      <c r="Q16" s="47">
        <f>IF('Sheet1 select'!$B$17=0,0,(0.00000006*0.7+0.00000003*(0.7+F16*1.1*'Sheet1 select'!$B$26))*F16*$B$8*1000)</f>
        <v>0</v>
      </c>
      <c r="R16" s="45">
        <f t="shared" ca="1" si="3"/>
        <v>3.1718683507338759E-2</v>
      </c>
      <c r="S16" s="48">
        <f t="shared" ca="1" si="4"/>
        <v>0.86311555448512556</v>
      </c>
      <c r="T16" s="49">
        <f ca="1">H16+K16+O16+N16+'Sheet1 select'!$B$40*I16+J16+P16</f>
        <v>1.5584077934565572E-2</v>
      </c>
      <c r="U16" s="169">
        <f t="shared" ca="1" si="5"/>
        <v>3.5840779345655714E-3</v>
      </c>
      <c r="V16" s="47">
        <f t="shared" ca="1" si="6"/>
        <v>0</v>
      </c>
    </row>
    <row r="17" spans="1:22">
      <c r="A17" s="155"/>
      <c r="B17" s="156"/>
      <c r="C17" s="156"/>
      <c r="E17" s="32">
        <v>16</v>
      </c>
      <c r="F17" s="45">
        <f t="shared" si="0"/>
        <v>4.2666666666666672E-2</v>
      </c>
      <c r="G17" s="45">
        <f t="shared" si="1"/>
        <v>3.6408888888888897E-4</v>
      </c>
      <c r="H17" s="45">
        <f ca="1">F17*F17*('Sheet1 select'!$B$25)*$B$3</f>
        <v>4.1404293029138177E-5</v>
      </c>
      <c r="I17" s="45">
        <f>F17*(1-$B$3)*'Sheet1 select'!$B$41</f>
        <v>9.955555555555556E-3</v>
      </c>
      <c r="J17" s="45">
        <f ca="1">F17*F17*('Sheet1 select'!$B$26)*(1-$B$3)</f>
        <v>0</v>
      </c>
      <c r="K17" s="45">
        <f>0.0000005*$B$10*F17*$B$8*((('Sheet1 select'!$B$33+0.5*'Sheet1 select'!$B$32)/(('Sheet1 select'!$B$10-'Sheet1 select'!$B$23)/('Sheet1 select'!$B$27+'Sheet1 select'!$B$8)))+(('Sheet1 select'!$B$33+0.5*'Sheet1 select'!$B$32)/(('Sheet1 select'!$B$23)/('Sheet1 select'!$B$27+'Sheet1 select'!$B$9))))</f>
        <v>5.8419993882179231E-4</v>
      </c>
      <c r="L17" s="45">
        <f>(F17*$B$28)*(('Sheet1 select'!$B$12+'Sheet1 select'!$B$13)*(0.000000001))*$B$8*1000</f>
        <v>0</v>
      </c>
      <c r="M17" s="45">
        <f t="shared" si="2"/>
        <v>6.481272239439854E-3</v>
      </c>
      <c r="N17" s="46">
        <f>$B$10*'Sheet1 select'!$B$29*0.001</f>
        <v>1.2E-2</v>
      </c>
      <c r="O17" s="44">
        <f>'Sheet1 select'!$B$10*'Sheet1 select'!$B$31*$B$8*1000*0.000000001</f>
        <v>3.0000000000000001E-3</v>
      </c>
      <c r="P17" s="44">
        <f>'Sheet1 select'!$B$35*$B$10*$B$8*1000*0.000000001</f>
        <v>0</v>
      </c>
      <c r="Q17" s="47">
        <f>IF('Sheet1 select'!$B$17=0,0,(0.00000006*0.7+0.00000003*(0.7+F17*1.1*'Sheet1 select'!$B$26))*F17*$B$8*1000)</f>
        <v>0</v>
      </c>
      <c r="R17" s="45">
        <f t="shared" ca="1" si="3"/>
        <v>3.2426520915735231E-2</v>
      </c>
      <c r="S17" s="48">
        <f t="shared" ca="1" si="4"/>
        <v>0.86805607036667543</v>
      </c>
      <c r="T17" s="49">
        <f ca="1">H17+K17+O17+N17+'Sheet1 select'!$B$40*I17+J17+P17</f>
        <v>1.5625604231850932E-2</v>
      </c>
      <c r="U17" s="169">
        <f t="shared" ca="1" si="5"/>
        <v>3.6256042318509305E-3</v>
      </c>
      <c r="V17" s="47">
        <f t="shared" ca="1" si="6"/>
        <v>0</v>
      </c>
    </row>
    <row r="18" spans="1:22" ht="15">
      <c r="A18" s="156"/>
      <c r="B18" s="162"/>
      <c r="C18" s="165"/>
      <c r="E18" s="32">
        <v>17</v>
      </c>
      <c r="F18" s="45">
        <f t="shared" si="0"/>
        <v>4.5333333333333337E-2</v>
      </c>
      <c r="G18" s="45">
        <f t="shared" si="1"/>
        <v>4.1102222222222227E-4</v>
      </c>
      <c r="H18" s="45">
        <f ca="1">F18*F18*('Sheet1 select'!$B$25)*$B$3</f>
        <v>4.6741565177425516E-5</v>
      </c>
      <c r="I18" s="45">
        <f>F18*(1-$B$3)*'Sheet1 select'!$B$41</f>
        <v>1.0577777777777778E-2</v>
      </c>
      <c r="J18" s="45">
        <f ca="1">F18*F18*('Sheet1 select'!$B$26)*(1-$B$3)</f>
        <v>0</v>
      </c>
      <c r="K18" s="45">
        <f>0.0000005*$B$10*F18*$B$8*((('Sheet1 select'!$B$33+0.5*'Sheet1 select'!$B$32)/(('Sheet1 select'!$B$10-'Sheet1 select'!$B$23)/('Sheet1 select'!$B$27+'Sheet1 select'!$B$8)))+(('Sheet1 select'!$B$33+0.5*'Sheet1 select'!$B$32)/(('Sheet1 select'!$B$23)/('Sheet1 select'!$B$27+'Sheet1 select'!$B$9))))</f>
        <v>6.2071243499815429E-4</v>
      </c>
      <c r="L18" s="45">
        <f>(F18*$B$28)*(('Sheet1 select'!$B$12+'Sheet1 select'!$B$13)*(0.000000001))*$B$8*1000</f>
        <v>0</v>
      </c>
      <c r="M18" s="45">
        <f t="shared" si="2"/>
        <v>6.481272239439854E-3</v>
      </c>
      <c r="N18" s="46">
        <f>$B$10*'Sheet1 select'!$B$29*0.001</f>
        <v>1.2E-2</v>
      </c>
      <c r="O18" s="44">
        <f>'Sheet1 select'!$B$10*'Sheet1 select'!$B$31*$B$8*1000*0.000000001</f>
        <v>3.0000000000000001E-3</v>
      </c>
      <c r="P18" s="44">
        <f>'Sheet1 select'!$B$35*$B$10*$B$8*1000*0.000000001</f>
        <v>0</v>
      </c>
      <c r="Q18" s="47">
        <f>IF('Sheet1 select'!$B$17=0,0,(0.00000006*0.7+0.00000003*(0.7+F18*1.1*'Sheet1 select'!$B$26))*F18*$B$8*1000)</f>
        <v>0</v>
      </c>
      <c r="R18" s="45">
        <f t="shared" ca="1" si="3"/>
        <v>3.3137526239615432E-2</v>
      </c>
      <c r="S18" s="48">
        <f t="shared" ca="1" si="4"/>
        <v>0.8724519190051373</v>
      </c>
      <c r="T18" s="49">
        <f ca="1">H18+K18+O18+N18+'Sheet1 select'!$B$40*I18+J18+P18</f>
        <v>1.5667454000175579E-2</v>
      </c>
      <c r="U18" s="169">
        <f t="shared" ca="1" si="5"/>
        <v>3.6674540001755797E-3</v>
      </c>
      <c r="V18" s="47">
        <f t="shared" ca="1" si="6"/>
        <v>0</v>
      </c>
    </row>
    <row r="19" spans="1:22">
      <c r="A19" s="163"/>
      <c r="B19" s="156"/>
      <c r="C19" s="156"/>
      <c r="E19" s="32">
        <v>18</v>
      </c>
      <c r="F19" s="45">
        <f t="shared" si="0"/>
        <v>4.8000000000000001E-2</v>
      </c>
      <c r="G19" s="45">
        <f t="shared" si="1"/>
        <v>4.6079999999999998E-4</v>
      </c>
      <c r="H19" s="45">
        <f ca="1">F19*F19*('Sheet1 select'!$B$25)*$B$3</f>
        <v>5.240230836500299E-5</v>
      </c>
      <c r="I19" s="45">
        <f>F19*(1-$B$3)*'Sheet1 select'!$B$41</f>
        <v>1.12E-2</v>
      </c>
      <c r="J19" s="45">
        <f ca="1">F19*F19*('Sheet1 select'!$B$26)*(1-$B$3)</f>
        <v>0</v>
      </c>
      <c r="K19" s="45">
        <f>0.0000005*$B$10*F19*$B$8*((('Sheet1 select'!$B$33+0.5*'Sheet1 select'!$B$32)/(('Sheet1 select'!$B$10-'Sheet1 select'!$B$23)/('Sheet1 select'!$B$27+'Sheet1 select'!$B$8)))+(('Sheet1 select'!$B$33+0.5*'Sheet1 select'!$B$32)/(('Sheet1 select'!$B$23)/('Sheet1 select'!$B$27+'Sheet1 select'!$B$9))))</f>
        <v>6.5722493117451627E-4</v>
      </c>
      <c r="L19" s="45">
        <f>(F19*$B$28)*(('Sheet1 select'!$B$12+'Sheet1 select'!$B$13)*(0.000000001))*$B$8*1000</f>
        <v>0</v>
      </c>
      <c r="M19" s="45">
        <f t="shared" si="2"/>
        <v>6.481272239439854E-3</v>
      </c>
      <c r="N19" s="46">
        <f>$B$10*'Sheet1 select'!$B$29*0.001</f>
        <v>1.2E-2</v>
      </c>
      <c r="O19" s="44">
        <f>'Sheet1 select'!$B$10*'Sheet1 select'!$B$31*$B$8*1000*0.000000001</f>
        <v>3.0000000000000001E-3</v>
      </c>
      <c r="P19" s="44">
        <f>'Sheet1 select'!$B$35*$B$10*$B$8*1000*0.000000001</f>
        <v>0</v>
      </c>
      <c r="Q19" s="47">
        <f>IF('Sheet1 select'!$B$17=0,0,(0.00000006*0.7+0.00000003*(0.7+F19*1.1*'Sheet1 select'!$B$26))*F19*$B$8*1000)</f>
        <v>0</v>
      </c>
      <c r="R19" s="45">
        <f t="shared" ca="1" si="3"/>
        <v>3.3851699478979376E-2</v>
      </c>
      <c r="S19" s="48">
        <f t="shared" ca="1" si="4"/>
        <v>0.87638674675605654</v>
      </c>
      <c r="T19" s="49">
        <f ca="1">H19+K19+O19+N19+'Sheet1 select'!$B$40*I19+J19+P19</f>
        <v>1.570962723953952E-2</v>
      </c>
      <c r="U19" s="169">
        <f t="shared" ca="1" si="5"/>
        <v>3.7096272395395194E-3</v>
      </c>
      <c r="V19" s="47">
        <f t="shared" ca="1" si="6"/>
        <v>0</v>
      </c>
    </row>
    <row r="20" spans="1:22">
      <c r="A20" s="163"/>
      <c r="B20" s="156"/>
      <c r="C20" s="156"/>
      <c r="E20" s="32">
        <v>19</v>
      </c>
      <c r="F20" s="45">
        <f t="shared" si="0"/>
        <v>5.0666666666666672E-2</v>
      </c>
      <c r="G20" s="45">
        <f t="shared" si="1"/>
        <v>5.1342222222222232E-4</v>
      </c>
      <c r="H20" s="45">
        <f ca="1">F20*F20*('Sheet1 select'!$B$25)*$B$3</f>
        <v>5.8386522591870629E-5</v>
      </c>
      <c r="I20" s="45">
        <f>F20*(1-$B$3)*'Sheet1 select'!$B$41</f>
        <v>1.1822222222222222E-2</v>
      </c>
      <c r="J20" s="45">
        <f ca="1">F20*F20*('Sheet1 select'!$B$26)*(1-$B$3)</f>
        <v>0</v>
      </c>
      <c r="K20" s="45">
        <f>0.0000005*$B$10*F20*$B$8*((('Sheet1 select'!$B$33+0.5*'Sheet1 select'!$B$32)/(('Sheet1 select'!$B$10-'Sheet1 select'!$B$23)/('Sheet1 select'!$B$27+'Sheet1 select'!$B$8)))+(('Sheet1 select'!$B$33+0.5*'Sheet1 select'!$B$32)/(('Sheet1 select'!$B$23)/('Sheet1 select'!$B$27+'Sheet1 select'!$B$9))))</f>
        <v>6.9373742735087836E-4</v>
      </c>
      <c r="L20" s="45">
        <f>(F20*$B$28)*(('Sheet1 select'!$B$12+'Sheet1 select'!$B$13)*(0.000000001))*$B$8*1000</f>
        <v>0</v>
      </c>
      <c r="M20" s="45">
        <f t="shared" si="2"/>
        <v>6.481272239439854E-3</v>
      </c>
      <c r="N20" s="46">
        <f>$B$10*'Sheet1 select'!$B$29*0.001</f>
        <v>1.2E-2</v>
      </c>
      <c r="O20" s="44">
        <f>'Sheet1 select'!$B$10*'Sheet1 select'!$B$31*$B$8*1000*0.000000001</f>
        <v>3.0000000000000001E-3</v>
      </c>
      <c r="P20" s="44">
        <f>'Sheet1 select'!$B$35*$B$10*$B$8*1000*0.000000001</f>
        <v>0</v>
      </c>
      <c r="Q20" s="47">
        <f>IF('Sheet1 select'!$B$17=0,0,(0.00000006*0.7+0.00000003*(0.7+F20*1.1*'Sheet1 select'!$B$26))*F20*$B$8*1000)</f>
        <v>0</v>
      </c>
      <c r="R20" s="45">
        <f t="shared" ca="1" si="3"/>
        <v>3.4569040633827049E-2</v>
      </c>
      <c r="S20" s="48">
        <f t="shared" ca="1" si="4"/>
        <v>0.87992790695859224</v>
      </c>
      <c r="T20" s="49">
        <f ca="1">H20+K20+O20+N20+'Sheet1 select'!$B$40*I20+J20+P20</f>
        <v>1.5752123949942749E-2</v>
      </c>
      <c r="U20" s="169">
        <f t="shared" ca="1" si="5"/>
        <v>3.752123949942749E-3</v>
      </c>
      <c r="V20" s="47">
        <f t="shared" ca="1" si="6"/>
        <v>0</v>
      </c>
    </row>
    <row r="21" spans="1:22">
      <c r="A21" s="163"/>
      <c r="B21" s="156"/>
      <c r="C21" s="156"/>
      <c r="E21" s="32">
        <v>20</v>
      </c>
      <c r="F21" s="45">
        <f t="shared" si="0"/>
        <v>5.3333333333333337E-2</v>
      </c>
      <c r="G21" s="45">
        <f t="shared" si="1"/>
        <v>5.6888888888888896E-4</v>
      </c>
      <c r="H21" s="45">
        <f ca="1">F21*F21*('Sheet1 select'!$B$25)*$B$3</f>
        <v>6.4694207858028398E-5</v>
      </c>
      <c r="I21" s="45">
        <f>F21*(1-$B$3)*'Sheet1 select'!$B$41</f>
        <v>1.2444444444444445E-2</v>
      </c>
      <c r="J21" s="45">
        <f ca="1">F21*F21*('Sheet1 select'!$B$26)*(1-$B$3)</f>
        <v>0</v>
      </c>
      <c r="K21" s="45">
        <f>0.0000005*$B$10*F21*$B$8*((('Sheet1 select'!$B$33+0.5*'Sheet1 select'!$B$32)/(('Sheet1 select'!$B$10-'Sheet1 select'!$B$23)/('Sheet1 select'!$B$27+'Sheet1 select'!$B$8)))+(('Sheet1 select'!$B$33+0.5*'Sheet1 select'!$B$32)/(('Sheet1 select'!$B$23)/('Sheet1 select'!$B$27+'Sheet1 select'!$B$9))))</f>
        <v>7.3024992352724023E-4</v>
      </c>
      <c r="L21" s="45">
        <f>(F21*$B$28)*(('Sheet1 select'!$B$12+'Sheet1 select'!$B$13)*(0.000000001))*$B$8*1000</f>
        <v>0</v>
      </c>
      <c r="M21" s="45">
        <f t="shared" si="2"/>
        <v>6.481272239439854E-3</v>
      </c>
      <c r="N21" s="46">
        <f>$B$10*'Sheet1 select'!$B$29*0.001</f>
        <v>1.2E-2</v>
      </c>
      <c r="O21" s="44">
        <f>'Sheet1 select'!$B$10*'Sheet1 select'!$B$31*$B$8*1000*0.000000001</f>
        <v>3.0000000000000001E-3</v>
      </c>
      <c r="P21" s="44">
        <f>'Sheet1 select'!$B$35*$B$10*$B$8*1000*0.000000001</f>
        <v>0</v>
      </c>
      <c r="Q21" s="47">
        <f>IF('Sheet1 select'!$B$17=0,0,(0.00000006*0.7+0.00000003*(0.7+F21*1.1*'Sheet1 select'!$B$26))*F21*$B$8*1000)</f>
        <v>0</v>
      </c>
      <c r="R21" s="45">
        <f t="shared" ca="1" si="3"/>
        <v>3.5289549704158457E-2</v>
      </c>
      <c r="S21" s="48">
        <f t="shared" ca="1" si="4"/>
        <v>0.88313024276069141</v>
      </c>
      <c r="T21" s="49">
        <f ca="1">H21+K21+O21+N21+'Sheet1 select'!$B$40*I21+J21+P21</f>
        <v>1.5794944131385269E-2</v>
      </c>
      <c r="U21" s="169">
        <f t="shared" ca="1" si="5"/>
        <v>3.7949441313852687E-3</v>
      </c>
      <c r="V21" s="47">
        <f t="shared" ca="1" si="6"/>
        <v>0</v>
      </c>
    </row>
    <row r="22" spans="1:22">
      <c r="A22" s="163"/>
      <c r="B22" s="156"/>
      <c r="C22" s="156"/>
      <c r="E22" s="32">
        <v>21</v>
      </c>
      <c r="F22" s="45">
        <f t="shared" si="0"/>
        <v>5.6000000000000001E-2</v>
      </c>
      <c r="G22" s="45">
        <f t="shared" si="1"/>
        <v>6.2720000000000007E-4</v>
      </c>
      <c r="H22" s="45">
        <f ca="1">F22*F22*('Sheet1 select'!$B$25)*$B$3</f>
        <v>7.132536416347631E-5</v>
      </c>
      <c r="I22" s="45">
        <f>F22*(1-$B$3)*'Sheet1 select'!$B$41</f>
        <v>1.3066666666666666E-2</v>
      </c>
      <c r="J22" s="45">
        <f ca="1">F22*F22*('Sheet1 select'!$B$26)*(1-$B$3)</f>
        <v>0</v>
      </c>
      <c r="K22" s="45">
        <f>0.0000005*$B$10*F22*$B$8*((('Sheet1 select'!$B$33+0.5*'Sheet1 select'!$B$32)/(('Sheet1 select'!$B$10-'Sheet1 select'!$B$23)/('Sheet1 select'!$B$27+'Sheet1 select'!$B$8)))+(('Sheet1 select'!$B$33+0.5*'Sheet1 select'!$B$32)/(('Sheet1 select'!$B$23)/('Sheet1 select'!$B$27+'Sheet1 select'!$B$9))))</f>
        <v>7.6676241970360221E-4</v>
      </c>
      <c r="L22" s="45">
        <f>(F22*$B$28)*(('Sheet1 select'!$B$12+'Sheet1 select'!$B$13)*(0.000000001))*$B$8*1000</f>
        <v>0</v>
      </c>
      <c r="M22" s="45">
        <f t="shared" si="2"/>
        <v>6.481272239439854E-3</v>
      </c>
      <c r="N22" s="46">
        <f>$B$10*'Sheet1 select'!$B$29*0.001</f>
        <v>1.2E-2</v>
      </c>
      <c r="O22" s="44">
        <f>'Sheet1 select'!$B$10*'Sheet1 select'!$B$31*$B$8*1000*0.000000001</f>
        <v>3.0000000000000001E-3</v>
      </c>
      <c r="P22" s="44">
        <f>'Sheet1 select'!$B$35*$B$10*$B$8*1000*0.000000001</f>
        <v>0</v>
      </c>
      <c r="Q22" s="47">
        <f>IF('Sheet1 select'!$B$17=0,0,(0.00000006*0.7+0.00000003*(0.7+F22*1.1*'Sheet1 select'!$B$26))*F22*$B$8*1000)</f>
        <v>0</v>
      </c>
      <c r="R22" s="45">
        <f t="shared" ca="1" si="3"/>
        <v>3.6013226689973601E-2</v>
      </c>
      <c r="S22" s="48">
        <f t="shared" ca="1" si="4"/>
        <v>0.88603886278056154</v>
      </c>
      <c r="T22" s="49">
        <f ca="1">H22+K22+O22+N22+'Sheet1 select'!$B$40*I22+J22+P22</f>
        <v>1.583808778386708E-2</v>
      </c>
      <c r="U22" s="169">
        <f t="shared" ca="1" si="5"/>
        <v>3.8380877838670785E-3</v>
      </c>
      <c r="V22" s="47">
        <f t="shared" ca="1" si="6"/>
        <v>0</v>
      </c>
    </row>
    <row r="23" spans="1:22">
      <c r="A23" s="163"/>
      <c r="B23" s="156"/>
      <c r="C23" s="156"/>
      <c r="E23" s="32">
        <v>22</v>
      </c>
      <c r="F23" s="45">
        <f t="shared" si="0"/>
        <v>5.8666666666666673E-2</v>
      </c>
      <c r="G23" s="45">
        <f t="shared" si="1"/>
        <v>6.8835555555555575E-4</v>
      </c>
      <c r="H23" s="45">
        <f ca="1">F23*F23*('Sheet1 select'!$B$25)*$B$3</f>
        <v>7.8279991508214359E-5</v>
      </c>
      <c r="I23" s="45">
        <f>F23*(1-$B$3)*'Sheet1 select'!$B$41</f>
        <v>1.3688888888888889E-2</v>
      </c>
      <c r="J23" s="45">
        <f ca="1">F23*F23*('Sheet1 select'!$B$26)*(1-$B$3)</f>
        <v>0</v>
      </c>
      <c r="K23" s="45">
        <f>0.0000005*$B$10*F23*$B$8*((('Sheet1 select'!$B$33+0.5*'Sheet1 select'!$B$32)/(('Sheet1 select'!$B$10-'Sheet1 select'!$B$23)/('Sheet1 select'!$B$27+'Sheet1 select'!$B$8)))+(('Sheet1 select'!$B$33+0.5*'Sheet1 select'!$B$32)/(('Sheet1 select'!$B$23)/('Sheet1 select'!$B$27+'Sheet1 select'!$B$9))))</f>
        <v>8.0327491587996441E-4</v>
      </c>
      <c r="L23" s="45">
        <f>(F23*$B$28)*(('Sheet1 select'!$B$12+'Sheet1 select'!$B$13)*(0.000000001))*$B$8*1000</f>
        <v>0</v>
      </c>
      <c r="M23" s="45">
        <f t="shared" si="2"/>
        <v>6.481272239439854E-3</v>
      </c>
      <c r="N23" s="46">
        <f>$B$10*'Sheet1 select'!$B$29*0.001</f>
        <v>1.2E-2</v>
      </c>
      <c r="O23" s="44">
        <f>'Sheet1 select'!$B$10*'Sheet1 select'!$B$31*$B$8*1000*0.000000001</f>
        <v>3.0000000000000001E-3</v>
      </c>
      <c r="P23" s="44">
        <f>'Sheet1 select'!$B$35*$B$10*$B$8*1000*0.000000001</f>
        <v>0</v>
      </c>
      <c r="Q23" s="47">
        <f>IF('Sheet1 select'!$B$17=0,0,(0.00000006*0.7+0.00000003*(0.7+F23*1.1*'Sheet1 select'!$B$26))*F23*$B$8*1000)</f>
        <v>0</v>
      </c>
      <c r="R23" s="45">
        <f t="shared" ca="1" si="3"/>
        <v>3.6740071591272482E-2</v>
      </c>
      <c r="S23" s="48">
        <f t="shared" ca="1" si="4"/>
        <v>0.8886912091579614</v>
      </c>
      <c r="T23" s="49">
        <f ca="1">H23+K23+O23+N23+'Sheet1 select'!$B$40*I23+J23+P23</f>
        <v>1.5881554907388178E-2</v>
      </c>
      <c r="U23" s="169">
        <f t="shared" ca="1" si="5"/>
        <v>3.8815549073881791E-3</v>
      </c>
      <c r="V23" s="47">
        <f t="shared" ca="1" si="6"/>
        <v>0</v>
      </c>
    </row>
    <row r="24" spans="1:22">
      <c r="A24" s="156"/>
      <c r="B24" s="156"/>
      <c r="C24" s="156"/>
      <c r="E24" s="32">
        <v>23</v>
      </c>
      <c r="F24" s="45">
        <f t="shared" si="0"/>
        <v>6.1333333333333344E-2</v>
      </c>
      <c r="G24" s="45">
        <f t="shared" si="1"/>
        <v>7.5235555555555589E-4</v>
      </c>
      <c r="H24" s="45">
        <f ca="1">F24*F24*('Sheet1 select'!$B$25)*$B$3</f>
        <v>8.5558089892242572E-5</v>
      </c>
      <c r="I24" s="45">
        <f>F24*(1-$B$3)*'Sheet1 select'!$B$41</f>
        <v>1.4311111111111111E-2</v>
      </c>
      <c r="J24" s="45">
        <f ca="1">F24*F24*('Sheet1 select'!$B$26)*(1-$B$3)</f>
        <v>0</v>
      </c>
      <c r="K24" s="45">
        <f>0.0000005*$B$10*F24*$B$8*((('Sheet1 select'!$B$33+0.5*'Sheet1 select'!$B$32)/(('Sheet1 select'!$B$10-'Sheet1 select'!$B$23)/('Sheet1 select'!$B$27+'Sheet1 select'!$B$8)))+(('Sheet1 select'!$B$33+0.5*'Sheet1 select'!$B$32)/(('Sheet1 select'!$B$23)/('Sheet1 select'!$B$27+'Sheet1 select'!$B$9))))</f>
        <v>8.3978741205632649E-4</v>
      </c>
      <c r="L24" s="45">
        <f>(F24*$B$28)*(('Sheet1 select'!$B$12+'Sheet1 select'!$B$13)*(0.000000001))*$B$8*1000</f>
        <v>0</v>
      </c>
      <c r="M24" s="45">
        <f t="shared" si="2"/>
        <v>6.481272239439854E-3</v>
      </c>
      <c r="N24" s="46">
        <f>$B$10*'Sheet1 select'!$B$29*0.001</f>
        <v>1.2E-2</v>
      </c>
      <c r="O24" s="44">
        <f>'Sheet1 select'!$B$10*'Sheet1 select'!$B$31*$B$8*1000*0.000000001</f>
        <v>3.0000000000000001E-3</v>
      </c>
      <c r="P24" s="44">
        <f>'Sheet1 select'!$B$35*$B$10*$B$8*1000*0.000000001</f>
        <v>0</v>
      </c>
      <c r="Q24" s="47">
        <f>IF('Sheet1 select'!$B$17=0,0,(0.00000006*0.7+0.00000003*(0.7+F24*1.1*'Sheet1 select'!$B$26))*F24*$B$8*1000)</f>
        <v>0</v>
      </c>
      <c r="R24" s="45">
        <f t="shared" ca="1" si="3"/>
        <v>3.747008440805509E-2</v>
      </c>
      <c r="S24" s="48">
        <f t="shared" ca="1" si="4"/>
        <v>0.89111861987701713</v>
      </c>
      <c r="T24" s="49">
        <f ca="1">H24+K24+O24+N24+'Sheet1 select'!$B$40*I24+J24+P24</f>
        <v>1.592534550194857E-2</v>
      </c>
      <c r="U24" s="169">
        <f t="shared" ca="1" si="5"/>
        <v>3.9253455019485689E-3</v>
      </c>
      <c r="V24" s="47">
        <f t="shared" ca="1" si="6"/>
        <v>0</v>
      </c>
    </row>
    <row r="25" spans="1:22" ht="15">
      <c r="A25" s="156"/>
      <c r="B25" s="162"/>
      <c r="C25" s="156"/>
      <c r="E25" s="32">
        <v>24</v>
      </c>
      <c r="F25" s="45">
        <f t="shared" si="0"/>
        <v>6.4000000000000015E-2</v>
      </c>
      <c r="G25" s="45">
        <f t="shared" si="1"/>
        <v>8.1920000000000029E-4</v>
      </c>
      <c r="H25" s="45">
        <f ca="1">F25*F25*('Sheet1 select'!$B$25)*$B$3</f>
        <v>9.3159659315560908E-5</v>
      </c>
      <c r="I25" s="45">
        <f>F25*(1-$B$3)*'Sheet1 select'!$B$41</f>
        <v>1.4933333333333335E-2</v>
      </c>
      <c r="J25" s="45">
        <f ca="1">F25*F25*('Sheet1 select'!$B$26)*(1-$B$3)</f>
        <v>0</v>
      </c>
      <c r="K25" s="45">
        <f>0.0000005*$B$10*F25*$B$8*((('Sheet1 select'!$B$33+0.5*'Sheet1 select'!$B$32)/(('Sheet1 select'!$B$10-'Sheet1 select'!$B$23)/('Sheet1 select'!$B$27+'Sheet1 select'!$B$8)))+(('Sheet1 select'!$B$33+0.5*'Sheet1 select'!$B$32)/(('Sheet1 select'!$B$23)/('Sheet1 select'!$B$27+'Sheet1 select'!$B$9))))</f>
        <v>8.7629990823268858E-4</v>
      </c>
      <c r="L25" s="45">
        <f>(F25*$B$28)*(('Sheet1 select'!$B$12+'Sheet1 select'!$B$13)*(0.000000001))*$B$8*1000</f>
        <v>0</v>
      </c>
      <c r="M25" s="45">
        <f t="shared" si="2"/>
        <v>6.481272239439854E-3</v>
      </c>
      <c r="N25" s="46">
        <f>$B$10*'Sheet1 select'!$B$29*0.001</f>
        <v>1.2E-2</v>
      </c>
      <c r="O25" s="44">
        <f>'Sheet1 select'!$B$10*'Sheet1 select'!$B$31*$B$8*1000*0.000000001</f>
        <v>3.0000000000000001E-3</v>
      </c>
      <c r="P25" s="44">
        <f>'Sheet1 select'!$B$35*$B$10*$B$8*1000*0.000000001</f>
        <v>0</v>
      </c>
      <c r="Q25" s="47">
        <f>IF('Sheet1 select'!$B$17=0,0,(0.00000006*0.7+0.00000003*(0.7+F25*1.1*'Sheet1 select'!$B$26))*F25*$B$8*1000)</f>
        <v>0</v>
      </c>
      <c r="R25" s="45">
        <f t="shared" ca="1" si="3"/>
        <v>3.8203265140321435E-2</v>
      </c>
      <c r="S25" s="48">
        <f t="shared" ca="1" si="4"/>
        <v>0.89334752399491435</v>
      </c>
      <c r="T25" s="49">
        <f ca="1">H25+K25+O25+N25+'Sheet1 select'!$B$40*I25+J25+P25</f>
        <v>1.596945956754825E-2</v>
      </c>
      <c r="U25" s="169">
        <f t="shared" ca="1" si="5"/>
        <v>3.9694595675482496E-3</v>
      </c>
      <c r="V25" s="47">
        <f t="shared" ca="1" si="6"/>
        <v>0</v>
      </c>
    </row>
    <row r="26" spans="1:22">
      <c r="A26" s="163"/>
      <c r="B26" s="156"/>
      <c r="C26" s="156"/>
      <c r="E26" s="32">
        <v>25</v>
      </c>
      <c r="F26" s="45">
        <f t="shared" si="0"/>
        <v>6.6666666666666666E-2</v>
      </c>
      <c r="G26" s="45">
        <f t="shared" si="1"/>
        <v>8.8888888888888882E-4</v>
      </c>
      <c r="H26" s="45">
        <f ca="1">F26*F26*('Sheet1 select'!$B$25)*$B$3</f>
        <v>1.0108469977816935E-4</v>
      </c>
      <c r="I26" s="45">
        <f>F26*(1-$B$3)*'Sheet1 select'!$B$41</f>
        <v>1.5555555555555553E-2</v>
      </c>
      <c r="J26" s="45">
        <f ca="1">F26*F26*('Sheet1 select'!$B$26)*(1-$B$3)</f>
        <v>0</v>
      </c>
      <c r="K26" s="45">
        <f>0.0000005*$B$10*F26*$B$8*((('Sheet1 select'!$B$33+0.5*'Sheet1 select'!$B$32)/(('Sheet1 select'!$B$10-'Sheet1 select'!$B$23)/('Sheet1 select'!$B$27+'Sheet1 select'!$B$8)))+(('Sheet1 select'!$B$33+0.5*'Sheet1 select'!$B$32)/(('Sheet1 select'!$B$23)/('Sheet1 select'!$B$27+'Sheet1 select'!$B$9))))</f>
        <v>9.1281240440905034E-4</v>
      </c>
      <c r="L26" s="45">
        <f>(F26*$B$28)*(('Sheet1 select'!$B$12+'Sheet1 select'!$B$13)*(0.000000001))*$B$8*1000</f>
        <v>0</v>
      </c>
      <c r="M26" s="45">
        <f t="shared" si="2"/>
        <v>6.481272239439854E-3</v>
      </c>
      <c r="N26" s="46">
        <f>$B$10*'Sheet1 select'!$B$29*0.001</f>
        <v>1.2E-2</v>
      </c>
      <c r="O26" s="44">
        <f>'Sheet1 select'!$B$10*'Sheet1 select'!$B$31*$B$8*1000*0.000000001</f>
        <v>3.0000000000000001E-3</v>
      </c>
      <c r="P26" s="44">
        <f>'Sheet1 select'!$B$35*$B$10*$B$8*1000*0.000000001</f>
        <v>0</v>
      </c>
      <c r="Q26" s="47">
        <f>IF('Sheet1 select'!$B$17=0,0,(0.00000006*0.7+0.00000003*(0.7+F26*1.1*'Sheet1 select'!$B$26))*F26*$B$8*1000)</f>
        <v>0</v>
      </c>
      <c r="R26" s="45">
        <f t="shared" ca="1" si="3"/>
        <v>3.8939613788071523E-2</v>
      </c>
      <c r="S26" s="48">
        <f t="shared" ca="1" si="4"/>
        <v>0.89540036661494871</v>
      </c>
      <c r="T26" s="49">
        <f ca="1">H26+K26+O26+N26+'Sheet1 select'!$B$40*I26+J26+P26</f>
        <v>1.6013897104187221E-2</v>
      </c>
      <c r="U26" s="169">
        <f t="shared" ca="1" si="5"/>
        <v>4.0138971041872203E-3</v>
      </c>
      <c r="V26" s="47">
        <f t="shared" ca="1" si="6"/>
        <v>0</v>
      </c>
    </row>
    <row r="27" spans="1:22">
      <c r="A27" s="163"/>
      <c r="B27" s="156"/>
      <c r="C27" s="156"/>
      <c r="E27" s="32">
        <v>26</v>
      </c>
      <c r="F27" s="45">
        <f t="shared" si="0"/>
        <v>6.933333333333333E-2</v>
      </c>
      <c r="G27" s="45">
        <f t="shared" si="1"/>
        <v>9.6142222222222215E-4</v>
      </c>
      <c r="H27" s="45">
        <f ca="1">F27*F27*('Sheet1 select'!$B$25)*$B$3</f>
        <v>1.0933321128006796E-4</v>
      </c>
      <c r="I27" s="45">
        <f>F27*(1-$B$3)*'Sheet1 select'!$B$41</f>
        <v>1.6177777777777774E-2</v>
      </c>
      <c r="J27" s="45">
        <f ca="1">F27*F27*('Sheet1 select'!$B$26)*(1-$B$3)</f>
        <v>0</v>
      </c>
      <c r="K27" s="45">
        <f>0.0000005*$B$10*F27*$B$8*((('Sheet1 select'!$B$33+0.5*'Sheet1 select'!$B$32)/(('Sheet1 select'!$B$10-'Sheet1 select'!$B$23)/('Sheet1 select'!$B$27+'Sheet1 select'!$B$8)))+(('Sheet1 select'!$B$33+0.5*'Sheet1 select'!$B$32)/(('Sheet1 select'!$B$23)/('Sheet1 select'!$B$27+'Sheet1 select'!$B$9))))</f>
        <v>9.4932490058541221E-4</v>
      </c>
      <c r="L27" s="45">
        <f>(F27*$B$28)*(('Sheet1 select'!$B$12+'Sheet1 select'!$B$13)*(0.000000001))*$B$8*1000</f>
        <v>0</v>
      </c>
      <c r="M27" s="45">
        <f t="shared" si="2"/>
        <v>6.481272239439854E-3</v>
      </c>
      <c r="N27" s="46">
        <f>$B$10*'Sheet1 select'!$B$29*0.001</f>
        <v>1.2E-2</v>
      </c>
      <c r="O27" s="44">
        <f>'Sheet1 select'!$B$10*'Sheet1 select'!$B$31*$B$8*1000*0.000000001</f>
        <v>3.0000000000000001E-3</v>
      </c>
      <c r="P27" s="44">
        <f>'Sheet1 select'!$B$35*$B$10*$B$8*1000*0.000000001</f>
        <v>0</v>
      </c>
      <c r="Q27" s="47">
        <f>IF('Sheet1 select'!$B$17=0,0,(0.00000006*0.7+0.00000003*(0.7+F27*1.1*'Sheet1 select'!$B$26))*F27*$B$8*1000)</f>
        <v>0</v>
      </c>
      <c r="R27" s="45">
        <f t="shared" ca="1" si="3"/>
        <v>3.9679130351305332E-2</v>
      </c>
      <c r="S27" s="48">
        <f t="shared" ca="1" si="4"/>
        <v>0.89729633230755834</v>
      </c>
      <c r="T27" s="49">
        <f ca="1">H27+K27+O27+N27+'Sheet1 select'!$B$40*I27+J27+P27</f>
        <v>1.6058658111865479E-2</v>
      </c>
      <c r="U27" s="169">
        <f t="shared" ca="1" si="5"/>
        <v>4.0586581118654801E-3</v>
      </c>
      <c r="V27" s="47">
        <f t="shared" ca="1" si="6"/>
        <v>0</v>
      </c>
    </row>
    <row r="28" spans="1:22">
      <c r="A28" s="163" t="s">
        <v>51</v>
      </c>
      <c r="B28" s="2"/>
      <c r="C28" s="2" t="s">
        <v>1</v>
      </c>
      <c r="E28" s="32">
        <v>27</v>
      </c>
      <c r="F28" s="45">
        <f t="shared" si="0"/>
        <v>7.2000000000000008E-2</v>
      </c>
      <c r="G28" s="45">
        <f t="shared" si="1"/>
        <v>1.0368000000000003E-3</v>
      </c>
      <c r="H28" s="45">
        <f ca="1">F28*F28*('Sheet1 select'!$B$25)*$B$3</f>
        <v>1.1790519382125676E-4</v>
      </c>
      <c r="I28" s="45">
        <f>F28*(1-$B$3)*'Sheet1 select'!$B$41</f>
        <v>1.6800000000000002E-2</v>
      </c>
      <c r="J28" s="45">
        <f ca="1">F28*F28*('Sheet1 select'!$B$26)*(1-$B$3)</f>
        <v>0</v>
      </c>
      <c r="K28" s="45">
        <f>0.0000005*$B$10*F28*$B$8*((('Sheet1 select'!$B$33+0.5*'Sheet1 select'!$B$32)/(('Sheet1 select'!$B$10-'Sheet1 select'!$B$23)/('Sheet1 select'!$B$27+'Sheet1 select'!$B$8)))+(('Sheet1 select'!$B$33+0.5*'Sheet1 select'!$B$32)/(('Sheet1 select'!$B$23)/('Sheet1 select'!$B$27+'Sheet1 select'!$B$9))))</f>
        <v>9.8583739676177452E-4</v>
      </c>
      <c r="L28" s="45">
        <f>(F28*$B$28)*(('Sheet1 select'!$B$12+'Sheet1 select'!$B$13)*(0.000000001))*$B$8*1000</f>
        <v>0</v>
      </c>
      <c r="M28" s="45">
        <f t="shared" si="2"/>
        <v>6.481272239439854E-3</v>
      </c>
      <c r="N28" s="46">
        <f>$B$10*'Sheet1 select'!$B$29*0.001</f>
        <v>1.2E-2</v>
      </c>
      <c r="O28" s="44">
        <f>'Sheet1 select'!$B$10*'Sheet1 select'!$B$31*$B$8*1000*0.000000001</f>
        <v>3.0000000000000001E-3</v>
      </c>
      <c r="P28" s="44">
        <f>'Sheet1 select'!$B$35*$B$10*$B$8*1000*0.000000001</f>
        <v>0</v>
      </c>
      <c r="Q28" s="47">
        <f>IF('Sheet1 select'!$B$17=0,0,(0.00000006*0.7+0.00000003*(0.7+F28*1.1*'Sheet1 select'!$B$26))*F28*$B$8*1000)</f>
        <v>0</v>
      </c>
      <c r="R28" s="45">
        <f t="shared" ca="1" si="3"/>
        <v>4.0421814830022891E-2</v>
      </c>
      <c r="S28" s="48">
        <f t="shared" ca="1" si="4"/>
        <v>0.8990519164217321</v>
      </c>
      <c r="T28" s="49">
        <f ca="1">H28+K28+O28+N28+'Sheet1 select'!$B$40*I28+J28+P28</f>
        <v>1.6103742590583031E-2</v>
      </c>
      <c r="U28" s="169">
        <f t="shared" ca="1" si="5"/>
        <v>4.1037425905830309E-3</v>
      </c>
      <c r="V28" s="47">
        <f t="shared" ca="1" si="6"/>
        <v>0</v>
      </c>
    </row>
    <row r="29" spans="1:22">
      <c r="A29" s="156"/>
      <c r="B29" s="156"/>
      <c r="C29" s="156"/>
      <c r="E29" s="32">
        <v>28</v>
      </c>
      <c r="F29" s="45">
        <f t="shared" si="0"/>
        <v>7.4666666666666673E-2</v>
      </c>
      <c r="G29" s="45">
        <f t="shared" si="1"/>
        <v>1.1150222222222224E-3</v>
      </c>
      <c r="H29" s="45">
        <f ca="1">F29*F29*('Sheet1 select'!$B$25)*$B$3</f>
        <v>1.2680064740173567E-4</v>
      </c>
      <c r="I29" s="45">
        <f>F29*(1-$B$3)*'Sheet1 select'!$B$41</f>
        <v>1.7422222222222224E-2</v>
      </c>
      <c r="J29" s="45">
        <f ca="1">F29*F29*('Sheet1 select'!$B$26)*(1-$B$3)</f>
        <v>0</v>
      </c>
      <c r="K29" s="45">
        <f>0.0000005*$B$10*F29*$B$8*((('Sheet1 select'!$B$33+0.5*'Sheet1 select'!$B$32)/(('Sheet1 select'!$B$10-'Sheet1 select'!$B$23)/('Sheet1 select'!$B$27+'Sheet1 select'!$B$8)))+(('Sheet1 select'!$B$33+0.5*'Sheet1 select'!$B$32)/(('Sheet1 select'!$B$23)/('Sheet1 select'!$B$27+'Sheet1 select'!$B$9))))</f>
        <v>1.0223498929381365E-3</v>
      </c>
      <c r="L29" s="45">
        <f>(F29*$B$28)*(('Sheet1 select'!$B$12+'Sheet1 select'!$B$13)*(0.000000001))*$B$8*1000</f>
        <v>0</v>
      </c>
      <c r="M29" s="45">
        <f t="shared" si="2"/>
        <v>6.481272239439854E-3</v>
      </c>
      <c r="N29" s="46">
        <f>$B$10*'Sheet1 select'!$B$29*0.001</f>
        <v>1.2E-2</v>
      </c>
      <c r="O29" s="44">
        <f>'Sheet1 select'!$B$10*'Sheet1 select'!$B$31*$B$8*1000*0.000000001</f>
        <v>3.0000000000000001E-3</v>
      </c>
      <c r="P29" s="44">
        <f>'Sheet1 select'!$B$35*$B$10*$B$8*1000*0.000000001</f>
        <v>0</v>
      </c>
      <c r="Q29" s="47">
        <f>IF('Sheet1 select'!$B$17=0,0,(0.00000006*0.7+0.00000003*(0.7+F29*1.1*'Sheet1 select'!$B$26))*F29*$B$8*1000)</f>
        <v>0</v>
      </c>
      <c r="R29" s="45">
        <f t="shared" ca="1" si="3"/>
        <v>4.1167667224224172E-2</v>
      </c>
      <c r="S29" s="48">
        <f t="shared" ca="1" si="4"/>
        <v>0.90068138033720468</v>
      </c>
      <c r="T29" s="49">
        <f ca="1">H29+K29+O29+N29+'Sheet1 select'!$B$40*I29+J29+P29</f>
        <v>1.6149150540339871E-2</v>
      </c>
      <c r="U29" s="169">
        <f t="shared" ca="1" si="5"/>
        <v>4.1491505403398726E-3</v>
      </c>
      <c r="V29" s="47">
        <f t="shared" ca="1" si="6"/>
        <v>0</v>
      </c>
    </row>
    <row r="30" spans="1:22" ht="15">
      <c r="A30" s="156"/>
      <c r="B30" s="162"/>
      <c r="C30" s="156"/>
      <c r="E30" s="32">
        <v>29</v>
      </c>
      <c r="F30" s="45">
        <f t="shared" si="0"/>
        <v>7.7333333333333337E-2</v>
      </c>
      <c r="G30" s="45">
        <f t="shared" si="1"/>
        <v>1.196088888888889E-3</v>
      </c>
      <c r="H30" s="45">
        <f ca="1">F30*F30*('Sheet1 select'!$B$25)*$B$3</f>
        <v>1.3601957202150471E-4</v>
      </c>
      <c r="I30" s="45">
        <f>F30*(1-$B$3)*'Sheet1 select'!$B$41</f>
        <v>1.8044444444444443E-2</v>
      </c>
      <c r="J30" s="45">
        <f ca="1">F30*F30*('Sheet1 select'!$B$26)*(1-$B$3)</f>
        <v>0</v>
      </c>
      <c r="K30" s="45">
        <f>0.0000005*$B$10*F30*$B$8*((('Sheet1 select'!$B$33+0.5*'Sheet1 select'!$B$32)/(('Sheet1 select'!$B$10-'Sheet1 select'!$B$23)/('Sheet1 select'!$B$27+'Sheet1 select'!$B$8)))+(('Sheet1 select'!$B$33+0.5*'Sheet1 select'!$B$32)/(('Sheet1 select'!$B$23)/('Sheet1 select'!$B$27+'Sheet1 select'!$B$9))))</f>
        <v>1.0588623891144985E-3</v>
      </c>
      <c r="L30" s="45">
        <f>(F30*$B$28)*(('Sheet1 select'!$B$12+'Sheet1 select'!$B$13)*(0.000000001))*$B$8*1000</f>
        <v>0</v>
      </c>
      <c r="M30" s="45">
        <f t="shared" si="2"/>
        <v>6.481272239439854E-3</v>
      </c>
      <c r="N30" s="46">
        <f>$B$10*'Sheet1 select'!$B$29*0.001</f>
        <v>1.2E-2</v>
      </c>
      <c r="O30" s="44">
        <f>'Sheet1 select'!$B$10*'Sheet1 select'!$B$31*$B$8*1000*0.000000001</f>
        <v>3.0000000000000001E-3</v>
      </c>
      <c r="P30" s="44">
        <f>'Sheet1 select'!$B$35*$B$10*$B$8*1000*0.000000001</f>
        <v>0</v>
      </c>
      <c r="Q30" s="47">
        <f>IF('Sheet1 select'!$B$17=0,0,(0.00000006*0.7+0.00000003*(0.7+F30*1.1*'Sheet1 select'!$B$26))*F30*$B$8*1000)</f>
        <v>0</v>
      </c>
      <c r="R30" s="45">
        <f t="shared" ca="1" si="3"/>
        <v>4.1916687533909189E-2</v>
      </c>
      <c r="S30" s="48">
        <f t="shared" ca="1" si="4"/>
        <v>0.90219711726299967</v>
      </c>
      <c r="T30" s="49">
        <f ca="1">H30+K30+O30+N30+'Sheet1 select'!$B$40*I30+J30+P30</f>
        <v>1.6194881961136005E-2</v>
      </c>
      <c r="U30" s="169">
        <f t="shared" ca="1" si="5"/>
        <v>4.1948819611360034E-3</v>
      </c>
      <c r="V30" s="47">
        <f t="shared" ca="1" si="6"/>
        <v>0</v>
      </c>
    </row>
    <row r="31" spans="1:22">
      <c r="A31" s="163"/>
      <c r="B31" s="156"/>
      <c r="C31" s="156"/>
      <c r="E31" s="32">
        <v>30</v>
      </c>
      <c r="F31" s="45">
        <f t="shared" si="0"/>
        <v>0.08</v>
      </c>
      <c r="G31" s="45">
        <f t="shared" si="1"/>
        <v>1.2800000000000001E-3</v>
      </c>
      <c r="H31" s="45">
        <f ca="1">F31*F31*('Sheet1 select'!$B$25)*$B$3</f>
        <v>1.4556196768056388E-4</v>
      </c>
      <c r="I31" s="45">
        <f>F31*(1-$B$3)*'Sheet1 select'!$B$41</f>
        <v>1.8666666666666665E-2</v>
      </c>
      <c r="J31" s="45">
        <f ca="1">F31*F31*('Sheet1 select'!$B$26)*(1-$B$3)</f>
        <v>0</v>
      </c>
      <c r="K31" s="45">
        <f>0.0000005*$B$10*F31*$B$8*((('Sheet1 select'!$B$33+0.5*'Sheet1 select'!$B$32)/(('Sheet1 select'!$B$10-'Sheet1 select'!$B$23)/('Sheet1 select'!$B$27+'Sheet1 select'!$B$8)))+(('Sheet1 select'!$B$33+0.5*'Sheet1 select'!$B$32)/(('Sheet1 select'!$B$23)/('Sheet1 select'!$B$27+'Sheet1 select'!$B$9))))</f>
        <v>1.0953748852908607E-3</v>
      </c>
      <c r="L31" s="45">
        <f>(F31*$B$28)*(('Sheet1 select'!$B$12+'Sheet1 select'!$B$13)*(0.000000001))*$B$8*1000</f>
        <v>0</v>
      </c>
      <c r="M31" s="45">
        <f t="shared" si="2"/>
        <v>6.481272239439854E-3</v>
      </c>
      <c r="N31" s="46">
        <f>$B$10*'Sheet1 select'!$B$29*0.001</f>
        <v>1.2E-2</v>
      </c>
      <c r="O31" s="44">
        <f>'Sheet1 select'!$B$10*'Sheet1 select'!$B$31*$B$8*1000*0.000000001</f>
        <v>3.0000000000000001E-3</v>
      </c>
      <c r="P31" s="44">
        <f>'Sheet1 select'!$B$35*$B$10*$B$8*1000*0.000000001</f>
        <v>0</v>
      </c>
      <c r="Q31" s="47">
        <f>IF('Sheet1 select'!$B$17=0,0,(0.00000006*0.7+0.00000003*(0.7+F31*1.1*'Sheet1 select'!$B$26))*F31*$B$8*1000)</f>
        <v>0</v>
      </c>
      <c r="R31" s="45">
        <f t="shared" ca="1" si="3"/>
        <v>4.2668875759077948E-2</v>
      </c>
      <c r="S31" s="48">
        <f t="shared" ca="1" si="4"/>
        <v>0.90360994843852438</v>
      </c>
      <c r="T31" s="49">
        <f ca="1">H31+K31+O31+N31+'Sheet1 select'!$B$40*I31+J31+P31</f>
        <v>1.6240936852971427E-2</v>
      </c>
      <c r="U31" s="169">
        <f t="shared" ca="1" si="5"/>
        <v>4.2409368529714251E-3</v>
      </c>
      <c r="V31" s="47">
        <f t="shared" ca="1" si="6"/>
        <v>0</v>
      </c>
    </row>
    <row r="32" spans="1:22">
      <c r="A32" s="163"/>
      <c r="B32" s="156"/>
      <c r="C32" s="156"/>
      <c r="E32" s="32">
        <v>31</v>
      </c>
      <c r="F32" s="45">
        <f t="shared" si="0"/>
        <v>8.2666666666666666E-2</v>
      </c>
      <c r="G32" s="45">
        <f t="shared" si="1"/>
        <v>1.3667555555555554E-3</v>
      </c>
      <c r="H32" s="45">
        <f ca="1">F32*F32*('Sheet1 select'!$B$25)*$B$3</f>
        <v>1.5542783437891321E-4</v>
      </c>
      <c r="I32" s="45">
        <f>F32*(1-$B$3)*'Sheet1 select'!$B$41</f>
        <v>1.9288888888888887E-2</v>
      </c>
      <c r="J32" s="45">
        <f ca="1">F32*F32*('Sheet1 select'!$B$26)*(1-$B$3)</f>
        <v>0</v>
      </c>
      <c r="K32" s="45">
        <f>0.0000005*$B$10*F32*$B$8*((('Sheet1 select'!$B$33+0.5*'Sheet1 select'!$B$32)/(('Sheet1 select'!$B$10-'Sheet1 select'!$B$23)/('Sheet1 select'!$B$27+'Sheet1 select'!$B$8)))+(('Sheet1 select'!$B$33+0.5*'Sheet1 select'!$B$32)/(('Sheet1 select'!$B$23)/('Sheet1 select'!$B$27+'Sheet1 select'!$B$9))))</f>
        <v>1.1318873814672224E-3</v>
      </c>
      <c r="L32" s="45">
        <f>(F32*$B$28)*(('Sheet1 select'!$B$12+'Sheet1 select'!$B$13)*(0.000000001))*$B$8*1000</f>
        <v>0</v>
      </c>
      <c r="M32" s="45">
        <f t="shared" si="2"/>
        <v>6.481272239439854E-3</v>
      </c>
      <c r="N32" s="46">
        <f>$B$10*'Sheet1 select'!$B$29*0.001</f>
        <v>1.2E-2</v>
      </c>
      <c r="O32" s="44">
        <f>'Sheet1 select'!$B$10*'Sheet1 select'!$B$31*$B$8*1000*0.000000001</f>
        <v>3.0000000000000001E-3</v>
      </c>
      <c r="P32" s="44">
        <f>'Sheet1 select'!$B$35*$B$10*$B$8*1000*0.000000001</f>
        <v>0</v>
      </c>
      <c r="Q32" s="47">
        <f>IF('Sheet1 select'!$B$17=0,0,(0.00000006*0.7+0.00000003*(0.7+F32*1.1*'Sheet1 select'!$B$26))*F32*$B$8*1000)</f>
        <v>0</v>
      </c>
      <c r="R32" s="45">
        <f t="shared" ca="1" si="3"/>
        <v>4.3424231899730437E-2</v>
      </c>
      <c r="S32" s="48">
        <f t="shared" ca="1" si="4"/>
        <v>0.90492936471107399</v>
      </c>
      <c r="T32" s="49">
        <f ca="1">H32+K32+O32+N32+'Sheet1 select'!$B$40*I32+J32+P32</f>
        <v>1.6287315215846136E-2</v>
      </c>
      <c r="U32" s="169">
        <f t="shared" ca="1" si="5"/>
        <v>4.287315215846136E-3</v>
      </c>
      <c r="V32" s="47">
        <f t="shared" ca="1" si="6"/>
        <v>0</v>
      </c>
    </row>
    <row r="33" spans="1:22">
      <c r="A33" s="163"/>
      <c r="B33" s="156"/>
      <c r="C33" s="156"/>
      <c r="E33" s="32">
        <v>32</v>
      </c>
      <c r="F33" s="45">
        <f t="shared" si="0"/>
        <v>8.5333333333333344E-2</v>
      </c>
      <c r="G33" s="45">
        <f t="shared" si="1"/>
        <v>1.4563555555555559E-3</v>
      </c>
      <c r="H33" s="45">
        <f ca="1">F33*F33*('Sheet1 select'!$B$25)*$B$3</f>
        <v>1.6561717211655271E-4</v>
      </c>
      <c r="I33" s="45">
        <f>F33*(1-$B$3)*'Sheet1 select'!$B$41</f>
        <v>1.9911111111111112E-2</v>
      </c>
      <c r="J33" s="45">
        <f ca="1">F33*F33*('Sheet1 select'!$B$26)*(1-$B$3)</f>
        <v>0</v>
      </c>
      <c r="K33" s="45">
        <f>0.0000005*$B$10*F33*$B$8*((('Sheet1 select'!$B$33+0.5*'Sheet1 select'!$B$32)/(('Sheet1 select'!$B$10-'Sheet1 select'!$B$23)/('Sheet1 select'!$B$27+'Sheet1 select'!$B$8)))+(('Sheet1 select'!$B$33+0.5*'Sheet1 select'!$B$32)/(('Sheet1 select'!$B$23)/('Sheet1 select'!$B$27+'Sheet1 select'!$B$9))))</f>
        <v>1.1683998776435846E-3</v>
      </c>
      <c r="L33" s="45">
        <f>(F33*$B$28)*(('Sheet1 select'!$B$12+'Sheet1 select'!$B$13)*(0.000000001))*$B$8*1000</f>
        <v>0</v>
      </c>
      <c r="M33" s="45">
        <f t="shared" si="2"/>
        <v>6.481272239439854E-3</v>
      </c>
      <c r="N33" s="46">
        <f>$B$10*'Sheet1 select'!$B$29*0.001</f>
        <v>1.2E-2</v>
      </c>
      <c r="O33" s="44">
        <f>'Sheet1 select'!$B$10*'Sheet1 select'!$B$31*$B$8*1000*0.000000001</f>
        <v>3.0000000000000001E-3</v>
      </c>
      <c r="P33" s="44">
        <f>'Sheet1 select'!$B$35*$B$10*$B$8*1000*0.000000001</f>
        <v>0</v>
      </c>
      <c r="Q33" s="47">
        <f>IF('Sheet1 select'!$B$17=0,0,(0.00000006*0.7+0.00000003*(0.7+F33*1.1*'Sheet1 select'!$B$26))*F33*$B$8*1000)</f>
        <v>0</v>
      </c>
      <c r="R33" s="45">
        <f t="shared" ca="1" si="3"/>
        <v>4.4182755955866661E-2</v>
      </c>
      <c r="S33" s="48">
        <f t="shared" ca="1" si="4"/>
        <v>0.90616372489154196</v>
      </c>
      <c r="T33" s="49">
        <f ca="1">H33+K33+O33+N33+'Sheet1 select'!$B$40*I33+J33+P33</f>
        <v>1.633401704976014E-2</v>
      </c>
      <c r="U33" s="169">
        <f t="shared" ca="1" si="5"/>
        <v>4.3340170497601378E-3</v>
      </c>
      <c r="V33" s="47">
        <f t="shared" ca="1" si="6"/>
        <v>0</v>
      </c>
    </row>
    <row r="34" spans="1:22">
      <c r="A34" s="156"/>
      <c r="B34" s="156"/>
      <c r="C34" s="156"/>
      <c r="E34" s="32">
        <v>33</v>
      </c>
      <c r="F34" s="45">
        <f t="shared" si="0"/>
        <v>8.8000000000000009E-2</v>
      </c>
      <c r="G34" s="45">
        <f t="shared" si="1"/>
        <v>1.5488000000000004E-3</v>
      </c>
      <c r="H34" s="45">
        <f ca="1">F34*F34*('Sheet1 select'!$B$25)*$B$3</f>
        <v>1.7612998089348232E-4</v>
      </c>
      <c r="I34" s="45">
        <f>F34*(1-$B$3)*'Sheet1 select'!$B$41</f>
        <v>2.0533333333333334E-2</v>
      </c>
      <c r="J34" s="45">
        <f ca="1">F34*F34*('Sheet1 select'!$B$26)*(1-$B$3)</f>
        <v>0</v>
      </c>
      <c r="K34" s="45">
        <f>0.0000005*$B$10*F34*$B$8*((('Sheet1 select'!$B$33+0.5*'Sheet1 select'!$B$32)/(('Sheet1 select'!$B$10-'Sheet1 select'!$B$23)/('Sheet1 select'!$B$27+'Sheet1 select'!$B$8)))+(('Sheet1 select'!$B$33+0.5*'Sheet1 select'!$B$32)/(('Sheet1 select'!$B$23)/('Sheet1 select'!$B$27+'Sheet1 select'!$B$9))))</f>
        <v>1.2049123738199466E-3</v>
      </c>
      <c r="L34" s="45">
        <f>(F34*$B$28)*(('Sheet1 select'!$B$12+'Sheet1 select'!$B$13)*(0.000000001))*$B$8*1000</f>
        <v>0</v>
      </c>
      <c r="M34" s="45">
        <f t="shared" si="2"/>
        <v>6.481272239439854E-3</v>
      </c>
      <c r="N34" s="46">
        <f>$B$10*'Sheet1 select'!$B$29*0.001</f>
        <v>1.2E-2</v>
      </c>
      <c r="O34" s="44">
        <f>'Sheet1 select'!$B$10*'Sheet1 select'!$B$31*$B$8*1000*0.000000001</f>
        <v>3.0000000000000001E-3</v>
      </c>
      <c r="P34" s="44">
        <f>'Sheet1 select'!$B$35*$B$10*$B$8*1000*0.000000001</f>
        <v>0</v>
      </c>
      <c r="Q34" s="47">
        <f>IF('Sheet1 select'!$B$17=0,0,(0.00000006*0.7+0.00000003*(0.7+F34*1.1*'Sheet1 select'!$B$26))*F34*$B$8*1000)</f>
        <v>0</v>
      </c>
      <c r="R34" s="45">
        <f t="shared" ca="1" si="3"/>
        <v>4.4944447927486614E-2</v>
      </c>
      <c r="S34" s="48">
        <f t="shared" ca="1" si="4"/>
        <v>0.90732041964895915</v>
      </c>
      <c r="T34" s="49">
        <f ca="1">H34+K34+O34+N34+'Sheet1 select'!$B$40*I34+J34+P34</f>
        <v>1.6381042354713431E-2</v>
      </c>
      <c r="U34" s="169">
        <f t="shared" ca="1" si="5"/>
        <v>4.3810423547134287E-3</v>
      </c>
      <c r="V34" s="47">
        <f t="shared" ca="1" si="6"/>
        <v>0</v>
      </c>
    </row>
    <row r="35" spans="1:22" ht="15">
      <c r="A35" s="156"/>
      <c r="B35" s="162"/>
      <c r="C35" s="156"/>
      <c r="E35" s="32">
        <v>34</v>
      </c>
      <c r="F35" s="45">
        <f t="shared" si="0"/>
        <v>9.0666666666666673E-2</v>
      </c>
      <c r="G35" s="45">
        <f t="shared" si="1"/>
        <v>1.6440888888888891E-3</v>
      </c>
      <c r="H35" s="45">
        <f ca="1">F35*F35*('Sheet1 select'!$B$25)*$B$3</f>
        <v>1.8696626070970206E-4</v>
      </c>
      <c r="I35" s="45">
        <f>F35*(1-$B$3)*'Sheet1 select'!$B$41</f>
        <v>2.1155555555555556E-2</v>
      </c>
      <c r="J35" s="45">
        <f ca="1">F35*F35*('Sheet1 select'!$B$26)*(1-$B$3)</f>
        <v>0</v>
      </c>
      <c r="K35" s="45">
        <f>0.0000005*$B$10*F35*$B$8*((('Sheet1 select'!$B$33+0.5*'Sheet1 select'!$B$32)/(('Sheet1 select'!$B$10-'Sheet1 select'!$B$23)/('Sheet1 select'!$B$27+'Sheet1 select'!$B$8)))+(('Sheet1 select'!$B$33+0.5*'Sheet1 select'!$B$32)/(('Sheet1 select'!$B$23)/('Sheet1 select'!$B$27+'Sheet1 select'!$B$9))))</f>
        <v>1.2414248699963086E-3</v>
      </c>
      <c r="L35" s="45">
        <f>(F35*$B$28)*(('Sheet1 select'!$B$12+'Sheet1 select'!$B$13)*(0.000000001))*$B$8*1000</f>
        <v>0</v>
      </c>
      <c r="M35" s="45">
        <f t="shared" si="2"/>
        <v>6.481272239439854E-3</v>
      </c>
      <c r="N35" s="46">
        <f>$B$10*'Sheet1 select'!$B$29*0.001</f>
        <v>1.2E-2</v>
      </c>
      <c r="O35" s="44">
        <f>'Sheet1 select'!$B$10*'Sheet1 select'!$B$31*$B$8*1000*0.000000001</f>
        <v>3.0000000000000001E-3</v>
      </c>
      <c r="P35" s="44">
        <f>'Sheet1 select'!$B$35*$B$10*$B$8*1000*0.000000001</f>
        <v>0</v>
      </c>
      <c r="Q35" s="47">
        <f>IF('Sheet1 select'!$B$17=0,0,(0.00000006*0.7+0.00000003*(0.7+F35*1.1*'Sheet1 select'!$B$26))*F35*$B$8*1000)</f>
        <v>0</v>
      </c>
      <c r="R35" s="45">
        <f t="shared" ca="1" si="3"/>
        <v>4.5709307814590316E-2</v>
      </c>
      <c r="S35" s="48">
        <f t="shared" ca="1" si="4"/>
        <v>0.90840600773223024</v>
      </c>
      <c r="T35" s="49">
        <f ca="1">H35+K35+O35+N35+'Sheet1 select'!$B$40*I35+J35+P35</f>
        <v>1.6428391130706009E-2</v>
      </c>
      <c r="U35" s="169">
        <f t="shared" ca="1" si="5"/>
        <v>4.4283911307060105E-3</v>
      </c>
      <c r="V35" s="47">
        <f t="shared" ca="1" si="6"/>
        <v>0</v>
      </c>
    </row>
    <row r="36" spans="1:22">
      <c r="A36" s="163"/>
      <c r="B36" s="156"/>
      <c r="C36" s="156"/>
      <c r="E36" s="32">
        <v>35</v>
      </c>
      <c r="F36" s="45">
        <f t="shared" si="0"/>
        <v>9.3333333333333338E-2</v>
      </c>
      <c r="G36" s="45">
        <f t="shared" si="1"/>
        <v>1.7422222222222225E-3</v>
      </c>
      <c r="H36" s="45">
        <f ca="1">F36*F36*('Sheet1 select'!$B$25)*$B$3</f>
        <v>1.9812601156521194E-4</v>
      </c>
      <c r="I36" s="45">
        <f>F36*(1-$B$3)*'Sheet1 select'!$B$41</f>
        <v>2.1777777777777778E-2</v>
      </c>
      <c r="J36" s="45">
        <f ca="1">F36*F36*('Sheet1 select'!$B$26)*(1-$B$3)</f>
        <v>0</v>
      </c>
      <c r="K36" s="45">
        <f>0.0000005*$B$10*F36*$B$8*((('Sheet1 select'!$B$33+0.5*'Sheet1 select'!$B$32)/(('Sheet1 select'!$B$10-'Sheet1 select'!$B$23)/('Sheet1 select'!$B$27+'Sheet1 select'!$B$8)))+(('Sheet1 select'!$B$33+0.5*'Sheet1 select'!$B$32)/(('Sheet1 select'!$B$23)/('Sheet1 select'!$B$27+'Sheet1 select'!$B$9))))</f>
        <v>1.2779373661726706E-3</v>
      </c>
      <c r="L36" s="45">
        <f>(F36*$B$28)*(('Sheet1 select'!$B$12+'Sheet1 select'!$B$13)*(0.000000001))*$B$8*1000</f>
        <v>0</v>
      </c>
      <c r="M36" s="45">
        <f t="shared" si="2"/>
        <v>6.481272239439854E-3</v>
      </c>
      <c r="N36" s="46">
        <f>$B$10*'Sheet1 select'!$B$29*0.001</f>
        <v>1.2E-2</v>
      </c>
      <c r="O36" s="44">
        <f>'Sheet1 select'!$B$10*'Sheet1 select'!$B$31*$B$8*1000*0.000000001</f>
        <v>3.0000000000000001E-3</v>
      </c>
      <c r="P36" s="44">
        <f>'Sheet1 select'!$B$35*$B$10*$B$8*1000*0.000000001</f>
        <v>0</v>
      </c>
      <c r="Q36" s="47">
        <f>IF('Sheet1 select'!$B$17=0,0,(0.00000006*0.7+0.00000003*(0.7+F36*1.1*'Sheet1 select'!$B$26))*F36*$B$8*1000)</f>
        <v>0</v>
      </c>
      <c r="R36" s="45">
        <f t="shared" ca="1" si="3"/>
        <v>4.6477335617177748E-2</v>
      </c>
      <c r="S36" s="48">
        <f t="shared" ca="1" si="4"/>
        <v>0.90942632982102189</v>
      </c>
      <c r="T36" s="49">
        <f ca="1">H36+K36+O36+N36+'Sheet1 select'!$B$40*I36+J36+P36</f>
        <v>1.6476063377737882E-2</v>
      </c>
      <c r="U36" s="169">
        <f t="shared" ca="1" si="5"/>
        <v>4.4760633777378824E-3</v>
      </c>
      <c r="V36" s="47">
        <f t="shared" ca="1" si="6"/>
        <v>0</v>
      </c>
    </row>
    <row r="37" spans="1:22">
      <c r="A37" s="163"/>
      <c r="B37" s="156"/>
      <c r="C37" s="156"/>
      <c r="E37" s="32">
        <v>36</v>
      </c>
      <c r="F37" s="45">
        <f t="shared" si="0"/>
        <v>9.6000000000000002E-2</v>
      </c>
      <c r="G37" s="45">
        <f t="shared" si="1"/>
        <v>1.8431999999999999E-3</v>
      </c>
      <c r="H37" s="45">
        <f ca="1">F37*F37*('Sheet1 select'!$B$25)*$B$3</f>
        <v>2.0960923346001196E-4</v>
      </c>
      <c r="I37" s="45">
        <f>F37*(1-$B$3)*'Sheet1 select'!$B$41</f>
        <v>2.24E-2</v>
      </c>
      <c r="J37" s="45">
        <f ca="1">F37*F37*('Sheet1 select'!$B$26)*(1-$B$3)</f>
        <v>0</v>
      </c>
      <c r="K37" s="45">
        <f>0.0000005*$B$10*F37*$B$8*((('Sheet1 select'!$B$33+0.5*'Sheet1 select'!$B$32)/(('Sheet1 select'!$B$10-'Sheet1 select'!$B$23)/('Sheet1 select'!$B$27+'Sheet1 select'!$B$8)))+(('Sheet1 select'!$B$33+0.5*'Sheet1 select'!$B$32)/(('Sheet1 select'!$B$23)/('Sheet1 select'!$B$27+'Sheet1 select'!$B$9))))</f>
        <v>1.3144498623490325E-3</v>
      </c>
      <c r="L37" s="45">
        <f>(F37*$B$28)*(('Sheet1 select'!$B$12+'Sheet1 select'!$B$13)*(0.000000001))*$B$8*1000</f>
        <v>0</v>
      </c>
      <c r="M37" s="45">
        <f t="shared" si="2"/>
        <v>6.481272239439854E-3</v>
      </c>
      <c r="N37" s="46">
        <f>$B$10*'Sheet1 select'!$B$29*0.001</f>
        <v>1.2E-2</v>
      </c>
      <c r="O37" s="44">
        <f>'Sheet1 select'!$B$10*'Sheet1 select'!$B$31*$B$8*1000*0.000000001</f>
        <v>3.0000000000000001E-3</v>
      </c>
      <c r="P37" s="44">
        <f>'Sheet1 select'!$B$35*$B$10*$B$8*1000*0.000000001</f>
        <v>0</v>
      </c>
      <c r="Q37" s="47">
        <f>IF('Sheet1 select'!$B$17=0,0,(0.00000006*0.7+0.00000003*(0.7+F37*1.1*'Sheet1 select'!$B$26))*F37*$B$8*1000)</f>
        <v>0</v>
      </c>
      <c r="R37" s="45">
        <f t="shared" ca="1" si="3"/>
        <v>4.7248531335248894E-2</v>
      </c>
      <c r="S37" s="48">
        <f t="shared" ca="1" si="4"/>
        <v>0.91038660417774386</v>
      </c>
      <c r="T37" s="49">
        <f ca="1">H37+K37+O37+N37+'Sheet1 select'!$B$40*I37+J37+P37</f>
        <v>1.6524059095809045E-2</v>
      </c>
      <c r="U37" s="169">
        <f t="shared" ca="1" si="5"/>
        <v>4.5240590958090443E-3</v>
      </c>
      <c r="V37" s="47">
        <f t="shared" ca="1" si="6"/>
        <v>0</v>
      </c>
    </row>
    <row r="38" spans="1:22">
      <c r="A38" s="163"/>
      <c r="B38" s="164"/>
      <c r="C38" s="156"/>
      <c r="E38" s="32">
        <v>37</v>
      </c>
      <c r="F38" s="45">
        <f t="shared" si="0"/>
        <v>9.8666666666666666E-2</v>
      </c>
      <c r="G38" s="45">
        <f t="shared" si="1"/>
        <v>1.9470222222222223E-3</v>
      </c>
      <c r="H38" s="45">
        <f ca="1">F38*F38*('Sheet1 select'!$B$25)*$B$3</f>
        <v>2.2141592639410217E-4</v>
      </c>
      <c r="I38" s="45">
        <f>F38*(1-$B$3)*'Sheet1 select'!$B$41</f>
        <v>2.3022222222222222E-2</v>
      </c>
      <c r="J38" s="45">
        <f ca="1">F38*F38*('Sheet1 select'!$B$26)*(1-$B$3)</f>
        <v>0</v>
      </c>
      <c r="K38" s="45">
        <f>0.0000005*$B$10*F38*$B$8*((('Sheet1 select'!$B$33+0.5*'Sheet1 select'!$B$32)/(('Sheet1 select'!$B$10-'Sheet1 select'!$B$23)/('Sheet1 select'!$B$27+'Sheet1 select'!$B$8)))+(('Sheet1 select'!$B$33+0.5*'Sheet1 select'!$B$32)/(('Sheet1 select'!$B$23)/('Sheet1 select'!$B$27+'Sheet1 select'!$B$9))))</f>
        <v>1.3509623585253945E-3</v>
      </c>
      <c r="L38" s="45">
        <f>(F38*$B$28)*(('Sheet1 select'!$B$12+'Sheet1 select'!$B$13)*(0.000000001))*$B$8*1000</f>
        <v>0</v>
      </c>
      <c r="M38" s="45">
        <f t="shared" si="2"/>
        <v>6.481272239439854E-3</v>
      </c>
      <c r="N38" s="46">
        <f>$B$10*'Sheet1 select'!$B$29*0.001</f>
        <v>1.2E-2</v>
      </c>
      <c r="O38" s="44">
        <f>'Sheet1 select'!$B$10*'Sheet1 select'!$B$31*$B$8*1000*0.000000001</f>
        <v>3.0000000000000001E-3</v>
      </c>
      <c r="P38" s="44">
        <f>'Sheet1 select'!$B$35*$B$10*$B$8*1000*0.000000001</f>
        <v>0</v>
      </c>
      <c r="Q38" s="47">
        <f>IF('Sheet1 select'!$B$17=0,0,(0.00000006*0.7+0.00000003*(0.7+F38*1.1*'Sheet1 select'!$B$26))*F38*$B$8*1000)</f>
        <v>0</v>
      </c>
      <c r="R38" s="45">
        <f t="shared" ca="1" si="3"/>
        <v>4.8022894968803798E-2</v>
      </c>
      <c r="S38" s="48">
        <f t="shared" ca="1" si="4"/>
        <v>0.9112915074064657</v>
      </c>
      <c r="T38" s="49">
        <f ca="1">H38+K38+O38+N38+'Sheet1 select'!$B$40*I38+J38+P38</f>
        <v>1.6572378284919496E-2</v>
      </c>
      <c r="U38" s="169">
        <f t="shared" ca="1" si="5"/>
        <v>4.5723782849194971E-3</v>
      </c>
      <c r="V38" s="47">
        <f t="shared" ca="1" si="6"/>
        <v>0</v>
      </c>
    </row>
    <row r="39" spans="1:22">
      <c r="A39" s="163"/>
      <c r="B39" s="164"/>
      <c r="C39" s="156"/>
      <c r="E39" s="32">
        <v>38</v>
      </c>
      <c r="F39" s="45">
        <f t="shared" si="0"/>
        <v>0.10133333333333334</v>
      </c>
      <c r="G39" s="45">
        <f t="shared" si="1"/>
        <v>2.0536888888888893E-3</v>
      </c>
      <c r="H39" s="45">
        <f ca="1">F39*F39*('Sheet1 select'!$B$25)*$B$3</f>
        <v>2.3354609036748252E-4</v>
      </c>
      <c r="I39" s="45">
        <f>F39*(1-$B$3)*'Sheet1 select'!$B$41</f>
        <v>2.3644444444444444E-2</v>
      </c>
      <c r="J39" s="45">
        <f ca="1">F39*F39*('Sheet1 select'!$B$26)*(1-$B$3)</f>
        <v>0</v>
      </c>
      <c r="K39" s="45">
        <f>0.0000005*$B$10*F39*$B$8*((('Sheet1 select'!$B$33+0.5*'Sheet1 select'!$B$32)/(('Sheet1 select'!$B$10-'Sheet1 select'!$B$23)/('Sheet1 select'!$B$27+'Sheet1 select'!$B$8)))+(('Sheet1 select'!$B$33+0.5*'Sheet1 select'!$B$32)/(('Sheet1 select'!$B$23)/('Sheet1 select'!$B$27+'Sheet1 select'!$B$9))))</f>
        <v>1.3874748547017567E-3</v>
      </c>
      <c r="L39" s="45">
        <f>(F39*$B$28)*(('Sheet1 select'!$B$12+'Sheet1 select'!$B$13)*(0.000000001))*$B$8*1000</f>
        <v>0</v>
      </c>
      <c r="M39" s="45">
        <f t="shared" si="2"/>
        <v>6.481272239439854E-3</v>
      </c>
      <c r="N39" s="46">
        <f>$B$10*'Sheet1 select'!$B$29*0.001</f>
        <v>1.2E-2</v>
      </c>
      <c r="O39" s="44">
        <f>'Sheet1 select'!$B$10*'Sheet1 select'!$B$31*$B$8*1000*0.000000001</f>
        <v>3.0000000000000001E-3</v>
      </c>
      <c r="P39" s="44">
        <f>'Sheet1 select'!$B$35*$B$10*$B$8*1000*0.000000001</f>
        <v>0</v>
      </c>
      <c r="Q39" s="47">
        <f>IF('Sheet1 select'!$B$17=0,0,(0.00000006*0.7+0.00000003*(0.7+F39*1.1*'Sheet1 select'!$B$26))*F39*$B$8*1000)</f>
        <v>0</v>
      </c>
      <c r="R39" s="45">
        <f t="shared" ca="1" si="3"/>
        <v>4.880042651784243E-2</v>
      </c>
      <c r="S39" s="48">
        <f t="shared" ca="1" si="4"/>
        <v>0.91214524295567512</v>
      </c>
      <c r="T39" s="49">
        <f ca="1">H39+K39+O39+N39+'Sheet1 select'!$B$40*I39+J39+P39</f>
        <v>1.6621020945069238E-2</v>
      </c>
      <c r="U39" s="169">
        <f t="shared" ca="1" si="5"/>
        <v>4.621020945069239E-3</v>
      </c>
      <c r="V39" s="47">
        <f t="shared" ca="1" si="6"/>
        <v>0</v>
      </c>
    </row>
    <row r="40" spans="1:22">
      <c r="E40" s="32">
        <v>39</v>
      </c>
      <c r="F40" s="45">
        <f t="shared" si="0"/>
        <v>0.10400000000000001</v>
      </c>
      <c r="G40" s="45">
        <f t="shared" si="1"/>
        <v>2.1632000000000005E-3</v>
      </c>
      <c r="H40" s="45">
        <f ca="1">F40*F40*('Sheet1 select'!$B$25)*$B$3</f>
        <v>2.4599972538015297E-4</v>
      </c>
      <c r="I40" s="45">
        <f>F40*(1-$B$3)*'Sheet1 select'!$B$41</f>
        <v>2.4266666666666669E-2</v>
      </c>
      <c r="J40" s="45">
        <f ca="1">F40*F40*('Sheet1 select'!$B$26)*(1-$B$3)</f>
        <v>0</v>
      </c>
      <c r="K40" s="45">
        <f>0.0000005*$B$10*F40*$B$8*((('Sheet1 select'!$B$33+0.5*'Sheet1 select'!$B$32)/(('Sheet1 select'!$B$10-'Sheet1 select'!$B$23)/('Sheet1 select'!$B$27+'Sheet1 select'!$B$8)))+(('Sheet1 select'!$B$33+0.5*'Sheet1 select'!$B$32)/(('Sheet1 select'!$B$23)/('Sheet1 select'!$B$27+'Sheet1 select'!$B$9))))</f>
        <v>1.4239873508781189E-3</v>
      </c>
      <c r="L40" s="45">
        <f>(F40*$B$28)*(('Sheet1 select'!$B$12+'Sheet1 select'!$B$13)*(0.000000001))*$B$8*1000</f>
        <v>0</v>
      </c>
      <c r="M40" s="45">
        <f t="shared" si="2"/>
        <v>6.481272239439854E-3</v>
      </c>
      <c r="N40" s="46">
        <f>$B$10*'Sheet1 select'!$B$29*0.001</f>
        <v>1.2E-2</v>
      </c>
      <c r="O40" s="44">
        <f>'Sheet1 select'!$B$10*'Sheet1 select'!$B$31*$B$8*1000*0.000000001</f>
        <v>3.0000000000000001E-3</v>
      </c>
      <c r="P40" s="44">
        <f>'Sheet1 select'!$B$35*$B$10*$B$8*1000*0.000000001</f>
        <v>0</v>
      </c>
      <c r="Q40" s="47">
        <f>IF('Sheet1 select'!$B$17=0,0,(0.00000006*0.7+0.00000003*(0.7+F40*1.1*'Sheet1 select'!$B$26))*F40*$B$8*1000)</f>
        <v>0</v>
      </c>
      <c r="R40" s="45">
        <f t="shared" ca="1" si="3"/>
        <v>4.9581125982364804E-2</v>
      </c>
      <c r="S40" s="48">
        <f t="shared" ca="1" si="4"/>
        <v>0.9129515994813705</v>
      </c>
      <c r="T40" s="49">
        <f ca="1">H40+K40+O40+N40+'Sheet1 select'!$B$40*I40+J40+P40</f>
        <v>1.6669987076258271E-2</v>
      </c>
      <c r="U40" s="169">
        <f t="shared" ca="1" si="5"/>
        <v>4.6699870762582718E-3</v>
      </c>
      <c r="V40" s="47">
        <f t="shared" ca="1" si="6"/>
        <v>0</v>
      </c>
    </row>
    <row r="41" spans="1:22">
      <c r="E41" s="32">
        <v>40</v>
      </c>
      <c r="F41" s="45">
        <f t="shared" si="0"/>
        <v>0.10666666666666667</v>
      </c>
      <c r="G41" s="45">
        <f t="shared" si="1"/>
        <v>2.2755555555555558E-3</v>
      </c>
      <c r="H41" s="45">
        <f ca="1">F41*F41*('Sheet1 select'!$B$25)*$B$3</f>
        <v>2.5877683143211359E-4</v>
      </c>
      <c r="I41" s="45">
        <f>F41*(1-$B$3)*'Sheet1 select'!$B$41</f>
        <v>2.4888888888888891E-2</v>
      </c>
      <c r="J41" s="45">
        <f ca="1">F41*F41*('Sheet1 select'!$B$26)*(1-$B$3)</f>
        <v>0</v>
      </c>
      <c r="K41" s="45">
        <f>0.0000005*$B$10*F41*$B$8*((('Sheet1 select'!$B$33+0.5*'Sheet1 select'!$B$32)/(('Sheet1 select'!$B$10-'Sheet1 select'!$B$23)/('Sheet1 select'!$B$27+'Sheet1 select'!$B$8)))+(('Sheet1 select'!$B$33+0.5*'Sheet1 select'!$B$32)/(('Sheet1 select'!$B$23)/('Sheet1 select'!$B$27+'Sheet1 select'!$B$9))))</f>
        <v>1.4604998470544805E-3</v>
      </c>
      <c r="L41" s="45">
        <f>(F41*$B$28)*(('Sheet1 select'!$B$12+'Sheet1 select'!$B$13)*(0.000000001))*$B$8*1000</f>
        <v>0</v>
      </c>
      <c r="M41" s="45">
        <f t="shared" si="2"/>
        <v>6.481272239439854E-3</v>
      </c>
      <c r="N41" s="46">
        <f>$B$10*'Sheet1 select'!$B$29*0.001</f>
        <v>1.2E-2</v>
      </c>
      <c r="O41" s="44">
        <f>'Sheet1 select'!$B$10*'Sheet1 select'!$B$31*$B$8*1000*0.000000001</f>
        <v>3.0000000000000001E-3</v>
      </c>
      <c r="P41" s="44">
        <f>'Sheet1 select'!$B$35*$B$10*$B$8*1000*0.000000001</f>
        <v>0</v>
      </c>
      <c r="Q41" s="47">
        <f>IF('Sheet1 select'!$B$17=0,0,(0.00000006*0.7+0.00000003*(0.7+F41*1.1*'Sheet1 select'!$B$26))*F41*$B$8*1000)</f>
        <v>0</v>
      </c>
      <c r="R41" s="45">
        <f t="shared" ca="1" si="3"/>
        <v>5.0364993362370894E-2</v>
      </c>
      <c r="S41" s="48">
        <f t="shared" ca="1" si="4"/>
        <v>0.91371400077933174</v>
      </c>
      <c r="T41" s="49">
        <f ca="1">H41+K41+O41+N41+'Sheet1 select'!$B$40*I41+J41+P41</f>
        <v>1.6719276678486595E-2</v>
      </c>
      <c r="U41" s="169">
        <f t="shared" ca="1" si="5"/>
        <v>4.7192766784865938E-3</v>
      </c>
      <c r="V41" s="47">
        <f t="shared" ca="1" si="6"/>
        <v>0</v>
      </c>
    </row>
    <row r="42" spans="1:22">
      <c r="E42" s="32">
        <v>41</v>
      </c>
      <c r="F42" s="45">
        <f t="shared" si="0"/>
        <v>0.10933333333333335</v>
      </c>
      <c r="G42" s="45">
        <f t="shared" si="1"/>
        <v>2.390755555555556E-3</v>
      </c>
      <c r="H42" s="45">
        <f ca="1">F42*F42*('Sheet1 select'!$B$25)*$B$3</f>
        <v>2.718774085233644E-4</v>
      </c>
      <c r="I42" s="45">
        <f>F42*(1-$B$3)*'Sheet1 select'!$B$41</f>
        <v>2.5511111111111113E-2</v>
      </c>
      <c r="J42" s="45">
        <f ca="1">F42*F42*('Sheet1 select'!$B$26)*(1-$B$3)</f>
        <v>0</v>
      </c>
      <c r="K42" s="45">
        <f>0.0000005*$B$10*F42*$B$8*((('Sheet1 select'!$B$33+0.5*'Sheet1 select'!$B$32)/(('Sheet1 select'!$B$10-'Sheet1 select'!$B$23)/('Sheet1 select'!$B$27+'Sheet1 select'!$B$8)))+(('Sheet1 select'!$B$33+0.5*'Sheet1 select'!$B$32)/(('Sheet1 select'!$B$23)/('Sheet1 select'!$B$27+'Sheet1 select'!$B$9))))</f>
        <v>1.4970123432308431E-3</v>
      </c>
      <c r="L42" s="45">
        <f>(F42*$B$28)*(('Sheet1 select'!$B$12+'Sheet1 select'!$B$13)*(0.000000001))*$B$8*1000</f>
        <v>0</v>
      </c>
      <c r="M42" s="45">
        <f t="shared" si="2"/>
        <v>6.481272239439854E-3</v>
      </c>
      <c r="N42" s="46">
        <f>$B$10*'Sheet1 select'!$B$29*0.001</f>
        <v>1.2E-2</v>
      </c>
      <c r="O42" s="44">
        <f>'Sheet1 select'!$B$10*'Sheet1 select'!$B$31*$B$8*1000*0.000000001</f>
        <v>3.0000000000000001E-3</v>
      </c>
      <c r="P42" s="44">
        <f>'Sheet1 select'!$B$35*$B$10*$B$8*1000*0.000000001</f>
        <v>0</v>
      </c>
      <c r="Q42" s="47">
        <f>IF('Sheet1 select'!$B$17=0,0,(0.00000006*0.7+0.00000003*(0.7+F42*1.1*'Sheet1 select'!$B$26))*F42*$B$8*1000)</f>
        <v>0</v>
      </c>
      <c r="R42" s="45">
        <f t="shared" ca="1" si="3"/>
        <v>5.1152028657860726E-2</v>
      </c>
      <c r="S42" s="48">
        <f t="shared" ca="1" si="4"/>
        <v>0.91443554867401278</v>
      </c>
      <c r="T42" s="49">
        <f ca="1">H42+K42+O42+N42+'Sheet1 select'!$B$40*I42+J42+P42</f>
        <v>1.676888975175421E-2</v>
      </c>
      <c r="U42" s="169">
        <f t="shared" ca="1" si="5"/>
        <v>4.7688897517542076E-3</v>
      </c>
      <c r="V42" s="47">
        <f t="shared" ca="1" si="6"/>
        <v>0</v>
      </c>
    </row>
    <row r="43" spans="1:22">
      <c r="E43" s="32">
        <v>42</v>
      </c>
      <c r="F43" s="45">
        <f t="shared" si="0"/>
        <v>0.112</v>
      </c>
      <c r="G43" s="45">
        <f t="shared" si="1"/>
        <v>2.5088000000000003E-3</v>
      </c>
      <c r="H43" s="45">
        <f ca="1">F43*F43*('Sheet1 select'!$B$25)*$B$3</f>
        <v>2.8530145665390524E-4</v>
      </c>
      <c r="I43" s="45">
        <f>F43*(1-$B$3)*'Sheet1 select'!$B$41</f>
        <v>2.6133333333333331E-2</v>
      </c>
      <c r="J43" s="45">
        <f ca="1">F43*F43*('Sheet1 select'!$B$26)*(1-$B$3)</f>
        <v>0</v>
      </c>
      <c r="K43" s="45">
        <f>0.0000005*$B$10*F43*$B$8*((('Sheet1 select'!$B$33+0.5*'Sheet1 select'!$B$32)/(('Sheet1 select'!$B$10-'Sheet1 select'!$B$23)/('Sheet1 select'!$B$27+'Sheet1 select'!$B$8)))+(('Sheet1 select'!$B$33+0.5*'Sheet1 select'!$B$32)/(('Sheet1 select'!$B$23)/('Sheet1 select'!$B$27+'Sheet1 select'!$B$9))))</f>
        <v>1.5335248394072044E-3</v>
      </c>
      <c r="L43" s="45">
        <f>(F43*$B$28)*(('Sheet1 select'!$B$12+'Sheet1 select'!$B$13)*(0.000000001))*$B$8*1000</f>
        <v>0</v>
      </c>
      <c r="M43" s="45">
        <f t="shared" si="2"/>
        <v>6.481272239439854E-3</v>
      </c>
      <c r="N43" s="46">
        <f>$B$10*'Sheet1 select'!$B$29*0.001</f>
        <v>1.2E-2</v>
      </c>
      <c r="O43" s="44">
        <f>'Sheet1 select'!$B$10*'Sheet1 select'!$B$31*$B$8*1000*0.000000001</f>
        <v>3.0000000000000001E-3</v>
      </c>
      <c r="P43" s="44">
        <f>'Sheet1 select'!$B$35*$B$10*$B$8*1000*0.000000001</f>
        <v>0</v>
      </c>
      <c r="Q43" s="47">
        <f>IF('Sheet1 select'!$B$17=0,0,(0.00000006*0.7+0.00000003*(0.7+F43*1.1*'Sheet1 select'!$B$26))*F43*$B$8*1000)</f>
        <v>0</v>
      </c>
      <c r="R43" s="45">
        <f t="shared" ca="1" si="3"/>
        <v>5.1942231868834302E-2</v>
      </c>
      <c r="S43" s="48">
        <f t="shared" ca="1" si="4"/>
        <v>0.91511905999655252</v>
      </c>
      <c r="T43" s="49">
        <f ca="1">H43+K43+O43+N43+'Sheet1 select'!$B$40*I43+J43+P43</f>
        <v>1.6818826296061108E-2</v>
      </c>
      <c r="U43" s="169">
        <f t="shared" ca="1" si="5"/>
        <v>4.8188262960611097E-3</v>
      </c>
      <c r="V43" s="47">
        <f t="shared" ca="1" si="6"/>
        <v>0</v>
      </c>
    </row>
    <row r="44" spans="1:22">
      <c r="E44" s="32">
        <v>43</v>
      </c>
      <c r="F44" s="45">
        <f t="shared" si="0"/>
        <v>0.11466666666666667</v>
      </c>
      <c r="G44" s="45">
        <f t="shared" si="1"/>
        <v>2.629688888888889E-3</v>
      </c>
      <c r="H44" s="45">
        <f ca="1">F44*F44*('Sheet1 select'!$B$25)*$B$3</f>
        <v>2.9904897582373621E-4</v>
      </c>
      <c r="I44" s="45">
        <f>F44*(1-$B$3)*'Sheet1 select'!$B$41</f>
        <v>2.6755555555555557E-2</v>
      </c>
      <c r="J44" s="45">
        <f ca="1">F44*F44*('Sheet1 select'!$B$26)*(1-$B$3)</f>
        <v>0</v>
      </c>
      <c r="K44" s="45">
        <f>0.0000005*$B$10*F44*$B$8*((('Sheet1 select'!$B$33+0.5*'Sheet1 select'!$B$32)/(('Sheet1 select'!$B$10-'Sheet1 select'!$B$23)/('Sheet1 select'!$B$27+'Sheet1 select'!$B$8)))+(('Sheet1 select'!$B$33+0.5*'Sheet1 select'!$B$32)/(('Sheet1 select'!$B$23)/('Sheet1 select'!$B$27+'Sheet1 select'!$B$9))))</f>
        <v>1.5700373355835668E-3</v>
      </c>
      <c r="L44" s="45">
        <f>(F44*$B$28)*(('Sheet1 select'!$B$12+'Sheet1 select'!$B$13)*(0.000000001))*$B$8*1000</f>
        <v>0</v>
      </c>
      <c r="M44" s="45">
        <f t="shared" si="2"/>
        <v>6.481272239439854E-3</v>
      </c>
      <c r="N44" s="46">
        <f>$B$10*'Sheet1 select'!$B$29*0.001</f>
        <v>1.2E-2</v>
      </c>
      <c r="O44" s="44">
        <f>'Sheet1 select'!$B$10*'Sheet1 select'!$B$31*$B$8*1000*0.000000001</f>
        <v>3.0000000000000001E-3</v>
      </c>
      <c r="P44" s="44">
        <f>'Sheet1 select'!$B$35*$B$10*$B$8*1000*0.000000001</f>
        <v>0</v>
      </c>
      <c r="Q44" s="47">
        <f>IF('Sheet1 select'!$B$17=0,0,(0.00000006*0.7+0.00000003*(0.7+F44*1.1*'Sheet1 select'!$B$26))*F44*$B$8*1000)</f>
        <v>0</v>
      </c>
      <c r="R44" s="45">
        <f t="shared" ca="1" si="3"/>
        <v>5.2735602995291606E-2</v>
      </c>
      <c r="S44" s="48">
        <f t="shared" ca="1" si="4"/>
        <v>0.91576709858096117</v>
      </c>
      <c r="T44" s="49">
        <f ca="1">H44+K44+O44+N44+'Sheet1 select'!$B$40*I44+J44+P44</f>
        <v>1.6869086311407301E-2</v>
      </c>
      <c r="U44" s="169">
        <f t="shared" ca="1" si="5"/>
        <v>4.8690863114073026E-3</v>
      </c>
      <c r="V44" s="47">
        <f t="shared" ca="1" si="6"/>
        <v>0</v>
      </c>
    </row>
    <row r="45" spans="1:22">
      <c r="E45" s="32">
        <v>44</v>
      </c>
      <c r="F45" s="45">
        <f t="shared" si="0"/>
        <v>0.11733333333333335</v>
      </c>
      <c r="G45" s="45">
        <f t="shared" si="1"/>
        <v>2.753422222222223E-3</v>
      </c>
      <c r="H45" s="45">
        <f ca="1">F45*F45*('Sheet1 select'!$B$25)*$B$3</f>
        <v>3.1311996603285744E-4</v>
      </c>
      <c r="I45" s="45">
        <f>F45*(1-$B$3)*'Sheet1 select'!$B$41</f>
        <v>2.7377777777777779E-2</v>
      </c>
      <c r="J45" s="45">
        <f ca="1">F45*F45*('Sheet1 select'!$B$26)*(1-$B$3)</f>
        <v>0</v>
      </c>
      <c r="K45" s="45">
        <f>0.0000005*$B$10*F45*$B$8*((('Sheet1 select'!$B$33+0.5*'Sheet1 select'!$B$32)/(('Sheet1 select'!$B$10-'Sheet1 select'!$B$23)/('Sheet1 select'!$B$27+'Sheet1 select'!$B$8)))+(('Sheet1 select'!$B$33+0.5*'Sheet1 select'!$B$32)/(('Sheet1 select'!$B$23)/('Sheet1 select'!$B$27+'Sheet1 select'!$B$9))))</f>
        <v>1.6065498317599288E-3</v>
      </c>
      <c r="L45" s="45">
        <f>(F45*$B$28)*(('Sheet1 select'!$B$12+'Sheet1 select'!$B$13)*(0.000000001))*$B$8*1000</f>
        <v>0</v>
      </c>
      <c r="M45" s="45">
        <f t="shared" si="2"/>
        <v>6.481272239439854E-3</v>
      </c>
      <c r="N45" s="46">
        <f>$B$10*'Sheet1 select'!$B$29*0.001</f>
        <v>1.2E-2</v>
      </c>
      <c r="O45" s="44">
        <f>'Sheet1 select'!$B$10*'Sheet1 select'!$B$31*$B$8*1000*0.000000001</f>
        <v>3.0000000000000001E-3</v>
      </c>
      <c r="P45" s="44">
        <f>'Sheet1 select'!$B$35*$B$10*$B$8*1000*0.000000001</f>
        <v>0</v>
      </c>
      <c r="Q45" s="47">
        <f>IF('Sheet1 select'!$B$17=0,0,(0.00000006*0.7+0.00000003*(0.7+F45*1.1*'Sheet1 select'!$B$26))*F45*$B$8*1000)</f>
        <v>0</v>
      </c>
      <c r="R45" s="45">
        <f t="shared" ca="1" si="3"/>
        <v>5.3532142037232638E-2</v>
      </c>
      <c r="S45" s="48">
        <f t="shared" ca="1" si="4"/>
        <v>0.91638200304431994</v>
      </c>
      <c r="T45" s="49">
        <f ca="1">H45+K45+O45+N45+'Sheet1 select'!$B$40*I45+J45+P45</f>
        <v>1.6919669797792788E-2</v>
      </c>
      <c r="U45" s="169">
        <f t="shared" ca="1" si="5"/>
        <v>4.9196697977927865E-3</v>
      </c>
      <c r="V45" s="47">
        <f t="shared" ca="1" si="6"/>
        <v>0</v>
      </c>
    </row>
    <row r="46" spans="1:22">
      <c r="E46" s="32">
        <v>45</v>
      </c>
      <c r="F46" s="45">
        <f t="shared" si="0"/>
        <v>0.12</v>
      </c>
      <c r="G46" s="45">
        <f t="shared" si="1"/>
        <v>2.8799999999999997E-3</v>
      </c>
      <c r="H46" s="45">
        <f ca="1">F46*F46*('Sheet1 select'!$B$25)*$B$3</f>
        <v>3.2751442728126868E-4</v>
      </c>
      <c r="I46" s="45">
        <f>F46*(1-$B$3)*'Sheet1 select'!$B$41</f>
        <v>2.7999999999999997E-2</v>
      </c>
      <c r="J46" s="45">
        <f ca="1">F46*F46*('Sheet1 select'!$B$26)*(1-$B$3)</f>
        <v>0</v>
      </c>
      <c r="K46" s="45">
        <f>0.0000005*$B$10*F46*$B$8*((('Sheet1 select'!$B$33+0.5*'Sheet1 select'!$B$32)/(('Sheet1 select'!$B$10-'Sheet1 select'!$B$23)/('Sheet1 select'!$B$27+'Sheet1 select'!$B$8)))+(('Sheet1 select'!$B$33+0.5*'Sheet1 select'!$B$32)/(('Sheet1 select'!$B$23)/('Sheet1 select'!$B$27+'Sheet1 select'!$B$9))))</f>
        <v>1.6430623279362908E-3</v>
      </c>
      <c r="L46" s="45">
        <f>(F46*$B$28)*(('Sheet1 select'!$B$12+'Sheet1 select'!$B$13)*(0.000000001))*$B$8*1000</f>
        <v>0</v>
      </c>
      <c r="M46" s="45">
        <f t="shared" si="2"/>
        <v>6.481272239439854E-3</v>
      </c>
      <c r="N46" s="46">
        <f>$B$10*'Sheet1 select'!$B$29*0.001</f>
        <v>1.2E-2</v>
      </c>
      <c r="O46" s="44">
        <f>'Sheet1 select'!$B$10*'Sheet1 select'!$B$31*$B$8*1000*0.000000001</f>
        <v>3.0000000000000001E-3</v>
      </c>
      <c r="P46" s="44">
        <f>'Sheet1 select'!$B$35*$B$10*$B$8*1000*0.000000001</f>
        <v>0</v>
      </c>
      <c r="Q46" s="47">
        <f>IF('Sheet1 select'!$B$17=0,0,(0.00000006*0.7+0.00000003*(0.7+F46*1.1*'Sheet1 select'!$B$26))*F46*$B$8*1000)</f>
        <v>0</v>
      </c>
      <c r="R46" s="45">
        <f t="shared" ca="1" si="3"/>
        <v>5.4331848994657414E-2</v>
      </c>
      <c r="S46" s="48">
        <f t="shared" ca="1" si="4"/>
        <v>0.9169659109851751</v>
      </c>
      <c r="T46" s="49">
        <f ca="1">H46+K46+O46+N46+'Sheet1 select'!$B$40*I46+J46+P46</f>
        <v>1.697057675521756E-2</v>
      </c>
      <c r="U46" s="169">
        <f t="shared" ca="1" si="5"/>
        <v>4.9705767552175595E-3</v>
      </c>
      <c r="V46" s="47">
        <f t="shared" ca="1" si="6"/>
        <v>0</v>
      </c>
    </row>
    <row r="47" spans="1:22">
      <c r="E47" s="32">
        <v>46</v>
      </c>
      <c r="F47" s="45">
        <f t="shared" si="0"/>
        <v>0.12266666666666669</v>
      </c>
      <c r="G47" s="45">
        <f t="shared" si="1"/>
        <v>3.0094222222222236E-3</v>
      </c>
      <c r="H47" s="45">
        <f ca="1">F47*F47*('Sheet1 select'!$B$25)*$B$3</f>
        <v>3.4223235956897029E-4</v>
      </c>
      <c r="I47" s="45">
        <f>F47*(1-$B$3)*'Sheet1 select'!$B$41</f>
        <v>2.8622222222222223E-2</v>
      </c>
      <c r="J47" s="45">
        <f ca="1">F47*F47*('Sheet1 select'!$B$26)*(1-$B$3)</f>
        <v>0</v>
      </c>
      <c r="K47" s="45">
        <f>0.0000005*$B$10*F47*$B$8*((('Sheet1 select'!$B$33+0.5*'Sheet1 select'!$B$32)/(('Sheet1 select'!$B$10-'Sheet1 select'!$B$23)/('Sheet1 select'!$B$27+'Sheet1 select'!$B$8)))+(('Sheet1 select'!$B$33+0.5*'Sheet1 select'!$B$32)/(('Sheet1 select'!$B$23)/('Sheet1 select'!$B$27+'Sheet1 select'!$B$9))))</f>
        <v>1.679574824112653E-3</v>
      </c>
      <c r="L47" s="45">
        <f>(F47*$B$28)*(('Sheet1 select'!$B$12+'Sheet1 select'!$B$13)*(0.000000001))*$B$8*1000</f>
        <v>0</v>
      </c>
      <c r="M47" s="45">
        <f t="shared" si="2"/>
        <v>6.481272239439854E-3</v>
      </c>
      <c r="N47" s="46">
        <f>$B$10*'Sheet1 select'!$B$29*0.001</f>
        <v>1.2E-2</v>
      </c>
      <c r="O47" s="44">
        <f>'Sheet1 select'!$B$10*'Sheet1 select'!$B$31*$B$8*1000*0.000000001</f>
        <v>3.0000000000000001E-3</v>
      </c>
      <c r="P47" s="44">
        <f>'Sheet1 select'!$B$35*$B$10*$B$8*1000*0.000000001</f>
        <v>0</v>
      </c>
      <c r="Q47" s="47">
        <f>IF('Sheet1 select'!$B$17=0,0,(0.00000006*0.7+0.00000003*(0.7+F47*1.1*'Sheet1 select'!$B$26))*F47*$B$8*1000)</f>
        <v>0</v>
      </c>
      <c r="R47" s="45">
        <f t="shared" ca="1" si="3"/>
        <v>5.5134723867565932E-2</v>
      </c>
      <c r="S47" s="48">
        <f t="shared" ca="1" si="4"/>
        <v>0.91752078012757476</v>
      </c>
      <c r="T47" s="49">
        <f ca="1">H47+K47+O47+N47+'Sheet1 select'!$B$40*I47+J47+P47</f>
        <v>1.7021807183681625E-2</v>
      </c>
      <c r="U47" s="169">
        <f t="shared" ca="1" si="5"/>
        <v>5.0218071836816234E-3</v>
      </c>
      <c r="V47" s="47">
        <f t="shared" ca="1" si="6"/>
        <v>0</v>
      </c>
    </row>
    <row r="48" spans="1:22">
      <c r="E48" s="32">
        <v>47</v>
      </c>
      <c r="F48" s="45">
        <f t="shared" si="0"/>
        <v>0.12533333333333332</v>
      </c>
      <c r="G48" s="45">
        <f t="shared" si="1"/>
        <v>3.141688888888888E-3</v>
      </c>
      <c r="H48" s="45">
        <f ca="1">F48*F48*('Sheet1 select'!$B$25)*$B$3</f>
        <v>3.572737628959617E-4</v>
      </c>
      <c r="I48" s="45">
        <f>F48*(1-$B$3)*'Sheet1 select'!$B$41</f>
        <v>2.9244444444444441E-2</v>
      </c>
      <c r="J48" s="45">
        <f ca="1">F48*F48*('Sheet1 select'!$B$26)*(1-$B$3)</f>
        <v>0</v>
      </c>
      <c r="K48" s="45">
        <f>0.0000005*$B$10*F48*$B$8*((('Sheet1 select'!$B$33+0.5*'Sheet1 select'!$B$32)/(('Sheet1 select'!$B$10-'Sheet1 select'!$B$23)/('Sheet1 select'!$B$27+'Sheet1 select'!$B$8)))+(('Sheet1 select'!$B$33+0.5*'Sheet1 select'!$B$32)/(('Sheet1 select'!$B$23)/('Sheet1 select'!$B$27+'Sheet1 select'!$B$9))))</f>
        <v>1.7160873202890147E-3</v>
      </c>
      <c r="L48" s="45">
        <f>(F48*$B$28)*(('Sheet1 select'!$B$12+'Sheet1 select'!$B$13)*(0.000000001))*$B$8*1000</f>
        <v>0</v>
      </c>
      <c r="M48" s="45">
        <f t="shared" si="2"/>
        <v>6.481272239439854E-3</v>
      </c>
      <c r="N48" s="46">
        <f>$B$10*'Sheet1 select'!$B$29*0.001</f>
        <v>1.2E-2</v>
      </c>
      <c r="O48" s="44">
        <f>'Sheet1 select'!$B$10*'Sheet1 select'!$B$31*$B$8*1000*0.000000001</f>
        <v>3.0000000000000001E-3</v>
      </c>
      <c r="P48" s="44">
        <f>'Sheet1 select'!$B$35*$B$10*$B$8*1000*0.000000001</f>
        <v>0</v>
      </c>
      <c r="Q48" s="47">
        <f>IF('Sheet1 select'!$B$17=0,0,(0.00000006*0.7+0.00000003*(0.7+F48*1.1*'Sheet1 select'!$B$26))*F48*$B$8*1000)</f>
        <v>0</v>
      </c>
      <c r="R48" s="45">
        <f t="shared" ca="1" si="3"/>
        <v>5.5940766655958166E-2</v>
      </c>
      <c r="S48" s="48">
        <f t="shared" ca="1" si="4"/>
        <v>0.91804840685126476</v>
      </c>
      <c r="T48" s="49">
        <f ca="1">H48+K48+O48+N48+'Sheet1 select'!$B$40*I48+J48+P48</f>
        <v>1.7073361083184975E-2</v>
      </c>
      <c r="U48" s="169">
        <f t="shared" ca="1" si="5"/>
        <v>5.0733610831849765E-3</v>
      </c>
      <c r="V48" s="47">
        <f t="shared" ca="1" si="6"/>
        <v>0</v>
      </c>
    </row>
    <row r="49" spans="5:22">
      <c r="E49" s="32">
        <v>48</v>
      </c>
      <c r="F49" s="45">
        <f t="shared" si="0"/>
        <v>0.12800000000000003</v>
      </c>
      <c r="G49" s="45">
        <f t="shared" si="1"/>
        <v>3.2768000000000012E-3</v>
      </c>
      <c r="H49" s="45">
        <f ca="1">F49*F49*('Sheet1 select'!$B$25)*$B$3</f>
        <v>3.7263863726224363E-4</v>
      </c>
      <c r="I49" s="45">
        <f>F49*(1-$B$3)*'Sheet1 select'!$B$41</f>
        <v>2.986666666666667E-2</v>
      </c>
      <c r="J49" s="45">
        <f ca="1">F49*F49*('Sheet1 select'!$B$26)*(1-$B$3)</f>
        <v>0</v>
      </c>
      <c r="K49" s="45">
        <f>0.0000005*$B$10*F49*$B$8*((('Sheet1 select'!$B$33+0.5*'Sheet1 select'!$B$32)/(('Sheet1 select'!$B$10-'Sheet1 select'!$B$23)/('Sheet1 select'!$B$27+'Sheet1 select'!$B$8)))+(('Sheet1 select'!$B$33+0.5*'Sheet1 select'!$B$32)/(('Sheet1 select'!$B$23)/('Sheet1 select'!$B$27+'Sheet1 select'!$B$9))))</f>
        <v>1.7525998164653772E-3</v>
      </c>
      <c r="L49" s="45">
        <f>(F49*$B$28)*(('Sheet1 select'!$B$12+'Sheet1 select'!$B$13)*(0.000000001))*$B$8*1000</f>
        <v>0</v>
      </c>
      <c r="M49" s="45">
        <f t="shared" si="2"/>
        <v>6.481272239439854E-3</v>
      </c>
      <c r="N49" s="46">
        <f>$B$10*'Sheet1 select'!$B$29*0.001</f>
        <v>1.2E-2</v>
      </c>
      <c r="O49" s="44">
        <f>'Sheet1 select'!$B$10*'Sheet1 select'!$B$31*$B$8*1000*0.000000001</f>
        <v>3.0000000000000001E-3</v>
      </c>
      <c r="P49" s="44">
        <f>'Sheet1 select'!$B$35*$B$10*$B$8*1000*0.000000001</f>
        <v>0</v>
      </c>
      <c r="Q49" s="47">
        <f>IF('Sheet1 select'!$B$17=0,0,(0.00000006*0.7+0.00000003*(0.7+F49*1.1*'Sheet1 select'!$B$26))*F49*$B$8*1000)</f>
        <v>0</v>
      </c>
      <c r="R49" s="45">
        <f t="shared" ca="1" si="3"/>
        <v>5.6749977359834142E-2</v>
      </c>
      <c r="S49" s="48">
        <f t="shared" ca="1" si="4"/>
        <v>0.91855044247740858</v>
      </c>
      <c r="T49" s="49">
        <f ca="1">H49+K49+O49+N49+'Sheet1 select'!$B$40*I49+J49+P49</f>
        <v>1.7125238453727619E-2</v>
      </c>
      <c r="U49" s="169">
        <f t="shared" ca="1" si="5"/>
        <v>5.1252384537276204E-3</v>
      </c>
      <c r="V49" s="47">
        <f t="shared" ca="1" si="6"/>
        <v>0</v>
      </c>
    </row>
    <row r="50" spans="5:22">
      <c r="E50" s="32">
        <v>49</v>
      </c>
      <c r="F50" s="45">
        <f t="shared" si="0"/>
        <v>0.13066666666666668</v>
      </c>
      <c r="G50" s="45">
        <f t="shared" si="1"/>
        <v>3.4147555555555562E-3</v>
      </c>
      <c r="H50" s="45">
        <f ca="1">F50*F50*('Sheet1 select'!$B$25)*$B$3</f>
        <v>3.8832698266781548E-4</v>
      </c>
      <c r="I50" s="45">
        <f>F50*(1-$B$3)*'Sheet1 select'!$B$41</f>
        <v>3.0488888888888888E-2</v>
      </c>
      <c r="J50" s="45">
        <f ca="1">F50*F50*('Sheet1 select'!$B$26)*(1-$B$3)</f>
        <v>0</v>
      </c>
      <c r="K50" s="45">
        <f>0.0000005*$B$10*F50*$B$8*((('Sheet1 select'!$B$33+0.5*'Sheet1 select'!$B$32)/(('Sheet1 select'!$B$10-'Sheet1 select'!$B$23)/('Sheet1 select'!$B$27+'Sheet1 select'!$B$8)))+(('Sheet1 select'!$B$33+0.5*'Sheet1 select'!$B$32)/(('Sheet1 select'!$B$23)/('Sheet1 select'!$B$27+'Sheet1 select'!$B$9))))</f>
        <v>1.7891123126417389E-3</v>
      </c>
      <c r="L50" s="45">
        <f>(F50*$B$28)*(('Sheet1 select'!$B$12+'Sheet1 select'!$B$13)*(0.000000001))*$B$8*1000</f>
        <v>0</v>
      </c>
      <c r="M50" s="45">
        <f t="shared" si="2"/>
        <v>6.481272239439854E-3</v>
      </c>
      <c r="N50" s="46">
        <f>$B$10*'Sheet1 select'!$B$29*0.001</f>
        <v>1.2E-2</v>
      </c>
      <c r="O50" s="44">
        <f>'Sheet1 select'!$B$10*'Sheet1 select'!$B$31*$B$8*1000*0.000000001</f>
        <v>3.0000000000000001E-3</v>
      </c>
      <c r="P50" s="44">
        <f>'Sheet1 select'!$B$35*$B$10*$B$8*1000*0.000000001</f>
        <v>0</v>
      </c>
      <c r="Q50" s="47">
        <f>IF('Sheet1 select'!$B$17=0,0,(0.00000006*0.7+0.00000003*(0.7+F50*1.1*'Sheet1 select'!$B$26))*F50*$B$8*1000)</f>
        <v>0</v>
      </c>
      <c r="R50" s="45">
        <f t="shared" ca="1" si="3"/>
        <v>5.756235597919386E-2</v>
      </c>
      <c r="S50" s="48">
        <f t="shared" ca="1" si="4"/>
        <v>0.91902840762073035</v>
      </c>
      <c r="T50" s="49">
        <f ca="1">H50+K50+O50+N50+'Sheet1 select'!$B$40*I50+J50+P50</f>
        <v>1.7177439295309554E-2</v>
      </c>
      <c r="U50" s="169">
        <f t="shared" ca="1" si="5"/>
        <v>5.1774392953095544E-3</v>
      </c>
      <c r="V50" s="47">
        <f t="shared" ca="1" si="6"/>
        <v>0</v>
      </c>
    </row>
    <row r="51" spans="5:22">
      <c r="E51" s="32">
        <v>50</v>
      </c>
      <c r="F51" s="45">
        <f t="shared" si="0"/>
        <v>0.13333333333333333</v>
      </c>
      <c r="G51" s="45">
        <f t="shared" si="1"/>
        <v>3.5555555555555553E-3</v>
      </c>
      <c r="H51" s="45">
        <f ca="1">F51*F51*('Sheet1 select'!$B$25)*$B$3</f>
        <v>4.0433879911267741E-4</v>
      </c>
      <c r="I51" s="45">
        <f>F51*(1-$B$3)*'Sheet1 select'!$B$41</f>
        <v>3.1111111111111107E-2</v>
      </c>
      <c r="J51" s="45">
        <f ca="1">F51*F51*('Sheet1 select'!$B$26)*(1-$B$3)</f>
        <v>0</v>
      </c>
      <c r="K51" s="45">
        <f>0.0000005*$B$10*F51*$B$8*((('Sheet1 select'!$B$33+0.5*'Sheet1 select'!$B$32)/(('Sheet1 select'!$B$10-'Sheet1 select'!$B$23)/('Sheet1 select'!$B$27+'Sheet1 select'!$B$8)))+(('Sheet1 select'!$B$33+0.5*'Sheet1 select'!$B$32)/(('Sheet1 select'!$B$23)/('Sheet1 select'!$B$27+'Sheet1 select'!$B$9))))</f>
        <v>1.8256248088181007E-3</v>
      </c>
      <c r="L51" s="45">
        <f>(F51*$B$28)*(('Sheet1 select'!$B$12+'Sheet1 select'!$B$13)*(0.000000001))*$B$8*1000</f>
        <v>0</v>
      </c>
      <c r="M51" s="45">
        <f t="shared" si="2"/>
        <v>6.481272239439854E-3</v>
      </c>
      <c r="N51" s="46">
        <f>$B$10*'Sheet1 select'!$B$29*0.001</f>
        <v>1.2E-2</v>
      </c>
      <c r="O51" s="44">
        <f>'Sheet1 select'!$B$10*'Sheet1 select'!$B$31*$B$8*1000*0.000000001</f>
        <v>3.0000000000000001E-3</v>
      </c>
      <c r="P51" s="44">
        <f>'Sheet1 select'!$B$35*$B$10*$B$8*1000*0.000000001</f>
        <v>0</v>
      </c>
      <c r="Q51" s="47">
        <f>IF('Sheet1 select'!$B$17=0,0,(0.00000006*0.7+0.00000003*(0.7+F51*1.1*'Sheet1 select'!$B$26))*F51*$B$8*1000)</f>
        <v>0</v>
      </c>
      <c r="R51" s="45">
        <f t="shared" ca="1" si="3"/>
        <v>5.8377902514037294E-2</v>
      </c>
      <c r="S51" s="48">
        <f t="shared" ca="1" si="4"/>
        <v>0.91948370487071718</v>
      </c>
      <c r="T51" s="49">
        <f ca="1">H51+K51+O51+N51+'Sheet1 select'!$B$40*I51+J51+P51</f>
        <v>1.7229963607930776E-2</v>
      </c>
      <c r="U51" s="169">
        <f t="shared" ca="1" si="5"/>
        <v>5.2299636079307776E-3</v>
      </c>
      <c r="V51" s="47">
        <f t="shared" ca="1" si="6"/>
        <v>0</v>
      </c>
    </row>
    <row r="52" spans="5:22">
      <c r="E52" s="32">
        <v>51</v>
      </c>
      <c r="F52" s="45">
        <f t="shared" si="0"/>
        <v>0.13600000000000001</v>
      </c>
      <c r="G52" s="45">
        <f t="shared" si="1"/>
        <v>3.6992000000000001E-3</v>
      </c>
      <c r="H52" s="45">
        <f ca="1">F52*F52*('Sheet1 select'!$B$25)*$B$3</f>
        <v>4.2067408659682959E-4</v>
      </c>
      <c r="I52" s="45">
        <f>F52*(1-$B$3)*'Sheet1 select'!$B$41</f>
        <v>3.1733333333333329E-2</v>
      </c>
      <c r="J52" s="45">
        <f ca="1">F52*F52*('Sheet1 select'!$B$26)*(1-$B$3)</f>
        <v>0</v>
      </c>
      <c r="K52" s="45">
        <f>0.0000005*$B$10*F52*$B$8*((('Sheet1 select'!$B$33+0.5*'Sheet1 select'!$B$32)/(('Sheet1 select'!$B$10-'Sheet1 select'!$B$23)/('Sheet1 select'!$B$27+'Sheet1 select'!$B$8)))+(('Sheet1 select'!$B$33+0.5*'Sheet1 select'!$B$32)/(('Sheet1 select'!$B$23)/('Sheet1 select'!$B$27+'Sheet1 select'!$B$9))))</f>
        <v>1.8621373049944629E-3</v>
      </c>
      <c r="L52" s="45">
        <f>(F52*$B$28)*(('Sheet1 select'!$B$12+'Sheet1 select'!$B$13)*(0.000000001))*$B$8*1000</f>
        <v>0</v>
      </c>
      <c r="M52" s="45">
        <f t="shared" si="2"/>
        <v>6.481272239439854E-3</v>
      </c>
      <c r="N52" s="46">
        <f>$B$10*'Sheet1 select'!$B$29*0.001</f>
        <v>1.2E-2</v>
      </c>
      <c r="O52" s="44">
        <f>'Sheet1 select'!$B$10*'Sheet1 select'!$B$31*$B$8*1000*0.000000001</f>
        <v>3.0000000000000001E-3</v>
      </c>
      <c r="P52" s="44">
        <f>'Sheet1 select'!$B$35*$B$10*$B$8*1000*0.000000001</f>
        <v>0</v>
      </c>
      <c r="Q52" s="47">
        <f>IF('Sheet1 select'!$B$17=0,0,(0.00000006*0.7+0.00000003*(0.7+F52*1.1*'Sheet1 select'!$B$26))*F52*$B$8*1000)</f>
        <v>0</v>
      </c>
      <c r="R52" s="45">
        <f t="shared" ca="1" si="3"/>
        <v>5.9196616964364471E-2</v>
      </c>
      <c r="S52" s="48">
        <f t="shared" ca="1" si="4"/>
        <v>0.91991763002451854</v>
      </c>
      <c r="T52" s="49">
        <f ca="1">H52+K52+O52+N52+'Sheet1 select'!$B$40*I52+J52+P52</f>
        <v>1.7282811391591293E-2</v>
      </c>
      <c r="U52" s="169">
        <f t="shared" ca="1" si="5"/>
        <v>5.2828113915912925E-3</v>
      </c>
      <c r="V52" s="47">
        <f t="shared" ca="1" si="6"/>
        <v>0</v>
      </c>
    </row>
    <row r="53" spans="5:22">
      <c r="E53" s="32">
        <v>52</v>
      </c>
      <c r="F53" s="45">
        <f t="shared" si="0"/>
        <v>0.13866666666666666</v>
      </c>
      <c r="G53" s="45">
        <f t="shared" si="1"/>
        <v>3.8456888888888886E-3</v>
      </c>
      <c r="H53" s="45">
        <f ca="1">F53*F53*('Sheet1 select'!$B$25)*$B$3</f>
        <v>4.3733284512027185E-4</v>
      </c>
      <c r="I53" s="45">
        <f>F53*(1-$B$3)*'Sheet1 select'!$B$41</f>
        <v>3.2355555555555547E-2</v>
      </c>
      <c r="J53" s="45">
        <f ca="1">F53*F53*('Sheet1 select'!$B$26)*(1-$B$3)</f>
        <v>0</v>
      </c>
      <c r="K53" s="45">
        <f>0.0000005*$B$10*F53*$B$8*((('Sheet1 select'!$B$33+0.5*'Sheet1 select'!$B$32)/(('Sheet1 select'!$B$10-'Sheet1 select'!$B$23)/('Sheet1 select'!$B$27+'Sheet1 select'!$B$8)))+(('Sheet1 select'!$B$33+0.5*'Sheet1 select'!$B$32)/(('Sheet1 select'!$B$23)/('Sheet1 select'!$B$27+'Sheet1 select'!$B$9))))</f>
        <v>1.8986498011708244E-3</v>
      </c>
      <c r="L53" s="45">
        <f>(F53*$B$28)*(('Sheet1 select'!$B$12+'Sheet1 select'!$B$13)*(0.000000001))*$B$8*1000</f>
        <v>0</v>
      </c>
      <c r="M53" s="45">
        <f t="shared" si="2"/>
        <v>6.481272239439854E-3</v>
      </c>
      <c r="N53" s="46">
        <f>$B$10*'Sheet1 select'!$B$29*0.001</f>
        <v>1.2E-2</v>
      </c>
      <c r="O53" s="44">
        <f>'Sheet1 select'!$B$10*'Sheet1 select'!$B$31*$B$8*1000*0.000000001</f>
        <v>3.0000000000000001E-3</v>
      </c>
      <c r="P53" s="44">
        <f>'Sheet1 select'!$B$35*$B$10*$B$8*1000*0.000000001</f>
        <v>0</v>
      </c>
      <c r="Q53" s="47">
        <f>IF('Sheet1 select'!$B$17=0,0,(0.00000006*0.7+0.00000003*(0.7+F53*1.1*'Sheet1 select'!$B$26))*F53*$B$8*1000)</f>
        <v>0</v>
      </c>
      <c r="R53" s="45">
        <f t="shared" ca="1" si="3"/>
        <v>6.001849933017539E-2</v>
      </c>
      <c r="S53" s="48">
        <f t="shared" ca="1" si="4"/>
        <v>0.92033138206091925</v>
      </c>
      <c r="T53" s="49">
        <f ca="1">H53+K53+O53+N53+'Sheet1 select'!$B$40*I53+J53+P53</f>
        <v>1.7335982646291097E-2</v>
      </c>
      <c r="U53" s="169">
        <f t="shared" ca="1" si="5"/>
        <v>5.3359826462910966E-3</v>
      </c>
      <c r="V53" s="47">
        <f t="shared" ca="1" si="6"/>
        <v>0</v>
      </c>
    </row>
    <row r="54" spans="5:22">
      <c r="E54" s="32">
        <v>53</v>
      </c>
      <c r="F54" s="45">
        <f t="shared" si="0"/>
        <v>0.14133333333333334</v>
      </c>
      <c r="G54" s="45">
        <f t="shared" si="1"/>
        <v>3.9950222222222232E-3</v>
      </c>
      <c r="H54" s="45">
        <f ca="1">F54*F54*('Sheet1 select'!$B$25)*$B$3</f>
        <v>4.5431507468300441E-4</v>
      </c>
      <c r="I54" s="45">
        <f>F54*(1-$B$3)*'Sheet1 select'!$B$41</f>
        <v>3.2977777777777773E-2</v>
      </c>
      <c r="J54" s="45">
        <f ca="1">F54*F54*('Sheet1 select'!$B$26)*(1-$B$3)</f>
        <v>0</v>
      </c>
      <c r="K54" s="45">
        <f>0.0000005*$B$10*F54*$B$8*((('Sheet1 select'!$B$33+0.5*'Sheet1 select'!$B$32)/(('Sheet1 select'!$B$10-'Sheet1 select'!$B$23)/('Sheet1 select'!$B$27+'Sheet1 select'!$B$8)))+(('Sheet1 select'!$B$33+0.5*'Sheet1 select'!$B$32)/(('Sheet1 select'!$B$23)/('Sheet1 select'!$B$27+'Sheet1 select'!$B$9))))</f>
        <v>1.9351622973471868E-3</v>
      </c>
      <c r="L54" s="45">
        <f>(F54*$B$28)*(('Sheet1 select'!$B$12+'Sheet1 select'!$B$13)*(0.000000001))*$B$8*1000</f>
        <v>0</v>
      </c>
      <c r="M54" s="45">
        <f t="shared" si="2"/>
        <v>6.481272239439854E-3</v>
      </c>
      <c r="N54" s="46">
        <f>$B$10*'Sheet1 select'!$B$29*0.001</f>
        <v>1.2E-2</v>
      </c>
      <c r="O54" s="44">
        <f>'Sheet1 select'!$B$10*'Sheet1 select'!$B$31*$B$8*1000*0.000000001</f>
        <v>3.0000000000000001E-3</v>
      </c>
      <c r="P54" s="44">
        <f>'Sheet1 select'!$B$35*$B$10*$B$8*1000*0.000000001</f>
        <v>0</v>
      </c>
      <c r="Q54" s="47">
        <f>IF('Sheet1 select'!$B$17=0,0,(0.00000006*0.7+0.00000003*(0.7+F54*1.1*'Sheet1 select'!$B$26))*F54*$B$8*1000)</f>
        <v>0</v>
      </c>
      <c r="R54" s="45">
        <f t="shared" ca="1" si="3"/>
        <v>6.0843549611470038E-2</v>
      </c>
      <c r="S54" s="48">
        <f t="shared" ca="1" si="4"/>
        <v>0.92072607201697365</v>
      </c>
      <c r="T54" s="49">
        <f ca="1">H54+K54+O54+N54+'Sheet1 select'!$B$40*I54+J54+P54</f>
        <v>1.7389477372030192E-2</v>
      </c>
      <c r="U54" s="169">
        <f t="shared" ca="1" si="5"/>
        <v>5.3894773720301915E-3</v>
      </c>
      <c r="V54" s="47">
        <f t="shared" ca="1" si="6"/>
        <v>0</v>
      </c>
    </row>
    <row r="55" spans="5:22">
      <c r="E55" s="32">
        <v>54</v>
      </c>
      <c r="F55" s="45">
        <f t="shared" si="0"/>
        <v>0.14400000000000002</v>
      </c>
      <c r="G55" s="45">
        <f t="shared" si="1"/>
        <v>4.1472000000000011E-3</v>
      </c>
      <c r="H55" s="45">
        <f ca="1">F55*F55*('Sheet1 select'!$B$25)*$B$3</f>
        <v>4.7162077528502706E-4</v>
      </c>
      <c r="I55" s="45">
        <f>F55*(1-$B$3)*'Sheet1 select'!$B$41</f>
        <v>3.3600000000000005E-2</v>
      </c>
      <c r="J55" s="45">
        <f ca="1">F55*F55*('Sheet1 select'!$B$26)*(1-$B$3)</f>
        <v>0</v>
      </c>
      <c r="K55" s="45">
        <f>0.0000005*$B$10*F55*$B$8*((('Sheet1 select'!$B$33+0.5*'Sheet1 select'!$B$32)/(('Sheet1 select'!$B$10-'Sheet1 select'!$B$23)/('Sheet1 select'!$B$27+'Sheet1 select'!$B$8)))+(('Sheet1 select'!$B$33+0.5*'Sheet1 select'!$B$32)/(('Sheet1 select'!$B$23)/('Sheet1 select'!$B$27+'Sheet1 select'!$B$9))))</f>
        <v>1.971674793523549E-3</v>
      </c>
      <c r="L55" s="45">
        <f>(F55*$B$28)*(('Sheet1 select'!$B$12+'Sheet1 select'!$B$13)*(0.000000001))*$B$8*1000</f>
        <v>0</v>
      </c>
      <c r="M55" s="45">
        <f t="shared" si="2"/>
        <v>6.481272239439854E-3</v>
      </c>
      <c r="N55" s="46">
        <f>$B$10*'Sheet1 select'!$B$29*0.001</f>
        <v>1.2E-2</v>
      </c>
      <c r="O55" s="44">
        <f>'Sheet1 select'!$B$10*'Sheet1 select'!$B$31*$B$8*1000*0.000000001</f>
        <v>3.0000000000000001E-3</v>
      </c>
      <c r="P55" s="44">
        <f>'Sheet1 select'!$B$35*$B$10*$B$8*1000*0.000000001</f>
        <v>0</v>
      </c>
      <c r="Q55" s="47">
        <f>IF('Sheet1 select'!$B$17=0,0,(0.00000006*0.7+0.00000003*(0.7+F55*1.1*'Sheet1 select'!$B$26))*F55*$B$8*1000)</f>
        <v>0</v>
      </c>
      <c r="R55" s="45">
        <f t="shared" ca="1" si="3"/>
        <v>6.1671767808248443E-2</v>
      </c>
      <c r="S55" s="48">
        <f t="shared" ca="1" si="4"/>
        <v>0.92110273090561823</v>
      </c>
      <c r="T55" s="49">
        <f ca="1">H55+K55+O55+N55+'Sheet1 select'!$B$40*I55+J55+P55</f>
        <v>1.7443295568808574E-2</v>
      </c>
      <c r="U55" s="169">
        <f t="shared" ca="1" si="5"/>
        <v>5.4432955688085757E-3</v>
      </c>
      <c r="V55" s="47">
        <f t="shared" ca="1" si="6"/>
        <v>0</v>
      </c>
    </row>
    <row r="56" spans="5:22">
      <c r="E56" s="32">
        <v>55</v>
      </c>
      <c r="F56" s="45">
        <f t="shared" si="0"/>
        <v>0.14666666666666667</v>
      </c>
      <c r="G56" s="45">
        <f t="shared" si="1"/>
        <v>4.3022222222222229E-3</v>
      </c>
      <c r="H56" s="45">
        <f ca="1">F56*F56*('Sheet1 select'!$B$25)*$B$3</f>
        <v>4.8924994692633962E-4</v>
      </c>
      <c r="I56" s="45">
        <f>F56*(1-$B$3)*'Sheet1 select'!$B$41</f>
        <v>3.4222222222222223E-2</v>
      </c>
      <c r="J56" s="45">
        <f ca="1">F56*F56*('Sheet1 select'!$B$26)*(1-$B$3)</f>
        <v>0</v>
      </c>
      <c r="K56" s="45">
        <f>0.0000005*$B$10*F56*$B$8*((('Sheet1 select'!$B$33+0.5*'Sheet1 select'!$B$32)/(('Sheet1 select'!$B$10-'Sheet1 select'!$B$23)/('Sheet1 select'!$B$27+'Sheet1 select'!$B$8)))+(('Sheet1 select'!$B$33+0.5*'Sheet1 select'!$B$32)/(('Sheet1 select'!$B$23)/('Sheet1 select'!$B$27+'Sheet1 select'!$B$9))))</f>
        <v>2.0081872896999106E-3</v>
      </c>
      <c r="L56" s="45">
        <f>(F56*$B$28)*(('Sheet1 select'!$B$12+'Sheet1 select'!$B$13)*(0.000000001))*$B$8*1000</f>
        <v>0</v>
      </c>
      <c r="M56" s="45">
        <f t="shared" si="2"/>
        <v>6.481272239439854E-3</v>
      </c>
      <c r="N56" s="46">
        <f>$B$10*'Sheet1 select'!$B$29*0.001</f>
        <v>1.2E-2</v>
      </c>
      <c r="O56" s="44">
        <f>'Sheet1 select'!$B$10*'Sheet1 select'!$B$31*$B$8*1000*0.000000001</f>
        <v>3.0000000000000001E-3</v>
      </c>
      <c r="P56" s="44">
        <f>'Sheet1 select'!$B$35*$B$10*$B$8*1000*0.000000001</f>
        <v>0</v>
      </c>
      <c r="Q56" s="47">
        <f>IF('Sheet1 select'!$B$17=0,0,(0.00000006*0.7+0.00000003*(0.7+F56*1.1*'Sheet1 select'!$B$26))*F56*$B$8*1000)</f>
        <v>0</v>
      </c>
      <c r="R56" s="45">
        <f t="shared" ca="1" si="3"/>
        <v>6.2503153920510549E-2</v>
      </c>
      <c r="S56" s="48">
        <f t="shared" ca="1" si="4"/>
        <v>0.9214623167930045</v>
      </c>
      <c r="T56" s="49">
        <f ca="1">H56+K56+O56+N56+'Sheet1 select'!$B$40*I56+J56+P56</f>
        <v>1.7497437236626251E-2</v>
      </c>
      <c r="U56" s="169">
        <f t="shared" ca="1" si="5"/>
        <v>5.4974372366262507E-3</v>
      </c>
      <c r="V56" s="47">
        <f t="shared" ca="1" si="6"/>
        <v>0</v>
      </c>
    </row>
    <row r="57" spans="5:22">
      <c r="E57" s="32">
        <v>56</v>
      </c>
      <c r="F57" s="45">
        <f t="shared" si="0"/>
        <v>0.14933333333333335</v>
      </c>
      <c r="G57" s="45">
        <f t="shared" si="1"/>
        <v>4.4600888888888897E-3</v>
      </c>
      <c r="H57" s="45">
        <f ca="1">F57*F57*('Sheet1 select'!$B$25)*$B$3</f>
        <v>5.072025896069427E-4</v>
      </c>
      <c r="I57" s="45">
        <f>F57*(1-$B$3)*'Sheet1 select'!$B$41</f>
        <v>3.4844444444444449E-2</v>
      </c>
      <c r="J57" s="45">
        <f ca="1">F57*F57*('Sheet1 select'!$B$26)*(1-$B$3)</f>
        <v>0</v>
      </c>
      <c r="K57" s="45">
        <f>0.0000005*$B$10*F57*$B$8*((('Sheet1 select'!$B$33+0.5*'Sheet1 select'!$B$32)/(('Sheet1 select'!$B$10-'Sheet1 select'!$B$23)/('Sheet1 select'!$B$27+'Sheet1 select'!$B$8)))+(('Sheet1 select'!$B$33+0.5*'Sheet1 select'!$B$32)/(('Sheet1 select'!$B$23)/('Sheet1 select'!$B$27+'Sheet1 select'!$B$9))))</f>
        <v>2.044699785876273E-3</v>
      </c>
      <c r="L57" s="45">
        <f>(F57*$B$28)*(('Sheet1 select'!$B$12+'Sheet1 select'!$B$13)*(0.000000001))*$B$8*1000</f>
        <v>0</v>
      </c>
      <c r="M57" s="45">
        <f t="shared" si="2"/>
        <v>6.481272239439854E-3</v>
      </c>
      <c r="N57" s="46">
        <f>$B$10*'Sheet1 select'!$B$29*0.001</f>
        <v>1.2E-2</v>
      </c>
      <c r="O57" s="44">
        <f>'Sheet1 select'!$B$10*'Sheet1 select'!$B$31*$B$8*1000*0.000000001</f>
        <v>3.0000000000000001E-3</v>
      </c>
      <c r="P57" s="44">
        <f>'Sheet1 select'!$B$35*$B$10*$B$8*1000*0.000000001</f>
        <v>0</v>
      </c>
      <c r="Q57" s="47">
        <f>IF('Sheet1 select'!$B$17=0,0,(0.00000006*0.7+0.00000003*(0.7+F57*1.1*'Sheet1 select'!$B$26))*F57*$B$8*1000)</f>
        <v>0</v>
      </c>
      <c r="R57" s="45">
        <f t="shared" ca="1" si="3"/>
        <v>6.3337707948256411E-2</v>
      </c>
      <c r="S57" s="48">
        <f t="shared" ca="1" si="4"/>
        <v>0.92180572113778125</v>
      </c>
      <c r="T57" s="49">
        <f ca="1">H57+K57+O57+N57+'Sheet1 select'!$B$40*I57+J57+P57</f>
        <v>1.7551902375483215E-2</v>
      </c>
      <c r="U57" s="169">
        <f t="shared" ca="1" si="5"/>
        <v>5.5519023754832158E-3</v>
      </c>
      <c r="V57" s="47">
        <f t="shared" ca="1" si="6"/>
        <v>0</v>
      </c>
    </row>
    <row r="58" spans="5:22">
      <c r="E58" s="32">
        <v>57</v>
      </c>
      <c r="F58" s="45">
        <f t="shared" si="0"/>
        <v>0.152</v>
      </c>
      <c r="G58" s="45">
        <f t="shared" si="1"/>
        <v>4.6208000000000004E-3</v>
      </c>
      <c r="H58" s="45">
        <f ca="1">F58*F58*('Sheet1 select'!$B$25)*$B$3</f>
        <v>5.2547870332683559E-4</v>
      </c>
      <c r="I58" s="45">
        <f>F58*(1-$B$3)*'Sheet1 select'!$B$41</f>
        <v>3.5466666666666667E-2</v>
      </c>
      <c r="J58" s="45">
        <f ca="1">F58*F58*('Sheet1 select'!$B$26)*(1-$B$3)</f>
        <v>0</v>
      </c>
      <c r="K58" s="45">
        <f>0.0000005*$B$10*F58*$B$8*((('Sheet1 select'!$B$33+0.5*'Sheet1 select'!$B$32)/(('Sheet1 select'!$B$10-'Sheet1 select'!$B$23)/('Sheet1 select'!$B$27+'Sheet1 select'!$B$8)))+(('Sheet1 select'!$B$33+0.5*'Sheet1 select'!$B$32)/(('Sheet1 select'!$B$23)/('Sheet1 select'!$B$27+'Sheet1 select'!$B$9))))</f>
        <v>2.081212282052635E-3</v>
      </c>
      <c r="L58" s="45">
        <f>(F58*$B$28)*(('Sheet1 select'!$B$12+'Sheet1 select'!$B$13)*(0.000000001))*$B$8*1000</f>
        <v>0</v>
      </c>
      <c r="M58" s="45">
        <f t="shared" si="2"/>
        <v>6.481272239439854E-3</v>
      </c>
      <c r="N58" s="46">
        <f>$B$10*'Sheet1 select'!$B$29*0.001</f>
        <v>1.2E-2</v>
      </c>
      <c r="O58" s="44">
        <f>'Sheet1 select'!$B$10*'Sheet1 select'!$B$31*$B$8*1000*0.000000001</f>
        <v>3.0000000000000001E-3</v>
      </c>
      <c r="P58" s="44">
        <f>'Sheet1 select'!$B$35*$B$10*$B$8*1000*0.000000001</f>
        <v>0</v>
      </c>
      <c r="Q58" s="47">
        <f>IF('Sheet1 select'!$B$17=0,0,(0.00000006*0.7+0.00000003*(0.7+F58*1.1*'Sheet1 select'!$B$26))*F58*$B$8*1000)</f>
        <v>0</v>
      </c>
      <c r="R58" s="45">
        <f t="shared" ca="1" si="3"/>
        <v>6.4175429891486002E-2</v>
      </c>
      <c r="S58" s="48">
        <f t="shared" ca="1" si="4"/>
        <v>0.92213377448059131</v>
      </c>
      <c r="T58" s="49">
        <f ca="1">H58+K58+O58+N58+'Sheet1 select'!$B$40*I58+J58+P58</f>
        <v>1.760669098537947E-2</v>
      </c>
      <c r="U58" s="169">
        <f t="shared" ca="1" si="5"/>
        <v>5.6066909853794708E-3</v>
      </c>
      <c r="V58" s="47">
        <f t="shared" ca="1" si="6"/>
        <v>0</v>
      </c>
    </row>
    <row r="59" spans="5:22">
      <c r="E59" s="32">
        <v>58</v>
      </c>
      <c r="F59" s="45">
        <f t="shared" si="0"/>
        <v>0.15466666666666667</v>
      </c>
      <c r="G59" s="45">
        <f t="shared" si="1"/>
        <v>4.7843555555555561E-3</v>
      </c>
      <c r="H59" s="45">
        <f ca="1">F59*F59*('Sheet1 select'!$B$25)*$B$3</f>
        <v>5.4407828808601883E-4</v>
      </c>
      <c r="I59" s="45">
        <f>F59*(1-$B$3)*'Sheet1 select'!$B$41</f>
        <v>3.6088888888888886E-2</v>
      </c>
      <c r="J59" s="45">
        <f ca="1">F59*F59*('Sheet1 select'!$B$26)*(1-$B$3)</f>
        <v>0</v>
      </c>
      <c r="K59" s="45">
        <f>0.0000005*$B$10*F59*$B$8*((('Sheet1 select'!$B$33+0.5*'Sheet1 select'!$B$32)/(('Sheet1 select'!$B$10-'Sheet1 select'!$B$23)/('Sheet1 select'!$B$27+'Sheet1 select'!$B$8)))+(('Sheet1 select'!$B$33+0.5*'Sheet1 select'!$B$32)/(('Sheet1 select'!$B$23)/('Sheet1 select'!$B$27+'Sheet1 select'!$B$9))))</f>
        <v>2.117724778228997E-3</v>
      </c>
      <c r="L59" s="45">
        <f>(F59*$B$28)*(('Sheet1 select'!$B$12+'Sheet1 select'!$B$13)*(0.000000001))*$B$8*1000</f>
        <v>0</v>
      </c>
      <c r="M59" s="45">
        <f t="shared" si="2"/>
        <v>6.481272239439854E-3</v>
      </c>
      <c r="N59" s="46">
        <f>$B$10*'Sheet1 select'!$B$29*0.001</f>
        <v>1.2E-2</v>
      </c>
      <c r="O59" s="44">
        <f>'Sheet1 select'!$B$10*'Sheet1 select'!$B$31*$B$8*1000*0.000000001</f>
        <v>3.0000000000000001E-3</v>
      </c>
      <c r="P59" s="44">
        <f>'Sheet1 select'!$B$35*$B$10*$B$8*1000*0.000000001</f>
        <v>0</v>
      </c>
      <c r="Q59" s="47">
        <f>IF('Sheet1 select'!$B$17=0,0,(0.00000006*0.7+0.00000003*(0.7+F59*1.1*'Sheet1 select'!$B$26))*F59*$B$8*1000)</f>
        <v>0</v>
      </c>
      <c r="R59" s="45">
        <f t="shared" ca="1" si="3"/>
        <v>6.5016319750199308E-2</v>
      </c>
      <c r="S59" s="48">
        <f t="shared" ca="1" si="4"/>
        <v>0.92244725156017793</v>
      </c>
      <c r="T59" s="49">
        <f ca="1">H59+K59+O59+N59+'Sheet1 select'!$B$40*I59+J59+P59</f>
        <v>1.7661803066315016E-2</v>
      </c>
      <c r="U59" s="169">
        <f t="shared" ca="1" si="5"/>
        <v>5.661803066315016E-3</v>
      </c>
      <c r="V59" s="47">
        <f t="shared" ca="1" si="6"/>
        <v>0</v>
      </c>
    </row>
    <row r="60" spans="5:22">
      <c r="E60" s="32">
        <v>59</v>
      </c>
      <c r="F60" s="45">
        <f t="shared" si="0"/>
        <v>0.15733333333333335</v>
      </c>
      <c r="G60" s="45">
        <f t="shared" si="1"/>
        <v>4.9507555555555575E-3</v>
      </c>
      <c r="H60" s="45">
        <f ca="1">F60*F60*('Sheet1 select'!$B$25)*$B$3</f>
        <v>5.630013438844921E-4</v>
      </c>
      <c r="I60" s="45">
        <f>F60*(1-$B$3)*'Sheet1 select'!$B$41</f>
        <v>3.6711111111111111E-2</v>
      </c>
      <c r="J60" s="45">
        <f ca="1">F60*F60*('Sheet1 select'!$B$26)*(1-$B$3)</f>
        <v>0</v>
      </c>
      <c r="K60" s="45">
        <f>0.0000005*$B$10*F60*$B$8*((('Sheet1 select'!$B$33+0.5*'Sheet1 select'!$B$32)/(('Sheet1 select'!$B$10-'Sheet1 select'!$B$23)/('Sheet1 select'!$B$27+'Sheet1 select'!$B$8)))+(('Sheet1 select'!$B$33+0.5*'Sheet1 select'!$B$32)/(('Sheet1 select'!$B$23)/('Sheet1 select'!$B$27+'Sheet1 select'!$B$9))))</f>
        <v>2.1542372744053589E-3</v>
      </c>
      <c r="L60" s="45">
        <f>(F60*$B$28)*(('Sheet1 select'!$B$12+'Sheet1 select'!$B$13)*(0.000000001))*$B$8*1000</f>
        <v>0</v>
      </c>
      <c r="M60" s="45">
        <f t="shared" si="2"/>
        <v>6.481272239439854E-3</v>
      </c>
      <c r="N60" s="46">
        <f>$B$10*'Sheet1 select'!$B$29*0.001</f>
        <v>1.2E-2</v>
      </c>
      <c r="O60" s="44">
        <f>'Sheet1 select'!$B$10*'Sheet1 select'!$B$31*$B$8*1000*0.000000001</f>
        <v>3.0000000000000001E-3</v>
      </c>
      <c r="P60" s="44">
        <f>'Sheet1 select'!$B$35*$B$10*$B$8*1000*0.000000001</f>
        <v>0</v>
      </c>
      <c r="Q60" s="47">
        <f>IF('Sheet1 select'!$B$17=0,0,(0.00000006*0.7+0.00000003*(0.7+F60*1.1*'Sheet1 select'!$B$26))*F60*$B$8*1000)</f>
        <v>0</v>
      </c>
      <c r="R60" s="45">
        <f t="shared" ca="1" si="3"/>
        <v>6.5860377524396371E-2</v>
      </c>
      <c r="S60" s="48">
        <f t="shared" ca="1" si="4"/>
        <v>0.92274687592240634</v>
      </c>
      <c r="T60" s="49">
        <f ca="1">H60+K60+O60+N60+'Sheet1 select'!$B$40*I60+J60+P60</f>
        <v>1.7717238618289853E-2</v>
      </c>
      <c r="U60" s="169">
        <f t="shared" ca="1" si="5"/>
        <v>5.7172386182898511E-3</v>
      </c>
      <c r="V60" s="47">
        <f t="shared" ca="1" si="6"/>
        <v>0</v>
      </c>
    </row>
    <row r="61" spans="5:22">
      <c r="E61" s="32">
        <v>60</v>
      </c>
      <c r="F61" s="45">
        <f t="shared" si="0"/>
        <v>0.16</v>
      </c>
      <c r="G61" s="45">
        <f t="shared" si="1"/>
        <v>5.1200000000000004E-3</v>
      </c>
      <c r="H61" s="45">
        <f ca="1">F61*F61*('Sheet1 select'!$B$25)*$B$3</f>
        <v>5.8224787072225551E-4</v>
      </c>
      <c r="I61" s="45">
        <f>F61*(1-$B$3)*'Sheet1 select'!$B$41</f>
        <v>3.7333333333333329E-2</v>
      </c>
      <c r="J61" s="45">
        <f ca="1">F61*F61*('Sheet1 select'!$B$26)*(1-$B$3)</f>
        <v>0</v>
      </c>
      <c r="K61" s="45">
        <f>0.0000005*$B$10*F61*$B$8*((('Sheet1 select'!$B$33+0.5*'Sheet1 select'!$B$32)/(('Sheet1 select'!$B$10-'Sheet1 select'!$B$23)/('Sheet1 select'!$B$27+'Sheet1 select'!$B$8)))+(('Sheet1 select'!$B$33+0.5*'Sheet1 select'!$B$32)/(('Sheet1 select'!$B$23)/('Sheet1 select'!$B$27+'Sheet1 select'!$B$9))))</f>
        <v>2.1907497705817213E-3</v>
      </c>
      <c r="L61" s="45">
        <f>(F61*$B$28)*(('Sheet1 select'!$B$12+'Sheet1 select'!$B$13)*(0.000000001))*$B$8*1000</f>
        <v>0</v>
      </c>
      <c r="M61" s="45">
        <f t="shared" si="2"/>
        <v>6.481272239439854E-3</v>
      </c>
      <c r="N61" s="46">
        <f>$B$10*'Sheet1 select'!$B$29*0.001</f>
        <v>1.2E-2</v>
      </c>
      <c r="O61" s="44">
        <f>'Sheet1 select'!$B$10*'Sheet1 select'!$B$31*$B$8*1000*0.000000001</f>
        <v>3.0000000000000001E-3</v>
      </c>
      <c r="P61" s="44">
        <f>'Sheet1 select'!$B$35*$B$10*$B$8*1000*0.000000001</f>
        <v>0</v>
      </c>
      <c r="Q61" s="47">
        <f>IF('Sheet1 select'!$B$17=0,0,(0.00000006*0.7+0.00000003*(0.7+F61*1.1*'Sheet1 select'!$B$26))*F61*$B$8*1000)</f>
        <v>0</v>
      </c>
      <c r="R61" s="45">
        <f t="shared" ca="1" si="3"/>
        <v>6.6707603214077163E-2</v>
      </c>
      <c r="S61" s="48">
        <f t="shared" ca="1" si="4"/>
        <v>0.92303332407988536</v>
      </c>
      <c r="T61" s="49">
        <f ca="1">H61+K61+O61+N61+'Sheet1 select'!$B$40*I61+J61+P61</f>
        <v>1.7772997641303977E-2</v>
      </c>
      <c r="U61" s="169">
        <f t="shared" ca="1" si="5"/>
        <v>5.7729976413039771E-3</v>
      </c>
      <c r="V61" s="47">
        <f t="shared" ca="1" si="6"/>
        <v>0</v>
      </c>
    </row>
    <row r="62" spans="5:22">
      <c r="E62" s="32">
        <v>61</v>
      </c>
      <c r="F62" s="45">
        <f t="shared" si="0"/>
        <v>0.16266666666666668</v>
      </c>
      <c r="G62" s="45">
        <f t="shared" si="1"/>
        <v>5.2920888888888899E-3</v>
      </c>
      <c r="H62" s="45">
        <f ca="1">F62*F62*('Sheet1 select'!$B$25)*$B$3</f>
        <v>6.0181786859930917E-4</v>
      </c>
      <c r="I62" s="45">
        <f>F62*(1-$B$3)*'Sheet1 select'!$B$41</f>
        <v>3.7955555555555555E-2</v>
      </c>
      <c r="J62" s="45">
        <f ca="1">F62*F62*('Sheet1 select'!$B$26)*(1-$B$3)</f>
        <v>0</v>
      </c>
      <c r="K62" s="45">
        <f>0.0000005*$B$10*F62*$B$8*((('Sheet1 select'!$B$33+0.5*'Sheet1 select'!$B$32)/(('Sheet1 select'!$B$10-'Sheet1 select'!$B$23)/('Sheet1 select'!$B$27+'Sheet1 select'!$B$8)))+(('Sheet1 select'!$B$33+0.5*'Sheet1 select'!$B$32)/(('Sheet1 select'!$B$23)/('Sheet1 select'!$B$27+'Sheet1 select'!$B$9))))</f>
        <v>2.2272622667580829E-3</v>
      </c>
      <c r="L62" s="45">
        <f>(F62*$B$28)*(('Sheet1 select'!$B$12+'Sheet1 select'!$B$13)*(0.000000001))*$B$8*1000</f>
        <v>0</v>
      </c>
      <c r="M62" s="45">
        <f t="shared" si="2"/>
        <v>6.481272239439854E-3</v>
      </c>
      <c r="N62" s="46">
        <f>$B$10*'Sheet1 select'!$B$29*0.001</f>
        <v>1.2E-2</v>
      </c>
      <c r="O62" s="44">
        <f>'Sheet1 select'!$B$10*'Sheet1 select'!$B$31*$B$8*1000*0.000000001</f>
        <v>3.0000000000000001E-3</v>
      </c>
      <c r="P62" s="44">
        <f>'Sheet1 select'!$B$35*$B$10*$B$8*1000*0.000000001</f>
        <v>0</v>
      </c>
      <c r="Q62" s="47">
        <f>IF('Sheet1 select'!$B$17=0,0,(0.00000006*0.7+0.00000003*(0.7+F62*1.1*'Sheet1 select'!$B$26))*F62*$B$8*1000)</f>
        <v>0</v>
      </c>
      <c r="R62" s="45">
        <f t="shared" ca="1" si="3"/>
        <v>6.7557996819241697E-2</v>
      </c>
      <c r="S62" s="48">
        <f t="shared" ca="1" si="4"/>
        <v>0.9233072292724912</v>
      </c>
      <c r="T62" s="49">
        <f ca="1">H62+K62+O62+N62+'Sheet1 select'!$B$40*I62+J62+P62</f>
        <v>1.7829080135357393E-2</v>
      </c>
      <c r="U62" s="169">
        <f t="shared" ca="1" si="5"/>
        <v>5.8290801353573923E-3</v>
      </c>
      <c r="V62" s="47">
        <f t="shared" ca="1" si="6"/>
        <v>0</v>
      </c>
    </row>
    <row r="63" spans="5:22">
      <c r="E63" s="32">
        <v>62</v>
      </c>
      <c r="F63" s="45">
        <f t="shared" si="0"/>
        <v>0.16533333333333333</v>
      </c>
      <c r="G63" s="45">
        <f t="shared" si="1"/>
        <v>5.4670222222222217E-3</v>
      </c>
      <c r="H63" s="45">
        <f ca="1">F63*F63*('Sheet1 select'!$B$25)*$B$3</f>
        <v>6.2171133751565285E-4</v>
      </c>
      <c r="I63" s="45">
        <f>F63*(1-$B$3)*'Sheet1 select'!$B$41</f>
        <v>3.8577777777777773E-2</v>
      </c>
      <c r="J63" s="45">
        <f ca="1">F63*F63*('Sheet1 select'!$B$26)*(1-$B$3)</f>
        <v>0</v>
      </c>
      <c r="K63" s="45">
        <f>0.0000005*$B$10*F63*$B$8*((('Sheet1 select'!$B$33+0.5*'Sheet1 select'!$B$32)/(('Sheet1 select'!$B$10-'Sheet1 select'!$B$23)/('Sheet1 select'!$B$27+'Sheet1 select'!$B$8)))+(('Sheet1 select'!$B$33+0.5*'Sheet1 select'!$B$32)/(('Sheet1 select'!$B$23)/('Sheet1 select'!$B$27+'Sheet1 select'!$B$9))))</f>
        <v>2.2637747629344449E-3</v>
      </c>
      <c r="L63" s="45">
        <f>(F63*$B$28)*(('Sheet1 select'!$B$12+'Sheet1 select'!$B$13)*(0.000000001))*$B$8*1000</f>
        <v>0</v>
      </c>
      <c r="M63" s="45">
        <f t="shared" si="2"/>
        <v>6.481272239439854E-3</v>
      </c>
      <c r="N63" s="46">
        <f>$B$10*'Sheet1 select'!$B$29*0.001</f>
        <v>1.2E-2</v>
      </c>
      <c r="O63" s="44">
        <f>'Sheet1 select'!$B$10*'Sheet1 select'!$B$31*$B$8*1000*0.000000001</f>
        <v>3.0000000000000001E-3</v>
      </c>
      <c r="P63" s="44">
        <f>'Sheet1 select'!$B$35*$B$10*$B$8*1000*0.000000001</f>
        <v>0</v>
      </c>
      <c r="Q63" s="47">
        <f>IF('Sheet1 select'!$B$17=0,0,(0.00000006*0.7+0.00000003*(0.7+F63*1.1*'Sheet1 select'!$B$26))*F63*$B$8*1000)</f>
        <v>0</v>
      </c>
      <c r="R63" s="45">
        <f t="shared" ca="1" si="3"/>
        <v>6.8411558339889947E-2</v>
      </c>
      <c r="S63" s="48">
        <f t="shared" ca="1" si="4"/>
        <v>0.92356918487276474</v>
      </c>
      <c r="T63" s="49">
        <f ca="1">H63+K63+O63+N63+'Sheet1 select'!$B$40*I63+J63+P63</f>
        <v>1.7885486100450099E-2</v>
      </c>
      <c r="U63" s="169">
        <f t="shared" ca="1" si="5"/>
        <v>5.8854861004500976E-3</v>
      </c>
      <c r="V63" s="47">
        <f t="shared" ca="1" si="6"/>
        <v>0</v>
      </c>
    </row>
    <row r="64" spans="5:22">
      <c r="E64" s="32">
        <v>63</v>
      </c>
      <c r="F64" s="45">
        <f t="shared" si="0"/>
        <v>0.16800000000000001</v>
      </c>
      <c r="G64" s="45">
        <f t="shared" si="1"/>
        <v>5.644800000000001E-3</v>
      </c>
      <c r="H64" s="45">
        <f ca="1">F64*F64*('Sheet1 select'!$B$25)*$B$3</f>
        <v>6.4192827747128667E-4</v>
      </c>
      <c r="I64" s="45">
        <f>F64*(1-$B$3)*'Sheet1 select'!$B$41</f>
        <v>3.9199999999999999E-2</v>
      </c>
      <c r="J64" s="45">
        <f ca="1">F64*F64*('Sheet1 select'!$B$26)*(1-$B$3)</f>
        <v>0</v>
      </c>
      <c r="K64" s="45">
        <f>0.0000005*$B$10*F64*$B$8*((('Sheet1 select'!$B$33+0.5*'Sheet1 select'!$B$32)/(('Sheet1 select'!$B$10-'Sheet1 select'!$B$23)/('Sheet1 select'!$B$27+'Sheet1 select'!$B$8)))+(('Sheet1 select'!$B$33+0.5*'Sheet1 select'!$B$32)/(('Sheet1 select'!$B$23)/('Sheet1 select'!$B$27+'Sheet1 select'!$B$9))))</f>
        <v>2.3002872591108073E-3</v>
      </c>
      <c r="L64" s="45">
        <f>(F64*$B$28)*(('Sheet1 select'!$B$12+'Sheet1 select'!$B$13)*(0.000000001))*$B$8*1000</f>
        <v>0</v>
      </c>
      <c r="M64" s="45">
        <f t="shared" si="2"/>
        <v>6.481272239439854E-3</v>
      </c>
      <c r="N64" s="46">
        <f>$B$10*'Sheet1 select'!$B$29*0.001</f>
        <v>1.2E-2</v>
      </c>
      <c r="O64" s="44">
        <f>'Sheet1 select'!$B$10*'Sheet1 select'!$B$31*$B$8*1000*0.000000001</f>
        <v>3.0000000000000001E-3</v>
      </c>
      <c r="P64" s="44">
        <f>'Sheet1 select'!$B$35*$B$10*$B$8*1000*0.000000001</f>
        <v>0</v>
      </c>
      <c r="Q64" s="47">
        <f>IF('Sheet1 select'!$B$17=0,0,(0.00000006*0.7+0.00000003*(0.7+F64*1.1*'Sheet1 select'!$B$26))*F64*$B$8*1000)</f>
        <v>0</v>
      </c>
      <c r="R64" s="45">
        <f t="shared" ca="1" si="3"/>
        <v>6.9268287776021953E-2</v>
      </c>
      <c r="S64" s="48">
        <f t="shared" ca="1" si="4"/>
        <v>0.92381974747470275</v>
      </c>
      <c r="T64" s="49">
        <f ca="1">H64+K64+O64+N64+'Sheet1 select'!$B$40*I64+J64+P64</f>
        <v>1.7942215536582096E-2</v>
      </c>
      <c r="U64" s="169">
        <f t="shared" ca="1" si="5"/>
        <v>5.9422155365820937E-3</v>
      </c>
      <c r="V64" s="47">
        <f t="shared" ca="1" si="6"/>
        <v>0</v>
      </c>
    </row>
    <row r="65" spans="5:22">
      <c r="E65" s="32">
        <v>64</v>
      </c>
      <c r="F65" s="45">
        <f t="shared" si="0"/>
        <v>0.17066666666666669</v>
      </c>
      <c r="G65" s="45">
        <f t="shared" si="1"/>
        <v>5.8254222222222235E-3</v>
      </c>
      <c r="H65" s="45">
        <f ca="1">F65*F65*('Sheet1 select'!$B$25)*$B$3</f>
        <v>6.6246868846621084E-4</v>
      </c>
      <c r="I65" s="45">
        <f>F65*(1-$B$3)*'Sheet1 select'!$B$41</f>
        <v>3.9822222222222224E-2</v>
      </c>
      <c r="J65" s="45">
        <f ca="1">F65*F65*('Sheet1 select'!$B$26)*(1-$B$3)</f>
        <v>0</v>
      </c>
      <c r="K65" s="45">
        <f>0.0000005*$B$10*F65*$B$8*((('Sheet1 select'!$B$33+0.5*'Sheet1 select'!$B$32)/(('Sheet1 select'!$B$10-'Sheet1 select'!$B$23)/('Sheet1 select'!$B$27+'Sheet1 select'!$B$8)))+(('Sheet1 select'!$B$33+0.5*'Sheet1 select'!$B$32)/(('Sheet1 select'!$B$23)/('Sheet1 select'!$B$27+'Sheet1 select'!$B$9))))</f>
        <v>2.3367997552871693E-3</v>
      </c>
      <c r="L65" s="45">
        <f>(F65*$B$28)*(('Sheet1 select'!$B$12+'Sheet1 select'!$B$13)*(0.000000001))*$B$8*1000</f>
        <v>0</v>
      </c>
      <c r="M65" s="45">
        <f t="shared" si="2"/>
        <v>6.481272239439854E-3</v>
      </c>
      <c r="N65" s="46">
        <f>$B$10*'Sheet1 select'!$B$29*0.001</f>
        <v>1.2E-2</v>
      </c>
      <c r="O65" s="44">
        <f>'Sheet1 select'!$B$10*'Sheet1 select'!$B$31*$B$8*1000*0.000000001</f>
        <v>3.0000000000000001E-3</v>
      </c>
      <c r="P65" s="44">
        <f>'Sheet1 select'!$B$35*$B$10*$B$8*1000*0.000000001</f>
        <v>0</v>
      </c>
      <c r="Q65" s="47">
        <f>IF('Sheet1 select'!$B$17=0,0,(0.00000006*0.7+0.00000003*(0.7+F65*1.1*'Sheet1 select'!$B$26))*F65*$B$8*1000)</f>
        <v>0</v>
      </c>
      <c r="R65" s="45">
        <f t="shared" ca="1" si="3"/>
        <v>7.0128185127637674E-2</v>
      </c>
      <c r="S65" s="48">
        <f t="shared" ca="1" si="4"/>
        <v>0.9240594396997589</v>
      </c>
      <c r="T65" s="49">
        <f ca="1">H65+K65+O65+N65+'Sheet1 select'!$B$40*I65+J65+P65</f>
        <v>1.799926844375338E-2</v>
      </c>
      <c r="U65" s="169">
        <f t="shared" ca="1" si="5"/>
        <v>5.9992684437533798E-3</v>
      </c>
      <c r="V65" s="47">
        <f t="shared" ca="1" si="6"/>
        <v>0</v>
      </c>
    </row>
    <row r="66" spans="5:22">
      <c r="E66" s="32">
        <v>65</v>
      </c>
      <c r="F66" s="45">
        <f t="shared" ref="F66:F129" si="7">$B$12*E66/300</f>
        <v>0.17333333333333334</v>
      </c>
      <c r="G66" s="45">
        <f t="shared" ref="G66:G129" si="8">F66*F66*$B$14*0.001*2</f>
        <v>6.0088888888888891E-3</v>
      </c>
      <c r="H66" s="45">
        <f ca="1">F66*F66*('Sheet1 select'!$B$25)*$B$3</f>
        <v>6.8333257050042493E-4</v>
      </c>
      <c r="I66" s="45">
        <f>F66*(1-$B$3)*'Sheet1 select'!$B$41</f>
        <v>4.0444444444444443E-2</v>
      </c>
      <c r="J66" s="45">
        <f ca="1">F66*F66*('Sheet1 select'!$B$26)*(1-$B$3)</f>
        <v>0</v>
      </c>
      <c r="K66" s="45">
        <f>0.0000005*$B$10*F66*$B$8*((('Sheet1 select'!$B$33+0.5*'Sheet1 select'!$B$32)/(('Sheet1 select'!$B$10-'Sheet1 select'!$B$23)/('Sheet1 select'!$B$27+'Sheet1 select'!$B$8)))+(('Sheet1 select'!$B$33+0.5*'Sheet1 select'!$B$32)/(('Sheet1 select'!$B$23)/('Sheet1 select'!$B$27+'Sheet1 select'!$B$9))))</f>
        <v>2.3733122514635308E-3</v>
      </c>
      <c r="L66" s="45">
        <f>(F66*$B$28)*(('Sheet1 select'!$B$12+'Sheet1 select'!$B$13)*(0.000000001))*$B$8*1000</f>
        <v>0</v>
      </c>
      <c r="M66" s="45">
        <f t="shared" ref="M66:M129" si="9">($B$2^2)*$B$16*0.001</f>
        <v>6.481272239439854E-3</v>
      </c>
      <c r="N66" s="46">
        <f>$B$10*'Sheet1 select'!$B$29*0.001</f>
        <v>1.2E-2</v>
      </c>
      <c r="O66" s="44">
        <f>'Sheet1 select'!$B$10*'Sheet1 select'!$B$31*$B$8*1000*0.000000001</f>
        <v>3.0000000000000001E-3</v>
      </c>
      <c r="P66" s="44">
        <f>'Sheet1 select'!$B$35*$B$10*$B$8*1000*0.000000001</f>
        <v>0</v>
      </c>
      <c r="Q66" s="47">
        <f>IF('Sheet1 select'!$B$17=0,0,(0.00000006*0.7+0.00000003*(0.7+F66*1.1*'Sheet1 select'!$B$26))*F66*$B$8*1000)</f>
        <v>0</v>
      </c>
      <c r="R66" s="45">
        <f t="shared" ref="R66:R129" ca="1" si="10">SUM(G66:P66)+Q66</f>
        <v>7.0991250394737151E-2</v>
      </c>
      <c r="S66" s="48">
        <f t="shared" ref="S66:S129" ca="1" si="11">($B$11*F66)/($B$11*F66+R66)</f>
        <v>0.92428875274980671</v>
      </c>
      <c r="T66" s="49">
        <f ca="1">H66+K66+O66+N66+'Sheet1 select'!$B$40*I66+J66+P66</f>
        <v>1.8056644821963955E-2</v>
      </c>
      <c r="U66" s="169">
        <f t="shared" ref="U66:U129" ca="1" si="12">H66+K66+O66</f>
        <v>6.056644821963956E-3</v>
      </c>
      <c r="V66" s="47">
        <f t="shared" ref="V66:V129" ca="1" si="13">J66+P66+Q66</f>
        <v>0</v>
      </c>
    </row>
    <row r="67" spans="5:22">
      <c r="E67" s="32">
        <v>66</v>
      </c>
      <c r="F67" s="45">
        <f t="shared" si="7"/>
        <v>0.17600000000000002</v>
      </c>
      <c r="G67" s="45">
        <f t="shared" si="8"/>
        <v>6.1952000000000014E-3</v>
      </c>
      <c r="H67" s="45">
        <f ca="1">F67*F67*('Sheet1 select'!$B$25)*$B$3</f>
        <v>7.0451992357392927E-4</v>
      </c>
      <c r="I67" s="45">
        <f>F67*(1-$B$3)*'Sheet1 select'!$B$41</f>
        <v>4.1066666666666668E-2</v>
      </c>
      <c r="J67" s="45">
        <f ca="1">F67*F67*('Sheet1 select'!$B$26)*(1-$B$3)</f>
        <v>0</v>
      </c>
      <c r="K67" s="45">
        <f>0.0000005*$B$10*F67*$B$8*((('Sheet1 select'!$B$33+0.5*'Sheet1 select'!$B$32)/(('Sheet1 select'!$B$10-'Sheet1 select'!$B$23)/('Sheet1 select'!$B$27+'Sheet1 select'!$B$8)))+(('Sheet1 select'!$B$33+0.5*'Sheet1 select'!$B$32)/(('Sheet1 select'!$B$23)/('Sheet1 select'!$B$27+'Sheet1 select'!$B$9))))</f>
        <v>2.4098247476398932E-3</v>
      </c>
      <c r="L67" s="45">
        <f>(F67*$B$28)*(('Sheet1 select'!$B$12+'Sheet1 select'!$B$13)*(0.000000001))*$B$8*1000</f>
        <v>0</v>
      </c>
      <c r="M67" s="45">
        <f t="shared" si="9"/>
        <v>6.481272239439854E-3</v>
      </c>
      <c r="N67" s="46">
        <f>$B$10*'Sheet1 select'!$B$29*0.001</f>
        <v>1.2E-2</v>
      </c>
      <c r="O67" s="44">
        <f>'Sheet1 select'!$B$10*'Sheet1 select'!$B$31*$B$8*1000*0.000000001</f>
        <v>3.0000000000000001E-3</v>
      </c>
      <c r="P67" s="44">
        <f>'Sheet1 select'!$B$35*$B$10*$B$8*1000*0.000000001</f>
        <v>0</v>
      </c>
      <c r="Q67" s="47">
        <f>IF('Sheet1 select'!$B$17=0,0,(0.00000006*0.7+0.00000003*(0.7+F67*1.1*'Sheet1 select'!$B$26))*F67*$B$8*1000)</f>
        <v>0</v>
      </c>
      <c r="R67" s="45">
        <f t="shared" ca="1" si="10"/>
        <v>7.1857483577320344E-2</v>
      </c>
      <c r="S67" s="48">
        <f t="shared" ca="1" si="11"/>
        <v>0.92450814873329379</v>
      </c>
      <c r="T67" s="49">
        <f ca="1">H67+K67+O67+N67+'Sheet1 select'!$B$40*I67+J67+P67</f>
        <v>1.8114344671213825E-2</v>
      </c>
      <c r="U67" s="169">
        <f t="shared" ca="1" si="12"/>
        <v>6.1143446712138231E-3</v>
      </c>
      <c r="V67" s="47">
        <f t="shared" ca="1" si="13"/>
        <v>0</v>
      </c>
    </row>
    <row r="68" spans="5:22">
      <c r="E68" s="32">
        <v>67</v>
      </c>
      <c r="F68" s="45">
        <f t="shared" si="7"/>
        <v>0.17866666666666667</v>
      </c>
      <c r="G68" s="45">
        <f t="shared" si="8"/>
        <v>6.384355555555556E-3</v>
      </c>
      <c r="H68" s="45">
        <f ca="1">F68*F68*('Sheet1 select'!$B$25)*$B$3</f>
        <v>7.2603074768672353E-4</v>
      </c>
      <c r="I68" s="45">
        <f>F68*(1-$B$3)*'Sheet1 select'!$B$41</f>
        <v>4.1688888888888886E-2</v>
      </c>
      <c r="J68" s="45">
        <f ca="1">F68*F68*('Sheet1 select'!$B$26)*(1-$B$3)</f>
        <v>0</v>
      </c>
      <c r="K68" s="45">
        <f>0.0000005*$B$10*F68*$B$8*((('Sheet1 select'!$B$33+0.5*'Sheet1 select'!$B$32)/(('Sheet1 select'!$B$10-'Sheet1 select'!$B$23)/('Sheet1 select'!$B$27+'Sheet1 select'!$B$8)))+(('Sheet1 select'!$B$33+0.5*'Sheet1 select'!$B$32)/(('Sheet1 select'!$B$23)/('Sheet1 select'!$B$27+'Sheet1 select'!$B$9))))</f>
        <v>2.4463372438162552E-3</v>
      </c>
      <c r="L68" s="45">
        <f>(F68*$B$28)*(('Sheet1 select'!$B$12+'Sheet1 select'!$B$13)*(0.000000001))*$B$8*1000</f>
        <v>0</v>
      </c>
      <c r="M68" s="45">
        <f t="shared" si="9"/>
        <v>6.481272239439854E-3</v>
      </c>
      <c r="N68" s="46">
        <f>$B$10*'Sheet1 select'!$B$29*0.001</f>
        <v>1.2E-2</v>
      </c>
      <c r="O68" s="44">
        <f>'Sheet1 select'!$B$10*'Sheet1 select'!$B$31*$B$8*1000*0.000000001</f>
        <v>3.0000000000000001E-3</v>
      </c>
      <c r="P68" s="44">
        <f>'Sheet1 select'!$B$35*$B$10*$B$8*1000*0.000000001</f>
        <v>0</v>
      </c>
      <c r="Q68" s="47">
        <f>IF('Sheet1 select'!$B$17=0,0,(0.00000006*0.7+0.00000003*(0.7+F68*1.1*'Sheet1 select'!$B$26))*F68*$B$8*1000)</f>
        <v>0</v>
      </c>
      <c r="R68" s="45">
        <f t="shared" ca="1" si="10"/>
        <v>7.2726884675387279E-2</v>
      </c>
      <c r="S68" s="48">
        <f t="shared" ca="1" si="11"/>
        <v>0.92471806278774771</v>
      </c>
      <c r="T68" s="49">
        <f ca="1">H68+K68+O68+N68+'Sheet1 select'!$B$40*I68+J68+P68</f>
        <v>1.8172367991502979E-2</v>
      </c>
      <c r="U68" s="169">
        <f t="shared" ca="1" si="12"/>
        <v>6.1723679915029785E-3</v>
      </c>
      <c r="V68" s="47">
        <f t="shared" ca="1" si="13"/>
        <v>0</v>
      </c>
    </row>
    <row r="69" spans="5:22">
      <c r="E69" s="32">
        <v>68</v>
      </c>
      <c r="F69" s="45">
        <f t="shared" si="7"/>
        <v>0.18133333333333335</v>
      </c>
      <c r="G69" s="45">
        <f t="shared" si="8"/>
        <v>6.5763555555555563E-3</v>
      </c>
      <c r="H69" s="45">
        <f ca="1">F69*F69*('Sheet1 select'!$B$25)*$B$3</f>
        <v>7.4786504283880825E-4</v>
      </c>
      <c r="I69" s="45">
        <f>F69*(1-$B$3)*'Sheet1 select'!$B$41</f>
        <v>4.2311111111111112E-2</v>
      </c>
      <c r="J69" s="45">
        <f ca="1">F69*F69*('Sheet1 select'!$B$26)*(1-$B$3)</f>
        <v>0</v>
      </c>
      <c r="K69" s="45">
        <f>0.0000005*$B$10*F69*$B$8*((('Sheet1 select'!$B$33+0.5*'Sheet1 select'!$B$32)/(('Sheet1 select'!$B$10-'Sheet1 select'!$B$23)/('Sheet1 select'!$B$27+'Sheet1 select'!$B$8)))+(('Sheet1 select'!$B$33+0.5*'Sheet1 select'!$B$32)/(('Sheet1 select'!$B$23)/('Sheet1 select'!$B$27+'Sheet1 select'!$B$9))))</f>
        <v>2.4828497399926172E-3</v>
      </c>
      <c r="L69" s="45">
        <f>(F69*$B$28)*(('Sheet1 select'!$B$12+'Sheet1 select'!$B$13)*(0.000000001))*$B$8*1000</f>
        <v>0</v>
      </c>
      <c r="M69" s="45">
        <f t="shared" si="9"/>
        <v>6.481272239439854E-3</v>
      </c>
      <c r="N69" s="46">
        <f>$B$10*'Sheet1 select'!$B$29*0.001</f>
        <v>1.2E-2</v>
      </c>
      <c r="O69" s="44">
        <f>'Sheet1 select'!$B$10*'Sheet1 select'!$B$31*$B$8*1000*0.000000001</f>
        <v>3.0000000000000001E-3</v>
      </c>
      <c r="P69" s="44">
        <f>'Sheet1 select'!$B$35*$B$10*$B$8*1000*0.000000001</f>
        <v>0</v>
      </c>
      <c r="Q69" s="47">
        <f>IF('Sheet1 select'!$B$17=0,0,(0.00000006*0.7+0.00000003*(0.7+F69*1.1*'Sheet1 select'!$B$26))*F69*$B$8*1000)</f>
        <v>0</v>
      </c>
      <c r="R69" s="45">
        <f t="shared" ca="1" si="10"/>
        <v>7.3599453688937944E-2</v>
      </c>
      <c r="S69" s="48">
        <f t="shared" ca="1" si="11"/>
        <v>0.92491890501914031</v>
      </c>
      <c r="T69" s="49">
        <f ca="1">H69+K69+O69+N69+'Sheet1 select'!$B$40*I69+J69+P69</f>
        <v>1.8230714782831427E-2</v>
      </c>
      <c r="U69" s="169">
        <f t="shared" ca="1" si="12"/>
        <v>6.2307147828314256E-3</v>
      </c>
      <c r="V69" s="47">
        <f t="shared" ca="1" si="13"/>
        <v>0</v>
      </c>
    </row>
    <row r="70" spans="5:22">
      <c r="E70" s="32">
        <v>69</v>
      </c>
      <c r="F70" s="45">
        <f t="shared" si="7"/>
        <v>0.184</v>
      </c>
      <c r="G70" s="45">
        <f t="shared" si="8"/>
        <v>6.7711999999999998E-3</v>
      </c>
      <c r="H70" s="45">
        <f ca="1">F70*F70*('Sheet1 select'!$B$25)*$B$3</f>
        <v>7.7002280903018278E-4</v>
      </c>
      <c r="I70" s="45">
        <f>F70*(1-$B$3)*'Sheet1 select'!$B$41</f>
        <v>4.293333333333333E-2</v>
      </c>
      <c r="J70" s="45">
        <f ca="1">F70*F70*('Sheet1 select'!$B$26)*(1-$B$3)</f>
        <v>0</v>
      </c>
      <c r="K70" s="45">
        <f>0.0000005*$B$10*F70*$B$8*((('Sheet1 select'!$B$33+0.5*'Sheet1 select'!$B$32)/(('Sheet1 select'!$B$10-'Sheet1 select'!$B$23)/('Sheet1 select'!$B$27+'Sheet1 select'!$B$8)))+(('Sheet1 select'!$B$33+0.5*'Sheet1 select'!$B$32)/(('Sheet1 select'!$B$23)/('Sheet1 select'!$B$27+'Sheet1 select'!$B$9))))</f>
        <v>2.5193622361689792E-3</v>
      </c>
      <c r="L70" s="45">
        <f>(F70*$B$28)*(('Sheet1 select'!$B$12+'Sheet1 select'!$B$13)*(0.000000001))*$B$8*1000</f>
        <v>0</v>
      </c>
      <c r="M70" s="45">
        <f t="shared" si="9"/>
        <v>6.481272239439854E-3</v>
      </c>
      <c r="N70" s="46">
        <f>$B$10*'Sheet1 select'!$B$29*0.001</f>
        <v>1.2E-2</v>
      </c>
      <c r="O70" s="44">
        <f>'Sheet1 select'!$B$10*'Sheet1 select'!$B$31*$B$8*1000*0.000000001</f>
        <v>3.0000000000000001E-3</v>
      </c>
      <c r="P70" s="44">
        <f>'Sheet1 select'!$B$35*$B$10*$B$8*1000*0.000000001</f>
        <v>0</v>
      </c>
      <c r="Q70" s="47">
        <f>IF('Sheet1 select'!$B$17=0,0,(0.00000006*0.7+0.00000003*(0.7+F70*1.1*'Sheet1 select'!$B$26))*F70*$B$8*1000)</f>
        <v>0</v>
      </c>
      <c r="R70" s="45">
        <f t="shared" ca="1" si="10"/>
        <v>7.4475190617972351E-2</v>
      </c>
      <c r="S70" s="48">
        <f t="shared" ca="1" si="11"/>
        <v>0.92511106227628159</v>
      </c>
      <c r="T70" s="49">
        <f ca="1">H70+K70+O70+N70+'Sheet1 select'!$B$40*I70+J70+P70</f>
        <v>1.8289385045199162E-2</v>
      </c>
      <c r="U70" s="169">
        <f t="shared" ca="1" si="12"/>
        <v>6.2893850451991619E-3</v>
      </c>
      <c r="V70" s="47">
        <f t="shared" ca="1" si="13"/>
        <v>0</v>
      </c>
    </row>
    <row r="71" spans="5:22">
      <c r="E71" s="32">
        <v>70</v>
      </c>
      <c r="F71" s="45">
        <f t="shared" si="7"/>
        <v>0.18666666666666668</v>
      </c>
      <c r="G71" s="45">
        <f t="shared" si="8"/>
        <v>6.9688888888888899E-3</v>
      </c>
      <c r="H71" s="45">
        <f ca="1">F71*F71*('Sheet1 select'!$B$25)*$B$3</f>
        <v>7.9250404626084777E-4</v>
      </c>
      <c r="I71" s="45">
        <f>F71*(1-$B$3)*'Sheet1 select'!$B$41</f>
        <v>4.3555555555555556E-2</v>
      </c>
      <c r="J71" s="45">
        <f ca="1">F71*F71*('Sheet1 select'!$B$26)*(1-$B$3)</f>
        <v>0</v>
      </c>
      <c r="K71" s="45">
        <f>0.0000005*$B$10*F71*$B$8*((('Sheet1 select'!$B$33+0.5*'Sheet1 select'!$B$32)/(('Sheet1 select'!$B$10-'Sheet1 select'!$B$23)/('Sheet1 select'!$B$27+'Sheet1 select'!$B$8)))+(('Sheet1 select'!$B$33+0.5*'Sheet1 select'!$B$32)/(('Sheet1 select'!$B$23)/('Sheet1 select'!$B$27+'Sheet1 select'!$B$9))))</f>
        <v>2.5558747323453411E-3</v>
      </c>
      <c r="L71" s="45">
        <f>(F71*$B$28)*(('Sheet1 select'!$B$12+'Sheet1 select'!$B$13)*(0.000000001))*$B$8*1000</f>
        <v>0</v>
      </c>
      <c r="M71" s="45">
        <f t="shared" si="9"/>
        <v>6.481272239439854E-3</v>
      </c>
      <c r="N71" s="46">
        <f>$B$10*'Sheet1 select'!$B$29*0.001</f>
        <v>1.2E-2</v>
      </c>
      <c r="O71" s="44">
        <f>'Sheet1 select'!$B$10*'Sheet1 select'!$B$31*$B$8*1000*0.000000001</f>
        <v>3.0000000000000001E-3</v>
      </c>
      <c r="P71" s="44">
        <f>'Sheet1 select'!$B$35*$B$10*$B$8*1000*0.000000001</f>
        <v>0</v>
      </c>
      <c r="Q71" s="47">
        <f>IF('Sheet1 select'!$B$17=0,0,(0.00000006*0.7+0.00000003*(0.7+F71*1.1*'Sheet1 select'!$B$26))*F71*$B$8*1000)</f>
        <v>0</v>
      </c>
      <c r="R71" s="45">
        <f t="shared" ca="1" si="10"/>
        <v>7.53540954624905E-2</v>
      </c>
      <c r="S71" s="48">
        <f t="shared" ca="1" si="11"/>
        <v>0.92529489977638701</v>
      </c>
      <c r="T71" s="49">
        <f ca="1">H71+K71+O71+N71+'Sheet1 select'!$B$40*I71+J71+P71</f>
        <v>1.8348378778606188E-2</v>
      </c>
      <c r="U71" s="169">
        <f t="shared" ca="1" si="12"/>
        <v>6.3483787786061891E-3</v>
      </c>
      <c r="V71" s="47">
        <f t="shared" ca="1" si="13"/>
        <v>0</v>
      </c>
    </row>
    <row r="72" spans="5:22">
      <c r="E72" s="32">
        <v>71</v>
      </c>
      <c r="F72" s="45">
        <f t="shared" si="7"/>
        <v>0.18933333333333335</v>
      </c>
      <c r="G72" s="45">
        <f t="shared" si="8"/>
        <v>7.1694222222222249E-3</v>
      </c>
      <c r="H72" s="45">
        <f ca="1">F72*F72*('Sheet1 select'!$B$25)*$B$3</f>
        <v>8.153087545308029E-4</v>
      </c>
      <c r="I72" s="45">
        <f>F72*(1-$B$3)*'Sheet1 select'!$B$41</f>
        <v>4.4177777777777781E-2</v>
      </c>
      <c r="J72" s="45">
        <f ca="1">F72*F72*('Sheet1 select'!$B$26)*(1-$B$3)</f>
        <v>0</v>
      </c>
      <c r="K72" s="45">
        <f>0.0000005*$B$10*F72*$B$8*((('Sheet1 select'!$B$33+0.5*'Sheet1 select'!$B$32)/(('Sheet1 select'!$B$10-'Sheet1 select'!$B$23)/('Sheet1 select'!$B$27+'Sheet1 select'!$B$8)))+(('Sheet1 select'!$B$33+0.5*'Sheet1 select'!$B$32)/(('Sheet1 select'!$B$23)/('Sheet1 select'!$B$27+'Sheet1 select'!$B$9))))</f>
        <v>2.5923872285217035E-3</v>
      </c>
      <c r="L72" s="45">
        <f>(F72*$B$28)*(('Sheet1 select'!$B$12+'Sheet1 select'!$B$13)*(0.000000001))*$B$8*1000</f>
        <v>0</v>
      </c>
      <c r="M72" s="45">
        <f t="shared" si="9"/>
        <v>6.481272239439854E-3</v>
      </c>
      <c r="N72" s="46">
        <f>$B$10*'Sheet1 select'!$B$29*0.001</f>
        <v>1.2E-2</v>
      </c>
      <c r="O72" s="44">
        <f>'Sheet1 select'!$B$10*'Sheet1 select'!$B$31*$B$8*1000*0.000000001</f>
        <v>3.0000000000000001E-3</v>
      </c>
      <c r="P72" s="44">
        <f>'Sheet1 select'!$B$35*$B$10*$B$8*1000*0.000000001</f>
        <v>0</v>
      </c>
      <c r="Q72" s="47">
        <f>IF('Sheet1 select'!$B$17=0,0,(0.00000006*0.7+0.00000003*(0.7+F72*1.1*'Sheet1 select'!$B$26))*F72*$B$8*1000)</f>
        <v>0</v>
      </c>
      <c r="R72" s="45">
        <f t="shared" ca="1" si="10"/>
        <v>7.6236168222492365E-2</v>
      </c>
      <c r="S72" s="48">
        <f t="shared" ca="1" si="11"/>
        <v>0.92547076259618222</v>
      </c>
      <c r="T72" s="49">
        <f ca="1">H72+K72+O72+N72+'Sheet1 select'!$B$40*I72+J72+P72</f>
        <v>1.8407695983052506E-2</v>
      </c>
      <c r="U72" s="169">
        <f t="shared" ca="1" si="12"/>
        <v>6.4076959830525063E-3</v>
      </c>
      <c r="V72" s="47">
        <f t="shared" ca="1" si="13"/>
        <v>0</v>
      </c>
    </row>
    <row r="73" spans="5:22">
      <c r="E73" s="32">
        <v>72</v>
      </c>
      <c r="F73" s="45">
        <f t="shared" si="7"/>
        <v>0.192</v>
      </c>
      <c r="G73" s="45">
        <f t="shared" si="8"/>
        <v>7.3727999999999997E-3</v>
      </c>
      <c r="H73" s="45">
        <f ca="1">F73*F73*('Sheet1 select'!$B$25)*$B$3</f>
        <v>8.3843693384004785E-4</v>
      </c>
      <c r="I73" s="45">
        <f>F73*(1-$B$3)*'Sheet1 select'!$B$41</f>
        <v>4.48E-2</v>
      </c>
      <c r="J73" s="45">
        <f ca="1">F73*F73*('Sheet1 select'!$B$26)*(1-$B$3)</f>
        <v>0</v>
      </c>
      <c r="K73" s="45">
        <f>0.0000005*$B$10*F73*$B$8*((('Sheet1 select'!$B$33+0.5*'Sheet1 select'!$B$32)/(('Sheet1 select'!$B$10-'Sheet1 select'!$B$23)/('Sheet1 select'!$B$27+'Sheet1 select'!$B$8)))+(('Sheet1 select'!$B$33+0.5*'Sheet1 select'!$B$32)/(('Sheet1 select'!$B$23)/('Sheet1 select'!$B$27+'Sheet1 select'!$B$9))))</f>
        <v>2.6288997246980651E-3</v>
      </c>
      <c r="L73" s="45">
        <f>(F73*$B$28)*(('Sheet1 select'!$B$12+'Sheet1 select'!$B$13)*(0.000000001))*$B$8*1000</f>
        <v>0</v>
      </c>
      <c r="M73" s="45">
        <f t="shared" si="9"/>
        <v>6.481272239439854E-3</v>
      </c>
      <c r="N73" s="46">
        <f>$B$10*'Sheet1 select'!$B$29*0.001</f>
        <v>1.2E-2</v>
      </c>
      <c r="O73" s="44">
        <f>'Sheet1 select'!$B$10*'Sheet1 select'!$B$31*$B$8*1000*0.000000001</f>
        <v>3.0000000000000001E-3</v>
      </c>
      <c r="P73" s="44">
        <f>'Sheet1 select'!$B$35*$B$10*$B$8*1000*0.000000001</f>
        <v>0</v>
      </c>
      <c r="Q73" s="47">
        <f>IF('Sheet1 select'!$B$17=0,0,(0.00000006*0.7+0.00000003*(0.7+F73*1.1*'Sheet1 select'!$B$26))*F73*$B$8*1000)</f>
        <v>0</v>
      </c>
      <c r="R73" s="45">
        <f t="shared" ca="1" si="10"/>
        <v>7.7121408897977972E-2</v>
      </c>
      <c r="S73" s="48">
        <f t="shared" ca="1" si="11"/>
        <v>0.92563897704134235</v>
      </c>
      <c r="T73" s="49">
        <f ca="1">H73+K73+O73+N73+'Sheet1 select'!$B$40*I73+J73+P73</f>
        <v>1.8467336658538114E-2</v>
      </c>
      <c r="U73" s="169">
        <f t="shared" ca="1" si="12"/>
        <v>6.4673366585381135E-3</v>
      </c>
      <c r="V73" s="47">
        <f t="shared" ca="1" si="13"/>
        <v>0</v>
      </c>
    </row>
    <row r="74" spans="5:22">
      <c r="E74" s="32">
        <v>73</v>
      </c>
      <c r="F74" s="45">
        <f t="shared" si="7"/>
        <v>0.19466666666666668</v>
      </c>
      <c r="G74" s="45">
        <f t="shared" si="8"/>
        <v>7.5790222222222228E-3</v>
      </c>
      <c r="H74" s="45">
        <f ca="1">F74*F74*('Sheet1 select'!$B$25)*$B$3</f>
        <v>8.6188858418858325E-4</v>
      </c>
      <c r="I74" s="45">
        <f>F74*(1-$B$3)*'Sheet1 select'!$B$41</f>
        <v>4.5422222222222225E-2</v>
      </c>
      <c r="J74" s="45">
        <f ca="1">F74*F74*('Sheet1 select'!$B$26)*(1-$B$3)</f>
        <v>0</v>
      </c>
      <c r="K74" s="45">
        <f>0.0000005*$B$10*F74*$B$8*((('Sheet1 select'!$B$33+0.5*'Sheet1 select'!$B$32)/(('Sheet1 select'!$B$10-'Sheet1 select'!$B$23)/('Sheet1 select'!$B$27+'Sheet1 select'!$B$8)))+(('Sheet1 select'!$B$33+0.5*'Sheet1 select'!$B$32)/(('Sheet1 select'!$B$23)/('Sheet1 select'!$B$27+'Sheet1 select'!$B$9))))</f>
        <v>2.6654122208744271E-3</v>
      </c>
      <c r="L74" s="45">
        <f>(F74*$B$28)*(('Sheet1 select'!$B$12+'Sheet1 select'!$B$13)*(0.000000001))*$B$8*1000</f>
        <v>0</v>
      </c>
      <c r="M74" s="45">
        <f t="shared" si="9"/>
        <v>6.481272239439854E-3</v>
      </c>
      <c r="N74" s="46">
        <f>$B$10*'Sheet1 select'!$B$29*0.001</f>
        <v>1.2E-2</v>
      </c>
      <c r="O74" s="44">
        <f>'Sheet1 select'!$B$10*'Sheet1 select'!$B$31*$B$8*1000*0.000000001</f>
        <v>3.0000000000000001E-3</v>
      </c>
      <c r="P74" s="44">
        <f>'Sheet1 select'!$B$35*$B$10*$B$8*1000*0.000000001</f>
        <v>0</v>
      </c>
      <c r="Q74" s="47">
        <f>IF('Sheet1 select'!$B$17=0,0,(0.00000006*0.7+0.00000003*(0.7+F74*1.1*'Sheet1 select'!$B$26))*F74*$B$8*1000)</f>
        <v>0</v>
      </c>
      <c r="R74" s="45">
        <f t="shared" ca="1" si="10"/>
        <v>7.8009817488947322E-2</v>
      </c>
      <c r="S74" s="48">
        <f t="shared" ca="1" si="11"/>
        <v>0.92579985190569414</v>
      </c>
      <c r="T74" s="49">
        <f ca="1">H74+K74+O74+N74+'Sheet1 select'!$B$40*I74+J74+P74</f>
        <v>1.8527300805063013E-2</v>
      </c>
      <c r="U74" s="169">
        <f t="shared" ca="1" si="12"/>
        <v>6.5273008050630108E-3</v>
      </c>
      <c r="V74" s="47">
        <f t="shared" ca="1" si="13"/>
        <v>0</v>
      </c>
    </row>
    <row r="75" spans="5:22">
      <c r="E75" s="32">
        <v>74</v>
      </c>
      <c r="F75" s="45">
        <f t="shared" si="7"/>
        <v>0.19733333333333333</v>
      </c>
      <c r="G75" s="45">
        <f t="shared" si="8"/>
        <v>7.788088888888889E-3</v>
      </c>
      <c r="H75" s="45">
        <f ca="1">F75*F75*('Sheet1 select'!$B$25)*$B$3</f>
        <v>8.8566370557640868E-4</v>
      </c>
      <c r="I75" s="45">
        <f>F75*(1-$B$3)*'Sheet1 select'!$B$41</f>
        <v>4.6044444444444443E-2</v>
      </c>
      <c r="J75" s="45">
        <f ca="1">F75*F75*('Sheet1 select'!$B$26)*(1-$B$3)</f>
        <v>0</v>
      </c>
      <c r="K75" s="45">
        <f>0.0000005*$B$10*F75*$B$8*((('Sheet1 select'!$B$33+0.5*'Sheet1 select'!$B$32)/(('Sheet1 select'!$B$10-'Sheet1 select'!$B$23)/('Sheet1 select'!$B$27+'Sheet1 select'!$B$8)))+(('Sheet1 select'!$B$33+0.5*'Sheet1 select'!$B$32)/(('Sheet1 select'!$B$23)/('Sheet1 select'!$B$27+'Sheet1 select'!$B$9))))</f>
        <v>2.7019247170507891E-3</v>
      </c>
      <c r="L75" s="45">
        <f>(F75*$B$28)*(('Sheet1 select'!$B$12+'Sheet1 select'!$B$13)*(0.000000001))*$B$8*1000</f>
        <v>0</v>
      </c>
      <c r="M75" s="45">
        <f t="shared" si="9"/>
        <v>6.481272239439854E-3</v>
      </c>
      <c r="N75" s="46">
        <f>$B$10*'Sheet1 select'!$B$29*0.001</f>
        <v>1.2E-2</v>
      </c>
      <c r="O75" s="44">
        <f>'Sheet1 select'!$B$10*'Sheet1 select'!$B$31*$B$8*1000*0.000000001</f>
        <v>3.0000000000000001E-3</v>
      </c>
      <c r="P75" s="44">
        <f>'Sheet1 select'!$B$35*$B$10*$B$8*1000*0.000000001</f>
        <v>0</v>
      </c>
      <c r="Q75" s="47">
        <f>IF('Sheet1 select'!$B$17=0,0,(0.00000006*0.7+0.00000003*(0.7+F75*1.1*'Sheet1 select'!$B$26))*F75*$B$8*1000)</f>
        <v>0</v>
      </c>
      <c r="R75" s="45">
        <f t="shared" ca="1" si="10"/>
        <v>7.8901393995400387E-2</v>
      </c>
      <c r="S75" s="48">
        <f t="shared" ca="1" si="11"/>
        <v>0.92595367963039665</v>
      </c>
      <c r="T75" s="49">
        <f ca="1">H75+K75+O75+N75+'Sheet1 select'!$B$40*I75+J75+P75</f>
        <v>1.8587588422627199E-2</v>
      </c>
      <c r="U75" s="169">
        <f t="shared" ca="1" si="12"/>
        <v>6.5875884226271973E-3</v>
      </c>
      <c r="V75" s="47">
        <f t="shared" ca="1" si="13"/>
        <v>0</v>
      </c>
    </row>
    <row r="76" spans="5:22">
      <c r="E76" s="32">
        <v>75</v>
      </c>
      <c r="F76" s="45">
        <f t="shared" si="7"/>
        <v>0.2</v>
      </c>
      <c r="G76" s="45">
        <f t="shared" si="8"/>
        <v>8.0000000000000019E-3</v>
      </c>
      <c r="H76" s="45">
        <f ca="1">F76*F76*('Sheet1 select'!$B$25)*$B$3</f>
        <v>9.0976229800352425E-4</v>
      </c>
      <c r="I76" s="45">
        <f>F76*(1-$B$3)*'Sheet1 select'!$B$41</f>
        <v>4.6666666666666662E-2</v>
      </c>
      <c r="J76" s="45">
        <f ca="1">F76*F76*('Sheet1 select'!$B$26)*(1-$B$3)</f>
        <v>0</v>
      </c>
      <c r="K76" s="45">
        <f>0.0000005*$B$10*F76*$B$8*((('Sheet1 select'!$B$33+0.5*'Sheet1 select'!$B$32)/(('Sheet1 select'!$B$10-'Sheet1 select'!$B$23)/('Sheet1 select'!$B$27+'Sheet1 select'!$B$8)))+(('Sheet1 select'!$B$33+0.5*'Sheet1 select'!$B$32)/(('Sheet1 select'!$B$23)/('Sheet1 select'!$B$27+'Sheet1 select'!$B$9))))</f>
        <v>2.7384372132271515E-3</v>
      </c>
      <c r="L76" s="45">
        <f>(F76*$B$28)*(('Sheet1 select'!$B$12+'Sheet1 select'!$B$13)*(0.000000001))*$B$8*1000</f>
        <v>0</v>
      </c>
      <c r="M76" s="45">
        <f t="shared" si="9"/>
        <v>6.481272239439854E-3</v>
      </c>
      <c r="N76" s="46">
        <f>$B$10*'Sheet1 select'!$B$29*0.001</f>
        <v>1.2E-2</v>
      </c>
      <c r="O76" s="44">
        <f>'Sheet1 select'!$B$10*'Sheet1 select'!$B$31*$B$8*1000*0.000000001</f>
        <v>3.0000000000000001E-3</v>
      </c>
      <c r="P76" s="44">
        <f>'Sheet1 select'!$B$35*$B$10*$B$8*1000*0.000000001</f>
        <v>0</v>
      </c>
      <c r="Q76" s="47">
        <f>IF('Sheet1 select'!$B$17=0,0,(0.00000006*0.7+0.00000003*(0.7+F76*1.1*'Sheet1 select'!$B$26))*F76*$B$8*1000)</f>
        <v>0</v>
      </c>
      <c r="R76" s="45">
        <f t="shared" ca="1" si="10"/>
        <v>7.9796138417337195E-2</v>
      </c>
      <c r="S76" s="48">
        <f t="shared" ca="1" si="11"/>
        <v>0.9261007373722463</v>
      </c>
      <c r="T76" s="49">
        <f ca="1">H76+K76+O76+N76+'Sheet1 select'!$B$40*I76+J76+P76</f>
        <v>1.8648199511230677E-2</v>
      </c>
      <c r="U76" s="169">
        <f t="shared" ca="1" si="12"/>
        <v>6.6481995112306763E-3</v>
      </c>
      <c r="V76" s="47">
        <f t="shared" ca="1" si="13"/>
        <v>0</v>
      </c>
    </row>
    <row r="77" spans="5:22">
      <c r="E77" s="32">
        <v>76</v>
      </c>
      <c r="F77" s="45">
        <f t="shared" si="7"/>
        <v>0.20266666666666669</v>
      </c>
      <c r="G77" s="45">
        <f t="shared" si="8"/>
        <v>8.2147555555555571E-3</v>
      </c>
      <c r="H77" s="45">
        <f ca="1">F77*F77*('Sheet1 select'!$B$25)*$B$3</f>
        <v>9.3418436146993006E-4</v>
      </c>
      <c r="I77" s="45">
        <f>F77*(1-$B$3)*'Sheet1 select'!$B$41</f>
        <v>4.7288888888888887E-2</v>
      </c>
      <c r="J77" s="45">
        <f ca="1">F77*F77*('Sheet1 select'!$B$26)*(1-$B$3)</f>
        <v>0</v>
      </c>
      <c r="K77" s="45">
        <f>0.0000005*$B$10*F77*$B$8*((('Sheet1 select'!$B$33+0.5*'Sheet1 select'!$B$32)/(('Sheet1 select'!$B$10-'Sheet1 select'!$B$23)/('Sheet1 select'!$B$27+'Sheet1 select'!$B$8)))+(('Sheet1 select'!$B$33+0.5*'Sheet1 select'!$B$32)/(('Sheet1 select'!$B$23)/('Sheet1 select'!$B$27+'Sheet1 select'!$B$9))))</f>
        <v>2.7749497094035134E-3</v>
      </c>
      <c r="L77" s="45">
        <f>(F77*$B$28)*(('Sheet1 select'!$B$12+'Sheet1 select'!$B$13)*(0.000000001))*$B$8*1000</f>
        <v>0</v>
      </c>
      <c r="M77" s="45">
        <f t="shared" si="9"/>
        <v>6.481272239439854E-3</v>
      </c>
      <c r="N77" s="46">
        <f>$B$10*'Sheet1 select'!$B$29*0.001</f>
        <v>1.2E-2</v>
      </c>
      <c r="O77" s="44">
        <f>'Sheet1 select'!$B$10*'Sheet1 select'!$B$31*$B$8*1000*0.000000001</f>
        <v>3.0000000000000001E-3</v>
      </c>
      <c r="P77" s="44">
        <f>'Sheet1 select'!$B$35*$B$10*$B$8*1000*0.000000001</f>
        <v>0</v>
      </c>
      <c r="Q77" s="47">
        <f>IF('Sheet1 select'!$B$17=0,0,(0.00000006*0.7+0.00000003*(0.7+F77*1.1*'Sheet1 select'!$B$26))*F77*$B$8*1000)</f>
        <v>0</v>
      </c>
      <c r="R77" s="45">
        <f t="shared" ca="1" si="10"/>
        <v>8.0694050754757746E-2</v>
      </c>
      <c r="S77" s="48">
        <f t="shared" ca="1" si="11"/>
        <v>0.92624128798931393</v>
      </c>
      <c r="T77" s="49">
        <f ca="1">H77+K77+O77+N77+'Sheet1 select'!$B$40*I77+J77+P77</f>
        <v>1.8709134070873445E-2</v>
      </c>
      <c r="U77" s="169">
        <f t="shared" ca="1" si="12"/>
        <v>6.7091340708734437E-3</v>
      </c>
      <c r="V77" s="47">
        <f t="shared" ca="1" si="13"/>
        <v>0</v>
      </c>
    </row>
    <row r="78" spans="5:22">
      <c r="E78" s="32">
        <v>77</v>
      </c>
      <c r="F78" s="45">
        <f t="shared" si="7"/>
        <v>0.20533333333333334</v>
      </c>
      <c r="G78" s="45">
        <f t="shared" si="8"/>
        <v>8.4323555555555554E-3</v>
      </c>
      <c r="H78" s="45">
        <f ca="1">F78*F78*('Sheet1 select'!$B$25)*$B$3</f>
        <v>9.5892989597562569E-4</v>
      </c>
      <c r="I78" s="45">
        <f>F78*(1-$B$3)*'Sheet1 select'!$B$41</f>
        <v>4.7911111111111106E-2</v>
      </c>
      <c r="J78" s="45">
        <f ca="1">F78*F78*('Sheet1 select'!$B$26)*(1-$B$3)</f>
        <v>0</v>
      </c>
      <c r="K78" s="45">
        <f>0.0000005*$B$10*F78*$B$8*((('Sheet1 select'!$B$33+0.5*'Sheet1 select'!$B$32)/(('Sheet1 select'!$B$10-'Sheet1 select'!$B$23)/('Sheet1 select'!$B$27+'Sheet1 select'!$B$8)))+(('Sheet1 select'!$B$33+0.5*'Sheet1 select'!$B$32)/(('Sheet1 select'!$B$23)/('Sheet1 select'!$B$27+'Sheet1 select'!$B$9))))</f>
        <v>2.8114622055798754E-3</v>
      </c>
      <c r="L78" s="45">
        <f>(F78*$B$28)*(('Sheet1 select'!$B$12+'Sheet1 select'!$B$13)*(0.000000001))*$B$8*1000</f>
        <v>0</v>
      </c>
      <c r="M78" s="45">
        <f t="shared" si="9"/>
        <v>6.481272239439854E-3</v>
      </c>
      <c r="N78" s="46">
        <f>$B$10*'Sheet1 select'!$B$29*0.001</f>
        <v>1.2E-2</v>
      </c>
      <c r="O78" s="44">
        <f>'Sheet1 select'!$B$10*'Sheet1 select'!$B$31*$B$8*1000*0.000000001</f>
        <v>3.0000000000000001E-3</v>
      </c>
      <c r="P78" s="44">
        <f>'Sheet1 select'!$B$35*$B$10*$B$8*1000*0.000000001</f>
        <v>0</v>
      </c>
      <c r="Q78" s="47">
        <f>IF('Sheet1 select'!$B$17=0,0,(0.00000006*0.7+0.00000003*(0.7+F78*1.1*'Sheet1 select'!$B$26))*F78*$B$8*1000)</f>
        <v>0</v>
      </c>
      <c r="R78" s="45">
        <f t="shared" ca="1" si="10"/>
        <v>8.1595131007662011E-2</v>
      </c>
      <c r="S78" s="48">
        <f t="shared" ca="1" si="11"/>
        <v>0.92637558095128059</v>
      </c>
      <c r="T78" s="49">
        <f ca="1">H78+K78+O78+N78+'Sheet1 select'!$B$40*I78+J78+P78</f>
        <v>1.87703921015555E-2</v>
      </c>
      <c r="U78" s="169">
        <f t="shared" ca="1" si="12"/>
        <v>6.7703921015555011E-3</v>
      </c>
      <c r="V78" s="47">
        <f t="shared" ca="1" si="13"/>
        <v>0</v>
      </c>
    </row>
    <row r="79" spans="5:22">
      <c r="E79" s="32">
        <v>78</v>
      </c>
      <c r="F79" s="45">
        <f t="shared" si="7"/>
        <v>0.20800000000000002</v>
      </c>
      <c r="G79" s="45">
        <f t="shared" si="8"/>
        <v>8.6528000000000022E-3</v>
      </c>
      <c r="H79" s="45">
        <f ca="1">F79*F79*('Sheet1 select'!$B$25)*$B$3</f>
        <v>9.8399890152061189E-4</v>
      </c>
      <c r="I79" s="45">
        <f>F79*(1-$B$3)*'Sheet1 select'!$B$41</f>
        <v>4.8533333333333338E-2</v>
      </c>
      <c r="J79" s="45">
        <f ca="1">F79*F79*('Sheet1 select'!$B$26)*(1-$B$3)</f>
        <v>0</v>
      </c>
      <c r="K79" s="45">
        <f>0.0000005*$B$10*F79*$B$8*((('Sheet1 select'!$B$33+0.5*'Sheet1 select'!$B$32)/(('Sheet1 select'!$B$10-'Sheet1 select'!$B$23)/('Sheet1 select'!$B$27+'Sheet1 select'!$B$8)))+(('Sheet1 select'!$B$33+0.5*'Sheet1 select'!$B$32)/(('Sheet1 select'!$B$23)/('Sheet1 select'!$B$27+'Sheet1 select'!$B$9))))</f>
        <v>2.8479747017562378E-3</v>
      </c>
      <c r="L79" s="45">
        <f>(F79*$B$28)*(('Sheet1 select'!$B$12+'Sheet1 select'!$B$13)*(0.000000001))*$B$8*1000</f>
        <v>0</v>
      </c>
      <c r="M79" s="45">
        <f t="shared" si="9"/>
        <v>6.481272239439854E-3</v>
      </c>
      <c r="N79" s="46">
        <f>$B$10*'Sheet1 select'!$B$29*0.001</f>
        <v>1.2E-2</v>
      </c>
      <c r="O79" s="44">
        <f>'Sheet1 select'!$B$10*'Sheet1 select'!$B$31*$B$8*1000*0.000000001</f>
        <v>3.0000000000000001E-3</v>
      </c>
      <c r="P79" s="44">
        <f>'Sheet1 select'!$B$35*$B$10*$B$8*1000*0.000000001</f>
        <v>0</v>
      </c>
      <c r="Q79" s="47">
        <f>IF('Sheet1 select'!$B$17=0,0,(0.00000006*0.7+0.00000003*(0.7+F79*1.1*'Sheet1 select'!$B$26))*F79*$B$8*1000)</f>
        <v>0</v>
      </c>
      <c r="R79" s="45">
        <f t="shared" ca="1" si="10"/>
        <v>8.2499379176050047E-2</v>
      </c>
      <c r="S79" s="48">
        <f t="shared" ca="1" si="11"/>
        <v>0.9265038531810974</v>
      </c>
      <c r="T79" s="49">
        <f ca="1">H79+K79+O79+N79+'Sheet1 select'!$B$40*I79+J79+P79</f>
        <v>1.883197360327685E-2</v>
      </c>
      <c r="U79" s="169">
        <f t="shared" ca="1" si="12"/>
        <v>6.8319736032768502E-3</v>
      </c>
      <c r="V79" s="47">
        <f t="shared" ca="1" si="13"/>
        <v>0</v>
      </c>
    </row>
    <row r="80" spans="5:22">
      <c r="E80" s="32">
        <v>79</v>
      </c>
      <c r="F80" s="45">
        <f t="shared" si="7"/>
        <v>0.21066666666666667</v>
      </c>
      <c r="G80" s="45">
        <f t="shared" si="8"/>
        <v>8.8760888888888886E-3</v>
      </c>
      <c r="H80" s="45">
        <f ca="1">F80*F80*('Sheet1 select'!$B$25)*$B$3</f>
        <v>1.0093913781048878E-3</v>
      </c>
      <c r="I80" s="45">
        <f>F80*(1-$B$3)*'Sheet1 select'!$B$41</f>
        <v>4.9155555555555557E-2</v>
      </c>
      <c r="J80" s="45">
        <f ca="1">F80*F80*('Sheet1 select'!$B$26)*(1-$B$3)</f>
        <v>0</v>
      </c>
      <c r="K80" s="45">
        <f>0.0000005*$B$10*F80*$B$8*((('Sheet1 select'!$B$33+0.5*'Sheet1 select'!$B$32)/(('Sheet1 select'!$B$10-'Sheet1 select'!$B$23)/('Sheet1 select'!$B$27+'Sheet1 select'!$B$8)))+(('Sheet1 select'!$B$33+0.5*'Sheet1 select'!$B$32)/(('Sheet1 select'!$B$23)/('Sheet1 select'!$B$27+'Sheet1 select'!$B$9))))</f>
        <v>2.8844871979325994E-3</v>
      </c>
      <c r="L80" s="45">
        <f>(F80*$B$28)*(('Sheet1 select'!$B$12+'Sheet1 select'!$B$13)*(0.000000001))*$B$8*1000</f>
        <v>0</v>
      </c>
      <c r="M80" s="45">
        <f t="shared" si="9"/>
        <v>6.481272239439854E-3</v>
      </c>
      <c r="N80" s="46">
        <f>$B$10*'Sheet1 select'!$B$29*0.001</f>
        <v>1.2E-2</v>
      </c>
      <c r="O80" s="44">
        <f>'Sheet1 select'!$B$10*'Sheet1 select'!$B$31*$B$8*1000*0.000000001</f>
        <v>3.0000000000000001E-3</v>
      </c>
      <c r="P80" s="44">
        <f>'Sheet1 select'!$B$35*$B$10*$B$8*1000*0.000000001</f>
        <v>0</v>
      </c>
      <c r="Q80" s="47">
        <f>IF('Sheet1 select'!$B$17=0,0,(0.00000006*0.7+0.00000003*(0.7+F80*1.1*'Sheet1 select'!$B$26))*F80*$B$8*1000)</f>
        <v>0</v>
      </c>
      <c r="R80" s="45">
        <f t="shared" ca="1" si="10"/>
        <v>8.3406795259921784E-2</v>
      </c>
      <c r="S80" s="48">
        <f t="shared" ca="1" si="11"/>
        <v>0.92662632983394377</v>
      </c>
      <c r="T80" s="49">
        <f ca="1">H80+K80+O80+N80+'Sheet1 select'!$B$40*I80+J80+P80</f>
        <v>1.8893878576037488E-2</v>
      </c>
      <c r="U80" s="169">
        <f t="shared" ca="1" si="12"/>
        <v>6.8938785760374877E-3</v>
      </c>
      <c r="V80" s="47">
        <f t="shared" ca="1" si="13"/>
        <v>0</v>
      </c>
    </row>
    <row r="81" spans="5:22">
      <c r="E81" s="32">
        <v>80</v>
      </c>
      <c r="F81" s="45">
        <f t="shared" si="7"/>
        <v>0.21333333333333335</v>
      </c>
      <c r="G81" s="45">
        <f t="shared" si="8"/>
        <v>9.1022222222222234E-3</v>
      </c>
      <c r="H81" s="45">
        <f ca="1">F81*F81*('Sheet1 select'!$B$25)*$B$3</f>
        <v>1.0351073257284544E-3</v>
      </c>
      <c r="I81" s="45">
        <f>F81*(1-$B$3)*'Sheet1 select'!$B$41</f>
        <v>4.9777777777777782E-2</v>
      </c>
      <c r="J81" s="45">
        <f ca="1">F81*F81*('Sheet1 select'!$B$26)*(1-$B$3)</f>
        <v>0</v>
      </c>
      <c r="K81" s="45">
        <f>0.0000005*$B$10*F81*$B$8*((('Sheet1 select'!$B$33+0.5*'Sheet1 select'!$B$32)/(('Sheet1 select'!$B$10-'Sheet1 select'!$B$23)/('Sheet1 select'!$B$27+'Sheet1 select'!$B$8)))+(('Sheet1 select'!$B$33+0.5*'Sheet1 select'!$B$32)/(('Sheet1 select'!$B$23)/('Sheet1 select'!$B$27+'Sheet1 select'!$B$9))))</f>
        <v>2.9209996941089609E-3</v>
      </c>
      <c r="L81" s="45">
        <f>(F81*$B$28)*(('Sheet1 select'!$B$12+'Sheet1 select'!$B$13)*(0.000000001))*$B$8*1000</f>
        <v>0</v>
      </c>
      <c r="M81" s="45">
        <f t="shared" si="9"/>
        <v>6.481272239439854E-3</v>
      </c>
      <c r="N81" s="46">
        <f>$B$10*'Sheet1 select'!$B$29*0.001</f>
        <v>1.2E-2</v>
      </c>
      <c r="O81" s="44">
        <f>'Sheet1 select'!$B$10*'Sheet1 select'!$B$31*$B$8*1000*0.000000001</f>
        <v>3.0000000000000001E-3</v>
      </c>
      <c r="P81" s="44">
        <f>'Sheet1 select'!$B$35*$B$10*$B$8*1000*0.000000001</f>
        <v>0</v>
      </c>
      <c r="Q81" s="47">
        <f>IF('Sheet1 select'!$B$17=0,0,(0.00000006*0.7+0.00000003*(0.7+F81*1.1*'Sheet1 select'!$B$26))*F81*$B$8*1000)</f>
        <v>0</v>
      </c>
      <c r="R81" s="45">
        <f t="shared" ca="1" si="10"/>
        <v>8.4317379259277278E-2</v>
      </c>
      <c r="S81" s="48">
        <f t="shared" ca="1" si="11"/>
        <v>0.92674322501886142</v>
      </c>
      <c r="T81" s="49">
        <f ca="1">H81+K81+O81+N81+'Sheet1 select'!$B$40*I81+J81+P81</f>
        <v>1.8956107019837416E-2</v>
      </c>
      <c r="U81" s="169">
        <f t="shared" ca="1" si="12"/>
        <v>6.9561070198374151E-3</v>
      </c>
      <c r="V81" s="47">
        <f t="shared" ca="1" si="13"/>
        <v>0</v>
      </c>
    </row>
    <row r="82" spans="5:22">
      <c r="E82" s="32">
        <v>81</v>
      </c>
      <c r="F82" s="45">
        <f t="shared" si="7"/>
        <v>0.216</v>
      </c>
      <c r="G82" s="45">
        <f t="shared" si="8"/>
        <v>9.3311999999999996E-3</v>
      </c>
      <c r="H82" s="45">
        <f ca="1">F82*F82*('Sheet1 select'!$B$25)*$B$3</f>
        <v>1.0611467443913105E-3</v>
      </c>
      <c r="I82" s="45">
        <f>F82*(1-$B$3)*'Sheet1 select'!$B$41</f>
        <v>5.0399999999999993E-2</v>
      </c>
      <c r="J82" s="45">
        <f ca="1">F82*F82*('Sheet1 select'!$B$26)*(1-$B$3)</f>
        <v>0</v>
      </c>
      <c r="K82" s="45">
        <f>0.0000005*$B$10*F82*$B$8*((('Sheet1 select'!$B$33+0.5*'Sheet1 select'!$B$32)/(('Sheet1 select'!$B$10-'Sheet1 select'!$B$23)/('Sheet1 select'!$B$27+'Sheet1 select'!$B$8)))+(('Sheet1 select'!$B$33+0.5*'Sheet1 select'!$B$32)/(('Sheet1 select'!$B$23)/('Sheet1 select'!$B$27+'Sheet1 select'!$B$9))))</f>
        <v>2.9575121902853233E-3</v>
      </c>
      <c r="L82" s="45">
        <f>(F82*$B$28)*(('Sheet1 select'!$B$12+'Sheet1 select'!$B$13)*(0.000000001))*$B$8*1000</f>
        <v>0</v>
      </c>
      <c r="M82" s="45">
        <f t="shared" si="9"/>
        <v>6.481272239439854E-3</v>
      </c>
      <c r="N82" s="46">
        <f>$B$10*'Sheet1 select'!$B$29*0.001</f>
        <v>1.2E-2</v>
      </c>
      <c r="O82" s="44">
        <f>'Sheet1 select'!$B$10*'Sheet1 select'!$B$31*$B$8*1000*0.000000001</f>
        <v>3.0000000000000001E-3</v>
      </c>
      <c r="P82" s="44">
        <f>'Sheet1 select'!$B$35*$B$10*$B$8*1000*0.000000001</f>
        <v>0</v>
      </c>
      <c r="Q82" s="47">
        <f>IF('Sheet1 select'!$B$17=0,0,(0.00000006*0.7+0.00000003*(0.7+F82*1.1*'Sheet1 select'!$B$26))*F82*$B$8*1000)</f>
        <v>0</v>
      </c>
      <c r="R82" s="45">
        <f t="shared" ca="1" si="10"/>
        <v>8.5231131174116473E-2</v>
      </c>
      <c r="S82" s="48">
        <f t="shared" ca="1" si="11"/>
        <v>0.92685474246792954</v>
      </c>
      <c r="T82" s="49">
        <f ca="1">H82+K82+O82+N82+'Sheet1 select'!$B$40*I82+J82+P82</f>
        <v>1.9018658934676635E-2</v>
      </c>
      <c r="U82" s="169">
        <f t="shared" ca="1" si="12"/>
        <v>7.0186589346766344E-3</v>
      </c>
      <c r="V82" s="47">
        <f t="shared" ca="1" si="13"/>
        <v>0</v>
      </c>
    </row>
    <row r="83" spans="5:22">
      <c r="E83" s="32">
        <v>82</v>
      </c>
      <c r="F83" s="45">
        <f t="shared" si="7"/>
        <v>0.2186666666666667</v>
      </c>
      <c r="G83" s="45">
        <f t="shared" si="8"/>
        <v>9.5630222222222241E-3</v>
      </c>
      <c r="H83" s="45">
        <f ca="1">F83*F83*('Sheet1 select'!$B$25)*$B$3</f>
        <v>1.0875096340934576E-3</v>
      </c>
      <c r="I83" s="45">
        <f>F83*(1-$B$3)*'Sheet1 select'!$B$41</f>
        <v>5.1022222222222226E-2</v>
      </c>
      <c r="J83" s="45">
        <f ca="1">F83*F83*('Sheet1 select'!$B$26)*(1-$B$3)</f>
        <v>0</v>
      </c>
      <c r="K83" s="45">
        <f>0.0000005*$B$10*F83*$B$8*((('Sheet1 select'!$B$33+0.5*'Sheet1 select'!$B$32)/(('Sheet1 select'!$B$10-'Sheet1 select'!$B$23)/('Sheet1 select'!$B$27+'Sheet1 select'!$B$8)))+(('Sheet1 select'!$B$33+0.5*'Sheet1 select'!$B$32)/(('Sheet1 select'!$B$23)/('Sheet1 select'!$B$27+'Sheet1 select'!$B$9))))</f>
        <v>2.9940246864616862E-3</v>
      </c>
      <c r="L83" s="45">
        <f>(F83*$B$28)*(('Sheet1 select'!$B$12+'Sheet1 select'!$B$13)*(0.000000001))*$B$8*1000</f>
        <v>0</v>
      </c>
      <c r="M83" s="45">
        <f t="shared" si="9"/>
        <v>6.481272239439854E-3</v>
      </c>
      <c r="N83" s="46">
        <f>$B$10*'Sheet1 select'!$B$29*0.001</f>
        <v>1.2E-2</v>
      </c>
      <c r="O83" s="44">
        <f>'Sheet1 select'!$B$10*'Sheet1 select'!$B$31*$B$8*1000*0.000000001</f>
        <v>3.0000000000000001E-3</v>
      </c>
      <c r="P83" s="44">
        <f>'Sheet1 select'!$B$35*$B$10*$B$8*1000*0.000000001</f>
        <v>0</v>
      </c>
      <c r="Q83" s="47">
        <f>IF('Sheet1 select'!$B$17=0,0,(0.00000006*0.7+0.00000003*(0.7+F83*1.1*'Sheet1 select'!$B$26))*F83*$B$8*1000)</f>
        <v>0</v>
      </c>
      <c r="R83" s="45">
        <f t="shared" ca="1" si="10"/>
        <v>8.6148051004439452E-2</v>
      </c>
      <c r="S83" s="48">
        <f t="shared" ca="1" si="11"/>
        <v>0.92696107615737589</v>
      </c>
      <c r="T83" s="49">
        <f ca="1">H83+K83+O83+N83+'Sheet1 select'!$B$40*I83+J83+P83</f>
        <v>1.9081534320555142E-2</v>
      </c>
      <c r="U83" s="169">
        <f t="shared" ca="1" si="12"/>
        <v>7.0815343205551436E-3</v>
      </c>
      <c r="V83" s="47">
        <f t="shared" ca="1" si="13"/>
        <v>0</v>
      </c>
    </row>
    <row r="84" spans="5:22">
      <c r="E84" s="32">
        <v>83</v>
      </c>
      <c r="F84" s="45">
        <f t="shared" si="7"/>
        <v>0.22133333333333335</v>
      </c>
      <c r="G84" s="45">
        <f t="shared" si="8"/>
        <v>9.7976888888888902E-3</v>
      </c>
      <c r="H84" s="45">
        <f ca="1">F84*F84*('Sheet1 select'!$B$25)*$B$3</f>
        <v>1.1141959948348941E-3</v>
      </c>
      <c r="I84" s="45">
        <f>F84*(1-$B$3)*'Sheet1 select'!$B$41</f>
        <v>5.1644444444444437E-2</v>
      </c>
      <c r="J84" s="45">
        <f ca="1">F84*F84*('Sheet1 select'!$B$26)*(1-$B$3)</f>
        <v>0</v>
      </c>
      <c r="K84" s="45">
        <f>0.0000005*$B$10*F84*$B$8*((('Sheet1 select'!$B$33+0.5*'Sheet1 select'!$B$32)/(('Sheet1 select'!$B$10-'Sheet1 select'!$B$23)/('Sheet1 select'!$B$27+'Sheet1 select'!$B$8)))+(('Sheet1 select'!$B$33+0.5*'Sheet1 select'!$B$32)/(('Sheet1 select'!$B$23)/('Sheet1 select'!$B$27+'Sheet1 select'!$B$9))))</f>
        <v>3.0305371826380477E-3</v>
      </c>
      <c r="L84" s="45">
        <f>(F84*$B$28)*(('Sheet1 select'!$B$12+'Sheet1 select'!$B$13)*(0.000000001))*$B$8*1000</f>
        <v>0</v>
      </c>
      <c r="M84" s="45">
        <f t="shared" si="9"/>
        <v>6.481272239439854E-3</v>
      </c>
      <c r="N84" s="46">
        <f>$B$10*'Sheet1 select'!$B$29*0.001</f>
        <v>1.2E-2</v>
      </c>
      <c r="O84" s="44">
        <f>'Sheet1 select'!$B$10*'Sheet1 select'!$B$31*$B$8*1000*0.000000001</f>
        <v>3.0000000000000001E-3</v>
      </c>
      <c r="P84" s="44">
        <f>'Sheet1 select'!$B$35*$B$10*$B$8*1000*0.000000001</f>
        <v>0</v>
      </c>
      <c r="Q84" s="47">
        <f>IF('Sheet1 select'!$B$17=0,0,(0.00000006*0.7+0.00000003*(0.7+F84*1.1*'Sheet1 select'!$B$26))*F84*$B$8*1000)</f>
        <v>0</v>
      </c>
      <c r="R84" s="45">
        <f t="shared" ca="1" si="10"/>
        <v>8.7068138750246118E-2</v>
      </c>
      <c r="S84" s="48">
        <f t="shared" ca="1" si="11"/>
        <v>0.92706241088460395</v>
      </c>
      <c r="T84" s="49">
        <f ca="1">H84+K84+O84+N84+'Sheet1 select'!$B$40*I84+J84+P84</f>
        <v>1.9144733177472943E-2</v>
      </c>
      <c r="U84" s="169">
        <f t="shared" ca="1" si="12"/>
        <v>7.1447331774729421E-3</v>
      </c>
      <c r="V84" s="47">
        <f t="shared" ca="1" si="13"/>
        <v>0</v>
      </c>
    </row>
    <row r="85" spans="5:22">
      <c r="E85" s="32">
        <v>84</v>
      </c>
      <c r="F85" s="45">
        <f t="shared" si="7"/>
        <v>0.224</v>
      </c>
      <c r="G85" s="45">
        <f t="shared" si="8"/>
        <v>1.0035200000000001E-2</v>
      </c>
      <c r="H85" s="45">
        <f ca="1">F85*F85*('Sheet1 select'!$B$25)*$B$3</f>
        <v>1.141205826615621E-3</v>
      </c>
      <c r="I85" s="45">
        <f>F85*(1-$B$3)*'Sheet1 select'!$B$41</f>
        <v>5.2266666666666663E-2</v>
      </c>
      <c r="J85" s="45">
        <f ca="1">F85*F85*('Sheet1 select'!$B$26)*(1-$B$3)</f>
        <v>0</v>
      </c>
      <c r="K85" s="45">
        <f>0.0000005*$B$10*F85*$B$8*((('Sheet1 select'!$B$33+0.5*'Sheet1 select'!$B$32)/(('Sheet1 select'!$B$10-'Sheet1 select'!$B$23)/('Sheet1 select'!$B$27+'Sheet1 select'!$B$8)))+(('Sheet1 select'!$B$33+0.5*'Sheet1 select'!$B$32)/(('Sheet1 select'!$B$23)/('Sheet1 select'!$B$27+'Sheet1 select'!$B$9))))</f>
        <v>3.0670496788144088E-3</v>
      </c>
      <c r="L85" s="45">
        <f>(F85*$B$28)*(('Sheet1 select'!$B$12+'Sheet1 select'!$B$13)*(0.000000001))*$B$8*1000</f>
        <v>0</v>
      </c>
      <c r="M85" s="45">
        <f t="shared" si="9"/>
        <v>6.481272239439854E-3</v>
      </c>
      <c r="N85" s="46">
        <f>$B$10*'Sheet1 select'!$B$29*0.001</f>
        <v>1.2E-2</v>
      </c>
      <c r="O85" s="44">
        <f>'Sheet1 select'!$B$10*'Sheet1 select'!$B$31*$B$8*1000*0.000000001</f>
        <v>3.0000000000000001E-3</v>
      </c>
      <c r="P85" s="44">
        <f>'Sheet1 select'!$B$35*$B$10*$B$8*1000*0.000000001</f>
        <v>0</v>
      </c>
      <c r="Q85" s="47">
        <f>IF('Sheet1 select'!$B$17=0,0,(0.00000006*0.7+0.00000003*(0.7+F85*1.1*'Sheet1 select'!$B$26))*F85*$B$8*1000)</f>
        <v>0</v>
      </c>
      <c r="R85" s="45">
        <f t="shared" ca="1" si="10"/>
        <v>8.7991394411536542E-2</v>
      </c>
      <c r="S85" s="48">
        <f t="shared" ca="1" si="11"/>
        <v>0.92715892280474332</v>
      </c>
      <c r="T85" s="49">
        <f ca="1">H85+K85+O85+N85+'Sheet1 select'!$B$40*I85+J85+P85</f>
        <v>1.9208255505430032E-2</v>
      </c>
      <c r="U85" s="169">
        <f t="shared" ca="1" si="12"/>
        <v>7.2082555054300296E-3</v>
      </c>
      <c r="V85" s="47">
        <f t="shared" ca="1" si="13"/>
        <v>0</v>
      </c>
    </row>
    <row r="86" spans="5:22">
      <c r="E86" s="32">
        <v>85</v>
      </c>
      <c r="F86" s="45">
        <f t="shared" si="7"/>
        <v>0.22666666666666666</v>
      </c>
      <c r="G86" s="45">
        <f t="shared" si="8"/>
        <v>1.0275555555555555E-2</v>
      </c>
      <c r="H86" s="45">
        <f ca="1">F86*F86*('Sheet1 select'!$B$25)*$B$3</f>
        <v>1.1685391294356377E-3</v>
      </c>
      <c r="I86" s="45">
        <f>F86*(1-$B$3)*'Sheet1 select'!$B$41</f>
        <v>5.2888888888888874E-2</v>
      </c>
      <c r="J86" s="45">
        <f ca="1">F86*F86*('Sheet1 select'!$B$26)*(1-$B$3)</f>
        <v>0</v>
      </c>
      <c r="K86" s="45">
        <f>0.0000005*$B$10*F86*$B$8*((('Sheet1 select'!$B$33+0.5*'Sheet1 select'!$B$32)/(('Sheet1 select'!$B$10-'Sheet1 select'!$B$23)/('Sheet1 select'!$B$27+'Sheet1 select'!$B$8)))+(('Sheet1 select'!$B$33+0.5*'Sheet1 select'!$B$32)/(('Sheet1 select'!$B$23)/('Sheet1 select'!$B$27+'Sheet1 select'!$B$9))))</f>
        <v>3.1035621749907713E-3</v>
      </c>
      <c r="L86" s="45">
        <f>(F86*$B$28)*(('Sheet1 select'!$B$12+'Sheet1 select'!$B$13)*(0.000000001))*$B$8*1000</f>
        <v>0</v>
      </c>
      <c r="M86" s="45">
        <f t="shared" si="9"/>
        <v>6.481272239439854E-3</v>
      </c>
      <c r="N86" s="46">
        <f>$B$10*'Sheet1 select'!$B$29*0.001</f>
        <v>1.2E-2</v>
      </c>
      <c r="O86" s="44">
        <f>'Sheet1 select'!$B$10*'Sheet1 select'!$B$31*$B$8*1000*0.000000001</f>
        <v>3.0000000000000001E-3</v>
      </c>
      <c r="P86" s="44">
        <f>'Sheet1 select'!$B$35*$B$10*$B$8*1000*0.000000001</f>
        <v>0</v>
      </c>
      <c r="Q86" s="47">
        <f>IF('Sheet1 select'!$B$17=0,0,(0.00000006*0.7+0.00000003*(0.7+F86*1.1*'Sheet1 select'!$B$26))*F86*$B$8*1000)</f>
        <v>0</v>
      </c>
      <c r="R86" s="45">
        <f t="shared" ca="1" si="10"/>
        <v>8.8917817988310693E-2</v>
      </c>
      <c r="S86" s="48">
        <f t="shared" ca="1" si="11"/>
        <v>0.92725077992999871</v>
      </c>
      <c r="T86" s="49">
        <f ca="1">H86+K86+O86+N86+'Sheet1 select'!$B$40*I86+J86+P86</f>
        <v>1.9272101304426408E-2</v>
      </c>
      <c r="U86" s="169">
        <f t="shared" ca="1" si="12"/>
        <v>7.272101304426409E-3</v>
      </c>
      <c r="V86" s="47">
        <f t="shared" ca="1" si="13"/>
        <v>0</v>
      </c>
    </row>
    <row r="87" spans="5:22">
      <c r="E87" s="32">
        <v>86</v>
      </c>
      <c r="F87" s="45">
        <f t="shared" si="7"/>
        <v>0.22933333333333333</v>
      </c>
      <c r="G87" s="45">
        <f t="shared" si="8"/>
        <v>1.0518755555555556E-2</v>
      </c>
      <c r="H87" s="45">
        <f ca="1">F87*F87*('Sheet1 select'!$B$25)*$B$3</f>
        <v>1.1961959032949449E-3</v>
      </c>
      <c r="I87" s="45">
        <f>F87*(1-$B$3)*'Sheet1 select'!$B$41</f>
        <v>5.3511111111111113E-2</v>
      </c>
      <c r="J87" s="45">
        <f ca="1">F87*F87*('Sheet1 select'!$B$26)*(1-$B$3)</f>
        <v>0</v>
      </c>
      <c r="K87" s="45">
        <f>0.0000005*$B$10*F87*$B$8*((('Sheet1 select'!$B$33+0.5*'Sheet1 select'!$B$32)/(('Sheet1 select'!$B$10-'Sheet1 select'!$B$23)/('Sheet1 select'!$B$27+'Sheet1 select'!$B$8)))+(('Sheet1 select'!$B$33+0.5*'Sheet1 select'!$B$32)/(('Sheet1 select'!$B$23)/('Sheet1 select'!$B$27+'Sheet1 select'!$B$9))))</f>
        <v>3.1400746711671337E-3</v>
      </c>
      <c r="L87" s="45">
        <f>(F87*$B$28)*(('Sheet1 select'!$B$12+'Sheet1 select'!$B$13)*(0.000000001))*$B$8*1000</f>
        <v>0</v>
      </c>
      <c r="M87" s="45">
        <f t="shared" si="9"/>
        <v>6.481272239439854E-3</v>
      </c>
      <c r="N87" s="46">
        <f>$B$10*'Sheet1 select'!$B$29*0.001</f>
        <v>1.2E-2</v>
      </c>
      <c r="O87" s="44">
        <f>'Sheet1 select'!$B$10*'Sheet1 select'!$B$31*$B$8*1000*0.000000001</f>
        <v>3.0000000000000001E-3</v>
      </c>
      <c r="P87" s="44">
        <f>'Sheet1 select'!$B$35*$B$10*$B$8*1000*0.000000001</f>
        <v>0</v>
      </c>
      <c r="Q87" s="47">
        <f>IF('Sheet1 select'!$B$17=0,0,(0.00000006*0.7+0.00000003*(0.7+F87*1.1*'Sheet1 select'!$B$26))*F87*$B$8*1000)</f>
        <v>0</v>
      </c>
      <c r="R87" s="45">
        <f t="shared" ca="1" si="10"/>
        <v>8.9847409480568588E-2</v>
      </c>
      <c r="S87" s="48">
        <f t="shared" ca="1" si="11"/>
        <v>0.92733814259477121</v>
      </c>
      <c r="T87" s="49">
        <f ca="1">H87+K87+O87+N87+'Sheet1 select'!$B$40*I87+J87+P87</f>
        <v>1.9336270574462078E-2</v>
      </c>
      <c r="U87" s="169">
        <f t="shared" ca="1" si="12"/>
        <v>7.3362705744620784E-3</v>
      </c>
      <c r="V87" s="47">
        <f t="shared" ca="1" si="13"/>
        <v>0</v>
      </c>
    </row>
    <row r="88" spans="5:22">
      <c r="E88" s="32">
        <v>87</v>
      </c>
      <c r="F88" s="45">
        <f t="shared" si="7"/>
        <v>0.23200000000000004</v>
      </c>
      <c r="G88" s="45">
        <f t="shared" si="8"/>
        <v>1.0764800000000003E-2</v>
      </c>
      <c r="H88" s="45">
        <f ca="1">F88*F88*('Sheet1 select'!$B$25)*$B$3</f>
        <v>1.2241761481935425E-3</v>
      </c>
      <c r="I88" s="45">
        <f>F88*(1-$B$3)*'Sheet1 select'!$B$41</f>
        <v>5.4133333333333339E-2</v>
      </c>
      <c r="J88" s="45">
        <f ca="1">F88*F88*('Sheet1 select'!$B$26)*(1-$B$3)</f>
        <v>0</v>
      </c>
      <c r="K88" s="45">
        <f>0.0000005*$B$10*F88*$B$8*((('Sheet1 select'!$B$33+0.5*'Sheet1 select'!$B$32)/(('Sheet1 select'!$B$10-'Sheet1 select'!$B$23)/('Sheet1 select'!$B$27+'Sheet1 select'!$B$8)))+(('Sheet1 select'!$B$33+0.5*'Sheet1 select'!$B$32)/(('Sheet1 select'!$B$23)/('Sheet1 select'!$B$27+'Sheet1 select'!$B$9))))</f>
        <v>3.1765871673434956E-3</v>
      </c>
      <c r="L88" s="45">
        <f>(F88*$B$28)*(('Sheet1 select'!$B$12+'Sheet1 select'!$B$13)*(0.000000001))*$B$8*1000</f>
        <v>0</v>
      </c>
      <c r="M88" s="45">
        <f t="shared" si="9"/>
        <v>6.481272239439854E-3</v>
      </c>
      <c r="N88" s="46">
        <f>$B$10*'Sheet1 select'!$B$29*0.001</f>
        <v>1.2E-2</v>
      </c>
      <c r="O88" s="44">
        <f>'Sheet1 select'!$B$10*'Sheet1 select'!$B$31*$B$8*1000*0.000000001</f>
        <v>3.0000000000000001E-3</v>
      </c>
      <c r="P88" s="44">
        <f>'Sheet1 select'!$B$35*$B$10*$B$8*1000*0.000000001</f>
        <v>0</v>
      </c>
      <c r="Q88" s="47">
        <f>IF('Sheet1 select'!$B$17=0,0,(0.00000006*0.7+0.00000003*(0.7+F88*1.1*'Sheet1 select'!$B$26))*F88*$B$8*1000)</f>
        <v>0</v>
      </c>
      <c r="R88" s="45">
        <f t="shared" ca="1" si="10"/>
        <v>9.0780168888310239E-2</v>
      </c>
      <c r="S88" s="48">
        <f t="shared" ca="1" si="11"/>
        <v>0.92742116388925844</v>
      </c>
      <c r="T88" s="49">
        <f ca="1">H88+K88+O88+N88+'Sheet1 select'!$B$40*I88+J88+P88</f>
        <v>1.9400763315537039E-2</v>
      </c>
      <c r="U88" s="169">
        <f t="shared" ca="1" si="12"/>
        <v>7.4007633155370378E-3</v>
      </c>
      <c r="V88" s="47">
        <f t="shared" ca="1" si="13"/>
        <v>0</v>
      </c>
    </row>
    <row r="89" spans="5:22">
      <c r="E89" s="32">
        <v>88</v>
      </c>
      <c r="F89" s="45">
        <f t="shared" si="7"/>
        <v>0.23466666666666669</v>
      </c>
      <c r="G89" s="45">
        <f t="shared" si="8"/>
        <v>1.1013688888888892E-2</v>
      </c>
      <c r="H89" s="45">
        <f ca="1">F89*F89*('Sheet1 select'!$B$25)*$B$3</f>
        <v>1.2524798641314297E-3</v>
      </c>
      <c r="I89" s="45">
        <f>F89*(1-$B$3)*'Sheet1 select'!$B$41</f>
        <v>5.4755555555555557E-2</v>
      </c>
      <c r="J89" s="45">
        <f ca="1">F89*F89*('Sheet1 select'!$B$26)*(1-$B$3)</f>
        <v>0</v>
      </c>
      <c r="K89" s="45">
        <f>0.0000005*$B$10*F89*$B$8*((('Sheet1 select'!$B$33+0.5*'Sheet1 select'!$B$32)/(('Sheet1 select'!$B$10-'Sheet1 select'!$B$23)/('Sheet1 select'!$B$27+'Sheet1 select'!$B$8)))+(('Sheet1 select'!$B$33+0.5*'Sheet1 select'!$B$32)/(('Sheet1 select'!$B$23)/('Sheet1 select'!$B$27+'Sheet1 select'!$B$9))))</f>
        <v>3.2130996635198576E-3</v>
      </c>
      <c r="L89" s="45">
        <f>(F89*$B$28)*(('Sheet1 select'!$B$12+'Sheet1 select'!$B$13)*(0.000000001))*$B$8*1000</f>
        <v>0</v>
      </c>
      <c r="M89" s="45">
        <f t="shared" si="9"/>
        <v>6.481272239439854E-3</v>
      </c>
      <c r="N89" s="46">
        <f>$B$10*'Sheet1 select'!$B$29*0.001</f>
        <v>1.2E-2</v>
      </c>
      <c r="O89" s="44">
        <f>'Sheet1 select'!$B$10*'Sheet1 select'!$B$31*$B$8*1000*0.000000001</f>
        <v>3.0000000000000001E-3</v>
      </c>
      <c r="P89" s="44">
        <f>'Sheet1 select'!$B$35*$B$10*$B$8*1000*0.000000001</f>
        <v>0</v>
      </c>
      <c r="Q89" s="47">
        <f>IF('Sheet1 select'!$B$17=0,0,(0.00000006*0.7+0.00000003*(0.7+F89*1.1*'Sheet1 select'!$B$26))*F89*$B$8*1000)</f>
        <v>0</v>
      </c>
      <c r="R89" s="45">
        <f t="shared" ca="1" si="10"/>
        <v>9.1716096211535592E-2</v>
      </c>
      <c r="S89" s="48">
        <f t="shared" ca="1" si="11"/>
        <v>0.92749999006399886</v>
      </c>
      <c r="T89" s="49">
        <f ca="1">H89+K89+O89+N89+'Sheet1 select'!$B$40*I89+J89+P89</f>
        <v>1.9465579527651287E-2</v>
      </c>
      <c r="U89" s="169">
        <f t="shared" ca="1" si="12"/>
        <v>7.4655795276512872E-3</v>
      </c>
      <c r="V89" s="47">
        <f t="shared" ca="1" si="13"/>
        <v>0</v>
      </c>
    </row>
    <row r="90" spans="5:22">
      <c r="E90" s="32">
        <v>89</v>
      </c>
      <c r="F90" s="45">
        <f t="shared" si="7"/>
        <v>0.23733333333333334</v>
      </c>
      <c r="G90" s="45">
        <f t="shared" si="8"/>
        <v>1.1265422222222222E-2</v>
      </c>
      <c r="H90" s="45">
        <f ca="1">F90*F90*('Sheet1 select'!$B$25)*$B$3</f>
        <v>1.281107051108607E-3</v>
      </c>
      <c r="I90" s="45">
        <f>F90*(1-$B$3)*'Sheet1 select'!$B$41</f>
        <v>5.5377777777777776E-2</v>
      </c>
      <c r="J90" s="45">
        <f ca="1">F90*F90*('Sheet1 select'!$B$26)*(1-$B$3)</f>
        <v>0</v>
      </c>
      <c r="K90" s="45">
        <f>0.0000005*$B$10*F90*$B$8*((('Sheet1 select'!$B$33+0.5*'Sheet1 select'!$B$32)/(('Sheet1 select'!$B$10-'Sheet1 select'!$B$23)/('Sheet1 select'!$B$27+'Sheet1 select'!$B$8)))+(('Sheet1 select'!$B$33+0.5*'Sheet1 select'!$B$32)/(('Sheet1 select'!$B$23)/('Sheet1 select'!$B$27+'Sheet1 select'!$B$9))))</f>
        <v>3.2496121596962192E-3</v>
      </c>
      <c r="L90" s="45">
        <f>(F90*$B$28)*(('Sheet1 select'!$B$12+'Sheet1 select'!$B$13)*(0.000000001))*$B$8*1000</f>
        <v>0</v>
      </c>
      <c r="M90" s="45">
        <f t="shared" si="9"/>
        <v>6.481272239439854E-3</v>
      </c>
      <c r="N90" s="46">
        <f>$B$10*'Sheet1 select'!$B$29*0.001</f>
        <v>1.2E-2</v>
      </c>
      <c r="O90" s="44">
        <f>'Sheet1 select'!$B$10*'Sheet1 select'!$B$31*$B$8*1000*0.000000001</f>
        <v>3.0000000000000001E-3</v>
      </c>
      <c r="P90" s="44">
        <f>'Sheet1 select'!$B$35*$B$10*$B$8*1000*0.000000001</f>
        <v>0</v>
      </c>
      <c r="Q90" s="47">
        <f>IF('Sheet1 select'!$B$17=0,0,(0.00000006*0.7+0.00000003*(0.7+F90*1.1*'Sheet1 select'!$B$26))*F90*$B$8*1000)</f>
        <v>0</v>
      </c>
      <c r="R90" s="45">
        <f t="shared" ca="1" si="10"/>
        <v>9.2655191450244673E-2</v>
      </c>
      <c r="S90" s="48">
        <f t="shared" ca="1" si="11"/>
        <v>0.92757476090760471</v>
      </c>
      <c r="T90" s="49">
        <f ca="1">H90+K90+O90+N90+'Sheet1 select'!$B$40*I90+J90+P90</f>
        <v>1.9530719210804827E-2</v>
      </c>
      <c r="U90" s="169">
        <f t="shared" ca="1" si="12"/>
        <v>7.5307192108048258E-3</v>
      </c>
      <c r="V90" s="47">
        <f t="shared" ca="1" si="13"/>
        <v>0</v>
      </c>
    </row>
    <row r="91" spans="5:22">
      <c r="E91" s="32">
        <v>90</v>
      </c>
      <c r="F91" s="45">
        <f t="shared" si="7"/>
        <v>0.24</v>
      </c>
      <c r="G91" s="45">
        <f t="shared" si="8"/>
        <v>1.1519999999999999E-2</v>
      </c>
      <c r="H91" s="45">
        <f ca="1">F91*F91*('Sheet1 select'!$B$25)*$B$3</f>
        <v>1.3100577091250747E-3</v>
      </c>
      <c r="I91" s="45">
        <f>F91*(1-$B$3)*'Sheet1 select'!$B$41</f>
        <v>5.5999999999999994E-2</v>
      </c>
      <c r="J91" s="45">
        <f ca="1">F91*F91*('Sheet1 select'!$B$26)*(1-$B$3)</f>
        <v>0</v>
      </c>
      <c r="K91" s="45">
        <f>0.0000005*$B$10*F91*$B$8*((('Sheet1 select'!$B$33+0.5*'Sheet1 select'!$B$32)/(('Sheet1 select'!$B$10-'Sheet1 select'!$B$23)/('Sheet1 select'!$B$27+'Sheet1 select'!$B$8)))+(('Sheet1 select'!$B$33+0.5*'Sheet1 select'!$B$32)/(('Sheet1 select'!$B$23)/('Sheet1 select'!$B$27+'Sheet1 select'!$B$9))))</f>
        <v>3.2861246558725816E-3</v>
      </c>
      <c r="L91" s="45">
        <f>(F91*$B$28)*(('Sheet1 select'!$B$12+'Sheet1 select'!$B$13)*(0.000000001))*$B$8*1000</f>
        <v>0</v>
      </c>
      <c r="M91" s="45">
        <f t="shared" si="9"/>
        <v>6.481272239439854E-3</v>
      </c>
      <c r="N91" s="46">
        <f>$B$10*'Sheet1 select'!$B$29*0.001</f>
        <v>1.2E-2</v>
      </c>
      <c r="O91" s="44">
        <f>'Sheet1 select'!$B$10*'Sheet1 select'!$B$31*$B$8*1000*0.000000001</f>
        <v>3.0000000000000001E-3</v>
      </c>
      <c r="P91" s="44">
        <f>'Sheet1 select'!$B$35*$B$10*$B$8*1000*0.000000001</f>
        <v>0</v>
      </c>
      <c r="Q91" s="47">
        <f>IF('Sheet1 select'!$B$17=0,0,(0.00000006*0.7+0.00000003*(0.7+F91*1.1*'Sheet1 select'!$B$26))*F91*$B$8*1000)</f>
        <v>0</v>
      </c>
      <c r="R91" s="45">
        <f t="shared" ca="1" si="10"/>
        <v>9.3597454604437497E-2</v>
      </c>
      <c r="S91" s="48">
        <f t="shared" ca="1" si="11"/>
        <v>0.92764561009973678</v>
      </c>
      <c r="T91" s="49">
        <f ca="1">H91+K91+O91+N91+'Sheet1 select'!$B$40*I91+J91+P91</f>
        <v>1.9596182364997657E-2</v>
      </c>
      <c r="U91" s="169">
        <f t="shared" ca="1" si="12"/>
        <v>7.5961823649976562E-3</v>
      </c>
      <c r="V91" s="47">
        <f t="shared" ca="1" si="13"/>
        <v>0</v>
      </c>
    </row>
    <row r="92" spans="5:22">
      <c r="E92" s="32">
        <v>91</v>
      </c>
      <c r="F92" s="45">
        <f t="shared" si="7"/>
        <v>0.24266666666666667</v>
      </c>
      <c r="G92" s="45">
        <f t="shared" si="8"/>
        <v>1.1777422222222222E-2</v>
      </c>
      <c r="H92" s="45">
        <f ca="1">F92*F92*('Sheet1 select'!$B$25)*$B$3</f>
        <v>1.3393318381808327E-3</v>
      </c>
      <c r="I92" s="45">
        <f>F92*(1-$B$3)*'Sheet1 select'!$B$41</f>
        <v>5.662222222222222E-2</v>
      </c>
      <c r="J92" s="45">
        <f ca="1">F92*F92*('Sheet1 select'!$B$26)*(1-$B$3)</f>
        <v>0</v>
      </c>
      <c r="K92" s="45">
        <f>0.0000005*$B$10*F92*$B$8*((('Sheet1 select'!$B$33+0.5*'Sheet1 select'!$B$32)/(('Sheet1 select'!$B$10-'Sheet1 select'!$B$23)/('Sheet1 select'!$B$27+'Sheet1 select'!$B$8)))+(('Sheet1 select'!$B$33+0.5*'Sheet1 select'!$B$32)/(('Sheet1 select'!$B$23)/('Sheet1 select'!$B$27+'Sheet1 select'!$B$9))))</f>
        <v>3.3226371520489436E-3</v>
      </c>
      <c r="L92" s="45">
        <f>(F92*$B$28)*(('Sheet1 select'!$B$12+'Sheet1 select'!$B$13)*(0.000000001))*$B$8*1000</f>
        <v>0</v>
      </c>
      <c r="M92" s="45">
        <f t="shared" si="9"/>
        <v>6.481272239439854E-3</v>
      </c>
      <c r="N92" s="46">
        <f>$B$10*'Sheet1 select'!$B$29*0.001</f>
        <v>1.2E-2</v>
      </c>
      <c r="O92" s="44">
        <f>'Sheet1 select'!$B$10*'Sheet1 select'!$B$31*$B$8*1000*0.000000001</f>
        <v>3.0000000000000001E-3</v>
      </c>
      <c r="P92" s="44">
        <f>'Sheet1 select'!$B$35*$B$10*$B$8*1000*0.000000001</f>
        <v>0</v>
      </c>
      <c r="Q92" s="47">
        <f>IF('Sheet1 select'!$B$17=0,0,(0.00000006*0.7+0.00000003*(0.7+F92*1.1*'Sheet1 select'!$B$26))*F92*$B$8*1000)</f>
        <v>0</v>
      </c>
      <c r="R92" s="45">
        <f t="shared" ca="1" si="10"/>
        <v>9.4542885674114077E-2</v>
      </c>
      <c r="S92" s="48">
        <f t="shared" ca="1" si="11"/>
        <v>0.92771266554119081</v>
      </c>
      <c r="T92" s="49">
        <f ca="1">H92+K92+O92+N92+'Sheet1 select'!$B$40*I92+J92+P92</f>
        <v>1.9661968990229775E-2</v>
      </c>
      <c r="U92" s="169">
        <f t="shared" ca="1" si="12"/>
        <v>7.6619689902297766E-3</v>
      </c>
      <c r="V92" s="47">
        <f t="shared" ca="1" si="13"/>
        <v>0</v>
      </c>
    </row>
    <row r="93" spans="5:22">
      <c r="E93" s="32">
        <v>92</v>
      </c>
      <c r="F93" s="45">
        <f t="shared" si="7"/>
        <v>0.24533333333333338</v>
      </c>
      <c r="G93" s="45">
        <f t="shared" si="8"/>
        <v>1.2037688888888894E-2</v>
      </c>
      <c r="H93" s="45">
        <f ca="1">F93*F93*('Sheet1 select'!$B$25)*$B$3</f>
        <v>1.3689294382758811E-3</v>
      </c>
      <c r="I93" s="45">
        <f>F93*(1-$B$3)*'Sheet1 select'!$B$41</f>
        <v>5.7244444444444445E-2</v>
      </c>
      <c r="J93" s="45">
        <f ca="1">F93*F93*('Sheet1 select'!$B$26)*(1-$B$3)</f>
        <v>0</v>
      </c>
      <c r="K93" s="45">
        <f>0.0000005*$B$10*F93*$B$8*((('Sheet1 select'!$B$33+0.5*'Sheet1 select'!$B$32)/(('Sheet1 select'!$B$10-'Sheet1 select'!$B$23)/('Sheet1 select'!$B$27+'Sheet1 select'!$B$8)))+(('Sheet1 select'!$B$33+0.5*'Sheet1 select'!$B$32)/(('Sheet1 select'!$B$23)/('Sheet1 select'!$B$27+'Sheet1 select'!$B$9))))</f>
        <v>3.359149648225306E-3</v>
      </c>
      <c r="L93" s="45">
        <f>(F93*$B$28)*(('Sheet1 select'!$B$12+'Sheet1 select'!$B$13)*(0.000000001))*$B$8*1000</f>
        <v>0</v>
      </c>
      <c r="M93" s="45">
        <f t="shared" si="9"/>
        <v>6.481272239439854E-3</v>
      </c>
      <c r="N93" s="46">
        <f>$B$10*'Sheet1 select'!$B$29*0.001</f>
        <v>1.2E-2</v>
      </c>
      <c r="O93" s="44">
        <f>'Sheet1 select'!$B$10*'Sheet1 select'!$B$31*$B$8*1000*0.000000001</f>
        <v>3.0000000000000001E-3</v>
      </c>
      <c r="P93" s="44">
        <f>'Sheet1 select'!$B$35*$B$10*$B$8*1000*0.000000001</f>
        <v>0</v>
      </c>
      <c r="Q93" s="47">
        <f>IF('Sheet1 select'!$B$17=0,0,(0.00000006*0.7+0.00000003*(0.7+F93*1.1*'Sheet1 select'!$B$26))*F93*$B$8*1000)</f>
        <v>0</v>
      </c>
      <c r="R93" s="45">
        <f t="shared" ca="1" si="10"/>
        <v>9.5491484659274387E-2</v>
      </c>
      <c r="S93" s="48">
        <f t="shared" ca="1" si="11"/>
        <v>0.92777604966281091</v>
      </c>
      <c r="T93" s="49">
        <f ca="1">H93+K93+O93+N93+'Sheet1 select'!$B$40*I93+J93+P93</f>
        <v>1.9728079086501187E-2</v>
      </c>
      <c r="U93" s="169">
        <f t="shared" ca="1" si="12"/>
        <v>7.728079086501187E-3</v>
      </c>
      <c r="V93" s="47">
        <f t="shared" ca="1" si="13"/>
        <v>0</v>
      </c>
    </row>
    <row r="94" spans="5:22">
      <c r="E94" s="32">
        <v>93</v>
      </c>
      <c r="F94" s="45">
        <f t="shared" si="7"/>
        <v>0.24800000000000003</v>
      </c>
      <c r="G94" s="45">
        <f t="shared" si="8"/>
        <v>1.2300800000000002E-2</v>
      </c>
      <c r="H94" s="45">
        <f ca="1">F94*F94*('Sheet1 select'!$B$25)*$B$3</f>
        <v>1.398850509410219E-3</v>
      </c>
      <c r="I94" s="45">
        <f>F94*(1-$B$3)*'Sheet1 select'!$B$41</f>
        <v>5.786666666666667E-2</v>
      </c>
      <c r="J94" s="45">
        <f ca="1">F94*F94*('Sheet1 select'!$B$26)*(1-$B$3)</f>
        <v>0</v>
      </c>
      <c r="K94" s="45">
        <f>0.0000005*$B$10*F94*$B$8*((('Sheet1 select'!$B$33+0.5*'Sheet1 select'!$B$32)/(('Sheet1 select'!$B$10-'Sheet1 select'!$B$23)/('Sheet1 select'!$B$27+'Sheet1 select'!$B$8)))+(('Sheet1 select'!$B$33+0.5*'Sheet1 select'!$B$32)/(('Sheet1 select'!$B$23)/('Sheet1 select'!$B$27+'Sheet1 select'!$B$9))))</f>
        <v>3.3956621444016675E-3</v>
      </c>
      <c r="L94" s="45">
        <f>(F94*$B$28)*(('Sheet1 select'!$B$12+'Sheet1 select'!$B$13)*(0.000000001))*$B$8*1000</f>
        <v>0</v>
      </c>
      <c r="M94" s="45">
        <f t="shared" si="9"/>
        <v>6.481272239439854E-3</v>
      </c>
      <c r="N94" s="46">
        <f>$B$10*'Sheet1 select'!$B$29*0.001</f>
        <v>1.2E-2</v>
      </c>
      <c r="O94" s="44">
        <f>'Sheet1 select'!$B$10*'Sheet1 select'!$B$31*$B$8*1000*0.000000001</f>
        <v>3.0000000000000001E-3</v>
      </c>
      <c r="P94" s="44">
        <f>'Sheet1 select'!$B$35*$B$10*$B$8*1000*0.000000001</f>
        <v>0</v>
      </c>
      <c r="Q94" s="47">
        <f>IF('Sheet1 select'!$B$17=0,0,(0.00000006*0.7+0.00000003*(0.7+F94*1.1*'Sheet1 select'!$B$26))*F94*$B$8*1000)</f>
        <v>0</v>
      </c>
      <c r="R94" s="45">
        <f t="shared" ca="1" si="10"/>
        <v>9.6443251559918411E-2</v>
      </c>
      <c r="S94" s="48">
        <f t="shared" ca="1" si="11"/>
        <v>0.92783587971479642</v>
      </c>
      <c r="T94" s="49">
        <f ca="1">H94+K94+O94+N94+'Sheet1 select'!$B$40*I94+J94+P94</f>
        <v>1.9794512653811887E-2</v>
      </c>
      <c r="U94" s="169">
        <f t="shared" ca="1" si="12"/>
        <v>7.7945126538118865E-3</v>
      </c>
      <c r="V94" s="47">
        <f t="shared" ca="1" si="13"/>
        <v>0</v>
      </c>
    </row>
    <row r="95" spans="5:22">
      <c r="E95" s="32">
        <v>94</v>
      </c>
      <c r="F95" s="45">
        <f t="shared" si="7"/>
        <v>0.25066666666666665</v>
      </c>
      <c r="G95" s="45">
        <f t="shared" si="8"/>
        <v>1.2566755555555552E-2</v>
      </c>
      <c r="H95" s="45">
        <f ca="1">F95*F95*('Sheet1 select'!$B$25)*$B$3</f>
        <v>1.4290950515838468E-3</v>
      </c>
      <c r="I95" s="45">
        <f>F95*(1-$B$3)*'Sheet1 select'!$B$41</f>
        <v>5.8488888888888882E-2</v>
      </c>
      <c r="J95" s="45">
        <f ca="1">F95*F95*('Sheet1 select'!$B$26)*(1-$B$3)</f>
        <v>0</v>
      </c>
      <c r="K95" s="45">
        <f>0.0000005*$B$10*F95*$B$8*((('Sheet1 select'!$B$33+0.5*'Sheet1 select'!$B$32)/(('Sheet1 select'!$B$10-'Sheet1 select'!$B$23)/('Sheet1 select'!$B$27+'Sheet1 select'!$B$8)))+(('Sheet1 select'!$B$33+0.5*'Sheet1 select'!$B$32)/(('Sheet1 select'!$B$23)/('Sheet1 select'!$B$27+'Sheet1 select'!$B$9))))</f>
        <v>3.4321746405780295E-3</v>
      </c>
      <c r="L95" s="45">
        <f>(F95*$B$28)*(('Sheet1 select'!$B$12+'Sheet1 select'!$B$13)*(0.000000001))*$B$8*1000</f>
        <v>0</v>
      </c>
      <c r="M95" s="45">
        <f t="shared" si="9"/>
        <v>6.481272239439854E-3</v>
      </c>
      <c r="N95" s="46">
        <f>$B$10*'Sheet1 select'!$B$29*0.001</f>
        <v>1.2E-2</v>
      </c>
      <c r="O95" s="44">
        <f>'Sheet1 select'!$B$10*'Sheet1 select'!$B$31*$B$8*1000*0.000000001</f>
        <v>3.0000000000000001E-3</v>
      </c>
      <c r="P95" s="44">
        <f>'Sheet1 select'!$B$35*$B$10*$B$8*1000*0.000000001</f>
        <v>0</v>
      </c>
      <c r="Q95" s="47">
        <f>IF('Sheet1 select'!$B$17=0,0,(0.00000006*0.7+0.00000003*(0.7+F95*1.1*'Sheet1 select'!$B$26))*F95*$B$8*1000)</f>
        <v>0</v>
      </c>
      <c r="R95" s="45">
        <f t="shared" ca="1" si="10"/>
        <v>9.7398186376046164E-2</v>
      </c>
      <c r="S95" s="48">
        <f t="shared" ca="1" si="11"/>
        <v>0.92789226803783909</v>
      </c>
      <c r="T95" s="49">
        <f ca="1">H95+K95+O95+N95+'Sheet1 select'!$B$40*I95+J95+P95</f>
        <v>1.9861269692161877E-2</v>
      </c>
      <c r="U95" s="169">
        <f t="shared" ca="1" si="12"/>
        <v>7.861269692161877E-3</v>
      </c>
      <c r="V95" s="47">
        <f t="shared" ca="1" si="13"/>
        <v>0</v>
      </c>
    </row>
    <row r="96" spans="5:22">
      <c r="E96" s="32">
        <v>95</v>
      </c>
      <c r="F96" s="45">
        <f t="shared" si="7"/>
        <v>0.25333333333333335</v>
      </c>
      <c r="G96" s="45">
        <f t="shared" si="8"/>
        <v>1.2835555555555558E-2</v>
      </c>
      <c r="H96" s="45">
        <f ca="1">F96*F96*('Sheet1 select'!$B$25)*$B$3</f>
        <v>1.4596630647967658E-3</v>
      </c>
      <c r="I96" s="45">
        <f>F96*(1-$B$3)*'Sheet1 select'!$B$41</f>
        <v>5.9111111111111107E-2</v>
      </c>
      <c r="J96" s="45">
        <f ca="1">F96*F96*('Sheet1 select'!$B$26)*(1-$B$3)</f>
        <v>0</v>
      </c>
      <c r="K96" s="45">
        <f>0.0000005*$B$10*F96*$B$8*((('Sheet1 select'!$B$33+0.5*'Sheet1 select'!$B$32)/(('Sheet1 select'!$B$10-'Sheet1 select'!$B$23)/('Sheet1 select'!$B$27+'Sheet1 select'!$B$8)))+(('Sheet1 select'!$B$33+0.5*'Sheet1 select'!$B$32)/(('Sheet1 select'!$B$23)/('Sheet1 select'!$B$27+'Sheet1 select'!$B$9))))</f>
        <v>3.4686871367543923E-3</v>
      </c>
      <c r="L96" s="45">
        <f>(F96*$B$28)*(('Sheet1 select'!$B$12+'Sheet1 select'!$B$13)*(0.000000001))*$B$8*1000</f>
        <v>0</v>
      </c>
      <c r="M96" s="45">
        <f t="shared" si="9"/>
        <v>6.481272239439854E-3</v>
      </c>
      <c r="N96" s="46">
        <f>$B$10*'Sheet1 select'!$B$29*0.001</f>
        <v>1.2E-2</v>
      </c>
      <c r="O96" s="44">
        <f>'Sheet1 select'!$B$10*'Sheet1 select'!$B$31*$B$8*1000*0.000000001</f>
        <v>3.0000000000000001E-3</v>
      </c>
      <c r="P96" s="44">
        <f>'Sheet1 select'!$B$35*$B$10*$B$8*1000*0.000000001</f>
        <v>0</v>
      </c>
      <c r="Q96" s="47">
        <f>IF('Sheet1 select'!$B$17=0,0,(0.00000006*0.7+0.00000003*(0.7+F96*1.1*'Sheet1 select'!$B$26))*F96*$B$8*1000)</f>
        <v>0</v>
      </c>
      <c r="R96" s="45">
        <f t="shared" ca="1" si="10"/>
        <v>9.8356289107657688E-2</v>
      </c>
      <c r="S96" s="48">
        <f t="shared" ca="1" si="11"/>
        <v>0.92794532231740823</v>
      </c>
      <c r="T96" s="49">
        <f ca="1">H96+K96+O96+N96+'Sheet1 select'!$B$40*I96+J96+P96</f>
        <v>1.9928350201551159E-2</v>
      </c>
      <c r="U96" s="169">
        <f t="shared" ca="1" si="12"/>
        <v>7.9283502015511584E-3</v>
      </c>
      <c r="V96" s="47">
        <f t="shared" ca="1" si="13"/>
        <v>0</v>
      </c>
    </row>
    <row r="97" spans="5:22">
      <c r="E97" s="32">
        <v>96</v>
      </c>
      <c r="F97" s="45">
        <f t="shared" si="7"/>
        <v>0.25600000000000006</v>
      </c>
      <c r="G97" s="45">
        <f t="shared" si="8"/>
        <v>1.3107200000000005E-2</v>
      </c>
      <c r="H97" s="45">
        <f ca="1">F97*F97*('Sheet1 select'!$B$25)*$B$3</f>
        <v>1.4905545490489745E-3</v>
      </c>
      <c r="I97" s="45">
        <f>F97*(1-$B$3)*'Sheet1 select'!$B$41</f>
        <v>5.973333333333334E-2</v>
      </c>
      <c r="J97" s="45">
        <f ca="1">F97*F97*('Sheet1 select'!$B$26)*(1-$B$3)</f>
        <v>0</v>
      </c>
      <c r="K97" s="45">
        <f>0.0000005*$B$10*F97*$B$8*((('Sheet1 select'!$B$33+0.5*'Sheet1 select'!$B$32)/(('Sheet1 select'!$B$10-'Sheet1 select'!$B$23)/('Sheet1 select'!$B$27+'Sheet1 select'!$B$8)))+(('Sheet1 select'!$B$33+0.5*'Sheet1 select'!$B$32)/(('Sheet1 select'!$B$23)/('Sheet1 select'!$B$27+'Sheet1 select'!$B$9))))</f>
        <v>3.5051996329307543E-3</v>
      </c>
      <c r="L97" s="45">
        <f>(F97*$B$28)*(('Sheet1 select'!$B$12+'Sheet1 select'!$B$13)*(0.000000001))*$B$8*1000</f>
        <v>0</v>
      </c>
      <c r="M97" s="45">
        <f t="shared" si="9"/>
        <v>6.481272239439854E-3</v>
      </c>
      <c r="N97" s="46">
        <f>$B$10*'Sheet1 select'!$B$29*0.001</f>
        <v>1.2E-2</v>
      </c>
      <c r="O97" s="44">
        <f>'Sheet1 select'!$B$10*'Sheet1 select'!$B$31*$B$8*1000*0.000000001</f>
        <v>3.0000000000000001E-3</v>
      </c>
      <c r="P97" s="44">
        <f>'Sheet1 select'!$B$35*$B$10*$B$8*1000*0.000000001</f>
        <v>0</v>
      </c>
      <c r="Q97" s="47">
        <f>IF('Sheet1 select'!$B$17=0,0,(0.00000006*0.7+0.00000003*(0.7+F97*1.1*'Sheet1 select'!$B$26))*F97*$B$8*1000)</f>
        <v>0</v>
      </c>
      <c r="R97" s="45">
        <f t="shared" ca="1" si="10"/>
        <v>9.9317559754752927E-2</v>
      </c>
      <c r="S97" s="48">
        <f t="shared" ca="1" si="11"/>
        <v>0.92799514582239362</v>
      </c>
      <c r="T97" s="49">
        <f ca="1">H97+K97+O97+N97+'Sheet1 select'!$B$40*I97+J97+P97</f>
        <v>1.9995754181979727E-2</v>
      </c>
      <c r="U97" s="169">
        <f t="shared" ca="1" si="12"/>
        <v>7.9957541819797289E-3</v>
      </c>
      <c r="V97" s="47">
        <f t="shared" ca="1" si="13"/>
        <v>0</v>
      </c>
    </row>
    <row r="98" spans="5:22">
      <c r="E98" s="32">
        <v>97</v>
      </c>
      <c r="F98" s="45">
        <f t="shared" si="7"/>
        <v>0.25866666666666671</v>
      </c>
      <c r="G98" s="45">
        <f t="shared" si="8"/>
        <v>1.3381688888888894E-2</v>
      </c>
      <c r="H98" s="45">
        <f ca="1">F98*F98*('Sheet1 select'!$B$25)*$B$3</f>
        <v>1.5217695043404731E-3</v>
      </c>
      <c r="I98" s="45">
        <f>F98*(1-$B$3)*'Sheet1 select'!$B$41</f>
        <v>6.0355555555555565E-2</v>
      </c>
      <c r="J98" s="45">
        <f ca="1">F98*F98*('Sheet1 select'!$B$26)*(1-$B$3)</f>
        <v>0</v>
      </c>
      <c r="K98" s="45">
        <f>0.0000005*$B$10*F98*$B$8*((('Sheet1 select'!$B$33+0.5*'Sheet1 select'!$B$32)/(('Sheet1 select'!$B$10-'Sheet1 select'!$B$23)/('Sheet1 select'!$B$27+'Sheet1 select'!$B$8)))+(('Sheet1 select'!$B$33+0.5*'Sheet1 select'!$B$32)/(('Sheet1 select'!$B$23)/('Sheet1 select'!$B$27+'Sheet1 select'!$B$9))))</f>
        <v>3.5417121291071163E-3</v>
      </c>
      <c r="L98" s="45">
        <f>(F98*$B$28)*(('Sheet1 select'!$B$12+'Sheet1 select'!$B$13)*(0.000000001))*$B$8*1000</f>
        <v>0</v>
      </c>
      <c r="M98" s="45">
        <f t="shared" si="9"/>
        <v>6.481272239439854E-3</v>
      </c>
      <c r="N98" s="46">
        <f>$B$10*'Sheet1 select'!$B$29*0.001</f>
        <v>1.2E-2</v>
      </c>
      <c r="O98" s="44">
        <f>'Sheet1 select'!$B$10*'Sheet1 select'!$B$31*$B$8*1000*0.000000001</f>
        <v>3.0000000000000001E-3</v>
      </c>
      <c r="P98" s="44">
        <f>'Sheet1 select'!$B$35*$B$10*$B$8*1000*0.000000001</f>
        <v>0</v>
      </c>
      <c r="Q98" s="47">
        <f>IF('Sheet1 select'!$B$17=0,0,(0.00000006*0.7+0.00000003*(0.7+F98*1.1*'Sheet1 select'!$B$26))*F98*$B$8*1000)</f>
        <v>0</v>
      </c>
      <c r="R98" s="45">
        <f t="shared" ca="1" si="10"/>
        <v>0.10028199831733189</v>
      </c>
      <c r="S98" s="48">
        <f t="shared" ca="1" si="11"/>
        <v>0.92804183762921644</v>
      </c>
      <c r="T98" s="49">
        <f ca="1">H98+K98+O98+N98+'Sheet1 select'!$B$40*I98+J98+P98</f>
        <v>2.0063481633447591E-2</v>
      </c>
      <c r="U98" s="169">
        <f t="shared" ca="1" si="12"/>
        <v>8.0634816334475903E-3</v>
      </c>
      <c r="V98" s="47">
        <f t="shared" ca="1" si="13"/>
        <v>0</v>
      </c>
    </row>
    <row r="99" spans="5:22">
      <c r="E99" s="32">
        <v>98</v>
      </c>
      <c r="F99" s="45">
        <f t="shared" si="7"/>
        <v>0.26133333333333336</v>
      </c>
      <c r="G99" s="45">
        <f t="shared" si="8"/>
        <v>1.3659022222222225E-2</v>
      </c>
      <c r="H99" s="45">
        <f ca="1">F99*F99*('Sheet1 select'!$B$25)*$B$3</f>
        <v>1.5533079306712619E-3</v>
      </c>
      <c r="I99" s="45">
        <f>F99*(1-$B$3)*'Sheet1 select'!$B$41</f>
        <v>6.0977777777777777E-2</v>
      </c>
      <c r="J99" s="45">
        <f ca="1">F99*F99*('Sheet1 select'!$B$26)*(1-$B$3)</f>
        <v>0</v>
      </c>
      <c r="K99" s="45">
        <f>0.0000005*$B$10*F99*$B$8*((('Sheet1 select'!$B$33+0.5*'Sheet1 select'!$B$32)/(('Sheet1 select'!$B$10-'Sheet1 select'!$B$23)/('Sheet1 select'!$B$27+'Sheet1 select'!$B$8)))+(('Sheet1 select'!$B$33+0.5*'Sheet1 select'!$B$32)/(('Sheet1 select'!$B$23)/('Sheet1 select'!$B$27+'Sheet1 select'!$B$9))))</f>
        <v>3.5782246252834778E-3</v>
      </c>
      <c r="L99" s="45">
        <f>(F99*$B$28)*(('Sheet1 select'!$B$12+'Sheet1 select'!$B$13)*(0.000000001))*$B$8*1000</f>
        <v>0</v>
      </c>
      <c r="M99" s="45">
        <f t="shared" si="9"/>
        <v>6.481272239439854E-3</v>
      </c>
      <c r="N99" s="46">
        <f>$B$10*'Sheet1 select'!$B$29*0.001</f>
        <v>1.2E-2</v>
      </c>
      <c r="O99" s="44">
        <f>'Sheet1 select'!$B$10*'Sheet1 select'!$B$31*$B$8*1000*0.000000001</f>
        <v>3.0000000000000001E-3</v>
      </c>
      <c r="P99" s="44">
        <f>'Sheet1 select'!$B$35*$B$10*$B$8*1000*0.000000001</f>
        <v>0</v>
      </c>
      <c r="Q99" s="47">
        <f>IF('Sheet1 select'!$B$17=0,0,(0.00000006*0.7+0.00000003*(0.7+F99*1.1*'Sheet1 select'!$B$26))*F99*$B$8*1000)</f>
        <v>0</v>
      </c>
      <c r="R99" s="45">
        <f t="shared" ca="1" si="10"/>
        <v>0.1012496047953946</v>
      </c>
      <c r="S99" s="48">
        <f t="shared" ca="1" si="11"/>
        <v>0.92808549283243158</v>
      </c>
      <c r="T99" s="49">
        <f ca="1">H99+K99+O99+N99+'Sheet1 select'!$B$40*I99+J99+P99</f>
        <v>2.0131532555954741E-2</v>
      </c>
      <c r="U99" s="169">
        <f t="shared" ca="1" si="12"/>
        <v>8.1315325559547409E-3</v>
      </c>
      <c r="V99" s="47">
        <f t="shared" ca="1" si="13"/>
        <v>0</v>
      </c>
    </row>
    <row r="100" spans="5:22">
      <c r="E100" s="32">
        <v>99</v>
      </c>
      <c r="F100" s="45">
        <f t="shared" si="7"/>
        <v>0.26400000000000001</v>
      </c>
      <c r="G100" s="45">
        <f t="shared" si="8"/>
        <v>1.3939200000000002E-2</v>
      </c>
      <c r="H100" s="45">
        <f ca="1">F100*F100*('Sheet1 select'!$B$25)*$B$3</f>
        <v>1.5851698280413408E-3</v>
      </c>
      <c r="I100" s="45">
        <f>F100*(1-$B$3)*'Sheet1 select'!$B$41</f>
        <v>6.1600000000000002E-2</v>
      </c>
      <c r="J100" s="45">
        <f ca="1">F100*F100*('Sheet1 select'!$B$26)*(1-$B$3)</f>
        <v>0</v>
      </c>
      <c r="K100" s="45">
        <f>0.0000005*$B$10*F100*$B$8*((('Sheet1 select'!$B$33+0.5*'Sheet1 select'!$B$32)/(('Sheet1 select'!$B$10-'Sheet1 select'!$B$23)/('Sheet1 select'!$B$27+'Sheet1 select'!$B$8)))+(('Sheet1 select'!$B$33+0.5*'Sheet1 select'!$B$32)/(('Sheet1 select'!$B$23)/('Sheet1 select'!$B$27+'Sheet1 select'!$B$9))))</f>
        <v>3.6147371214598403E-3</v>
      </c>
      <c r="L100" s="45">
        <f>(F100*$B$28)*(('Sheet1 select'!$B$12+'Sheet1 select'!$B$13)*(0.000000001))*$B$8*1000</f>
        <v>0</v>
      </c>
      <c r="M100" s="45">
        <f t="shared" si="9"/>
        <v>6.481272239439854E-3</v>
      </c>
      <c r="N100" s="46">
        <f>$B$10*'Sheet1 select'!$B$29*0.001</f>
        <v>1.2E-2</v>
      </c>
      <c r="O100" s="44">
        <f>'Sheet1 select'!$B$10*'Sheet1 select'!$B$31*$B$8*1000*0.000000001</f>
        <v>3.0000000000000001E-3</v>
      </c>
      <c r="P100" s="44">
        <f>'Sheet1 select'!$B$35*$B$10*$B$8*1000*0.000000001</f>
        <v>0</v>
      </c>
      <c r="Q100" s="47">
        <f>IF('Sheet1 select'!$B$17=0,0,(0.00000006*0.7+0.00000003*(0.7+F100*1.1*'Sheet1 select'!$B$26))*F100*$B$8*1000)</f>
        <v>0</v>
      </c>
      <c r="R100" s="45">
        <f t="shared" ca="1" si="10"/>
        <v>0.10222037918894103</v>
      </c>
      <c r="S100" s="48">
        <f t="shared" ca="1" si="11"/>
        <v>0.92812620274275992</v>
      </c>
      <c r="T100" s="49">
        <f ca="1">H100+K100+O100+N100+'Sheet1 select'!$B$40*I100+J100+P100</f>
        <v>2.0199906949501183E-2</v>
      </c>
      <c r="U100" s="169">
        <f t="shared" ca="1" si="12"/>
        <v>8.1999069495011824E-3</v>
      </c>
      <c r="V100" s="47">
        <f t="shared" ca="1" si="13"/>
        <v>0</v>
      </c>
    </row>
    <row r="101" spans="5:22">
      <c r="E101" s="32">
        <v>100</v>
      </c>
      <c r="F101" s="45">
        <f t="shared" si="7"/>
        <v>0.26666666666666666</v>
      </c>
      <c r="G101" s="45">
        <f t="shared" si="8"/>
        <v>1.4222222222222221E-2</v>
      </c>
      <c r="H101" s="45">
        <f ca="1">F101*F101*('Sheet1 select'!$B$25)*$B$3</f>
        <v>1.6173551964507097E-3</v>
      </c>
      <c r="I101" s="45">
        <f>F101*(1-$B$3)*'Sheet1 select'!$B$41</f>
        <v>6.2222222222222213E-2</v>
      </c>
      <c r="J101" s="45">
        <f ca="1">F101*F101*('Sheet1 select'!$B$26)*(1-$B$3)</f>
        <v>0</v>
      </c>
      <c r="K101" s="45">
        <f>0.0000005*$B$10*F101*$B$8*((('Sheet1 select'!$B$33+0.5*'Sheet1 select'!$B$32)/(('Sheet1 select'!$B$10-'Sheet1 select'!$B$23)/('Sheet1 select'!$B$27+'Sheet1 select'!$B$8)))+(('Sheet1 select'!$B$33+0.5*'Sheet1 select'!$B$32)/(('Sheet1 select'!$B$23)/('Sheet1 select'!$B$27+'Sheet1 select'!$B$9))))</f>
        <v>3.6512496176362014E-3</v>
      </c>
      <c r="L101" s="45">
        <f>(F101*$B$28)*(('Sheet1 select'!$B$12+'Sheet1 select'!$B$13)*(0.000000001))*$B$8*1000</f>
        <v>0</v>
      </c>
      <c r="M101" s="45">
        <f t="shared" si="9"/>
        <v>6.481272239439854E-3</v>
      </c>
      <c r="N101" s="46">
        <f>$B$10*'Sheet1 select'!$B$29*0.001</f>
        <v>1.2E-2</v>
      </c>
      <c r="O101" s="44">
        <f>'Sheet1 select'!$B$10*'Sheet1 select'!$B$31*$B$8*1000*0.000000001</f>
        <v>3.0000000000000001E-3</v>
      </c>
      <c r="P101" s="44">
        <f>'Sheet1 select'!$B$35*$B$10*$B$8*1000*0.000000001</f>
        <v>0</v>
      </c>
      <c r="Q101" s="47">
        <f>IF('Sheet1 select'!$B$17=0,0,(0.00000006*0.7+0.00000003*(0.7+F101*1.1*'Sheet1 select'!$B$26))*F101*$B$8*1000)</f>
        <v>0</v>
      </c>
      <c r="R101" s="45">
        <f t="shared" ca="1" si="10"/>
        <v>0.1031943214979712</v>
      </c>
      <c r="S101" s="48">
        <f t="shared" ca="1" si="11"/>
        <v>0.9281640550734197</v>
      </c>
      <c r="T101" s="49">
        <f ca="1">H101+K101+O101+N101+'Sheet1 select'!$B$40*I101+J101+P101</f>
        <v>2.0268604814086912E-2</v>
      </c>
      <c r="U101" s="169">
        <f t="shared" ca="1" si="12"/>
        <v>8.2686048140869113E-3</v>
      </c>
      <c r="V101" s="47">
        <f t="shared" ca="1" si="13"/>
        <v>0</v>
      </c>
    </row>
    <row r="102" spans="5:22">
      <c r="E102" s="32">
        <v>101</v>
      </c>
      <c r="F102" s="45">
        <f t="shared" si="7"/>
        <v>0.26933333333333337</v>
      </c>
      <c r="G102" s="45">
        <f t="shared" si="8"/>
        <v>1.4508088888888892E-2</v>
      </c>
      <c r="H102" s="45">
        <f ca="1">F102*F102*('Sheet1 select'!$B$25)*$B$3</f>
        <v>1.6498640358993694E-3</v>
      </c>
      <c r="I102" s="45">
        <f>F102*(1-$B$3)*'Sheet1 select'!$B$41</f>
        <v>6.2844444444444453E-2</v>
      </c>
      <c r="J102" s="45">
        <f ca="1">F102*F102*('Sheet1 select'!$B$26)*(1-$B$3)</f>
        <v>0</v>
      </c>
      <c r="K102" s="45">
        <f>0.0000005*$B$10*F102*$B$8*((('Sheet1 select'!$B$33+0.5*'Sheet1 select'!$B$32)/(('Sheet1 select'!$B$10-'Sheet1 select'!$B$23)/('Sheet1 select'!$B$27+'Sheet1 select'!$B$8)))+(('Sheet1 select'!$B$33+0.5*'Sheet1 select'!$B$32)/(('Sheet1 select'!$B$23)/('Sheet1 select'!$B$27+'Sheet1 select'!$B$9))))</f>
        <v>3.6877621138125642E-3</v>
      </c>
      <c r="L102" s="45">
        <f>(F102*$B$28)*(('Sheet1 select'!$B$12+'Sheet1 select'!$B$13)*(0.000000001))*$B$8*1000</f>
        <v>0</v>
      </c>
      <c r="M102" s="45">
        <f t="shared" si="9"/>
        <v>6.481272239439854E-3</v>
      </c>
      <c r="N102" s="46">
        <f>$B$10*'Sheet1 select'!$B$29*0.001</f>
        <v>1.2E-2</v>
      </c>
      <c r="O102" s="44">
        <f>'Sheet1 select'!$B$10*'Sheet1 select'!$B$31*$B$8*1000*0.000000001</f>
        <v>3.0000000000000001E-3</v>
      </c>
      <c r="P102" s="44">
        <f>'Sheet1 select'!$B$35*$B$10*$B$8*1000*0.000000001</f>
        <v>0</v>
      </c>
      <c r="Q102" s="47">
        <f>IF('Sheet1 select'!$B$17=0,0,(0.00000006*0.7+0.00000003*(0.7+F102*1.1*'Sheet1 select'!$B$26))*F102*$B$8*1000)</f>
        <v>0</v>
      </c>
      <c r="R102" s="45">
        <f t="shared" ca="1" si="10"/>
        <v>0.10417143172248514</v>
      </c>
      <c r="S102" s="48">
        <f t="shared" ca="1" si="11"/>
        <v>0.92819913411555333</v>
      </c>
      <c r="T102" s="49">
        <f ca="1">H102+K102+O102+N102+'Sheet1 select'!$B$40*I102+J102+P102</f>
        <v>2.0337626149711935E-2</v>
      </c>
      <c r="U102" s="169">
        <f t="shared" ca="1" si="12"/>
        <v>8.3376261497119346E-3</v>
      </c>
      <c r="V102" s="47">
        <f t="shared" ca="1" si="13"/>
        <v>0</v>
      </c>
    </row>
    <row r="103" spans="5:22">
      <c r="E103" s="32">
        <v>102</v>
      </c>
      <c r="F103" s="45">
        <f t="shared" si="7"/>
        <v>0.27200000000000002</v>
      </c>
      <c r="G103" s="45">
        <f t="shared" si="8"/>
        <v>1.4796800000000001E-2</v>
      </c>
      <c r="H103" s="45">
        <f ca="1">F103*F103*('Sheet1 select'!$B$25)*$B$3</f>
        <v>1.6826963463873184E-3</v>
      </c>
      <c r="I103" s="45">
        <f>F103*(1-$B$3)*'Sheet1 select'!$B$41</f>
        <v>6.3466666666666657E-2</v>
      </c>
      <c r="J103" s="45">
        <f ca="1">F103*F103*('Sheet1 select'!$B$26)*(1-$B$3)</f>
        <v>0</v>
      </c>
      <c r="K103" s="45">
        <f>0.0000005*$B$10*F103*$B$8*((('Sheet1 select'!$B$33+0.5*'Sheet1 select'!$B$32)/(('Sheet1 select'!$B$10-'Sheet1 select'!$B$23)/('Sheet1 select'!$B$27+'Sheet1 select'!$B$8)))+(('Sheet1 select'!$B$33+0.5*'Sheet1 select'!$B$32)/(('Sheet1 select'!$B$23)/('Sheet1 select'!$B$27+'Sheet1 select'!$B$9))))</f>
        <v>3.7242746099889258E-3</v>
      </c>
      <c r="L103" s="45">
        <f>(F103*$B$28)*(('Sheet1 select'!$B$12+'Sheet1 select'!$B$13)*(0.000000001))*$B$8*1000</f>
        <v>0</v>
      </c>
      <c r="M103" s="45">
        <f t="shared" si="9"/>
        <v>6.481272239439854E-3</v>
      </c>
      <c r="N103" s="46">
        <f>$B$10*'Sheet1 select'!$B$29*0.001</f>
        <v>1.2E-2</v>
      </c>
      <c r="O103" s="44">
        <f>'Sheet1 select'!$B$10*'Sheet1 select'!$B$31*$B$8*1000*0.000000001</f>
        <v>3.0000000000000001E-3</v>
      </c>
      <c r="P103" s="44">
        <f>'Sheet1 select'!$B$35*$B$10*$B$8*1000*0.000000001</f>
        <v>0</v>
      </c>
      <c r="Q103" s="47">
        <f>IF('Sheet1 select'!$B$17=0,0,(0.00000006*0.7+0.00000003*(0.7+F103*1.1*'Sheet1 select'!$B$26))*F103*$B$8*1000)</f>
        <v>0</v>
      </c>
      <c r="R103" s="45">
        <f t="shared" ca="1" si="10"/>
        <v>0.10515170986248275</v>
      </c>
      <c r="S103" s="48">
        <f t="shared" ca="1" si="11"/>
        <v>0.92823152090348915</v>
      </c>
      <c r="T103" s="49">
        <f ca="1">H103+K103+O103+N103+'Sheet1 select'!$B$40*I103+J103+P103</f>
        <v>2.0406970956376246E-2</v>
      </c>
      <c r="U103" s="169">
        <f t="shared" ca="1" si="12"/>
        <v>8.4069709563762453E-3</v>
      </c>
      <c r="V103" s="47">
        <f t="shared" ca="1" si="13"/>
        <v>0</v>
      </c>
    </row>
    <row r="104" spans="5:22">
      <c r="E104" s="32">
        <v>103</v>
      </c>
      <c r="F104" s="45">
        <f t="shared" si="7"/>
        <v>0.27466666666666667</v>
      </c>
      <c r="G104" s="45">
        <f t="shared" si="8"/>
        <v>1.5088355555555556E-2</v>
      </c>
      <c r="H104" s="45">
        <f ca="1">F104*F104*('Sheet1 select'!$B$25)*$B$3</f>
        <v>1.715852127914558E-3</v>
      </c>
      <c r="I104" s="45">
        <f>F104*(1-$B$3)*'Sheet1 select'!$B$41</f>
        <v>6.408888888888889E-2</v>
      </c>
      <c r="J104" s="45">
        <f ca="1">F104*F104*('Sheet1 select'!$B$26)*(1-$B$3)</f>
        <v>0</v>
      </c>
      <c r="K104" s="45">
        <f>0.0000005*$B$10*F104*$B$8*((('Sheet1 select'!$B$33+0.5*'Sheet1 select'!$B$32)/(('Sheet1 select'!$B$10-'Sheet1 select'!$B$23)/('Sheet1 select'!$B$27+'Sheet1 select'!$B$8)))+(('Sheet1 select'!$B$33+0.5*'Sheet1 select'!$B$32)/(('Sheet1 select'!$B$23)/('Sheet1 select'!$B$27+'Sheet1 select'!$B$9))))</f>
        <v>3.7607871061652882E-3</v>
      </c>
      <c r="L104" s="45">
        <f>(F104*$B$28)*(('Sheet1 select'!$B$12+'Sheet1 select'!$B$13)*(0.000000001))*$B$8*1000</f>
        <v>0</v>
      </c>
      <c r="M104" s="45">
        <f t="shared" si="9"/>
        <v>6.481272239439854E-3</v>
      </c>
      <c r="N104" s="46">
        <f>$B$10*'Sheet1 select'!$B$29*0.001</f>
        <v>1.2E-2</v>
      </c>
      <c r="O104" s="44">
        <f>'Sheet1 select'!$B$10*'Sheet1 select'!$B$31*$B$8*1000*0.000000001</f>
        <v>3.0000000000000001E-3</v>
      </c>
      <c r="P104" s="44">
        <f>'Sheet1 select'!$B$35*$B$10*$B$8*1000*0.000000001</f>
        <v>0</v>
      </c>
      <c r="Q104" s="47">
        <f>IF('Sheet1 select'!$B$17=0,0,(0.00000006*0.7+0.00000003*(0.7+F104*1.1*'Sheet1 select'!$B$26))*F104*$B$8*1000)</f>
        <v>0</v>
      </c>
      <c r="R104" s="45">
        <f t="shared" ca="1" si="10"/>
        <v>0.10613515591796414</v>
      </c>
      <c r="S104" s="48">
        <f t="shared" ca="1" si="11"/>
        <v>0.92826129337051633</v>
      </c>
      <c r="T104" s="49">
        <f ca="1">H104+K104+O104+N104+'Sheet1 select'!$B$40*I104+J104+P104</f>
        <v>2.0476639234079847E-2</v>
      </c>
      <c r="U104" s="169">
        <f t="shared" ca="1" si="12"/>
        <v>8.4766392340798469E-3</v>
      </c>
      <c r="V104" s="47">
        <f t="shared" ca="1" si="13"/>
        <v>0</v>
      </c>
    </row>
    <row r="105" spans="5:22">
      <c r="E105" s="32">
        <v>104</v>
      </c>
      <c r="F105" s="45">
        <f t="shared" si="7"/>
        <v>0.27733333333333332</v>
      </c>
      <c r="G105" s="45">
        <f t="shared" si="8"/>
        <v>1.5382755555555554E-2</v>
      </c>
      <c r="H105" s="45">
        <f ca="1">F105*F105*('Sheet1 select'!$B$25)*$B$3</f>
        <v>1.7493313804810874E-3</v>
      </c>
      <c r="I105" s="45">
        <f>F105*(1-$B$3)*'Sheet1 select'!$B$41</f>
        <v>6.4711111111111094E-2</v>
      </c>
      <c r="J105" s="45">
        <f ca="1">F105*F105*('Sheet1 select'!$B$26)*(1-$B$3)</f>
        <v>0</v>
      </c>
      <c r="K105" s="45">
        <f>0.0000005*$B$10*F105*$B$8*((('Sheet1 select'!$B$33+0.5*'Sheet1 select'!$B$32)/(('Sheet1 select'!$B$10-'Sheet1 select'!$B$23)/('Sheet1 select'!$B$27+'Sheet1 select'!$B$8)))+(('Sheet1 select'!$B$33+0.5*'Sheet1 select'!$B$32)/(('Sheet1 select'!$B$23)/('Sheet1 select'!$B$27+'Sheet1 select'!$B$9))))</f>
        <v>3.7972996023416489E-3</v>
      </c>
      <c r="L105" s="45">
        <f>(F105*$B$28)*(('Sheet1 select'!$B$12+'Sheet1 select'!$B$13)*(0.000000001))*$B$8*1000</f>
        <v>0</v>
      </c>
      <c r="M105" s="45">
        <f t="shared" si="9"/>
        <v>6.481272239439854E-3</v>
      </c>
      <c r="N105" s="46">
        <f>$B$10*'Sheet1 select'!$B$29*0.001</f>
        <v>1.2E-2</v>
      </c>
      <c r="O105" s="44">
        <f>'Sheet1 select'!$B$10*'Sheet1 select'!$B$31*$B$8*1000*0.000000001</f>
        <v>3.0000000000000001E-3</v>
      </c>
      <c r="P105" s="44">
        <f>'Sheet1 select'!$B$35*$B$10*$B$8*1000*0.000000001</f>
        <v>0</v>
      </c>
      <c r="Q105" s="47">
        <f>IF('Sheet1 select'!$B$17=0,0,(0.00000006*0.7+0.00000003*(0.7+F105*1.1*'Sheet1 select'!$B$26))*F105*$B$8*1000)</f>
        <v>0</v>
      </c>
      <c r="R105" s="45">
        <f t="shared" ca="1" si="10"/>
        <v>0.10712176988892924</v>
      </c>
      <c r="S105" s="48">
        <f t="shared" ca="1" si="11"/>
        <v>0.92828852649580518</v>
      </c>
      <c r="T105" s="49">
        <f ca="1">H105+K105+O105+N105+'Sheet1 select'!$B$40*I105+J105+P105</f>
        <v>2.0546630982822736E-2</v>
      </c>
      <c r="U105" s="169">
        <f t="shared" ca="1" si="12"/>
        <v>8.5466309828227359E-3</v>
      </c>
      <c r="V105" s="47">
        <f t="shared" ca="1" si="13"/>
        <v>0</v>
      </c>
    </row>
    <row r="106" spans="5:22">
      <c r="E106" s="32">
        <v>105</v>
      </c>
      <c r="F106" s="45">
        <f t="shared" si="7"/>
        <v>0.28000000000000003</v>
      </c>
      <c r="G106" s="45">
        <f t="shared" si="8"/>
        <v>1.5680000000000003E-2</v>
      </c>
      <c r="H106" s="45">
        <f ca="1">F106*F106*('Sheet1 select'!$B$25)*$B$3</f>
        <v>1.7831341040869077E-3</v>
      </c>
      <c r="I106" s="45">
        <f>F106*(1-$B$3)*'Sheet1 select'!$B$41</f>
        <v>6.533333333333334E-2</v>
      </c>
      <c r="J106" s="45">
        <f ca="1">F106*F106*('Sheet1 select'!$B$26)*(1-$B$3)</f>
        <v>0</v>
      </c>
      <c r="K106" s="45">
        <f>0.0000005*$B$10*F106*$B$8*((('Sheet1 select'!$B$33+0.5*'Sheet1 select'!$B$32)/(('Sheet1 select'!$B$10-'Sheet1 select'!$B$23)/('Sheet1 select'!$B$27+'Sheet1 select'!$B$8)))+(('Sheet1 select'!$B$33+0.5*'Sheet1 select'!$B$32)/(('Sheet1 select'!$B$23)/('Sheet1 select'!$B$27+'Sheet1 select'!$B$9))))</f>
        <v>3.8338120985180121E-3</v>
      </c>
      <c r="L106" s="45">
        <f>(F106*$B$28)*(('Sheet1 select'!$B$12+'Sheet1 select'!$B$13)*(0.000000001))*$B$8*1000</f>
        <v>0</v>
      </c>
      <c r="M106" s="45">
        <f t="shared" si="9"/>
        <v>6.481272239439854E-3</v>
      </c>
      <c r="N106" s="46">
        <f>$B$10*'Sheet1 select'!$B$29*0.001</f>
        <v>1.2E-2</v>
      </c>
      <c r="O106" s="44">
        <f>'Sheet1 select'!$B$10*'Sheet1 select'!$B$31*$B$8*1000*0.000000001</f>
        <v>3.0000000000000001E-3</v>
      </c>
      <c r="P106" s="44">
        <f>'Sheet1 select'!$B$35*$B$10*$B$8*1000*0.000000001</f>
        <v>0</v>
      </c>
      <c r="Q106" s="47">
        <f>IF('Sheet1 select'!$B$17=0,0,(0.00000006*0.7+0.00000003*(0.7+F106*1.1*'Sheet1 select'!$B$26))*F106*$B$8*1000)</f>
        <v>0</v>
      </c>
      <c r="R106" s="45">
        <f t="shared" ca="1" si="10"/>
        <v>0.10811155177537812</v>
      </c>
      <c r="S106" s="48">
        <f t="shared" ca="1" si="11"/>
        <v>0.92831329244305094</v>
      </c>
      <c r="T106" s="49">
        <f ca="1">H106+K106+O106+N106+'Sheet1 select'!$B$40*I106+J106+P106</f>
        <v>2.061694620260492E-2</v>
      </c>
      <c r="U106" s="169">
        <f t="shared" ca="1" si="12"/>
        <v>8.6169462026049193E-3</v>
      </c>
      <c r="V106" s="47">
        <f t="shared" ca="1" si="13"/>
        <v>0</v>
      </c>
    </row>
    <row r="107" spans="5:22">
      <c r="E107" s="32">
        <v>106</v>
      </c>
      <c r="F107" s="45">
        <f t="shared" si="7"/>
        <v>0.28266666666666668</v>
      </c>
      <c r="G107" s="45">
        <f t="shared" si="8"/>
        <v>1.5980088888888893E-2</v>
      </c>
      <c r="H107" s="45">
        <f ca="1">F107*F107*('Sheet1 select'!$B$25)*$B$3</f>
        <v>1.8172602987320177E-3</v>
      </c>
      <c r="I107" s="45">
        <f>F107*(1-$B$3)*'Sheet1 select'!$B$41</f>
        <v>6.5955555555555545E-2</v>
      </c>
      <c r="J107" s="45">
        <f ca="1">F107*F107*('Sheet1 select'!$B$26)*(1-$B$3)</f>
        <v>0</v>
      </c>
      <c r="K107" s="45">
        <f>0.0000005*$B$10*F107*$B$8*((('Sheet1 select'!$B$33+0.5*'Sheet1 select'!$B$32)/(('Sheet1 select'!$B$10-'Sheet1 select'!$B$23)/('Sheet1 select'!$B$27+'Sheet1 select'!$B$8)))+(('Sheet1 select'!$B$33+0.5*'Sheet1 select'!$B$32)/(('Sheet1 select'!$B$23)/('Sheet1 select'!$B$27+'Sheet1 select'!$B$9))))</f>
        <v>3.8703245946943737E-3</v>
      </c>
      <c r="L107" s="45">
        <f>(F107*$B$28)*(('Sheet1 select'!$B$12+'Sheet1 select'!$B$13)*(0.000000001))*$B$8*1000</f>
        <v>0</v>
      </c>
      <c r="M107" s="45">
        <f t="shared" si="9"/>
        <v>6.481272239439854E-3</v>
      </c>
      <c r="N107" s="46">
        <f>$B$10*'Sheet1 select'!$B$29*0.001</f>
        <v>1.2E-2</v>
      </c>
      <c r="O107" s="44">
        <f>'Sheet1 select'!$B$10*'Sheet1 select'!$B$31*$B$8*1000*0.000000001</f>
        <v>3.0000000000000001E-3</v>
      </c>
      <c r="P107" s="44">
        <f>'Sheet1 select'!$B$35*$B$10*$B$8*1000*0.000000001</f>
        <v>0</v>
      </c>
      <c r="Q107" s="47">
        <f>IF('Sheet1 select'!$B$17=0,0,(0.00000006*0.7+0.00000003*(0.7+F107*1.1*'Sheet1 select'!$B$26))*F107*$B$8*1000)</f>
        <v>0</v>
      </c>
      <c r="R107" s="45">
        <f t="shared" ca="1" si="10"/>
        <v>0.10910450157731068</v>
      </c>
      <c r="S107" s="48">
        <f t="shared" ca="1" si="11"/>
        <v>0.92833566069138429</v>
      </c>
      <c r="T107" s="49">
        <f ca="1">H107+K107+O107+N107+'Sheet1 select'!$B$40*I107+J107+P107</f>
        <v>2.068758489342639E-2</v>
      </c>
      <c r="U107" s="169">
        <f t="shared" ca="1" si="12"/>
        <v>8.6875848934263901E-3</v>
      </c>
      <c r="V107" s="47">
        <f t="shared" ca="1" si="13"/>
        <v>0</v>
      </c>
    </row>
    <row r="108" spans="5:22">
      <c r="E108" s="32">
        <v>107</v>
      </c>
      <c r="F108" s="45">
        <f t="shared" si="7"/>
        <v>0.28533333333333338</v>
      </c>
      <c r="G108" s="45">
        <f t="shared" si="8"/>
        <v>1.6283022222222228E-2</v>
      </c>
      <c r="H108" s="45">
        <f ca="1">F108*F108*('Sheet1 select'!$B$25)*$B$3</f>
        <v>1.8517099644164182E-3</v>
      </c>
      <c r="I108" s="45">
        <f>F108*(1-$B$3)*'Sheet1 select'!$B$41</f>
        <v>6.6577777777777777E-2</v>
      </c>
      <c r="J108" s="45">
        <f ca="1">F108*F108*('Sheet1 select'!$B$26)*(1-$B$3)</f>
        <v>0</v>
      </c>
      <c r="K108" s="45">
        <f>0.0000005*$B$10*F108*$B$8*((('Sheet1 select'!$B$33+0.5*'Sheet1 select'!$B$32)/(('Sheet1 select'!$B$10-'Sheet1 select'!$B$23)/('Sheet1 select'!$B$27+'Sheet1 select'!$B$8)))+(('Sheet1 select'!$B$33+0.5*'Sheet1 select'!$B$32)/(('Sheet1 select'!$B$23)/('Sheet1 select'!$B$27+'Sheet1 select'!$B$9))))</f>
        <v>3.906837090870737E-3</v>
      </c>
      <c r="L108" s="45">
        <f>(F108*$B$28)*(('Sheet1 select'!$B$12+'Sheet1 select'!$B$13)*(0.000000001))*$B$8*1000</f>
        <v>0</v>
      </c>
      <c r="M108" s="45">
        <f t="shared" si="9"/>
        <v>6.481272239439854E-3</v>
      </c>
      <c r="N108" s="46">
        <f>$B$10*'Sheet1 select'!$B$29*0.001</f>
        <v>1.2E-2</v>
      </c>
      <c r="O108" s="44">
        <f>'Sheet1 select'!$B$10*'Sheet1 select'!$B$31*$B$8*1000*0.000000001</f>
        <v>3.0000000000000001E-3</v>
      </c>
      <c r="P108" s="44">
        <f>'Sheet1 select'!$B$35*$B$10*$B$8*1000*0.000000001</f>
        <v>0</v>
      </c>
      <c r="Q108" s="47">
        <f>IF('Sheet1 select'!$B$17=0,0,(0.00000006*0.7+0.00000003*(0.7+F108*1.1*'Sheet1 select'!$B$26))*F108*$B$8*1000)</f>
        <v>0</v>
      </c>
      <c r="R108" s="45">
        <f t="shared" ca="1" si="10"/>
        <v>0.11010061929472702</v>
      </c>
      <c r="S108" s="48">
        <f t="shared" ca="1" si="11"/>
        <v>0.92835569815904262</v>
      </c>
      <c r="T108" s="49">
        <f ca="1">H108+K108+O108+N108+'Sheet1 select'!$B$40*I108+J108+P108</f>
        <v>2.0758547055287156E-2</v>
      </c>
      <c r="U108" s="169">
        <f t="shared" ca="1" si="12"/>
        <v>8.7585470552871553E-3</v>
      </c>
      <c r="V108" s="47">
        <f t="shared" ca="1" si="13"/>
        <v>0</v>
      </c>
    </row>
    <row r="109" spans="5:22">
      <c r="E109" s="32">
        <v>108</v>
      </c>
      <c r="F109" s="45">
        <f t="shared" si="7"/>
        <v>0.28800000000000003</v>
      </c>
      <c r="G109" s="45">
        <f t="shared" si="8"/>
        <v>1.6588800000000004E-2</v>
      </c>
      <c r="H109" s="45">
        <f ca="1">F109*F109*('Sheet1 select'!$B$25)*$B$3</f>
        <v>1.8864831011401082E-3</v>
      </c>
      <c r="I109" s="45">
        <f>F109*(1-$B$3)*'Sheet1 select'!$B$41</f>
        <v>6.720000000000001E-2</v>
      </c>
      <c r="J109" s="45">
        <f ca="1">F109*F109*('Sheet1 select'!$B$26)*(1-$B$3)</f>
        <v>0</v>
      </c>
      <c r="K109" s="45">
        <f>0.0000005*$B$10*F109*$B$8*((('Sheet1 select'!$B$33+0.5*'Sheet1 select'!$B$32)/(('Sheet1 select'!$B$10-'Sheet1 select'!$B$23)/('Sheet1 select'!$B$27+'Sheet1 select'!$B$8)))+(('Sheet1 select'!$B$33+0.5*'Sheet1 select'!$B$32)/(('Sheet1 select'!$B$23)/('Sheet1 select'!$B$27+'Sheet1 select'!$B$9))))</f>
        <v>3.9433495870470981E-3</v>
      </c>
      <c r="L109" s="45">
        <f>(F109*$B$28)*(('Sheet1 select'!$B$12+'Sheet1 select'!$B$13)*(0.000000001))*$B$8*1000</f>
        <v>0</v>
      </c>
      <c r="M109" s="45">
        <f t="shared" si="9"/>
        <v>6.481272239439854E-3</v>
      </c>
      <c r="N109" s="46">
        <f>$B$10*'Sheet1 select'!$B$29*0.001</f>
        <v>1.2E-2</v>
      </c>
      <c r="O109" s="44">
        <f>'Sheet1 select'!$B$10*'Sheet1 select'!$B$31*$B$8*1000*0.000000001</f>
        <v>3.0000000000000001E-3</v>
      </c>
      <c r="P109" s="44">
        <f>'Sheet1 select'!$B$35*$B$10*$B$8*1000*0.000000001</f>
        <v>0</v>
      </c>
      <c r="Q109" s="47">
        <f>IF('Sheet1 select'!$B$17=0,0,(0.00000006*0.7+0.00000003*(0.7+F109*1.1*'Sheet1 select'!$B$26))*F109*$B$8*1000)</f>
        <v>0</v>
      </c>
      <c r="R109" s="45">
        <f t="shared" ca="1" si="10"/>
        <v>0.11109990492762707</v>
      </c>
      <c r="S109" s="48">
        <f t="shared" ca="1" si="11"/>
        <v>0.92837346932026865</v>
      </c>
      <c r="T109" s="49">
        <f ca="1">H109+K109+O109+N109+'Sheet1 select'!$B$40*I109+J109+P109</f>
        <v>2.0829832688187208E-2</v>
      </c>
      <c r="U109" s="169">
        <f t="shared" ca="1" si="12"/>
        <v>8.8298326881872061E-3</v>
      </c>
      <c r="V109" s="47">
        <f t="shared" ca="1" si="13"/>
        <v>0</v>
      </c>
    </row>
    <row r="110" spans="5:22">
      <c r="E110" s="32">
        <v>109</v>
      </c>
      <c r="F110" s="45">
        <f t="shared" si="7"/>
        <v>0.29066666666666668</v>
      </c>
      <c r="G110" s="45">
        <f t="shared" si="8"/>
        <v>1.6897422222222225E-2</v>
      </c>
      <c r="H110" s="45">
        <f ca="1">F110*F110*('Sheet1 select'!$B$25)*$B$3</f>
        <v>1.9215797089030882E-3</v>
      </c>
      <c r="I110" s="45">
        <f>F110*(1-$B$3)*'Sheet1 select'!$B$41</f>
        <v>6.7822222222222214E-2</v>
      </c>
      <c r="J110" s="45">
        <f ca="1">F110*F110*('Sheet1 select'!$B$26)*(1-$B$3)</f>
        <v>0</v>
      </c>
      <c r="K110" s="45">
        <f>0.0000005*$B$10*F110*$B$8*((('Sheet1 select'!$B$33+0.5*'Sheet1 select'!$B$32)/(('Sheet1 select'!$B$10-'Sheet1 select'!$B$23)/('Sheet1 select'!$B$27+'Sheet1 select'!$B$8)))+(('Sheet1 select'!$B$33+0.5*'Sheet1 select'!$B$32)/(('Sheet1 select'!$B$23)/('Sheet1 select'!$B$27+'Sheet1 select'!$B$9))))</f>
        <v>3.9798620832234601E-3</v>
      </c>
      <c r="L110" s="45">
        <f>(F110*$B$28)*(('Sheet1 select'!$B$12+'Sheet1 select'!$B$13)*(0.000000001))*$B$8*1000</f>
        <v>0</v>
      </c>
      <c r="M110" s="45">
        <f t="shared" si="9"/>
        <v>6.481272239439854E-3</v>
      </c>
      <c r="N110" s="46">
        <f>$B$10*'Sheet1 select'!$B$29*0.001</f>
        <v>1.2E-2</v>
      </c>
      <c r="O110" s="44">
        <f>'Sheet1 select'!$B$10*'Sheet1 select'!$B$31*$B$8*1000*0.000000001</f>
        <v>3.0000000000000001E-3</v>
      </c>
      <c r="P110" s="44">
        <f>'Sheet1 select'!$B$35*$B$10*$B$8*1000*0.000000001</f>
        <v>0</v>
      </c>
      <c r="Q110" s="47">
        <f>IF('Sheet1 select'!$B$17=0,0,(0.00000006*0.7+0.00000003*(0.7+F110*1.1*'Sheet1 select'!$B$26))*F110*$B$8*1000)</f>
        <v>0</v>
      </c>
      <c r="R110" s="45">
        <f t="shared" ca="1" si="10"/>
        <v>0.11210235847601084</v>
      </c>
      <c r="S110" s="48">
        <f t="shared" ca="1" si="11"/>
        <v>0.928389036315863</v>
      </c>
      <c r="T110" s="49">
        <f ca="1">H110+K110+O110+N110+'Sheet1 select'!$B$40*I110+J110+P110</f>
        <v>2.0901441792126548E-2</v>
      </c>
      <c r="U110" s="169">
        <f t="shared" ca="1" si="12"/>
        <v>8.9014417921265479E-3</v>
      </c>
      <c r="V110" s="47">
        <f t="shared" ca="1" si="13"/>
        <v>0</v>
      </c>
    </row>
    <row r="111" spans="5:22">
      <c r="E111" s="32">
        <v>110</v>
      </c>
      <c r="F111" s="45">
        <f t="shared" si="7"/>
        <v>0.29333333333333333</v>
      </c>
      <c r="G111" s="45">
        <f t="shared" si="8"/>
        <v>1.7208888888888892E-2</v>
      </c>
      <c r="H111" s="45">
        <f ca="1">F111*F111*('Sheet1 select'!$B$25)*$B$3</f>
        <v>1.9569997877053585E-3</v>
      </c>
      <c r="I111" s="45">
        <f>F111*(1-$B$3)*'Sheet1 select'!$B$41</f>
        <v>6.8444444444444447E-2</v>
      </c>
      <c r="J111" s="45">
        <f ca="1">F111*F111*('Sheet1 select'!$B$26)*(1-$B$3)</f>
        <v>0</v>
      </c>
      <c r="K111" s="45">
        <f>0.0000005*$B$10*F111*$B$8*((('Sheet1 select'!$B$33+0.5*'Sheet1 select'!$B$32)/(('Sheet1 select'!$B$10-'Sheet1 select'!$B$23)/('Sheet1 select'!$B$27+'Sheet1 select'!$B$8)))+(('Sheet1 select'!$B$33+0.5*'Sheet1 select'!$B$32)/(('Sheet1 select'!$B$23)/('Sheet1 select'!$B$27+'Sheet1 select'!$B$9))))</f>
        <v>4.0163745793998212E-3</v>
      </c>
      <c r="L111" s="45">
        <f>(F111*$B$28)*(('Sheet1 select'!$B$12+'Sheet1 select'!$B$13)*(0.000000001))*$B$8*1000</f>
        <v>0</v>
      </c>
      <c r="M111" s="45">
        <f t="shared" si="9"/>
        <v>6.481272239439854E-3</v>
      </c>
      <c r="N111" s="46">
        <f>$B$10*'Sheet1 select'!$B$29*0.001</f>
        <v>1.2E-2</v>
      </c>
      <c r="O111" s="44">
        <f>'Sheet1 select'!$B$10*'Sheet1 select'!$B$31*$B$8*1000*0.000000001</f>
        <v>3.0000000000000001E-3</v>
      </c>
      <c r="P111" s="44">
        <f>'Sheet1 select'!$B$35*$B$10*$B$8*1000*0.000000001</f>
        <v>0</v>
      </c>
      <c r="Q111" s="47">
        <f>IF('Sheet1 select'!$B$17=0,0,(0.00000006*0.7+0.00000003*(0.7+F111*1.1*'Sheet1 select'!$B$26))*F111*$B$8*1000)</f>
        <v>0</v>
      </c>
      <c r="R111" s="45">
        <f t="shared" ca="1" si="10"/>
        <v>0.11310797993987837</v>
      </c>
      <c r="S111" s="48">
        <f t="shared" ca="1" si="11"/>
        <v>0.9284024590577894</v>
      </c>
      <c r="T111" s="49">
        <f ca="1">H111+K111+O111+N111+'Sheet1 select'!$B$40*I111+J111+P111</f>
        <v>2.0973374367105179E-2</v>
      </c>
      <c r="U111" s="169">
        <f t="shared" ca="1" si="12"/>
        <v>8.9733743671051788E-3</v>
      </c>
      <c r="V111" s="47">
        <f t="shared" ca="1" si="13"/>
        <v>0</v>
      </c>
    </row>
    <row r="112" spans="5:22">
      <c r="E112" s="32">
        <v>111</v>
      </c>
      <c r="F112" s="45">
        <f t="shared" si="7"/>
        <v>0.29600000000000004</v>
      </c>
      <c r="G112" s="45">
        <f t="shared" si="8"/>
        <v>1.7523200000000006E-2</v>
      </c>
      <c r="H112" s="45">
        <f ca="1">F112*F112*('Sheet1 select'!$B$25)*$B$3</f>
        <v>1.9927433375469196E-3</v>
      </c>
      <c r="I112" s="45">
        <f>F112*(1-$B$3)*'Sheet1 select'!$B$41</f>
        <v>6.9066666666666665E-2</v>
      </c>
      <c r="J112" s="45">
        <f ca="1">F112*F112*('Sheet1 select'!$B$26)*(1-$B$3)</f>
        <v>0</v>
      </c>
      <c r="K112" s="45">
        <f>0.0000005*$B$10*F112*$B$8*((('Sheet1 select'!$B$33+0.5*'Sheet1 select'!$B$32)/(('Sheet1 select'!$B$10-'Sheet1 select'!$B$23)/('Sheet1 select'!$B$27+'Sheet1 select'!$B$8)))+(('Sheet1 select'!$B$33+0.5*'Sheet1 select'!$B$32)/(('Sheet1 select'!$B$23)/('Sheet1 select'!$B$27+'Sheet1 select'!$B$9))))</f>
        <v>4.052887075576184E-3</v>
      </c>
      <c r="L112" s="45">
        <f>(F112*$B$28)*(('Sheet1 select'!$B$12+'Sheet1 select'!$B$13)*(0.000000001))*$B$8*1000</f>
        <v>0</v>
      </c>
      <c r="M112" s="45">
        <f t="shared" si="9"/>
        <v>6.481272239439854E-3</v>
      </c>
      <c r="N112" s="46">
        <f>$B$10*'Sheet1 select'!$B$29*0.001</f>
        <v>1.2E-2</v>
      </c>
      <c r="O112" s="44">
        <f>'Sheet1 select'!$B$10*'Sheet1 select'!$B$31*$B$8*1000*0.000000001</f>
        <v>3.0000000000000001E-3</v>
      </c>
      <c r="P112" s="44">
        <f>'Sheet1 select'!$B$35*$B$10*$B$8*1000*0.000000001</f>
        <v>0</v>
      </c>
      <c r="Q112" s="47">
        <f>IF('Sheet1 select'!$B$17=0,0,(0.00000006*0.7+0.00000003*(0.7+F112*1.1*'Sheet1 select'!$B$26))*F112*$B$8*1000)</f>
        <v>0</v>
      </c>
      <c r="R112" s="45">
        <f t="shared" ca="1" si="10"/>
        <v>0.11411676931922964</v>
      </c>
      <c r="S112" s="48">
        <f t="shared" ca="1" si="11"/>
        <v>0.92841379532820345</v>
      </c>
      <c r="T112" s="49">
        <f ca="1">H112+K112+O112+N112+'Sheet1 select'!$B$40*I112+J112+P112</f>
        <v>2.1045630413123104E-2</v>
      </c>
      <c r="U112" s="169">
        <f t="shared" ca="1" si="12"/>
        <v>9.0456304131231041E-3</v>
      </c>
      <c r="V112" s="47">
        <f t="shared" ca="1" si="13"/>
        <v>0</v>
      </c>
    </row>
    <row r="113" spans="5:22">
      <c r="E113" s="32">
        <v>112</v>
      </c>
      <c r="F113" s="45">
        <f t="shared" si="7"/>
        <v>0.29866666666666669</v>
      </c>
      <c r="G113" s="45">
        <f t="shared" si="8"/>
        <v>1.7840355555555559E-2</v>
      </c>
      <c r="H113" s="45">
        <f ca="1">F113*F113*('Sheet1 select'!$B$25)*$B$3</f>
        <v>2.0288103584277708E-3</v>
      </c>
      <c r="I113" s="45">
        <f>F113*(1-$B$3)*'Sheet1 select'!$B$41</f>
        <v>6.9688888888888897E-2</v>
      </c>
      <c r="J113" s="45">
        <f ca="1">F113*F113*('Sheet1 select'!$B$26)*(1-$B$3)</f>
        <v>0</v>
      </c>
      <c r="K113" s="45">
        <f>0.0000005*$B$10*F113*$B$8*((('Sheet1 select'!$B$33+0.5*'Sheet1 select'!$B$32)/(('Sheet1 select'!$B$10-'Sheet1 select'!$B$23)/('Sheet1 select'!$B$27+'Sheet1 select'!$B$8)))+(('Sheet1 select'!$B$33+0.5*'Sheet1 select'!$B$32)/(('Sheet1 select'!$B$23)/('Sheet1 select'!$B$27+'Sheet1 select'!$B$9))))</f>
        <v>4.089399571752546E-3</v>
      </c>
      <c r="L113" s="45">
        <f>(F113*$B$28)*(('Sheet1 select'!$B$12+'Sheet1 select'!$B$13)*(0.000000001))*$B$8*1000</f>
        <v>0</v>
      </c>
      <c r="M113" s="45">
        <f t="shared" si="9"/>
        <v>6.481272239439854E-3</v>
      </c>
      <c r="N113" s="46">
        <f>$B$10*'Sheet1 select'!$B$29*0.001</f>
        <v>1.2E-2</v>
      </c>
      <c r="O113" s="44">
        <f>'Sheet1 select'!$B$10*'Sheet1 select'!$B$31*$B$8*1000*0.000000001</f>
        <v>3.0000000000000001E-3</v>
      </c>
      <c r="P113" s="44">
        <f>'Sheet1 select'!$B$35*$B$10*$B$8*1000*0.000000001</f>
        <v>0</v>
      </c>
      <c r="Q113" s="47">
        <f>IF('Sheet1 select'!$B$17=0,0,(0.00000006*0.7+0.00000003*(0.7+F113*1.1*'Sheet1 select'!$B$26))*F113*$B$8*1000)</f>
        <v>0</v>
      </c>
      <c r="R113" s="45">
        <f t="shared" ca="1" si="10"/>
        <v>0.11512872661406462</v>
      </c>
      <c r="S113" s="48">
        <f t="shared" ca="1" si="11"/>
        <v>0.92842310087324675</v>
      </c>
      <c r="T113" s="49">
        <f ca="1">H113+K113+O113+N113+'Sheet1 select'!$B$40*I113+J113+P113</f>
        <v>2.1118209930180317E-2</v>
      </c>
      <c r="U113" s="169">
        <f t="shared" ca="1" si="12"/>
        <v>9.1182099301803168E-3</v>
      </c>
      <c r="V113" s="47">
        <f t="shared" ca="1" si="13"/>
        <v>0</v>
      </c>
    </row>
    <row r="114" spans="5:22">
      <c r="E114" s="32">
        <v>113</v>
      </c>
      <c r="F114" s="45">
        <f t="shared" si="7"/>
        <v>0.30133333333333334</v>
      </c>
      <c r="G114" s="45">
        <f t="shared" si="8"/>
        <v>1.8160355555555559E-2</v>
      </c>
      <c r="H114" s="45">
        <f ca="1">F114*F114*('Sheet1 select'!$B$25)*$B$3</f>
        <v>2.0652008503479116E-3</v>
      </c>
      <c r="I114" s="45">
        <f>F114*(1-$B$3)*'Sheet1 select'!$B$41</f>
        <v>7.0311111111111102E-2</v>
      </c>
      <c r="J114" s="45">
        <f ca="1">F114*F114*('Sheet1 select'!$B$26)*(1-$B$3)</f>
        <v>0</v>
      </c>
      <c r="K114" s="45">
        <f>0.0000005*$B$10*F114*$B$8*((('Sheet1 select'!$B$33+0.5*'Sheet1 select'!$B$32)/(('Sheet1 select'!$B$10-'Sheet1 select'!$B$23)/('Sheet1 select'!$B$27+'Sheet1 select'!$B$8)))+(('Sheet1 select'!$B$33+0.5*'Sheet1 select'!$B$32)/(('Sheet1 select'!$B$23)/('Sheet1 select'!$B$27+'Sheet1 select'!$B$9))))</f>
        <v>4.125912067928908E-3</v>
      </c>
      <c r="L114" s="45">
        <f>(F114*$B$28)*(('Sheet1 select'!$B$12+'Sheet1 select'!$B$13)*(0.000000001))*$B$8*1000</f>
        <v>0</v>
      </c>
      <c r="M114" s="45">
        <f t="shared" si="9"/>
        <v>6.481272239439854E-3</v>
      </c>
      <c r="N114" s="46">
        <f>$B$10*'Sheet1 select'!$B$29*0.001</f>
        <v>1.2E-2</v>
      </c>
      <c r="O114" s="44">
        <f>'Sheet1 select'!$B$10*'Sheet1 select'!$B$31*$B$8*1000*0.000000001</f>
        <v>3.0000000000000001E-3</v>
      </c>
      <c r="P114" s="44">
        <f>'Sheet1 select'!$B$35*$B$10*$B$8*1000*0.000000001</f>
        <v>0</v>
      </c>
      <c r="Q114" s="47">
        <f>IF('Sheet1 select'!$B$17=0,0,(0.00000006*0.7+0.00000003*(0.7+F114*1.1*'Sheet1 select'!$B$26))*F114*$B$8*1000)</f>
        <v>0</v>
      </c>
      <c r="R114" s="45">
        <f t="shared" ca="1" si="10"/>
        <v>0.11614385182438333</v>
      </c>
      <c r="S114" s="48">
        <f t="shared" ca="1" si="11"/>
        <v>0.92843042949192967</v>
      </c>
      <c r="T114" s="49">
        <f ca="1">H114+K114+O114+N114+'Sheet1 select'!$B$40*I114+J114+P114</f>
        <v>2.1191112918276821E-2</v>
      </c>
      <c r="U114" s="169">
        <f t="shared" ca="1" si="12"/>
        <v>9.1911129182768204E-3</v>
      </c>
      <c r="V114" s="47">
        <f t="shared" ca="1" si="13"/>
        <v>0</v>
      </c>
    </row>
    <row r="115" spans="5:22">
      <c r="E115" s="32">
        <v>114</v>
      </c>
      <c r="F115" s="45">
        <f t="shared" si="7"/>
        <v>0.30399999999999999</v>
      </c>
      <c r="G115" s="45">
        <f t="shared" si="8"/>
        <v>1.8483200000000002E-2</v>
      </c>
      <c r="H115" s="45">
        <f ca="1">F115*F115*('Sheet1 select'!$B$25)*$B$3</f>
        <v>2.1019148133073423E-3</v>
      </c>
      <c r="I115" s="45">
        <f>F115*(1-$B$3)*'Sheet1 select'!$B$41</f>
        <v>7.0933333333333334E-2</v>
      </c>
      <c r="J115" s="45">
        <f ca="1">F115*F115*('Sheet1 select'!$B$26)*(1-$B$3)</f>
        <v>0</v>
      </c>
      <c r="K115" s="45">
        <f>0.0000005*$B$10*F115*$B$8*((('Sheet1 select'!$B$33+0.5*'Sheet1 select'!$B$32)/(('Sheet1 select'!$B$10-'Sheet1 select'!$B$23)/('Sheet1 select'!$B$27+'Sheet1 select'!$B$8)))+(('Sheet1 select'!$B$33+0.5*'Sheet1 select'!$B$32)/(('Sheet1 select'!$B$23)/('Sheet1 select'!$B$27+'Sheet1 select'!$B$9))))</f>
        <v>4.1624245641052699E-3</v>
      </c>
      <c r="L115" s="45">
        <f>(F115*$B$28)*(('Sheet1 select'!$B$12+'Sheet1 select'!$B$13)*(0.000000001))*$B$8*1000</f>
        <v>0</v>
      </c>
      <c r="M115" s="45">
        <f t="shared" si="9"/>
        <v>6.481272239439854E-3</v>
      </c>
      <c r="N115" s="46">
        <f>$B$10*'Sheet1 select'!$B$29*0.001</f>
        <v>1.2E-2</v>
      </c>
      <c r="O115" s="44">
        <f>'Sheet1 select'!$B$10*'Sheet1 select'!$B$31*$B$8*1000*0.000000001</f>
        <v>3.0000000000000001E-3</v>
      </c>
      <c r="P115" s="44">
        <f>'Sheet1 select'!$B$35*$B$10*$B$8*1000*0.000000001</f>
        <v>0</v>
      </c>
      <c r="Q115" s="47">
        <f>IF('Sheet1 select'!$B$17=0,0,(0.00000006*0.7+0.00000003*(0.7+F115*1.1*'Sheet1 select'!$B$26))*F115*$B$8*1000)</f>
        <v>0</v>
      </c>
      <c r="R115" s="45">
        <f t="shared" ca="1" si="10"/>
        <v>0.1171621449501858</v>
      </c>
      <c r="S115" s="48">
        <f t="shared" ca="1" si="11"/>
        <v>0.92843583312039579</v>
      </c>
      <c r="T115" s="49">
        <f ca="1">H115+K115+O115+N115+'Sheet1 select'!$B$40*I115+J115+P115</f>
        <v>2.1264339377412612E-2</v>
      </c>
      <c r="U115" s="169">
        <f t="shared" ca="1" si="12"/>
        <v>9.2643393774126115E-3</v>
      </c>
      <c r="V115" s="47">
        <f t="shared" ca="1" si="13"/>
        <v>0</v>
      </c>
    </row>
    <row r="116" spans="5:22">
      <c r="E116" s="32">
        <v>115</v>
      </c>
      <c r="F116" s="45">
        <f t="shared" si="7"/>
        <v>0.30666666666666664</v>
      </c>
      <c r="G116" s="45">
        <f t="shared" si="8"/>
        <v>1.8808888888888889E-2</v>
      </c>
      <c r="H116" s="45">
        <f ca="1">F116*F116*('Sheet1 select'!$B$25)*$B$3</f>
        <v>2.1389522473060632E-3</v>
      </c>
      <c r="I116" s="45">
        <f>F116*(1-$B$3)*'Sheet1 select'!$B$41</f>
        <v>7.1555555555555539E-2</v>
      </c>
      <c r="J116" s="45">
        <f ca="1">F116*F116*('Sheet1 select'!$B$26)*(1-$B$3)</f>
        <v>0</v>
      </c>
      <c r="K116" s="45">
        <f>0.0000005*$B$10*F116*$B$8*((('Sheet1 select'!$B$33+0.5*'Sheet1 select'!$B$32)/(('Sheet1 select'!$B$10-'Sheet1 select'!$B$23)/('Sheet1 select'!$B$27+'Sheet1 select'!$B$8)))+(('Sheet1 select'!$B$33+0.5*'Sheet1 select'!$B$32)/(('Sheet1 select'!$B$23)/('Sheet1 select'!$B$27+'Sheet1 select'!$B$9))))</f>
        <v>4.1989370602816319E-3</v>
      </c>
      <c r="L116" s="45">
        <f>(F116*$B$28)*(('Sheet1 select'!$B$12+'Sheet1 select'!$B$13)*(0.000000001))*$B$8*1000</f>
        <v>0</v>
      </c>
      <c r="M116" s="45">
        <f t="shared" si="9"/>
        <v>6.481272239439854E-3</v>
      </c>
      <c r="N116" s="46">
        <f>$B$10*'Sheet1 select'!$B$29*0.001</f>
        <v>1.2E-2</v>
      </c>
      <c r="O116" s="44">
        <f>'Sheet1 select'!$B$10*'Sheet1 select'!$B$31*$B$8*1000*0.000000001</f>
        <v>3.0000000000000001E-3</v>
      </c>
      <c r="P116" s="44">
        <f>'Sheet1 select'!$B$35*$B$10*$B$8*1000*0.000000001</f>
        <v>0</v>
      </c>
      <c r="Q116" s="47">
        <f>IF('Sheet1 select'!$B$17=0,0,(0.00000006*0.7+0.00000003*(0.7+F116*1.1*'Sheet1 select'!$B$26))*F116*$B$8*1000)</f>
        <v>0</v>
      </c>
      <c r="R116" s="45">
        <f t="shared" ca="1" si="10"/>
        <v>0.11818360599147197</v>
      </c>
      <c r="S116" s="48">
        <f t="shared" ca="1" si="11"/>
        <v>0.92843936191184973</v>
      </c>
      <c r="T116" s="49">
        <f ca="1">H116+K116+O116+N116+'Sheet1 select'!$B$40*I116+J116+P116</f>
        <v>2.1337889307587697E-2</v>
      </c>
      <c r="U116" s="169">
        <f t="shared" ca="1" si="12"/>
        <v>9.3378893075876952E-3</v>
      </c>
      <c r="V116" s="47">
        <f t="shared" ca="1" si="13"/>
        <v>0</v>
      </c>
    </row>
    <row r="117" spans="5:22">
      <c r="E117" s="32">
        <v>116</v>
      </c>
      <c r="F117" s="45">
        <f t="shared" si="7"/>
        <v>0.30933333333333335</v>
      </c>
      <c r="G117" s="45">
        <f t="shared" si="8"/>
        <v>1.9137422222222224E-2</v>
      </c>
      <c r="H117" s="45">
        <f ca="1">F117*F117*('Sheet1 select'!$B$25)*$B$3</f>
        <v>2.1763131523440753E-3</v>
      </c>
      <c r="I117" s="45">
        <f>F117*(1-$B$3)*'Sheet1 select'!$B$41</f>
        <v>7.2177777777777771E-2</v>
      </c>
      <c r="J117" s="45">
        <f ca="1">F117*F117*('Sheet1 select'!$B$26)*(1-$B$3)</f>
        <v>0</v>
      </c>
      <c r="K117" s="45">
        <f>0.0000005*$B$10*F117*$B$8*((('Sheet1 select'!$B$33+0.5*'Sheet1 select'!$B$32)/(('Sheet1 select'!$B$10-'Sheet1 select'!$B$23)/('Sheet1 select'!$B$27+'Sheet1 select'!$B$8)))+(('Sheet1 select'!$B$33+0.5*'Sheet1 select'!$B$32)/(('Sheet1 select'!$B$23)/('Sheet1 select'!$B$27+'Sheet1 select'!$B$9))))</f>
        <v>4.2354495564579939E-3</v>
      </c>
      <c r="L117" s="45">
        <f>(F117*$B$28)*(('Sheet1 select'!$B$12+'Sheet1 select'!$B$13)*(0.000000001))*$B$8*1000</f>
        <v>0</v>
      </c>
      <c r="M117" s="45">
        <f t="shared" si="9"/>
        <v>6.481272239439854E-3</v>
      </c>
      <c r="N117" s="46">
        <f>$B$10*'Sheet1 select'!$B$29*0.001</f>
        <v>1.2E-2</v>
      </c>
      <c r="O117" s="44">
        <f>'Sheet1 select'!$B$10*'Sheet1 select'!$B$31*$B$8*1000*0.000000001</f>
        <v>3.0000000000000001E-3</v>
      </c>
      <c r="P117" s="44">
        <f>'Sheet1 select'!$B$35*$B$10*$B$8*1000*0.000000001</f>
        <v>0</v>
      </c>
      <c r="Q117" s="47">
        <f>IF('Sheet1 select'!$B$17=0,0,(0.00000006*0.7+0.00000003*(0.7+F117*1.1*'Sheet1 select'!$B$26))*F117*$B$8*1000)</f>
        <v>0</v>
      </c>
      <c r="R117" s="45">
        <f t="shared" ca="1" si="10"/>
        <v>0.11920823494824191</v>
      </c>
      <c r="S117" s="48">
        <f t="shared" ca="1" si="11"/>
        <v>0.92844106431240381</v>
      </c>
      <c r="T117" s="49">
        <f ca="1">H117+K117+O117+N117+'Sheet1 select'!$B$40*I117+J117+P117</f>
        <v>2.141176270880207E-2</v>
      </c>
      <c r="U117" s="169">
        <f t="shared" ca="1" si="12"/>
        <v>9.4117627088020697E-3</v>
      </c>
      <c r="V117" s="47">
        <f t="shared" ca="1" si="13"/>
        <v>0</v>
      </c>
    </row>
    <row r="118" spans="5:22">
      <c r="E118" s="32">
        <v>117</v>
      </c>
      <c r="F118" s="45">
        <f t="shared" si="7"/>
        <v>0.31200000000000006</v>
      </c>
      <c r="G118" s="45">
        <f t="shared" si="8"/>
        <v>1.9468800000000005E-2</v>
      </c>
      <c r="H118" s="45">
        <f ca="1">F118*F118*('Sheet1 select'!$B$25)*$B$3</f>
        <v>2.2139975284213771E-3</v>
      </c>
      <c r="I118" s="45">
        <f>F118*(1-$B$3)*'Sheet1 select'!$B$41</f>
        <v>7.2800000000000017E-2</v>
      </c>
      <c r="J118" s="45">
        <f ca="1">F118*F118*('Sheet1 select'!$B$26)*(1-$B$3)</f>
        <v>0</v>
      </c>
      <c r="K118" s="45">
        <f>0.0000005*$B$10*F118*$B$8*((('Sheet1 select'!$B$33+0.5*'Sheet1 select'!$B$32)/(('Sheet1 select'!$B$10-'Sheet1 select'!$B$23)/('Sheet1 select'!$B$27+'Sheet1 select'!$B$8)))+(('Sheet1 select'!$B$33+0.5*'Sheet1 select'!$B$32)/(('Sheet1 select'!$B$23)/('Sheet1 select'!$B$27+'Sheet1 select'!$B$9))))</f>
        <v>4.2719620526343568E-3</v>
      </c>
      <c r="L118" s="45">
        <f>(F118*$B$28)*(('Sheet1 select'!$B$12+'Sheet1 select'!$B$13)*(0.000000001))*$B$8*1000</f>
        <v>0</v>
      </c>
      <c r="M118" s="45">
        <f t="shared" si="9"/>
        <v>6.481272239439854E-3</v>
      </c>
      <c r="N118" s="46">
        <f>$B$10*'Sheet1 select'!$B$29*0.001</f>
        <v>1.2E-2</v>
      </c>
      <c r="O118" s="44">
        <f>'Sheet1 select'!$B$10*'Sheet1 select'!$B$31*$B$8*1000*0.000000001</f>
        <v>3.0000000000000001E-3</v>
      </c>
      <c r="P118" s="44">
        <f>'Sheet1 select'!$B$35*$B$10*$B$8*1000*0.000000001</f>
        <v>0</v>
      </c>
      <c r="Q118" s="47">
        <f>IF('Sheet1 select'!$B$17=0,0,(0.00000006*0.7+0.00000003*(0.7+F118*1.1*'Sheet1 select'!$B$26))*F118*$B$8*1000)</f>
        <v>0</v>
      </c>
      <c r="R118" s="45">
        <f t="shared" ca="1" si="10"/>
        <v>0.12023603182049561</v>
      </c>
      <c r="S118" s="48">
        <f t="shared" ca="1" si="11"/>
        <v>0.92844098713308587</v>
      </c>
      <c r="T118" s="49">
        <f ca="1">H118+K118+O118+N118+'Sheet1 select'!$B$40*I118+J118+P118</f>
        <v>2.1485959581055734E-2</v>
      </c>
      <c r="U118" s="169">
        <f t="shared" ca="1" si="12"/>
        <v>9.4859595810557334E-3</v>
      </c>
      <c r="V118" s="47">
        <f t="shared" ca="1" si="13"/>
        <v>0</v>
      </c>
    </row>
    <row r="119" spans="5:22">
      <c r="E119" s="32">
        <v>118</v>
      </c>
      <c r="F119" s="45">
        <f t="shared" si="7"/>
        <v>0.31466666666666671</v>
      </c>
      <c r="G119" s="45">
        <f t="shared" si="8"/>
        <v>1.980302222222223E-2</v>
      </c>
      <c r="H119" s="45">
        <f ca="1">F119*F119*('Sheet1 select'!$B$25)*$B$3</f>
        <v>2.2520053755379684E-3</v>
      </c>
      <c r="I119" s="45">
        <f>F119*(1-$B$3)*'Sheet1 select'!$B$41</f>
        <v>7.3422222222222222E-2</v>
      </c>
      <c r="J119" s="45">
        <f ca="1">F119*F119*('Sheet1 select'!$B$26)*(1-$B$3)</f>
        <v>0</v>
      </c>
      <c r="K119" s="45">
        <f>0.0000005*$B$10*F119*$B$8*((('Sheet1 select'!$B$33+0.5*'Sheet1 select'!$B$32)/(('Sheet1 select'!$B$10-'Sheet1 select'!$B$23)/('Sheet1 select'!$B$27+'Sheet1 select'!$B$8)))+(('Sheet1 select'!$B$33+0.5*'Sheet1 select'!$B$32)/(('Sheet1 select'!$B$23)/('Sheet1 select'!$B$27+'Sheet1 select'!$B$9))))</f>
        <v>4.3084745488107179E-3</v>
      </c>
      <c r="L119" s="45">
        <f>(F119*$B$28)*(('Sheet1 select'!$B$12+'Sheet1 select'!$B$13)*(0.000000001))*$B$8*1000</f>
        <v>0</v>
      </c>
      <c r="M119" s="45">
        <f t="shared" si="9"/>
        <v>6.481272239439854E-3</v>
      </c>
      <c r="N119" s="46">
        <f>$B$10*'Sheet1 select'!$B$29*0.001</f>
        <v>1.2E-2</v>
      </c>
      <c r="O119" s="44">
        <f>'Sheet1 select'!$B$10*'Sheet1 select'!$B$31*$B$8*1000*0.000000001</f>
        <v>3.0000000000000001E-3</v>
      </c>
      <c r="P119" s="44">
        <f>'Sheet1 select'!$B$35*$B$10*$B$8*1000*0.000000001</f>
        <v>0</v>
      </c>
      <c r="Q119" s="47">
        <f>IF('Sheet1 select'!$B$17=0,0,(0.00000006*0.7+0.00000003*(0.7+F119*1.1*'Sheet1 select'!$B$26))*F119*$B$8*1000)</f>
        <v>0</v>
      </c>
      <c r="R119" s="45">
        <f t="shared" ca="1" si="10"/>
        <v>0.12126699660823299</v>
      </c>
      <c r="S119" s="48">
        <f t="shared" ca="1" si="11"/>
        <v>0.92843917561823297</v>
      </c>
      <c r="T119" s="49">
        <f ca="1">H119+K119+O119+N119+'Sheet1 select'!$B$40*I119+J119+P119</f>
        <v>2.1560479924348688E-2</v>
      </c>
      <c r="U119" s="169">
        <f t="shared" ca="1" si="12"/>
        <v>9.5604799243486863E-3</v>
      </c>
      <c r="V119" s="47">
        <f t="shared" ca="1" si="13"/>
        <v>0</v>
      </c>
    </row>
    <row r="120" spans="5:22">
      <c r="E120" s="32">
        <v>119</v>
      </c>
      <c r="F120" s="45">
        <f t="shared" si="7"/>
        <v>0.31733333333333336</v>
      </c>
      <c r="G120" s="45">
        <f t="shared" si="8"/>
        <v>2.014008888888889E-2</v>
      </c>
      <c r="H120" s="45">
        <f ca="1">F120*F120*('Sheet1 select'!$B$25)*$B$3</f>
        <v>2.2903366936938498E-3</v>
      </c>
      <c r="I120" s="45">
        <f>F120*(1-$B$3)*'Sheet1 select'!$B$41</f>
        <v>7.4044444444444441E-2</v>
      </c>
      <c r="J120" s="45">
        <f ca="1">F120*F120*('Sheet1 select'!$B$26)*(1-$B$3)</f>
        <v>0</v>
      </c>
      <c r="K120" s="45">
        <f>0.0000005*$B$10*F120*$B$8*((('Sheet1 select'!$B$33+0.5*'Sheet1 select'!$B$32)/(('Sheet1 select'!$B$10-'Sheet1 select'!$B$23)/('Sheet1 select'!$B$27+'Sheet1 select'!$B$8)))+(('Sheet1 select'!$B$33+0.5*'Sheet1 select'!$B$32)/(('Sheet1 select'!$B$23)/('Sheet1 select'!$B$27+'Sheet1 select'!$B$9))))</f>
        <v>4.3449870449870798E-3</v>
      </c>
      <c r="L120" s="45">
        <f>(F120*$B$28)*(('Sheet1 select'!$B$12+'Sheet1 select'!$B$13)*(0.000000001))*$B$8*1000</f>
        <v>0</v>
      </c>
      <c r="M120" s="45">
        <f t="shared" si="9"/>
        <v>6.481272239439854E-3</v>
      </c>
      <c r="N120" s="46">
        <f>$B$10*'Sheet1 select'!$B$29*0.001</f>
        <v>1.2E-2</v>
      </c>
      <c r="O120" s="44">
        <f>'Sheet1 select'!$B$10*'Sheet1 select'!$B$31*$B$8*1000*0.000000001</f>
        <v>3.0000000000000001E-3</v>
      </c>
      <c r="P120" s="44">
        <f>'Sheet1 select'!$B$35*$B$10*$B$8*1000*0.000000001</f>
        <v>0</v>
      </c>
      <c r="Q120" s="47">
        <f>IF('Sheet1 select'!$B$17=0,0,(0.00000006*0.7+0.00000003*(0.7+F120*1.1*'Sheet1 select'!$B$26))*F120*$B$8*1000)</f>
        <v>0</v>
      </c>
      <c r="R120" s="45">
        <f t="shared" ca="1" si="10"/>
        <v>0.12230112931145411</v>
      </c>
      <c r="S120" s="48">
        <f t="shared" ca="1" si="11"/>
        <v>0.92843567351047973</v>
      </c>
      <c r="T120" s="49">
        <f ca="1">H120+K120+O120+N120+'Sheet1 select'!$B$40*I120+J120+P120</f>
        <v>2.163532373868093E-2</v>
      </c>
      <c r="U120" s="169">
        <f t="shared" ca="1" si="12"/>
        <v>9.6353237386809301E-3</v>
      </c>
      <c r="V120" s="47">
        <f t="shared" ca="1" si="13"/>
        <v>0</v>
      </c>
    </row>
    <row r="121" spans="5:22">
      <c r="E121" s="32">
        <v>120</v>
      </c>
      <c r="F121" s="45">
        <f t="shared" si="7"/>
        <v>0.32</v>
      </c>
      <c r="G121" s="45">
        <f t="shared" si="8"/>
        <v>2.0480000000000002E-2</v>
      </c>
      <c r="H121" s="45">
        <f ca="1">F121*F121*('Sheet1 select'!$B$25)*$B$3</f>
        <v>2.328991482889022E-3</v>
      </c>
      <c r="I121" s="45">
        <f>F121*(1-$B$3)*'Sheet1 select'!$B$41</f>
        <v>7.4666666666666659E-2</v>
      </c>
      <c r="J121" s="45">
        <f ca="1">F121*F121*('Sheet1 select'!$B$26)*(1-$B$3)</f>
        <v>0</v>
      </c>
      <c r="K121" s="45">
        <f>0.0000005*$B$10*F121*$B$8*((('Sheet1 select'!$B$33+0.5*'Sheet1 select'!$B$32)/(('Sheet1 select'!$B$10-'Sheet1 select'!$B$23)/('Sheet1 select'!$B$27+'Sheet1 select'!$B$8)))+(('Sheet1 select'!$B$33+0.5*'Sheet1 select'!$B$32)/(('Sheet1 select'!$B$23)/('Sheet1 select'!$B$27+'Sheet1 select'!$B$9))))</f>
        <v>4.3814995411634427E-3</v>
      </c>
      <c r="L121" s="45">
        <f>(F121*$B$28)*(('Sheet1 select'!$B$12+'Sheet1 select'!$B$13)*(0.000000001))*$B$8*1000</f>
        <v>0</v>
      </c>
      <c r="M121" s="45">
        <f t="shared" si="9"/>
        <v>6.481272239439854E-3</v>
      </c>
      <c r="N121" s="46">
        <f>$B$10*'Sheet1 select'!$B$29*0.001</f>
        <v>1.2E-2</v>
      </c>
      <c r="O121" s="44">
        <f>'Sheet1 select'!$B$10*'Sheet1 select'!$B$31*$B$8*1000*0.000000001</f>
        <v>3.0000000000000001E-3</v>
      </c>
      <c r="P121" s="44">
        <f>'Sheet1 select'!$B$35*$B$10*$B$8*1000*0.000000001</f>
        <v>0</v>
      </c>
      <c r="Q121" s="47">
        <f>IF('Sheet1 select'!$B$17=0,0,(0.00000006*0.7+0.00000003*(0.7+F121*1.1*'Sheet1 select'!$B$26))*F121*$B$8*1000)</f>
        <v>0</v>
      </c>
      <c r="R121" s="45">
        <f t="shared" ca="1" si="10"/>
        <v>0.12333842993015898</v>
      </c>
      <c r="S121" s="48">
        <f t="shared" ca="1" si="11"/>
        <v>0.92843052311253949</v>
      </c>
      <c r="T121" s="49">
        <f ca="1">H121+K121+O121+N121+'Sheet1 select'!$B$40*I121+J121+P121</f>
        <v>2.1710491024052467E-2</v>
      </c>
      <c r="U121" s="169">
        <f t="shared" ca="1" si="12"/>
        <v>9.7104910240524648E-3</v>
      </c>
      <c r="V121" s="47">
        <f t="shared" ca="1" si="13"/>
        <v>0</v>
      </c>
    </row>
    <row r="122" spans="5:22">
      <c r="E122" s="32">
        <v>121</v>
      </c>
      <c r="F122" s="45">
        <f t="shared" si="7"/>
        <v>0.32266666666666671</v>
      </c>
      <c r="G122" s="45">
        <f t="shared" si="8"/>
        <v>2.0822755555555562E-2</v>
      </c>
      <c r="H122" s="45">
        <f ca="1">F122*F122*('Sheet1 select'!$B$25)*$B$3</f>
        <v>2.3679697431234848E-3</v>
      </c>
      <c r="I122" s="45">
        <f>F122*(1-$B$3)*'Sheet1 select'!$B$41</f>
        <v>7.5288888888888905E-2</v>
      </c>
      <c r="J122" s="45">
        <f ca="1">F122*F122*('Sheet1 select'!$B$26)*(1-$B$3)</f>
        <v>0</v>
      </c>
      <c r="K122" s="45">
        <f>0.0000005*$B$10*F122*$B$8*((('Sheet1 select'!$B$33+0.5*'Sheet1 select'!$B$32)/(('Sheet1 select'!$B$10-'Sheet1 select'!$B$23)/('Sheet1 select'!$B$27+'Sheet1 select'!$B$8)))+(('Sheet1 select'!$B$33+0.5*'Sheet1 select'!$B$32)/(('Sheet1 select'!$B$23)/('Sheet1 select'!$B$27+'Sheet1 select'!$B$9))))</f>
        <v>4.4180120373398038E-3</v>
      </c>
      <c r="L122" s="45">
        <f>(F122*$B$28)*(('Sheet1 select'!$B$12+'Sheet1 select'!$B$13)*(0.000000001))*$B$8*1000</f>
        <v>0</v>
      </c>
      <c r="M122" s="45">
        <f t="shared" si="9"/>
        <v>6.481272239439854E-3</v>
      </c>
      <c r="N122" s="46">
        <f>$B$10*'Sheet1 select'!$B$29*0.001</f>
        <v>1.2E-2</v>
      </c>
      <c r="O122" s="44">
        <f>'Sheet1 select'!$B$10*'Sheet1 select'!$B$31*$B$8*1000*0.000000001</f>
        <v>3.0000000000000001E-3</v>
      </c>
      <c r="P122" s="44">
        <f>'Sheet1 select'!$B$35*$B$10*$B$8*1000*0.000000001</f>
        <v>0</v>
      </c>
      <c r="Q122" s="47">
        <f>IF('Sheet1 select'!$B$17=0,0,(0.00000006*0.7+0.00000003*(0.7+F122*1.1*'Sheet1 select'!$B$26))*F122*$B$8*1000)</f>
        <v>0</v>
      </c>
      <c r="R122" s="45">
        <f t="shared" ca="1" si="10"/>
        <v>0.1243788984643476</v>
      </c>
      <c r="S122" s="48">
        <f t="shared" ca="1" si="11"/>
        <v>0.92842376534595927</v>
      </c>
      <c r="T122" s="49">
        <f ca="1">H122+K122+O122+N122+'Sheet1 select'!$B$40*I122+J122+P122</f>
        <v>2.1785981780463287E-2</v>
      </c>
      <c r="U122" s="169">
        <f t="shared" ca="1" si="12"/>
        <v>9.7859817804632886E-3</v>
      </c>
      <c r="V122" s="47">
        <f t="shared" ca="1" si="13"/>
        <v>0</v>
      </c>
    </row>
    <row r="123" spans="5:22">
      <c r="E123" s="32">
        <v>122</v>
      </c>
      <c r="F123" s="45">
        <f t="shared" si="7"/>
        <v>0.32533333333333336</v>
      </c>
      <c r="G123" s="45">
        <f t="shared" si="8"/>
        <v>2.116835555555556E-2</v>
      </c>
      <c r="H123" s="45">
        <f ca="1">F123*F123*('Sheet1 select'!$B$25)*$B$3</f>
        <v>2.4072714743972367E-3</v>
      </c>
      <c r="I123" s="45">
        <f>F123*(1-$B$3)*'Sheet1 select'!$B$41</f>
        <v>7.591111111111111E-2</v>
      </c>
      <c r="J123" s="45">
        <f ca="1">F123*F123*('Sheet1 select'!$B$26)*(1-$B$3)</f>
        <v>0</v>
      </c>
      <c r="K123" s="45">
        <f>0.0000005*$B$10*F123*$B$8*((('Sheet1 select'!$B$33+0.5*'Sheet1 select'!$B$32)/(('Sheet1 select'!$B$10-'Sheet1 select'!$B$23)/('Sheet1 select'!$B$27+'Sheet1 select'!$B$8)))+(('Sheet1 select'!$B$33+0.5*'Sheet1 select'!$B$32)/(('Sheet1 select'!$B$23)/('Sheet1 select'!$B$27+'Sheet1 select'!$B$9))))</f>
        <v>4.4545245335161658E-3</v>
      </c>
      <c r="L123" s="45">
        <f>(F123*$B$28)*(('Sheet1 select'!$B$12+'Sheet1 select'!$B$13)*(0.000000001))*$B$8*1000</f>
        <v>0</v>
      </c>
      <c r="M123" s="45">
        <f t="shared" si="9"/>
        <v>6.481272239439854E-3</v>
      </c>
      <c r="N123" s="46">
        <f>$B$10*'Sheet1 select'!$B$29*0.001</f>
        <v>1.2E-2</v>
      </c>
      <c r="O123" s="44">
        <f>'Sheet1 select'!$B$10*'Sheet1 select'!$B$31*$B$8*1000*0.000000001</f>
        <v>3.0000000000000001E-3</v>
      </c>
      <c r="P123" s="44">
        <f>'Sheet1 select'!$B$35*$B$10*$B$8*1000*0.000000001</f>
        <v>0</v>
      </c>
      <c r="Q123" s="47">
        <f>IF('Sheet1 select'!$B$17=0,0,(0.00000006*0.7+0.00000003*(0.7+F123*1.1*'Sheet1 select'!$B$26))*F123*$B$8*1000)</f>
        <v>0</v>
      </c>
      <c r="R123" s="45">
        <f t="shared" ca="1" si="10"/>
        <v>0.12542253491401992</v>
      </c>
      <c r="S123" s="48">
        <f t="shared" ca="1" si="11"/>
        <v>0.92841543980702179</v>
      </c>
      <c r="T123" s="49">
        <f ca="1">H123+K123+O123+N123+'Sheet1 select'!$B$40*I123+J123+P123</f>
        <v>2.1861796007913402E-2</v>
      </c>
      <c r="U123" s="169">
        <f t="shared" ca="1" si="12"/>
        <v>9.8617960079134016E-3</v>
      </c>
      <c r="V123" s="47">
        <f t="shared" ca="1" si="13"/>
        <v>0</v>
      </c>
    </row>
    <row r="124" spans="5:22">
      <c r="E124" s="32">
        <v>123</v>
      </c>
      <c r="F124" s="45">
        <f t="shared" si="7"/>
        <v>0.32800000000000001</v>
      </c>
      <c r="G124" s="45">
        <f t="shared" si="8"/>
        <v>2.1516800000000003E-2</v>
      </c>
      <c r="H124" s="45">
        <f ca="1">F124*F124*('Sheet1 select'!$B$25)*$B$3</f>
        <v>2.446896676710279E-3</v>
      </c>
      <c r="I124" s="45">
        <f>F124*(1-$B$3)*'Sheet1 select'!$B$41</f>
        <v>7.6533333333333342E-2</v>
      </c>
      <c r="J124" s="45">
        <f ca="1">F124*F124*('Sheet1 select'!$B$26)*(1-$B$3)</f>
        <v>0</v>
      </c>
      <c r="K124" s="45">
        <f>0.0000005*$B$10*F124*$B$8*((('Sheet1 select'!$B$33+0.5*'Sheet1 select'!$B$32)/(('Sheet1 select'!$B$10-'Sheet1 select'!$B$23)/('Sheet1 select'!$B$27+'Sheet1 select'!$B$8)))+(('Sheet1 select'!$B$33+0.5*'Sheet1 select'!$B$32)/(('Sheet1 select'!$B$23)/('Sheet1 select'!$B$27+'Sheet1 select'!$B$9))))</f>
        <v>4.4910370296925278E-3</v>
      </c>
      <c r="L124" s="45">
        <f>(F124*$B$28)*(('Sheet1 select'!$B$12+'Sheet1 select'!$B$13)*(0.000000001))*$B$8*1000</f>
        <v>0</v>
      </c>
      <c r="M124" s="45">
        <f t="shared" si="9"/>
        <v>6.481272239439854E-3</v>
      </c>
      <c r="N124" s="46">
        <f>$B$10*'Sheet1 select'!$B$29*0.001</f>
        <v>1.2E-2</v>
      </c>
      <c r="O124" s="44">
        <f>'Sheet1 select'!$B$10*'Sheet1 select'!$B$31*$B$8*1000*0.000000001</f>
        <v>3.0000000000000001E-3</v>
      </c>
      <c r="P124" s="44">
        <f>'Sheet1 select'!$B$35*$B$10*$B$8*1000*0.000000001</f>
        <v>0</v>
      </c>
      <c r="Q124" s="47">
        <f>IF('Sheet1 select'!$B$17=0,0,(0.00000006*0.7+0.00000003*(0.7+F124*1.1*'Sheet1 select'!$B$26))*F124*$B$8*1000)</f>
        <v>0</v>
      </c>
      <c r="R124" s="45">
        <f t="shared" ca="1" si="10"/>
        <v>0.126469339279176</v>
      </c>
      <c r="S124" s="48">
        <f t="shared" ca="1" si="11"/>
        <v>0.92840558481995339</v>
      </c>
      <c r="T124" s="49">
        <f ca="1">H124+K124+O124+N124+'Sheet1 select'!$B$40*I124+J124+P124</f>
        <v>2.1937933706402808E-2</v>
      </c>
      <c r="U124" s="169">
        <f t="shared" ca="1" si="12"/>
        <v>9.9379337064028073E-3</v>
      </c>
      <c r="V124" s="47">
        <f t="shared" ca="1" si="13"/>
        <v>0</v>
      </c>
    </row>
    <row r="125" spans="5:22">
      <c r="E125" s="32">
        <v>124</v>
      </c>
      <c r="F125" s="45">
        <f t="shared" si="7"/>
        <v>0.33066666666666666</v>
      </c>
      <c r="G125" s="45">
        <f t="shared" si="8"/>
        <v>2.1868088888888887E-2</v>
      </c>
      <c r="H125" s="45">
        <f ca="1">F125*F125*('Sheet1 select'!$B$25)*$B$3</f>
        <v>2.4868453500626114E-3</v>
      </c>
      <c r="I125" s="45">
        <f>F125*(1-$B$3)*'Sheet1 select'!$B$41</f>
        <v>7.7155555555555547E-2</v>
      </c>
      <c r="J125" s="45">
        <f ca="1">F125*F125*('Sheet1 select'!$B$26)*(1-$B$3)</f>
        <v>0</v>
      </c>
      <c r="K125" s="45">
        <f>0.0000005*$B$10*F125*$B$8*((('Sheet1 select'!$B$33+0.5*'Sheet1 select'!$B$32)/(('Sheet1 select'!$B$10-'Sheet1 select'!$B$23)/('Sheet1 select'!$B$27+'Sheet1 select'!$B$8)))+(('Sheet1 select'!$B$33+0.5*'Sheet1 select'!$B$32)/(('Sheet1 select'!$B$23)/('Sheet1 select'!$B$27+'Sheet1 select'!$B$9))))</f>
        <v>4.5275495258688897E-3</v>
      </c>
      <c r="L125" s="45">
        <f>(F125*$B$28)*(('Sheet1 select'!$B$12+'Sheet1 select'!$B$13)*(0.000000001))*$B$8*1000</f>
        <v>0</v>
      </c>
      <c r="M125" s="45">
        <f t="shared" si="9"/>
        <v>6.481272239439854E-3</v>
      </c>
      <c r="N125" s="46">
        <f>$B$10*'Sheet1 select'!$B$29*0.001</f>
        <v>1.2E-2</v>
      </c>
      <c r="O125" s="44">
        <f>'Sheet1 select'!$B$10*'Sheet1 select'!$B$31*$B$8*1000*0.000000001</f>
        <v>3.0000000000000001E-3</v>
      </c>
      <c r="P125" s="44">
        <f>'Sheet1 select'!$B$35*$B$10*$B$8*1000*0.000000001</f>
        <v>0</v>
      </c>
      <c r="Q125" s="47">
        <f>IF('Sheet1 select'!$B$17=0,0,(0.00000006*0.7+0.00000003*(0.7+F125*1.1*'Sheet1 select'!$B$26))*F125*$B$8*1000)</f>
        <v>0</v>
      </c>
      <c r="R125" s="45">
        <f t="shared" ca="1" si="10"/>
        <v>0.1275193115598158</v>
      </c>
      <c r="S125" s="48">
        <f t="shared" ca="1" si="11"/>
        <v>0.92839423748759009</v>
      </c>
      <c r="T125" s="49">
        <f ca="1">H125+K125+O125+N125+'Sheet1 select'!$B$40*I125+J125+P125</f>
        <v>2.2014394875931501E-2</v>
      </c>
      <c r="U125" s="169">
        <f t="shared" ca="1" si="12"/>
        <v>1.00143948759315E-2</v>
      </c>
      <c r="V125" s="47">
        <f t="shared" ca="1" si="13"/>
        <v>0</v>
      </c>
    </row>
    <row r="126" spans="5:22">
      <c r="E126" s="32">
        <v>125</v>
      </c>
      <c r="F126" s="45">
        <f t="shared" si="7"/>
        <v>0.33333333333333331</v>
      </c>
      <c r="G126" s="45">
        <f t="shared" si="8"/>
        <v>2.2222222222222223E-2</v>
      </c>
      <c r="H126" s="45">
        <f ca="1">F126*F126*('Sheet1 select'!$B$25)*$B$3</f>
        <v>2.5271174944542338E-3</v>
      </c>
      <c r="I126" s="45">
        <f>F126*(1-$B$3)*'Sheet1 select'!$B$41</f>
        <v>7.7777777777777779E-2</v>
      </c>
      <c r="J126" s="45">
        <f ca="1">F126*F126*('Sheet1 select'!$B$26)*(1-$B$3)</f>
        <v>0</v>
      </c>
      <c r="K126" s="45">
        <f>0.0000005*$B$10*F126*$B$8*((('Sheet1 select'!$B$33+0.5*'Sheet1 select'!$B$32)/(('Sheet1 select'!$B$10-'Sheet1 select'!$B$23)/('Sheet1 select'!$B$27+'Sheet1 select'!$B$8)))+(('Sheet1 select'!$B$33+0.5*'Sheet1 select'!$B$32)/(('Sheet1 select'!$B$23)/('Sheet1 select'!$B$27+'Sheet1 select'!$B$9))))</f>
        <v>4.5640620220452517E-3</v>
      </c>
      <c r="L126" s="45">
        <f>(F126*$B$28)*(('Sheet1 select'!$B$12+'Sheet1 select'!$B$13)*(0.000000001))*$B$8*1000</f>
        <v>0</v>
      </c>
      <c r="M126" s="45">
        <f t="shared" si="9"/>
        <v>6.481272239439854E-3</v>
      </c>
      <c r="N126" s="46">
        <f>$B$10*'Sheet1 select'!$B$29*0.001</f>
        <v>1.2E-2</v>
      </c>
      <c r="O126" s="44">
        <f>'Sheet1 select'!$B$10*'Sheet1 select'!$B$31*$B$8*1000*0.000000001</f>
        <v>3.0000000000000001E-3</v>
      </c>
      <c r="P126" s="44">
        <f>'Sheet1 select'!$B$35*$B$10*$B$8*1000*0.000000001</f>
        <v>0</v>
      </c>
      <c r="Q126" s="47">
        <f>IF('Sheet1 select'!$B$17=0,0,(0.00000006*0.7+0.00000003*(0.7+F126*1.1*'Sheet1 select'!$B$26))*F126*$B$8*1000)</f>
        <v>0</v>
      </c>
      <c r="R126" s="45">
        <f t="shared" ca="1" si="10"/>
        <v>0.12857245175593934</v>
      </c>
      <c r="S126" s="48">
        <f t="shared" ca="1" si="11"/>
        <v>0.92838143373964011</v>
      </c>
      <c r="T126" s="49">
        <f ca="1">H126+K126+O126+N126+'Sheet1 select'!$B$40*I126+J126+P126</f>
        <v>2.2091179516499485E-2</v>
      </c>
      <c r="U126" s="169">
        <f t="shared" ca="1" si="12"/>
        <v>1.0091179516499484E-2</v>
      </c>
      <c r="V126" s="47">
        <f t="shared" ca="1" si="13"/>
        <v>0</v>
      </c>
    </row>
    <row r="127" spans="5:22">
      <c r="E127" s="32">
        <v>126</v>
      </c>
      <c r="F127" s="45">
        <f t="shared" si="7"/>
        <v>0.33600000000000002</v>
      </c>
      <c r="G127" s="45">
        <f t="shared" si="8"/>
        <v>2.2579200000000004E-2</v>
      </c>
      <c r="H127" s="45">
        <f ca="1">F127*F127*('Sheet1 select'!$B$25)*$B$3</f>
        <v>2.5677131098851467E-3</v>
      </c>
      <c r="I127" s="45">
        <f>F127*(1-$B$3)*'Sheet1 select'!$B$41</f>
        <v>7.8399999999999997E-2</v>
      </c>
      <c r="J127" s="45">
        <f ca="1">F127*F127*('Sheet1 select'!$B$26)*(1-$B$3)</f>
        <v>0</v>
      </c>
      <c r="K127" s="45">
        <f>0.0000005*$B$10*F127*$B$8*((('Sheet1 select'!$B$33+0.5*'Sheet1 select'!$B$32)/(('Sheet1 select'!$B$10-'Sheet1 select'!$B$23)/('Sheet1 select'!$B$27+'Sheet1 select'!$B$8)))+(('Sheet1 select'!$B$33+0.5*'Sheet1 select'!$B$32)/(('Sheet1 select'!$B$23)/('Sheet1 select'!$B$27+'Sheet1 select'!$B$9))))</f>
        <v>4.6005745182216146E-3</v>
      </c>
      <c r="L127" s="45">
        <f>(F127*$B$28)*(('Sheet1 select'!$B$12+'Sheet1 select'!$B$13)*(0.000000001))*$B$8*1000</f>
        <v>0</v>
      </c>
      <c r="M127" s="45">
        <f t="shared" si="9"/>
        <v>6.481272239439854E-3</v>
      </c>
      <c r="N127" s="46">
        <f>$B$10*'Sheet1 select'!$B$29*0.001</f>
        <v>1.2E-2</v>
      </c>
      <c r="O127" s="44">
        <f>'Sheet1 select'!$B$10*'Sheet1 select'!$B$31*$B$8*1000*0.000000001</f>
        <v>3.0000000000000001E-3</v>
      </c>
      <c r="P127" s="44">
        <f>'Sheet1 select'!$B$35*$B$10*$B$8*1000*0.000000001</f>
        <v>0</v>
      </c>
      <c r="Q127" s="47">
        <f>IF('Sheet1 select'!$B$17=0,0,(0.00000006*0.7+0.00000003*(0.7+F127*1.1*'Sheet1 select'!$B$26))*F127*$B$8*1000)</f>
        <v>0</v>
      </c>
      <c r="R127" s="45">
        <f t="shared" ca="1" si="10"/>
        <v>0.12962875986754663</v>
      </c>
      <c r="S127" s="48">
        <f t="shared" ca="1" si="11"/>
        <v>0.92836720837867626</v>
      </c>
      <c r="T127" s="49">
        <f ca="1">H127+K127+O127+N127+'Sheet1 select'!$B$40*I127+J127+P127</f>
        <v>2.2168287628106763E-2</v>
      </c>
      <c r="U127" s="169">
        <f t="shared" ca="1" si="12"/>
        <v>1.0168287628106763E-2</v>
      </c>
      <c r="V127" s="47">
        <f t="shared" ca="1" si="13"/>
        <v>0</v>
      </c>
    </row>
    <row r="128" spans="5:22">
      <c r="E128" s="32">
        <v>127</v>
      </c>
      <c r="F128" s="45">
        <f t="shared" si="7"/>
        <v>0.33866666666666667</v>
      </c>
      <c r="G128" s="45">
        <f t="shared" si="8"/>
        <v>2.293902222222222E-2</v>
      </c>
      <c r="H128" s="45">
        <f ca="1">F128*F128*('Sheet1 select'!$B$25)*$B$3</f>
        <v>2.6086321963553496E-3</v>
      </c>
      <c r="I128" s="45">
        <f>F128*(1-$B$3)*'Sheet1 select'!$B$41</f>
        <v>7.9022222222222216E-2</v>
      </c>
      <c r="J128" s="45">
        <f ca="1">F128*F128*('Sheet1 select'!$B$26)*(1-$B$3)</f>
        <v>0</v>
      </c>
      <c r="K128" s="45">
        <f>0.0000005*$B$10*F128*$B$8*((('Sheet1 select'!$B$33+0.5*'Sheet1 select'!$B$32)/(('Sheet1 select'!$B$10-'Sheet1 select'!$B$23)/('Sheet1 select'!$B$27+'Sheet1 select'!$B$8)))+(('Sheet1 select'!$B$33+0.5*'Sheet1 select'!$B$32)/(('Sheet1 select'!$B$23)/('Sheet1 select'!$B$27+'Sheet1 select'!$B$9))))</f>
        <v>4.6370870143979757E-3</v>
      </c>
      <c r="L128" s="45">
        <f>(F128*$B$28)*(('Sheet1 select'!$B$12+'Sheet1 select'!$B$13)*(0.000000001))*$B$8*1000</f>
        <v>0</v>
      </c>
      <c r="M128" s="45">
        <f t="shared" si="9"/>
        <v>6.481272239439854E-3</v>
      </c>
      <c r="N128" s="46">
        <f>$B$10*'Sheet1 select'!$B$29*0.001</f>
        <v>1.2E-2</v>
      </c>
      <c r="O128" s="44">
        <f>'Sheet1 select'!$B$10*'Sheet1 select'!$B$31*$B$8*1000*0.000000001</f>
        <v>3.0000000000000001E-3</v>
      </c>
      <c r="P128" s="44">
        <f>'Sheet1 select'!$B$35*$B$10*$B$8*1000*0.000000001</f>
        <v>0</v>
      </c>
      <c r="Q128" s="47">
        <f>IF('Sheet1 select'!$B$17=0,0,(0.00000006*0.7+0.00000003*(0.7+F128*1.1*'Sheet1 select'!$B$26))*F128*$B$8*1000)</f>
        <v>0</v>
      </c>
      <c r="R128" s="45">
        <f t="shared" ca="1" si="10"/>
        <v>0.13068823589463763</v>
      </c>
      <c r="S128" s="48">
        <f t="shared" ca="1" si="11"/>
        <v>0.92835159512398069</v>
      </c>
      <c r="T128" s="49">
        <f ca="1">H128+K128+O128+N128+'Sheet1 select'!$B$40*I128+J128+P128</f>
        <v>2.2245719210753325E-2</v>
      </c>
      <c r="U128" s="169">
        <f t="shared" ca="1" si="12"/>
        <v>1.0245719210753325E-2</v>
      </c>
      <c r="V128" s="47">
        <f t="shared" ca="1" si="13"/>
        <v>0</v>
      </c>
    </row>
    <row r="129" spans="5:22">
      <c r="E129" s="32">
        <v>128</v>
      </c>
      <c r="F129" s="45">
        <f t="shared" si="7"/>
        <v>0.34133333333333338</v>
      </c>
      <c r="G129" s="45">
        <f t="shared" si="8"/>
        <v>2.3301688888888894E-2</v>
      </c>
      <c r="H129" s="45">
        <f ca="1">F129*F129*('Sheet1 select'!$B$25)*$B$3</f>
        <v>2.6498747538648434E-3</v>
      </c>
      <c r="I129" s="45">
        <f>F129*(1-$B$3)*'Sheet1 select'!$B$41</f>
        <v>7.9644444444444448E-2</v>
      </c>
      <c r="J129" s="45">
        <f ca="1">F129*F129*('Sheet1 select'!$B$26)*(1-$B$3)</f>
        <v>0</v>
      </c>
      <c r="K129" s="45">
        <f>0.0000005*$B$10*F129*$B$8*((('Sheet1 select'!$B$33+0.5*'Sheet1 select'!$B$32)/(('Sheet1 select'!$B$10-'Sheet1 select'!$B$23)/('Sheet1 select'!$B$27+'Sheet1 select'!$B$8)))+(('Sheet1 select'!$B$33+0.5*'Sheet1 select'!$B$32)/(('Sheet1 select'!$B$23)/('Sheet1 select'!$B$27+'Sheet1 select'!$B$9))))</f>
        <v>4.6735995105743385E-3</v>
      </c>
      <c r="L129" s="45">
        <f>(F129*$B$28)*(('Sheet1 select'!$B$12+'Sheet1 select'!$B$13)*(0.000000001))*$B$8*1000</f>
        <v>0</v>
      </c>
      <c r="M129" s="45">
        <f t="shared" si="9"/>
        <v>6.481272239439854E-3</v>
      </c>
      <c r="N129" s="46">
        <f>$B$10*'Sheet1 select'!$B$29*0.001</f>
        <v>1.2E-2</v>
      </c>
      <c r="O129" s="44">
        <f>'Sheet1 select'!$B$10*'Sheet1 select'!$B$31*$B$8*1000*0.000000001</f>
        <v>3.0000000000000001E-3</v>
      </c>
      <c r="P129" s="44">
        <f>'Sheet1 select'!$B$35*$B$10*$B$8*1000*0.000000001</f>
        <v>0</v>
      </c>
      <c r="Q129" s="47">
        <f>IF('Sheet1 select'!$B$17=0,0,(0.00000006*0.7+0.00000003*(0.7+F129*1.1*'Sheet1 select'!$B$26))*F129*$B$8*1000)</f>
        <v>0</v>
      </c>
      <c r="R129" s="45">
        <f t="shared" ca="1" si="10"/>
        <v>0.13175087983721237</v>
      </c>
      <c r="S129" s="48">
        <f t="shared" ca="1" si="11"/>
        <v>0.92833462665336108</v>
      </c>
      <c r="T129" s="49">
        <f ca="1">H129+K129+O129+N129+'Sheet1 select'!$B$40*I129+J129+P129</f>
        <v>2.2323474264439182E-2</v>
      </c>
      <c r="U129" s="169">
        <f t="shared" ca="1" si="12"/>
        <v>1.0323474264439182E-2</v>
      </c>
      <c r="V129" s="47">
        <f t="shared" ca="1" si="13"/>
        <v>0</v>
      </c>
    </row>
    <row r="130" spans="5:22">
      <c r="E130" s="32">
        <v>129</v>
      </c>
      <c r="F130" s="45">
        <f t="shared" ref="F130:F193" si="14">$B$12*E130/300</f>
        <v>0.34400000000000003</v>
      </c>
      <c r="G130" s="45">
        <f t="shared" ref="G130:G193" si="15">F130*F130*$B$14*0.001*2</f>
        <v>2.3667200000000006E-2</v>
      </c>
      <c r="H130" s="45">
        <f ca="1">F130*F130*('Sheet1 select'!$B$25)*$B$3</f>
        <v>2.6914407824136263E-3</v>
      </c>
      <c r="I130" s="45">
        <f>F130*(1-$B$3)*'Sheet1 select'!$B$41</f>
        <v>8.0266666666666667E-2</v>
      </c>
      <c r="J130" s="45">
        <f ca="1">F130*F130*('Sheet1 select'!$B$26)*(1-$B$3)</f>
        <v>0</v>
      </c>
      <c r="K130" s="45">
        <f>0.0000005*$B$10*F130*$B$8*((('Sheet1 select'!$B$33+0.5*'Sheet1 select'!$B$32)/(('Sheet1 select'!$B$10-'Sheet1 select'!$B$23)/('Sheet1 select'!$B$27+'Sheet1 select'!$B$8)))+(('Sheet1 select'!$B$33+0.5*'Sheet1 select'!$B$32)/(('Sheet1 select'!$B$23)/('Sheet1 select'!$B$27+'Sheet1 select'!$B$9))))</f>
        <v>4.7101120067506996E-3</v>
      </c>
      <c r="L130" s="45">
        <f>(F130*$B$28)*(('Sheet1 select'!$B$12+'Sheet1 select'!$B$13)*(0.000000001))*$B$8*1000</f>
        <v>0</v>
      </c>
      <c r="M130" s="45">
        <f t="shared" ref="M130:M193" si="16">($B$2^2)*$B$16*0.001</f>
        <v>6.481272239439854E-3</v>
      </c>
      <c r="N130" s="46">
        <f>$B$10*'Sheet1 select'!$B$29*0.001</f>
        <v>1.2E-2</v>
      </c>
      <c r="O130" s="44">
        <f>'Sheet1 select'!$B$10*'Sheet1 select'!$B$31*$B$8*1000*0.000000001</f>
        <v>3.0000000000000001E-3</v>
      </c>
      <c r="P130" s="44">
        <f>'Sheet1 select'!$B$35*$B$10*$B$8*1000*0.000000001</f>
        <v>0</v>
      </c>
      <c r="Q130" s="47">
        <f>IF('Sheet1 select'!$B$17=0,0,(0.00000006*0.7+0.00000003*(0.7+F130*1.1*'Sheet1 select'!$B$26))*F130*$B$8*1000)</f>
        <v>0</v>
      </c>
      <c r="R130" s="45">
        <f t="shared" ref="R130:R193" ca="1" si="17">SUM(G130:P130)+Q130</f>
        <v>0.13281669169527086</v>
      </c>
      <c r="S130" s="48">
        <f t="shared" ref="S130:S193" ca="1" si="18">($B$11*F130)/($B$11*F130+R130)</f>
        <v>0.92831633464304142</v>
      </c>
      <c r="T130" s="49">
        <f ca="1">H130+K130+O130+N130+'Sheet1 select'!$B$40*I130+J130+P130</f>
        <v>2.2401552789164326E-2</v>
      </c>
      <c r="U130" s="169">
        <f t="shared" ref="U130:U193" ca="1" si="19">H130+K130+O130</f>
        <v>1.0401552789164326E-2</v>
      </c>
      <c r="V130" s="47">
        <f t="shared" ref="V130:V193" ca="1" si="20">J130+P130+Q130</f>
        <v>0</v>
      </c>
    </row>
    <row r="131" spans="5:22">
      <c r="E131" s="32">
        <v>130</v>
      </c>
      <c r="F131" s="45">
        <f t="shared" si="14"/>
        <v>0.34666666666666668</v>
      </c>
      <c r="G131" s="45">
        <f t="shared" si="15"/>
        <v>2.4035555555555557E-2</v>
      </c>
      <c r="H131" s="45">
        <f ca="1">F131*F131*('Sheet1 select'!$B$25)*$B$3</f>
        <v>2.7333302820016997E-3</v>
      </c>
      <c r="I131" s="45">
        <f>F131*(1-$B$3)*'Sheet1 select'!$B$41</f>
        <v>8.0888888888888885E-2</v>
      </c>
      <c r="J131" s="45">
        <f ca="1">F131*F131*('Sheet1 select'!$B$26)*(1-$B$3)</f>
        <v>0</v>
      </c>
      <c r="K131" s="45">
        <f>0.0000005*$B$10*F131*$B$8*((('Sheet1 select'!$B$33+0.5*'Sheet1 select'!$B$32)/(('Sheet1 select'!$B$10-'Sheet1 select'!$B$23)/('Sheet1 select'!$B$27+'Sheet1 select'!$B$8)))+(('Sheet1 select'!$B$33+0.5*'Sheet1 select'!$B$32)/(('Sheet1 select'!$B$23)/('Sheet1 select'!$B$27+'Sheet1 select'!$B$9))))</f>
        <v>4.7466245029270616E-3</v>
      </c>
      <c r="L131" s="45">
        <f>(F131*$B$28)*(('Sheet1 select'!$B$12+'Sheet1 select'!$B$13)*(0.000000001))*$B$8*1000</f>
        <v>0</v>
      </c>
      <c r="M131" s="45">
        <f t="shared" si="16"/>
        <v>6.481272239439854E-3</v>
      </c>
      <c r="N131" s="46">
        <f>$B$10*'Sheet1 select'!$B$29*0.001</f>
        <v>1.2E-2</v>
      </c>
      <c r="O131" s="44">
        <f>'Sheet1 select'!$B$10*'Sheet1 select'!$B$31*$B$8*1000*0.000000001</f>
        <v>3.0000000000000001E-3</v>
      </c>
      <c r="P131" s="44">
        <f>'Sheet1 select'!$B$35*$B$10*$B$8*1000*0.000000001</f>
        <v>0</v>
      </c>
      <c r="Q131" s="47">
        <f>IF('Sheet1 select'!$B$17=0,0,(0.00000006*0.7+0.00000003*(0.7+F131*1.1*'Sheet1 select'!$B$26))*F131*$B$8*1000)</f>
        <v>0</v>
      </c>
      <c r="R131" s="45">
        <f t="shared" ca="1" si="17"/>
        <v>0.13388567146881306</v>
      </c>
      <c r="S131" s="48">
        <f t="shared" ca="1" si="18"/>
        <v>0.92829674980573595</v>
      </c>
      <c r="T131" s="49">
        <f ca="1">H131+K131+O131+N131+'Sheet1 select'!$B$40*I131+J131+P131</f>
        <v>2.2479954784928761E-2</v>
      </c>
      <c r="U131" s="169">
        <f t="shared" ca="1" si="19"/>
        <v>1.0479954784928761E-2</v>
      </c>
      <c r="V131" s="47">
        <f t="shared" ca="1" si="20"/>
        <v>0</v>
      </c>
    </row>
    <row r="132" spans="5:22">
      <c r="E132" s="32">
        <v>131</v>
      </c>
      <c r="F132" s="45">
        <f t="shared" si="14"/>
        <v>0.34933333333333338</v>
      </c>
      <c r="G132" s="45">
        <f t="shared" si="15"/>
        <v>2.4406755555555562E-2</v>
      </c>
      <c r="H132" s="45">
        <f ca="1">F132*F132*('Sheet1 select'!$B$25)*$B$3</f>
        <v>2.7755432526290636E-3</v>
      </c>
      <c r="I132" s="45">
        <f>F132*(1-$B$3)*'Sheet1 select'!$B$41</f>
        <v>8.1511111111111118E-2</v>
      </c>
      <c r="J132" s="45">
        <f ca="1">F132*F132*('Sheet1 select'!$B$26)*(1-$B$3)</f>
        <v>0</v>
      </c>
      <c r="K132" s="45">
        <f>0.0000005*$B$10*F132*$B$8*((('Sheet1 select'!$B$33+0.5*'Sheet1 select'!$B$32)/(('Sheet1 select'!$B$10-'Sheet1 select'!$B$23)/('Sheet1 select'!$B$27+'Sheet1 select'!$B$8)))+(('Sheet1 select'!$B$33+0.5*'Sheet1 select'!$B$32)/(('Sheet1 select'!$B$23)/('Sheet1 select'!$B$27+'Sheet1 select'!$B$9))))</f>
        <v>4.7831369991034245E-3</v>
      </c>
      <c r="L132" s="45">
        <f>(F132*$B$28)*(('Sheet1 select'!$B$12+'Sheet1 select'!$B$13)*(0.000000001))*$B$8*1000</f>
        <v>0</v>
      </c>
      <c r="M132" s="45">
        <f t="shared" si="16"/>
        <v>6.481272239439854E-3</v>
      </c>
      <c r="N132" s="46">
        <f>$B$10*'Sheet1 select'!$B$29*0.001</f>
        <v>1.2E-2</v>
      </c>
      <c r="O132" s="44">
        <f>'Sheet1 select'!$B$10*'Sheet1 select'!$B$31*$B$8*1000*0.000000001</f>
        <v>3.0000000000000001E-3</v>
      </c>
      <c r="P132" s="44">
        <f>'Sheet1 select'!$B$35*$B$10*$B$8*1000*0.000000001</f>
        <v>0</v>
      </c>
      <c r="Q132" s="47">
        <f>IF('Sheet1 select'!$B$17=0,0,(0.00000006*0.7+0.00000003*(0.7+F132*1.1*'Sheet1 select'!$B$26))*F132*$B$8*1000)</f>
        <v>0</v>
      </c>
      <c r="R132" s="45">
        <f t="shared" ca="1" si="17"/>
        <v>0.13495781915783903</v>
      </c>
      <c r="S132" s="48">
        <f t="shared" ca="1" si="18"/>
        <v>0.92827590192699783</v>
      </c>
      <c r="T132" s="49">
        <f ca="1">H132+K132+O132+N132+'Sheet1 select'!$B$40*I132+J132+P132</f>
        <v>2.2558680251732487E-2</v>
      </c>
      <c r="U132" s="169">
        <f t="shared" ca="1" si="19"/>
        <v>1.0558680251732488E-2</v>
      </c>
      <c r="V132" s="47">
        <f t="shared" ca="1" si="20"/>
        <v>0</v>
      </c>
    </row>
    <row r="133" spans="5:22">
      <c r="E133" s="32">
        <v>132</v>
      </c>
      <c r="F133" s="45">
        <f t="shared" si="14"/>
        <v>0.35200000000000004</v>
      </c>
      <c r="G133" s="45">
        <f t="shared" si="15"/>
        <v>2.4780800000000006E-2</v>
      </c>
      <c r="H133" s="45">
        <f ca="1">F133*F133*('Sheet1 select'!$B$25)*$B$3</f>
        <v>2.8180796942957171E-3</v>
      </c>
      <c r="I133" s="45">
        <f>F133*(1-$B$3)*'Sheet1 select'!$B$41</f>
        <v>8.2133333333333336E-2</v>
      </c>
      <c r="J133" s="45">
        <f ca="1">F133*F133*('Sheet1 select'!$B$26)*(1-$B$3)</f>
        <v>0</v>
      </c>
      <c r="K133" s="45">
        <f>0.0000005*$B$10*F133*$B$8*((('Sheet1 select'!$B$33+0.5*'Sheet1 select'!$B$32)/(('Sheet1 select'!$B$10-'Sheet1 select'!$B$23)/('Sheet1 select'!$B$27+'Sheet1 select'!$B$8)))+(('Sheet1 select'!$B$33+0.5*'Sheet1 select'!$B$32)/(('Sheet1 select'!$B$23)/('Sheet1 select'!$B$27+'Sheet1 select'!$B$9))))</f>
        <v>4.8196494952797864E-3</v>
      </c>
      <c r="L133" s="45">
        <f>(F133*$B$28)*(('Sheet1 select'!$B$12+'Sheet1 select'!$B$13)*(0.000000001))*$B$8*1000</f>
        <v>0</v>
      </c>
      <c r="M133" s="45">
        <f t="shared" si="16"/>
        <v>6.481272239439854E-3</v>
      </c>
      <c r="N133" s="46">
        <f>$B$10*'Sheet1 select'!$B$29*0.001</f>
        <v>1.2E-2</v>
      </c>
      <c r="O133" s="44">
        <f>'Sheet1 select'!$B$10*'Sheet1 select'!$B$31*$B$8*1000*0.000000001</f>
        <v>3.0000000000000001E-3</v>
      </c>
      <c r="P133" s="44">
        <f>'Sheet1 select'!$B$35*$B$10*$B$8*1000*0.000000001</f>
        <v>0</v>
      </c>
      <c r="Q133" s="47">
        <f>IF('Sheet1 select'!$B$17=0,0,(0.00000006*0.7+0.00000003*(0.7+F133*1.1*'Sheet1 select'!$B$26))*F133*$B$8*1000)</f>
        <v>0</v>
      </c>
      <c r="R133" s="45">
        <f t="shared" ca="1" si="17"/>
        <v>0.13603313476234871</v>
      </c>
      <c r="S133" s="48">
        <f t="shared" ca="1" si="18"/>
        <v>0.92825381989993583</v>
      </c>
      <c r="T133" s="49">
        <f ca="1">H133+K133+O133+N133+'Sheet1 select'!$B$40*I133+J133+P133</f>
        <v>2.2637729189575503E-2</v>
      </c>
      <c r="U133" s="169">
        <f t="shared" ca="1" si="19"/>
        <v>1.0637729189575503E-2</v>
      </c>
      <c r="V133" s="47">
        <f t="shared" ca="1" si="20"/>
        <v>0</v>
      </c>
    </row>
    <row r="134" spans="5:22">
      <c r="E134" s="32">
        <v>133</v>
      </c>
      <c r="F134" s="45">
        <f t="shared" si="14"/>
        <v>0.35466666666666669</v>
      </c>
      <c r="G134" s="45">
        <f t="shared" si="15"/>
        <v>2.5157688888888891E-2</v>
      </c>
      <c r="H134" s="45">
        <f ca="1">F134*F134*('Sheet1 select'!$B$25)*$B$3</f>
        <v>2.8609396070016606E-3</v>
      </c>
      <c r="I134" s="45">
        <f>F134*(1-$B$3)*'Sheet1 select'!$B$41</f>
        <v>8.2755555555555554E-2</v>
      </c>
      <c r="J134" s="45">
        <f ca="1">F134*F134*('Sheet1 select'!$B$26)*(1-$B$3)</f>
        <v>0</v>
      </c>
      <c r="K134" s="45">
        <f>0.0000005*$B$10*F134*$B$8*((('Sheet1 select'!$B$33+0.5*'Sheet1 select'!$B$32)/(('Sheet1 select'!$B$10-'Sheet1 select'!$B$23)/('Sheet1 select'!$B$27+'Sheet1 select'!$B$8)))+(('Sheet1 select'!$B$33+0.5*'Sheet1 select'!$B$32)/(('Sheet1 select'!$B$23)/('Sheet1 select'!$B$27+'Sheet1 select'!$B$9))))</f>
        <v>4.8561619914561484E-3</v>
      </c>
      <c r="L134" s="45">
        <f>(F134*$B$28)*(('Sheet1 select'!$B$12+'Sheet1 select'!$B$13)*(0.000000001))*$B$8*1000</f>
        <v>0</v>
      </c>
      <c r="M134" s="45">
        <f t="shared" si="16"/>
        <v>6.481272239439854E-3</v>
      </c>
      <c r="N134" s="46">
        <f>$B$10*'Sheet1 select'!$B$29*0.001</f>
        <v>1.2E-2</v>
      </c>
      <c r="O134" s="44">
        <f>'Sheet1 select'!$B$10*'Sheet1 select'!$B$31*$B$8*1000*0.000000001</f>
        <v>3.0000000000000001E-3</v>
      </c>
      <c r="P134" s="44">
        <f>'Sheet1 select'!$B$35*$B$10*$B$8*1000*0.000000001</f>
        <v>0</v>
      </c>
      <c r="Q134" s="47">
        <f>IF('Sheet1 select'!$B$17=0,0,(0.00000006*0.7+0.00000003*(0.7+F134*1.1*'Sheet1 select'!$B$26))*F134*$B$8*1000)</f>
        <v>0</v>
      </c>
      <c r="R134" s="45">
        <f t="shared" ca="1" si="17"/>
        <v>0.13711161828234211</v>
      </c>
      <c r="S134" s="48">
        <f t="shared" ca="1" si="18"/>
        <v>0.92823053175838122</v>
      </c>
      <c r="T134" s="49">
        <f ca="1">H134+K134+O134+N134+'Sheet1 select'!$B$40*I134+J134+P134</f>
        <v>2.2717101598457808E-2</v>
      </c>
      <c r="U134" s="169">
        <f t="shared" ca="1" si="19"/>
        <v>1.0717101598457809E-2</v>
      </c>
      <c r="V134" s="47">
        <f t="shared" ca="1" si="20"/>
        <v>0</v>
      </c>
    </row>
    <row r="135" spans="5:22">
      <c r="E135" s="32">
        <v>134</v>
      </c>
      <c r="F135" s="45">
        <f t="shared" si="14"/>
        <v>0.35733333333333334</v>
      </c>
      <c r="G135" s="45">
        <f t="shared" si="15"/>
        <v>2.5537422222222224E-2</v>
      </c>
      <c r="H135" s="45">
        <f ca="1">F135*F135*('Sheet1 select'!$B$25)*$B$3</f>
        <v>2.9041229907468941E-3</v>
      </c>
      <c r="I135" s="45">
        <f>F135*(1-$B$3)*'Sheet1 select'!$B$41</f>
        <v>8.3377777777777773E-2</v>
      </c>
      <c r="J135" s="45">
        <f ca="1">F135*F135*('Sheet1 select'!$B$26)*(1-$B$3)</f>
        <v>0</v>
      </c>
      <c r="K135" s="45">
        <f>0.0000005*$B$10*F135*$B$8*((('Sheet1 select'!$B$33+0.5*'Sheet1 select'!$B$32)/(('Sheet1 select'!$B$10-'Sheet1 select'!$B$23)/('Sheet1 select'!$B$27+'Sheet1 select'!$B$8)))+(('Sheet1 select'!$B$33+0.5*'Sheet1 select'!$B$32)/(('Sheet1 select'!$B$23)/('Sheet1 select'!$B$27+'Sheet1 select'!$B$9))))</f>
        <v>4.8926744876325104E-3</v>
      </c>
      <c r="L135" s="45">
        <f>(F135*$B$28)*(('Sheet1 select'!$B$12+'Sheet1 select'!$B$13)*(0.000000001))*$B$8*1000</f>
        <v>0</v>
      </c>
      <c r="M135" s="45">
        <f t="shared" si="16"/>
        <v>6.481272239439854E-3</v>
      </c>
      <c r="N135" s="46">
        <f>$B$10*'Sheet1 select'!$B$29*0.001</f>
        <v>1.2E-2</v>
      </c>
      <c r="O135" s="44">
        <f>'Sheet1 select'!$B$10*'Sheet1 select'!$B$31*$B$8*1000*0.000000001</f>
        <v>3.0000000000000001E-3</v>
      </c>
      <c r="P135" s="44">
        <f>'Sheet1 select'!$B$35*$B$10*$B$8*1000*0.000000001</f>
        <v>0</v>
      </c>
      <c r="Q135" s="47">
        <f>IF('Sheet1 select'!$B$17=0,0,(0.00000006*0.7+0.00000003*(0.7+F135*1.1*'Sheet1 select'!$B$26))*F135*$B$8*1000)</f>
        <v>0</v>
      </c>
      <c r="R135" s="45">
        <f t="shared" ca="1" si="17"/>
        <v>0.13819326971781926</v>
      </c>
      <c r="S135" s="48">
        <f t="shared" ca="1" si="18"/>
        <v>0.92820606470858802</v>
      </c>
      <c r="T135" s="49">
        <f ca="1">H135+K135+O135+N135+'Sheet1 select'!$B$40*I135+J135+P135</f>
        <v>2.2796797478379406E-2</v>
      </c>
      <c r="U135" s="169">
        <f t="shared" ca="1" si="19"/>
        <v>1.0796797478379406E-2</v>
      </c>
      <c r="V135" s="47">
        <f t="shared" ca="1" si="20"/>
        <v>0</v>
      </c>
    </row>
    <row r="136" spans="5:22">
      <c r="E136" s="32">
        <v>135</v>
      </c>
      <c r="F136" s="45">
        <f t="shared" si="14"/>
        <v>0.36</v>
      </c>
      <c r="G136" s="45">
        <f t="shared" si="15"/>
        <v>2.5919999999999999E-2</v>
      </c>
      <c r="H136" s="45">
        <f ca="1">F136*F136*('Sheet1 select'!$B$25)*$B$3</f>
        <v>2.9476298455314181E-3</v>
      </c>
      <c r="I136" s="45">
        <f>F136*(1-$B$3)*'Sheet1 select'!$B$41</f>
        <v>8.3999999999999991E-2</v>
      </c>
      <c r="J136" s="45">
        <f ca="1">F136*F136*('Sheet1 select'!$B$26)*(1-$B$3)</f>
        <v>0</v>
      </c>
      <c r="K136" s="45">
        <f>0.0000005*$B$10*F136*$B$8*((('Sheet1 select'!$B$33+0.5*'Sheet1 select'!$B$32)/(('Sheet1 select'!$B$10-'Sheet1 select'!$B$23)/('Sheet1 select'!$B$27+'Sheet1 select'!$B$8)))+(('Sheet1 select'!$B$33+0.5*'Sheet1 select'!$B$32)/(('Sheet1 select'!$B$23)/('Sheet1 select'!$B$27+'Sheet1 select'!$B$9))))</f>
        <v>4.9291869838088724E-3</v>
      </c>
      <c r="L136" s="45">
        <f>(F136*$B$28)*(('Sheet1 select'!$B$12+'Sheet1 select'!$B$13)*(0.000000001))*$B$8*1000</f>
        <v>0</v>
      </c>
      <c r="M136" s="45">
        <f t="shared" si="16"/>
        <v>6.481272239439854E-3</v>
      </c>
      <c r="N136" s="46">
        <f>$B$10*'Sheet1 select'!$B$29*0.001</f>
        <v>1.2E-2</v>
      </c>
      <c r="O136" s="44">
        <f>'Sheet1 select'!$B$10*'Sheet1 select'!$B$31*$B$8*1000*0.000000001</f>
        <v>3.0000000000000001E-3</v>
      </c>
      <c r="P136" s="44">
        <f>'Sheet1 select'!$B$35*$B$10*$B$8*1000*0.000000001</f>
        <v>0</v>
      </c>
      <c r="Q136" s="47">
        <f>IF('Sheet1 select'!$B$17=0,0,(0.00000006*0.7+0.00000003*(0.7+F136*1.1*'Sheet1 select'!$B$26))*F136*$B$8*1000)</f>
        <v>0</v>
      </c>
      <c r="R136" s="45">
        <f t="shared" ca="1" si="17"/>
        <v>0.13927808906878014</v>
      </c>
      <c r="S136" s="48">
        <f t="shared" ca="1" si="18"/>
        <v>0.92818044515953879</v>
      </c>
      <c r="T136" s="49">
        <f ca="1">H136+K136+O136+N136+'Sheet1 select'!$B$40*I136+J136+P136</f>
        <v>2.2876816829340292E-2</v>
      </c>
      <c r="U136" s="169">
        <f t="shared" ca="1" si="19"/>
        <v>1.0876816829340292E-2</v>
      </c>
      <c r="V136" s="47">
        <f t="shared" ca="1" si="20"/>
        <v>0</v>
      </c>
    </row>
    <row r="137" spans="5:22">
      <c r="E137" s="32">
        <v>136</v>
      </c>
      <c r="F137" s="45">
        <f t="shared" si="14"/>
        <v>0.36266666666666669</v>
      </c>
      <c r="G137" s="45">
        <f t="shared" si="15"/>
        <v>2.6305422222222225E-2</v>
      </c>
      <c r="H137" s="45">
        <f ca="1">F137*F137*('Sheet1 select'!$B$25)*$B$3</f>
        <v>2.991460171355233E-3</v>
      </c>
      <c r="I137" s="45">
        <f>F137*(1-$B$3)*'Sheet1 select'!$B$41</f>
        <v>8.4622222222222224E-2</v>
      </c>
      <c r="J137" s="45">
        <f ca="1">F137*F137*('Sheet1 select'!$B$26)*(1-$B$3)</f>
        <v>0</v>
      </c>
      <c r="K137" s="45">
        <f>0.0000005*$B$10*F137*$B$8*((('Sheet1 select'!$B$33+0.5*'Sheet1 select'!$B$32)/(('Sheet1 select'!$B$10-'Sheet1 select'!$B$23)/('Sheet1 select'!$B$27+'Sheet1 select'!$B$8)))+(('Sheet1 select'!$B$33+0.5*'Sheet1 select'!$B$32)/(('Sheet1 select'!$B$23)/('Sheet1 select'!$B$27+'Sheet1 select'!$B$9))))</f>
        <v>4.9656994799852344E-3</v>
      </c>
      <c r="L137" s="45">
        <f>(F137*$B$28)*(('Sheet1 select'!$B$12+'Sheet1 select'!$B$13)*(0.000000001))*$B$8*1000</f>
        <v>0</v>
      </c>
      <c r="M137" s="45">
        <f t="shared" si="16"/>
        <v>6.481272239439854E-3</v>
      </c>
      <c r="N137" s="46">
        <f>$B$10*'Sheet1 select'!$B$29*0.001</f>
        <v>1.2E-2</v>
      </c>
      <c r="O137" s="44">
        <f>'Sheet1 select'!$B$10*'Sheet1 select'!$B$31*$B$8*1000*0.000000001</f>
        <v>3.0000000000000001E-3</v>
      </c>
      <c r="P137" s="44">
        <f>'Sheet1 select'!$B$35*$B$10*$B$8*1000*0.000000001</f>
        <v>0</v>
      </c>
      <c r="Q137" s="47">
        <f>IF('Sheet1 select'!$B$17=0,0,(0.00000006*0.7+0.00000003*(0.7+F137*1.1*'Sheet1 select'!$B$26))*F137*$B$8*1000)</f>
        <v>0</v>
      </c>
      <c r="R137" s="45">
        <f t="shared" ca="1" si="17"/>
        <v>0.1403660763352248</v>
      </c>
      <c r="S137" s="48">
        <f t="shared" ca="1" si="18"/>
        <v>0.92815369875192943</v>
      </c>
      <c r="T137" s="49">
        <f ca="1">H137+K137+O137+N137+'Sheet1 select'!$B$40*I137+J137+P137</f>
        <v>2.2957159651340469E-2</v>
      </c>
      <c r="U137" s="169">
        <f t="shared" ca="1" si="19"/>
        <v>1.0957159651340469E-2</v>
      </c>
      <c r="V137" s="47">
        <f t="shared" ca="1" si="20"/>
        <v>0</v>
      </c>
    </row>
    <row r="138" spans="5:22">
      <c r="E138" s="32">
        <v>137</v>
      </c>
      <c r="F138" s="45">
        <f t="shared" si="14"/>
        <v>0.36533333333333334</v>
      </c>
      <c r="G138" s="45">
        <f t="shared" si="15"/>
        <v>2.669368888888889E-2</v>
      </c>
      <c r="H138" s="45">
        <f ca="1">F138*F138*('Sheet1 select'!$B$25)*$B$3</f>
        <v>3.035613968218337E-3</v>
      </c>
      <c r="I138" s="45">
        <f>F138*(1-$B$3)*'Sheet1 select'!$B$41</f>
        <v>8.5244444444444442E-2</v>
      </c>
      <c r="J138" s="45">
        <f ca="1">F138*F138*('Sheet1 select'!$B$26)*(1-$B$3)</f>
        <v>0</v>
      </c>
      <c r="K138" s="45">
        <f>0.0000005*$B$10*F138*$B$8*((('Sheet1 select'!$B$33+0.5*'Sheet1 select'!$B$32)/(('Sheet1 select'!$B$10-'Sheet1 select'!$B$23)/('Sheet1 select'!$B$27+'Sheet1 select'!$B$8)))+(('Sheet1 select'!$B$33+0.5*'Sheet1 select'!$B$32)/(('Sheet1 select'!$B$23)/('Sheet1 select'!$B$27+'Sheet1 select'!$B$9))))</f>
        <v>5.0022119761615955E-3</v>
      </c>
      <c r="L138" s="45">
        <f>(F138*$B$28)*(('Sheet1 select'!$B$12+'Sheet1 select'!$B$13)*(0.000000001))*$B$8*1000</f>
        <v>0</v>
      </c>
      <c r="M138" s="45">
        <f t="shared" si="16"/>
        <v>6.481272239439854E-3</v>
      </c>
      <c r="N138" s="46">
        <f>$B$10*'Sheet1 select'!$B$29*0.001</f>
        <v>1.2E-2</v>
      </c>
      <c r="O138" s="44">
        <f>'Sheet1 select'!$B$10*'Sheet1 select'!$B$31*$B$8*1000*0.000000001</f>
        <v>3.0000000000000001E-3</v>
      </c>
      <c r="P138" s="44">
        <f>'Sheet1 select'!$B$35*$B$10*$B$8*1000*0.000000001</f>
        <v>0</v>
      </c>
      <c r="Q138" s="47">
        <f>IF('Sheet1 select'!$B$17=0,0,(0.00000006*0.7+0.00000003*(0.7+F138*1.1*'Sheet1 select'!$B$26))*F138*$B$8*1000)</f>
        <v>0</v>
      </c>
      <c r="R138" s="45">
        <f t="shared" ca="1" si="17"/>
        <v>0.14145723151715314</v>
      </c>
      <c r="S138" s="48">
        <f t="shared" ca="1" si="18"/>
        <v>0.92812585038589812</v>
      </c>
      <c r="T138" s="49">
        <f ca="1">H138+K138+O138+N138+'Sheet1 select'!$B$40*I138+J138+P138</f>
        <v>2.3037825944379933E-2</v>
      </c>
      <c r="U138" s="169">
        <f t="shared" ca="1" si="19"/>
        <v>1.1037825944379933E-2</v>
      </c>
      <c r="V138" s="47">
        <f t="shared" ca="1" si="20"/>
        <v>0</v>
      </c>
    </row>
    <row r="139" spans="5:22">
      <c r="E139" s="32">
        <v>138</v>
      </c>
      <c r="F139" s="45">
        <f t="shared" si="14"/>
        <v>0.36799999999999999</v>
      </c>
      <c r="G139" s="45">
        <f t="shared" si="15"/>
        <v>2.7084799999999999E-2</v>
      </c>
      <c r="H139" s="45">
        <f ca="1">F139*F139*('Sheet1 select'!$B$25)*$B$3</f>
        <v>3.0800912361207311E-3</v>
      </c>
      <c r="I139" s="45">
        <f>F139*(1-$B$3)*'Sheet1 select'!$B$41</f>
        <v>8.5866666666666661E-2</v>
      </c>
      <c r="J139" s="45">
        <f ca="1">F139*F139*('Sheet1 select'!$B$26)*(1-$B$3)</f>
        <v>0</v>
      </c>
      <c r="K139" s="45">
        <f>0.0000005*$B$10*F139*$B$8*((('Sheet1 select'!$B$33+0.5*'Sheet1 select'!$B$32)/(('Sheet1 select'!$B$10-'Sheet1 select'!$B$23)/('Sheet1 select'!$B$27+'Sheet1 select'!$B$8)))+(('Sheet1 select'!$B$33+0.5*'Sheet1 select'!$B$32)/(('Sheet1 select'!$B$23)/('Sheet1 select'!$B$27+'Sheet1 select'!$B$9))))</f>
        <v>5.0387244723379583E-3</v>
      </c>
      <c r="L139" s="45">
        <f>(F139*$B$28)*(('Sheet1 select'!$B$12+'Sheet1 select'!$B$13)*(0.000000001))*$B$8*1000</f>
        <v>0</v>
      </c>
      <c r="M139" s="45">
        <f t="shared" si="16"/>
        <v>6.481272239439854E-3</v>
      </c>
      <c r="N139" s="46">
        <f>$B$10*'Sheet1 select'!$B$29*0.001</f>
        <v>1.2E-2</v>
      </c>
      <c r="O139" s="44">
        <f>'Sheet1 select'!$B$10*'Sheet1 select'!$B$31*$B$8*1000*0.000000001</f>
        <v>3.0000000000000001E-3</v>
      </c>
      <c r="P139" s="44">
        <f>'Sheet1 select'!$B$35*$B$10*$B$8*1000*0.000000001</f>
        <v>0</v>
      </c>
      <c r="Q139" s="47">
        <f>IF('Sheet1 select'!$B$17=0,0,(0.00000006*0.7+0.00000003*(0.7+F139*1.1*'Sheet1 select'!$B$26))*F139*$B$8*1000)</f>
        <v>0</v>
      </c>
      <c r="R139" s="45">
        <f t="shared" ca="1" si="17"/>
        <v>0.14255155461456523</v>
      </c>
      <c r="S139" s="48">
        <f t="shared" ca="1" si="18"/>
        <v>0.92809692424756174</v>
      </c>
      <c r="T139" s="49">
        <f ca="1">H139+K139+O139+N139+'Sheet1 select'!$B$40*I139+J139+P139</f>
        <v>2.3118815708458688E-2</v>
      </c>
      <c r="U139" s="169">
        <f t="shared" ca="1" si="19"/>
        <v>1.1118815708458688E-2</v>
      </c>
      <c r="V139" s="47">
        <f t="shared" ca="1" si="20"/>
        <v>0</v>
      </c>
    </row>
    <row r="140" spans="5:22">
      <c r="E140" s="32">
        <v>139</v>
      </c>
      <c r="F140" s="45">
        <f t="shared" si="14"/>
        <v>0.3706666666666667</v>
      </c>
      <c r="G140" s="45">
        <f t="shared" si="15"/>
        <v>2.7478755555555564E-2</v>
      </c>
      <c r="H140" s="45">
        <f ca="1">F140*F140*('Sheet1 select'!$B$25)*$B$3</f>
        <v>3.124891975062417E-3</v>
      </c>
      <c r="I140" s="45">
        <f>F140*(1-$B$3)*'Sheet1 select'!$B$41</f>
        <v>8.6488888888888893E-2</v>
      </c>
      <c r="J140" s="45">
        <f ca="1">F140*F140*('Sheet1 select'!$B$26)*(1-$B$3)</f>
        <v>0</v>
      </c>
      <c r="K140" s="45">
        <f>0.0000005*$B$10*F140*$B$8*((('Sheet1 select'!$B$33+0.5*'Sheet1 select'!$B$32)/(('Sheet1 select'!$B$10-'Sheet1 select'!$B$23)/('Sheet1 select'!$B$27+'Sheet1 select'!$B$8)))+(('Sheet1 select'!$B$33+0.5*'Sheet1 select'!$B$32)/(('Sheet1 select'!$B$23)/('Sheet1 select'!$B$27+'Sheet1 select'!$B$9))))</f>
        <v>5.0752369685143203E-3</v>
      </c>
      <c r="L140" s="45">
        <f>(F140*$B$28)*(('Sheet1 select'!$B$12+'Sheet1 select'!$B$13)*(0.000000001))*$B$8*1000</f>
        <v>0</v>
      </c>
      <c r="M140" s="45">
        <f t="shared" si="16"/>
        <v>6.481272239439854E-3</v>
      </c>
      <c r="N140" s="46">
        <f>$B$10*'Sheet1 select'!$B$29*0.001</f>
        <v>1.2E-2</v>
      </c>
      <c r="O140" s="44">
        <f>'Sheet1 select'!$B$10*'Sheet1 select'!$B$31*$B$8*1000*0.000000001</f>
        <v>3.0000000000000001E-3</v>
      </c>
      <c r="P140" s="44">
        <f>'Sheet1 select'!$B$35*$B$10*$B$8*1000*0.000000001</f>
        <v>0</v>
      </c>
      <c r="Q140" s="47">
        <f>IF('Sheet1 select'!$B$17=0,0,(0.00000006*0.7+0.00000003*(0.7+F140*1.1*'Sheet1 select'!$B$26))*F140*$B$8*1000)</f>
        <v>0</v>
      </c>
      <c r="R140" s="45">
        <f t="shared" ca="1" si="17"/>
        <v>0.14364904562746106</v>
      </c>
      <c r="S140" s="48">
        <f t="shared" ca="1" si="18"/>
        <v>0.92806694383441968</v>
      </c>
      <c r="T140" s="49">
        <f ca="1">H140+K140+O140+N140+'Sheet1 select'!$B$40*I140+J140+P140</f>
        <v>2.3200128943576738E-2</v>
      </c>
      <c r="U140" s="169">
        <f t="shared" ca="1" si="19"/>
        <v>1.1200128943576738E-2</v>
      </c>
      <c r="V140" s="47">
        <f t="shared" ca="1" si="20"/>
        <v>0</v>
      </c>
    </row>
    <row r="141" spans="5:22">
      <c r="E141" s="32">
        <v>140</v>
      </c>
      <c r="F141" s="45">
        <f t="shared" si="14"/>
        <v>0.37333333333333335</v>
      </c>
      <c r="G141" s="45">
        <f t="shared" si="15"/>
        <v>2.787555555555556E-2</v>
      </c>
      <c r="H141" s="45">
        <f ca="1">F141*F141*('Sheet1 select'!$B$25)*$B$3</f>
        <v>3.1700161850433911E-3</v>
      </c>
      <c r="I141" s="45">
        <f>F141*(1-$B$3)*'Sheet1 select'!$B$41</f>
        <v>8.7111111111111111E-2</v>
      </c>
      <c r="J141" s="45">
        <f ca="1">F141*F141*('Sheet1 select'!$B$26)*(1-$B$3)</f>
        <v>0</v>
      </c>
      <c r="K141" s="45">
        <f>0.0000005*$B$10*F141*$B$8*((('Sheet1 select'!$B$33+0.5*'Sheet1 select'!$B$32)/(('Sheet1 select'!$B$10-'Sheet1 select'!$B$23)/('Sheet1 select'!$B$27+'Sheet1 select'!$B$8)))+(('Sheet1 select'!$B$33+0.5*'Sheet1 select'!$B$32)/(('Sheet1 select'!$B$23)/('Sheet1 select'!$B$27+'Sheet1 select'!$B$9))))</f>
        <v>5.1117494646906823E-3</v>
      </c>
      <c r="L141" s="45">
        <f>(F141*$B$28)*(('Sheet1 select'!$B$12+'Sheet1 select'!$B$13)*(0.000000001))*$B$8*1000</f>
        <v>0</v>
      </c>
      <c r="M141" s="45">
        <f t="shared" si="16"/>
        <v>6.481272239439854E-3</v>
      </c>
      <c r="N141" s="46">
        <f>$B$10*'Sheet1 select'!$B$29*0.001</f>
        <v>1.2E-2</v>
      </c>
      <c r="O141" s="44">
        <f>'Sheet1 select'!$B$10*'Sheet1 select'!$B$31*$B$8*1000*0.000000001</f>
        <v>3.0000000000000001E-3</v>
      </c>
      <c r="P141" s="44">
        <f>'Sheet1 select'!$B$35*$B$10*$B$8*1000*0.000000001</f>
        <v>0</v>
      </c>
      <c r="Q141" s="47">
        <f>IF('Sheet1 select'!$B$17=0,0,(0.00000006*0.7+0.00000003*(0.7+F141*1.1*'Sheet1 select'!$B$26))*F141*$B$8*1000)</f>
        <v>0</v>
      </c>
      <c r="R141" s="45">
        <f t="shared" ca="1" si="17"/>
        <v>0.14474970455584063</v>
      </c>
      <c r="S141" s="48">
        <f t="shared" ca="1" si="18"/>
        <v>0.92803593197968048</v>
      </c>
      <c r="T141" s="49">
        <f ca="1">H141+K141+O141+N141+'Sheet1 select'!$B$40*I141+J141+P141</f>
        <v>2.3281765649734075E-2</v>
      </c>
      <c r="U141" s="169">
        <f t="shared" ca="1" si="19"/>
        <v>1.1281765649734075E-2</v>
      </c>
      <c r="V141" s="47">
        <f t="shared" ca="1" si="20"/>
        <v>0</v>
      </c>
    </row>
    <row r="142" spans="5:22">
      <c r="E142" s="32">
        <v>141</v>
      </c>
      <c r="F142" s="45">
        <f t="shared" si="14"/>
        <v>0.37600000000000006</v>
      </c>
      <c r="G142" s="45">
        <f t="shared" si="15"/>
        <v>2.8275200000000007E-2</v>
      </c>
      <c r="H142" s="45">
        <f ca="1">F142*F142*('Sheet1 select'!$B$25)*$B$3</f>
        <v>3.2154638660636561E-3</v>
      </c>
      <c r="I142" s="45">
        <f>F142*(1-$B$3)*'Sheet1 select'!$B$41</f>
        <v>8.773333333333333E-2</v>
      </c>
      <c r="J142" s="45">
        <f ca="1">F142*F142*('Sheet1 select'!$B$26)*(1-$B$3)</f>
        <v>0</v>
      </c>
      <c r="K142" s="45">
        <f>0.0000005*$B$10*F142*$B$8*((('Sheet1 select'!$B$33+0.5*'Sheet1 select'!$B$32)/(('Sheet1 select'!$B$10-'Sheet1 select'!$B$23)/('Sheet1 select'!$B$27+'Sheet1 select'!$B$8)))+(('Sheet1 select'!$B$33+0.5*'Sheet1 select'!$B$32)/(('Sheet1 select'!$B$23)/('Sheet1 select'!$B$27+'Sheet1 select'!$B$9))))</f>
        <v>5.1482619608670451E-3</v>
      </c>
      <c r="L142" s="45">
        <f>(F142*$B$28)*(('Sheet1 select'!$B$12+'Sheet1 select'!$B$13)*(0.000000001))*$B$8*1000</f>
        <v>0</v>
      </c>
      <c r="M142" s="45">
        <f t="shared" si="16"/>
        <v>6.481272239439854E-3</v>
      </c>
      <c r="N142" s="46">
        <f>$B$10*'Sheet1 select'!$B$29*0.001</f>
        <v>1.2E-2</v>
      </c>
      <c r="O142" s="44">
        <f>'Sheet1 select'!$B$10*'Sheet1 select'!$B$31*$B$8*1000*0.000000001</f>
        <v>3.0000000000000001E-3</v>
      </c>
      <c r="P142" s="44">
        <f>'Sheet1 select'!$B$35*$B$10*$B$8*1000*0.000000001</f>
        <v>0</v>
      </c>
      <c r="Q142" s="47">
        <f>IF('Sheet1 select'!$B$17=0,0,(0.00000006*0.7+0.00000003*(0.7+F142*1.1*'Sheet1 select'!$B$26))*F142*$B$8*1000)</f>
        <v>0</v>
      </c>
      <c r="R142" s="45">
        <f t="shared" ca="1" si="17"/>
        <v>0.14585353139970392</v>
      </c>
      <c r="S142" s="48">
        <f t="shared" ca="1" si="18"/>
        <v>0.92800391087556522</v>
      </c>
      <c r="T142" s="49">
        <f ca="1">H142+K142+O142+N142+'Sheet1 select'!$B$40*I142+J142+P142</f>
        <v>2.3363725826930703E-2</v>
      </c>
      <c r="U142" s="169">
        <f t="shared" ca="1" si="19"/>
        <v>1.1363725826930703E-2</v>
      </c>
      <c r="V142" s="47">
        <f t="shared" ca="1" si="20"/>
        <v>0</v>
      </c>
    </row>
    <row r="143" spans="5:22">
      <c r="E143" s="32">
        <v>142</v>
      </c>
      <c r="F143" s="45">
        <f t="shared" si="14"/>
        <v>0.37866666666666671</v>
      </c>
      <c r="G143" s="45">
        <f t="shared" si="15"/>
        <v>2.86776888888889E-2</v>
      </c>
      <c r="H143" s="45">
        <f ca="1">F143*F143*('Sheet1 select'!$B$25)*$B$3</f>
        <v>3.2612350181232116E-3</v>
      </c>
      <c r="I143" s="45">
        <f>F143*(1-$B$3)*'Sheet1 select'!$B$41</f>
        <v>8.8355555555555562E-2</v>
      </c>
      <c r="J143" s="45">
        <f ca="1">F143*F143*('Sheet1 select'!$B$26)*(1-$B$3)</f>
        <v>0</v>
      </c>
      <c r="K143" s="45">
        <f>0.0000005*$B$10*F143*$B$8*((('Sheet1 select'!$B$33+0.5*'Sheet1 select'!$B$32)/(('Sheet1 select'!$B$10-'Sheet1 select'!$B$23)/('Sheet1 select'!$B$27+'Sheet1 select'!$B$8)))+(('Sheet1 select'!$B$33+0.5*'Sheet1 select'!$B$32)/(('Sheet1 select'!$B$23)/('Sheet1 select'!$B$27+'Sheet1 select'!$B$9))))</f>
        <v>5.1847744570434071E-3</v>
      </c>
      <c r="L143" s="45">
        <f>(F143*$B$28)*(('Sheet1 select'!$B$12+'Sheet1 select'!$B$13)*(0.000000001))*$B$8*1000</f>
        <v>0</v>
      </c>
      <c r="M143" s="45">
        <f t="shared" si="16"/>
        <v>6.481272239439854E-3</v>
      </c>
      <c r="N143" s="46">
        <f>$B$10*'Sheet1 select'!$B$29*0.001</f>
        <v>1.2E-2</v>
      </c>
      <c r="O143" s="44">
        <f>'Sheet1 select'!$B$10*'Sheet1 select'!$B$31*$B$8*1000*0.000000001</f>
        <v>3.0000000000000001E-3</v>
      </c>
      <c r="P143" s="44">
        <f>'Sheet1 select'!$B$35*$B$10*$B$8*1000*0.000000001</f>
        <v>0</v>
      </c>
      <c r="Q143" s="47">
        <f>IF('Sheet1 select'!$B$17=0,0,(0.00000006*0.7+0.00000003*(0.7+F143*1.1*'Sheet1 select'!$B$26))*F143*$B$8*1000)</f>
        <v>0</v>
      </c>
      <c r="R143" s="45">
        <f t="shared" ca="1" si="17"/>
        <v>0.14696052615905097</v>
      </c>
      <c r="S143" s="48">
        <f t="shared" ca="1" si="18"/>
        <v>0.92797090209563537</v>
      </c>
      <c r="T143" s="49">
        <f ca="1">H143+K143+O143+N143+'Sheet1 select'!$B$40*I143+J143+P143</f>
        <v>2.3446009475166618E-2</v>
      </c>
      <c r="U143" s="169">
        <f t="shared" ca="1" si="19"/>
        <v>1.1446009475166618E-2</v>
      </c>
      <c r="V143" s="47">
        <f t="shared" ca="1" si="20"/>
        <v>0</v>
      </c>
    </row>
    <row r="144" spans="5:22">
      <c r="E144" s="32">
        <v>143</v>
      </c>
      <c r="F144" s="45">
        <f t="shared" si="14"/>
        <v>0.38133333333333336</v>
      </c>
      <c r="G144" s="45">
        <f t="shared" si="15"/>
        <v>2.9083022222222227E-2</v>
      </c>
      <c r="H144" s="45">
        <f ca="1">F144*F144*('Sheet1 select'!$B$25)*$B$3</f>
        <v>3.3073296412220567E-3</v>
      </c>
      <c r="I144" s="45">
        <f>F144*(1-$B$3)*'Sheet1 select'!$B$41</f>
        <v>8.8977777777777767E-2</v>
      </c>
      <c r="J144" s="45">
        <f ca="1">F144*F144*('Sheet1 select'!$B$26)*(1-$B$3)</f>
        <v>0</v>
      </c>
      <c r="K144" s="45">
        <f>0.0000005*$B$10*F144*$B$8*((('Sheet1 select'!$B$33+0.5*'Sheet1 select'!$B$32)/(('Sheet1 select'!$B$10-'Sheet1 select'!$B$23)/('Sheet1 select'!$B$27+'Sheet1 select'!$B$8)))+(('Sheet1 select'!$B$33+0.5*'Sheet1 select'!$B$32)/(('Sheet1 select'!$B$23)/('Sheet1 select'!$B$27+'Sheet1 select'!$B$9))))</f>
        <v>5.2212869532197691E-3</v>
      </c>
      <c r="L144" s="45">
        <f>(F144*$B$28)*(('Sheet1 select'!$B$12+'Sheet1 select'!$B$13)*(0.000000001))*$B$8*1000</f>
        <v>0</v>
      </c>
      <c r="M144" s="45">
        <f t="shared" si="16"/>
        <v>6.481272239439854E-3</v>
      </c>
      <c r="N144" s="46">
        <f>$B$10*'Sheet1 select'!$B$29*0.001</f>
        <v>1.2E-2</v>
      </c>
      <c r="O144" s="44">
        <f>'Sheet1 select'!$B$10*'Sheet1 select'!$B$31*$B$8*1000*0.000000001</f>
        <v>3.0000000000000001E-3</v>
      </c>
      <c r="P144" s="44">
        <f>'Sheet1 select'!$B$35*$B$10*$B$8*1000*0.000000001</f>
        <v>0</v>
      </c>
      <c r="Q144" s="47">
        <f>IF('Sheet1 select'!$B$17=0,0,(0.00000006*0.7+0.00000003*(0.7+F144*1.1*'Sheet1 select'!$B$26))*F144*$B$8*1000)</f>
        <v>0</v>
      </c>
      <c r="R144" s="45">
        <f t="shared" ca="1" si="17"/>
        <v>0.14807068883388169</v>
      </c>
      <c r="S144" s="48">
        <f t="shared" ca="1" si="18"/>
        <v>0.92793692661619487</v>
      </c>
      <c r="T144" s="49">
        <f ca="1">H144+K144+O144+N144+'Sheet1 select'!$B$40*I144+J144+P144</f>
        <v>2.3528616594441824E-2</v>
      </c>
      <c r="U144" s="169">
        <f t="shared" ca="1" si="19"/>
        <v>1.1528616594441824E-2</v>
      </c>
      <c r="V144" s="47">
        <f t="shared" ca="1" si="20"/>
        <v>0</v>
      </c>
    </row>
    <row r="145" spans="5:22">
      <c r="E145" s="32">
        <v>144</v>
      </c>
      <c r="F145" s="45">
        <f t="shared" si="14"/>
        <v>0.38400000000000001</v>
      </c>
      <c r="G145" s="45">
        <f t="shared" si="15"/>
        <v>2.9491199999999999E-2</v>
      </c>
      <c r="H145" s="45">
        <f ca="1">F145*F145*('Sheet1 select'!$B$25)*$B$3</f>
        <v>3.3537477353601914E-3</v>
      </c>
      <c r="I145" s="45">
        <f>F145*(1-$B$3)*'Sheet1 select'!$B$41</f>
        <v>8.9599999999999999E-2</v>
      </c>
      <c r="J145" s="45">
        <f ca="1">F145*F145*('Sheet1 select'!$B$26)*(1-$B$3)</f>
        <v>0</v>
      </c>
      <c r="K145" s="45">
        <f>0.0000005*$B$10*F145*$B$8*((('Sheet1 select'!$B$33+0.5*'Sheet1 select'!$B$32)/(('Sheet1 select'!$B$10-'Sheet1 select'!$B$23)/('Sheet1 select'!$B$27+'Sheet1 select'!$B$8)))+(('Sheet1 select'!$B$33+0.5*'Sheet1 select'!$B$32)/(('Sheet1 select'!$B$23)/('Sheet1 select'!$B$27+'Sheet1 select'!$B$9))))</f>
        <v>5.2577994493961302E-3</v>
      </c>
      <c r="L145" s="45">
        <f>(F145*$B$28)*(('Sheet1 select'!$B$12+'Sheet1 select'!$B$13)*(0.000000001))*$B$8*1000</f>
        <v>0</v>
      </c>
      <c r="M145" s="45">
        <f t="shared" si="16"/>
        <v>6.481272239439854E-3</v>
      </c>
      <c r="N145" s="46">
        <f>$B$10*'Sheet1 select'!$B$29*0.001</f>
        <v>1.2E-2</v>
      </c>
      <c r="O145" s="44">
        <f>'Sheet1 select'!$B$10*'Sheet1 select'!$B$31*$B$8*1000*0.000000001</f>
        <v>3.0000000000000001E-3</v>
      </c>
      <c r="P145" s="44">
        <f>'Sheet1 select'!$B$35*$B$10*$B$8*1000*0.000000001</f>
        <v>0</v>
      </c>
      <c r="Q145" s="47">
        <f>IF('Sheet1 select'!$B$17=0,0,(0.00000006*0.7+0.00000003*(0.7+F145*1.1*'Sheet1 select'!$B$26))*F145*$B$8*1000)</f>
        <v>0</v>
      </c>
      <c r="R145" s="45">
        <f t="shared" ca="1" si="17"/>
        <v>0.14918401942419621</v>
      </c>
      <c r="S145" s="48">
        <f t="shared" ca="1" si="18"/>
        <v>0.92790200483680985</v>
      </c>
      <c r="T145" s="49">
        <f ca="1">H145+K145+O145+N145+'Sheet1 select'!$B$40*I145+J145+P145</f>
        <v>2.3611547184756321E-2</v>
      </c>
      <c r="U145" s="169">
        <f t="shared" ca="1" si="19"/>
        <v>1.1611547184756321E-2</v>
      </c>
      <c r="V145" s="47">
        <f t="shared" ca="1" si="20"/>
        <v>0</v>
      </c>
    </row>
    <row r="146" spans="5:22">
      <c r="E146" s="32">
        <v>145</v>
      </c>
      <c r="F146" s="45">
        <f t="shared" si="14"/>
        <v>0.38666666666666666</v>
      </c>
      <c r="G146" s="45">
        <f t="shared" si="15"/>
        <v>2.9902222222222219E-2</v>
      </c>
      <c r="H146" s="45">
        <f ca="1">F146*F146*('Sheet1 select'!$B$25)*$B$3</f>
        <v>3.4004893005376165E-3</v>
      </c>
      <c r="I146" s="45">
        <f>F146*(1-$B$3)*'Sheet1 select'!$B$41</f>
        <v>9.0222222222222204E-2</v>
      </c>
      <c r="J146" s="45">
        <f ca="1">F146*F146*('Sheet1 select'!$B$26)*(1-$B$3)</f>
        <v>0</v>
      </c>
      <c r="K146" s="45">
        <f>0.0000005*$B$10*F146*$B$8*((('Sheet1 select'!$B$33+0.5*'Sheet1 select'!$B$32)/(('Sheet1 select'!$B$10-'Sheet1 select'!$B$23)/('Sheet1 select'!$B$27+'Sheet1 select'!$B$8)))+(('Sheet1 select'!$B$33+0.5*'Sheet1 select'!$B$32)/(('Sheet1 select'!$B$23)/('Sheet1 select'!$B$27+'Sheet1 select'!$B$9))))</f>
        <v>5.2943119455724913E-3</v>
      </c>
      <c r="L146" s="45">
        <f>(F146*$B$28)*(('Sheet1 select'!$B$12+'Sheet1 select'!$B$13)*(0.000000001))*$B$8*1000</f>
        <v>0</v>
      </c>
      <c r="M146" s="45">
        <f t="shared" si="16"/>
        <v>6.481272239439854E-3</v>
      </c>
      <c r="N146" s="46">
        <f>$B$10*'Sheet1 select'!$B$29*0.001</f>
        <v>1.2E-2</v>
      </c>
      <c r="O146" s="44">
        <f>'Sheet1 select'!$B$10*'Sheet1 select'!$B$31*$B$8*1000*0.000000001</f>
        <v>3.0000000000000001E-3</v>
      </c>
      <c r="P146" s="44">
        <f>'Sheet1 select'!$B$35*$B$10*$B$8*1000*0.000000001</f>
        <v>0</v>
      </c>
      <c r="Q146" s="47">
        <f>IF('Sheet1 select'!$B$17=0,0,(0.00000006*0.7+0.00000003*(0.7+F146*1.1*'Sheet1 select'!$B$26))*F146*$B$8*1000)</f>
        <v>0</v>
      </c>
      <c r="R146" s="45">
        <f t="shared" ca="1" si="17"/>
        <v>0.15030051792999441</v>
      </c>
      <c r="S146" s="48">
        <f t="shared" ca="1" si="18"/>
        <v>0.92786615659998728</v>
      </c>
      <c r="T146" s="49">
        <f ca="1">H146+K146+O146+N146+'Sheet1 select'!$B$40*I146+J146+P146</f>
        <v>2.3694801246110109E-2</v>
      </c>
      <c r="U146" s="169">
        <f t="shared" ca="1" si="19"/>
        <v>1.1694801246110109E-2</v>
      </c>
      <c r="V146" s="47">
        <f t="shared" ca="1" si="20"/>
        <v>0</v>
      </c>
    </row>
    <row r="147" spans="5:22">
      <c r="E147" s="32">
        <v>146</v>
      </c>
      <c r="F147" s="45">
        <f t="shared" si="14"/>
        <v>0.38933333333333336</v>
      </c>
      <c r="G147" s="45">
        <f t="shared" si="15"/>
        <v>3.0316088888888891E-2</v>
      </c>
      <c r="H147" s="45">
        <f ca="1">F147*F147*('Sheet1 select'!$B$25)*$B$3</f>
        <v>3.447554336754333E-3</v>
      </c>
      <c r="I147" s="45">
        <f>F147*(1-$B$3)*'Sheet1 select'!$B$41</f>
        <v>9.084444444444445E-2</v>
      </c>
      <c r="J147" s="45">
        <f ca="1">F147*F147*('Sheet1 select'!$B$26)*(1-$B$3)</f>
        <v>0</v>
      </c>
      <c r="K147" s="45">
        <f>0.0000005*$B$10*F147*$B$8*((('Sheet1 select'!$B$33+0.5*'Sheet1 select'!$B$32)/(('Sheet1 select'!$B$10-'Sheet1 select'!$B$23)/('Sheet1 select'!$B$27+'Sheet1 select'!$B$8)))+(('Sheet1 select'!$B$33+0.5*'Sheet1 select'!$B$32)/(('Sheet1 select'!$B$23)/('Sheet1 select'!$B$27+'Sheet1 select'!$B$9))))</f>
        <v>5.3308244417488541E-3</v>
      </c>
      <c r="L147" s="45">
        <f>(F147*$B$28)*(('Sheet1 select'!$B$12+'Sheet1 select'!$B$13)*(0.000000001))*$B$8*1000</f>
        <v>0</v>
      </c>
      <c r="M147" s="45">
        <f t="shared" si="16"/>
        <v>6.481272239439854E-3</v>
      </c>
      <c r="N147" s="46">
        <f>$B$10*'Sheet1 select'!$B$29*0.001</f>
        <v>1.2E-2</v>
      </c>
      <c r="O147" s="44">
        <f>'Sheet1 select'!$B$10*'Sheet1 select'!$B$31*$B$8*1000*0.000000001</f>
        <v>3.0000000000000001E-3</v>
      </c>
      <c r="P147" s="44">
        <f>'Sheet1 select'!$B$35*$B$10*$B$8*1000*0.000000001</f>
        <v>0</v>
      </c>
      <c r="Q147" s="47">
        <f>IF('Sheet1 select'!$B$17=0,0,(0.00000006*0.7+0.00000003*(0.7+F147*1.1*'Sheet1 select'!$B$26))*F147*$B$8*1000)</f>
        <v>0</v>
      </c>
      <c r="R147" s="45">
        <f t="shared" ca="1" si="17"/>
        <v>0.15142018435127641</v>
      </c>
      <c r="S147" s="48">
        <f t="shared" ca="1" si="18"/>
        <v>0.92782940121005442</v>
      </c>
      <c r="T147" s="49">
        <f ca="1">H147+K147+O147+N147+'Sheet1 select'!$B$40*I147+J147+P147</f>
        <v>2.3778378778503188E-2</v>
      </c>
      <c r="U147" s="169">
        <f t="shared" ca="1" si="19"/>
        <v>1.1778378778503188E-2</v>
      </c>
      <c r="V147" s="47">
        <f t="shared" ca="1" si="20"/>
        <v>0</v>
      </c>
    </row>
    <row r="148" spans="5:22">
      <c r="E148" s="32">
        <v>147</v>
      </c>
      <c r="F148" s="45">
        <f t="shared" si="14"/>
        <v>0.39200000000000002</v>
      </c>
      <c r="G148" s="45">
        <f t="shared" si="15"/>
        <v>3.0732800000000005E-2</v>
      </c>
      <c r="H148" s="45">
        <f ca="1">F148*F148*('Sheet1 select'!$B$25)*$B$3</f>
        <v>3.4949428440103386E-3</v>
      </c>
      <c r="I148" s="45">
        <f>F148*(1-$B$3)*'Sheet1 select'!$B$41</f>
        <v>9.1466666666666668E-2</v>
      </c>
      <c r="J148" s="45">
        <f ca="1">F148*F148*('Sheet1 select'!$B$26)*(1-$B$3)</f>
        <v>0</v>
      </c>
      <c r="K148" s="45">
        <f>0.0000005*$B$10*F148*$B$8*((('Sheet1 select'!$B$33+0.5*'Sheet1 select'!$B$32)/(('Sheet1 select'!$B$10-'Sheet1 select'!$B$23)/('Sheet1 select'!$B$27+'Sheet1 select'!$B$8)))+(('Sheet1 select'!$B$33+0.5*'Sheet1 select'!$B$32)/(('Sheet1 select'!$B$23)/('Sheet1 select'!$B$27+'Sheet1 select'!$B$9))))</f>
        <v>5.3673369379252161E-3</v>
      </c>
      <c r="L148" s="45">
        <f>(F148*$B$28)*(('Sheet1 select'!$B$12+'Sheet1 select'!$B$13)*(0.000000001))*$B$8*1000</f>
        <v>0</v>
      </c>
      <c r="M148" s="45">
        <f t="shared" si="16"/>
        <v>6.481272239439854E-3</v>
      </c>
      <c r="N148" s="46">
        <f>$B$10*'Sheet1 select'!$B$29*0.001</f>
        <v>1.2E-2</v>
      </c>
      <c r="O148" s="44">
        <f>'Sheet1 select'!$B$10*'Sheet1 select'!$B$31*$B$8*1000*0.000000001</f>
        <v>3.0000000000000001E-3</v>
      </c>
      <c r="P148" s="44">
        <f>'Sheet1 select'!$B$35*$B$10*$B$8*1000*0.000000001</f>
        <v>0</v>
      </c>
      <c r="Q148" s="47">
        <f>IF('Sheet1 select'!$B$17=0,0,(0.00000006*0.7+0.00000003*(0.7+F148*1.1*'Sheet1 select'!$B$26))*F148*$B$8*1000)</f>
        <v>0</v>
      </c>
      <c r="R148" s="45">
        <f t="shared" ca="1" si="17"/>
        <v>0.1525430186880421</v>
      </c>
      <c r="S148" s="48">
        <f t="shared" ca="1" si="18"/>
        <v>0.92779175745127496</v>
      </c>
      <c r="T148" s="49">
        <f ca="1">H148+K148+O148+N148+'Sheet1 select'!$B$40*I148+J148+P148</f>
        <v>2.3862279781935555E-2</v>
      </c>
      <c r="U148" s="169">
        <f t="shared" ca="1" si="19"/>
        <v>1.1862279781935554E-2</v>
      </c>
      <c r="V148" s="47">
        <f t="shared" ca="1" si="20"/>
        <v>0</v>
      </c>
    </row>
    <row r="149" spans="5:22">
      <c r="E149" s="32">
        <v>148</v>
      </c>
      <c r="F149" s="45">
        <f t="shared" si="14"/>
        <v>0.39466666666666667</v>
      </c>
      <c r="G149" s="45">
        <f t="shared" si="15"/>
        <v>3.1152355555555556E-2</v>
      </c>
      <c r="H149" s="45">
        <f ca="1">F149*F149*('Sheet1 select'!$B$25)*$B$3</f>
        <v>3.5426548223056347E-3</v>
      </c>
      <c r="I149" s="45">
        <f>F149*(1-$B$3)*'Sheet1 select'!$B$41</f>
        <v>9.2088888888888887E-2</v>
      </c>
      <c r="J149" s="45">
        <f ca="1">F149*F149*('Sheet1 select'!$B$26)*(1-$B$3)</f>
        <v>0</v>
      </c>
      <c r="K149" s="45">
        <f>0.0000005*$B$10*F149*$B$8*((('Sheet1 select'!$B$33+0.5*'Sheet1 select'!$B$32)/(('Sheet1 select'!$B$10-'Sheet1 select'!$B$23)/('Sheet1 select'!$B$27+'Sheet1 select'!$B$8)))+(('Sheet1 select'!$B$33+0.5*'Sheet1 select'!$B$32)/(('Sheet1 select'!$B$23)/('Sheet1 select'!$B$27+'Sheet1 select'!$B$9))))</f>
        <v>5.4038494341015781E-3</v>
      </c>
      <c r="L149" s="45">
        <f>(F149*$B$28)*(('Sheet1 select'!$B$12+'Sheet1 select'!$B$13)*(0.000000001))*$B$8*1000</f>
        <v>0</v>
      </c>
      <c r="M149" s="45">
        <f t="shared" si="16"/>
        <v>6.481272239439854E-3</v>
      </c>
      <c r="N149" s="46">
        <f>$B$10*'Sheet1 select'!$B$29*0.001</f>
        <v>1.2E-2</v>
      </c>
      <c r="O149" s="44">
        <f>'Sheet1 select'!$B$10*'Sheet1 select'!$B$31*$B$8*1000*0.000000001</f>
        <v>3.0000000000000001E-3</v>
      </c>
      <c r="P149" s="44">
        <f>'Sheet1 select'!$B$35*$B$10*$B$8*1000*0.000000001</f>
        <v>0</v>
      </c>
      <c r="Q149" s="47">
        <f>IF('Sheet1 select'!$B$17=0,0,(0.00000006*0.7+0.00000003*(0.7+F149*1.1*'Sheet1 select'!$B$26))*F149*$B$8*1000)</f>
        <v>0</v>
      </c>
      <c r="R149" s="45">
        <f t="shared" ca="1" si="17"/>
        <v>0.15366902094029153</v>
      </c>
      <c r="S149" s="48">
        <f t="shared" ca="1" si="18"/>
        <v>0.92775324360523825</v>
      </c>
      <c r="T149" s="49">
        <f ca="1">H149+K149+O149+N149+'Sheet1 select'!$B$40*I149+J149+P149</f>
        <v>2.3946504256407212E-2</v>
      </c>
      <c r="U149" s="169">
        <f t="shared" ca="1" si="19"/>
        <v>1.1946504256407212E-2</v>
      </c>
      <c r="V149" s="47">
        <f t="shared" ca="1" si="20"/>
        <v>0</v>
      </c>
    </row>
    <row r="150" spans="5:22">
      <c r="E150" s="32">
        <v>149</v>
      </c>
      <c r="F150" s="45">
        <f t="shared" si="14"/>
        <v>0.39733333333333332</v>
      </c>
      <c r="G150" s="45">
        <f t="shared" si="15"/>
        <v>3.1574755555555549E-2</v>
      </c>
      <c r="H150" s="45">
        <f ca="1">F150*F150*('Sheet1 select'!$B$25)*$B$3</f>
        <v>3.5906902716402195E-3</v>
      </c>
      <c r="I150" s="45">
        <f>F150*(1-$B$3)*'Sheet1 select'!$B$41</f>
        <v>9.2711111111111105E-2</v>
      </c>
      <c r="J150" s="45">
        <f ca="1">F150*F150*('Sheet1 select'!$B$26)*(1-$B$3)</f>
        <v>0</v>
      </c>
      <c r="K150" s="45">
        <f>0.0000005*$B$10*F150*$B$8*((('Sheet1 select'!$B$33+0.5*'Sheet1 select'!$B$32)/(('Sheet1 select'!$B$10-'Sheet1 select'!$B$23)/('Sheet1 select'!$B$27+'Sheet1 select'!$B$8)))+(('Sheet1 select'!$B$33+0.5*'Sheet1 select'!$B$32)/(('Sheet1 select'!$B$23)/('Sheet1 select'!$B$27+'Sheet1 select'!$B$9))))</f>
        <v>5.4403619302779401E-3</v>
      </c>
      <c r="L150" s="45">
        <f>(F150*$B$28)*(('Sheet1 select'!$B$12+'Sheet1 select'!$B$13)*(0.000000001))*$B$8*1000</f>
        <v>0</v>
      </c>
      <c r="M150" s="45">
        <f t="shared" si="16"/>
        <v>6.481272239439854E-3</v>
      </c>
      <c r="N150" s="46">
        <f>$B$10*'Sheet1 select'!$B$29*0.001</f>
        <v>1.2E-2</v>
      </c>
      <c r="O150" s="44">
        <f>'Sheet1 select'!$B$10*'Sheet1 select'!$B$31*$B$8*1000*0.000000001</f>
        <v>3.0000000000000001E-3</v>
      </c>
      <c r="P150" s="44">
        <f>'Sheet1 select'!$B$35*$B$10*$B$8*1000*0.000000001</f>
        <v>0</v>
      </c>
      <c r="Q150" s="47">
        <f>IF('Sheet1 select'!$B$17=0,0,(0.00000006*0.7+0.00000003*(0.7+F150*1.1*'Sheet1 select'!$B$26))*F150*$B$8*1000)</f>
        <v>0</v>
      </c>
      <c r="R150" s="45">
        <f t="shared" ca="1" si="17"/>
        <v>0.1547981911080247</v>
      </c>
      <c r="S150" s="48">
        <f t="shared" ca="1" si="18"/>
        <v>0.92771387746755574</v>
      </c>
      <c r="T150" s="49">
        <f ca="1">H150+K150+O150+N150+'Sheet1 select'!$B$40*I150+J150+P150</f>
        <v>2.403105220191816E-2</v>
      </c>
      <c r="U150" s="169">
        <f t="shared" ca="1" si="19"/>
        <v>1.203105220191816E-2</v>
      </c>
      <c r="V150" s="47">
        <f t="shared" ca="1" si="20"/>
        <v>0</v>
      </c>
    </row>
    <row r="151" spans="5:22">
      <c r="E151" s="32">
        <v>150</v>
      </c>
      <c r="F151" s="45">
        <f t="shared" si="14"/>
        <v>0.4</v>
      </c>
      <c r="G151" s="45">
        <f t="shared" si="15"/>
        <v>3.2000000000000008E-2</v>
      </c>
      <c r="H151" s="45">
        <f ca="1">F151*F151*('Sheet1 select'!$B$25)*$B$3</f>
        <v>3.639049192014097E-3</v>
      </c>
      <c r="I151" s="45">
        <f>F151*(1-$B$3)*'Sheet1 select'!$B$41</f>
        <v>9.3333333333333324E-2</v>
      </c>
      <c r="J151" s="45">
        <f ca="1">F151*F151*('Sheet1 select'!$B$26)*(1-$B$3)</f>
        <v>0</v>
      </c>
      <c r="K151" s="45">
        <f>0.0000005*$B$10*F151*$B$8*((('Sheet1 select'!$B$33+0.5*'Sheet1 select'!$B$32)/(('Sheet1 select'!$B$10-'Sheet1 select'!$B$23)/('Sheet1 select'!$B$27+'Sheet1 select'!$B$8)))+(('Sheet1 select'!$B$33+0.5*'Sheet1 select'!$B$32)/(('Sheet1 select'!$B$23)/('Sheet1 select'!$B$27+'Sheet1 select'!$B$9))))</f>
        <v>5.4768744264543029E-3</v>
      </c>
      <c r="L151" s="45">
        <f>(F151*$B$28)*(('Sheet1 select'!$B$12+'Sheet1 select'!$B$13)*(0.000000001))*$B$8*1000</f>
        <v>0</v>
      </c>
      <c r="M151" s="45">
        <f t="shared" si="16"/>
        <v>6.481272239439854E-3</v>
      </c>
      <c r="N151" s="46">
        <f>$B$10*'Sheet1 select'!$B$29*0.001</f>
        <v>1.2E-2</v>
      </c>
      <c r="O151" s="44">
        <f>'Sheet1 select'!$B$10*'Sheet1 select'!$B$31*$B$8*1000*0.000000001</f>
        <v>3.0000000000000001E-3</v>
      </c>
      <c r="P151" s="44">
        <f>'Sheet1 select'!$B$35*$B$10*$B$8*1000*0.000000001</f>
        <v>0</v>
      </c>
      <c r="Q151" s="47">
        <f>IF('Sheet1 select'!$B$17=0,0,(0.00000006*0.7+0.00000003*(0.7+F151*1.1*'Sheet1 select'!$B$26))*F151*$B$8*1000)</f>
        <v>0</v>
      </c>
      <c r="R151" s="45">
        <f t="shared" ca="1" si="17"/>
        <v>0.15593052919124162</v>
      </c>
      <c r="S151" s="48">
        <f t="shared" ca="1" si="18"/>
        <v>0.92767367636389653</v>
      </c>
      <c r="T151" s="49">
        <f ca="1">H151+K151+O151+N151+'Sheet1 select'!$B$40*I151+J151+P151</f>
        <v>2.4115923618468399E-2</v>
      </c>
      <c r="U151" s="169">
        <f t="shared" ca="1" si="19"/>
        <v>1.2115923618468399E-2</v>
      </c>
      <c r="V151" s="47">
        <f t="shared" ca="1" si="20"/>
        <v>0</v>
      </c>
    </row>
    <row r="152" spans="5:22">
      <c r="E152" s="32">
        <v>151</v>
      </c>
      <c r="F152" s="45">
        <f t="shared" si="14"/>
        <v>0.40266666666666673</v>
      </c>
      <c r="G152" s="45">
        <f t="shared" si="15"/>
        <v>3.2428088888888901E-2</v>
      </c>
      <c r="H152" s="45">
        <f ca="1">F152*F152*('Sheet1 select'!$B$25)*$B$3</f>
        <v>3.6877315834272645E-3</v>
      </c>
      <c r="I152" s="45">
        <f>F152*(1-$B$3)*'Sheet1 select'!$B$41</f>
        <v>9.395555555555557E-2</v>
      </c>
      <c r="J152" s="45">
        <f ca="1">F152*F152*('Sheet1 select'!$B$26)*(1-$B$3)</f>
        <v>0</v>
      </c>
      <c r="K152" s="45">
        <f>0.0000005*$B$10*F152*$B$8*((('Sheet1 select'!$B$33+0.5*'Sheet1 select'!$B$32)/(('Sheet1 select'!$B$10-'Sheet1 select'!$B$23)/('Sheet1 select'!$B$27+'Sheet1 select'!$B$8)))+(('Sheet1 select'!$B$33+0.5*'Sheet1 select'!$B$32)/(('Sheet1 select'!$B$23)/('Sheet1 select'!$B$27+'Sheet1 select'!$B$9))))</f>
        <v>5.5133869226306649E-3</v>
      </c>
      <c r="L152" s="45">
        <f>(F152*$B$28)*(('Sheet1 select'!$B$12+'Sheet1 select'!$B$13)*(0.000000001))*$B$8*1000</f>
        <v>0</v>
      </c>
      <c r="M152" s="45">
        <f t="shared" si="16"/>
        <v>6.481272239439854E-3</v>
      </c>
      <c r="N152" s="46">
        <f>$B$10*'Sheet1 select'!$B$29*0.001</f>
        <v>1.2E-2</v>
      </c>
      <c r="O152" s="44">
        <f>'Sheet1 select'!$B$10*'Sheet1 select'!$B$31*$B$8*1000*0.000000001</f>
        <v>3.0000000000000001E-3</v>
      </c>
      <c r="P152" s="44">
        <f>'Sheet1 select'!$B$35*$B$10*$B$8*1000*0.000000001</f>
        <v>0</v>
      </c>
      <c r="Q152" s="47">
        <f>IF('Sheet1 select'!$B$17=0,0,(0.00000006*0.7+0.00000003*(0.7+F152*1.1*'Sheet1 select'!$B$26))*F152*$B$8*1000)</f>
        <v>0</v>
      </c>
      <c r="R152" s="45">
        <f t="shared" ca="1" si="17"/>
        <v>0.15706603518994228</v>
      </c>
      <c r="S152" s="48">
        <f t="shared" ca="1" si="18"/>
        <v>0.92763265716539112</v>
      </c>
      <c r="T152" s="49">
        <f ca="1">H152+K152+O152+N152+'Sheet1 select'!$B$40*I152+J152+P152</f>
        <v>2.4201118506057929E-2</v>
      </c>
      <c r="U152" s="169">
        <f t="shared" ca="1" si="19"/>
        <v>1.2201118506057929E-2</v>
      </c>
      <c r="V152" s="47">
        <f t="shared" ca="1" si="20"/>
        <v>0</v>
      </c>
    </row>
    <row r="153" spans="5:22">
      <c r="E153" s="32">
        <v>152</v>
      </c>
      <c r="F153" s="45">
        <f t="shared" si="14"/>
        <v>0.40533333333333338</v>
      </c>
      <c r="G153" s="45">
        <f t="shared" si="15"/>
        <v>3.2859022222222228E-2</v>
      </c>
      <c r="H153" s="45">
        <f ca="1">F153*F153*('Sheet1 select'!$B$25)*$B$3</f>
        <v>3.7367374458797203E-3</v>
      </c>
      <c r="I153" s="45">
        <f>F153*(1-$B$3)*'Sheet1 select'!$B$41</f>
        <v>9.4577777777777775E-2</v>
      </c>
      <c r="J153" s="45">
        <f ca="1">F153*F153*('Sheet1 select'!$B$26)*(1-$B$3)</f>
        <v>0</v>
      </c>
      <c r="K153" s="45">
        <f>0.0000005*$B$10*F153*$B$8*((('Sheet1 select'!$B$33+0.5*'Sheet1 select'!$B$32)/(('Sheet1 select'!$B$10-'Sheet1 select'!$B$23)/('Sheet1 select'!$B$27+'Sheet1 select'!$B$8)))+(('Sheet1 select'!$B$33+0.5*'Sheet1 select'!$B$32)/(('Sheet1 select'!$B$23)/('Sheet1 select'!$B$27+'Sheet1 select'!$B$9))))</f>
        <v>5.5498994188070269E-3</v>
      </c>
      <c r="L153" s="45">
        <f>(F153*$B$28)*(('Sheet1 select'!$B$12+'Sheet1 select'!$B$13)*(0.000000001))*$B$8*1000</f>
        <v>0</v>
      </c>
      <c r="M153" s="45">
        <f t="shared" si="16"/>
        <v>6.481272239439854E-3</v>
      </c>
      <c r="N153" s="46">
        <f>$B$10*'Sheet1 select'!$B$29*0.001</f>
        <v>1.2E-2</v>
      </c>
      <c r="O153" s="44">
        <f>'Sheet1 select'!$B$10*'Sheet1 select'!$B$31*$B$8*1000*0.000000001</f>
        <v>3.0000000000000001E-3</v>
      </c>
      <c r="P153" s="44">
        <f>'Sheet1 select'!$B$35*$B$10*$B$8*1000*0.000000001</f>
        <v>0</v>
      </c>
      <c r="Q153" s="47">
        <f>IF('Sheet1 select'!$B$17=0,0,(0.00000006*0.7+0.00000003*(0.7+F153*1.1*'Sheet1 select'!$B$26))*F153*$B$8*1000)</f>
        <v>0</v>
      </c>
      <c r="R153" s="45">
        <f t="shared" ca="1" si="17"/>
        <v>0.15820470910412662</v>
      </c>
      <c r="S153" s="48">
        <f t="shared" ca="1" si="18"/>
        <v>0.92759083630343497</v>
      </c>
      <c r="T153" s="49">
        <f ca="1">H153+K153+O153+N153+'Sheet1 select'!$B$40*I153+J153+P153</f>
        <v>2.4286636864686746E-2</v>
      </c>
      <c r="U153" s="169">
        <f t="shared" ca="1" si="19"/>
        <v>1.2286636864686746E-2</v>
      </c>
      <c r="V153" s="47">
        <f t="shared" ca="1" si="20"/>
        <v>0</v>
      </c>
    </row>
    <row r="154" spans="5:22">
      <c r="E154" s="32">
        <v>153</v>
      </c>
      <c r="F154" s="45">
        <f t="shared" si="14"/>
        <v>0.40800000000000003</v>
      </c>
      <c r="G154" s="45">
        <f t="shared" si="15"/>
        <v>3.3292800000000004E-2</v>
      </c>
      <c r="H154" s="45">
        <f ca="1">F154*F154*('Sheet1 select'!$B$25)*$B$3</f>
        <v>3.7860667793714669E-3</v>
      </c>
      <c r="I154" s="45">
        <f>F154*(1-$B$3)*'Sheet1 select'!$B$41</f>
        <v>9.5200000000000007E-2</v>
      </c>
      <c r="J154" s="45">
        <f ca="1">F154*F154*('Sheet1 select'!$B$26)*(1-$B$3)</f>
        <v>0</v>
      </c>
      <c r="K154" s="45">
        <f>0.0000005*$B$10*F154*$B$8*((('Sheet1 select'!$B$33+0.5*'Sheet1 select'!$B$32)/(('Sheet1 select'!$B$10-'Sheet1 select'!$B$23)/('Sheet1 select'!$B$27+'Sheet1 select'!$B$8)))+(('Sheet1 select'!$B$33+0.5*'Sheet1 select'!$B$32)/(('Sheet1 select'!$B$23)/('Sheet1 select'!$B$27+'Sheet1 select'!$B$9))))</f>
        <v>5.586411914983388E-3</v>
      </c>
      <c r="L154" s="45">
        <f>(F154*$B$28)*(('Sheet1 select'!$B$12+'Sheet1 select'!$B$13)*(0.000000001))*$B$8*1000</f>
        <v>0</v>
      </c>
      <c r="M154" s="45">
        <f t="shared" si="16"/>
        <v>6.481272239439854E-3</v>
      </c>
      <c r="N154" s="46">
        <f>$B$10*'Sheet1 select'!$B$29*0.001</f>
        <v>1.2E-2</v>
      </c>
      <c r="O154" s="44">
        <f>'Sheet1 select'!$B$10*'Sheet1 select'!$B$31*$B$8*1000*0.000000001</f>
        <v>3.0000000000000001E-3</v>
      </c>
      <c r="P154" s="44">
        <f>'Sheet1 select'!$B$35*$B$10*$B$8*1000*0.000000001</f>
        <v>0</v>
      </c>
      <c r="Q154" s="47">
        <f>IF('Sheet1 select'!$B$17=0,0,(0.00000006*0.7+0.00000003*(0.7+F154*1.1*'Sheet1 select'!$B$26))*F154*$B$8*1000)</f>
        <v>0</v>
      </c>
      <c r="R154" s="45">
        <f t="shared" ca="1" si="17"/>
        <v>0.15934655093379474</v>
      </c>
      <c r="S154" s="48">
        <f t="shared" ca="1" si="18"/>
        <v>0.92754822978391482</v>
      </c>
      <c r="T154" s="49">
        <f ca="1">H154+K154+O154+N154+'Sheet1 select'!$B$40*I154+J154+P154</f>
        <v>2.4372478694354854E-2</v>
      </c>
      <c r="U154" s="169">
        <f t="shared" ca="1" si="19"/>
        <v>1.2372478694354854E-2</v>
      </c>
      <c r="V154" s="47">
        <f t="shared" ca="1" si="20"/>
        <v>0</v>
      </c>
    </row>
    <row r="155" spans="5:22">
      <c r="E155" s="32">
        <v>154</v>
      </c>
      <c r="F155" s="45">
        <f t="shared" si="14"/>
        <v>0.41066666666666668</v>
      </c>
      <c r="G155" s="45">
        <f t="shared" si="15"/>
        <v>3.3729422222222222E-2</v>
      </c>
      <c r="H155" s="45">
        <f ca="1">F155*F155*('Sheet1 select'!$B$25)*$B$3</f>
        <v>3.8357195839025028E-3</v>
      </c>
      <c r="I155" s="45">
        <f>F155*(1-$B$3)*'Sheet1 select'!$B$41</f>
        <v>9.5822222222222211E-2</v>
      </c>
      <c r="J155" s="45">
        <f ca="1">F155*F155*('Sheet1 select'!$B$26)*(1-$B$3)</f>
        <v>0</v>
      </c>
      <c r="K155" s="45">
        <f>0.0000005*$B$10*F155*$B$8*((('Sheet1 select'!$B$33+0.5*'Sheet1 select'!$B$32)/(('Sheet1 select'!$B$10-'Sheet1 select'!$B$23)/('Sheet1 select'!$B$27+'Sheet1 select'!$B$8)))+(('Sheet1 select'!$B$33+0.5*'Sheet1 select'!$B$32)/(('Sheet1 select'!$B$23)/('Sheet1 select'!$B$27+'Sheet1 select'!$B$9))))</f>
        <v>5.6229244111597508E-3</v>
      </c>
      <c r="L155" s="45">
        <f>(F155*$B$28)*(('Sheet1 select'!$B$12+'Sheet1 select'!$B$13)*(0.000000001))*$B$8*1000</f>
        <v>0</v>
      </c>
      <c r="M155" s="45">
        <f t="shared" si="16"/>
        <v>6.481272239439854E-3</v>
      </c>
      <c r="N155" s="46">
        <f>$B$10*'Sheet1 select'!$B$29*0.001</f>
        <v>1.2E-2</v>
      </c>
      <c r="O155" s="44">
        <f>'Sheet1 select'!$B$10*'Sheet1 select'!$B$31*$B$8*1000*0.000000001</f>
        <v>3.0000000000000001E-3</v>
      </c>
      <c r="P155" s="44">
        <f>'Sheet1 select'!$B$35*$B$10*$B$8*1000*0.000000001</f>
        <v>0</v>
      </c>
      <c r="Q155" s="47">
        <f>IF('Sheet1 select'!$B$17=0,0,(0.00000006*0.7+0.00000003*(0.7+F155*1.1*'Sheet1 select'!$B$26))*F155*$B$8*1000)</f>
        <v>0</v>
      </c>
      <c r="R155" s="45">
        <f t="shared" ca="1" si="17"/>
        <v>0.16049156067894657</v>
      </c>
      <c r="S155" s="48">
        <f t="shared" ca="1" si="18"/>
        <v>0.92750485320088893</v>
      </c>
      <c r="T155" s="49">
        <f ca="1">H155+K155+O155+N155+'Sheet1 select'!$B$40*I155+J155+P155</f>
        <v>2.4458643995062253E-2</v>
      </c>
      <c r="U155" s="169">
        <f t="shared" ca="1" si="19"/>
        <v>1.2458643995062253E-2</v>
      </c>
      <c r="V155" s="47">
        <f t="shared" ca="1" si="20"/>
        <v>0</v>
      </c>
    </row>
    <row r="156" spans="5:22">
      <c r="E156" s="32">
        <v>155</v>
      </c>
      <c r="F156" s="45">
        <f t="shared" si="14"/>
        <v>0.41333333333333333</v>
      </c>
      <c r="G156" s="45">
        <f t="shared" si="15"/>
        <v>3.4168888888888888E-2</v>
      </c>
      <c r="H156" s="45">
        <f ca="1">F156*F156*('Sheet1 select'!$B$25)*$B$3</f>
        <v>3.8856958594728295E-3</v>
      </c>
      <c r="I156" s="45">
        <f>F156*(1-$B$3)*'Sheet1 select'!$B$41</f>
        <v>9.6444444444444444E-2</v>
      </c>
      <c r="J156" s="45">
        <f ca="1">F156*F156*('Sheet1 select'!$B$26)*(1-$B$3)</f>
        <v>0</v>
      </c>
      <c r="K156" s="45">
        <f>0.0000005*$B$10*F156*$B$8*((('Sheet1 select'!$B$33+0.5*'Sheet1 select'!$B$32)/(('Sheet1 select'!$B$10-'Sheet1 select'!$B$23)/('Sheet1 select'!$B$27+'Sheet1 select'!$B$8)))+(('Sheet1 select'!$B$33+0.5*'Sheet1 select'!$B$32)/(('Sheet1 select'!$B$23)/('Sheet1 select'!$B$27+'Sheet1 select'!$B$9))))</f>
        <v>5.6594369073361128E-3</v>
      </c>
      <c r="L156" s="45">
        <f>(F156*$B$28)*(('Sheet1 select'!$B$12+'Sheet1 select'!$B$13)*(0.000000001))*$B$8*1000</f>
        <v>0</v>
      </c>
      <c r="M156" s="45">
        <f t="shared" si="16"/>
        <v>6.481272239439854E-3</v>
      </c>
      <c r="N156" s="46">
        <f>$B$10*'Sheet1 select'!$B$29*0.001</f>
        <v>1.2E-2</v>
      </c>
      <c r="O156" s="44">
        <f>'Sheet1 select'!$B$10*'Sheet1 select'!$B$31*$B$8*1000*0.000000001</f>
        <v>3.0000000000000001E-3</v>
      </c>
      <c r="P156" s="44">
        <f>'Sheet1 select'!$B$35*$B$10*$B$8*1000*0.000000001</f>
        <v>0</v>
      </c>
      <c r="Q156" s="47">
        <f>IF('Sheet1 select'!$B$17=0,0,(0.00000006*0.7+0.00000003*(0.7+F156*1.1*'Sheet1 select'!$B$26))*F156*$B$8*1000)</f>
        <v>0</v>
      </c>
      <c r="R156" s="45">
        <f t="shared" ca="1" si="17"/>
        <v>0.16163973833958215</v>
      </c>
      <c r="S156" s="48">
        <f t="shared" ca="1" si="18"/>
        <v>0.92746072174974126</v>
      </c>
      <c r="T156" s="49">
        <f ca="1">H156+K156+O156+N156+'Sheet1 select'!$B$40*I156+J156+P156</f>
        <v>2.4545132766808943E-2</v>
      </c>
      <c r="U156" s="169">
        <f t="shared" ca="1" si="19"/>
        <v>1.2545132766808943E-2</v>
      </c>
      <c r="V156" s="47">
        <f t="shared" ca="1" si="20"/>
        <v>0</v>
      </c>
    </row>
    <row r="157" spans="5:22">
      <c r="E157" s="32">
        <v>156</v>
      </c>
      <c r="F157" s="45">
        <f t="shared" si="14"/>
        <v>0.41600000000000004</v>
      </c>
      <c r="G157" s="45">
        <f t="shared" si="15"/>
        <v>3.4611200000000009E-2</v>
      </c>
      <c r="H157" s="45">
        <f ca="1">F157*F157*('Sheet1 select'!$B$25)*$B$3</f>
        <v>3.9359956060824475E-3</v>
      </c>
      <c r="I157" s="45">
        <f>F157*(1-$B$3)*'Sheet1 select'!$B$41</f>
        <v>9.7066666666666676E-2</v>
      </c>
      <c r="J157" s="45">
        <f ca="1">F157*F157*('Sheet1 select'!$B$26)*(1-$B$3)</f>
        <v>0</v>
      </c>
      <c r="K157" s="45">
        <f>0.0000005*$B$10*F157*$B$8*((('Sheet1 select'!$B$33+0.5*'Sheet1 select'!$B$32)/(('Sheet1 select'!$B$10-'Sheet1 select'!$B$23)/('Sheet1 select'!$B$27+'Sheet1 select'!$B$8)))+(('Sheet1 select'!$B$33+0.5*'Sheet1 select'!$B$32)/(('Sheet1 select'!$B$23)/('Sheet1 select'!$B$27+'Sheet1 select'!$B$9))))</f>
        <v>5.6959494035124757E-3</v>
      </c>
      <c r="L157" s="45">
        <f>(F157*$B$28)*(('Sheet1 select'!$B$12+'Sheet1 select'!$B$13)*(0.000000001))*$B$8*1000</f>
        <v>0</v>
      </c>
      <c r="M157" s="45">
        <f t="shared" si="16"/>
        <v>6.481272239439854E-3</v>
      </c>
      <c r="N157" s="46">
        <f>$B$10*'Sheet1 select'!$B$29*0.001</f>
        <v>1.2E-2</v>
      </c>
      <c r="O157" s="44">
        <f>'Sheet1 select'!$B$10*'Sheet1 select'!$B$31*$B$8*1000*0.000000001</f>
        <v>3.0000000000000001E-3</v>
      </c>
      <c r="P157" s="44">
        <f>'Sheet1 select'!$B$35*$B$10*$B$8*1000*0.000000001</f>
        <v>0</v>
      </c>
      <c r="Q157" s="47">
        <f>IF('Sheet1 select'!$B$17=0,0,(0.00000006*0.7+0.00000003*(0.7+F157*1.1*'Sheet1 select'!$B$26))*F157*$B$8*1000)</f>
        <v>0</v>
      </c>
      <c r="R157" s="45">
        <f t="shared" ca="1" si="17"/>
        <v>0.16279108391570149</v>
      </c>
      <c r="S157" s="48">
        <f t="shared" ca="1" si="18"/>
        <v>0.92741585023983442</v>
      </c>
      <c r="T157" s="49">
        <f ca="1">H157+K157+O157+N157+'Sheet1 select'!$B$40*I157+J157+P157</f>
        <v>2.4631945009594924E-2</v>
      </c>
      <c r="U157" s="169">
        <f t="shared" ca="1" si="19"/>
        <v>1.2631945009594924E-2</v>
      </c>
      <c r="V157" s="47">
        <f t="shared" ca="1" si="20"/>
        <v>0</v>
      </c>
    </row>
    <row r="158" spans="5:22">
      <c r="E158" s="32">
        <v>157</v>
      </c>
      <c r="F158" s="45">
        <f t="shared" si="14"/>
        <v>0.41866666666666669</v>
      </c>
      <c r="G158" s="45">
        <f t="shared" si="15"/>
        <v>3.5056355555555557E-2</v>
      </c>
      <c r="H158" s="45">
        <f ca="1">F158*F158*('Sheet1 select'!$B$25)*$B$3</f>
        <v>3.9866188237313548E-3</v>
      </c>
      <c r="I158" s="45">
        <f>F158*(1-$B$3)*'Sheet1 select'!$B$41</f>
        <v>9.7688888888888881E-2</v>
      </c>
      <c r="J158" s="45">
        <f ca="1">F158*F158*('Sheet1 select'!$B$26)*(1-$B$3)</f>
        <v>0</v>
      </c>
      <c r="K158" s="45">
        <f>0.0000005*$B$10*F158*$B$8*((('Sheet1 select'!$B$33+0.5*'Sheet1 select'!$B$32)/(('Sheet1 select'!$B$10-'Sheet1 select'!$B$23)/('Sheet1 select'!$B$27+'Sheet1 select'!$B$8)))+(('Sheet1 select'!$B$33+0.5*'Sheet1 select'!$B$32)/(('Sheet1 select'!$B$23)/('Sheet1 select'!$B$27+'Sheet1 select'!$B$9))))</f>
        <v>5.7324618996888368E-3</v>
      </c>
      <c r="L158" s="45">
        <f>(F158*$B$28)*(('Sheet1 select'!$B$12+'Sheet1 select'!$B$13)*(0.000000001))*$B$8*1000</f>
        <v>0</v>
      </c>
      <c r="M158" s="45">
        <f t="shared" si="16"/>
        <v>6.481272239439854E-3</v>
      </c>
      <c r="N158" s="46">
        <f>$B$10*'Sheet1 select'!$B$29*0.001</f>
        <v>1.2E-2</v>
      </c>
      <c r="O158" s="44">
        <f>'Sheet1 select'!$B$10*'Sheet1 select'!$B$31*$B$8*1000*0.000000001</f>
        <v>3.0000000000000001E-3</v>
      </c>
      <c r="P158" s="44">
        <f>'Sheet1 select'!$B$35*$B$10*$B$8*1000*0.000000001</f>
        <v>0</v>
      </c>
      <c r="Q158" s="47">
        <f>IF('Sheet1 select'!$B$17=0,0,(0.00000006*0.7+0.00000003*(0.7+F158*1.1*'Sheet1 select'!$B$26))*F158*$B$8*1000)</f>
        <v>0</v>
      </c>
      <c r="R158" s="45">
        <f t="shared" ca="1" si="17"/>
        <v>0.16394559740730452</v>
      </c>
      <c r="S158" s="48">
        <f t="shared" ca="1" si="18"/>
        <v>0.9273702531066853</v>
      </c>
      <c r="T158" s="49">
        <f ca="1">H158+K158+O158+N158+'Sheet1 select'!$B$40*I158+J158+P158</f>
        <v>2.4719080723420193E-2</v>
      </c>
      <c r="U158" s="169">
        <f t="shared" ca="1" si="19"/>
        <v>1.2719080723420192E-2</v>
      </c>
      <c r="V158" s="47">
        <f t="shared" ca="1" si="20"/>
        <v>0</v>
      </c>
    </row>
    <row r="159" spans="5:22">
      <c r="E159" s="32">
        <v>158</v>
      </c>
      <c r="F159" s="45">
        <f t="shared" si="14"/>
        <v>0.42133333333333334</v>
      </c>
      <c r="G159" s="45">
        <f t="shared" si="15"/>
        <v>3.5504355555555554E-2</v>
      </c>
      <c r="H159" s="45">
        <f ca="1">F159*F159*('Sheet1 select'!$B$25)*$B$3</f>
        <v>4.0375655124195511E-3</v>
      </c>
      <c r="I159" s="45">
        <f>F159*(1-$B$3)*'Sheet1 select'!$B$41</f>
        <v>9.8311111111111113E-2</v>
      </c>
      <c r="J159" s="45">
        <f ca="1">F159*F159*('Sheet1 select'!$B$26)*(1-$B$3)</f>
        <v>0</v>
      </c>
      <c r="K159" s="45">
        <f>0.0000005*$B$10*F159*$B$8*((('Sheet1 select'!$B$33+0.5*'Sheet1 select'!$B$32)/(('Sheet1 select'!$B$10-'Sheet1 select'!$B$23)/('Sheet1 select'!$B$27+'Sheet1 select'!$B$8)))+(('Sheet1 select'!$B$33+0.5*'Sheet1 select'!$B$32)/(('Sheet1 select'!$B$23)/('Sheet1 select'!$B$27+'Sheet1 select'!$B$9))))</f>
        <v>5.7689743958651988E-3</v>
      </c>
      <c r="L159" s="45">
        <f>(F159*$B$28)*(('Sheet1 select'!$B$12+'Sheet1 select'!$B$13)*(0.000000001))*$B$8*1000</f>
        <v>0</v>
      </c>
      <c r="M159" s="45">
        <f t="shared" si="16"/>
        <v>6.481272239439854E-3</v>
      </c>
      <c r="N159" s="46">
        <f>$B$10*'Sheet1 select'!$B$29*0.001</f>
        <v>1.2E-2</v>
      </c>
      <c r="O159" s="44">
        <f>'Sheet1 select'!$B$10*'Sheet1 select'!$B$31*$B$8*1000*0.000000001</f>
        <v>3.0000000000000001E-3</v>
      </c>
      <c r="P159" s="44">
        <f>'Sheet1 select'!$B$35*$B$10*$B$8*1000*0.000000001</f>
        <v>0</v>
      </c>
      <c r="Q159" s="47">
        <f>IF('Sheet1 select'!$B$17=0,0,(0.00000006*0.7+0.00000003*(0.7+F159*1.1*'Sheet1 select'!$B$26))*F159*$B$8*1000)</f>
        <v>0</v>
      </c>
      <c r="R159" s="45">
        <f t="shared" ca="1" si="17"/>
        <v>0.16510327881439132</v>
      </c>
      <c r="S159" s="48">
        <f t="shared" ca="1" si="18"/>
        <v>0.92732394442368149</v>
      </c>
      <c r="T159" s="49">
        <f ca="1">H159+K159+O159+N159+'Sheet1 select'!$B$40*I159+J159+P159</f>
        <v>2.4806539908284748E-2</v>
      </c>
      <c r="U159" s="169">
        <f t="shared" ca="1" si="19"/>
        <v>1.2806539908284748E-2</v>
      </c>
      <c r="V159" s="47">
        <f t="shared" ca="1" si="20"/>
        <v>0</v>
      </c>
    </row>
    <row r="160" spans="5:22">
      <c r="E160" s="32">
        <v>159</v>
      </c>
      <c r="F160" s="45">
        <f t="shared" si="14"/>
        <v>0.42399999999999999</v>
      </c>
      <c r="G160" s="45">
        <f t="shared" si="15"/>
        <v>3.59552E-2</v>
      </c>
      <c r="H160" s="45">
        <f ca="1">F160*F160*('Sheet1 select'!$B$25)*$B$3</f>
        <v>4.0888356721470393E-3</v>
      </c>
      <c r="I160" s="45">
        <f>F160*(1-$B$3)*'Sheet1 select'!$B$41</f>
        <v>9.8933333333333318E-2</v>
      </c>
      <c r="J160" s="45">
        <f ca="1">F160*F160*('Sheet1 select'!$B$26)*(1-$B$3)</f>
        <v>0</v>
      </c>
      <c r="K160" s="45">
        <f>0.0000005*$B$10*F160*$B$8*((('Sheet1 select'!$B$33+0.5*'Sheet1 select'!$B$32)/(('Sheet1 select'!$B$10-'Sheet1 select'!$B$23)/('Sheet1 select'!$B$27+'Sheet1 select'!$B$8)))+(('Sheet1 select'!$B$33+0.5*'Sheet1 select'!$B$32)/(('Sheet1 select'!$B$23)/('Sheet1 select'!$B$27+'Sheet1 select'!$B$9))))</f>
        <v>5.8054868920415607E-3</v>
      </c>
      <c r="L160" s="45">
        <f>(F160*$B$28)*(('Sheet1 select'!$B$12+'Sheet1 select'!$B$13)*(0.000000001))*$B$8*1000</f>
        <v>0</v>
      </c>
      <c r="M160" s="45">
        <f t="shared" si="16"/>
        <v>6.481272239439854E-3</v>
      </c>
      <c r="N160" s="46">
        <f>$B$10*'Sheet1 select'!$B$29*0.001</f>
        <v>1.2E-2</v>
      </c>
      <c r="O160" s="44">
        <f>'Sheet1 select'!$B$10*'Sheet1 select'!$B$31*$B$8*1000*0.000000001</f>
        <v>3.0000000000000001E-3</v>
      </c>
      <c r="P160" s="44">
        <f>'Sheet1 select'!$B$35*$B$10*$B$8*1000*0.000000001</f>
        <v>0</v>
      </c>
      <c r="Q160" s="47">
        <f>IF('Sheet1 select'!$B$17=0,0,(0.00000006*0.7+0.00000003*(0.7+F160*1.1*'Sheet1 select'!$B$26))*F160*$B$8*1000)</f>
        <v>0</v>
      </c>
      <c r="R160" s="45">
        <f t="shared" ca="1" si="17"/>
        <v>0.16626412813696179</v>
      </c>
      <c r="S160" s="48">
        <f t="shared" ca="1" si="18"/>
        <v>0.92727693791336008</v>
      </c>
      <c r="T160" s="49">
        <f ca="1">H160+K160+O160+N160+'Sheet1 select'!$B$40*I160+J160+P160</f>
        <v>2.4894322564188599E-2</v>
      </c>
      <c r="U160" s="169">
        <f t="shared" ca="1" si="19"/>
        <v>1.2894322564188598E-2</v>
      </c>
      <c r="V160" s="47">
        <f t="shared" ca="1" si="20"/>
        <v>0</v>
      </c>
    </row>
    <row r="161" spans="5:22">
      <c r="E161" s="32">
        <v>160</v>
      </c>
      <c r="F161" s="45">
        <f t="shared" si="14"/>
        <v>0.42666666666666669</v>
      </c>
      <c r="G161" s="45">
        <f t="shared" si="15"/>
        <v>3.6408888888888893E-2</v>
      </c>
      <c r="H161" s="45">
        <f ca="1">F161*F161*('Sheet1 select'!$B$25)*$B$3</f>
        <v>4.1404293029138175E-3</v>
      </c>
      <c r="I161" s="45">
        <f>F161*(1-$B$3)*'Sheet1 select'!$B$41</f>
        <v>9.9555555555555564E-2</v>
      </c>
      <c r="J161" s="45">
        <f ca="1">F161*F161*('Sheet1 select'!$B$26)*(1-$B$3)</f>
        <v>0</v>
      </c>
      <c r="K161" s="45">
        <f>0.0000005*$B$10*F161*$B$8*((('Sheet1 select'!$B$33+0.5*'Sheet1 select'!$B$32)/(('Sheet1 select'!$B$10-'Sheet1 select'!$B$23)/('Sheet1 select'!$B$27+'Sheet1 select'!$B$8)))+(('Sheet1 select'!$B$33+0.5*'Sheet1 select'!$B$32)/(('Sheet1 select'!$B$23)/('Sheet1 select'!$B$27+'Sheet1 select'!$B$9))))</f>
        <v>5.8419993882179218E-3</v>
      </c>
      <c r="L161" s="45">
        <f>(F161*$B$28)*(('Sheet1 select'!$B$12+'Sheet1 select'!$B$13)*(0.000000001))*$B$8*1000</f>
        <v>0</v>
      </c>
      <c r="M161" s="45">
        <f t="shared" si="16"/>
        <v>6.481272239439854E-3</v>
      </c>
      <c r="N161" s="46">
        <f>$B$10*'Sheet1 select'!$B$29*0.001</f>
        <v>1.2E-2</v>
      </c>
      <c r="O161" s="44">
        <f>'Sheet1 select'!$B$10*'Sheet1 select'!$B$31*$B$8*1000*0.000000001</f>
        <v>3.0000000000000001E-3</v>
      </c>
      <c r="P161" s="44">
        <f>'Sheet1 select'!$B$35*$B$10*$B$8*1000*0.000000001</f>
        <v>0</v>
      </c>
      <c r="Q161" s="47">
        <f>IF('Sheet1 select'!$B$17=0,0,(0.00000006*0.7+0.00000003*(0.7+F161*1.1*'Sheet1 select'!$B$26))*F161*$B$8*1000)</f>
        <v>0</v>
      </c>
      <c r="R161" s="45">
        <f t="shared" ca="1" si="17"/>
        <v>0.16742814537501607</v>
      </c>
      <c r="S161" s="48">
        <f t="shared" ca="1" si="18"/>
        <v>0.92722924695826769</v>
      </c>
      <c r="T161" s="49">
        <f ca="1">H161+K161+O161+N161+'Sheet1 select'!$B$40*I161+J161+P161</f>
        <v>2.498242869113174E-2</v>
      </c>
      <c r="U161" s="169">
        <f t="shared" ca="1" si="19"/>
        <v>1.2982428691131739E-2</v>
      </c>
      <c r="V161" s="47">
        <f t="shared" ca="1" si="20"/>
        <v>0</v>
      </c>
    </row>
    <row r="162" spans="5:22">
      <c r="E162" s="32">
        <v>161</v>
      </c>
      <c r="F162" s="45">
        <f t="shared" si="14"/>
        <v>0.42933333333333334</v>
      </c>
      <c r="G162" s="45">
        <f t="shared" si="15"/>
        <v>3.6865422222222222E-2</v>
      </c>
      <c r="H162" s="45">
        <f ca="1">F162*F162*('Sheet1 select'!$B$25)*$B$3</f>
        <v>4.1923464047198839E-3</v>
      </c>
      <c r="I162" s="45">
        <f>F162*(1-$B$3)*'Sheet1 select'!$B$41</f>
        <v>0.10017777777777777</v>
      </c>
      <c r="J162" s="45">
        <f ca="1">F162*F162*('Sheet1 select'!$B$26)*(1-$B$3)</f>
        <v>0</v>
      </c>
      <c r="K162" s="45">
        <f>0.0000005*$B$10*F162*$B$8*((('Sheet1 select'!$B$33+0.5*'Sheet1 select'!$B$32)/(('Sheet1 select'!$B$10-'Sheet1 select'!$B$23)/('Sheet1 select'!$B$27+'Sheet1 select'!$B$8)))+(('Sheet1 select'!$B$33+0.5*'Sheet1 select'!$B$32)/(('Sheet1 select'!$B$23)/('Sheet1 select'!$B$27+'Sheet1 select'!$B$9))))</f>
        <v>5.8785118843942838E-3</v>
      </c>
      <c r="L162" s="45">
        <f>(F162*$B$28)*(('Sheet1 select'!$B$12+'Sheet1 select'!$B$13)*(0.000000001))*$B$8*1000</f>
        <v>0</v>
      </c>
      <c r="M162" s="45">
        <f t="shared" si="16"/>
        <v>6.481272239439854E-3</v>
      </c>
      <c r="N162" s="46">
        <f>$B$10*'Sheet1 select'!$B$29*0.001</f>
        <v>1.2E-2</v>
      </c>
      <c r="O162" s="44">
        <f>'Sheet1 select'!$B$10*'Sheet1 select'!$B$31*$B$8*1000*0.000000001</f>
        <v>3.0000000000000001E-3</v>
      </c>
      <c r="P162" s="44">
        <f>'Sheet1 select'!$B$35*$B$10*$B$8*1000*0.000000001</f>
        <v>0</v>
      </c>
      <c r="Q162" s="47">
        <f>IF('Sheet1 select'!$B$17=0,0,(0.00000006*0.7+0.00000003*(0.7+F162*1.1*'Sheet1 select'!$B$26))*F162*$B$8*1000)</f>
        <v>0</v>
      </c>
      <c r="R162" s="45">
        <f t="shared" ca="1" si="17"/>
        <v>0.16859533052855402</v>
      </c>
      <c r="S162" s="48">
        <f t="shared" ca="1" si="18"/>
        <v>0.92718088461141945</v>
      </c>
      <c r="T162" s="49">
        <f ca="1">H162+K162+O162+N162+'Sheet1 select'!$B$40*I162+J162+P162</f>
        <v>2.5070858289114168E-2</v>
      </c>
      <c r="U162" s="169">
        <f t="shared" ca="1" si="19"/>
        <v>1.3070858289114168E-2</v>
      </c>
      <c r="V162" s="47">
        <f t="shared" ca="1" si="20"/>
        <v>0</v>
      </c>
    </row>
    <row r="163" spans="5:22">
      <c r="E163" s="32">
        <v>162</v>
      </c>
      <c r="F163" s="45">
        <f t="shared" si="14"/>
        <v>0.432</v>
      </c>
      <c r="G163" s="45">
        <f t="shared" si="15"/>
        <v>3.7324799999999998E-2</v>
      </c>
      <c r="H163" s="45">
        <f ca="1">F163*F163*('Sheet1 select'!$B$25)*$B$3</f>
        <v>4.2445869775652421E-3</v>
      </c>
      <c r="I163" s="45">
        <f>F163*(1-$B$3)*'Sheet1 select'!$B$41</f>
        <v>0.10079999999999999</v>
      </c>
      <c r="J163" s="45">
        <f ca="1">F163*F163*('Sheet1 select'!$B$26)*(1-$B$3)</f>
        <v>0</v>
      </c>
      <c r="K163" s="45">
        <f>0.0000005*$B$10*F163*$B$8*((('Sheet1 select'!$B$33+0.5*'Sheet1 select'!$B$32)/(('Sheet1 select'!$B$10-'Sheet1 select'!$B$23)/('Sheet1 select'!$B$27+'Sheet1 select'!$B$8)))+(('Sheet1 select'!$B$33+0.5*'Sheet1 select'!$B$32)/(('Sheet1 select'!$B$23)/('Sheet1 select'!$B$27+'Sheet1 select'!$B$9))))</f>
        <v>5.9150243805706467E-3</v>
      </c>
      <c r="L163" s="45">
        <f>(F163*$B$28)*(('Sheet1 select'!$B$12+'Sheet1 select'!$B$13)*(0.000000001))*$B$8*1000</f>
        <v>0</v>
      </c>
      <c r="M163" s="45">
        <f t="shared" si="16"/>
        <v>6.481272239439854E-3</v>
      </c>
      <c r="N163" s="46">
        <f>$B$10*'Sheet1 select'!$B$29*0.001</f>
        <v>1.2E-2</v>
      </c>
      <c r="O163" s="44">
        <f>'Sheet1 select'!$B$10*'Sheet1 select'!$B$31*$B$8*1000*0.000000001</f>
        <v>3.0000000000000001E-3</v>
      </c>
      <c r="P163" s="44">
        <f>'Sheet1 select'!$B$35*$B$10*$B$8*1000*0.000000001</f>
        <v>0</v>
      </c>
      <c r="Q163" s="47">
        <f>IF('Sheet1 select'!$B$17=0,0,(0.00000006*0.7+0.00000003*(0.7+F163*1.1*'Sheet1 select'!$B$26))*F163*$B$8*1000)</f>
        <v>0</v>
      </c>
      <c r="R163" s="45">
        <f t="shared" ca="1" si="17"/>
        <v>0.16976568359757577</v>
      </c>
      <c r="S163" s="48">
        <f t="shared" ca="1" si="18"/>
        <v>0.92713186360637467</v>
      </c>
      <c r="T163" s="49">
        <f ca="1">H163+K163+O163+N163+'Sheet1 select'!$B$40*I163+J163+P163</f>
        <v>2.5159611358135887E-2</v>
      </c>
      <c r="U163" s="169">
        <f t="shared" ca="1" si="19"/>
        <v>1.3159611358135887E-2</v>
      </c>
      <c r="V163" s="47">
        <f t="shared" ca="1" si="20"/>
        <v>0</v>
      </c>
    </row>
    <row r="164" spans="5:22">
      <c r="E164" s="32">
        <v>163</v>
      </c>
      <c r="F164" s="45">
        <f t="shared" si="14"/>
        <v>0.4346666666666667</v>
      </c>
      <c r="G164" s="45">
        <f t="shared" si="15"/>
        <v>3.778702222222223E-2</v>
      </c>
      <c r="H164" s="45">
        <f ca="1">F164*F164*('Sheet1 select'!$B$25)*$B$3</f>
        <v>4.2971510214498913E-3</v>
      </c>
      <c r="I164" s="45">
        <f>F164*(1-$B$3)*'Sheet1 select'!$B$41</f>
        <v>0.10142222222222222</v>
      </c>
      <c r="J164" s="45">
        <f ca="1">F164*F164*('Sheet1 select'!$B$26)*(1-$B$3)</f>
        <v>0</v>
      </c>
      <c r="K164" s="45">
        <f>0.0000005*$B$10*F164*$B$8*((('Sheet1 select'!$B$33+0.5*'Sheet1 select'!$B$32)/(('Sheet1 select'!$B$10-'Sheet1 select'!$B$23)/('Sheet1 select'!$B$27+'Sheet1 select'!$B$8)))+(('Sheet1 select'!$B$33+0.5*'Sheet1 select'!$B$32)/(('Sheet1 select'!$B$23)/('Sheet1 select'!$B$27+'Sheet1 select'!$B$9))))</f>
        <v>5.9515368767470095E-3</v>
      </c>
      <c r="L164" s="45">
        <f>(F164*$B$28)*(('Sheet1 select'!$B$12+'Sheet1 select'!$B$13)*(0.000000001))*$B$8*1000</f>
        <v>0</v>
      </c>
      <c r="M164" s="45">
        <f t="shared" si="16"/>
        <v>6.481272239439854E-3</v>
      </c>
      <c r="N164" s="46">
        <f>$B$10*'Sheet1 select'!$B$29*0.001</f>
        <v>1.2E-2</v>
      </c>
      <c r="O164" s="44">
        <f>'Sheet1 select'!$B$10*'Sheet1 select'!$B$31*$B$8*1000*0.000000001</f>
        <v>3.0000000000000001E-3</v>
      </c>
      <c r="P164" s="44">
        <f>'Sheet1 select'!$B$35*$B$10*$B$8*1000*0.000000001</f>
        <v>0</v>
      </c>
      <c r="Q164" s="47">
        <f>IF('Sheet1 select'!$B$17=0,0,(0.00000006*0.7+0.00000003*(0.7+F164*1.1*'Sheet1 select'!$B$26))*F164*$B$8*1000)</f>
        <v>0</v>
      </c>
      <c r="R164" s="45">
        <f t="shared" ca="1" si="17"/>
        <v>0.17093920458208123</v>
      </c>
      <c r="S164" s="48">
        <f t="shared" ca="1" si="18"/>
        <v>0.92708219636694433</v>
      </c>
      <c r="T164" s="49">
        <f ca="1">H164+K164+O164+N164+'Sheet1 select'!$B$40*I164+J164+P164</f>
        <v>2.5248687898196901E-2</v>
      </c>
      <c r="U164" s="169">
        <f t="shared" ca="1" si="19"/>
        <v>1.3248687898196901E-2</v>
      </c>
      <c r="V164" s="47">
        <f t="shared" ca="1" si="20"/>
        <v>0</v>
      </c>
    </row>
    <row r="165" spans="5:22">
      <c r="E165" s="32">
        <v>164</v>
      </c>
      <c r="F165" s="45">
        <f t="shared" si="14"/>
        <v>0.43733333333333341</v>
      </c>
      <c r="G165" s="45">
        <f t="shared" si="15"/>
        <v>3.8252088888888897E-2</v>
      </c>
      <c r="H165" s="45">
        <f ca="1">F165*F165*('Sheet1 select'!$B$25)*$B$3</f>
        <v>4.3500385363738304E-3</v>
      </c>
      <c r="I165" s="45">
        <f>F165*(1-$B$3)*'Sheet1 select'!$B$41</f>
        <v>0.10204444444444445</v>
      </c>
      <c r="J165" s="45">
        <f ca="1">F165*F165*('Sheet1 select'!$B$26)*(1-$B$3)</f>
        <v>0</v>
      </c>
      <c r="K165" s="45">
        <f>0.0000005*$B$10*F165*$B$8*((('Sheet1 select'!$B$33+0.5*'Sheet1 select'!$B$32)/(('Sheet1 select'!$B$10-'Sheet1 select'!$B$23)/('Sheet1 select'!$B$27+'Sheet1 select'!$B$8)))+(('Sheet1 select'!$B$33+0.5*'Sheet1 select'!$B$32)/(('Sheet1 select'!$B$23)/('Sheet1 select'!$B$27+'Sheet1 select'!$B$9))))</f>
        <v>5.9880493729233724E-3</v>
      </c>
      <c r="L165" s="45">
        <f>(F165*$B$28)*(('Sheet1 select'!$B$12+'Sheet1 select'!$B$13)*(0.000000001))*$B$8*1000</f>
        <v>0</v>
      </c>
      <c r="M165" s="45">
        <f t="shared" si="16"/>
        <v>6.481272239439854E-3</v>
      </c>
      <c r="N165" s="46">
        <f>$B$10*'Sheet1 select'!$B$29*0.001</f>
        <v>1.2E-2</v>
      </c>
      <c r="O165" s="44">
        <f>'Sheet1 select'!$B$10*'Sheet1 select'!$B$31*$B$8*1000*0.000000001</f>
        <v>3.0000000000000001E-3</v>
      </c>
      <c r="P165" s="44">
        <f>'Sheet1 select'!$B$35*$B$10*$B$8*1000*0.000000001</f>
        <v>0</v>
      </c>
      <c r="Q165" s="47">
        <f>IF('Sheet1 select'!$B$17=0,0,(0.00000006*0.7+0.00000003*(0.7+F165*1.1*'Sheet1 select'!$B$26))*F165*$B$8*1000)</f>
        <v>0</v>
      </c>
      <c r="R165" s="45">
        <f t="shared" ca="1" si="17"/>
        <v>0.17211589348207043</v>
      </c>
      <c r="S165" s="48">
        <f t="shared" ca="1" si="18"/>
        <v>0.92703189501654737</v>
      </c>
      <c r="T165" s="49">
        <f ca="1">H165+K165+O165+N165+'Sheet1 select'!$B$40*I165+J165+P165</f>
        <v>2.5338087909297202E-2</v>
      </c>
      <c r="U165" s="169">
        <f t="shared" ca="1" si="19"/>
        <v>1.3338087909297202E-2</v>
      </c>
      <c r="V165" s="47">
        <f t="shared" ca="1" si="20"/>
        <v>0</v>
      </c>
    </row>
    <row r="166" spans="5:22">
      <c r="E166" s="32">
        <v>165</v>
      </c>
      <c r="F166" s="45">
        <f t="shared" si="14"/>
        <v>0.44</v>
      </c>
      <c r="G166" s="45">
        <f t="shared" si="15"/>
        <v>3.8719999999999997E-2</v>
      </c>
      <c r="H166" s="45">
        <f ca="1">F166*F166*('Sheet1 select'!$B$25)*$B$3</f>
        <v>4.403249522337057E-3</v>
      </c>
      <c r="I166" s="45">
        <f>F166*(1-$B$3)*'Sheet1 select'!$B$41</f>
        <v>0.10266666666666667</v>
      </c>
      <c r="J166" s="45">
        <f ca="1">F166*F166*('Sheet1 select'!$B$26)*(1-$B$3)</f>
        <v>0</v>
      </c>
      <c r="K166" s="45">
        <f>0.0000005*$B$10*F166*$B$8*((('Sheet1 select'!$B$33+0.5*'Sheet1 select'!$B$32)/(('Sheet1 select'!$B$10-'Sheet1 select'!$B$23)/('Sheet1 select'!$B$27+'Sheet1 select'!$B$8)))+(('Sheet1 select'!$B$33+0.5*'Sheet1 select'!$B$32)/(('Sheet1 select'!$B$23)/('Sheet1 select'!$B$27+'Sheet1 select'!$B$9))))</f>
        <v>6.0245618690997326E-3</v>
      </c>
      <c r="L166" s="45">
        <f>(F166*$B$28)*(('Sheet1 select'!$B$12+'Sheet1 select'!$B$13)*(0.000000001))*$B$8*1000</f>
        <v>0</v>
      </c>
      <c r="M166" s="45">
        <f t="shared" si="16"/>
        <v>6.481272239439854E-3</v>
      </c>
      <c r="N166" s="46">
        <f>$B$10*'Sheet1 select'!$B$29*0.001</f>
        <v>1.2E-2</v>
      </c>
      <c r="O166" s="44">
        <f>'Sheet1 select'!$B$10*'Sheet1 select'!$B$31*$B$8*1000*0.000000001</f>
        <v>3.0000000000000001E-3</v>
      </c>
      <c r="P166" s="44">
        <f>'Sheet1 select'!$B$35*$B$10*$B$8*1000*0.000000001</f>
        <v>0</v>
      </c>
      <c r="Q166" s="47">
        <f>IF('Sheet1 select'!$B$17=0,0,(0.00000006*0.7+0.00000003*(0.7+F166*1.1*'Sheet1 select'!$B$26))*F166*$B$8*1000)</f>
        <v>0</v>
      </c>
      <c r="R166" s="45">
        <f t="shared" ca="1" si="17"/>
        <v>0.17329575029754332</v>
      </c>
      <c r="S166" s="48">
        <f t="shared" ca="1" si="18"/>
        <v>0.92698097138722935</v>
      </c>
      <c r="T166" s="49">
        <f ca="1">H166+K166+O166+N166+'Sheet1 select'!$B$40*I166+J166+P166</f>
        <v>2.5427811391436791E-2</v>
      </c>
      <c r="U166" s="169">
        <f t="shared" ca="1" si="19"/>
        <v>1.3427811391436791E-2</v>
      </c>
      <c r="V166" s="47">
        <f t="shared" ca="1" si="20"/>
        <v>0</v>
      </c>
    </row>
    <row r="167" spans="5:22">
      <c r="E167" s="32">
        <v>166</v>
      </c>
      <c r="F167" s="45">
        <f t="shared" si="14"/>
        <v>0.44266666666666671</v>
      </c>
      <c r="G167" s="45">
        <f t="shared" si="15"/>
        <v>3.9190755555555561E-2</v>
      </c>
      <c r="H167" s="45">
        <f ca="1">F167*F167*('Sheet1 select'!$B$25)*$B$3</f>
        <v>4.4567839793395762E-3</v>
      </c>
      <c r="I167" s="45">
        <f>F167*(1-$B$3)*'Sheet1 select'!$B$41</f>
        <v>0.10328888888888887</v>
      </c>
      <c r="J167" s="45">
        <f ca="1">F167*F167*('Sheet1 select'!$B$26)*(1-$B$3)</f>
        <v>0</v>
      </c>
      <c r="K167" s="45">
        <f>0.0000005*$B$10*F167*$B$8*((('Sheet1 select'!$B$33+0.5*'Sheet1 select'!$B$32)/(('Sheet1 select'!$B$10-'Sheet1 select'!$B$23)/('Sheet1 select'!$B$27+'Sheet1 select'!$B$8)))+(('Sheet1 select'!$B$33+0.5*'Sheet1 select'!$B$32)/(('Sheet1 select'!$B$23)/('Sheet1 select'!$B$27+'Sheet1 select'!$B$9))))</f>
        <v>6.0610743652760955E-3</v>
      </c>
      <c r="L167" s="45">
        <f>(F167*$B$28)*(('Sheet1 select'!$B$12+'Sheet1 select'!$B$13)*(0.000000001))*$B$8*1000</f>
        <v>0</v>
      </c>
      <c r="M167" s="45">
        <f t="shared" si="16"/>
        <v>6.481272239439854E-3</v>
      </c>
      <c r="N167" s="46">
        <f>$B$10*'Sheet1 select'!$B$29*0.001</f>
        <v>1.2E-2</v>
      </c>
      <c r="O167" s="44">
        <f>'Sheet1 select'!$B$10*'Sheet1 select'!$B$31*$B$8*1000*0.000000001</f>
        <v>3.0000000000000001E-3</v>
      </c>
      <c r="P167" s="44">
        <f>'Sheet1 select'!$B$35*$B$10*$B$8*1000*0.000000001</f>
        <v>0</v>
      </c>
      <c r="Q167" s="47">
        <f>IF('Sheet1 select'!$B$17=0,0,(0.00000006*0.7+0.00000003*(0.7+F167*1.1*'Sheet1 select'!$B$26))*F167*$B$8*1000)</f>
        <v>0</v>
      </c>
      <c r="R167" s="45">
        <f t="shared" ca="1" si="17"/>
        <v>0.17447877502849998</v>
      </c>
      <c r="S167" s="48">
        <f t="shared" ca="1" si="18"/>
        <v>0.92692943702835906</v>
      </c>
      <c r="T167" s="49">
        <f ca="1">H167+K167+O167+N167+'Sheet1 select'!$B$40*I167+J167+P167</f>
        <v>2.551785834461567E-2</v>
      </c>
      <c r="U167" s="169">
        <f t="shared" ca="1" si="19"/>
        <v>1.351785834461567E-2</v>
      </c>
      <c r="V167" s="47">
        <f t="shared" ca="1" si="20"/>
        <v>0</v>
      </c>
    </row>
    <row r="168" spans="5:22">
      <c r="E168" s="32">
        <v>167</v>
      </c>
      <c r="F168" s="45">
        <f t="shared" si="14"/>
        <v>0.4453333333333333</v>
      </c>
      <c r="G168" s="45">
        <f t="shared" si="15"/>
        <v>3.9664355555555551E-2</v>
      </c>
      <c r="H168" s="45">
        <f ca="1">F168*F168*('Sheet1 select'!$B$25)*$B$3</f>
        <v>4.5106419073813837E-3</v>
      </c>
      <c r="I168" s="45">
        <f>F168*(1-$B$3)*'Sheet1 select'!$B$41</f>
        <v>0.10391111111111109</v>
      </c>
      <c r="J168" s="45">
        <f ca="1">F168*F168*('Sheet1 select'!$B$26)*(1-$B$3)</f>
        <v>0</v>
      </c>
      <c r="K168" s="45">
        <f>0.0000005*$B$10*F168*$B$8*((('Sheet1 select'!$B$33+0.5*'Sheet1 select'!$B$32)/(('Sheet1 select'!$B$10-'Sheet1 select'!$B$23)/('Sheet1 select'!$B$27+'Sheet1 select'!$B$8)))+(('Sheet1 select'!$B$33+0.5*'Sheet1 select'!$B$32)/(('Sheet1 select'!$B$23)/('Sheet1 select'!$B$27+'Sheet1 select'!$B$9))))</f>
        <v>6.0975868614524566E-3</v>
      </c>
      <c r="L168" s="45">
        <f>(F168*$B$28)*(('Sheet1 select'!$B$12+'Sheet1 select'!$B$13)*(0.000000001))*$B$8*1000</f>
        <v>0</v>
      </c>
      <c r="M168" s="45">
        <f t="shared" si="16"/>
        <v>6.481272239439854E-3</v>
      </c>
      <c r="N168" s="46">
        <f>$B$10*'Sheet1 select'!$B$29*0.001</f>
        <v>1.2E-2</v>
      </c>
      <c r="O168" s="44">
        <f>'Sheet1 select'!$B$10*'Sheet1 select'!$B$31*$B$8*1000*0.000000001</f>
        <v>3.0000000000000001E-3</v>
      </c>
      <c r="P168" s="44">
        <f>'Sheet1 select'!$B$35*$B$10*$B$8*1000*0.000000001</f>
        <v>0</v>
      </c>
      <c r="Q168" s="47">
        <f>IF('Sheet1 select'!$B$17=0,0,(0.00000006*0.7+0.00000003*(0.7+F168*1.1*'Sheet1 select'!$B$26))*F168*$B$8*1000)</f>
        <v>0</v>
      </c>
      <c r="R168" s="45">
        <f t="shared" ca="1" si="17"/>
        <v>0.17566496767494036</v>
      </c>
      <c r="S168" s="48">
        <f t="shared" ca="1" si="18"/>
        <v>0.92687730321501427</v>
      </c>
      <c r="T168" s="49">
        <f ca="1">H168+K168+O168+N168+'Sheet1 select'!$B$40*I168+J168+P168</f>
        <v>2.5608228768833841E-2</v>
      </c>
      <c r="U168" s="169">
        <f t="shared" ca="1" si="19"/>
        <v>1.360822876883384E-2</v>
      </c>
      <c r="V168" s="47">
        <f t="shared" ca="1" si="20"/>
        <v>0</v>
      </c>
    </row>
    <row r="169" spans="5:22">
      <c r="E169" s="32">
        <v>168</v>
      </c>
      <c r="F169" s="45">
        <f t="shared" si="14"/>
        <v>0.44800000000000001</v>
      </c>
      <c r="G169" s="45">
        <f t="shared" si="15"/>
        <v>4.0140800000000004E-2</v>
      </c>
      <c r="H169" s="45">
        <f ca="1">F169*F169*('Sheet1 select'!$B$25)*$B$3</f>
        <v>4.5648233064624838E-3</v>
      </c>
      <c r="I169" s="45">
        <f>F169*(1-$B$3)*'Sheet1 select'!$B$41</f>
        <v>0.10453333333333333</v>
      </c>
      <c r="J169" s="45">
        <f ca="1">F169*F169*('Sheet1 select'!$B$26)*(1-$B$3)</f>
        <v>0</v>
      </c>
      <c r="K169" s="45">
        <f>0.0000005*$B$10*F169*$B$8*((('Sheet1 select'!$B$33+0.5*'Sheet1 select'!$B$32)/(('Sheet1 select'!$B$10-'Sheet1 select'!$B$23)/('Sheet1 select'!$B$27+'Sheet1 select'!$B$8)))+(('Sheet1 select'!$B$33+0.5*'Sheet1 select'!$B$32)/(('Sheet1 select'!$B$23)/('Sheet1 select'!$B$27+'Sheet1 select'!$B$9))))</f>
        <v>6.1340993576288177E-3</v>
      </c>
      <c r="L169" s="45">
        <f>(F169*$B$28)*(('Sheet1 select'!$B$12+'Sheet1 select'!$B$13)*(0.000000001))*$B$8*1000</f>
        <v>0</v>
      </c>
      <c r="M169" s="45">
        <f t="shared" si="16"/>
        <v>6.481272239439854E-3</v>
      </c>
      <c r="N169" s="46">
        <f>$B$10*'Sheet1 select'!$B$29*0.001</f>
        <v>1.2E-2</v>
      </c>
      <c r="O169" s="44">
        <f>'Sheet1 select'!$B$10*'Sheet1 select'!$B$31*$B$8*1000*0.000000001</f>
        <v>3.0000000000000001E-3</v>
      </c>
      <c r="P169" s="44">
        <f>'Sheet1 select'!$B$35*$B$10*$B$8*1000*0.000000001</f>
        <v>0</v>
      </c>
      <c r="Q169" s="47">
        <f>IF('Sheet1 select'!$B$17=0,0,(0.00000006*0.7+0.00000003*(0.7+F169*1.1*'Sheet1 select'!$B$26))*F169*$B$8*1000)</f>
        <v>0</v>
      </c>
      <c r="R169" s="45">
        <f t="shared" ca="1" si="17"/>
        <v>0.17685432823686451</v>
      </c>
      <c r="S169" s="48">
        <f t="shared" ca="1" si="18"/>
        <v>0.92682458095607168</v>
      </c>
      <c r="T169" s="49">
        <f ca="1">H169+K169+O169+N169+'Sheet1 select'!$B$40*I169+J169+P169</f>
        <v>2.5698922664091302E-2</v>
      </c>
      <c r="U169" s="169">
        <f t="shared" ca="1" si="19"/>
        <v>1.3698922664091302E-2</v>
      </c>
      <c r="V169" s="47">
        <f t="shared" ca="1" si="20"/>
        <v>0</v>
      </c>
    </row>
    <row r="170" spans="5:22">
      <c r="E170" s="32">
        <v>169</v>
      </c>
      <c r="F170" s="45">
        <f t="shared" si="14"/>
        <v>0.45066666666666672</v>
      </c>
      <c r="G170" s="45">
        <f t="shared" si="15"/>
        <v>4.0620088888888899E-2</v>
      </c>
      <c r="H170" s="45">
        <f ca="1">F170*F170*('Sheet1 select'!$B$25)*$B$3</f>
        <v>4.6193281765828731E-3</v>
      </c>
      <c r="I170" s="45">
        <f>F170*(1-$B$3)*'Sheet1 select'!$B$41</f>
        <v>0.10515555555555556</v>
      </c>
      <c r="J170" s="45">
        <f ca="1">F170*F170*('Sheet1 select'!$B$26)*(1-$B$3)</f>
        <v>0</v>
      </c>
      <c r="K170" s="45">
        <f>0.0000005*$B$10*F170*$B$8*((('Sheet1 select'!$B$33+0.5*'Sheet1 select'!$B$32)/(('Sheet1 select'!$B$10-'Sheet1 select'!$B$23)/('Sheet1 select'!$B$27+'Sheet1 select'!$B$8)))+(('Sheet1 select'!$B$33+0.5*'Sheet1 select'!$B$32)/(('Sheet1 select'!$B$23)/('Sheet1 select'!$B$27+'Sheet1 select'!$B$9))))</f>
        <v>6.1706118538051805E-3</v>
      </c>
      <c r="L170" s="45">
        <f>(F170*$B$28)*(('Sheet1 select'!$B$12+'Sheet1 select'!$B$13)*(0.000000001))*$B$8*1000</f>
        <v>0</v>
      </c>
      <c r="M170" s="45">
        <f t="shared" si="16"/>
        <v>6.481272239439854E-3</v>
      </c>
      <c r="N170" s="46">
        <f>$B$10*'Sheet1 select'!$B$29*0.001</f>
        <v>1.2E-2</v>
      </c>
      <c r="O170" s="44">
        <f>'Sheet1 select'!$B$10*'Sheet1 select'!$B$31*$B$8*1000*0.000000001</f>
        <v>3.0000000000000001E-3</v>
      </c>
      <c r="P170" s="44">
        <f>'Sheet1 select'!$B$35*$B$10*$B$8*1000*0.000000001</f>
        <v>0</v>
      </c>
      <c r="Q170" s="47">
        <f>IF('Sheet1 select'!$B$17=0,0,(0.00000006*0.7+0.00000003*(0.7+F170*1.1*'Sheet1 select'!$B$26))*F170*$B$8*1000)</f>
        <v>0</v>
      </c>
      <c r="R170" s="45">
        <f t="shared" ca="1" si="17"/>
        <v>0.17804685671427239</v>
      </c>
      <c r="S170" s="48">
        <f t="shared" ca="1" si="18"/>
        <v>0.92677128100201123</v>
      </c>
      <c r="T170" s="49">
        <f ca="1">H170+K170+O170+N170+'Sheet1 select'!$B$40*I170+J170+P170</f>
        <v>2.5789940030388054E-2</v>
      </c>
      <c r="U170" s="169">
        <f t="shared" ca="1" si="19"/>
        <v>1.3789940030388054E-2</v>
      </c>
      <c r="V170" s="47">
        <f t="shared" ca="1" si="20"/>
        <v>0</v>
      </c>
    </row>
    <row r="171" spans="5:22">
      <c r="E171" s="32">
        <v>170</v>
      </c>
      <c r="F171" s="45">
        <f t="shared" si="14"/>
        <v>0.45333333333333331</v>
      </c>
      <c r="G171" s="45">
        <f t="shared" si="15"/>
        <v>4.1102222222222221E-2</v>
      </c>
      <c r="H171" s="45">
        <f ca="1">F171*F171*('Sheet1 select'!$B$25)*$B$3</f>
        <v>4.6741565177425507E-3</v>
      </c>
      <c r="I171" s="45">
        <f>F171*(1-$B$3)*'Sheet1 select'!$B$41</f>
        <v>0.10577777777777775</v>
      </c>
      <c r="J171" s="45">
        <f ca="1">F171*F171*('Sheet1 select'!$B$26)*(1-$B$3)</f>
        <v>0</v>
      </c>
      <c r="K171" s="45">
        <f>0.0000005*$B$10*F171*$B$8*((('Sheet1 select'!$B$33+0.5*'Sheet1 select'!$B$32)/(('Sheet1 select'!$B$10-'Sheet1 select'!$B$23)/('Sheet1 select'!$B$27+'Sheet1 select'!$B$8)))+(('Sheet1 select'!$B$33+0.5*'Sheet1 select'!$B$32)/(('Sheet1 select'!$B$23)/('Sheet1 select'!$B$27+'Sheet1 select'!$B$9))))</f>
        <v>6.2071243499815425E-3</v>
      </c>
      <c r="L171" s="45">
        <f>(F171*$B$28)*(('Sheet1 select'!$B$12+'Sheet1 select'!$B$13)*(0.000000001))*$B$8*1000</f>
        <v>0</v>
      </c>
      <c r="M171" s="45">
        <f t="shared" si="16"/>
        <v>6.481272239439854E-3</v>
      </c>
      <c r="N171" s="46">
        <f>$B$10*'Sheet1 select'!$B$29*0.001</f>
        <v>1.2E-2</v>
      </c>
      <c r="O171" s="44">
        <f>'Sheet1 select'!$B$10*'Sheet1 select'!$B$31*$B$8*1000*0.000000001</f>
        <v>3.0000000000000001E-3</v>
      </c>
      <c r="P171" s="44">
        <f>'Sheet1 select'!$B$35*$B$10*$B$8*1000*0.000000001</f>
        <v>0</v>
      </c>
      <c r="Q171" s="47">
        <f>IF('Sheet1 select'!$B$17=0,0,(0.00000006*0.7+0.00000003*(0.7+F171*1.1*'Sheet1 select'!$B$26))*F171*$B$8*1000)</f>
        <v>0</v>
      </c>
      <c r="R171" s="45">
        <f t="shared" ca="1" si="17"/>
        <v>0.17924255310716394</v>
      </c>
      <c r="S171" s="48">
        <f t="shared" ca="1" si="18"/>
        <v>0.92671741385244943</v>
      </c>
      <c r="T171" s="49">
        <f ca="1">H171+K171+O171+N171+'Sheet1 select'!$B$40*I171+J171+P171</f>
        <v>2.5881280867724094E-2</v>
      </c>
      <c r="U171" s="169">
        <f t="shared" ca="1" si="19"/>
        <v>1.3881280867724093E-2</v>
      </c>
      <c r="V171" s="47">
        <f t="shared" ca="1" si="20"/>
        <v>0</v>
      </c>
    </row>
    <row r="172" spans="5:22">
      <c r="E172" s="32">
        <v>171</v>
      </c>
      <c r="F172" s="45">
        <f t="shared" si="14"/>
        <v>0.45600000000000002</v>
      </c>
      <c r="G172" s="45">
        <f t="shared" si="15"/>
        <v>4.1587200000000005E-2</v>
      </c>
      <c r="H172" s="45">
        <f ca="1">F172*F172*('Sheet1 select'!$B$25)*$B$3</f>
        <v>4.7293083299415201E-3</v>
      </c>
      <c r="I172" s="45">
        <f>F172*(1-$B$3)*'Sheet1 select'!$B$41</f>
        <v>0.10639999999999999</v>
      </c>
      <c r="J172" s="45">
        <f ca="1">F172*F172*('Sheet1 select'!$B$26)*(1-$B$3)</f>
        <v>0</v>
      </c>
      <c r="K172" s="45">
        <f>0.0000005*$B$10*F172*$B$8*((('Sheet1 select'!$B$33+0.5*'Sheet1 select'!$B$32)/(('Sheet1 select'!$B$10-'Sheet1 select'!$B$23)/('Sheet1 select'!$B$27+'Sheet1 select'!$B$8)))+(('Sheet1 select'!$B$33+0.5*'Sheet1 select'!$B$32)/(('Sheet1 select'!$B$23)/('Sheet1 select'!$B$27+'Sheet1 select'!$B$9))))</f>
        <v>6.2436368461579054E-3</v>
      </c>
      <c r="L172" s="45">
        <f>(F172*$B$28)*(('Sheet1 select'!$B$12+'Sheet1 select'!$B$13)*(0.000000001))*$B$8*1000</f>
        <v>0</v>
      </c>
      <c r="M172" s="45">
        <f t="shared" si="16"/>
        <v>6.481272239439854E-3</v>
      </c>
      <c r="N172" s="46">
        <f>$B$10*'Sheet1 select'!$B$29*0.001</f>
        <v>1.2E-2</v>
      </c>
      <c r="O172" s="44">
        <f>'Sheet1 select'!$B$10*'Sheet1 select'!$B$31*$B$8*1000*0.000000001</f>
        <v>3.0000000000000001E-3</v>
      </c>
      <c r="P172" s="44">
        <f>'Sheet1 select'!$B$35*$B$10*$B$8*1000*0.000000001</f>
        <v>0</v>
      </c>
      <c r="Q172" s="47">
        <f>IF('Sheet1 select'!$B$17=0,0,(0.00000006*0.7+0.00000003*(0.7+F172*1.1*'Sheet1 select'!$B$26))*F172*$B$8*1000)</f>
        <v>0</v>
      </c>
      <c r="R172" s="45">
        <f t="shared" ca="1" si="17"/>
        <v>0.18044141741553932</v>
      </c>
      <c r="S172" s="48">
        <f t="shared" ca="1" si="18"/>
        <v>0.92666298976340755</v>
      </c>
      <c r="T172" s="49">
        <f ca="1">H172+K172+O172+N172+'Sheet1 select'!$B$40*I172+J172+P172</f>
        <v>2.5972945176099424E-2</v>
      </c>
      <c r="U172" s="169">
        <f t="shared" ca="1" si="19"/>
        <v>1.3972945176099424E-2</v>
      </c>
      <c r="V172" s="47">
        <f t="shared" ca="1" si="20"/>
        <v>0</v>
      </c>
    </row>
    <row r="173" spans="5:22">
      <c r="E173" s="32">
        <v>172</v>
      </c>
      <c r="F173" s="45">
        <f t="shared" si="14"/>
        <v>0.45866666666666667</v>
      </c>
      <c r="G173" s="45">
        <f t="shared" si="15"/>
        <v>4.2075022222222223E-2</v>
      </c>
      <c r="H173" s="45">
        <f ca="1">F173*F173*('Sheet1 select'!$B$25)*$B$3</f>
        <v>4.7847836131797794E-3</v>
      </c>
      <c r="I173" s="45">
        <f>F173*(1-$B$3)*'Sheet1 select'!$B$41</f>
        <v>0.10702222222222223</v>
      </c>
      <c r="J173" s="45">
        <f ca="1">F173*F173*('Sheet1 select'!$B$26)*(1-$B$3)</f>
        <v>0</v>
      </c>
      <c r="K173" s="45">
        <f>0.0000005*$B$10*F173*$B$8*((('Sheet1 select'!$B$33+0.5*'Sheet1 select'!$B$32)/(('Sheet1 select'!$B$10-'Sheet1 select'!$B$23)/('Sheet1 select'!$B$27+'Sheet1 select'!$B$8)))+(('Sheet1 select'!$B$33+0.5*'Sheet1 select'!$B$32)/(('Sheet1 select'!$B$23)/('Sheet1 select'!$B$27+'Sheet1 select'!$B$9))))</f>
        <v>6.2801493423342673E-3</v>
      </c>
      <c r="L173" s="45">
        <f>(F173*$B$28)*(('Sheet1 select'!$B$12+'Sheet1 select'!$B$13)*(0.000000001))*$B$8*1000</f>
        <v>0</v>
      </c>
      <c r="M173" s="45">
        <f t="shared" si="16"/>
        <v>6.481272239439854E-3</v>
      </c>
      <c r="N173" s="46">
        <f>$B$10*'Sheet1 select'!$B$29*0.001</f>
        <v>1.2E-2</v>
      </c>
      <c r="O173" s="44">
        <f>'Sheet1 select'!$B$10*'Sheet1 select'!$B$31*$B$8*1000*0.000000001</f>
        <v>3.0000000000000001E-3</v>
      </c>
      <c r="P173" s="44">
        <f>'Sheet1 select'!$B$35*$B$10*$B$8*1000*0.000000001</f>
        <v>0</v>
      </c>
      <c r="Q173" s="47">
        <f>IF('Sheet1 select'!$B$17=0,0,(0.00000006*0.7+0.00000003*(0.7+F173*1.1*'Sheet1 select'!$B$26))*F173*$B$8*1000)</f>
        <v>0</v>
      </c>
      <c r="R173" s="45">
        <f t="shared" ca="1" si="17"/>
        <v>0.18164344963939838</v>
      </c>
      <c r="S173" s="48">
        <f t="shared" ca="1" si="18"/>
        <v>0.92660801875433207</v>
      </c>
      <c r="T173" s="49">
        <f ca="1">H173+K173+O173+N173+'Sheet1 select'!$B$40*I173+J173+P173</f>
        <v>2.6064932955514045E-2</v>
      </c>
      <c r="U173" s="169">
        <f t="shared" ca="1" si="19"/>
        <v>1.4064932955514045E-2</v>
      </c>
      <c r="V173" s="47">
        <f t="shared" ca="1" si="20"/>
        <v>0</v>
      </c>
    </row>
    <row r="174" spans="5:22">
      <c r="E174" s="32">
        <v>173</v>
      </c>
      <c r="F174" s="45">
        <f t="shared" si="14"/>
        <v>0.46133333333333337</v>
      </c>
      <c r="G174" s="45">
        <f t="shared" si="15"/>
        <v>4.2565688888888904E-2</v>
      </c>
      <c r="H174" s="45">
        <f ca="1">F174*F174*('Sheet1 select'!$B$25)*$B$3</f>
        <v>4.8405823674573297E-3</v>
      </c>
      <c r="I174" s="45">
        <f>F174*(1-$B$3)*'Sheet1 select'!$B$41</f>
        <v>0.10764444444444443</v>
      </c>
      <c r="J174" s="45">
        <f ca="1">F174*F174*('Sheet1 select'!$B$26)*(1-$B$3)</f>
        <v>0</v>
      </c>
      <c r="K174" s="45">
        <f>0.0000005*$B$10*F174*$B$8*((('Sheet1 select'!$B$33+0.5*'Sheet1 select'!$B$32)/(('Sheet1 select'!$B$10-'Sheet1 select'!$B$23)/('Sheet1 select'!$B$27+'Sheet1 select'!$B$8)))+(('Sheet1 select'!$B$33+0.5*'Sheet1 select'!$B$32)/(('Sheet1 select'!$B$23)/('Sheet1 select'!$B$27+'Sheet1 select'!$B$9))))</f>
        <v>6.3166618385106302E-3</v>
      </c>
      <c r="L174" s="45">
        <f>(F174*$B$28)*(('Sheet1 select'!$B$12+'Sheet1 select'!$B$13)*(0.000000001))*$B$8*1000</f>
        <v>0</v>
      </c>
      <c r="M174" s="45">
        <f t="shared" si="16"/>
        <v>6.481272239439854E-3</v>
      </c>
      <c r="N174" s="46">
        <f>$B$10*'Sheet1 select'!$B$29*0.001</f>
        <v>1.2E-2</v>
      </c>
      <c r="O174" s="44">
        <f>'Sheet1 select'!$B$10*'Sheet1 select'!$B$31*$B$8*1000*0.000000001</f>
        <v>3.0000000000000001E-3</v>
      </c>
      <c r="P174" s="44">
        <f>'Sheet1 select'!$B$35*$B$10*$B$8*1000*0.000000001</f>
        <v>0</v>
      </c>
      <c r="Q174" s="47">
        <f>IF('Sheet1 select'!$B$17=0,0,(0.00000006*0.7+0.00000003*(0.7+F174*1.1*'Sheet1 select'!$B$26))*F174*$B$8*1000)</f>
        <v>0</v>
      </c>
      <c r="R174" s="45">
        <f t="shared" ca="1" si="17"/>
        <v>0.18284864977874116</v>
      </c>
      <c r="S174" s="48">
        <f t="shared" ca="1" si="18"/>
        <v>0.92655251061487065</v>
      </c>
      <c r="T174" s="49">
        <f ca="1">H174+K174+O174+N174+'Sheet1 select'!$B$40*I174+J174+P174</f>
        <v>2.6157244205967961E-2</v>
      </c>
      <c r="U174" s="169">
        <f t="shared" ca="1" si="19"/>
        <v>1.4157244205967961E-2</v>
      </c>
      <c r="V174" s="47">
        <f t="shared" ca="1" si="20"/>
        <v>0</v>
      </c>
    </row>
    <row r="175" spans="5:22">
      <c r="E175" s="32">
        <v>174</v>
      </c>
      <c r="F175" s="45">
        <f t="shared" si="14"/>
        <v>0.46400000000000008</v>
      </c>
      <c r="G175" s="45">
        <f t="shared" si="15"/>
        <v>4.3059200000000013E-2</v>
      </c>
      <c r="H175" s="45">
        <f ca="1">F175*F175*('Sheet1 select'!$B$25)*$B$3</f>
        <v>4.89670459277417E-3</v>
      </c>
      <c r="I175" s="45">
        <f>F175*(1-$B$3)*'Sheet1 select'!$B$41</f>
        <v>0.10826666666666668</v>
      </c>
      <c r="J175" s="45">
        <f ca="1">F175*F175*('Sheet1 select'!$B$26)*(1-$B$3)</f>
        <v>0</v>
      </c>
      <c r="K175" s="45">
        <f>0.0000005*$B$10*F175*$B$8*((('Sheet1 select'!$B$33+0.5*'Sheet1 select'!$B$32)/(('Sheet1 select'!$B$10-'Sheet1 select'!$B$23)/('Sheet1 select'!$B$27+'Sheet1 select'!$B$8)))+(('Sheet1 select'!$B$33+0.5*'Sheet1 select'!$B$32)/(('Sheet1 select'!$B$23)/('Sheet1 select'!$B$27+'Sheet1 select'!$B$9))))</f>
        <v>6.3531743346869913E-3</v>
      </c>
      <c r="L175" s="45">
        <f>(F175*$B$28)*(('Sheet1 select'!$B$12+'Sheet1 select'!$B$13)*(0.000000001))*$B$8*1000</f>
        <v>0</v>
      </c>
      <c r="M175" s="45">
        <f t="shared" si="16"/>
        <v>6.481272239439854E-3</v>
      </c>
      <c r="N175" s="46">
        <f>$B$10*'Sheet1 select'!$B$29*0.001</f>
        <v>1.2E-2</v>
      </c>
      <c r="O175" s="44">
        <f>'Sheet1 select'!$B$10*'Sheet1 select'!$B$31*$B$8*1000*0.000000001</f>
        <v>3.0000000000000001E-3</v>
      </c>
      <c r="P175" s="44">
        <f>'Sheet1 select'!$B$35*$B$10*$B$8*1000*0.000000001</f>
        <v>0</v>
      </c>
      <c r="Q175" s="47">
        <f>IF('Sheet1 select'!$B$17=0,0,(0.00000006*0.7+0.00000003*(0.7+F175*1.1*'Sheet1 select'!$B$26))*F175*$B$8*1000)</f>
        <v>0</v>
      </c>
      <c r="R175" s="45">
        <f t="shared" ca="1" si="17"/>
        <v>0.18405701783356773</v>
      </c>
      <c r="S175" s="48">
        <f t="shared" ca="1" si="18"/>
        <v>0.92649647491141873</v>
      </c>
      <c r="T175" s="49">
        <f ca="1">H175+K175+O175+N175+'Sheet1 select'!$B$40*I175+J175+P175</f>
        <v>2.6249878927461161E-2</v>
      </c>
      <c r="U175" s="169">
        <f t="shared" ca="1" si="19"/>
        <v>1.424987892746116E-2</v>
      </c>
      <c r="V175" s="47">
        <f t="shared" ca="1" si="20"/>
        <v>0</v>
      </c>
    </row>
    <row r="176" spans="5:22">
      <c r="E176" s="32">
        <v>175</v>
      </c>
      <c r="F176" s="45">
        <f t="shared" si="14"/>
        <v>0.46666666666666667</v>
      </c>
      <c r="G176" s="45">
        <f t="shared" si="15"/>
        <v>4.3555555555555556E-2</v>
      </c>
      <c r="H176" s="45">
        <f ca="1">F176*F176*('Sheet1 select'!$B$25)*$B$3</f>
        <v>4.9531502891302986E-3</v>
      </c>
      <c r="I176" s="45">
        <f>F176*(1-$B$3)*'Sheet1 select'!$B$41</f>
        <v>0.10888888888888888</v>
      </c>
      <c r="J176" s="45">
        <f ca="1">F176*F176*('Sheet1 select'!$B$26)*(1-$B$3)</f>
        <v>0</v>
      </c>
      <c r="K176" s="45">
        <f>0.0000005*$B$10*F176*$B$8*((('Sheet1 select'!$B$33+0.5*'Sheet1 select'!$B$32)/(('Sheet1 select'!$B$10-'Sheet1 select'!$B$23)/('Sheet1 select'!$B$27+'Sheet1 select'!$B$8)))+(('Sheet1 select'!$B$33+0.5*'Sheet1 select'!$B$32)/(('Sheet1 select'!$B$23)/('Sheet1 select'!$B$27+'Sheet1 select'!$B$9))))</f>
        <v>6.3896868308633533E-3</v>
      </c>
      <c r="L176" s="45">
        <f>(F176*$B$28)*(('Sheet1 select'!$B$12+'Sheet1 select'!$B$13)*(0.000000001))*$B$8*1000</f>
        <v>0</v>
      </c>
      <c r="M176" s="45">
        <f t="shared" si="16"/>
        <v>6.481272239439854E-3</v>
      </c>
      <c r="N176" s="46">
        <f>$B$10*'Sheet1 select'!$B$29*0.001</f>
        <v>1.2E-2</v>
      </c>
      <c r="O176" s="44">
        <f>'Sheet1 select'!$B$10*'Sheet1 select'!$B$31*$B$8*1000*0.000000001</f>
        <v>3.0000000000000001E-3</v>
      </c>
      <c r="P176" s="44">
        <f>'Sheet1 select'!$B$35*$B$10*$B$8*1000*0.000000001</f>
        <v>0</v>
      </c>
      <c r="Q176" s="47">
        <f>IF('Sheet1 select'!$B$17=0,0,(0.00000006*0.7+0.00000003*(0.7+F176*1.1*'Sheet1 select'!$B$26))*F176*$B$8*1000)</f>
        <v>0</v>
      </c>
      <c r="R176" s="45">
        <f t="shared" ca="1" si="17"/>
        <v>0.18526855380387797</v>
      </c>
      <c r="S176" s="48">
        <f t="shared" ca="1" si="18"/>
        <v>0.92643992099344252</v>
      </c>
      <c r="T176" s="49">
        <f ca="1">H176+K176+O176+N176+'Sheet1 select'!$B$40*I176+J176+P176</f>
        <v>2.6342837119993651E-2</v>
      </c>
      <c r="U176" s="169">
        <f t="shared" ca="1" si="19"/>
        <v>1.4342837119993651E-2</v>
      </c>
      <c r="V176" s="47">
        <f t="shared" ca="1" si="20"/>
        <v>0</v>
      </c>
    </row>
    <row r="177" spans="5:22">
      <c r="E177" s="32">
        <v>176</v>
      </c>
      <c r="F177" s="45">
        <f t="shared" si="14"/>
        <v>0.46933333333333338</v>
      </c>
      <c r="G177" s="45">
        <f t="shared" si="15"/>
        <v>4.4054755555555568E-2</v>
      </c>
      <c r="H177" s="45">
        <f ca="1">F177*F177*('Sheet1 select'!$B$25)*$B$3</f>
        <v>5.009919456525719E-3</v>
      </c>
      <c r="I177" s="45">
        <f>F177*(1-$B$3)*'Sheet1 select'!$B$41</f>
        <v>0.10951111111111111</v>
      </c>
      <c r="J177" s="45">
        <f ca="1">F177*F177*('Sheet1 select'!$B$26)*(1-$B$3)</f>
        <v>0</v>
      </c>
      <c r="K177" s="45">
        <f>0.0000005*$B$10*F177*$B$8*((('Sheet1 select'!$B$33+0.5*'Sheet1 select'!$B$32)/(('Sheet1 select'!$B$10-'Sheet1 select'!$B$23)/('Sheet1 select'!$B$27+'Sheet1 select'!$B$8)))+(('Sheet1 select'!$B$33+0.5*'Sheet1 select'!$B$32)/(('Sheet1 select'!$B$23)/('Sheet1 select'!$B$27+'Sheet1 select'!$B$9))))</f>
        <v>6.4261993270397152E-3</v>
      </c>
      <c r="L177" s="45">
        <f>(F177*$B$28)*(('Sheet1 select'!$B$12+'Sheet1 select'!$B$13)*(0.000000001))*$B$8*1000</f>
        <v>0</v>
      </c>
      <c r="M177" s="45">
        <f t="shared" si="16"/>
        <v>6.481272239439854E-3</v>
      </c>
      <c r="N177" s="46">
        <f>$B$10*'Sheet1 select'!$B$29*0.001</f>
        <v>1.2E-2</v>
      </c>
      <c r="O177" s="44">
        <f>'Sheet1 select'!$B$10*'Sheet1 select'!$B$31*$B$8*1000*0.000000001</f>
        <v>3.0000000000000001E-3</v>
      </c>
      <c r="P177" s="44">
        <f>'Sheet1 select'!$B$35*$B$10*$B$8*1000*0.000000001</f>
        <v>0</v>
      </c>
      <c r="Q177" s="47">
        <f>IF('Sheet1 select'!$B$17=0,0,(0.00000006*0.7+0.00000003*(0.7+F177*1.1*'Sheet1 select'!$B$26))*F177*$B$8*1000)</f>
        <v>0</v>
      </c>
      <c r="R177" s="45">
        <f t="shared" ca="1" si="17"/>
        <v>0.186483257689672</v>
      </c>
      <c r="S177" s="48">
        <f t="shared" ca="1" si="18"/>
        <v>0.92638285799958853</v>
      </c>
      <c r="T177" s="49">
        <f ca="1">H177+K177+O177+N177+'Sheet1 select'!$B$40*I177+J177+P177</f>
        <v>2.6436118783565433E-2</v>
      </c>
      <c r="U177" s="169">
        <f t="shared" ca="1" si="19"/>
        <v>1.4436118783565433E-2</v>
      </c>
      <c r="V177" s="47">
        <f t="shared" ca="1" si="20"/>
        <v>0</v>
      </c>
    </row>
    <row r="178" spans="5:22">
      <c r="E178" s="32">
        <v>177</v>
      </c>
      <c r="F178" s="45">
        <f t="shared" si="14"/>
        <v>0.47199999999999998</v>
      </c>
      <c r="G178" s="45">
        <f t="shared" si="15"/>
        <v>4.4556799999999994E-2</v>
      </c>
      <c r="H178" s="45">
        <f ca="1">F178*F178*('Sheet1 select'!$B$25)*$B$3</f>
        <v>5.0670120949604285E-3</v>
      </c>
      <c r="I178" s="45">
        <f>F178*(1-$B$3)*'Sheet1 select'!$B$41</f>
        <v>0.11013333333333331</v>
      </c>
      <c r="J178" s="45">
        <f ca="1">F178*F178*('Sheet1 select'!$B$26)*(1-$B$3)</f>
        <v>0</v>
      </c>
      <c r="K178" s="45">
        <f>0.0000005*$B$10*F178*$B$8*((('Sheet1 select'!$B$33+0.5*'Sheet1 select'!$B$32)/(('Sheet1 select'!$B$10-'Sheet1 select'!$B$23)/('Sheet1 select'!$B$27+'Sheet1 select'!$B$8)))+(('Sheet1 select'!$B$33+0.5*'Sheet1 select'!$B$32)/(('Sheet1 select'!$B$23)/('Sheet1 select'!$B$27+'Sheet1 select'!$B$9))))</f>
        <v>6.4627118232160764E-3</v>
      </c>
      <c r="L178" s="45">
        <f>(F178*$B$28)*(('Sheet1 select'!$B$12+'Sheet1 select'!$B$13)*(0.000000001))*$B$8*1000</f>
        <v>0</v>
      </c>
      <c r="M178" s="45">
        <f t="shared" si="16"/>
        <v>6.481272239439854E-3</v>
      </c>
      <c r="N178" s="46">
        <f>$B$10*'Sheet1 select'!$B$29*0.001</f>
        <v>1.2E-2</v>
      </c>
      <c r="O178" s="44">
        <f>'Sheet1 select'!$B$10*'Sheet1 select'!$B$31*$B$8*1000*0.000000001</f>
        <v>3.0000000000000001E-3</v>
      </c>
      <c r="P178" s="44">
        <f>'Sheet1 select'!$B$35*$B$10*$B$8*1000*0.000000001</f>
        <v>0</v>
      </c>
      <c r="Q178" s="47">
        <f>IF('Sheet1 select'!$B$17=0,0,(0.00000006*0.7+0.00000003*(0.7+F178*1.1*'Sheet1 select'!$B$26))*F178*$B$8*1000)</f>
        <v>0</v>
      </c>
      <c r="R178" s="45">
        <f t="shared" ca="1" si="17"/>
        <v>0.18770112949094969</v>
      </c>
      <c r="S178" s="48">
        <f t="shared" ca="1" si="18"/>
        <v>0.92632529486358794</v>
      </c>
      <c r="T178" s="49">
        <f ca="1">H178+K178+O178+N178+'Sheet1 select'!$B$40*I178+J178+P178</f>
        <v>2.6529723918176505E-2</v>
      </c>
      <c r="U178" s="169">
        <f t="shared" ca="1" si="19"/>
        <v>1.4529723918176505E-2</v>
      </c>
      <c r="V178" s="47">
        <f t="shared" ca="1" si="20"/>
        <v>0</v>
      </c>
    </row>
    <row r="179" spans="5:22">
      <c r="E179" s="32">
        <v>178</v>
      </c>
      <c r="F179" s="45">
        <f t="shared" si="14"/>
        <v>0.47466666666666668</v>
      </c>
      <c r="G179" s="45">
        <f t="shared" si="15"/>
        <v>4.5061688888888889E-2</v>
      </c>
      <c r="H179" s="45">
        <f ca="1">F179*F179*('Sheet1 select'!$B$25)*$B$3</f>
        <v>5.124428204434428E-3</v>
      </c>
      <c r="I179" s="45">
        <f>F179*(1-$B$3)*'Sheet1 select'!$B$41</f>
        <v>0.11075555555555555</v>
      </c>
      <c r="J179" s="45">
        <f ca="1">F179*F179*('Sheet1 select'!$B$26)*(1-$B$3)</f>
        <v>0</v>
      </c>
      <c r="K179" s="45">
        <f>0.0000005*$B$10*F179*$B$8*((('Sheet1 select'!$B$33+0.5*'Sheet1 select'!$B$32)/(('Sheet1 select'!$B$10-'Sheet1 select'!$B$23)/('Sheet1 select'!$B$27+'Sheet1 select'!$B$8)))+(('Sheet1 select'!$B$33+0.5*'Sheet1 select'!$B$32)/(('Sheet1 select'!$B$23)/('Sheet1 select'!$B$27+'Sheet1 select'!$B$9))))</f>
        <v>6.4992243193924383E-3</v>
      </c>
      <c r="L179" s="45">
        <f>(F179*$B$28)*(('Sheet1 select'!$B$12+'Sheet1 select'!$B$13)*(0.000000001))*$B$8*1000</f>
        <v>0</v>
      </c>
      <c r="M179" s="45">
        <f t="shared" si="16"/>
        <v>6.481272239439854E-3</v>
      </c>
      <c r="N179" s="46">
        <f>$B$10*'Sheet1 select'!$B$29*0.001</f>
        <v>1.2E-2</v>
      </c>
      <c r="O179" s="44">
        <f>'Sheet1 select'!$B$10*'Sheet1 select'!$B$31*$B$8*1000*0.000000001</f>
        <v>3.0000000000000001E-3</v>
      </c>
      <c r="P179" s="44">
        <f>'Sheet1 select'!$B$35*$B$10*$B$8*1000*0.000000001</f>
        <v>0</v>
      </c>
      <c r="Q179" s="47">
        <f>IF('Sheet1 select'!$B$17=0,0,(0.00000006*0.7+0.00000003*(0.7+F179*1.1*'Sheet1 select'!$B$26))*F179*$B$8*1000)</f>
        <v>0</v>
      </c>
      <c r="R179" s="45">
        <f t="shared" ca="1" si="17"/>
        <v>0.18892216920771118</v>
      </c>
      <c r="S179" s="48">
        <f t="shared" ca="1" si="18"/>
        <v>0.92626724031996299</v>
      </c>
      <c r="T179" s="49">
        <f ca="1">H179+K179+O179+N179+'Sheet1 select'!$B$40*I179+J179+P179</f>
        <v>2.6623652523826865E-2</v>
      </c>
      <c r="U179" s="169">
        <f t="shared" ca="1" si="19"/>
        <v>1.4623652523826865E-2</v>
      </c>
      <c r="V179" s="47">
        <f t="shared" ca="1" si="20"/>
        <v>0</v>
      </c>
    </row>
    <row r="180" spans="5:22">
      <c r="E180" s="32">
        <v>179</v>
      </c>
      <c r="F180" s="45">
        <f t="shared" si="14"/>
        <v>0.47733333333333339</v>
      </c>
      <c r="G180" s="45">
        <f t="shared" si="15"/>
        <v>4.5569422222222239E-2</v>
      </c>
      <c r="H180" s="45">
        <f ca="1">F180*F180*('Sheet1 select'!$B$25)*$B$3</f>
        <v>5.1821677849477202E-3</v>
      </c>
      <c r="I180" s="45">
        <f>F180*(1-$B$3)*'Sheet1 select'!$B$41</f>
        <v>0.11137777777777778</v>
      </c>
      <c r="J180" s="45">
        <f ca="1">F180*F180*('Sheet1 select'!$B$26)*(1-$B$3)</f>
        <v>0</v>
      </c>
      <c r="K180" s="45">
        <f>0.0000005*$B$10*F180*$B$8*((('Sheet1 select'!$B$33+0.5*'Sheet1 select'!$B$32)/(('Sheet1 select'!$B$10-'Sheet1 select'!$B$23)/('Sheet1 select'!$B$27+'Sheet1 select'!$B$8)))+(('Sheet1 select'!$B$33+0.5*'Sheet1 select'!$B$32)/(('Sheet1 select'!$B$23)/('Sheet1 select'!$B$27+'Sheet1 select'!$B$9))))</f>
        <v>6.5357368155688012E-3</v>
      </c>
      <c r="L180" s="45">
        <f>(F180*$B$28)*(('Sheet1 select'!$B$12+'Sheet1 select'!$B$13)*(0.000000001))*$B$8*1000</f>
        <v>0</v>
      </c>
      <c r="M180" s="45">
        <f t="shared" si="16"/>
        <v>6.481272239439854E-3</v>
      </c>
      <c r="N180" s="46">
        <f>$B$10*'Sheet1 select'!$B$29*0.001</f>
        <v>1.2E-2</v>
      </c>
      <c r="O180" s="44">
        <f>'Sheet1 select'!$B$10*'Sheet1 select'!$B$31*$B$8*1000*0.000000001</f>
        <v>3.0000000000000001E-3</v>
      </c>
      <c r="P180" s="44">
        <f>'Sheet1 select'!$B$35*$B$10*$B$8*1000*0.000000001</f>
        <v>0</v>
      </c>
      <c r="Q180" s="47">
        <f>IF('Sheet1 select'!$B$17=0,0,(0.00000006*0.7+0.00000003*(0.7+F180*1.1*'Sheet1 select'!$B$26))*F180*$B$8*1000)</f>
        <v>0</v>
      </c>
      <c r="R180" s="45">
        <f t="shared" ca="1" si="17"/>
        <v>0.19014637683995642</v>
      </c>
      <c r="S180" s="48">
        <f t="shared" ca="1" si="18"/>
        <v>0.92620870290954516</v>
      </c>
      <c r="T180" s="49">
        <f ca="1">H180+K180+O180+N180+'Sheet1 select'!$B$40*I180+J180+P180</f>
        <v>2.6717904600516523E-2</v>
      </c>
      <c r="U180" s="169">
        <f t="shared" ca="1" si="19"/>
        <v>1.4717904600516522E-2</v>
      </c>
      <c r="V180" s="47">
        <f t="shared" ca="1" si="20"/>
        <v>0</v>
      </c>
    </row>
    <row r="181" spans="5:22">
      <c r="E181" s="32">
        <v>180</v>
      </c>
      <c r="F181" s="45">
        <f t="shared" si="14"/>
        <v>0.48</v>
      </c>
      <c r="G181" s="45">
        <f t="shared" si="15"/>
        <v>4.6079999999999996E-2</v>
      </c>
      <c r="H181" s="45">
        <f ca="1">F181*F181*('Sheet1 select'!$B$25)*$B$3</f>
        <v>5.240230836500299E-3</v>
      </c>
      <c r="I181" s="45">
        <f>F181*(1-$B$3)*'Sheet1 select'!$B$41</f>
        <v>0.11199999999999999</v>
      </c>
      <c r="J181" s="45">
        <f ca="1">F181*F181*('Sheet1 select'!$B$26)*(1-$B$3)</f>
        <v>0</v>
      </c>
      <c r="K181" s="45">
        <f>0.0000005*$B$10*F181*$B$8*((('Sheet1 select'!$B$33+0.5*'Sheet1 select'!$B$32)/(('Sheet1 select'!$B$10-'Sheet1 select'!$B$23)/('Sheet1 select'!$B$27+'Sheet1 select'!$B$8)))+(('Sheet1 select'!$B$33+0.5*'Sheet1 select'!$B$32)/(('Sheet1 select'!$B$23)/('Sheet1 select'!$B$27+'Sheet1 select'!$B$9))))</f>
        <v>6.5722493117451632E-3</v>
      </c>
      <c r="L181" s="45">
        <f>(F181*$B$28)*(('Sheet1 select'!$B$12+'Sheet1 select'!$B$13)*(0.000000001))*$B$8*1000</f>
        <v>0</v>
      </c>
      <c r="M181" s="45">
        <f t="shared" si="16"/>
        <v>6.481272239439854E-3</v>
      </c>
      <c r="N181" s="46">
        <f>$B$10*'Sheet1 select'!$B$29*0.001</f>
        <v>1.2E-2</v>
      </c>
      <c r="O181" s="44">
        <f>'Sheet1 select'!$B$10*'Sheet1 select'!$B$31*$B$8*1000*0.000000001</f>
        <v>3.0000000000000001E-3</v>
      </c>
      <c r="P181" s="44">
        <f>'Sheet1 select'!$B$35*$B$10*$B$8*1000*0.000000001</f>
        <v>0</v>
      </c>
      <c r="Q181" s="47">
        <f>IF('Sheet1 select'!$B$17=0,0,(0.00000006*0.7+0.00000003*(0.7+F181*1.1*'Sheet1 select'!$B$26))*F181*$B$8*1000)</f>
        <v>0</v>
      </c>
      <c r="R181" s="45">
        <f t="shared" ca="1" si="17"/>
        <v>0.19137375238768531</v>
      </c>
      <c r="S181" s="48">
        <f t="shared" ca="1" si="18"/>
        <v>0.92614969098480904</v>
      </c>
      <c r="T181" s="49">
        <f ca="1">H181+K181+O181+N181+'Sheet1 select'!$B$40*I181+J181+P181</f>
        <v>2.6812480148245461E-2</v>
      </c>
      <c r="U181" s="169">
        <f t="shared" ca="1" si="19"/>
        <v>1.481248014824546E-2</v>
      </c>
      <c r="V181" s="47">
        <f t="shared" ca="1" si="20"/>
        <v>0</v>
      </c>
    </row>
    <row r="182" spans="5:22">
      <c r="E182" s="32">
        <v>181</v>
      </c>
      <c r="F182" s="45">
        <f t="shared" si="14"/>
        <v>0.48266666666666669</v>
      </c>
      <c r="G182" s="45">
        <f t="shared" si="15"/>
        <v>4.6593422222222222E-2</v>
      </c>
      <c r="H182" s="45">
        <f ca="1">F182*F182*('Sheet1 select'!$B$25)*$B$3</f>
        <v>5.2986173590921703E-3</v>
      </c>
      <c r="I182" s="45">
        <f>F182*(1-$B$3)*'Sheet1 select'!$B$41</f>
        <v>0.11262222222222223</v>
      </c>
      <c r="J182" s="45">
        <f ca="1">F182*F182*('Sheet1 select'!$B$26)*(1-$B$3)</f>
        <v>0</v>
      </c>
      <c r="K182" s="45">
        <f>0.0000005*$B$10*F182*$B$8*((('Sheet1 select'!$B$33+0.5*'Sheet1 select'!$B$32)/(('Sheet1 select'!$B$10-'Sheet1 select'!$B$23)/('Sheet1 select'!$B$27+'Sheet1 select'!$B$8)))+(('Sheet1 select'!$B$33+0.5*'Sheet1 select'!$B$32)/(('Sheet1 select'!$B$23)/('Sheet1 select'!$B$27+'Sheet1 select'!$B$9))))</f>
        <v>6.608761807921526E-3</v>
      </c>
      <c r="L182" s="45">
        <f>(F182*$B$28)*(('Sheet1 select'!$B$12+'Sheet1 select'!$B$13)*(0.000000001))*$B$8*1000</f>
        <v>0</v>
      </c>
      <c r="M182" s="45">
        <f t="shared" si="16"/>
        <v>6.481272239439854E-3</v>
      </c>
      <c r="N182" s="46">
        <f>$B$10*'Sheet1 select'!$B$29*0.001</f>
        <v>1.2E-2</v>
      </c>
      <c r="O182" s="44">
        <f>'Sheet1 select'!$B$10*'Sheet1 select'!$B$31*$B$8*1000*0.000000001</f>
        <v>3.0000000000000001E-3</v>
      </c>
      <c r="P182" s="44">
        <f>'Sheet1 select'!$B$35*$B$10*$B$8*1000*0.000000001</f>
        <v>0</v>
      </c>
      <c r="Q182" s="47">
        <f>IF('Sheet1 select'!$B$17=0,0,(0.00000006*0.7+0.00000003*(0.7+F182*1.1*'Sheet1 select'!$B$26))*F182*$B$8*1000)</f>
        <v>0</v>
      </c>
      <c r="R182" s="45">
        <f t="shared" ca="1" si="17"/>
        <v>0.19260429585089803</v>
      </c>
      <c r="S182" s="48">
        <f t="shared" ca="1" si="18"/>
        <v>0.92609021271503278</v>
      </c>
      <c r="T182" s="49">
        <f ca="1">H182+K182+O182+N182+'Sheet1 select'!$B$40*I182+J182+P182</f>
        <v>2.6907379167013697E-2</v>
      </c>
      <c r="U182" s="169">
        <f t="shared" ca="1" si="19"/>
        <v>1.4907379167013696E-2</v>
      </c>
      <c r="V182" s="47">
        <f t="shared" ca="1" si="20"/>
        <v>0</v>
      </c>
    </row>
    <row r="183" spans="5:22">
      <c r="E183" s="32">
        <v>182</v>
      </c>
      <c r="F183" s="45">
        <f t="shared" si="14"/>
        <v>0.48533333333333334</v>
      </c>
      <c r="G183" s="45">
        <f t="shared" si="15"/>
        <v>4.710968888888889E-2</v>
      </c>
      <c r="H183" s="45">
        <f ca="1">F183*F183*('Sheet1 select'!$B$25)*$B$3</f>
        <v>5.3573273527233308E-3</v>
      </c>
      <c r="I183" s="45">
        <f>F183*(1-$B$3)*'Sheet1 select'!$B$41</f>
        <v>0.11324444444444444</v>
      </c>
      <c r="J183" s="45">
        <f ca="1">F183*F183*('Sheet1 select'!$B$26)*(1-$B$3)</f>
        <v>0</v>
      </c>
      <c r="K183" s="45">
        <f>0.0000005*$B$10*F183*$B$8*((('Sheet1 select'!$B$33+0.5*'Sheet1 select'!$B$32)/(('Sheet1 select'!$B$10-'Sheet1 select'!$B$23)/('Sheet1 select'!$B$27+'Sheet1 select'!$B$8)))+(('Sheet1 select'!$B$33+0.5*'Sheet1 select'!$B$32)/(('Sheet1 select'!$B$23)/('Sheet1 select'!$B$27+'Sheet1 select'!$B$9))))</f>
        <v>6.6452743040978871E-3</v>
      </c>
      <c r="L183" s="45">
        <f>(F183*$B$28)*(('Sheet1 select'!$B$12+'Sheet1 select'!$B$13)*(0.000000001))*$B$8*1000</f>
        <v>0</v>
      </c>
      <c r="M183" s="45">
        <f t="shared" si="16"/>
        <v>6.481272239439854E-3</v>
      </c>
      <c r="N183" s="46">
        <f>$B$10*'Sheet1 select'!$B$29*0.001</f>
        <v>1.2E-2</v>
      </c>
      <c r="O183" s="44">
        <f>'Sheet1 select'!$B$10*'Sheet1 select'!$B$31*$B$8*1000*0.000000001</f>
        <v>3.0000000000000001E-3</v>
      </c>
      <c r="P183" s="44">
        <f>'Sheet1 select'!$B$35*$B$10*$B$8*1000*0.000000001</f>
        <v>0</v>
      </c>
      <c r="Q183" s="47">
        <f>IF('Sheet1 select'!$B$17=0,0,(0.00000006*0.7+0.00000003*(0.7+F183*1.1*'Sheet1 select'!$B$26))*F183*$B$8*1000)</f>
        <v>0</v>
      </c>
      <c r="R183" s="45">
        <f t="shared" ca="1" si="17"/>
        <v>0.19383800722959443</v>
      </c>
      <c r="S183" s="48">
        <f t="shared" ca="1" si="18"/>
        <v>0.92603027609128863</v>
      </c>
      <c r="T183" s="49">
        <f ca="1">H183+K183+O183+N183+'Sheet1 select'!$B$40*I183+J183+P183</f>
        <v>2.7002601656821217E-2</v>
      </c>
      <c r="U183" s="169">
        <f t="shared" ca="1" si="19"/>
        <v>1.5002601656821216E-2</v>
      </c>
      <c r="V183" s="47">
        <f t="shared" ca="1" si="20"/>
        <v>0</v>
      </c>
    </row>
    <row r="184" spans="5:22">
      <c r="E184" s="32">
        <v>183</v>
      </c>
      <c r="F184" s="45">
        <f t="shared" si="14"/>
        <v>0.48800000000000004</v>
      </c>
      <c r="G184" s="45">
        <f t="shared" si="15"/>
        <v>4.7628800000000013E-2</v>
      </c>
      <c r="H184" s="45">
        <f ca="1">F184*F184*('Sheet1 select'!$B$25)*$B$3</f>
        <v>5.4163608173937823E-3</v>
      </c>
      <c r="I184" s="45">
        <f>F184*(1-$B$3)*'Sheet1 select'!$B$41</f>
        <v>0.11386666666666667</v>
      </c>
      <c r="J184" s="45">
        <f ca="1">F184*F184*('Sheet1 select'!$B$26)*(1-$B$3)</f>
        <v>0</v>
      </c>
      <c r="K184" s="45">
        <f>0.0000005*$B$10*F184*$B$8*((('Sheet1 select'!$B$33+0.5*'Sheet1 select'!$B$32)/(('Sheet1 select'!$B$10-'Sheet1 select'!$B$23)/('Sheet1 select'!$B$27+'Sheet1 select'!$B$8)))+(('Sheet1 select'!$B$33+0.5*'Sheet1 select'!$B$32)/(('Sheet1 select'!$B$23)/('Sheet1 select'!$B$27+'Sheet1 select'!$B$9))))</f>
        <v>6.6817868002742491E-3</v>
      </c>
      <c r="L184" s="45">
        <f>(F184*$B$28)*(('Sheet1 select'!$B$12+'Sheet1 select'!$B$13)*(0.000000001))*$B$8*1000</f>
        <v>0</v>
      </c>
      <c r="M184" s="45">
        <f t="shared" si="16"/>
        <v>6.481272239439854E-3</v>
      </c>
      <c r="N184" s="46">
        <f>$B$10*'Sheet1 select'!$B$29*0.001</f>
        <v>1.2E-2</v>
      </c>
      <c r="O184" s="44">
        <f>'Sheet1 select'!$B$10*'Sheet1 select'!$B$31*$B$8*1000*0.000000001</f>
        <v>3.0000000000000001E-3</v>
      </c>
      <c r="P184" s="44">
        <f>'Sheet1 select'!$B$35*$B$10*$B$8*1000*0.000000001</f>
        <v>0</v>
      </c>
      <c r="Q184" s="47">
        <f>IF('Sheet1 select'!$B$17=0,0,(0.00000006*0.7+0.00000003*(0.7+F184*1.1*'Sheet1 select'!$B$26))*F184*$B$8*1000)</f>
        <v>0</v>
      </c>
      <c r="R184" s="45">
        <f t="shared" ca="1" si="17"/>
        <v>0.19507488652377461</v>
      </c>
      <c r="S184" s="48">
        <f t="shared" ca="1" si="18"/>
        <v>0.92596988893127052</v>
      </c>
      <c r="T184" s="49">
        <f ca="1">H184+K184+O184+N184+'Sheet1 select'!$B$40*I184+J184+P184</f>
        <v>2.7098147617668031E-2</v>
      </c>
      <c r="U184" s="169">
        <f t="shared" ca="1" si="19"/>
        <v>1.5098147617668031E-2</v>
      </c>
      <c r="V184" s="47">
        <f t="shared" ca="1" si="20"/>
        <v>0</v>
      </c>
    </row>
    <row r="185" spans="5:22">
      <c r="E185" s="32">
        <v>184</v>
      </c>
      <c r="F185" s="45">
        <f t="shared" si="14"/>
        <v>0.49066666666666675</v>
      </c>
      <c r="G185" s="45">
        <f t="shared" si="15"/>
        <v>4.8150755555555577E-2</v>
      </c>
      <c r="H185" s="45">
        <f ca="1">F185*F185*('Sheet1 select'!$B$25)*$B$3</f>
        <v>5.4757177531035246E-3</v>
      </c>
      <c r="I185" s="45">
        <f>F185*(1-$B$3)*'Sheet1 select'!$B$41</f>
        <v>0.11448888888888889</v>
      </c>
      <c r="J185" s="45">
        <f ca="1">F185*F185*('Sheet1 select'!$B$26)*(1-$B$3)</f>
        <v>0</v>
      </c>
      <c r="K185" s="45">
        <f>0.0000005*$B$10*F185*$B$8*((('Sheet1 select'!$B$33+0.5*'Sheet1 select'!$B$32)/(('Sheet1 select'!$B$10-'Sheet1 select'!$B$23)/('Sheet1 select'!$B$27+'Sheet1 select'!$B$8)))+(('Sheet1 select'!$B$33+0.5*'Sheet1 select'!$B$32)/(('Sheet1 select'!$B$23)/('Sheet1 select'!$B$27+'Sheet1 select'!$B$9))))</f>
        <v>6.7182992964506119E-3</v>
      </c>
      <c r="L185" s="45">
        <f>(F185*$B$28)*(('Sheet1 select'!$B$12+'Sheet1 select'!$B$13)*(0.000000001))*$B$8*1000</f>
        <v>0</v>
      </c>
      <c r="M185" s="45">
        <f t="shared" si="16"/>
        <v>6.481272239439854E-3</v>
      </c>
      <c r="N185" s="46">
        <f>$B$10*'Sheet1 select'!$B$29*0.001</f>
        <v>1.2E-2</v>
      </c>
      <c r="O185" s="44">
        <f>'Sheet1 select'!$B$10*'Sheet1 select'!$B$31*$B$8*1000*0.000000001</f>
        <v>3.0000000000000001E-3</v>
      </c>
      <c r="P185" s="44">
        <f>'Sheet1 select'!$B$35*$B$10*$B$8*1000*0.000000001</f>
        <v>0</v>
      </c>
      <c r="Q185" s="47">
        <f>IF('Sheet1 select'!$B$17=0,0,(0.00000006*0.7+0.00000003*(0.7+F185*1.1*'Sheet1 select'!$B$26))*F185*$B$8*1000)</f>
        <v>0</v>
      </c>
      <c r="R185" s="45">
        <f t="shared" ca="1" si="17"/>
        <v>0.1963149337334385</v>
      </c>
      <c r="S185" s="48">
        <f t="shared" ca="1" si="18"/>
        <v>0.92590905888396868</v>
      </c>
      <c r="T185" s="49">
        <f ca="1">H185+K185+O185+N185+'Sheet1 select'!$B$40*I185+J185+P185</f>
        <v>2.7194017049554136E-2</v>
      </c>
      <c r="U185" s="169">
        <f t="shared" ca="1" si="19"/>
        <v>1.5194017049554136E-2</v>
      </c>
      <c r="V185" s="47">
        <f t="shared" ca="1" si="20"/>
        <v>0</v>
      </c>
    </row>
    <row r="186" spans="5:22">
      <c r="E186" s="32">
        <v>185</v>
      </c>
      <c r="F186" s="45">
        <f t="shared" si="14"/>
        <v>0.49333333333333335</v>
      </c>
      <c r="G186" s="45">
        <f t="shared" si="15"/>
        <v>4.8675555555555562E-2</v>
      </c>
      <c r="H186" s="45">
        <f ca="1">F186*F186*('Sheet1 select'!$B$25)*$B$3</f>
        <v>5.5353981598525543E-3</v>
      </c>
      <c r="I186" s="45">
        <f>F186*(1-$B$3)*'Sheet1 select'!$B$41</f>
        <v>0.11511111111111111</v>
      </c>
      <c r="J186" s="45">
        <f ca="1">F186*F186*('Sheet1 select'!$B$26)*(1-$B$3)</f>
        <v>0</v>
      </c>
      <c r="K186" s="45">
        <f>0.0000005*$B$10*F186*$B$8*((('Sheet1 select'!$B$33+0.5*'Sheet1 select'!$B$32)/(('Sheet1 select'!$B$10-'Sheet1 select'!$B$23)/('Sheet1 select'!$B$27+'Sheet1 select'!$B$8)))+(('Sheet1 select'!$B$33+0.5*'Sheet1 select'!$B$32)/(('Sheet1 select'!$B$23)/('Sheet1 select'!$B$27+'Sheet1 select'!$B$9))))</f>
        <v>6.7548117926269722E-3</v>
      </c>
      <c r="L186" s="45">
        <f>(F186*$B$28)*(('Sheet1 select'!$B$12+'Sheet1 select'!$B$13)*(0.000000001))*$B$8*1000</f>
        <v>0</v>
      </c>
      <c r="M186" s="45">
        <f t="shared" si="16"/>
        <v>6.481272239439854E-3</v>
      </c>
      <c r="N186" s="46">
        <f>$B$10*'Sheet1 select'!$B$29*0.001</f>
        <v>1.2E-2</v>
      </c>
      <c r="O186" s="44">
        <f>'Sheet1 select'!$B$10*'Sheet1 select'!$B$31*$B$8*1000*0.000000001</f>
        <v>3.0000000000000001E-3</v>
      </c>
      <c r="P186" s="44">
        <f>'Sheet1 select'!$B$35*$B$10*$B$8*1000*0.000000001</f>
        <v>0</v>
      </c>
      <c r="Q186" s="47">
        <f>IF('Sheet1 select'!$B$17=0,0,(0.00000006*0.7+0.00000003*(0.7+F186*1.1*'Sheet1 select'!$B$26))*F186*$B$8*1000)</f>
        <v>0</v>
      </c>
      <c r="R186" s="45">
        <f t="shared" ca="1" si="17"/>
        <v>0.19755814885858608</v>
      </c>
      <c r="S186" s="48">
        <f t="shared" ca="1" si="18"/>
        <v>0.92584779343418977</v>
      </c>
      <c r="T186" s="49">
        <f ca="1">H186+K186+O186+N186+'Sheet1 select'!$B$40*I186+J186+P186</f>
        <v>2.7290209952479525E-2</v>
      </c>
      <c r="U186" s="169">
        <f t="shared" ca="1" si="19"/>
        <v>1.5290209952479525E-2</v>
      </c>
      <c r="V186" s="47">
        <f t="shared" ca="1" si="20"/>
        <v>0</v>
      </c>
    </row>
    <row r="187" spans="5:22">
      <c r="E187" s="32">
        <v>186</v>
      </c>
      <c r="F187" s="45">
        <f t="shared" si="14"/>
        <v>0.49600000000000005</v>
      </c>
      <c r="G187" s="45">
        <f t="shared" si="15"/>
        <v>4.9203200000000009E-2</v>
      </c>
      <c r="H187" s="45">
        <f ca="1">F187*F187*('Sheet1 select'!$B$25)*$B$3</f>
        <v>5.5954020376408758E-3</v>
      </c>
      <c r="I187" s="45">
        <f>F187*(1-$B$3)*'Sheet1 select'!$B$41</f>
        <v>0.11573333333333334</v>
      </c>
      <c r="J187" s="45">
        <f ca="1">F187*F187*('Sheet1 select'!$B$26)*(1-$B$3)</f>
        <v>0</v>
      </c>
      <c r="K187" s="45">
        <f>0.0000005*$B$10*F187*$B$8*((('Sheet1 select'!$B$33+0.5*'Sheet1 select'!$B$32)/(('Sheet1 select'!$B$10-'Sheet1 select'!$B$23)/('Sheet1 select'!$B$27+'Sheet1 select'!$B$8)))+(('Sheet1 select'!$B$33+0.5*'Sheet1 select'!$B$32)/(('Sheet1 select'!$B$23)/('Sheet1 select'!$B$27+'Sheet1 select'!$B$9))))</f>
        <v>6.791324288803335E-3</v>
      </c>
      <c r="L187" s="45">
        <f>(F187*$B$28)*(('Sheet1 select'!$B$12+'Sheet1 select'!$B$13)*(0.000000001))*$B$8*1000</f>
        <v>0</v>
      </c>
      <c r="M187" s="45">
        <f t="shared" si="16"/>
        <v>6.481272239439854E-3</v>
      </c>
      <c r="N187" s="46">
        <f>$B$10*'Sheet1 select'!$B$29*0.001</f>
        <v>1.2E-2</v>
      </c>
      <c r="O187" s="44">
        <f>'Sheet1 select'!$B$10*'Sheet1 select'!$B$31*$B$8*1000*0.000000001</f>
        <v>3.0000000000000001E-3</v>
      </c>
      <c r="P187" s="44">
        <f>'Sheet1 select'!$B$35*$B$10*$B$8*1000*0.000000001</f>
        <v>0</v>
      </c>
      <c r="Q187" s="47">
        <f>IF('Sheet1 select'!$B$17=0,0,(0.00000006*0.7+0.00000003*(0.7+F187*1.1*'Sheet1 select'!$B$26))*F187*$B$8*1000)</f>
        <v>0</v>
      </c>
      <c r="R187" s="45">
        <f t="shared" ca="1" si="17"/>
        <v>0.19880453189921743</v>
      </c>
      <c r="S187" s="48">
        <f t="shared" ca="1" si="18"/>
        <v>0.92578609990693528</v>
      </c>
      <c r="T187" s="49">
        <f ca="1">H187+K187+O187+N187+'Sheet1 select'!$B$40*I187+J187+P187</f>
        <v>2.7386726326444212E-2</v>
      </c>
      <c r="U187" s="169">
        <f t="shared" ca="1" si="19"/>
        <v>1.5386726326444212E-2</v>
      </c>
      <c r="V187" s="47">
        <f t="shared" ca="1" si="20"/>
        <v>0</v>
      </c>
    </row>
    <row r="188" spans="5:22">
      <c r="E188" s="32">
        <v>187</v>
      </c>
      <c r="F188" s="45">
        <f t="shared" si="14"/>
        <v>0.49866666666666665</v>
      </c>
      <c r="G188" s="45">
        <f t="shared" si="15"/>
        <v>4.9733688888888884E-2</v>
      </c>
      <c r="H188" s="45">
        <f ca="1">F188*F188*('Sheet1 select'!$B$25)*$B$3</f>
        <v>5.6557293864684857E-3</v>
      </c>
      <c r="I188" s="45">
        <f>F188*(1-$B$3)*'Sheet1 select'!$B$41</f>
        <v>0.11635555555555555</v>
      </c>
      <c r="J188" s="45">
        <f ca="1">F188*F188*('Sheet1 select'!$B$26)*(1-$B$3)</f>
        <v>0</v>
      </c>
      <c r="K188" s="45">
        <f>0.0000005*$B$10*F188*$B$8*((('Sheet1 select'!$B$33+0.5*'Sheet1 select'!$B$32)/(('Sheet1 select'!$B$10-'Sheet1 select'!$B$23)/('Sheet1 select'!$B$27+'Sheet1 select'!$B$8)))+(('Sheet1 select'!$B$33+0.5*'Sheet1 select'!$B$32)/(('Sheet1 select'!$B$23)/('Sheet1 select'!$B$27+'Sheet1 select'!$B$9))))</f>
        <v>6.827836784979697E-3</v>
      </c>
      <c r="L188" s="45">
        <f>(F188*$B$28)*(('Sheet1 select'!$B$12+'Sheet1 select'!$B$13)*(0.000000001))*$B$8*1000</f>
        <v>0</v>
      </c>
      <c r="M188" s="45">
        <f t="shared" si="16"/>
        <v>6.481272239439854E-3</v>
      </c>
      <c r="N188" s="46">
        <f>$B$10*'Sheet1 select'!$B$29*0.001</f>
        <v>1.2E-2</v>
      </c>
      <c r="O188" s="44">
        <f>'Sheet1 select'!$B$10*'Sheet1 select'!$B$31*$B$8*1000*0.000000001</f>
        <v>3.0000000000000001E-3</v>
      </c>
      <c r="P188" s="44">
        <f>'Sheet1 select'!$B$35*$B$10*$B$8*1000*0.000000001</f>
        <v>0</v>
      </c>
      <c r="Q188" s="47">
        <f>IF('Sheet1 select'!$B$17=0,0,(0.00000006*0.7+0.00000003*(0.7+F188*1.1*'Sheet1 select'!$B$26))*F188*$B$8*1000)</f>
        <v>0</v>
      </c>
      <c r="R188" s="45">
        <f t="shared" ca="1" si="17"/>
        <v>0.20005408285533249</v>
      </c>
      <c r="S188" s="48">
        <f t="shared" ca="1" si="18"/>
        <v>0.92572398547163959</v>
      </c>
      <c r="T188" s="49">
        <f ca="1">H188+K188+O188+N188+'Sheet1 select'!$B$40*I188+J188+P188</f>
        <v>2.7483566171448183E-2</v>
      </c>
      <c r="U188" s="169">
        <f t="shared" ca="1" si="19"/>
        <v>1.5483566171448183E-2</v>
      </c>
      <c r="V188" s="47">
        <f t="shared" ca="1" si="20"/>
        <v>0</v>
      </c>
    </row>
    <row r="189" spans="5:22">
      <c r="E189" s="32">
        <v>188</v>
      </c>
      <c r="F189" s="45">
        <f t="shared" si="14"/>
        <v>0.5013333333333333</v>
      </c>
      <c r="G189" s="45">
        <f t="shared" si="15"/>
        <v>5.0267022222222207E-2</v>
      </c>
      <c r="H189" s="45">
        <f ca="1">F189*F189*('Sheet1 select'!$B$25)*$B$3</f>
        <v>5.7163802063353872E-3</v>
      </c>
      <c r="I189" s="45">
        <f>F189*(1-$B$3)*'Sheet1 select'!$B$41</f>
        <v>0.11697777777777776</v>
      </c>
      <c r="J189" s="45">
        <f ca="1">F189*F189*('Sheet1 select'!$B$26)*(1-$B$3)</f>
        <v>0</v>
      </c>
      <c r="K189" s="45">
        <f>0.0000005*$B$10*F189*$B$8*((('Sheet1 select'!$B$33+0.5*'Sheet1 select'!$B$32)/(('Sheet1 select'!$B$10-'Sheet1 select'!$B$23)/('Sheet1 select'!$B$27+'Sheet1 select'!$B$8)))+(('Sheet1 select'!$B$33+0.5*'Sheet1 select'!$B$32)/(('Sheet1 select'!$B$23)/('Sheet1 select'!$B$27+'Sheet1 select'!$B$9))))</f>
        <v>6.864349281156059E-3</v>
      </c>
      <c r="L189" s="45">
        <f>(F189*$B$28)*(('Sheet1 select'!$B$12+'Sheet1 select'!$B$13)*(0.000000001))*$B$8*1000</f>
        <v>0</v>
      </c>
      <c r="M189" s="45">
        <f t="shared" si="16"/>
        <v>6.481272239439854E-3</v>
      </c>
      <c r="N189" s="46">
        <f>$B$10*'Sheet1 select'!$B$29*0.001</f>
        <v>1.2E-2</v>
      </c>
      <c r="O189" s="44">
        <f>'Sheet1 select'!$B$10*'Sheet1 select'!$B$31*$B$8*1000*0.000000001</f>
        <v>3.0000000000000001E-3</v>
      </c>
      <c r="P189" s="44">
        <f>'Sheet1 select'!$B$35*$B$10*$B$8*1000*0.000000001</f>
        <v>0</v>
      </c>
      <c r="Q189" s="47">
        <f>IF('Sheet1 select'!$B$17=0,0,(0.00000006*0.7+0.00000003*(0.7+F189*1.1*'Sheet1 select'!$B$26))*F189*$B$8*1000)</f>
        <v>0</v>
      </c>
      <c r="R189" s="45">
        <f t="shared" ca="1" si="17"/>
        <v>0.2013068017269313</v>
      </c>
      <c r="S189" s="48">
        <f t="shared" ca="1" si="18"/>
        <v>0.92566145714627368</v>
      </c>
      <c r="T189" s="49">
        <f ca="1">H189+K189+O189+N189+'Sheet1 select'!$B$40*I189+J189+P189</f>
        <v>2.7580729487491445E-2</v>
      </c>
      <c r="U189" s="169">
        <f t="shared" ca="1" si="19"/>
        <v>1.5580729487491445E-2</v>
      </c>
      <c r="V189" s="47">
        <f t="shared" ca="1" si="20"/>
        <v>0</v>
      </c>
    </row>
    <row r="190" spans="5:22">
      <c r="E190" s="32">
        <v>189</v>
      </c>
      <c r="F190" s="45">
        <f t="shared" si="14"/>
        <v>0.504</v>
      </c>
      <c r="G190" s="45">
        <f t="shared" si="15"/>
        <v>5.0803200000000007E-2</v>
      </c>
      <c r="H190" s="45">
        <f ca="1">F190*F190*('Sheet1 select'!$B$25)*$B$3</f>
        <v>5.7773544972415805E-3</v>
      </c>
      <c r="I190" s="45">
        <f>F190*(1-$B$3)*'Sheet1 select'!$B$41</f>
        <v>0.1176</v>
      </c>
      <c r="J190" s="45">
        <f ca="1">F190*F190*('Sheet1 select'!$B$26)*(1-$B$3)</f>
        <v>0</v>
      </c>
      <c r="K190" s="45">
        <f>0.0000005*$B$10*F190*$B$8*((('Sheet1 select'!$B$33+0.5*'Sheet1 select'!$B$32)/(('Sheet1 select'!$B$10-'Sheet1 select'!$B$23)/('Sheet1 select'!$B$27+'Sheet1 select'!$B$8)))+(('Sheet1 select'!$B$33+0.5*'Sheet1 select'!$B$32)/(('Sheet1 select'!$B$23)/('Sheet1 select'!$B$27+'Sheet1 select'!$B$9))))</f>
        <v>6.9008617773324218E-3</v>
      </c>
      <c r="L190" s="45">
        <f>(F190*$B$28)*(('Sheet1 select'!$B$12+'Sheet1 select'!$B$13)*(0.000000001))*$B$8*1000</f>
        <v>0</v>
      </c>
      <c r="M190" s="45">
        <f t="shared" si="16"/>
        <v>6.481272239439854E-3</v>
      </c>
      <c r="N190" s="46">
        <f>$B$10*'Sheet1 select'!$B$29*0.001</f>
        <v>1.2E-2</v>
      </c>
      <c r="O190" s="44">
        <f>'Sheet1 select'!$B$10*'Sheet1 select'!$B$31*$B$8*1000*0.000000001</f>
        <v>3.0000000000000001E-3</v>
      </c>
      <c r="P190" s="44">
        <f>'Sheet1 select'!$B$35*$B$10*$B$8*1000*0.000000001</f>
        <v>0</v>
      </c>
      <c r="Q190" s="47">
        <f>IF('Sheet1 select'!$B$17=0,0,(0.00000006*0.7+0.00000003*(0.7+F190*1.1*'Sheet1 select'!$B$26))*F190*$B$8*1000)</f>
        <v>0</v>
      </c>
      <c r="R190" s="45">
        <f t="shared" ca="1" si="17"/>
        <v>0.20256268851401388</v>
      </c>
      <c r="S190" s="48">
        <f t="shared" ca="1" si="18"/>
        <v>0.92559852180132052</v>
      </c>
      <c r="T190" s="49">
        <f ca="1">H190+K190+O190+N190+'Sheet1 select'!$B$40*I190+J190+P190</f>
        <v>2.7678216274574001E-2</v>
      </c>
      <c r="U190" s="169">
        <f t="shared" ca="1" si="19"/>
        <v>1.5678216274574001E-2</v>
      </c>
      <c r="V190" s="47">
        <f t="shared" ca="1" si="20"/>
        <v>0</v>
      </c>
    </row>
    <row r="191" spans="5:22">
      <c r="E191" s="32">
        <v>190</v>
      </c>
      <c r="F191" s="45">
        <f t="shared" si="14"/>
        <v>0.50666666666666671</v>
      </c>
      <c r="G191" s="45">
        <f t="shared" si="15"/>
        <v>5.1342222222222234E-2</v>
      </c>
      <c r="H191" s="45">
        <f ca="1">F191*F191*('Sheet1 select'!$B$25)*$B$3</f>
        <v>5.838652259187063E-3</v>
      </c>
      <c r="I191" s="45">
        <f>F191*(1-$B$3)*'Sheet1 select'!$B$41</f>
        <v>0.11822222222222221</v>
      </c>
      <c r="J191" s="45">
        <f ca="1">F191*F191*('Sheet1 select'!$B$26)*(1-$B$3)</f>
        <v>0</v>
      </c>
      <c r="K191" s="45">
        <f>0.0000005*$B$10*F191*$B$8*((('Sheet1 select'!$B$33+0.5*'Sheet1 select'!$B$32)/(('Sheet1 select'!$B$10-'Sheet1 select'!$B$23)/('Sheet1 select'!$B$27+'Sheet1 select'!$B$8)))+(('Sheet1 select'!$B$33+0.5*'Sheet1 select'!$B$32)/(('Sheet1 select'!$B$23)/('Sheet1 select'!$B$27+'Sheet1 select'!$B$9))))</f>
        <v>6.9373742735087847E-3</v>
      </c>
      <c r="L191" s="45">
        <f>(F191*$B$28)*(('Sheet1 select'!$B$12+'Sheet1 select'!$B$13)*(0.000000001))*$B$8*1000</f>
        <v>0</v>
      </c>
      <c r="M191" s="45">
        <f t="shared" si="16"/>
        <v>6.481272239439854E-3</v>
      </c>
      <c r="N191" s="46">
        <f>$B$10*'Sheet1 select'!$B$29*0.001</f>
        <v>1.2E-2</v>
      </c>
      <c r="O191" s="44">
        <f>'Sheet1 select'!$B$10*'Sheet1 select'!$B$31*$B$8*1000*0.000000001</f>
        <v>3.0000000000000001E-3</v>
      </c>
      <c r="P191" s="44">
        <f>'Sheet1 select'!$B$35*$B$10*$B$8*1000*0.000000001</f>
        <v>0</v>
      </c>
      <c r="Q191" s="47">
        <f>IF('Sheet1 select'!$B$17=0,0,(0.00000006*0.7+0.00000003*(0.7+F191*1.1*'Sheet1 select'!$B$26))*F191*$B$8*1000)</f>
        <v>0</v>
      </c>
      <c r="R191" s="45">
        <f t="shared" ca="1" si="17"/>
        <v>0.2038217432165802</v>
      </c>
      <c r="S191" s="48">
        <f t="shared" ca="1" si="18"/>
        <v>0.92553518616362418</v>
      </c>
      <c r="T191" s="49">
        <f ca="1">H191+K191+O191+N191+'Sheet1 select'!$B$40*I191+J191+P191</f>
        <v>2.7776026532695848E-2</v>
      </c>
      <c r="U191" s="169">
        <f t="shared" ca="1" si="19"/>
        <v>1.5776026532695848E-2</v>
      </c>
      <c r="V191" s="47">
        <f t="shared" ca="1" si="20"/>
        <v>0</v>
      </c>
    </row>
    <row r="192" spans="5:22">
      <c r="E192" s="32">
        <v>191</v>
      </c>
      <c r="F192" s="45">
        <f t="shared" si="14"/>
        <v>0.50933333333333342</v>
      </c>
      <c r="G192" s="45">
        <f t="shared" si="15"/>
        <v>5.1884088888888902E-2</v>
      </c>
      <c r="H192" s="45">
        <f ca="1">F192*F192*('Sheet1 select'!$B$25)*$B$3</f>
        <v>5.9002734921718356E-3</v>
      </c>
      <c r="I192" s="45">
        <f>F192*(1-$B$3)*'Sheet1 select'!$B$41</f>
        <v>0.11884444444444445</v>
      </c>
      <c r="J192" s="45">
        <f ca="1">F192*F192*('Sheet1 select'!$B$26)*(1-$B$3)</f>
        <v>0</v>
      </c>
      <c r="K192" s="45">
        <f>0.0000005*$B$10*F192*$B$8*((('Sheet1 select'!$B$33+0.5*'Sheet1 select'!$B$32)/(('Sheet1 select'!$B$10-'Sheet1 select'!$B$23)/('Sheet1 select'!$B$27+'Sheet1 select'!$B$8)))+(('Sheet1 select'!$B$33+0.5*'Sheet1 select'!$B$32)/(('Sheet1 select'!$B$23)/('Sheet1 select'!$B$27+'Sheet1 select'!$B$9))))</f>
        <v>6.9738867696851458E-3</v>
      </c>
      <c r="L192" s="45">
        <f>(F192*$B$28)*(('Sheet1 select'!$B$12+'Sheet1 select'!$B$13)*(0.000000001))*$B$8*1000</f>
        <v>0</v>
      </c>
      <c r="M192" s="45">
        <f t="shared" si="16"/>
        <v>6.481272239439854E-3</v>
      </c>
      <c r="N192" s="46">
        <f>$B$10*'Sheet1 select'!$B$29*0.001</f>
        <v>1.2E-2</v>
      </c>
      <c r="O192" s="44">
        <f>'Sheet1 select'!$B$10*'Sheet1 select'!$B$31*$B$8*1000*0.000000001</f>
        <v>3.0000000000000001E-3</v>
      </c>
      <c r="P192" s="44">
        <f>'Sheet1 select'!$B$35*$B$10*$B$8*1000*0.000000001</f>
        <v>0</v>
      </c>
      <c r="Q192" s="47">
        <f>IF('Sheet1 select'!$B$17=0,0,(0.00000006*0.7+0.00000003*(0.7+F192*1.1*'Sheet1 select'!$B$26))*F192*$B$8*1000)</f>
        <v>0</v>
      </c>
      <c r="R192" s="45">
        <f t="shared" ca="1" si="17"/>
        <v>0.20508396583463021</v>
      </c>
      <c r="S192" s="48">
        <f t="shared" ca="1" si="18"/>
        <v>0.92547145682012177</v>
      </c>
      <c r="T192" s="49">
        <f ca="1">H192+K192+O192+N192+'Sheet1 select'!$B$40*I192+J192+P192</f>
        <v>2.7874160261856983E-2</v>
      </c>
      <c r="U192" s="169">
        <f t="shared" ca="1" si="19"/>
        <v>1.5874160261856982E-2</v>
      </c>
      <c r="V192" s="47">
        <f t="shared" ca="1" si="20"/>
        <v>0</v>
      </c>
    </row>
    <row r="193" spans="5:22">
      <c r="E193" s="32">
        <v>192</v>
      </c>
      <c r="F193" s="45">
        <f t="shared" si="14"/>
        <v>0.51200000000000012</v>
      </c>
      <c r="G193" s="45">
        <f t="shared" si="15"/>
        <v>5.2428800000000018E-2</v>
      </c>
      <c r="H193" s="45">
        <f ca="1">F193*F193*('Sheet1 select'!$B$25)*$B$3</f>
        <v>5.9622181961958981E-3</v>
      </c>
      <c r="I193" s="45">
        <f>F193*(1-$B$3)*'Sheet1 select'!$B$41</f>
        <v>0.11946666666666668</v>
      </c>
      <c r="J193" s="45">
        <f ca="1">F193*F193*('Sheet1 select'!$B$26)*(1-$B$3)</f>
        <v>0</v>
      </c>
      <c r="K193" s="45">
        <f>0.0000005*$B$10*F193*$B$8*((('Sheet1 select'!$B$33+0.5*'Sheet1 select'!$B$32)/(('Sheet1 select'!$B$10-'Sheet1 select'!$B$23)/('Sheet1 select'!$B$27+'Sheet1 select'!$B$8)))+(('Sheet1 select'!$B$33+0.5*'Sheet1 select'!$B$32)/(('Sheet1 select'!$B$23)/('Sheet1 select'!$B$27+'Sheet1 select'!$B$9))))</f>
        <v>7.0103992658615086E-3</v>
      </c>
      <c r="L193" s="45">
        <f>(F193*$B$28)*(('Sheet1 select'!$B$12+'Sheet1 select'!$B$13)*(0.000000001))*$B$8*1000</f>
        <v>0</v>
      </c>
      <c r="M193" s="45">
        <f t="shared" si="16"/>
        <v>6.481272239439854E-3</v>
      </c>
      <c r="N193" s="46">
        <f>$B$10*'Sheet1 select'!$B$29*0.001</f>
        <v>1.2E-2</v>
      </c>
      <c r="O193" s="44">
        <f>'Sheet1 select'!$B$10*'Sheet1 select'!$B$31*$B$8*1000*0.000000001</f>
        <v>3.0000000000000001E-3</v>
      </c>
      <c r="P193" s="44">
        <f>'Sheet1 select'!$B$35*$B$10*$B$8*1000*0.000000001</f>
        <v>0</v>
      </c>
      <c r="Q193" s="47">
        <f>IF('Sheet1 select'!$B$17=0,0,(0.00000006*0.7+0.00000003*(0.7+F193*1.1*'Sheet1 select'!$B$26))*F193*$B$8*1000)</f>
        <v>0</v>
      </c>
      <c r="R193" s="45">
        <f t="shared" ca="1" si="17"/>
        <v>0.20634935636816398</v>
      </c>
      <c r="S193" s="48">
        <f t="shared" ca="1" si="18"/>
        <v>0.92540734022145632</v>
      </c>
      <c r="T193" s="49">
        <f ca="1">H193+K193+O193+N193+'Sheet1 select'!$B$40*I193+J193+P193</f>
        <v>2.7972617462057408E-2</v>
      </c>
      <c r="U193" s="169">
        <f t="shared" ca="1" si="19"/>
        <v>1.5972617462057408E-2</v>
      </c>
      <c r="V193" s="47">
        <f t="shared" ca="1" si="20"/>
        <v>0</v>
      </c>
    </row>
    <row r="194" spans="5:22">
      <c r="E194" s="32">
        <v>193</v>
      </c>
      <c r="F194" s="45">
        <f t="shared" ref="F194:F257" si="21">$B$12*E194/300</f>
        <v>0.51466666666666672</v>
      </c>
      <c r="G194" s="45">
        <f t="shared" ref="G194:G257" si="22">F194*F194*$B$14*0.001*2</f>
        <v>5.2976355555555563E-2</v>
      </c>
      <c r="H194" s="45">
        <f ca="1">F194*F194*('Sheet1 select'!$B$25)*$B$3</f>
        <v>6.0244863712592498E-3</v>
      </c>
      <c r="I194" s="45">
        <f>F194*(1-$B$3)*'Sheet1 select'!$B$41</f>
        <v>0.1200888888888889</v>
      </c>
      <c r="J194" s="45">
        <f ca="1">F194*F194*('Sheet1 select'!$B$26)*(1-$B$3)</f>
        <v>0</v>
      </c>
      <c r="K194" s="45">
        <f>0.0000005*$B$10*F194*$B$8*((('Sheet1 select'!$B$33+0.5*'Sheet1 select'!$B$32)/(('Sheet1 select'!$B$10-'Sheet1 select'!$B$23)/('Sheet1 select'!$B$27+'Sheet1 select'!$B$8)))+(('Sheet1 select'!$B$33+0.5*'Sheet1 select'!$B$32)/(('Sheet1 select'!$B$23)/('Sheet1 select'!$B$27+'Sheet1 select'!$B$9))))</f>
        <v>7.0469117620378698E-3</v>
      </c>
      <c r="L194" s="45">
        <f>(F194*$B$28)*(('Sheet1 select'!$B$12+'Sheet1 select'!$B$13)*(0.000000001))*$B$8*1000</f>
        <v>0</v>
      </c>
      <c r="M194" s="45">
        <f t="shared" ref="M194:M257" si="23">($B$2^2)*$B$16*0.001</f>
        <v>6.481272239439854E-3</v>
      </c>
      <c r="N194" s="46">
        <f>$B$10*'Sheet1 select'!$B$29*0.001</f>
        <v>1.2E-2</v>
      </c>
      <c r="O194" s="44">
        <f>'Sheet1 select'!$B$10*'Sheet1 select'!$B$31*$B$8*1000*0.000000001</f>
        <v>3.0000000000000001E-3</v>
      </c>
      <c r="P194" s="44">
        <f>'Sheet1 select'!$B$35*$B$10*$B$8*1000*0.000000001</f>
        <v>0</v>
      </c>
      <c r="Q194" s="47">
        <f>IF('Sheet1 select'!$B$17=0,0,(0.00000006*0.7+0.00000003*(0.7+F194*1.1*'Sheet1 select'!$B$26))*F194*$B$8*1000)</f>
        <v>0</v>
      </c>
      <c r="R194" s="45">
        <f t="shared" ref="R194:R257" ca="1" si="24">SUM(G194:P194)+Q194</f>
        <v>0.20761791481718145</v>
      </c>
      <c r="S194" s="48">
        <f t="shared" ref="S194:S257" ca="1" si="25">($B$11*F194)/($B$11*F194+R194)</f>
        <v>0.92534284268548084</v>
      </c>
      <c r="T194" s="49">
        <f ca="1">H194+K194+O194+N194+'Sheet1 select'!$B$40*I194+J194+P194</f>
        <v>2.8071398133297121E-2</v>
      </c>
      <c r="U194" s="169">
        <f t="shared" ref="U194:U257" ca="1" si="26">H194+K194+O194</f>
        <v>1.607139813329712E-2</v>
      </c>
      <c r="V194" s="47">
        <f t="shared" ref="V194:V257" ca="1" si="27">J194+P194+Q194</f>
        <v>0</v>
      </c>
    </row>
    <row r="195" spans="5:22">
      <c r="E195" s="32">
        <v>194</v>
      </c>
      <c r="F195" s="45">
        <f t="shared" si="21"/>
        <v>0.51733333333333342</v>
      </c>
      <c r="G195" s="45">
        <f t="shared" si="22"/>
        <v>5.3526755555555576E-2</v>
      </c>
      <c r="H195" s="45">
        <f ca="1">F195*F195*('Sheet1 select'!$B$25)*$B$3</f>
        <v>6.0870780173618924E-3</v>
      </c>
      <c r="I195" s="45">
        <f>F195*(1-$B$3)*'Sheet1 select'!$B$41</f>
        <v>0.12071111111111113</v>
      </c>
      <c r="J195" s="45">
        <f ca="1">F195*F195*('Sheet1 select'!$B$26)*(1-$B$3)</f>
        <v>0</v>
      </c>
      <c r="K195" s="45">
        <f>0.0000005*$B$10*F195*$B$8*((('Sheet1 select'!$B$33+0.5*'Sheet1 select'!$B$32)/(('Sheet1 select'!$B$10-'Sheet1 select'!$B$23)/('Sheet1 select'!$B$27+'Sheet1 select'!$B$8)))+(('Sheet1 select'!$B$33+0.5*'Sheet1 select'!$B$32)/(('Sheet1 select'!$B$23)/('Sheet1 select'!$B$27+'Sheet1 select'!$B$9))))</f>
        <v>7.0834242582142326E-3</v>
      </c>
      <c r="L195" s="45">
        <f>(F195*$B$28)*(('Sheet1 select'!$B$12+'Sheet1 select'!$B$13)*(0.000000001))*$B$8*1000</f>
        <v>0</v>
      </c>
      <c r="M195" s="45">
        <f t="shared" si="23"/>
        <v>6.481272239439854E-3</v>
      </c>
      <c r="N195" s="46">
        <f>$B$10*'Sheet1 select'!$B$29*0.001</f>
        <v>1.2E-2</v>
      </c>
      <c r="O195" s="44">
        <f>'Sheet1 select'!$B$10*'Sheet1 select'!$B$31*$B$8*1000*0.000000001</f>
        <v>3.0000000000000001E-3</v>
      </c>
      <c r="P195" s="44">
        <f>'Sheet1 select'!$B$35*$B$10*$B$8*1000*0.000000001</f>
        <v>0</v>
      </c>
      <c r="Q195" s="47">
        <f>IF('Sheet1 select'!$B$17=0,0,(0.00000006*0.7+0.00000003*(0.7+F195*1.1*'Sheet1 select'!$B$26))*F195*$B$8*1000)</f>
        <v>0</v>
      </c>
      <c r="R195" s="45">
        <f t="shared" ca="1" si="24"/>
        <v>0.20888964118168271</v>
      </c>
      <c r="S195" s="48">
        <f t="shared" ca="1" si="25"/>
        <v>0.92527797040065407</v>
      </c>
      <c r="T195" s="49">
        <f ca="1">H195+K195+O195+N195+'Sheet1 select'!$B$40*I195+J195+P195</f>
        <v>2.8170502275576124E-2</v>
      </c>
      <c r="U195" s="169">
        <f t="shared" ca="1" si="26"/>
        <v>1.6170502275576124E-2</v>
      </c>
      <c r="V195" s="47">
        <f t="shared" ca="1" si="27"/>
        <v>0</v>
      </c>
    </row>
    <row r="196" spans="5:22">
      <c r="E196" s="32">
        <v>195</v>
      </c>
      <c r="F196" s="45">
        <f t="shared" si="21"/>
        <v>0.52</v>
      </c>
      <c r="G196" s="45">
        <f t="shared" si="22"/>
        <v>5.4080000000000003E-2</v>
      </c>
      <c r="H196" s="45">
        <f ca="1">F196*F196*('Sheet1 select'!$B$25)*$B$3</f>
        <v>6.1499931345038242E-3</v>
      </c>
      <c r="I196" s="45">
        <f>F196*(1-$B$3)*'Sheet1 select'!$B$41</f>
        <v>0.12133333333333332</v>
      </c>
      <c r="J196" s="45">
        <f ca="1">F196*F196*('Sheet1 select'!$B$26)*(1-$B$3)</f>
        <v>0</v>
      </c>
      <c r="K196" s="45">
        <f>0.0000005*$B$10*F196*$B$8*((('Sheet1 select'!$B$33+0.5*'Sheet1 select'!$B$32)/(('Sheet1 select'!$B$10-'Sheet1 select'!$B$23)/('Sheet1 select'!$B$27+'Sheet1 select'!$B$8)))+(('Sheet1 select'!$B$33+0.5*'Sheet1 select'!$B$32)/(('Sheet1 select'!$B$23)/('Sheet1 select'!$B$27+'Sheet1 select'!$B$9))))</f>
        <v>7.1199367543905928E-3</v>
      </c>
      <c r="L196" s="45">
        <f>(F196*$B$28)*(('Sheet1 select'!$B$12+'Sheet1 select'!$B$13)*(0.000000001))*$B$8*1000</f>
        <v>0</v>
      </c>
      <c r="M196" s="45">
        <f t="shared" si="23"/>
        <v>6.481272239439854E-3</v>
      </c>
      <c r="N196" s="46">
        <f>$B$10*'Sheet1 select'!$B$29*0.001</f>
        <v>1.2E-2</v>
      </c>
      <c r="O196" s="44">
        <f>'Sheet1 select'!$B$10*'Sheet1 select'!$B$31*$B$8*1000*0.000000001</f>
        <v>3.0000000000000001E-3</v>
      </c>
      <c r="P196" s="44">
        <f>'Sheet1 select'!$B$35*$B$10*$B$8*1000*0.000000001</f>
        <v>0</v>
      </c>
      <c r="Q196" s="47">
        <f>IF('Sheet1 select'!$B$17=0,0,(0.00000006*0.7+0.00000003*(0.7+F196*1.1*'Sheet1 select'!$B$26))*F196*$B$8*1000)</f>
        <v>0</v>
      </c>
      <c r="R196" s="45">
        <f t="shared" ca="1" si="24"/>
        <v>0.21016453546166763</v>
      </c>
      <c r="S196" s="48">
        <f t="shared" ca="1" si="25"/>
        <v>0.92521272942933186</v>
      </c>
      <c r="T196" s="49">
        <f ca="1">H196+K196+O196+N196+'Sheet1 select'!$B$40*I196+J196+P196</f>
        <v>2.8269929888894416E-2</v>
      </c>
      <c r="U196" s="169">
        <f t="shared" ca="1" si="26"/>
        <v>1.6269929888894415E-2</v>
      </c>
      <c r="V196" s="47">
        <f t="shared" ca="1" si="27"/>
        <v>0</v>
      </c>
    </row>
    <row r="197" spans="5:22">
      <c r="E197" s="32">
        <v>196</v>
      </c>
      <c r="F197" s="45">
        <f t="shared" si="21"/>
        <v>0.52266666666666672</v>
      </c>
      <c r="G197" s="45">
        <f t="shared" si="22"/>
        <v>5.4636088888888899E-2</v>
      </c>
      <c r="H197" s="45">
        <f ca="1">F197*F197*('Sheet1 select'!$B$25)*$B$3</f>
        <v>6.2132317226850477E-3</v>
      </c>
      <c r="I197" s="45">
        <f>F197*(1-$B$3)*'Sheet1 select'!$B$41</f>
        <v>0.12195555555555555</v>
      </c>
      <c r="J197" s="45">
        <f ca="1">F197*F197*('Sheet1 select'!$B$26)*(1-$B$3)</f>
        <v>0</v>
      </c>
      <c r="K197" s="45">
        <f>0.0000005*$B$10*F197*$B$8*((('Sheet1 select'!$B$33+0.5*'Sheet1 select'!$B$32)/(('Sheet1 select'!$B$10-'Sheet1 select'!$B$23)/('Sheet1 select'!$B$27+'Sheet1 select'!$B$8)))+(('Sheet1 select'!$B$33+0.5*'Sheet1 select'!$B$32)/(('Sheet1 select'!$B$23)/('Sheet1 select'!$B$27+'Sheet1 select'!$B$9))))</f>
        <v>7.1564492505669557E-3</v>
      </c>
      <c r="L197" s="45">
        <f>(F197*$B$28)*(('Sheet1 select'!$B$12+'Sheet1 select'!$B$13)*(0.000000001))*$B$8*1000</f>
        <v>0</v>
      </c>
      <c r="M197" s="45">
        <f t="shared" si="23"/>
        <v>6.481272239439854E-3</v>
      </c>
      <c r="N197" s="46">
        <f>$B$10*'Sheet1 select'!$B$29*0.001</f>
        <v>1.2E-2</v>
      </c>
      <c r="O197" s="44">
        <f>'Sheet1 select'!$B$10*'Sheet1 select'!$B$31*$B$8*1000*0.000000001</f>
        <v>3.0000000000000001E-3</v>
      </c>
      <c r="P197" s="44">
        <f>'Sheet1 select'!$B$35*$B$10*$B$8*1000*0.000000001</f>
        <v>0</v>
      </c>
      <c r="Q197" s="47">
        <f>IF('Sheet1 select'!$B$17=0,0,(0.00000006*0.7+0.00000003*(0.7+F197*1.1*'Sheet1 select'!$B$26))*F197*$B$8*1000)</f>
        <v>0</v>
      </c>
      <c r="R197" s="45">
        <f t="shared" ca="1" si="24"/>
        <v>0.21144259765713636</v>
      </c>
      <c r="S197" s="48">
        <f t="shared" ca="1" si="25"/>
        <v>0.92514712571095969</v>
      </c>
      <c r="T197" s="49">
        <f ca="1">H197+K197+O197+N197+'Sheet1 select'!$B$40*I197+J197+P197</f>
        <v>2.8369680973252005E-2</v>
      </c>
      <c r="U197" s="169">
        <f t="shared" ca="1" si="26"/>
        <v>1.6369680973252004E-2</v>
      </c>
      <c r="V197" s="47">
        <f t="shared" ca="1" si="27"/>
        <v>0</v>
      </c>
    </row>
    <row r="198" spans="5:22">
      <c r="E198" s="32">
        <v>197</v>
      </c>
      <c r="F198" s="45">
        <f t="shared" si="21"/>
        <v>0.52533333333333343</v>
      </c>
      <c r="G198" s="45">
        <f t="shared" si="22"/>
        <v>5.5195022222222244E-2</v>
      </c>
      <c r="H198" s="45">
        <f ca="1">F198*F198*('Sheet1 select'!$B$25)*$B$3</f>
        <v>6.2767937819055613E-3</v>
      </c>
      <c r="I198" s="45">
        <f>F198*(1-$B$3)*'Sheet1 select'!$B$41</f>
        <v>0.12257777777777779</v>
      </c>
      <c r="J198" s="45">
        <f ca="1">F198*F198*('Sheet1 select'!$B$26)*(1-$B$3)</f>
        <v>0</v>
      </c>
      <c r="K198" s="45">
        <f>0.0000005*$B$10*F198*$B$8*((('Sheet1 select'!$B$33+0.5*'Sheet1 select'!$B$32)/(('Sheet1 select'!$B$10-'Sheet1 select'!$B$23)/('Sheet1 select'!$B$27+'Sheet1 select'!$B$8)))+(('Sheet1 select'!$B$33+0.5*'Sheet1 select'!$B$32)/(('Sheet1 select'!$B$23)/('Sheet1 select'!$B$27+'Sheet1 select'!$B$9))))</f>
        <v>7.1929617467433185E-3</v>
      </c>
      <c r="L198" s="45">
        <f>(F198*$B$28)*(('Sheet1 select'!$B$12+'Sheet1 select'!$B$13)*(0.000000001))*$B$8*1000</f>
        <v>0</v>
      </c>
      <c r="M198" s="45">
        <f t="shared" si="23"/>
        <v>6.481272239439854E-3</v>
      </c>
      <c r="N198" s="46">
        <f>$B$10*'Sheet1 select'!$B$29*0.001</f>
        <v>1.2E-2</v>
      </c>
      <c r="O198" s="44">
        <f>'Sheet1 select'!$B$10*'Sheet1 select'!$B$31*$B$8*1000*0.000000001</f>
        <v>3.0000000000000001E-3</v>
      </c>
      <c r="P198" s="44">
        <f>'Sheet1 select'!$B$35*$B$10*$B$8*1000*0.000000001</f>
        <v>0</v>
      </c>
      <c r="Q198" s="47">
        <f>IF('Sheet1 select'!$B$17=0,0,(0.00000006*0.7+0.00000003*(0.7+F198*1.1*'Sheet1 select'!$B$26))*F198*$B$8*1000)</f>
        <v>0</v>
      </c>
      <c r="R198" s="45">
        <f t="shared" ca="1" si="24"/>
        <v>0.21272382776808882</v>
      </c>
      <c r="S198" s="48">
        <f t="shared" ca="1" si="25"/>
        <v>0.92508116506516791</v>
      </c>
      <c r="T198" s="49">
        <f ca="1">H198+K198+O198+N198+'Sheet1 select'!$B$40*I198+J198+P198</f>
        <v>2.8469755528648881E-2</v>
      </c>
      <c r="U198" s="169">
        <f t="shared" ca="1" si="26"/>
        <v>1.6469755528648881E-2</v>
      </c>
      <c r="V198" s="47">
        <f t="shared" ca="1" si="27"/>
        <v>0</v>
      </c>
    </row>
    <row r="199" spans="5:22">
      <c r="E199" s="32">
        <v>198</v>
      </c>
      <c r="F199" s="45">
        <f t="shared" si="21"/>
        <v>0.52800000000000002</v>
      </c>
      <c r="G199" s="45">
        <f t="shared" si="22"/>
        <v>5.5756800000000009E-2</v>
      </c>
      <c r="H199" s="45">
        <f ca="1">F199*F199*('Sheet1 select'!$B$25)*$B$3</f>
        <v>6.3406793121653631E-3</v>
      </c>
      <c r="I199" s="45">
        <f>F199*(1-$B$3)*'Sheet1 select'!$B$41</f>
        <v>0.1232</v>
      </c>
      <c r="J199" s="45">
        <f ca="1">F199*F199*('Sheet1 select'!$B$26)*(1-$B$3)</f>
        <v>0</v>
      </c>
      <c r="K199" s="45">
        <f>0.0000005*$B$10*F199*$B$8*((('Sheet1 select'!$B$33+0.5*'Sheet1 select'!$B$32)/(('Sheet1 select'!$B$10-'Sheet1 select'!$B$23)/('Sheet1 select'!$B$27+'Sheet1 select'!$B$8)))+(('Sheet1 select'!$B$33+0.5*'Sheet1 select'!$B$32)/(('Sheet1 select'!$B$23)/('Sheet1 select'!$B$27+'Sheet1 select'!$B$9))))</f>
        <v>7.2294742429196805E-3</v>
      </c>
      <c r="L199" s="45">
        <f>(F199*$B$28)*(('Sheet1 select'!$B$12+'Sheet1 select'!$B$13)*(0.000000001))*$B$8*1000</f>
        <v>0</v>
      </c>
      <c r="M199" s="45">
        <f t="shared" si="23"/>
        <v>6.481272239439854E-3</v>
      </c>
      <c r="N199" s="46">
        <f>$B$10*'Sheet1 select'!$B$29*0.001</f>
        <v>1.2E-2</v>
      </c>
      <c r="O199" s="44">
        <f>'Sheet1 select'!$B$10*'Sheet1 select'!$B$31*$B$8*1000*0.000000001</f>
        <v>3.0000000000000001E-3</v>
      </c>
      <c r="P199" s="44">
        <f>'Sheet1 select'!$B$35*$B$10*$B$8*1000*0.000000001</f>
        <v>0</v>
      </c>
      <c r="Q199" s="47">
        <f>IF('Sheet1 select'!$B$17=0,0,(0.00000006*0.7+0.00000003*(0.7+F199*1.1*'Sheet1 select'!$B$26))*F199*$B$8*1000)</f>
        <v>0</v>
      </c>
      <c r="R199" s="45">
        <f t="shared" ca="1" si="24"/>
        <v>0.21400822579452494</v>
      </c>
      <c r="S199" s="48">
        <f t="shared" ca="1" si="25"/>
        <v>0.92501485319477406</v>
      </c>
      <c r="T199" s="49">
        <f ca="1">H199+K199+O199+N199+'Sheet1 select'!$B$40*I199+J199+P199</f>
        <v>2.8570153555085045E-2</v>
      </c>
      <c r="U199" s="169">
        <f t="shared" ca="1" si="26"/>
        <v>1.6570153555085045E-2</v>
      </c>
      <c r="V199" s="47">
        <f t="shared" ca="1" si="27"/>
        <v>0</v>
      </c>
    </row>
    <row r="200" spans="5:22">
      <c r="E200" s="32">
        <v>199</v>
      </c>
      <c r="F200" s="45">
        <f t="shared" si="21"/>
        <v>0.53066666666666673</v>
      </c>
      <c r="G200" s="45">
        <f t="shared" si="22"/>
        <v>5.6321422222222244E-2</v>
      </c>
      <c r="H200" s="45">
        <f ca="1">F200*F200*('Sheet1 select'!$B$25)*$B$3</f>
        <v>6.4048883134644576E-3</v>
      </c>
      <c r="I200" s="45">
        <f>F200*(1-$B$3)*'Sheet1 select'!$B$41</f>
        <v>0.12382222222222222</v>
      </c>
      <c r="J200" s="45">
        <f ca="1">F200*F200*('Sheet1 select'!$B$26)*(1-$B$3)</f>
        <v>0</v>
      </c>
      <c r="K200" s="45">
        <f>0.0000005*$B$10*F200*$B$8*((('Sheet1 select'!$B$33+0.5*'Sheet1 select'!$B$32)/(('Sheet1 select'!$B$10-'Sheet1 select'!$B$23)/('Sheet1 select'!$B$27+'Sheet1 select'!$B$8)))+(('Sheet1 select'!$B$33+0.5*'Sheet1 select'!$B$32)/(('Sheet1 select'!$B$23)/('Sheet1 select'!$B$27+'Sheet1 select'!$B$9))))</f>
        <v>7.2659867390960416E-3</v>
      </c>
      <c r="L200" s="45">
        <f>(F200*$B$28)*(('Sheet1 select'!$B$12+'Sheet1 select'!$B$13)*(0.000000001))*$B$8*1000</f>
        <v>0</v>
      </c>
      <c r="M200" s="45">
        <f t="shared" si="23"/>
        <v>6.481272239439854E-3</v>
      </c>
      <c r="N200" s="46">
        <f>$B$10*'Sheet1 select'!$B$29*0.001</f>
        <v>1.2E-2</v>
      </c>
      <c r="O200" s="44">
        <f>'Sheet1 select'!$B$10*'Sheet1 select'!$B$31*$B$8*1000*0.000000001</f>
        <v>3.0000000000000001E-3</v>
      </c>
      <c r="P200" s="44">
        <f>'Sheet1 select'!$B$35*$B$10*$B$8*1000*0.000000001</f>
        <v>0</v>
      </c>
      <c r="Q200" s="47">
        <f>IF('Sheet1 select'!$B$17=0,0,(0.00000006*0.7+0.00000003*(0.7+F200*1.1*'Sheet1 select'!$B$26))*F200*$B$8*1000)</f>
        <v>0</v>
      </c>
      <c r="R200" s="45">
        <f t="shared" ca="1" si="24"/>
        <v>0.21529579173644484</v>
      </c>
      <c r="S200" s="48">
        <f t="shared" ca="1" si="25"/>
        <v>0.92494819568869591</v>
      </c>
      <c r="T200" s="49">
        <f ca="1">H200+K200+O200+N200+'Sheet1 select'!$B$40*I200+J200+P200</f>
        <v>2.86708750525605E-2</v>
      </c>
      <c r="U200" s="169">
        <f t="shared" ca="1" si="26"/>
        <v>1.6670875052560499E-2</v>
      </c>
      <c r="V200" s="47">
        <f t="shared" ca="1" si="27"/>
        <v>0</v>
      </c>
    </row>
    <row r="201" spans="5:22">
      <c r="E201" s="32">
        <v>200</v>
      </c>
      <c r="F201" s="45">
        <f t="shared" si="21"/>
        <v>0.53333333333333333</v>
      </c>
      <c r="G201" s="45">
        <f t="shared" si="22"/>
        <v>5.6888888888888885E-2</v>
      </c>
      <c r="H201" s="45">
        <f ca="1">F201*F201*('Sheet1 select'!$B$25)*$B$3</f>
        <v>6.4694207858028386E-3</v>
      </c>
      <c r="I201" s="45">
        <f>F201*(1-$B$3)*'Sheet1 select'!$B$41</f>
        <v>0.12444444444444443</v>
      </c>
      <c r="J201" s="45">
        <f ca="1">F201*F201*('Sheet1 select'!$B$26)*(1-$B$3)</f>
        <v>0</v>
      </c>
      <c r="K201" s="45">
        <f>0.0000005*$B$10*F201*$B$8*((('Sheet1 select'!$B$33+0.5*'Sheet1 select'!$B$32)/(('Sheet1 select'!$B$10-'Sheet1 select'!$B$23)/('Sheet1 select'!$B$27+'Sheet1 select'!$B$8)))+(('Sheet1 select'!$B$33+0.5*'Sheet1 select'!$B$32)/(('Sheet1 select'!$B$23)/('Sheet1 select'!$B$27+'Sheet1 select'!$B$9))))</f>
        <v>7.3024992352724027E-3</v>
      </c>
      <c r="L201" s="45">
        <f>(F201*$B$28)*(('Sheet1 select'!$B$12+'Sheet1 select'!$B$13)*(0.000000001))*$B$8*1000</f>
        <v>0</v>
      </c>
      <c r="M201" s="45">
        <f t="shared" si="23"/>
        <v>6.481272239439854E-3</v>
      </c>
      <c r="N201" s="46">
        <f>$B$10*'Sheet1 select'!$B$29*0.001</f>
        <v>1.2E-2</v>
      </c>
      <c r="O201" s="44">
        <f>'Sheet1 select'!$B$10*'Sheet1 select'!$B$31*$B$8*1000*0.000000001</f>
        <v>3.0000000000000001E-3</v>
      </c>
      <c r="P201" s="44">
        <f>'Sheet1 select'!$B$35*$B$10*$B$8*1000*0.000000001</f>
        <v>0</v>
      </c>
      <c r="Q201" s="47">
        <f>IF('Sheet1 select'!$B$17=0,0,(0.00000006*0.7+0.00000003*(0.7+F201*1.1*'Sheet1 select'!$B$26))*F201*$B$8*1000)</f>
        <v>0</v>
      </c>
      <c r="R201" s="45">
        <f t="shared" ca="1" si="24"/>
        <v>0.21658652559384844</v>
      </c>
      <c r="S201" s="48">
        <f t="shared" ca="1" si="25"/>
        <v>0.92488119802477653</v>
      </c>
      <c r="T201" s="49">
        <f ca="1">H201+K201+O201+N201+'Sheet1 select'!$B$40*I201+J201+P201</f>
        <v>2.8771920021075242E-2</v>
      </c>
      <c r="U201" s="169">
        <f t="shared" ca="1" si="26"/>
        <v>1.6771920021075241E-2</v>
      </c>
      <c r="V201" s="47">
        <f t="shared" ca="1" si="27"/>
        <v>0</v>
      </c>
    </row>
    <row r="202" spans="5:22">
      <c r="E202" s="32">
        <v>201</v>
      </c>
      <c r="F202" s="45">
        <f t="shared" si="21"/>
        <v>0.53600000000000003</v>
      </c>
      <c r="G202" s="45">
        <f t="shared" si="22"/>
        <v>5.7459200000000009E-2</v>
      </c>
      <c r="H202" s="45">
        <f ca="1">F202*F202*('Sheet1 select'!$B$25)*$B$3</f>
        <v>6.5342767291805132E-3</v>
      </c>
      <c r="I202" s="45">
        <f>F202*(1-$B$3)*'Sheet1 select'!$B$41</f>
        <v>0.12506666666666666</v>
      </c>
      <c r="J202" s="45">
        <f ca="1">F202*F202*('Sheet1 select'!$B$26)*(1-$B$3)</f>
        <v>0</v>
      </c>
      <c r="K202" s="45">
        <f>0.0000005*$B$10*F202*$B$8*((('Sheet1 select'!$B$33+0.5*'Sheet1 select'!$B$32)/(('Sheet1 select'!$B$10-'Sheet1 select'!$B$23)/('Sheet1 select'!$B$27+'Sheet1 select'!$B$8)))+(('Sheet1 select'!$B$33+0.5*'Sheet1 select'!$B$32)/(('Sheet1 select'!$B$23)/('Sheet1 select'!$B$27+'Sheet1 select'!$B$9))))</f>
        <v>7.3390117314487656E-3</v>
      </c>
      <c r="L202" s="45">
        <f>(F202*$B$28)*(('Sheet1 select'!$B$12+'Sheet1 select'!$B$13)*(0.000000001))*$B$8*1000</f>
        <v>0</v>
      </c>
      <c r="M202" s="45">
        <f t="shared" si="23"/>
        <v>6.481272239439854E-3</v>
      </c>
      <c r="N202" s="46">
        <f>$B$10*'Sheet1 select'!$B$29*0.001</f>
        <v>1.2E-2</v>
      </c>
      <c r="O202" s="44">
        <f>'Sheet1 select'!$B$10*'Sheet1 select'!$B$31*$B$8*1000*0.000000001</f>
        <v>3.0000000000000001E-3</v>
      </c>
      <c r="P202" s="44">
        <f>'Sheet1 select'!$B$35*$B$10*$B$8*1000*0.000000001</f>
        <v>0</v>
      </c>
      <c r="Q202" s="47">
        <f>IF('Sheet1 select'!$B$17=0,0,(0.00000006*0.7+0.00000003*(0.7+F202*1.1*'Sheet1 select'!$B$26))*F202*$B$8*1000)</f>
        <v>0</v>
      </c>
      <c r="R202" s="45">
        <f t="shared" ca="1" si="24"/>
        <v>0.21788042736673582</v>
      </c>
      <c r="S202" s="48">
        <f t="shared" ca="1" si="25"/>
        <v>0.92481386557252787</v>
      </c>
      <c r="T202" s="49">
        <f ca="1">H202+K202+O202+N202+'Sheet1 select'!$B$40*I202+J202+P202</f>
        <v>2.8873288460629278E-2</v>
      </c>
      <c r="U202" s="169">
        <f t="shared" ca="1" si="26"/>
        <v>1.6873288460629278E-2</v>
      </c>
      <c r="V202" s="47">
        <f t="shared" ca="1" si="27"/>
        <v>0</v>
      </c>
    </row>
    <row r="203" spans="5:22">
      <c r="E203" s="32">
        <v>202</v>
      </c>
      <c r="F203" s="45">
        <f t="shared" si="21"/>
        <v>0.53866666666666674</v>
      </c>
      <c r="G203" s="45">
        <f t="shared" si="22"/>
        <v>5.8032355555555568E-2</v>
      </c>
      <c r="H203" s="45">
        <f ca="1">F203*F203*('Sheet1 select'!$B$25)*$B$3</f>
        <v>6.5994561435974777E-3</v>
      </c>
      <c r="I203" s="45">
        <f>F203*(1-$B$3)*'Sheet1 select'!$B$41</f>
        <v>0.12568888888888891</v>
      </c>
      <c r="J203" s="45">
        <f ca="1">F203*F203*('Sheet1 select'!$B$26)*(1-$B$3)</f>
        <v>0</v>
      </c>
      <c r="K203" s="45">
        <f>0.0000005*$B$10*F203*$B$8*((('Sheet1 select'!$B$33+0.5*'Sheet1 select'!$B$32)/(('Sheet1 select'!$B$10-'Sheet1 select'!$B$23)/('Sheet1 select'!$B$27+'Sheet1 select'!$B$8)))+(('Sheet1 select'!$B$33+0.5*'Sheet1 select'!$B$32)/(('Sheet1 select'!$B$23)/('Sheet1 select'!$B$27+'Sheet1 select'!$B$9))))</f>
        <v>7.3755242276251284E-3</v>
      </c>
      <c r="L203" s="45">
        <f>(F203*$B$28)*(('Sheet1 select'!$B$12+'Sheet1 select'!$B$13)*(0.000000001))*$B$8*1000</f>
        <v>0</v>
      </c>
      <c r="M203" s="45">
        <f t="shared" si="23"/>
        <v>6.481272239439854E-3</v>
      </c>
      <c r="N203" s="46">
        <f>$B$10*'Sheet1 select'!$B$29*0.001</f>
        <v>1.2E-2</v>
      </c>
      <c r="O203" s="44">
        <f>'Sheet1 select'!$B$10*'Sheet1 select'!$B$31*$B$8*1000*0.000000001</f>
        <v>3.0000000000000001E-3</v>
      </c>
      <c r="P203" s="44">
        <f>'Sheet1 select'!$B$35*$B$10*$B$8*1000*0.000000001</f>
        <v>0</v>
      </c>
      <c r="Q203" s="47">
        <f>IF('Sheet1 select'!$B$17=0,0,(0.00000006*0.7+0.00000003*(0.7+F203*1.1*'Sheet1 select'!$B$26))*F203*$B$8*1000)</f>
        <v>0</v>
      </c>
      <c r="R203" s="45">
        <f t="shared" ca="1" si="24"/>
        <v>0.21917749705510697</v>
      </c>
      <c r="S203" s="48">
        <f t="shared" ca="1" si="25"/>
        <v>0.92474620359579041</v>
      </c>
      <c r="T203" s="49">
        <f ca="1">H203+K203+O203+N203+'Sheet1 select'!$B$40*I203+J203+P203</f>
        <v>2.8974980371222606E-2</v>
      </c>
      <c r="U203" s="169">
        <f t="shared" ca="1" si="26"/>
        <v>1.6974980371222605E-2</v>
      </c>
      <c r="V203" s="47">
        <f t="shared" ca="1" si="27"/>
        <v>0</v>
      </c>
    </row>
    <row r="204" spans="5:22">
      <c r="E204" s="32">
        <v>203</v>
      </c>
      <c r="F204" s="45">
        <f t="shared" si="21"/>
        <v>0.54133333333333333</v>
      </c>
      <c r="G204" s="45">
        <f t="shared" si="22"/>
        <v>5.8608355555555554E-2</v>
      </c>
      <c r="H204" s="45">
        <f ca="1">F204*F204*('Sheet1 select'!$B$25)*$B$3</f>
        <v>6.6649590290537289E-3</v>
      </c>
      <c r="I204" s="45">
        <f>F204*(1-$B$3)*'Sheet1 select'!$B$41</f>
        <v>0.1263111111111111</v>
      </c>
      <c r="J204" s="45">
        <f ca="1">F204*F204*('Sheet1 select'!$B$26)*(1-$B$3)</f>
        <v>0</v>
      </c>
      <c r="K204" s="45">
        <f>0.0000005*$B$10*F204*$B$8*((('Sheet1 select'!$B$33+0.5*'Sheet1 select'!$B$32)/(('Sheet1 select'!$B$10-'Sheet1 select'!$B$23)/('Sheet1 select'!$B$27+'Sheet1 select'!$B$8)))+(('Sheet1 select'!$B$33+0.5*'Sheet1 select'!$B$32)/(('Sheet1 select'!$B$23)/('Sheet1 select'!$B$27+'Sheet1 select'!$B$9))))</f>
        <v>7.4120367238014887E-3</v>
      </c>
      <c r="L204" s="45">
        <f>(F204*$B$28)*(('Sheet1 select'!$B$12+'Sheet1 select'!$B$13)*(0.000000001))*$B$8*1000</f>
        <v>0</v>
      </c>
      <c r="M204" s="45">
        <f t="shared" si="23"/>
        <v>6.481272239439854E-3</v>
      </c>
      <c r="N204" s="46">
        <f>$B$10*'Sheet1 select'!$B$29*0.001</f>
        <v>1.2E-2</v>
      </c>
      <c r="O204" s="44">
        <f>'Sheet1 select'!$B$10*'Sheet1 select'!$B$31*$B$8*1000*0.000000001</f>
        <v>3.0000000000000001E-3</v>
      </c>
      <c r="P204" s="44">
        <f>'Sheet1 select'!$B$35*$B$10*$B$8*1000*0.000000001</f>
        <v>0</v>
      </c>
      <c r="Q204" s="47">
        <f>IF('Sheet1 select'!$B$17=0,0,(0.00000006*0.7+0.00000003*(0.7+F204*1.1*'Sheet1 select'!$B$26))*F204*$B$8*1000)</f>
        <v>0</v>
      </c>
      <c r="R204" s="45">
        <f t="shared" ca="1" si="24"/>
        <v>0.22047773465896175</v>
      </c>
      <c r="S204" s="48">
        <f t="shared" ca="1" si="25"/>
        <v>0.92467821725531774</v>
      </c>
      <c r="T204" s="49">
        <f ca="1">H204+K204+O204+N204+'Sheet1 select'!$B$40*I204+J204+P204</f>
        <v>2.9076995752855217E-2</v>
      </c>
      <c r="U204" s="169">
        <f t="shared" ca="1" si="26"/>
        <v>1.7076995752855217E-2</v>
      </c>
      <c r="V204" s="47">
        <f t="shared" ca="1" si="27"/>
        <v>0</v>
      </c>
    </row>
    <row r="205" spans="5:22">
      <c r="E205" s="32">
        <v>204</v>
      </c>
      <c r="F205" s="45">
        <f t="shared" si="21"/>
        <v>0.54400000000000004</v>
      </c>
      <c r="G205" s="45">
        <f t="shared" si="22"/>
        <v>5.9187200000000002E-2</v>
      </c>
      <c r="H205" s="45">
        <f ca="1">F205*F205*('Sheet1 select'!$B$25)*$B$3</f>
        <v>6.7307853855492735E-3</v>
      </c>
      <c r="I205" s="45">
        <f>F205*(1-$B$3)*'Sheet1 select'!$B$41</f>
        <v>0.12693333333333331</v>
      </c>
      <c r="J205" s="45">
        <f ca="1">F205*F205*('Sheet1 select'!$B$26)*(1-$B$3)</f>
        <v>0</v>
      </c>
      <c r="K205" s="45">
        <f>0.0000005*$B$10*F205*$B$8*((('Sheet1 select'!$B$33+0.5*'Sheet1 select'!$B$32)/(('Sheet1 select'!$B$10-'Sheet1 select'!$B$23)/('Sheet1 select'!$B$27+'Sheet1 select'!$B$8)))+(('Sheet1 select'!$B$33+0.5*'Sheet1 select'!$B$32)/(('Sheet1 select'!$B$23)/('Sheet1 select'!$B$27+'Sheet1 select'!$B$9))))</f>
        <v>7.4485492199778515E-3</v>
      </c>
      <c r="L205" s="45">
        <f>(F205*$B$28)*(('Sheet1 select'!$B$12+'Sheet1 select'!$B$13)*(0.000000001))*$B$8*1000</f>
        <v>0</v>
      </c>
      <c r="M205" s="45">
        <f t="shared" si="23"/>
        <v>6.481272239439854E-3</v>
      </c>
      <c r="N205" s="46">
        <f>$B$10*'Sheet1 select'!$B$29*0.001</f>
        <v>1.2E-2</v>
      </c>
      <c r="O205" s="44">
        <f>'Sheet1 select'!$B$10*'Sheet1 select'!$B$31*$B$8*1000*0.000000001</f>
        <v>3.0000000000000001E-3</v>
      </c>
      <c r="P205" s="44">
        <f>'Sheet1 select'!$B$35*$B$10*$B$8*1000*0.000000001</f>
        <v>0</v>
      </c>
      <c r="Q205" s="47">
        <f>IF('Sheet1 select'!$B$17=0,0,(0.00000006*0.7+0.00000003*(0.7+F205*1.1*'Sheet1 select'!$B$26))*F205*$B$8*1000)</f>
        <v>0</v>
      </c>
      <c r="R205" s="45">
        <f t="shared" ca="1" si="24"/>
        <v>0.22178114017830031</v>
      </c>
      <c r="S205" s="48">
        <f t="shared" ca="1" si="25"/>
        <v>0.92460991161128381</v>
      </c>
      <c r="T205" s="49">
        <f ca="1">H205+K205+O205+N205+'Sheet1 select'!$B$40*I205+J205+P205</f>
        <v>2.9179334605527126E-2</v>
      </c>
      <c r="U205" s="169">
        <f t="shared" ca="1" si="26"/>
        <v>1.7179334605527126E-2</v>
      </c>
      <c r="V205" s="47">
        <f t="shared" ca="1" si="27"/>
        <v>0</v>
      </c>
    </row>
    <row r="206" spans="5:22">
      <c r="E206" s="32">
        <v>205</v>
      </c>
      <c r="F206" s="45">
        <f t="shared" si="21"/>
        <v>0.54666666666666663</v>
      </c>
      <c r="G206" s="45">
        <f t="shared" si="22"/>
        <v>5.9768888888888885E-2</v>
      </c>
      <c r="H206" s="45">
        <f ca="1">F206*F206*('Sheet1 select'!$B$25)*$B$3</f>
        <v>6.7969352130841073E-3</v>
      </c>
      <c r="I206" s="45">
        <f>F206*(1-$B$3)*'Sheet1 select'!$B$41</f>
        <v>0.12755555555555553</v>
      </c>
      <c r="J206" s="45">
        <f ca="1">F206*F206*('Sheet1 select'!$B$26)*(1-$B$3)</f>
        <v>0</v>
      </c>
      <c r="K206" s="45">
        <f>0.0000005*$B$10*F206*$B$8*((('Sheet1 select'!$B$33+0.5*'Sheet1 select'!$B$32)/(('Sheet1 select'!$B$10-'Sheet1 select'!$B$23)/('Sheet1 select'!$B$27+'Sheet1 select'!$B$8)))+(('Sheet1 select'!$B$33+0.5*'Sheet1 select'!$B$32)/(('Sheet1 select'!$B$23)/('Sheet1 select'!$B$27+'Sheet1 select'!$B$9))))</f>
        <v>7.4850617161542135E-3</v>
      </c>
      <c r="L206" s="45">
        <f>(F206*$B$28)*(('Sheet1 select'!$B$12+'Sheet1 select'!$B$13)*(0.000000001))*$B$8*1000</f>
        <v>0</v>
      </c>
      <c r="M206" s="45">
        <f t="shared" si="23"/>
        <v>6.481272239439854E-3</v>
      </c>
      <c r="N206" s="46">
        <f>$B$10*'Sheet1 select'!$B$29*0.001</f>
        <v>1.2E-2</v>
      </c>
      <c r="O206" s="44">
        <f>'Sheet1 select'!$B$10*'Sheet1 select'!$B$31*$B$8*1000*0.000000001</f>
        <v>3.0000000000000001E-3</v>
      </c>
      <c r="P206" s="44">
        <f>'Sheet1 select'!$B$35*$B$10*$B$8*1000*0.000000001</f>
        <v>0</v>
      </c>
      <c r="Q206" s="47">
        <f>IF('Sheet1 select'!$B$17=0,0,(0.00000006*0.7+0.00000003*(0.7+F206*1.1*'Sheet1 select'!$B$26))*F206*$B$8*1000)</f>
        <v>0</v>
      </c>
      <c r="R206" s="45">
        <f t="shared" ca="1" si="24"/>
        <v>0.2230877136131226</v>
      </c>
      <c r="S206" s="48">
        <f t="shared" ca="1" si="25"/>
        <v>0.92454129162571785</v>
      </c>
      <c r="T206" s="49">
        <f ca="1">H206+K206+O206+N206+'Sheet1 select'!$B$40*I206+J206+P206</f>
        <v>2.9281996929238319E-2</v>
      </c>
      <c r="U206" s="169">
        <f t="shared" ca="1" si="26"/>
        <v>1.7281996929238319E-2</v>
      </c>
      <c r="V206" s="47">
        <f t="shared" ca="1" si="27"/>
        <v>0</v>
      </c>
    </row>
    <row r="207" spans="5:22">
      <c r="E207" s="32">
        <v>206</v>
      </c>
      <c r="F207" s="45">
        <f t="shared" si="21"/>
        <v>0.54933333333333334</v>
      </c>
      <c r="G207" s="45">
        <f t="shared" si="22"/>
        <v>6.0353422222222224E-2</v>
      </c>
      <c r="H207" s="45">
        <f ca="1">F207*F207*('Sheet1 select'!$B$25)*$B$3</f>
        <v>6.8634085116582319E-3</v>
      </c>
      <c r="I207" s="45">
        <f>F207*(1-$B$3)*'Sheet1 select'!$B$41</f>
        <v>0.12817777777777778</v>
      </c>
      <c r="J207" s="45">
        <f ca="1">F207*F207*('Sheet1 select'!$B$26)*(1-$B$3)</f>
        <v>0</v>
      </c>
      <c r="K207" s="45">
        <f>0.0000005*$B$10*F207*$B$8*((('Sheet1 select'!$B$33+0.5*'Sheet1 select'!$B$32)/(('Sheet1 select'!$B$10-'Sheet1 select'!$B$23)/('Sheet1 select'!$B$27+'Sheet1 select'!$B$8)))+(('Sheet1 select'!$B$33+0.5*'Sheet1 select'!$B$32)/(('Sheet1 select'!$B$23)/('Sheet1 select'!$B$27+'Sheet1 select'!$B$9))))</f>
        <v>7.5215742123305764E-3</v>
      </c>
      <c r="L207" s="45">
        <f>(F207*$B$28)*(('Sheet1 select'!$B$12+'Sheet1 select'!$B$13)*(0.000000001))*$B$8*1000</f>
        <v>0</v>
      </c>
      <c r="M207" s="45">
        <f t="shared" si="23"/>
        <v>6.481272239439854E-3</v>
      </c>
      <c r="N207" s="46">
        <f>$B$10*'Sheet1 select'!$B$29*0.001</f>
        <v>1.2E-2</v>
      </c>
      <c r="O207" s="44">
        <f>'Sheet1 select'!$B$10*'Sheet1 select'!$B$31*$B$8*1000*0.000000001</f>
        <v>3.0000000000000001E-3</v>
      </c>
      <c r="P207" s="44">
        <f>'Sheet1 select'!$B$35*$B$10*$B$8*1000*0.000000001</f>
        <v>0</v>
      </c>
      <c r="Q207" s="47">
        <f>IF('Sheet1 select'!$B$17=0,0,(0.00000006*0.7+0.00000003*(0.7+F207*1.1*'Sheet1 select'!$B$26))*F207*$B$8*1000)</f>
        <v>0</v>
      </c>
      <c r="R207" s="45">
        <f t="shared" ca="1" si="24"/>
        <v>0.22439745496342869</v>
      </c>
      <c r="S207" s="48">
        <f t="shared" ca="1" si="25"/>
        <v>0.92447236216486917</v>
      </c>
      <c r="T207" s="49">
        <f ca="1">H207+K207+O207+N207+'Sheet1 select'!$B$40*I207+J207+P207</f>
        <v>2.9384982723988807E-2</v>
      </c>
      <c r="U207" s="169">
        <f t="shared" ca="1" si="26"/>
        <v>1.7384982723988807E-2</v>
      </c>
      <c r="V207" s="47">
        <f t="shared" ca="1" si="27"/>
        <v>0</v>
      </c>
    </row>
    <row r="208" spans="5:22">
      <c r="E208" s="32">
        <v>207</v>
      </c>
      <c r="F208" s="45">
        <f t="shared" si="21"/>
        <v>0.55200000000000005</v>
      </c>
      <c r="G208" s="45">
        <f t="shared" si="22"/>
        <v>6.0940800000000003E-2</v>
      </c>
      <c r="H208" s="45">
        <f ca="1">F208*F208*('Sheet1 select'!$B$25)*$B$3</f>
        <v>6.9302052812716466E-3</v>
      </c>
      <c r="I208" s="45">
        <f>F208*(1-$B$3)*'Sheet1 select'!$B$41</f>
        <v>0.1288</v>
      </c>
      <c r="J208" s="45">
        <f ca="1">F208*F208*('Sheet1 select'!$B$26)*(1-$B$3)</f>
        <v>0</v>
      </c>
      <c r="K208" s="45">
        <f>0.0000005*$B$10*F208*$B$8*((('Sheet1 select'!$B$33+0.5*'Sheet1 select'!$B$32)/(('Sheet1 select'!$B$10-'Sheet1 select'!$B$23)/('Sheet1 select'!$B$27+'Sheet1 select'!$B$8)))+(('Sheet1 select'!$B$33+0.5*'Sheet1 select'!$B$32)/(('Sheet1 select'!$B$23)/('Sheet1 select'!$B$27+'Sheet1 select'!$B$9))))</f>
        <v>7.5580867085069375E-3</v>
      </c>
      <c r="L208" s="45">
        <f>(F208*$B$28)*(('Sheet1 select'!$B$12+'Sheet1 select'!$B$13)*(0.000000001))*$B$8*1000</f>
        <v>0</v>
      </c>
      <c r="M208" s="45">
        <f t="shared" si="23"/>
        <v>6.481272239439854E-3</v>
      </c>
      <c r="N208" s="46">
        <f>$B$10*'Sheet1 select'!$B$29*0.001</f>
        <v>1.2E-2</v>
      </c>
      <c r="O208" s="44">
        <f>'Sheet1 select'!$B$10*'Sheet1 select'!$B$31*$B$8*1000*0.000000001</f>
        <v>3.0000000000000001E-3</v>
      </c>
      <c r="P208" s="44">
        <f>'Sheet1 select'!$B$35*$B$10*$B$8*1000*0.000000001</f>
        <v>0</v>
      </c>
      <c r="Q208" s="47">
        <f>IF('Sheet1 select'!$B$17=0,0,(0.00000006*0.7+0.00000003*(0.7+F208*1.1*'Sheet1 select'!$B$26))*F208*$B$8*1000)</f>
        <v>0</v>
      </c>
      <c r="R208" s="45">
        <f t="shared" ca="1" si="24"/>
        <v>0.22571036422921847</v>
      </c>
      <c r="S208" s="48">
        <f t="shared" ca="1" si="25"/>
        <v>0.92440312800150415</v>
      </c>
      <c r="T208" s="49">
        <f ca="1">H208+K208+O208+N208+'Sheet1 select'!$B$40*I208+J208+P208</f>
        <v>2.9488291989778585E-2</v>
      </c>
      <c r="U208" s="169">
        <f t="shared" ca="1" si="26"/>
        <v>1.7488291989778585E-2</v>
      </c>
      <c r="V208" s="47">
        <f t="shared" ca="1" si="27"/>
        <v>0</v>
      </c>
    </row>
    <row r="209" spans="5:22">
      <c r="E209" s="32">
        <v>208</v>
      </c>
      <c r="F209" s="45">
        <f t="shared" si="21"/>
        <v>0.55466666666666664</v>
      </c>
      <c r="G209" s="45">
        <f t="shared" si="22"/>
        <v>6.1531022222222218E-2</v>
      </c>
      <c r="H209" s="45">
        <f ca="1">F209*F209*('Sheet1 select'!$B$25)*$B$3</f>
        <v>6.9973255219243496E-3</v>
      </c>
      <c r="I209" s="45">
        <f>F209*(1-$B$3)*'Sheet1 select'!$B$41</f>
        <v>0.12942222222222219</v>
      </c>
      <c r="J209" s="45">
        <f ca="1">F209*F209*('Sheet1 select'!$B$26)*(1-$B$3)</f>
        <v>0</v>
      </c>
      <c r="K209" s="45">
        <f>0.0000005*$B$10*F209*$B$8*((('Sheet1 select'!$B$33+0.5*'Sheet1 select'!$B$32)/(('Sheet1 select'!$B$10-'Sheet1 select'!$B$23)/('Sheet1 select'!$B$27+'Sheet1 select'!$B$8)))+(('Sheet1 select'!$B$33+0.5*'Sheet1 select'!$B$32)/(('Sheet1 select'!$B$23)/('Sheet1 select'!$B$27+'Sheet1 select'!$B$9))))</f>
        <v>7.5945992046832977E-3</v>
      </c>
      <c r="L209" s="45">
        <f>(F209*$B$28)*(('Sheet1 select'!$B$12+'Sheet1 select'!$B$13)*(0.000000001))*$B$8*1000</f>
        <v>0</v>
      </c>
      <c r="M209" s="45">
        <f t="shared" si="23"/>
        <v>6.481272239439854E-3</v>
      </c>
      <c r="N209" s="46">
        <f>$B$10*'Sheet1 select'!$B$29*0.001</f>
        <v>1.2E-2</v>
      </c>
      <c r="O209" s="44">
        <f>'Sheet1 select'!$B$10*'Sheet1 select'!$B$31*$B$8*1000*0.000000001</f>
        <v>3.0000000000000001E-3</v>
      </c>
      <c r="P209" s="44">
        <f>'Sheet1 select'!$B$35*$B$10*$B$8*1000*0.000000001</f>
        <v>0</v>
      </c>
      <c r="Q209" s="47">
        <f>IF('Sheet1 select'!$B$17=0,0,(0.00000006*0.7+0.00000003*(0.7+F209*1.1*'Sheet1 select'!$B$26))*F209*$B$8*1000)</f>
        <v>0</v>
      </c>
      <c r="R209" s="45">
        <f t="shared" ca="1" si="24"/>
        <v>0.22702644141049194</v>
      </c>
      <c r="S209" s="48">
        <f t="shared" ca="1" si="25"/>
        <v>0.9243335938171362</v>
      </c>
      <c r="T209" s="49">
        <f ca="1">H209+K209+O209+N209+'Sheet1 select'!$B$40*I209+J209+P209</f>
        <v>2.9591924726607648E-2</v>
      </c>
      <c r="U209" s="169">
        <f t="shared" ca="1" si="26"/>
        <v>1.7591924726607647E-2</v>
      </c>
      <c r="V209" s="47">
        <f t="shared" ca="1" si="27"/>
        <v>0</v>
      </c>
    </row>
    <row r="210" spans="5:22">
      <c r="E210" s="32">
        <v>209</v>
      </c>
      <c r="F210" s="45">
        <f t="shared" si="21"/>
        <v>0.55733333333333335</v>
      </c>
      <c r="G210" s="45">
        <f t="shared" si="22"/>
        <v>6.2124088888888894E-2</v>
      </c>
      <c r="H210" s="45">
        <f ca="1">F210*F210*('Sheet1 select'!$B$25)*$B$3</f>
        <v>7.0647692336163461E-3</v>
      </c>
      <c r="I210" s="45">
        <f>F210*(1-$B$3)*'Sheet1 select'!$B$41</f>
        <v>0.13004444444444443</v>
      </c>
      <c r="J210" s="45">
        <f ca="1">F210*F210*('Sheet1 select'!$B$26)*(1-$B$3)</f>
        <v>0</v>
      </c>
      <c r="K210" s="45">
        <f>0.0000005*$B$10*F210*$B$8*((('Sheet1 select'!$B$33+0.5*'Sheet1 select'!$B$32)/(('Sheet1 select'!$B$10-'Sheet1 select'!$B$23)/('Sheet1 select'!$B$27+'Sheet1 select'!$B$8)))+(('Sheet1 select'!$B$33+0.5*'Sheet1 select'!$B$32)/(('Sheet1 select'!$B$23)/('Sheet1 select'!$B$27+'Sheet1 select'!$B$9))))</f>
        <v>7.6311117008596614E-3</v>
      </c>
      <c r="L210" s="45">
        <f>(F210*$B$28)*(('Sheet1 select'!$B$12+'Sheet1 select'!$B$13)*(0.000000001))*$B$8*1000</f>
        <v>0</v>
      </c>
      <c r="M210" s="45">
        <f t="shared" si="23"/>
        <v>6.481272239439854E-3</v>
      </c>
      <c r="N210" s="46">
        <f>$B$10*'Sheet1 select'!$B$29*0.001</f>
        <v>1.2E-2</v>
      </c>
      <c r="O210" s="44">
        <f>'Sheet1 select'!$B$10*'Sheet1 select'!$B$31*$B$8*1000*0.000000001</f>
        <v>3.0000000000000001E-3</v>
      </c>
      <c r="P210" s="44">
        <f>'Sheet1 select'!$B$35*$B$10*$B$8*1000*0.000000001</f>
        <v>0</v>
      </c>
      <c r="Q210" s="47">
        <f>IF('Sheet1 select'!$B$17=0,0,(0.00000006*0.7+0.00000003*(0.7+F210*1.1*'Sheet1 select'!$B$26))*F210*$B$8*1000)</f>
        <v>0</v>
      </c>
      <c r="R210" s="45">
        <f t="shared" ca="1" si="24"/>
        <v>0.22834568650724921</v>
      </c>
      <c r="S210" s="48">
        <f t="shared" ca="1" si="25"/>
        <v>0.92426376420419343</v>
      </c>
      <c r="T210" s="49">
        <f ca="1">H210+K210+O210+N210+'Sheet1 select'!$B$40*I210+J210+P210</f>
        <v>2.9695880934476008E-2</v>
      </c>
      <c r="U210" s="169">
        <f t="shared" ca="1" si="26"/>
        <v>1.7695880934476008E-2</v>
      </c>
      <c r="V210" s="47">
        <f t="shared" ca="1" si="27"/>
        <v>0</v>
      </c>
    </row>
    <row r="211" spans="5:22">
      <c r="E211" s="32">
        <v>210</v>
      </c>
      <c r="F211" s="45">
        <f t="shared" si="21"/>
        <v>0.56000000000000005</v>
      </c>
      <c r="G211" s="45">
        <f t="shared" si="22"/>
        <v>6.2720000000000012E-2</v>
      </c>
      <c r="H211" s="45">
        <f ca="1">F211*F211*('Sheet1 select'!$B$25)*$B$3</f>
        <v>7.1325364163476309E-3</v>
      </c>
      <c r="I211" s="45">
        <f>F211*(1-$B$3)*'Sheet1 select'!$B$41</f>
        <v>0.13066666666666668</v>
      </c>
      <c r="J211" s="45">
        <f ca="1">F211*F211*('Sheet1 select'!$B$26)*(1-$B$3)</f>
        <v>0</v>
      </c>
      <c r="K211" s="45">
        <f>0.0000005*$B$10*F211*$B$8*((('Sheet1 select'!$B$33+0.5*'Sheet1 select'!$B$32)/(('Sheet1 select'!$B$10-'Sheet1 select'!$B$23)/('Sheet1 select'!$B$27+'Sheet1 select'!$B$8)))+(('Sheet1 select'!$B$33+0.5*'Sheet1 select'!$B$32)/(('Sheet1 select'!$B$23)/('Sheet1 select'!$B$27+'Sheet1 select'!$B$9))))</f>
        <v>7.6676241970360243E-3</v>
      </c>
      <c r="L211" s="45">
        <f>(F211*$B$28)*(('Sheet1 select'!$B$12+'Sheet1 select'!$B$13)*(0.000000001))*$B$8*1000</f>
        <v>0</v>
      </c>
      <c r="M211" s="45">
        <f t="shared" si="23"/>
        <v>6.481272239439854E-3</v>
      </c>
      <c r="N211" s="46">
        <f>$B$10*'Sheet1 select'!$B$29*0.001</f>
        <v>1.2E-2</v>
      </c>
      <c r="O211" s="44">
        <f>'Sheet1 select'!$B$10*'Sheet1 select'!$B$31*$B$8*1000*0.000000001</f>
        <v>3.0000000000000001E-3</v>
      </c>
      <c r="P211" s="44">
        <f>'Sheet1 select'!$B$35*$B$10*$B$8*1000*0.000000001</f>
        <v>0</v>
      </c>
      <c r="Q211" s="47">
        <f>IF('Sheet1 select'!$B$17=0,0,(0.00000006*0.7+0.00000003*(0.7+F211*1.1*'Sheet1 select'!$B$26))*F211*$B$8*1000)</f>
        <v>0</v>
      </c>
      <c r="R211" s="45">
        <f t="shared" ca="1" si="24"/>
        <v>0.22966809951949022</v>
      </c>
      <c r="S211" s="48">
        <f t="shared" ca="1" si="25"/>
        <v>0.92419364366812462</v>
      </c>
      <c r="T211" s="49">
        <f ca="1">H211+K211+O211+N211+'Sheet1 select'!$B$40*I211+J211+P211</f>
        <v>2.9800160613383656E-2</v>
      </c>
      <c r="U211" s="169">
        <f t="shared" ca="1" si="26"/>
        <v>1.7800160613383655E-2</v>
      </c>
      <c r="V211" s="47">
        <f t="shared" ca="1" si="27"/>
        <v>0</v>
      </c>
    </row>
    <row r="212" spans="5:22">
      <c r="E212" s="32">
        <v>211</v>
      </c>
      <c r="F212" s="45">
        <f t="shared" si="21"/>
        <v>0.56266666666666676</v>
      </c>
      <c r="G212" s="45">
        <f t="shared" si="22"/>
        <v>6.3318755555555564E-2</v>
      </c>
      <c r="H212" s="45">
        <f ca="1">F212*F212*('Sheet1 select'!$B$25)*$B$3</f>
        <v>7.2006270701182066E-3</v>
      </c>
      <c r="I212" s="45">
        <f>F212*(1-$B$3)*'Sheet1 select'!$B$41</f>
        <v>0.1312888888888889</v>
      </c>
      <c r="J212" s="45">
        <f ca="1">F212*F212*('Sheet1 select'!$B$26)*(1-$B$3)</f>
        <v>0</v>
      </c>
      <c r="K212" s="45">
        <f>0.0000005*$B$10*F212*$B$8*((('Sheet1 select'!$B$33+0.5*'Sheet1 select'!$B$32)/(('Sheet1 select'!$B$10-'Sheet1 select'!$B$23)/('Sheet1 select'!$B$27+'Sheet1 select'!$B$8)))+(('Sheet1 select'!$B$33+0.5*'Sheet1 select'!$B$32)/(('Sheet1 select'!$B$23)/('Sheet1 select'!$B$27+'Sheet1 select'!$B$9))))</f>
        <v>7.7041366932123871E-3</v>
      </c>
      <c r="L212" s="45">
        <f>(F212*$B$28)*(('Sheet1 select'!$B$12+'Sheet1 select'!$B$13)*(0.000000001))*$B$8*1000</f>
        <v>0</v>
      </c>
      <c r="M212" s="45">
        <f t="shared" si="23"/>
        <v>6.481272239439854E-3</v>
      </c>
      <c r="N212" s="46">
        <f>$B$10*'Sheet1 select'!$B$29*0.001</f>
        <v>1.2E-2</v>
      </c>
      <c r="O212" s="44">
        <f>'Sheet1 select'!$B$10*'Sheet1 select'!$B$31*$B$8*1000*0.000000001</f>
        <v>3.0000000000000001E-3</v>
      </c>
      <c r="P212" s="44">
        <f>'Sheet1 select'!$B$35*$B$10*$B$8*1000*0.000000001</f>
        <v>0</v>
      </c>
      <c r="Q212" s="47">
        <f>IF('Sheet1 select'!$B$17=0,0,(0.00000006*0.7+0.00000003*(0.7+F212*1.1*'Sheet1 select'!$B$26))*F212*$B$8*1000)</f>
        <v>0</v>
      </c>
      <c r="R212" s="45">
        <f t="shared" ca="1" si="24"/>
        <v>0.23099368044721491</v>
      </c>
      <c r="S212" s="48">
        <f t="shared" ca="1" si="25"/>
        <v>0.92412323662944507</v>
      </c>
      <c r="T212" s="49">
        <f ca="1">H212+K212+O212+N212+'Sheet1 select'!$B$40*I212+J212+P212</f>
        <v>2.9904763763330594E-2</v>
      </c>
      <c r="U212" s="169">
        <f t="shared" ca="1" si="26"/>
        <v>1.7904763763330594E-2</v>
      </c>
      <c r="V212" s="47">
        <f t="shared" ca="1" si="27"/>
        <v>0</v>
      </c>
    </row>
    <row r="213" spans="5:22">
      <c r="E213" s="32">
        <v>212</v>
      </c>
      <c r="F213" s="45">
        <f t="shared" si="21"/>
        <v>0.56533333333333335</v>
      </c>
      <c r="G213" s="45">
        <f t="shared" si="22"/>
        <v>6.3920355555555572E-2</v>
      </c>
      <c r="H213" s="45">
        <f ca="1">F213*F213*('Sheet1 select'!$B$25)*$B$3</f>
        <v>7.2690411949280706E-3</v>
      </c>
      <c r="I213" s="45">
        <f>F213*(1-$B$3)*'Sheet1 select'!$B$41</f>
        <v>0.13191111111111109</v>
      </c>
      <c r="J213" s="45">
        <f ca="1">F213*F213*('Sheet1 select'!$B$26)*(1-$B$3)</f>
        <v>0</v>
      </c>
      <c r="K213" s="45">
        <f>0.0000005*$B$10*F213*$B$8*((('Sheet1 select'!$B$33+0.5*'Sheet1 select'!$B$32)/(('Sheet1 select'!$B$10-'Sheet1 select'!$B$23)/('Sheet1 select'!$B$27+'Sheet1 select'!$B$8)))+(('Sheet1 select'!$B$33+0.5*'Sheet1 select'!$B$32)/(('Sheet1 select'!$B$23)/('Sheet1 select'!$B$27+'Sheet1 select'!$B$9))))</f>
        <v>7.7406491893887474E-3</v>
      </c>
      <c r="L213" s="45">
        <f>(F213*$B$28)*(('Sheet1 select'!$B$12+'Sheet1 select'!$B$13)*(0.000000001))*$B$8*1000</f>
        <v>0</v>
      </c>
      <c r="M213" s="45">
        <f t="shared" si="23"/>
        <v>6.481272239439854E-3</v>
      </c>
      <c r="N213" s="46">
        <f>$B$10*'Sheet1 select'!$B$29*0.001</f>
        <v>1.2E-2</v>
      </c>
      <c r="O213" s="44">
        <f>'Sheet1 select'!$B$10*'Sheet1 select'!$B$31*$B$8*1000*0.000000001</f>
        <v>3.0000000000000001E-3</v>
      </c>
      <c r="P213" s="44">
        <f>'Sheet1 select'!$B$35*$B$10*$B$8*1000*0.000000001</f>
        <v>0</v>
      </c>
      <c r="Q213" s="47">
        <f>IF('Sheet1 select'!$B$17=0,0,(0.00000006*0.7+0.00000003*(0.7+F213*1.1*'Sheet1 select'!$B$26))*F213*$B$8*1000)</f>
        <v>0</v>
      </c>
      <c r="R213" s="45">
        <f t="shared" ca="1" si="24"/>
        <v>0.23232242929042335</v>
      </c>
      <c r="S213" s="48">
        <f t="shared" ca="1" si="25"/>
        <v>0.92405254742572573</v>
      </c>
      <c r="T213" s="49">
        <f ca="1">H213+K213+O213+N213+'Sheet1 select'!$B$40*I213+J213+P213</f>
        <v>3.0009690384316817E-2</v>
      </c>
      <c r="U213" s="169">
        <f t="shared" ca="1" si="26"/>
        <v>1.8009690384316816E-2</v>
      </c>
      <c r="V213" s="47">
        <f t="shared" ca="1" si="27"/>
        <v>0</v>
      </c>
    </row>
    <row r="214" spans="5:22">
      <c r="E214" s="32">
        <v>213</v>
      </c>
      <c r="F214" s="45">
        <f t="shared" si="21"/>
        <v>0.56800000000000006</v>
      </c>
      <c r="G214" s="45">
        <f t="shared" si="22"/>
        <v>6.4524800000000021E-2</v>
      </c>
      <c r="H214" s="45">
        <f ca="1">F214*F214*('Sheet1 select'!$B$25)*$B$3</f>
        <v>7.3377787907772263E-3</v>
      </c>
      <c r="I214" s="45">
        <f>F214*(1-$B$3)*'Sheet1 select'!$B$41</f>
        <v>0.13253333333333334</v>
      </c>
      <c r="J214" s="45">
        <f ca="1">F214*F214*('Sheet1 select'!$B$26)*(1-$B$3)</f>
        <v>0</v>
      </c>
      <c r="K214" s="45">
        <f>0.0000005*$B$10*F214*$B$8*((('Sheet1 select'!$B$33+0.5*'Sheet1 select'!$B$32)/(('Sheet1 select'!$B$10-'Sheet1 select'!$B$23)/('Sheet1 select'!$B$27+'Sheet1 select'!$B$8)))+(('Sheet1 select'!$B$33+0.5*'Sheet1 select'!$B$32)/(('Sheet1 select'!$B$23)/('Sheet1 select'!$B$27+'Sheet1 select'!$B$9))))</f>
        <v>7.7771616855651102E-3</v>
      </c>
      <c r="L214" s="45">
        <f>(F214*$B$28)*(('Sheet1 select'!$B$12+'Sheet1 select'!$B$13)*(0.000000001))*$B$8*1000</f>
        <v>0</v>
      </c>
      <c r="M214" s="45">
        <f t="shared" si="23"/>
        <v>6.481272239439854E-3</v>
      </c>
      <c r="N214" s="46">
        <f>$B$10*'Sheet1 select'!$B$29*0.001</f>
        <v>1.2E-2</v>
      </c>
      <c r="O214" s="44">
        <f>'Sheet1 select'!$B$10*'Sheet1 select'!$B$31*$B$8*1000*0.000000001</f>
        <v>3.0000000000000001E-3</v>
      </c>
      <c r="P214" s="44">
        <f>'Sheet1 select'!$B$35*$B$10*$B$8*1000*0.000000001</f>
        <v>0</v>
      </c>
      <c r="Q214" s="47">
        <f>IF('Sheet1 select'!$B$17=0,0,(0.00000006*0.7+0.00000003*(0.7+F214*1.1*'Sheet1 select'!$B$26))*F214*$B$8*1000)</f>
        <v>0</v>
      </c>
      <c r="R214" s="45">
        <f t="shared" ca="1" si="24"/>
        <v>0.23365434604911556</v>
      </c>
      <c r="S214" s="48">
        <f t="shared" ca="1" si="25"/>
        <v>0.92398158031352629</v>
      </c>
      <c r="T214" s="49">
        <f ca="1">H214+K214+O214+N214+'Sheet1 select'!$B$40*I214+J214+P214</f>
        <v>3.0114940476342337E-2</v>
      </c>
      <c r="U214" s="169">
        <f t="shared" ca="1" si="26"/>
        <v>1.8114940476342337E-2</v>
      </c>
      <c r="V214" s="47">
        <f t="shared" ca="1" si="27"/>
        <v>0</v>
      </c>
    </row>
    <row r="215" spans="5:22">
      <c r="E215" s="32">
        <v>214</v>
      </c>
      <c r="F215" s="45">
        <f t="shared" si="21"/>
        <v>0.57066666666666677</v>
      </c>
      <c r="G215" s="45">
        <f t="shared" si="22"/>
        <v>6.5132088888888912E-2</v>
      </c>
      <c r="H215" s="45">
        <f ca="1">F215*F215*('Sheet1 select'!$B$25)*$B$3</f>
        <v>7.406839857665673E-3</v>
      </c>
      <c r="I215" s="45">
        <f>F215*(1-$B$3)*'Sheet1 select'!$B$41</f>
        <v>0.13315555555555555</v>
      </c>
      <c r="J215" s="45">
        <f ca="1">F215*F215*('Sheet1 select'!$B$26)*(1-$B$3)</f>
        <v>0</v>
      </c>
      <c r="K215" s="45">
        <f>0.0000005*$B$10*F215*$B$8*((('Sheet1 select'!$B$33+0.5*'Sheet1 select'!$B$32)/(('Sheet1 select'!$B$10-'Sheet1 select'!$B$23)/('Sheet1 select'!$B$27+'Sheet1 select'!$B$8)))+(('Sheet1 select'!$B$33+0.5*'Sheet1 select'!$B$32)/(('Sheet1 select'!$B$23)/('Sheet1 select'!$B$27+'Sheet1 select'!$B$9))))</f>
        <v>7.8136741817414739E-3</v>
      </c>
      <c r="L215" s="45">
        <f>(F215*$B$28)*(('Sheet1 select'!$B$12+'Sheet1 select'!$B$13)*(0.000000001))*$B$8*1000</f>
        <v>0</v>
      </c>
      <c r="M215" s="45">
        <f t="shared" si="23"/>
        <v>6.481272239439854E-3</v>
      </c>
      <c r="N215" s="46">
        <f>$B$10*'Sheet1 select'!$B$29*0.001</f>
        <v>1.2E-2</v>
      </c>
      <c r="O215" s="44">
        <f>'Sheet1 select'!$B$10*'Sheet1 select'!$B$31*$B$8*1000*0.000000001</f>
        <v>3.0000000000000001E-3</v>
      </c>
      <c r="P215" s="44">
        <f>'Sheet1 select'!$B$35*$B$10*$B$8*1000*0.000000001</f>
        <v>0</v>
      </c>
      <c r="Q215" s="47">
        <f>IF('Sheet1 select'!$B$17=0,0,(0.00000006*0.7+0.00000003*(0.7+F215*1.1*'Sheet1 select'!$B$26))*F215*$B$8*1000)</f>
        <v>0</v>
      </c>
      <c r="R215" s="45">
        <f t="shared" ca="1" si="24"/>
        <v>0.23498943072329148</v>
      </c>
      <c r="S215" s="48">
        <f t="shared" ca="1" si="25"/>
        <v>0.92391033947027479</v>
      </c>
      <c r="T215" s="49">
        <f ca="1">H215+K215+O215+N215+'Sheet1 select'!$B$40*I215+J215+P215</f>
        <v>3.0220514039407148E-2</v>
      </c>
      <c r="U215" s="169">
        <f t="shared" ca="1" si="26"/>
        <v>1.8220514039407148E-2</v>
      </c>
      <c r="V215" s="47">
        <f t="shared" ca="1" si="27"/>
        <v>0</v>
      </c>
    </row>
    <row r="216" spans="5:22">
      <c r="E216" s="32">
        <v>215</v>
      </c>
      <c r="F216" s="45">
        <f t="shared" si="21"/>
        <v>0.57333333333333336</v>
      </c>
      <c r="G216" s="45">
        <f t="shared" si="22"/>
        <v>6.574222222222223E-2</v>
      </c>
      <c r="H216" s="45">
        <f ca="1">F216*F216*('Sheet1 select'!$B$25)*$B$3</f>
        <v>7.4762243955934053E-3</v>
      </c>
      <c r="I216" s="45">
        <f>F216*(1-$B$3)*'Sheet1 select'!$B$41</f>
        <v>0.13377777777777777</v>
      </c>
      <c r="J216" s="45">
        <f ca="1">F216*F216*('Sheet1 select'!$B$26)*(1-$B$3)</f>
        <v>0</v>
      </c>
      <c r="K216" s="45">
        <f>0.0000005*$B$10*F216*$B$8*((('Sheet1 select'!$B$33+0.5*'Sheet1 select'!$B$32)/(('Sheet1 select'!$B$10-'Sheet1 select'!$B$23)/('Sheet1 select'!$B$27+'Sheet1 select'!$B$8)))+(('Sheet1 select'!$B$33+0.5*'Sheet1 select'!$B$32)/(('Sheet1 select'!$B$23)/('Sheet1 select'!$B$27+'Sheet1 select'!$B$9))))</f>
        <v>7.8501866779178333E-3</v>
      </c>
      <c r="L216" s="45">
        <f>(F216*$B$28)*(('Sheet1 select'!$B$12+'Sheet1 select'!$B$13)*(0.000000001))*$B$8*1000</f>
        <v>0</v>
      </c>
      <c r="M216" s="45">
        <f t="shared" si="23"/>
        <v>6.481272239439854E-3</v>
      </c>
      <c r="N216" s="46">
        <f>$B$10*'Sheet1 select'!$B$29*0.001</f>
        <v>1.2E-2</v>
      </c>
      <c r="O216" s="44">
        <f>'Sheet1 select'!$B$10*'Sheet1 select'!$B$31*$B$8*1000*0.000000001</f>
        <v>3.0000000000000001E-3</v>
      </c>
      <c r="P216" s="44">
        <f>'Sheet1 select'!$B$35*$B$10*$B$8*1000*0.000000001</f>
        <v>0</v>
      </c>
      <c r="Q216" s="47">
        <f>IF('Sheet1 select'!$B$17=0,0,(0.00000006*0.7+0.00000003*(0.7+F216*1.1*'Sheet1 select'!$B$26))*F216*$B$8*1000)</f>
        <v>0</v>
      </c>
      <c r="R216" s="45">
        <f t="shared" ca="1" si="24"/>
        <v>0.23632768331295112</v>
      </c>
      <c r="S216" s="48">
        <f t="shared" ca="1" si="25"/>
        <v>0.92383882899609415</v>
      </c>
      <c r="T216" s="49">
        <f ca="1">H216+K216+O216+N216+'Sheet1 select'!$B$40*I216+J216+P216</f>
        <v>3.032641107351124E-2</v>
      </c>
      <c r="U216" s="169">
        <f t="shared" ca="1" si="26"/>
        <v>1.832641107351124E-2</v>
      </c>
      <c r="V216" s="47">
        <f t="shared" ca="1" si="27"/>
        <v>0</v>
      </c>
    </row>
    <row r="217" spans="5:22">
      <c r="E217" s="32">
        <v>216</v>
      </c>
      <c r="F217" s="45">
        <f t="shared" si="21"/>
        <v>0.57600000000000007</v>
      </c>
      <c r="G217" s="45">
        <f t="shared" si="22"/>
        <v>6.6355200000000017E-2</v>
      </c>
      <c r="H217" s="45">
        <f ca="1">F217*F217*('Sheet1 select'!$B$25)*$B$3</f>
        <v>7.5459324045604329E-3</v>
      </c>
      <c r="I217" s="45">
        <f>F217*(1-$B$3)*'Sheet1 select'!$B$41</f>
        <v>0.13440000000000002</v>
      </c>
      <c r="J217" s="45">
        <f ca="1">F217*F217*('Sheet1 select'!$B$26)*(1-$B$3)</f>
        <v>0</v>
      </c>
      <c r="K217" s="45">
        <f>0.0000005*$B$10*F217*$B$8*((('Sheet1 select'!$B$33+0.5*'Sheet1 select'!$B$32)/(('Sheet1 select'!$B$10-'Sheet1 select'!$B$23)/('Sheet1 select'!$B$27+'Sheet1 select'!$B$8)))+(('Sheet1 select'!$B$33+0.5*'Sheet1 select'!$B$32)/(('Sheet1 select'!$B$23)/('Sheet1 select'!$B$27+'Sheet1 select'!$B$9))))</f>
        <v>7.8866991740941961E-3</v>
      </c>
      <c r="L217" s="45">
        <f>(F217*$B$28)*(('Sheet1 select'!$B$12+'Sheet1 select'!$B$13)*(0.000000001))*$B$8*1000</f>
        <v>0</v>
      </c>
      <c r="M217" s="45">
        <f t="shared" si="23"/>
        <v>6.481272239439854E-3</v>
      </c>
      <c r="N217" s="46">
        <f>$B$10*'Sheet1 select'!$B$29*0.001</f>
        <v>1.2E-2</v>
      </c>
      <c r="O217" s="44">
        <f>'Sheet1 select'!$B$10*'Sheet1 select'!$B$31*$B$8*1000*0.000000001</f>
        <v>3.0000000000000001E-3</v>
      </c>
      <c r="P217" s="44">
        <f>'Sheet1 select'!$B$35*$B$10*$B$8*1000*0.000000001</f>
        <v>0</v>
      </c>
      <c r="Q217" s="47">
        <f>IF('Sheet1 select'!$B$17=0,0,(0.00000006*0.7+0.00000003*(0.7+F217*1.1*'Sheet1 select'!$B$26))*F217*$B$8*1000)</f>
        <v>0</v>
      </c>
      <c r="R217" s="45">
        <f t="shared" ca="1" si="24"/>
        <v>0.23766910381809456</v>
      </c>
      <c r="S217" s="48">
        <f t="shared" ca="1" si="25"/>
        <v>0.92376705291558048</v>
      </c>
      <c r="T217" s="49">
        <f ca="1">H217+K217+O217+N217+'Sheet1 select'!$B$40*I217+J217+P217</f>
        <v>3.0432631578654629E-2</v>
      </c>
      <c r="U217" s="169">
        <f t="shared" ca="1" si="26"/>
        <v>1.8432631578654629E-2</v>
      </c>
      <c r="V217" s="47">
        <f t="shared" ca="1" si="27"/>
        <v>0</v>
      </c>
    </row>
    <row r="218" spans="5:22">
      <c r="E218" s="32">
        <v>217</v>
      </c>
      <c r="F218" s="45">
        <f t="shared" si="21"/>
        <v>0.57866666666666677</v>
      </c>
      <c r="G218" s="45">
        <f t="shared" si="22"/>
        <v>6.6971022222222246E-2</v>
      </c>
      <c r="H218" s="45">
        <f ca="1">F218*F218*('Sheet1 select'!$B$25)*$B$3</f>
        <v>7.6159638845667496E-3</v>
      </c>
      <c r="I218" s="45">
        <f>F218*(1-$B$3)*'Sheet1 select'!$B$41</f>
        <v>0.13502222222222224</v>
      </c>
      <c r="J218" s="45">
        <f ca="1">F218*F218*('Sheet1 select'!$B$26)*(1-$B$3)</f>
        <v>0</v>
      </c>
      <c r="K218" s="45">
        <f>0.0000005*$B$10*F218*$B$8*((('Sheet1 select'!$B$33+0.5*'Sheet1 select'!$B$32)/(('Sheet1 select'!$B$10-'Sheet1 select'!$B$23)/('Sheet1 select'!$B$27+'Sheet1 select'!$B$8)))+(('Sheet1 select'!$B$33+0.5*'Sheet1 select'!$B$32)/(('Sheet1 select'!$B$23)/('Sheet1 select'!$B$27+'Sheet1 select'!$B$9))))</f>
        <v>7.923211670270559E-3</v>
      </c>
      <c r="L218" s="45">
        <f>(F218*$B$28)*(('Sheet1 select'!$B$12+'Sheet1 select'!$B$13)*(0.000000001))*$B$8*1000</f>
        <v>0</v>
      </c>
      <c r="M218" s="45">
        <f t="shared" si="23"/>
        <v>6.481272239439854E-3</v>
      </c>
      <c r="N218" s="46">
        <f>$B$10*'Sheet1 select'!$B$29*0.001</f>
        <v>1.2E-2</v>
      </c>
      <c r="O218" s="44">
        <f>'Sheet1 select'!$B$10*'Sheet1 select'!$B$31*$B$8*1000*0.000000001</f>
        <v>3.0000000000000001E-3</v>
      </c>
      <c r="P218" s="44">
        <f>'Sheet1 select'!$B$35*$B$10*$B$8*1000*0.000000001</f>
        <v>0</v>
      </c>
      <c r="Q218" s="47">
        <f>IF('Sheet1 select'!$B$17=0,0,(0.00000006*0.7+0.00000003*(0.7+F218*1.1*'Sheet1 select'!$B$26))*F218*$B$8*1000)</f>
        <v>0</v>
      </c>
      <c r="R218" s="45">
        <f t="shared" ca="1" si="24"/>
        <v>0.23901369223872165</v>
      </c>
      <c r="S218" s="48">
        <f t="shared" ca="1" si="25"/>
        <v>0.92369501517952946</v>
      </c>
      <c r="T218" s="49">
        <f ca="1">H218+K218+O218+N218+'Sheet1 select'!$B$40*I218+J218+P218</f>
        <v>3.053917555483731E-2</v>
      </c>
      <c r="U218" s="169">
        <f t="shared" ca="1" si="26"/>
        <v>1.853917555483731E-2</v>
      </c>
      <c r="V218" s="47">
        <f t="shared" ca="1" si="27"/>
        <v>0</v>
      </c>
    </row>
    <row r="219" spans="5:22">
      <c r="E219" s="32">
        <v>218</v>
      </c>
      <c r="F219" s="45">
        <f t="shared" si="21"/>
        <v>0.58133333333333337</v>
      </c>
      <c r="G219" s="45">
        <f t="shared" si="22"/>
        <v>6.7589688888888902E-2</v>
      </c>
      <c r="H219" s="45">
        <f ca="1">F219*F219*('Sheet1 select'!$B$25)*$B$3</f>
        <v>7.6863188356123529E-3</v>
      </c>
      <c r="I219" s="45">
        <f>F219*(1-$B$3)*'Sheet1 select'!$B$41</f>
        <v>0.13564444444444443</v>
      </c>
      <c r="J219" s="45">
        <f ca="1">F219*F219*('Sheet1 select'!$B$26)*(1-$B$3)</f>
        <v>0</v>
      </c>
      <c r="K219" s="45">
        <f>0.0000005*$B$10*F219*$B$8*((('Sheet1 select'!$B$33+0.5*'Sheet1 select'!$B$32)/(('Sheet1 select'!$B$10-'Sheet1 select'!$B$23)/('Sheet1 select'!$B$27+'Sheet1 select'!$B$8)))+(('Sheet1 select'!$B$33+0.5*'Sheet1 select'!$B$32)/(('Sheet1 select'!$B$23)/('Sheet1 select'!$B$27+'Sheet1 select'!$B$9))))</f>
        <v>7.9597241664469201E-3</v>
      </c>
      <c r="L219" s="45">
        <f>(F219*$B$28)*(('Sheet1 select'!$B$12+'Sheet1 select'!$B$13)*(0.000000001))*$B$8*1000</f>
        <v>0</v>
      </c>
      <c r="M219" s="45">
        <f t="shared" si="23"/>
        <v>6.481272239439854E-3</v>
      </c>
      <c r="N219" s="46">
        <f>$B$10*'Sheet1 select'!$B$29*0.001</f>
        <v>1.2E-2</v>
      </c>
      <c r="O219" s="44">
        <f>'Sheet1 select'!$B$10*'Sheet1 select'!$B$31*$B$8*1000*0.000000001</f>
        <v>3.0000000000000001E-3</v>
      </c>
      <c r="P219" s="44">
        <f>'Sheet1 select'!$B$35*$B$10*$B$8*1000*0.000000001</f>
        <v>0</v>
      </c>
      <c r="Q219" s="47">
        <f>IF('Sheet1 select'!$B$17=0,0,(0.00000006*0.7+0.00000003*(0.7+F219*1.1*'Sheet1 select'!$B$26))*F219*$B$8*1000)</f>
        <v>0</v>
      </c>
      <c r="R219" s="45">
        <f t="shared" ca="1" si="24"/>
        <v>0.24036144857483246</v>
      </c>
      <c r="S219" s="48">
        <f t="shared" ca="1" si="25"/>
        <v>0.9236227196666188</v>
      </c>
      <c r="T219" s="49">
        <f ca="1">H219+K219+O219+N219+'Sheet1 select'!$B$40*I219+J219+P219</f>
        <v>3.0646043002059274E-2</v>
      </c>
      <c r="U219" s="169">
        <f t="shared" ca="1" si="26"/>
        <v>1.8646043002059274E-2</v>
      </c>
      <c r="V219" s="47">
        <f t="shared" ca="1" si="27"/>
        <v>0</v>
      </c>
    </row>
    <row r="220" spans="5:22">
      <c r="E220" s="32">
        <v>219</v>
      </c>
      <c r="F220" s="45">
        <f t="shared" si="21"/>
        <v>0.58400000000000007</v>
      </c>
      <c r="G220" s="45">
        <f t="shared" si="22"/>
        <v>6.8211200000000027E-2</v>
      </c>
      <c r="H220" s="45">
        <f ca="1">F220*F220*('Sheet1 select'!$B$25)*$B$3</f>
        <v>7.7569972576972505E-3</v>
      </c>
      <c r="I220" s="45">
        <f>F220*(1-$B$3)*'Sheet1 select'!$B$41</f>
        <v>0.13626666666666667</v>
      </c>
      <c r="J220" s="45">
        <f ca="1">F220*F220*('Sheet1 select'!$B$26)*(1-$B$3)</f>
        <v>0</v>
      </c>
      <c r="K220" s="45">
        <f>0.0000005*$B$10*F220*$B$8*((('Sheet1 select'!$B$33+0.5*'Sheet1 select'!$B$32)/(('Sheet1 select'!$B$10-'Sheet1 select'!$B$23)/('Sheet1 select'!$B$27+'Sheet1 select'!$B$8)))+(('Sheet1 select'!$B$33+0.5*'Sheet1 select'!$B$32)/(('Sheet1 select'!$B$23)/('Sheet1 select'!$B$27+'Sheet1 select'!$B$9))))</f>
        <v>7.9962366626232829E-3</v>
      </c>
      <c r="L220" s="45">
        <f>(F220*$B$28)*(('Sheet1 select'!$B$12+'Sheet1 select'!$B$13)*(0.000000001))*$B$8*1000</f>
        <v>0</v>
      </c>
      <c r="M220" s="45">
        <f t="shared" si="23"/>
        <v>6.481272239439854E-3</v>
      </c>
      <c r="N220" s="46">
        <f>$B$10*'Sheet1 select'!$B$29*0.001</f>
        <v>1.2E-2</v>
      </c>
      <c r="O220" s="44">
        <f>'Sheet1 select'!$B$10*'Sheet1 select'!$B$31*$B$8*1000*0.000000001</f>
        <v>3.0000000000000001E-3</v>
      </c>
      <c r="P220" s="44">
        <f>'Sheet1 select'!$B$35*$B$10*$B$8*1000*0.000000001</f>
        <v>0</v>
      </c>
      <c r="Q220" s="47">
        <f>IF('Sheet1 select'!$B$17=0,0,(0.00000006*0.7+0.00000003*(0.7+F220*1.1*'Sheet1 select'!$B$26))*F220*$B$8*1000)</f>
        <v>0</v>
      </c>
      <c r="R220" s="45">
        <f t="shared" ca="1" si="24"/>
        <v>0.24171237282642713</v>
      </c>
      <c r="S220" s="48">
        <f t="shared" ca="1" si="25"/>
        <v>0.92355017018504204</v>
      </c>
      <c r="T220" s="49">
        <f ca="1">H220+K220+O220+N220+'Sheet1 select'!$B$40*I220+J220+P220</f>
        <v>3.0753233920320533E-2</v>
      </c>
      <c r="U220" s="169">
        <f t="shared" ca="1" si="26"/>
        <v>1.8753233920320533E-2</v>
      </c>
      <c r="V220" s="47">
        <f t="shared" ca="1" si="27"/>
        <v>0</v>
      </c>
    </row>
    <row r="221" spans="5:22">
      <c r="E221" s="32">
        <v>220</v>
      </c>
      <c r="F221" s="45">
        <f t="shared" si="21"/>
        <v>0.58666666666666667</v>
      </c>
      <c r="G221" s="45">
        <f t="shared" si="22"/>
        <v>6.8835555555555566E-2</v>
      </c>
      <c r="H221" s="45">
        <f ca="1">F221*F221*('Sheet1 select'!$B$25)*$B$3</f>
        <v>7.8279991508214339E-3</v>
      </c>
      <c r="I221" s="45">
        <f>F221*(1-$B$3)*'Sheet1 select'!$B$41</f>
        <v>0.13688888888888889</v>
      </c>
      <c r="J221" s="45">
        <f ca="1">F221*F221*('Sheet1 select'!$B$26)*(1-$B$3)</f>
        <v>0</v>
      </c>
      <c r="K221" s="45">
        <f>0.0000005*$B$10*F221*$B$8*((('Sheet1 select'!$B$33+0.5*'Sheet1 select'!$B$32)/(('Sheet1 select'!$B$10-'Sheet1 select'!$B$23)/('Sheet1 select'!$B$27+'Sheet1 select'!$B$8)))+(('Sheet1 select'!$B$33+0.5*'Sheet1 select'!$B$32)/(('Sheet1 select'!$B$23)/('Sheet1 select'!$B$27+'Sheet1 select'!$B$9))))</f>
        <v>8.0327491587996423E-3</v>
      </c>
      <c r="L221" s="45">
        <f>(F221*$B$28)*(('Sheet1 select'!$B$12+'Sheet1 select'!$B$13)*(0.000000001))*$B$8*1000</f>
        <v>0</v>
      </c>
      <c r="M221" s="45">
        <f t="shared" si="23"/>
        <v>6.481272239439854E-3</v>
      </c>
      <c r="N221" s="46">
        <f>$B$10*'Sheet1 select'!$B$29*0.001</f>
        <v>1.2E-2</v>
      </c>
      <c r="O221" s="44">
        <f>'Sheet1 select'!$B$10*'Sheet1 select'!$B$31*$B$8*1000*0.000000001</f>
        <v>3.0000000000000001E-3</v>
      </c>
      <c r="P221" s="44">
        <f>'Sheet1 select'!$B$35*$B$10*$B$8*1000*0.000000001</f>
        <v>0</v>
      </c>
      <c r="Q221" s="47">
        <f>IF('Sheet1 select'!$B$17=0,0,(0.00000006*0.7+0.00000003*(0.7+F221*1.1*'Sheet1 select'!$B$26))*F221*$B$8*1000)</f>
        <v>0</v>
      </c>
      <c r="R221" s="45">
        <f t="shared" ca="1" si="24"/>
        <v>0.24306646499350543</v>
      </c>
      <c r="S221" s="48">
        <f t="shared" ca="1" si="25"/>
        <v>0.92347737047410094</v>
      </c>
      <c r="T221" s="49">
        <f ca="1">H221+K221+O221+N221+'Sheet1 select'!$B$40*I221+J221+P221</f>
        <v>3.0860748309621076E-2</v>
      </c>
      <c r="U221" s="169">
        <f t="shared" ca="1" si="26"/>
        <v>1.8860748309621075E-2</v>
      </c>
      <c r="V221" s="47">
        <f t="shared" ca="1" si="27"/>
        <v>0</v>
      </c>
    </row>
    <row r="222" spans="5:22">
      <c r="E222" s="32">
        <v>221</v>
      </c>
      <c r="F222" s="45">
        <f t="shared" si="21"/>
        <v>0.58933333333333338</v>
      </c>
      <c r="G222" s="45">
        <f t="shared" si="22"/>
        <v>6.9462755555555561E-2</v>
      </c>
      <c r="H222" s="45">
        <f ca="1">F222*F222*('Sheet1 select'!$B$25)*$B$3</f>
        <v>7.8993245149849133E-3</v>
      </c>
      <c r="I222" s="45">
        <f>F222*(1-$B$3)*'Sheet1 select'!$B$41</f>
        <v>0.13751111111111111</v>
      </c>
      <c r="J222" s="45">
        <f ca="1">F222*F222*('Sheet1 select'!$B$26)*(1-$B$3)</f>
        <v>0</v>
      </c>
      <c r="K222" s="45">
        <f>0.0000005*$B$10*F222*$B$8*((('Sheet1 select'!$B$33+0.5*'Sheet1 select'!$B$32)/(('Sheet1 select'!$B$10-'Sheet1 select'!$B$23)/('Sheet1 select'!$B$27+'Sheet1 select'!$B$8)))+(('Sheet1 select'!$B$33+0.5*'Sheet1 select'!$B$32)/(('Sheet1 select'!$B$23)/('Sheet1 select'!$B$27+'Sheet1 select'!$B$9))))</f>
        <v>8.0692616549760052E-3</v>
      </c>
      <c r="L222" s="45">
        <f>(F222*$B$28)*(('Sheet1 select'!$B$12+'Sheet1 select'!$B$13)*(0.000000001))*$B$8*1000</f>
        <v>0</v>
      </c>
      <c r="M222" s="45">
        <f t="shared" si="23"/>
        <v>6.481272239439854E-3</v>
      </c>
      <c r="N222" s="46">
        <f>$B$10*'Sheet1 select'!$B$29*0.001</f>
        <v>1.2E-2</v>
      </c>
      <c r="O222" s="44">
        <f>'Sheet1 select'!$B$10*'Sheet1 select'!$B$31*$B$8*1000*0.000000001</f>
        <v>3.0000000000000001E-3</v>
      </c>
      <c r="P222" s="44">
        <f>'Sheet1 select'!$B$35*$B$10*$B$8*1000*0.000000001</f>
        <v>0</v>
      </c>
      <c r="Q222" s="47">
        <f>IF('Sheet1 select'!$B$17=0,0,(0.00000006*0.7+0.00000003*(0.7+F222*1.1*'Sheet1 select'!$B$26))*F222*$B$8*1000)</f>
        <v>0</v>
      </c>
      <c r="R222" s="45">
        <f t="shared" ca="1" si="24"/>
        <v>0.24442372507606749</v>
      </c>
      <c r="S222" s="48">
        <f t="shared" ca="1" si="25"/>
        <v>0.92340432420575169</v>
      </c>
      <c r="T222" s="49">
        <f ca="1">H222+K222+O222+N222+'Sheet1 select'!$B$40*I222+J222+P222</f>
        <v>3.096858616996092E-2</v>
      </c>
      <c r="U222" s="169">
        <f t="shared" ca="1" si="26"/>
        <v>1.8968586169960919E-2</v>
      </c>
      <c r="V222" s="47">
        <f t="shared" ca="1" si="27"/>
        <v>0</v>
      </c>
    </row>
    <row r="223" spans="5:22">
      <c r="E223" s="32">
        <v>222</v>
      </c>
      <c r="F223" s="45">
        <f t="shared" si="21"/>
        <v>0.59200000000000008</v>
      </c>
      <c r="G223" s="45">
        <f t="shared" si="22"/>
        <v>7.0092800000000025E-2</v>
      </c>
      <c r="H223" s="45">
        <f ca="1">F223*F223*('Sheet1 select'!$B$25)*$B$3</f>
        <v>7.9709733501876785E-3</v>
      </c>
      <c r="I223" s="45">
        <f>F223*(1-$B$3)*'Sheet1 select'!$B$41</f>
        <v>0.13813333333333333</v>
      </c>
      <c r="J223" s="45">
        <f ca="1">F223*F223*('Sheet1 select'!$B$26)*(1-$B$3)</f>
        <v>0</v>
      </c>
      <c r="K223" s="45">
        <f>0.0000005*$B$10*F223*$B$8*((('Sheet1 select'!$B$33+0.5*'Sheet1 select'!$B$32)/(('Sheet1 select'!$B$10-'Sheet1 select'!$B$23)/('Sheet1 select'!$B$27+'Sheet1 select'!$B$8)))+(('Sheet1 select'!$B$33+0.5*'Sheet1 select'!$B$32)/(('Sheet1 select'!$B$23)/('Sheet1 select'!$B$27+'Sheet1 select'!$B$9))))</f>
        <v>8.105774151152368E-3</v>
      </c>
      <c r="L223" s="45">
        <f>(F223*$B$28)*(('Sheet1 select'!$B$12+'Sheet1 select'!$B$13)*(0.000000001))*$B$8*1000</f>
        <v>0</v>
      </c>
      <c r="M223" s="45">
        <f t="shared" si="23"/>
        <v>6.481272239439854E-3</v>
      </c>
      <c r="N223" s="46">
        <f>$B$10*'Sheet1 select'!$B$29*0.001</f>
        <v>1.2E-2</v>
      </c>
      <c r="O223" s="44">
        <f>'Sheet1 select'!$B$10*'Sheet1 select'!$B$31*$B$8*1000*0.000000001</f>
        <v>3.0000000000000001E-3</v>
      </c>
      <c r="P223" s="44">
        <f>'Sheet1 select'!$B$35*$B$10*$B$8*1000*0.000000001</f>
        <v>0</v>
      </c>
      <c r="Q223" s="47">
        <f>IF('Sheet1 select'!$B$17=0,0,(0.00000006*0.7+0.00000003*(0.7+F223*1.1*'Sheet1 select'!$B$26))*F223*$B$8*1000)</f>
        <v>0</v>
      </c>
      <c r="R223" s="45">
        <f t="shared" ca="1" si="24"/>
        <v>0.2457841530741133</v>
      </c>
      <c r="S223" s="48">
        <f t="shared" ca="1" si="25"/>
        <v>0.9233310349861128</v>
      </c>
      <c r="T223" s="49">
        <f ca="1">H223+K223+O223+N223+'Sheet1 select'!$B$40*I223+J223+P223</f>
        <v>3.1076747501340048E-2</v>
      </c>
      <c r="U223" s="169">
        <f t="shared" ca="1" si="26"/>
        <v>1.9076747501340047E-2</v>
      </c>
      <c r="V223" s="47">
        <f t="shared" ca="1" si="27"/>
        <v>0</v>
      </c>
    </row>
    <row r="224" spans="5:22">
      <c r="E224" s="32">
        <v>223</v>
      </c>
      <c r="F224" s="45">
        <f t="shared" si="21"/>
        <v>0.59466666666666668</v>
      </c>
      <c r="G224" s="45">
        <f t="shared" si="22"/>
        <v>7.0725688888888902E-2</v>
      </c>
      <c r="H224" s="45">
        <f ca="1">F224*F224*('Sheet1 select'!$B$25)*$B$3</f>
        <v>8.0429456564297345E-3</v>
      </c>
      <c r="I224" s="45">
        <f>F224*(1-$B$3)*'Sheet1 select'!$B$41</f>
        <v>0.13875555555555555</v>
      </c>
      <c r="J224" s="45">
        <f ca="1">F224*F224*('Sheet1 select'!$B$26)*(1-$B$3)</f>
        <v>0</v>
      </c>
      <c r="K224" s="45">
        <f>0.0000005*$B$10*F224*$B$8*((('Sheet1 select'!$B$33+0.5*'Sheet1 select'!$B$32)/(('Sheet1 select'!$B$10-'Sheet1 select'!$B$23)/('Sheet1 select'!$B$27+'Sheet1 select'!$B$8)))+(('Sheet1 select'!$B$33+0.5*'Sheet1 select'!$B$32)/(('Sheet1 select'!$B$23)/('Sheet1 select'!$B$27+'Sheet1 select'!$B$9))))</f>
        <v>8.1422866473287291E-3</v>
      </c>
      <c r="L224" s="45">
        <f>(F224*$B$28)*(('Sheet1 select'!$B$12+'Sheet1 select'!$B$13)*(0.000000001))*$B$8*1000</f>
        <v>0</v>
      </c>
      <c r="M224" s="45">
        <f t="shared" si="23"/>
        <v>6.481272239439854E-3</v>
      </c>
      <c r="N224" s="46">
        <f>$B$10*'Sheet1 select'!$B$29*0.001</f>
        <v>1.2E-2</v>
      </c>
      <c r="O224" s="44">
        <f>'Sheet1 select'!$B$10*'Sheet1 select'!$B$31*$B$8*1000*0.000000001</f>
        <v>3.0000000000000001E-3</v>
      </c>
      <c r="P224" s="44">
        <f>'Sheet1 select'!$B$35*$B$10*$B$8*1000*0.000000001</f>
        <v>0</v>
      </c>
      <c r="Q224" s="47">
        <f>IF('Sheet1 select'!$B$17=0,0,(0.00000006*0.7+0.00000003*(0.7+F224*1.1*'Sheet1 select'!$B$26))*F224*$B$8*1000)</f>
        <v>0</v>
      </c>
      <c r="R224" s="45">
        <f t="shared" ca="1" si="24"/>
        <v>0.2471477489876428</v>
      </c>
      <c r="S224" s="48">
        <f t="shared" ca="1" si="25"/>
        <v>0.92325750635693071</v>
      </c>
      <c r="T224" s="49">
        <f ca="1">H224+K224+O224+N224+'Sheet1 select'!$B$40*I224+J224+P224</f>
        <v>3.1185232303758463E-2</v>
      </c>
      <c r="U224" s="169">
        <f t="shared" ca="1" si="26"/>
        <v>1.9185232303758463E-2</v>
      </c>
      <c r="V224" s="47">
        <f t="shared" ca="1" si="27"/>
        <v>0</v>
      </c>
    </row>
    <row r="225" spans="5:22">
      <c r="E225" s="32">
        <v>224</v>
      </c>
      <c r="F225" s="45">
        <f t="shared" si="21"/>
        <v>0.59733333333333338</v>
      </c>
      <c r="G225" s="45">
        <f t="shared" si="22"/>
        <v>7.1361422222222234E-2</v>
      </c>
      <c r="H225" s="45">
        <f ca="1">F225*F225*('Sheet1 select'!$B$25)*$B$3</f>
        <v>8.1152414337110831E-3</v>
      </c>
      <c r="I225" s="45">
        <f>F225*(1-$B$3)*'Sheet1 select'!$B$41</f>
        <v>0.13937777777777779</v>
      </c>
      <c r="J225" s="45">
        <f ca="1">F225*F225*('Sheet1 select'!$B$26)*(1-$B$3)</f>
        <v>0</v>
      </c>
      <c r="K225" s="45">
        <f>0.0000005*$B$10*F225*$B$8*((('Sheet1 select'!$B$33+0.5*'Sheet1 select'!$B$32)/(('Sheet1 select'!$B$10-'Sheet1 select'!$B$23)/('Sheet1 select'!$B$27+'Sheet1 select'!$B$8)))+(('Sheet1 select'!$B$33+0.5*'Sheet1 select'!$B$32)/(('Sheet1 select'!$B$23)/('Sheet1 select'!$B$27+'Sheet1 select'!$B$9))))</f>
        <v>8.178799143505092E-3</v>
      </c>
      <c r="L225" s="45">
        <f>(F225*$B$28)*(('Sheet1 select'!$B$12+'Sheet1 select'!$B$13)*(0.000000001))*$B$8*1000</f>
        <v>0</v>
      </c>
      <c r="M225" s="45">
        <f t="shared" si="23"/>
        <v>6.481272239439854E-3</v>
      </c>
      <c r="N225" s="46">
        <f>$B$10*'Sheet1 select'!$B$29*0.001</f>
        <v>1.2E-2</v>
      </c>
      <c r="O225" s="44">
        <f>'Sheet1 select'!$B$10*'Sheet1 select'!$B$31*$B$8*1000*0.000000001</f>
        <v>3.0000000000000001E-3</v>
      </c>
      <c r="P225" s="44">
        <f>'Sheet1 select'!$B$35*$B$10*$B$8*1000*0.000000001</f>
        <v>0</v>
      </c>
      <c r="Q225" s="47">
        <f>IF('Sheet1 select'!$B$17=0,0,(0.00000006*0.7+0.00000003*(0.7+F225*1.1*'Sheet1 select'!$B$26))*F225*$B$8*1000)</f>
        <v>0</v>
      </c>
      <c r="R225" s="45">
        <f t="shared" ca="1" si="24"/>
        <v>0.24851451281665607</v>
      </c>
      <c r="S225" s="48">
        <f t="shared" ca="1" si="25"/>
        <v>0.92318374179700646</v>
      </c>
      <c r="T225" s="49">
        <f ca="1">H225+K225+O225+N225+'Sheet1 select'!$B$40*I225+J225+P225</f>
        <v>3.1294040577216173E-2</v>
      </c>
      <c r="U225" s="169">
        <f t="shared" ca="1" si="26"/>
        <v>1.9294040577216173E-2</v>
      </c>
      <c r="V225" s="47">
        <f t="shared" ca="1" si="27"/>
        <v>0</v>
      </c>
    </row>
    <row r="226" spans="5:22">
      <c r="E226" s="32">
        <v>225</v>
      </c>
      <c r="F226" s="45">
        <f t="shared" si="21"/>
        <v>0.6</v>
      </c>
      <c r="G226" s="45">
        <f t="shared" si="22"/>
        <v>7.2000000000000008E-2</v>
      </c>
      <c r="H226" s="45">
        <f ca="1">F226*F226*('Sheet1 select'!$B$25)*$B$3</f>
        <v>8.1878606820317175E-3</v>
      </c>
      <c r="I226" s="45">
        <f>F226*(1-$B$3)*'Sheet1 select'!$B$41</f>
        <v>0.13999999999999999</v>
      </c>
      <c r="J226" s="45">
        <f ca="1">F226*F226*('Sheet1 select'!$B$26)*(1-$B$3)</f>
        <v>0</v>
      </c>
      <c r="K226" s="45">
        <f>0.0000005*$B$10*F226*$B$8*((('Sheet1 select'!$B$33+0.5*'Sheet1 select'!$B$32)/(('Sheet1 select'!$B$10-'Sheet1 select'!$B$23)/('Sheet1 select'!$B$27+'Sheet1 select'!$B$8)))+(('Sheet1 select'!$B$33+0.5*'Sheet1 select'!$B$32)/(('Sheet1 select'!$B$23)/('Sheet1 select'!$B$27+'Sheet1 select'!$B$9))))</f>
        <v>8.2153116396814531E-3</v>
      </c>
      <c r="L226" s="45">
        <f>(F226*$B$28)*(('Sheet1 select'!$B$12+'Sheet1 select'!$B$13)*(0.000000001))*$B$8*1000</f>
        <v>0</v>
      </c>
      <c r="M226" s="45">
        <f t="shared" si="23"/>
        <v>6.481272239439854E-3</v>
      </c>
      <c r="N226" s="46">
        <f>$B$10*'Sheet1 select'!$B$29*0.001</f>
        <v>1.2E-2</v>
      </c>
      <c r="O226" s="44">
        <f>'Sheet1 select'!$B$10*'Sheet1 select'!$B$31*$B$8*1000*0.000000001</f>
        <v>3.0000000000000001E-3</v>
      </c>
      <c r="P226" s="44">
        <f>'Sheet1 select'!$B$35*$B$10*$B$8*1000*0.000000001</f>
        <v>0</v>
      </c>
      <c r="Q226" s="47">
        <f>IF('Sheet1 select'!$B$17=0,0,(0.00000006*0.7+0.00000003*(0.7+F226*1.1*'Sheet1 select'!$B$26))*F226*$B$8*1000)</f>
        <v>0</v>
      </c>
      <c r="R226" s="45">
        <f t="shared" ca="1" si="24"/>
        <v>0.24988444456115305</v>
      </c>
      <c r="S226" s="48">
        <f t="shared" ca="1" si="25"/>
        <v>0.92310974472358631</v>
      </c>
      <c r="T226" s="49">
        <f ca="1">H226+K226+O226+N226+'Sheet1 select'!$B$40*I226+J226+P226</f>
        <v>3.140317232171317E-2</v>
      </c>
      <c r="U226" s="169">
        <f t="shared" ca="1" si="26"/>
        <v>1.940317232171317E-2</v>
      </c>
      <c r="V226" s="47">
        <f t="shared" ca="1" si="27"/>
        <v>0</v>
      </c>
    </row>
    <row r="227" spans="5:22">
      <c r="E227" s="32">
        <v>226</v>
      </c>
      <c r="F227" s="45">
        <f t="shared" si="21"/>
        <v>0.60266666666666668</v>
      </c>
      <c r="G227" s="45">
        <f t="shared" si="22"/>
        <v>7.2641422222222238E-2</v>
      </c>
      <c r="H227" s="45">
        <f ca="1">F227*F227*('Sheet1 select'!$B$25)*$B$3</f>
        <v>8.2608034013916462E-3</v>
      </c>
      <c r="I227" s="45">
        <f>F227*(1-$B$3)*'Sheet1 select'!$B$41</f>
        <v>0.1406222222222222</v>
      </c>
      <c r="J227" s="45">
        <f ca="1">F227*F227*('Sheet1 select'!$B$26)*(1-$B$3)</f>
        <v>0</v>
      </c>
      <c r="K227" s="45">
        <f>0.0000005*$B$10*F227*$B$8*((('Sheet1 select'!$B$33+0.5*'Sheet1 select'!$B$32)/(('Sheet1 select'!$B$10-'Sheet1 select'!$B$23)/('Sheet1 select'!$B$27+'Sheet1 select'!$B$8)))+(('Sheet1 select'!$B$33+0.5*'Sheet1 select'!$B$32)/(('Sheet1 select'!$B$23)/('Sheet1 select'!$B$27+'Sheet1 select'!$B$9))))</f>
        <v>8.2518241358578159E-3</v>
      </c>
      <c r="L227" s="45">
        <f>(F227*$B$28)*(('Sheet1 select'!$B$12+'Sheet1 select'!$B$13)*(0.000000001))*$B$8*1000</f>
        <v>0</v>
      </c>
      <c r="M227" s="45">
        <f t="shared" si="23"/>
        <v>6.481272239439854E-3</v>
      </c>
      <c r="N227" s="46">
        <f>$B$10*'Sheet1 select'!$B$29*0.001</f>
        <v>1.2E-2</v>
      </c>
      <c r="O227" s="44">
        <f>'Sheet1 select'!$B$10*'Sheet1 select'!$B$31*$B$8*1000*0.000000001</f>
        <v>3.0000000000000001E-3</v>
      </c>
      <c r="P227" s="44">
        <f>'Sheet1 select'!$B$35*$B$10*$B$8*1000*0.000000001</f>
        <v>0</v>
      </c>
      <c r="Q227" s="47">
        <f>IF('Sheet1 select'!$B$17=0,0,(0.00000006*0.7+0.00000003*(0.7+F227*1.1*'Sheet1 select'!$B$26))*F227*$B$8*1000)</f>
        <v>0</v>
      </c>
      <c r="R227" s="45">
        <f t="shared" ca="1" si="24"/>
        <v>0.25125754422113378</v>
      </c>
      <c r="S227" s="48">
        <f t="shared" ca="1" si="25"/>
        <v>0.92303551849371313</v>
      </c>
      <c r="T227" s="49">
        <f ca="1">H227+K227+O227+N227+'Sheet1 select'!$B$40*I227+J227+P227</f>
        <v>3.1512627537249462E-2</v>
      </c>
      <c r="U227" s="169">
        <f t="shared" ca="1" si="26"/>
        <v>1.9512627537249461E-2</v>
      </c>
      <c r="V227" s="47">
        <f t="shared" ca="1" si="27"/>
        <v>0</v>
      </c>
    </row>
    <row r="228" spans="5:22">
      <c r="E228" s="32">
        <v>227</v>
      </c>
      <c r="F228" s="45">
        <f t="shared" si="21"/>
        <v>0.60533333333333339</v>
      </c>
      <c r="G228" s="45">
        <f t="shared" si="22"/>
        <v>7.3285688888888895E-2</v>
      </c>
      <c r="H228" s="45">
        <f ca="1">F228*F228*('Sheet1 select'!$B$25)*$B$3</f>
        <v>8.3340695917908623E-3</v>
      </c>
      <c r="I228" s="45">
        <f>F228*(1-$B$3)*'Sheet1 select'!$B$41</f>
        <v>0.14124444444444445</v>
      </c>
      <c r="J228" s="45">
        <f ca="1">F228*F228*('Sheet1 select'!$B$26)*(1-$B$3)</f>
        <v>0</v>
      </c>
      <c r="K228" s="45">
        <f>0.0000005*$B$10*F228*$B$8*((('Sheet1 select'!$B$33+0.5*'Sheet1 select'!$B$32)/(('Sheet1 select'!$B$10-'Sheet1 select'!$B$23)/('Sheet1 select'!$B$27+'Sheet1 select'!$B$8)))+(('Sheet1 select'!$B$33+0.5*'Sheet1 select'!$B$32)/(('Sheet1 select'!$B$23)/('Sheet1 select'!$B$27+'Sheet1 select'!$B$9))))</f>
        <v>8.2883366320341788E-3</v>
      </c>
      <c r="L228" s="45">
        <f>(F228*$B$28)*(('Sheet1 select'!$B$12+'Sheet1 select'!$B$13)*(0.000000001))*$B$8*1000</f>
        <v>0</v>
      </c>
      <c r="M228" s="45">
        <f t="shared" si="23"/>
        <v>6.481272239439854E-3</v>
      </c>
      <c r="N228" s="46">
        <f>$B$10*'Sheet1 select'!$B$29*0.001</f>
        <v>1.2E-2</v>
      </c>
      <c r="O228" s="44">
        <f>'Sheet1 select'!$B$10*'Sheet1 select'!$B$31*$B$8*1000*0.000000001</f>
        <v>3.0000000000000001E-3</v>
      </c>
      <c r="P228" s="44">
        <f>'Sheet1 select'!$B$35*$B$10*$B$8*1000*0.000000001</f>
        <v>0</v>
      </c>
      <c r="Q228" s="47">
        <f>IF('Sheet1 select'!$B$17=0,0,(0.00000006*0.7+0.00000003*(0.7+F228*1.1*'Sheet1 select'!$B$26))*F228*$B$8*1000)</f>
        <v>0</v>
      </c>
      <c r="R228" s="45">
        <f t="shared" ca="1" si="24"/>
        <v>0.25263381179659827</v>
      </c>
      <c r="S228" s="48">
        <f t="shared" ca="1" si="25"/>
        <v>0.92296106640554432</v>
      </c>
      <c r="T228" s="49">
        <f ca="1">H228+K228+O228+N228+'Sheet1 select'!$B$40*I228+J228+P228</f>
        <v>3.1622406223825041E-2</v>
      </c>
      <c r="U228" s="169">
        <f t="shared" ca="1" si="26"/>
        <v>1.962240622382504E-2</v>
      </c>
      <c r="V228" s="47">
        <f t="shared" ca="1" si="27"/>
        <v>0</v>
      </c>
    </row>
    <row r="229" spans="5:22">
      <c r="E229" s="32">
        <v>228</v>
      </c>
      <c r="F229" s="45">
        <f t="shared" si="21"/>
        <v>0.60799999999999998</v>
      </c>
      <c r="G229" s="45">
        <f t="shared" si="22"/>
        <v>7.3932800000000007E-2</v>
      </c>
      <c r="H229" s="45">
        <f ca="1">F229*F229*('Sheet1 select'!$B$25)*$B$3</f>
        <v>8.4076592532293694E-3</v>
      </c>
      <c r="I229" s="45">
        <f>F229*(1-$B$3)*'Sheet1 select'!$B$41</f>
        <v>0.14186666666666667</v>
      </c>
      <c r="J229" s="45">
        <f ca="1">F229*F229*('Sheet1 select'!$B$26)*(1-$B$3)</f>
        <v>0</v>
      </c>
      <c r="K229" s="45">
        <f>0.0000005*$B$10*F229*$B$8*((('Sheet1 select'!$B$33+0.5*'Sheet1 select'!$B$32)/(('Sheet1 select'!$B$10-'Sheet1 select'!$B$23)/('Sheet1 select'!$B$27+'Sheet1 select'!$B$8)))+(('Sheet1 select'!$B$33+0.5*'Sheet1 select'!$B$32)/(('Sheet1 select'!$B$23)/('Sheet1 select'!$B$27+'Sheet1 select'!$B$9))))</f>
        <v>8.3248491282105399E-3</v>
      </c>
      <c r="L229" s="45">
        <f>(F229*$B$28)*(('Sheet1 select'!$B$12+'Sheet1 select'!$B$13)*(0.000000001))*$B$8*1000</f>
        <v>0</v>
      </c>
      <c r="M229" s="45">
        <f t="shared" si="23"/>
        <v>6.481272239439854E-3</v>
      </c>
      <c r="N229" s="46">
        <f>$B$10*'Sheet1 select'!$B$29*0.001</f>
        <v>1.2E-2</v>
      </c>
      <c r="O229" s="44">
        <f>'Sheet1 select'!$B$10*'Sheet1 select'!$B$31*$B$8*1000*0.000000001</f>
        <v>3.0000000000000001E-3</v>
      </c>
      <c r="P229" s="44">
        <f>'Sheet1 select'!$B$35*$B$10*$B$8*1000*0.000000001</f>
        <v>0</v>
      </c>
      <c r="Q229" s="47">
        <f>IF('Sheet1 select'!$B$17=0,0,(0.00000006*0.7+0.00000003*(0.7+F229*1.1*'Sheet1 select'!$B$26))*F229*$B$8*1000)</f>
        <v>0</v>
      </c>
      <c r="R229" s="45">
        <f t="shared" ca="1" si="24"/>
        <v>0.25401324728754648</v>
      </c>
      <c r="S229" s="48">
        <f t="shared" ca="1" si="25"/>
        <v>0.9228863916996346</v>
      </c>
      <c r="T229" s="49">
        <f ca="1">H229+K229+O229+N229+'Sheet1 select'!$B$40*I229+J229+P229</f>
        <v>3.1732508381439907E-2</v>
      </c>
      <c r="U229" s="169">
        <f t="shared" ca="1" si="26"/>
        <v>1.9732508381439907E-2</v>
      </c>
      <c r="V229" s="47">
        <f t="shared" ca="1" si="27"/>
        <v>0</v>
      </c>
    </row>
    <row r="230" spans="5:22">
      <c r="E230" s="32">
        <v>229</v>
      </c>
      <c r="F230" s="45">
        <f t="shared" si="21"/>
        <v>0.61066666666666669</v>
      </c>
      <c r="G230" s="45">
        <f t="shared" si="22"/>
        <v>7.458275555555556E-2</v>
      </c>
      <c r="H230" s="45">
        <f ca="1">F230*F230*('Sheet1 select'!$B$25)*$B$3</f>
        <v>8.4815723857071656E-3</v>
      </c>
      <c r="I230" s="45">
        <f>F230*(1-$B$3)*'Sheet1 select'!$B$41</f>
        <v>0.14248888888888889</v>
      </c>
      <c r="J230" s="45">
        <f ca="1">F230*F230*('Sheet1 select'!$B$26)*(1-$B$3)</f>
        <v>0</v>
      </c>
      <c r="K230" s="45">
        <f>0.0000005*$B$10*F230*$B$8*((('Sheet1 select'!$B$33+0.5*'Sheet1 select'!$B$32)/(('Sheet1 select'!$B$10-'Sheet1 select'!$B$23)/('Sheet1 select'!$B$27+'Sheet1 select'!$B$8)))+(('Sheet1 select'!$B$33+0.5*'Sheet1 select'!$B$32)/(('Sheet1 select'!$B$23)/('Sheet1 select'!$B$27+'Sheet1 select'!$B$9))))</f>
        <v>8.361361624386901E-3</v>
      </c>
      <c r="L230" s="45">
        <f>(F230*$B$28)*(('Sheet1 select'!$B$12+'Sheet1 select'!$B$13)*(0.000000001))*$B$8*1000</f>
        <v>0</v>
      </c>
      <c r="M230" s="45">
        <f t="shared" si="23"/>
        <v>6.481272239439854E-3</v>
      </c>
      <c r="N230" s="46">
        <f>$B$10*'Sheet1 select'!$B$29*0.001</f>
        <v>1.2E-2</v>
      </c>
      <c r="O230" s="44">
        <f>'Sheet1 select'!$B$10*'Sheet1 select'!$B$31*$B$8*1000*0.000000001</f>
        <v>3.0000000000000001E-3</v>
      </c>
      <c r="P230" s="44">
        <f>'Sheet1 select'!$B$35*$B$10*$B$8*1000*0.000000001</f>
        <v>0</v>
      </c>
      <c r="Q230" s="47">
        <f>IF('Sheet1 select'!$B$17=0,0,(0.00000006*0.7+0.00000003*(0.7+F230*1.1*'Sheet1 select'!$B$26))*F230*$B$8*1000)</f>
        <v>0</v>
      </c>
      <c r="R230" s="45">
        <f t="shared" ca="1" si="24"/>
        <v>0.25539585069397835</v>
      </c>
      <c r="S230" s="48">
        <f t="shared" ca="1" si="25"/>
        <v>0.92281149756018521</v>
      </c>
      <c r="T230" s="49">
        <f ca="1">H230+K230+O230+N230+'Sheet1 select'!$B$40*I230+J230+P230</f>
        <v>3.1842934010094068E-2</v>
      </c>
      <c r="U230" s="169">
        <f t="shared" ca="1" si="26"/>
        <v>1.9842934010094068E-2</v>
      </c>
      <c r="V230" s="47">
        <f t="shared" ca="1" si="27"/>
        <v>0</v>
      </c>
    </row>
    <row r="231" spans="5:22">
      <c r="E231" s="32">
        <v>230</v>
      </c>
      <c r="F231" s="45">
        <f t="shared" si="21"/>
        <v>0.61333333333333329</v>
      </c>
      <c r="G231" s="45">
        <f t="shared" si="22"/>
        <v>7.5235555555555556E-2</v>
      </c>
      <c r="H231" s="45">
        <f ca="1">F231*F231*('Sheet1 select'!$B$25)*$B$3</f>
        <v>8.5558089892242527E-3</v>
      </c>
      <c r="I231" s="45">
        <f>F231*(1-$B$3)*'Sheet1 select'!$B$41</f>
        <v>0.14311111111111108</v>
      </c>
      <c r="J231" s="45">
        <f ca="1">F231*F231*('Sheet1 select'!$B$26)*(1-$B$3)</f>
        <v>0</v>
      </c>
      <c r="K231" s="45">
        <f>0.0000005*$B$10*F231*$B$8*((('Sheet1 select'!$B$33+0.5*'Sheet1 select'!$B$32)/(('Sheet1 select'!$B$10-'Sheet1 select'!$B$23)/('Sheet1 select'!$B$27+'Sheet1 select'!$B$8)))+(('Sheet1 select'!$B$33+0.5*'Sheet1 select'!$B$32)/(('Sheet1 select'!$B$23)/('Sheet1 select'!$B$27+'Sheet1 select'!$B$9))))</f>
        <v>8.3978741205632639E-3</v>
      </c>
      <c r="L231" s="45">
        <f>(F231*$B$28)*(('Sheet1 select'!$B$12+'Sheet1 select'!$B$13)*(0.000000001))*$B$8*1000</f>
        <v>0</v>
      </c>
      <c r="M231" s="45">
        <f t="shared" si="23"/>
        <v>6.481272239439854E-3</v>
      </c>
      <c r="N231" s="46">
        <f>$B$10*'Sheet1 select'!$B$29*0.001</f>
        <v>1.2E-2</v>
      </c>
      <c r="O231" s="44">
        <f>'Sheet1 select'!$B$10*'Sheet1 select'!$B$31*$B$8*1000*0.000000001</f>
        <v>3.0000000000000001E-3</v>
      </c>
      <c r="P231" s="44">
        <f>'Sheet1 select'!$B$35*$B$10*$B$8*1000*0.000000001</f>
        <v>0</v>
      </c>
      <c r="Q231" s="47">
        <f>IF('Sheet1 select'!$B$17=0,0,(0.00000006*0.7+0.00000003*(0.7+F231*1.1*'Sheet1 select'!$B$26))*F231*$B$8*1000)</f>
        <v>0</v>
      </c>
      <c r="R231" s="45">
        <f t="shared" ca="1" si="24"/>
        <v>0.256781622015894</v>
      </c>
      <c r="S231" s="48">
        <f t="shared" ca="1" si="25"/>
        <v>0.92273638711626105</v>
      </c>
      <c r="T231" s="49">
        <f ca="1">H231+K231+O231+N231+'Sheet1 select'!$B$40*I231+J231+P231</f>
        <v>3.1953683109787516E-2</v>
      </c>
      <c r="U231" s="169">
        <f t="shared" ca="1" si="26"/>
        <v>1.9953683109787516E-2</v>
      </c>
      <c r="V231" s="47">
        <f t="shared" ca="1" si="27"/>
        <v>0</v>
      </c>
    </row>
    <row r="232" spans="5:22">
      <c r="E232" s="32">
        <v>231</v>
      </c>
      <c r="F232" s="45">
        <f t="shared" si="21"/>
        <v>0.61599999999999999</v>
      </c>
      <c r="G232" s="45">
        <f t="shared" si="22"/>
        <v>7.5891200000000006E-2</v>
      </c>
      <c r="H232" s="45">
        <f ca="1">F232*F232*('Sheet1 select'!$B$25)*$B$3</f>
        <v>8.6303690637806324E-3</v>
      </c>
      <c r="I232" s="45">
        <f>F232*(1-$B$3)*'Sheet1 select'!$B$41</f>
        <v>0.14373333333333332</v>
      </c>
      <c r="J232" s="45">
        <f ca="1">F232*F232*('Sheet1 select'!$B$26)*(1-$B$3)</f>
        <v>0</v>
      </c>
      <c r="K232" s="45">
        <f>0.0000005*$B$10*F232*$B$8*((('Sheet1 select'!$B$33+0.5*'Sheet1 select'!$B$32)/(('Sheet1 select'!$B$10-'Sheet1 select'!$B$23)/('Sheet1 select'!$B$27+'Sheet1 select'!$B$8)))+(('Sheet1 select'!$B$33+0.5*'Sheet1 select'!$B$32)/(('Sheet1 select'!$B$23)/('Sheet1 select'!$B$27+'Sheet1 select'!$B$9))))</f>
        <v>8.434386616739625E-3</v>
      </c>
      <c r="L232" s="45">
        <f>(F232*$B$28)*(('Sheet1 select'!$B$12+'Sheet1 select'!$B$13)*(0.000000001))*$B$8*1000</f>
        <v>0</v>
      </c>
      <c r="M232" s="45">
        <f t="shared" si="23"/>
        <v>6.481272239439854E-3</v>
      </c>
      <c r="N232" s="46">
        <f>$B$10*'Sheet1 select'!$B$29*0.001</f>
        <v>1.2E-2</v>
      </c>
      <c r="O232" s="44">
        <f>'Sheet1 select'!$B$10*'Sheet1 select'!$B$31*$B$8*1000*0.000000001</f>
        <v>3.0000000000000001E-3</v>
      </c>
      <c r="P232" s="44">
        <f>'Sheet1 select'!$B$35*$B$10*$B$8*1000*0.000000001</f>
        <v>0</v>
      </c>
      <c r="Q232" s="47">
        <f>IF('Sheet1 select'!$B$17=0,0,(0.00000006*0.7+0.00000003*(0.7+F232*1.1*'Sheet1 select'!$B$26))*F232*$B$8*1000)</f>
        <v>0</v>
      </c>
      <c r="R232" s="45">
        <f t="shared" ca="1" si="24"/>
        <v>0.25817056125329346</v>
      </c>
      <c r="S232" s="48">
        <f t="shared" ca="1" si="25"/>
        <v>0.92266106344297605</v>
      </c>
      <c r="T232" s="49">
        <f ca="1">H232+K232+O232+N232+'Sheet1 select'!$B$40*I232+J232+P232</f>
        <v>3.2064755680520259E-2</v>
      </c>
      <c r="U232" s="169">
        <f t="shared" ca="1" si="26"/>
        <v>2.0064755680520258E-2</v>
      </c>
      <c r="V232" s="47">
        <f t="shared" ca="1" si="27"/>
        <v>0</v>
      </c>
    </row>
    <row r="233" spans="5:22">
      <c r="E233" s="32">
        <v>232</v>
      </c>
      <c r="F233" s="45">
        <f t="shared" si="21"/>
        <v>0.6186666666666667</v>
      </c>
      <c r="G233" s="45">
        <f t="shared" si="22"/>
        <v>7.6549688888888898E-2</v>
      </c>
      <c r="H233" s="45">
        <f ca="1">F233*F233*('Sheet1 select'!$B$25)*$B$3</f>
        <v>8.7052526093763013E-3</v>
      </c>
      <c r="I233" s="45">
        <f>F233*(1-$B$3)*'Sheet1 select'!$B$41</f>
        <v>0.14435555555555554</v>
      </c>
      <c r="J233" s="45">
        <f ca="1">F233*F233*('Sheet1 select'!$B$26)*(1-$B$3)</f>
        <v>0</v>
      </c>
      <c r="K233" s="45">
        <f>0.0000005*$B$10*F233*$B$8*((('Sheet1 select'!$B$33+0.5*'Sheet1 select'!$B$32)/(('Sheet1 select'!$B$10-'Sheet1 select'!$B$23)/('Sheet1 select'!$B$27+'Sheet1 select'!$B$8)))+(('Sheet1 select'!$B$33+0.5*'Sheet1 select'!$B$32)/(('Sheet1 select'!$B$23)/('Sheet1 select'!$B$27+'Sheet1 select'!$B$9))))</f>
        <v>8.4708991129159878E-3</v>
      </c>
      <c r="L233" s="45">
        <f>(F233*$B$28)*(('Sheet1 select'!$B$12+'Sheet1 select'!$B$13)*(0.000000001))*$B$8*1000</f>
        <v>0</v>
      </c>
      <c r="M233" s="45">
        <f t="shared" si="23"/>
        <v>6.481272239439854E-3</v>
      </c>
      <c r="N233" s="46">
        <f>$B$10*'Sheet1 select'!$B$29*0.001</f>
        <v>1.2E-2</v>
      </c>
      <c r="O233" s="44">
        <f>'Sheet1 select'!$B$10*'Sheet1 select'!$B$31*$B$8*1000*0.000000001</f>
        <v>3.0000000000000001E-3</v>
      </c>
      <c r="P233" s="44">
        <f>'Sheet1 select'!$B$35*$B$10*$B$8*1000*0.000000001</f>
        <v>0</v>
      </c>
      <c r="Q233" s="47">
        <f>IF('Sheet1 select'!$B$17=0,0,(0.00000006*0.7+0.00000003*(0.7+F233*1.1*'Sheet1 select'!$B$26))*F233*$B$8*1000)</f>
        <v>0</v>
      </c>
      <c r="R233" s="45">
        <f t="shared" ca="1" si="24"/>
        <v>0.25956266840617659</v>
      </c>
      <c r="S233" s="48">
        <f t="shared" ca="1" si="25"/>
        <v>0.92258552956264872</v>
      </c>
      <c r="T233" s="49">
        <f ca="1">H233+K233+O233+N233+'Sheet1 select'!$B$40*I233+J233+P233</f>
        <v>3.2176151722292289E-2</v>
      </c>
      <c r="U233" s="169">
        <f t="shared" ca="1" si="26"/>
        <v>2.0176151722292288E-2</v>
      </c>
      <c r="V233" s="47">
        <f t="shared" ca="1" si="27"/>
        <v>0</v>
      </c>
    </row>
    <row r="234" spans="5:22">
      <c r="E234" s="32">
        <v>233</v>
      </c>
      <c r="F234" s="45">
        <f t="shared" si="21"/>
        <v>0.6213333333333334</v>
      </c>
      <c r="G234" s="45">
        <f t="shared" si="22"/>
        <v>7.7211022222222245E-2</v>
      </c>
      <c r="H234" s="45">
        <f ca="1">F234*F234*('Sheet1 select'!$B$25)*$B$3</f>
        <v>8.7804596260112593E-3</v>
      </c>
      <c r="I234" s="45">
        <f>F234*(1-$B$3)*'Sheet1 select'!$B$41</f>
        <v>0.14497777777777779</v>
      </c>
      <c r="J234" s="45">
        <f ca="1">F234*F234*('Sheet1 select'!$B$26)*(1-$B$3)</f>
        <v>0</v>
      </c>
      <c r="K234" s="45">
        <f>0.0000005*$B$10*F234*$B$8*((('Sheet1 select'!$B$33+0.5*'Sheet1 select'!$B$32)/(('Sheet1 select'!$B$10-'Sheet1 select'!$B$23)/('Sheet1 select'!$B$27+'Sheet1 select'!$B$8)))+(('Sheet1 select'!$B$33+0.5*'Sheet1 select'!$B$32)/(('Sheet1 select'!$B$23)/('Sheet1 select'!$B$27+'Sheet1 select'!$B$9))))</f>
        <v>8.5074116090923507E-3</v>
      </c>
      <c r="L234" s="45">
        <f>(F234*$B$28)*(('Sheet1 select'!$B$12+'Sheet1 select'!$B$13)*(0.000000001))*$B$8*1000</f>
        <v>0</v>
      </c>
      <c r="M234" s="45">
        <f t="shared" si="23"/>
        <v>6.481272239439854E-3</v>
      </c>
      <c r="N234" s="46">
        <f>$B$10*'Sheet1 select'!$B$29*0.001</f>
        <v>1.2E-2</v>
      </c>
      <c r="O234" s="44">
        <f>'Sheet1 select'!$B$10*'Sheet1 select'!$B$31*$B$8*1000*0.000000001</f>
        <v>3.0000000000000001E-3</v>
      </c>
      <c r="P234" s="44">
        <f>'Sheet1 select'!$B$35*$B$10*$B$8*1000*0.000000001</f>
        <v>0</v>
      </c>
      <c r="Q234" s="47">
        <f>IF('Sheet1 select'!$B$17=0,0,(0.00000006*0.7+0.00000003*(0.7+F234*1.1*'Sheet1 select'!$B$26))*F234*$B$8*1000)</f>
        <v>0</v>
      </c>
      <c r="R234" s="45">
        <f t="shared" ca="1" si="24"/>
        <v>0.26095794347454349</v>
      </c>
      <c r="S234" s="48">
        <f t="shared" ca="1" si="25"/>
        <v>0.92250978844592735</v>
      </c>
      <c r="T234" s="49">
        <f ca="1">H234+K234+O234+N234+'Sheet1 select'!$B$40*I234+J234+P234</f>
        <v>3.2287871235103613E-2</v>
      </c>
      <c r="U234" s="169">
        <f t="shared" ca="1" si="26"/>
        <v>2.0287871235103609E-2</v>
      </c>
      <c r="V234" s="47">
        <f t="shared" ca="1" si="27"/>
        <v>0</v>
      </c>
    </row>
    <row r="235" spans="5:22">
      <c r="E235" s="32">
        <v>234</v>
      </c>
      <c r="F235" s="45">
        <f t="shared" si="21"/>
        <v>0.62400000000000011</v>
      </c>
      <c r="G235" s="45">
        <f t="shared" si="22"/>
        <v>7.7875200000000019E-2</v>
      </c>
      <c r="H235" s="45">
        <f ca="1">F235*F235*('Sheet1 select'!$B$25)*$B$3</f>
        <v>8.8559901136855083E-3</v>
      </c>
      <c r="I235" s="45">
        <f>F235*(1-$B$3)*'Sheet1 select'!$B$41</f>
        <v>0.14560000000000003</v>
      </c>
      <c r="J235" s="45">
        <f ca="1">F235*F235*('Sheet1 select'!$B$26)*(1-$B$3)</f>
        <v>0</v>
      </c>
      <c r="K235" s="45">
        <f>0.0000005*$B$10*F235*$B$8*((('Sheet1 select'!$B$33+0.5*'Sheet1 select'!$B$32)/(('Sheet1 select'!$B$10-'Sheet1 select'!$B$23)/('Sheet1 select'!$B$27+'Sheet1 select'!$B$8)))+(('Sheet1 select'!$B$33+0.5*'Sheet1 select'!$B$32)/(('Sheet1 select'!$B$23)/('Sheet1 select'!$B$27+'Sheet1 select'!$B$9))))</f>
        <v>8.5439241052687135E-3</v>
      </c>
      <c r="L235" s="45">
        <f>(F235*$B$28)*(('Sheet1 select'!$B$12+'Sheet1 select'!$B$13)*(0.000000001))*$B$8*1000</f>
        <v>0</v>
      </c>
      <c r="M235" s="45">
        <f t="shared" si="23"/>
        <v>6.481272239439854E-3</v>
      </c>
      <c r="N235" s="46">
        <f>$B$10*'Sheet1 select'!$B$29*0.001</f>
        <v>1.2E-2</v>
      </c>
      <c r="O235" s="44">
        <f>'Sheet1 select'!$B$10*'Sheet1 select'!$B$31*$B$8*1000*0.000000001</f>
        <v>3.0000000000000001E-3</v>
      </c>
      <c r="P235" s="44">
        <f>'Sheet1 select'!$B$35*$B$10*$B$8*1000*0.000000001</f>
        <v>0</v>
      </c>
      <c r="Q235" s="47">
        <f>IF('Sheet1 select'!$B$17=0,0,(0.00000006*0.7+0.00000003*(0.7+F235*1.1*'Sheet1 select'!$B$26))*F235*$B$8*1000)</f>
        <v>0</v>
      </c>
      <c r="R235" s="45">
        <f t="shared" ca="1" si="24"/>
        <v>0.26235638645839415</v>
      </c>
      <c r="S235" s="48">
        <f t="shared" ca="1" si="25"/>
        <v>0.92243384301288756</v>
      </c>
      <c r="T235" s="49">
        <f ca="1">H235+K235+O235+N235+'Sheet1 select'!$B$40*I235+J235+P235</f>
        <v>3.2399914218954218E-2</v>
      </c>
      <c r="U235" s="169">
        <f t="shared" ca="1" si="26"/>
        <v>2.0399914218954221E-2</v>
      </c>
      <c r="V235" s="47">
        <f t="shared" ca="1" si="27"/>
        <v>0</v>
      </c>
    </row>
    <row r="236" spans="5:22">
      <c r="E236" s="32">
        <v>235</v>
      </c>
      <c r="F236" s="45">
        <f t="shared" si="21"/>
        <v>0.62666666666666671</v>
      </c>
      <c r="G236" s="45">
        <f t="shared" si="22"/>
        <v>7.8542222222222235E-2</v>
      </c>
      <c r="H236" s="45">
        <f ca="1">F236*F236*('Sheet1 select'!$B$25)*$B$3</f>
        <v>8.9318440723990464E-3</v>
      </c>
      <c r="I236" s="45">
        <f>F236*(1-$B$3)*'Sheet1 select'!$B$41</f>
        <v>0.14622222222222223</v>
      </c>
      <c r="J236" s="45">
        <f ca="1">F236*F236*('Sheet1 select'!$B$26)*(1-$B$3)</f>
        <v>0</v>
      </c>
      <c r="K236" s="45">
        <f>0.0000005*$B$10*F236*$B$8*((('Sheet1 select'!$B$33+0.5*'Sheet1 select'!$B$32)/(('Sheet1 select'!$B$10-'Sheet1 select'!$B$23)/('Sheet1 select'!$B$27+'Sheet1 select'!$B$8)))+(('Sheet1 select'!$B$33+0.5*'Sheet1 select'!$B$32)/(('Sheet1 select'!$B$23)/('Sheet1 select'!$B$27+'Sheet1 select'!$B$9))))</f>
        <v>8.5804366014450746E-3</v>
      </c>
      <c r="L236" s="45">
        <f>(F236*$B$28)*(('Sheet1 select'!$B$12+'Sheet1 select'!$B$13)*(0.000000001))*$B$8*1000</f>
        <v>0</v>
      </c>
      <c r="M236" s="45">
        <f t="shared" si="23"/>
        <v>6.481272239439854E-3</v>
      </c>
      <c r="N236" s="46">
        <f>$B$10*'Sheet1 select'!$B$29*0.001</f>
        <v>1.2E-2</v>
      </c>
      <c r="O236" s="44">
        <f>'Sheet1 select'!$B$10*'Sheet1 select'!$B$31*$B$8*1000*0.000000001</f>
        <v>3.0000000000000001E-3</v>
      </c>
      <c r="P236" s="44">
        <f>'Sheet1 select'!$B$35*$B$10*$B$8*1000*0.000000001</f>
        <v>0</v>
      </c>
      <c r="Q236" s="47">
        <f>IF('Sheet1 select'!$B$17=0,0,(0.00000006*0.7+0.00000003*(0.7+F236*1.1*'Sheet1 select'!$B$26))*F236*$B$8*1000)</f>
        <v>0</v>
      </c>
      <c r="R236" s="45">
        <f t="shared" ca="1" si="24"/>
        <v>0.26375799735772848</v>
      </c>
      <c r="S236" s="48">
        <f t="shared" ca="1" si="25"/>
        <v>0.92235769613410046</v>
      </c>
      <c r="T236" s="49">
        <f ca="1">H236+K236+O236+N236+'Sheet1 select'!$B$40*I236+J236+P236</f>
        <v>3.2512280673844124E-2</v>
      </c>
      <c r="U236" s="169">
        <f t="shared" ca="1" si="26"/>
        <v>2.051228067384412E-2</v>
      </c>
      <c r="V236" s="47">
        <f t="shared" ca="1" si="27"/>
        <v>0</v>
      </c>
    </row>
    <row r="237" spans="5:22">
      <c r="E237" s="32">
        <v>236</v>
      </c>
      <c r="F237" s="45">
        <f t="shared" si="21"/>
        <v>0.62933333333333341</v>
      </c>
      <c r="G237" s="45">
        <f t="shared" si="22"/>
        <v>7.9212088888888921E-2</v>
      </c>
      <c r="H237" s="45">
        <f ca="1">F237*F237*('Sheet1 select'!$B$25)*$B$3</f>
        <v>9.0080215021518736E-3</v>
      </c>
      <c r="I237" s="45">
        <f>F237*(1-$B$3)*'Sheet1 select'!$B$41</f>
        <v>0.14684444444444444</v>
      </c>
      <c r="J237" s="45">
        <f ca="1">F237*F237*('Sheet1 select'!$B$26)*(1-$B$3)</f>
        <v>0</v>
      </c>
      <c r="K237" s="45">
        <f>0.0000005*$B$10*F237*$B$8*((('Sheet1 select'!$B$33+0.5*'Sheet1 select'!$B$32)/(('Sheet1 select'!$B$10-'Sheet1 select'!$B$23)/('Sheet1 select'!$B$27+'Sheet1 select'!$B$8)))+(('Sheet1 select'!$B$33+0.5*'Sheet1 select'!$B$32)/(('Sheet1 select'!$B$23)/('Sheet1 select'!$B$27+'Sheet1 select'!$B$9))))</f>
        <v>8.6169490976214357E-3</v>
      </c>
      <c r="L237" s="45">
        <f>(F237*$B$28)*(('Sheet1 select'!$B$12+'Sheet1 select'!$B$13)*(0.000000001))*$B$8*1000</f>
        <v>0</v>
      </c>
      <c r="M237" s="45">
        <f t="shared" si="23"/>
        <v>6.481272239439854E-3</v>
      </c>
      <c r="N237" s="46">
        <f>$B$10*'Sheet1 select'!$B$29*0.001</f>
        <v>1.2E-2</v>
      </c>
      <c r="O237" s="44">
        <f>'Sheet1 select'!$B$10*'Sheet1 select'!$B$31*$B$8*1000*0.000000001</f>
        <v>3.0000000000000001E-3</v>
      </c>
      <c r="P237" s="44">
        <f>'Sheet1 select'!$B$35*$B$10*$B$8*1000*0.000000001</f>
        <v>0</v>
      </c>
      <c r="Q237" s="47">
        <f>IF('Sheet1 select'!$B$17=0,0,(0.00000006*0.7+0.00000003*(0.7+F237*1.1*'Sheet1 select'!$B$26))*F237*$B$8*1000)</f>
        <v>0</v>
      </c>
      <c r="R237" s="45">
        <f t="shared" ca="1" si="24"/>
        <v>0.26516277617254652</v>
      </c>
      <c r="S237" s="48">
        <f t="shared" ca="1" si="25"/>
        <v>0.9222813506316756</v>
      </c>
      <c r="T237" s="49">
        <f ca="1">H237+K237+O237+N237+'Sheet1 select'!$B$40*I237+J237+P237</f>
        <v>3.2624970599773311E-2</v>
      </c>
      <c r="U237" s="169">
        <f t="shared" ca="1" si="26"/>
        <v>2.062497059977331E-2</v>
      </c>
      <c r="V237" s="47">
        <f t="shared" ca="1" si="27"/>
        <v>0</v>
      </c>
    </row>
    <row r="238" spans="5:22">
      <c r="E238" s="32">
        <v>237</v>
      </c>
      <c r="F238" s="45">
        <f t="shared" si="21"/>
        <v>0.63200000000000012</v>
      </c>
      <c r="G238" s="45">
        <f t="shared" si="22"/>
        <v>7.9884800000000034E-2</v>
      </c>
      <c r="H238" s="45">
        <f ca="1">F238*F238*('Sheet1 select'!$B$25)*$B$3</f>
        <v>9.0845224029439935E-3</v>
      </c>
      <c r="I238" s="45">
        <f>F238*(1-$B$3)*'Sheet1 select'!$B$41</f>
        <v>0.14746666666666669</v>
      </c>
      <c r="J238" s="45">
        <f ca="1">F238*F238*('Sheet1 select'!$B$26)*(1-$B$3)</f>
        <v>0</v>
      </c>
      <c r="K238" s="45">
        <f>0.0000005*$B$10*F238*$B$8*((('Sheet1 select'!$B$33+0.5*'Sheet1 select'!$B$32)/(('Sheet1 select'!$B$10-'Sheet1 select'!$B$23)/('Sheet1 select'!$B$27+'Sheet1 select'!$B$8)))+(('Sheet1 select'!$B$33+0.5*'Sheet1 select'!$B$32)/(('Sheet1 select'!$B$23)/('Sheet1 select'!$B$27+'Sheet1 select'!$B$9))))</f>
        <v>8.6534615937977986E-3</v>
      </c>
      <c r="L238" s="45">
        <f>(F238*$B$28)*(('Sheet1 select'!$B$12+'Sheet1 select'!$B$13)*(0.000000001))*$B$8*1000</f>
        <v>0</v>
      </c>
      <c r="M238" s="45">
        <f t="shared" si="23"/>
        <v>6.481272239439854E-3</v>
      </c>
      <c r="N238" s="46">
        <f>$B$10*'Sheet1 select'!$B$29*0.001</f>
        <v>1.2E-2</v>
      </c>
      <c r="O238" s="44">
        <f>'Sheet1 select'!$B$10*'Sheet1 select'!$B$31*$B$8*1000*0.000000001</f>
        <v>3.0000000000000001E-3</v>
      </c>
      <c r="P238" s="44">
        <f>'Sheet1 select'!$B$35*$B$10*$B$8*1000*0.000000001</f>
        <v>0</v>
      </c>
      <c r="Q238" s="47">
        <f>IF('Sheet1 select'!$B$17=0,0,(0.00000006*0.7+0.00000003*(0.7+F238*1.1*'Sheet1 select'!$B$26))*F238*$B$8*1000)</f>
        <v>0</v>
      </c>
      <c r="R238" s="45">
        <f t="shared" ca="1" si="24"/>
        <v>0.26657072290284839</v>
      </c>
      <c r="S238" s="48">
        <f t="shared" ca="1" si="25"/>
        <v>0.92220480928027637</v>
      </c>
      <c r="T238" s="49">
        <f ca="1">H238+K238+O238+N238+'Sheet1 select'!$B$40*I238+J238+P238</f>
        <v>3.2737983996741792E-2</v>
      </c>
      <c r="U238" s="169">
        <f t="shared" ca="1" si="26"/>
        <v>2.0737983996741791E-2</v>
      </c>
      <c r="V238" s="47">
        <f t="shared" ca="1" si="27"/>
        <v>0</v>
      </c>
    </row>
    <row r="239" spans="5:22">
      <c r="E239" s="32">
        <v>238</v>
      </c>
      <c r="F239" s="45">
        <f t="shared" si="21"/>
        <v>0.63466666666666671</v>
      </c>
      <c r="G239" s="45">
        <f t="shared" si="22"/>
        <v>8.056035555555556E-2</v>
      </c>
      <c r="H239" s="45">
        <f ca="1">F239*F239*('Sheet1 select'!$B$25)*$B$3</f>
        <v>9.1613467747753991E-3</v>
      </c>
      <c r="I239" s="45">
        <f>F239*(1-$B$3)*'Sheet1 select'!$B$41</f>
        <v>0.14808888888888888</v>
      </c>
      <c r="J239" s="45">
        <f ca="1">F239*F239*('Sheet1 select'!$B$26)*(1-$B$3)</f>
        <v>0</v>
      </c>
      <c r="K239" s="45">
        <f>0.0000005*$B$10*F239*$B$8*((('Sheet1 select'!$B$33+0.5*'Sheet1 select'!$B$32)/(('Sheet1 select'!$B$10-'Sheet1 select'!$B$23)/('Sheet1 select'!$B$27+'Sheet1 select'!$B$8)))+(('Sheet1 select'!$B$33+0.5*'Sheet1 select'!$B$32)/(('Sheet1 select'!$B$23)/('Sheet1 select'!$B$27+'Sheet1 select'!$B$9))))</f>
        <v>8.6899740899741597E-3</v>
      </c>
      <c r="L239" s="45">
        <f>(F239*$B$28)*(('Sheet1 select'!$B$12+'Sheet1 select'!$B$13)*(0.000000001))*$B$8*1000</f>
        <v>0</v>
      </c>
      <c r="M239" s="45">
        <f t="shared" si="23"/>
        <v>6.481272239439854E-3</v>
      </c>
      <c r="N239" s="46">
        <f>$B$10*'Sheet1 select'!$B$29*0.001</f>
        <v>1.2E-2</v>
      </c>
      <c r="O239" s="44">
        <f>'Sheet1 select'!$B$10*'Sheet1 select'!$B$31*$B$8*1000*0.000000001</f>
        <v>3.0000000000000001E-3</v>
      </c>
      <c r="P239" s="44">
        <f>'Sheet1 select'!$B$35*$B$10*$B$8*1000*0.000000001</f>
        <v>0</v>
      </c>
      <c r="Q239" s="47">
        <f>IF('Sheet1 select'!$B$17=0,0,(0.00000006*0.7+0.00000003*(0.7+F239*1.1*'Sheet1 select'!$B$26))*F239*$B$8*1000)</f>
        <v>0</v>
      </c>
      <c r="R239" s="45">
        <f t="shared" ca="1" si="24"/>
        <v>0.26798183754863386</v>
      </c>
      <c r="S239" s="48">
        <f t="shared" ca="1" si="25"/>
        <v>0.92212807480811088</v>
      </c>
      <c r="T239" s="49">
        <f ca="1">H239+K239+O239+N239+'Sheet1 select'!$B$40*I239+J239+P239</f>
        <v>3.285132086474956E-2</v>
      </c>
      <c r="U239" s="169">
        <f t="shared" ca="1" si="26"/>
        <v>2.085132086474956E-2</v>
      </c>
      <c r="V239" s="47">
        <f t="shared" ca="1" si="27"/>
        <v>0</v>
      </c>
    </row>
    <row r="240" spans="5:22">
      <c r="E240" s="32">
        <v>239</v>
      </c>
      <c r="F240" s="45">
        <f t="shared" si="21"/>
        <v>0.63733333333333342</v>
      </c>
      <c r="G240" s="45">
        <f t="shared" si="22"/>
        <v>8.123875555555557E-2</v>
      </c>
      <c r="H240" s="45">
        <f ca="1">F240*F240*('Sheet1 select'!$B$25)*$B$3</f>
        <v>9.2384946176461008E-3</v>
      </c>
      <c r="I240" s="45">
        <f>F240*(1-$B$3)*'Sheet1 select'!$B$41</f>
        <v>0.1487111111111111</v>
      </c>
      <c r="J240" s="45">
        <f ca="1">F240*F240*('Sheet1 select'!$B$26)*(1-$B$3)</f>
        <v>0</v>
      </c>
      <c r="K240" s="45">
        <f>0.0000005*$B$10*F240*$B$8*((('Sheet1 select'!$B$33+0.5*'Sheet1 select'!$B$32)/(('Sheet1 select'!$B$10-'Sheet1 select'!$B$23)/('Sheet1 select'!$B$27+'Sheet1 select'!$B$8)))+(('Sheet1 select'!$B$33+0.5*'Sheet1 select'!$B$32)/(('Sheet1 select'!$B$23)/('Sheet1 select'!$B$27+'Sheet1 select'!$B$9))))</f>
        <v>8.7264865861505225E-3</v>
      </c>
      <c r="L240" s="45">
        <f>(F240*$B$28)*(('Sheet1 select'!$B$12+'Sheet1 select'!$B$13)*(0.000000001))*$B$8*1000</f>
        <v>0</v>
      </c>
      <c r="M240" s="45">
        <f t="shared" si="23"/>
        <v>6.481272239439854E-3</v>
      </c>
      <c r="N240" s="46">
        <f>$B$10*'Sheet1 select'!$B$29*0.001</f>
        <v>1.2E-2</v>
      </c>
      <c r="O240" s="44">
        <f>'Sheet1 select'!$B$10*'Sheet1 select'!$B$31*$B$8*1000*0.000000001</f>
        <v>3.0000000000000001E-3</v>
      </c>
      <c r="P240" s="44">
        <f>'Sheet1 select'!$B$35*$B$10*$B$8*1000*0.000000001</f>
        <v>0</v>
      </c>
      <c r="Q240" s="47">
        <f>IF('Sheet1 select'!$B$17=0,0,(0.00000006*0.7+0.00000003*(0.7+F240*1.1*'Sheet1 select'!$B$26))*F240*$B$8*1000)</f>
        <v>0</v>
      </c>
      <c r="R240" s="45">
        <f t="shared" ca="1" si="24"/>
        <v>0.26939612010990316</v>
      </c>
      <c r="S240" s="48">
        <f t="shared" ca="1" si="25"/>
        <v>0.92205114989789694</v>
      </c>
      <c r="T240" s="49">
        <f ca="1">H240+K240+O240+N240+'Sheet1 select'!$B$40*I240+J240+P240</f>
        <v>3.2964981203796623E-2</v>
      </c>
      <c r="U240" s="169">
        <f t="shared" ca="1" si="26"/>
        <v>2.0964981203796623E-2</v>
      </c>
      <c r="V240" s="47">
        <f t="shared" ca="1" si="27"/>
        <v>0</v>
      </c>
    </row>
    <row r="241" spans="5:22">
      <c r="E241" s="32">
        <v>240</v>
      </c>
      <c r="F241" s="45">
        <f t="shared" si="21"/>
        <v>0.64</v>
      </c>
      <c r="G241" s="45">
        <f t="shared" si="22"/>
        <v>8.1920000000000007E-2</v>
      </c>
      <c r="H241" s="45">
        <f ca="1">F241*F241*('Sheet1 select'!$B$25)*$B$3</f>
        <v>9.3159659315560882E-3</v>
      </c>
      <c r="I241" s="45">
        <f>F241*(1-$B$3)*'Sheet1 select'!$B$41</f>
        <v>0.14933333333333332</v>
      </c>
      <c r="J241" s="45">
        <f ca="1">F241*F241*('Sheet1 select'!$B$26)*(1-$B$3)</f>
        <v>0</v>
      </c>
      <c r="K241" s="45">
        <f>0.0000005*$B$10*F241*$B$8*((('Sheet1 select'!$B$33+0.5*'Sheet1 select'!$B$32)/(('Sheet1 select'!$B$10-'Sheet1 select'!$B$23)/('Sheet1 select'!$B$27+'Sheet1 select'!$B$8)))+(('Sheet1 select'!$B$33+0.5*'Sheet1 select'!$B$32)/(('Sheet1 select'!$B$23)/('Sheet1 select'!$B$27+'Sheet1 select'!$B$9))))</f>
        <v>8.7629990823268854E-3</v>
      </c>
      <c r="L241" s="45">
        <f>(F241*$B$28)*(('Sheet1 select'!$B$12+'Sheet1 select'!$B$13)*(0.000000001))*$B$8*1000</f>
        <v>0</v>
      </c>
      <c r="M241" s="45">
        <f t="shared" si="23"/>
        <v>6.481272239439854E-3</v>
      </c>
      <c r="N241" s="46">
        <f>$B$10*'Sheet1 select'!$B$29*0.001</f>
        <v>1.2E-2</v>
      </c>
      <c r="O241" s="44">
        <f>'Sheet1 select'!$B$10*'Sheet1 select'!$B$31*$B$8*1000*0.000000001</f>
        <v>3.0000000000000001E-3</v>
      </c>
      <c r="P241" s="44">
        <f>'Sheet1 select'!$B$35*$B$10*$B$8*1000*0.000000001</f>
        <v>0</v>
      </c>
      <c r="Q241" s="47">
        <f>IF('Sheet1 select'!$B$17=0,0,(0.00000006*0.7+0.00000003*(0.7+F241*1.1*'Sheet1 select'!$B$26))*F241*$B$8*1000)</f>
        <v>0</v>
      </c>
      <c r="R241" s="45">
        <f t="shared" ca="1" si="24"/>
        <v>0.27081357058665617</v>
      </c>
      <c r="S241" s="48">
        <f t="shared" ca="1" si="25"/>
        <v>0.92197403718780502</v>
      </c>
      <c r="T241" s="49">
        <f ca="1">H241+K241+O241+N241+'Sheet1 select'!$B$40*I241+J241+P241</f>
        <v>3.3078965013882973E-2</v>
      </c>
      <c r="U241" s="169">
        <f t="shared" ca="1" si="26"/>
        <v>2.1078965013882973E-2</v>
      </c>
      <c r="V241" s="47">
        <f t="shared" ca="1" si="27"/>
        <v>0</v>
      </c>
    </row>
    <row r="242" spans="5:22">
      <c r="E242" s="32">
        <v>241</v>
      </c>
      <c r="F242" s="45">
        <f t="shared" si="21"/>
        <v>0.64266666666666672</v>
      </c>
      <c r="G242" s="45">
        <f t="shared" si="22"/>
        <v>8.2604088888888913E-2</v>
      </c>
      <c r="H242" s="45">
        <f ca="1">F242*F242*('Sheet1 select'!$B$25)*$B$3</f>
        <v>9.3937607165053682E-3</v>
      </c>
      <c r="I242" s="45">
        <f>F242*(1-$B$3)*'Sheet1 select'!$B$41</f>
        <v>0.14995555555555556</v>
      </c>
      <c r="J242" s="45">
        <f ca="1">F242*F242*('Sheet1 select'!$B$26)*(1-$B$3)</f>
        <v>0</v>
      </c>
      <c r="K242" s="45">
        <f>0.0000005*$B$10*F242*$B$8*((('Sheet1 select'!$B$33+0.5*'Sheet1 select'!$B$32)/(('Sheet1 select'!$B$10-'Sheet1 select'!$B$23)/('Sheet1 select'!$B$27+'Sheet1 select'!$B$8)))+(('Sheet1 select'!$B$33+0.5*'Sheet1 select'!$B$32)/(('Sheet1 select'!$B$23)/('Sheet1 select'!$B$27+'Sheet1 select'!$B$9))))</f>
        <v>8.7995115785032448E-3</v>
      </c>
      <c r="L242" s="45">
        <f>(F242*$B$28)*(('Sheet1 select'!$B$12+'Sheet1 select'!$B$13)*(0.000000001))*$B$8*1000</f>
        <v>0</v>
      </c>
      <c r="M242" s="45">
        <f t="shared" si="23"/>
        <v>6.481272239439854E-3</v>
      </c>
      <c r="N242" s="46">
        <f>$B$10*'Sheet1 select'!$B$29*0.001</f>
        <v>1.2E-2</v>
      </c>
      <c r="O242" s="44">
        <f>'Sheet1 select'!$B$10*'Sheet1 select'!$B$31*$B$8*1000*0.000000001</f>
        <v>3.0000000000000001E-3</v>
      </c>
      <c r="P242" s="44">
        <f>'Sheet1 select'!$B$35*$B$10*$B$8*1000*0.000000001</f>
        <v>0</v>
      </c>
      <c r="Q242" s="47">
        <f>IF('Sheet1 select'!$B$17=0,0,(0.00000006*0.7+0.00000003*(0.7+F242*1.1*'Sheet1 select'!$B$26))*F242*$B$8*1000)</f>
        <v>0</v>
      </c>
      <c r="R242" s="45">
        <f t="shared" ca="1" si="24"/>
        <v>0.27223418897889295</v>
      </c>
      <c r="S242" s="48">
        <f t="shared" ca="1" si="25"/>
        <v>0.92189673927237514</v>
      </c>
      <c r="T242" s="49">
        <f ca="1">H242+K242+O242+N242+'Sheet1 select'!$B$40*I242+J242+P242</f>
        <v>3.3193272295008611E-2</v>
      </c>
      <c r="U242" s="169">
        <f t="shared" ca="1" si="26"/>
        <v>2.119327229500861E-2</v>
      </c>
      <c r="V242" s="47">
        <f t="shared" ca="1" si="27"/>
        <v>0</v>
      </c>
    </row>
    <row r="243" spans="5:22">
      <c r="E243" s="32">
        <v>242</v>
      </c>
      <c r="F243" s="45">
        <f t="shared" si="21"/>
        <v>0.64533333333333343</v>
      </c>
      <c r="G243" s="45">
        <f t="shared" si="22"/>
        <v>8.3291022222222247E-2</v>
      </c>
      <c r="H243" s="45">
        <f ca="1">F243*F243*('Sheet1 select'!$B$25)*$B$3</f>
        <v>9.4718789724939391E-3</v>
      </c>
      <c r="I243" s="45">
        <f>F243*(1-$B$3)*'Sheet1 select'!$B$41</f>
        <v>0.15057777777777781</v>
      </c>
      <c r="J243" s="45">
        <f ca="1">F243*F243*('Sheet1 select'!$B$26)*(1-$B$3)</f>
        <v>0</v>
      </c>
      <c r="K243" s="45">
        <f>0.0000005*$B$10*F243*$B$8*((('Sheet1 select'!$B$33+0.5*'Sheet1 select'!$B$32)/(('Sheet1 select'!$B$10-'Sheet1 select'!$B$23)/('Sheet1 select'!$B$27+'Sheet1 select'!$B$8)))+(('Sheet1 select'!$B$33+0.5*'Sheet1 select'!$B$32)/(('Sheet1 select'!$B$23)/('Sheet1 select'!$B$27+'Sheet1 select'!$B$9))))</f>
        <v>8.8360240746796076E-3</v>
      </c>
      <c r="L243" s="45">
        <f>(F243*$B$28)*(('Sheet1 select'!$B$12+'Sheet1 select'!$B$13)*(0.000000001))*$B$8*1000</f>
        <v>0</v>
      </c>
      <c r="M243" s="45">
        <f t="shared" si="23"/>
        <v>6.481272239439854E-3</v>
      </c>
      <c r="N243" s="46">
        <f>$B$10*'Sheet1 select'!$B$29*0.001</f>
        <v>1.2E-2</v>
      </c>
      <c r="O243" s="44">
        <f>'Sheet1 select'!$B$10*'Sheet1 select'!$B$31*$B$8*1000*0.000000001</f>
        <v>3.0000000000000001E-3</v>
      </c>
      <c r="P243" s="44">
        <f>'Sheet1 select'!$B$35*$B$10*$B$8*1000*0.000000001</f>
        <v>0</v>
      </c>
      <c r="Q243" s="47">
        <f>IF('Sheet1 select'!$B$17=0,0,(0.00000006*0.7+0.00000003*(0.7+F243*1.1*'Sheet1 select'!$B$26))*F243*$B$8*1000)</f>
        <v>0</v>
      </c>
      <c r="R243" s="45">
        <f t="shared" ca="1" si="24"/>
        <v>0.27365797528661345</v>
      </c>
      <c r="S243" s="48">
        <f t="shared" ca="1" si="25"/>
        <v>0.9218192587034143</v>
      </c>
      <c r="T243" s="49">
        <f ca="1">H243+K243+O243+N243+'Sheet1 select'!$B$40*I243+J243+P243</f>
        <v>3.3307903047173543E-2</v>
      </c>
      <c r="U243" s="169">
        <f t="shared" ca="1" si="26"/>
        <v>2.1307903047173546E-2</v>
      </c>
      <c r="V243" s="47">
        <f t="shared" ca="1" si="27"/>
        <v>0</v>
      </c>
    </row>
    <row r="244" spans="5:22">
      <c r="E244" s="32">
        <v>243</v>
      </c>
      <c r="F244" s="45">
        <f t="shared" si="21"/>
        <v>0.64800000000000002</v>
      </c>
      <c r="G244" s="45">
        <f t="shared" si="22"/>
        <v>8.3980800000000008E-2</v>
      </c>
      <c r="H244" s="45">
        <f ca="1">F244*F244*('Sheet1 select'!$B$25)*$B$3</f>
        <v>9.5503206995217957E-3</v>
      </c>
      <c r="I244" s="45">
        <f>F244*(1-$B$3)*'Sheet1 select'!$B$41</f>
        <v>0.1512</v>
      </c>
      <c r="J244" s="45">
        <f ca="1">F244*F244*('Sheet1 select'!$B$26)*(1-$B$3)</f>
        <v>0</v>
      </c>
      <c r="K244" s="45">
        <f>0.0000005*$B$10*F244*$B$8*((('Sheet1 select'!$B$33+0.5*'Sheet1 select'!$B$32)/(('Sheet1 select'!$B$10-'Sheet1 select'!$B$23)/('Sheet1 select'!$B$27+'Sheet1 select'!$B$8)))+(('Sheet1 select'!$B$33+0.5*'Sheet1 select'!$B$32)/(('Sheet1 select'!$B$23)/('Sheet1 select'!$B$27+'Sheet1 select'!$B$9))))</f>
        <v>8.8725365708559687E-3</v>
      </c>
      <c r="L244" s="45">
        <f>(F244*$B$28)*(('Sheet1 select'!$B$12+'Sheet1 select'!$B$13)*(0.000000001))*$B$8*1000</f>
        <v>0</v>
      </c>
      <c r="M244" s="45">
        <f t="shared" si="23"/>
        <v>6.481272239439854E-3</v>
      </c>
      <c r="N244" s="46">
        <f>$B$10*'Sheet1 select'!$B$29*0.001</f>
        <v>1.2E-2</v>
      </c>
      <c r="O244" s="44">
        <f>'Sheet1 select'!$B$10*'Sheet1 select'!$B$31*$B$8*1000*0.000000001</f>
        <v>3.0000000000000001E-3</v>
      </c>
      <c r="P244" s="44">
        <f>'Sheet1 select'!$B$35*$B$10*$B$8*1000*0.000000001</f>
        <v>0</v>
      </c>
      <c r="Q244" s="47">
        <f>IF('Sheet1 select'!$B$17=0,0,(0.00000006*0.7+0.00000003*(0.7+F244*1.1*'Sheet1 select'!$B$26))*F244*$B$8*1000)</f>
        <v>0</v>
      </c>
      <c r="R244" s="45">
        <f t="shared" ca="1" si="24"/>
        <v>0.27508492950981761</v>
      </c>
      <c r="S244" s="48">
        <f t="shared" ca="1" si="25"/>
        <v>0.92174159799086886</v>
      </c>
      <c r="T244" s="49">
        <f ca="1">H244+K244+O244+N244+'Sheet1 select'!$B$40*I244+J244+P244</f>
        <v>3.3422857270377762E-2</v>
      </c>
      <c r="U244" s="169">
        <f t="shared" ca="1" si="26"/>
        <v>2.1422857270377762E-2</v>
      </c>
      <c r="V244" s="47">
        <f t="shared" ca="1" si="27"/>
        <v>0</v>
      </c>
    </row>
    <row r="245" spans="5:22">
      <c r="E245" s="32">
        <v>244</v>
      </c>
      <c r="F245" s="45">
        <f t="shared" si="21"/>
        <v>0.65066666666666673</v>
      </c>
      <c r="G245" s="45">
        <f t="shared" si="22"/>
        <v>8.4673422222222239E-2</v>
      </c>
      <c r="H245" s="45">
        <f ca="1">F245*F245*('Sheet1 select'!$B$25)*$B$3</f>
        <v>9.6290858975889466E-3</v>
      </c>
      <c r="I245" s="45">
        <f>F245*(1-$B$3)*'Sheet1 select'!$B$41</f>
        <v>0.15182222222222222</v>
      </c>
      <c r="J245" s="45">
        <f ca="1">F245*F245*('Sheet1 select'!$B$26)*(1-$B$3)</f>
        <v>0</v>
      </c>
      <c r="K245" s="45">
        <f>0.0000005*$B$10*F245*$B$8*((('Sheet1 select'!$B$33+0.5*'Sheet1 select'!$B$32)/(('Sheet1 select'!$B$10-'Sheet1 select'!$B$23)/('Sheet1 select'!$B$27+'Sheet1 select'!$B$8)))+(('Sheet1 select'!$B$33+0.5*'Sheet1 select'!$B$32)/(('Sheet1 select'!$B$23)/('Sheet1 select'!$B$27+'Sheet1 select'!$B$9))))</f>
        <v>8.9090490670323316E-3</v>
      </c>
      <c r="L245" s="45">
        <f>(F245*$B$28)*(('Sheet1 select'!$B$12+'Sheet1 select'!$B$13)*(0.000000001))*$B$8*1000</f>
        <v>0</v>
      </c>
      <c r="M245" s="45">
        <f t="shared" si="23"/>
        <v>6.481272239439854E-3</v>
      </c>
      <c r="N245" s="46">
        <f>$B$10*'Sheet1 select'!$B$29*0.001</f>
        <v>1.2E-2</v>
      </c>
      <c r="O245" s="44">
        <f>'Sheet1 select'!$B$10*'Sheet1 select'!$B$31*$B$8*1000*0.000000001</f>
        <v>3.0000000000000001E-3</v>
      </c>
      <c r="P245" s="44">
        <f>'Sheet1 select'!$B$35*$B$10*$B$8*1000*0.000000001</f>
        <v>0</v>
      </c>
      <c r="Q245" s="47">
        <f>IF('Sheet1 select'!$B$17=0,0,(0.00000006*0.7+0.00000003*(0.7+F245*1.1*'Sheet1 select'!$B$26))*F245*$B$8*1000)</f>
        <v>0</v>
      </c>
      <c r="R245" s="45">
        <f t="shared" ca="1" si="24"/>
        <v>0.27651505164850559</v>
      </c>
      <c r="S245" s="48">
        <f t="shared" ca="1" si="25"/>
        <v>0.92166375960367819</v>
      </c>
      <c r="T245" s="49">
        <f ca="1">H245+K245+O245+N245+'Sheet1 select'!$B$40*I245+J245+P245</f>
        <v>3.3538134964621276E-2</v>
      </c>
      <c r="U245" s="169">
        <f t="shared" ca="1" si="26"/>
        <v>2.1538134964621276E-2</v>
      </c>
      <c r="V245" s="47">
        <f t="shared" ca="1" si="27"/>
        <v>0</v>
      </c>
    </row>
    <row r="246" spans="5:22">
      <c r="E246" s="32">
        <v>245</v>
      </c>
      <c r="F246" s="45">
        <f t="shared" si="21"/>
        <v>0.65333333333333332</v>
      </c>
      <c r="G246" s="45">
        <f t="shared" si="22"/>
        <v>8.5368888888888897E-2</v>
      </c>
      <c r="H246" s="45">
        <f ca="1">F246*F246*('Sheet1 select'!$B$25)*$B$3</f>
        <v>9.708174566695385E-3</v>
      </c>
      <c r="I246" s="45">
        <f>F246*(1-$B$3)*'Sheet1 select'!$B$41</f>
        <v>0.15244444444444444</v>
      </c>
      <c r="J246" s="45">
        <f ca="1">F246*F246*('Sheet1 select'!$B$26)*(1-$B$3)</f>
        <v>0</v>
      </c>
      <c r="K246" s="45">
        <f>0.0000005*$B$10*F246*$B$8*((('Sheet1 select'!$B$33+0.5*'Sheet1 select'!$B$32)/(('Sheet1 select'!$B$10-'Sheet1 select'!$B$23)/('Sheet1 select'!$B$27+'Sheet1 select'!$B$8)))+(('Sheet1 select'!$B$33+0.5*'Sheet1 select'!$B$32)/(('Sheet1 select'!$B$23)/('Sheet1 select'!$B$27+'Sheet1 select'!$B$9))))</f>
        <v>8.9455615632086927E-3</v>
      </c>
      <c r="L246" s="45">
        <f>(F246*$B$28)*(('Sheet1 select'!$B$12+'Sheet1 select'!$B$13)*(0.000000001))*$B$8*1000</f>
        <v>0</v>
      </c>
      <c r="M246" s="45">
        <f t="shared" si="23"/>
        <v>6.481272239439854E-3</v>
      </c>
      <c r="N246" s="46">
        <f>$B$10*'Sheet1 select'!$B$29*0.001</f>
        <v>1.2E-2</v>
      </c>
      <c r="O246" s="44">
        <f>'Sheet1 select'!$B$10*'Sheet1 select'!$B$31*$B$8*1000*0.000000001</f>
        <v>3.0000000000000001E-3</v>
      </c>
      <c r="P246" s="44">
        <f>'Sheet1 select'!$B$35*$B$10*$B$8*1000*0.000000001</f>
        <v>0</v>
      </c>
      <c r="Q246" s="47">
        <f>IF('Sheet1 select'!$B$17=0,0,(0.00000006*0.7+0.00000003*(0.7+F246*1.1*'Sheet1 select'!$B$26))*F246*$B$8*1000)</f>
        <v>0</v>
      </c>
      <c r="R246" s="45">
        <f t="shared" ca="1" si="24"/>
        <v>0.27794834170267724</v>
      </c>
      <c r="S246" s="48">
        <f t="shared" ca="1" si="25"/>
        <v>0.92158574597060572</v>
      </c>
      <c r="T246" s="49">
        <f ca="1">H246+K246+O246+N246+'Sheet1 select'!$B$40*I246+J246+P246</f>
        <v>3.3653736129904077E-2</v>
      </c>
      <c r="U246" s="169">
        <f t="shared" ca="1" si="26"/>
        <v>2.1653736129904077E-2</v>
      </c>
      <c r="V246" s="47">
        <f t="shared" ca="1" si="27"/>
        <v>0</v>
      </c>
    </row>
    <row r="247" spans="5:22">
      <c r="E247" s="32">
        <v>246</v>
      </c>
      <c r="F247" s="45">
        <f t="shared" si="21"/>
        <v>0.65600000000000003</v>
      </c>
      <c r="G247" s="45">
        <f t="shared" si="22"/>
        <v>8.606720000000001E-2</v>
      </c>
      <c r="H247" s="45">
        <f ca="1">F247*F247*('Sheet1 select'!$B$25)*$B$3</f>
        <v>9.787586706841116E-3</v>
      </c>
      <c r="I247" s="45">
        <f>F247*(1-$B$3)*'Sheet1 select'!$B$41</f>
        <v>0.15306666666666668</v>
      </c>
      <c r="J247" s="45">
        <f ca="1">F247*F247*('Sheet1 select'!$B$26)*(1-$B$3)</f>
        <v>0</v>
      </c>
      <c r="K247" s="45">
        <f>0.0000005*$B$10*F247*$B$8*((('Sheet1 select'!$B$33+0.5*'Sheet1 select'!$B$32)/(('Sheet1 select'!$B$10-'Sheet1 select'!$B$23)/('Sheet1 select'!$B$27+'Sheet1 select'!$B$8)))+(('Sheet1 select'!$B$33+0.5*'Sheet1 select'!$B$32)/(('Sheet1 select'!$B$23)/('Sheet1 select'!$B$27+'Sheet1 select'!$B$9))))</f>
        <v>8.9820740593850555E-3</v>
      </c>
      <c r="L247" s="45">
        <f>(F247*$B$28)*(('Sheet1 select'!$B$12+'Sheet1 select'!$B$13)*(0.000000001))*$B$8*1000</f>
        <v>0</v>
      </c>
      <c r="M247" s="45">
        <f t="shared" si="23"/>
        <v>6.481272239439854E-3</v>
      </c>
      <c r="N247" s="46">
        <f>$B$10*'Sheet1 select'!$B$29*0.001</f>
        <v>1.2E-2</v>
      </c>
      <c r="O247" s="44">
        <f>'Sheet1 select'!$B$10*'Sheet1 select'!$B$31*$B$8*1000*0.000000001</f>
        <v>3.0000000000000001E-3</v>
      </c>
      <c r="P247" s="44">
        <f>'Sheet1 select'!$B$35*$B$10*$B$8*1000*0.000000001</f>
        <v>0</v>
      </c>
      <c r="Q247" s="47">
        <f>IF('Sheet1 select'!$B$17=0,0,(0.00000006*0.7+0.00000003*(0.7+F247*1.1*'Sheet1 select'!$B$26))*F247*$B$8*1000)</f>
        <v>0</v>
      </c>
      <c r="R247" s="45">
        <f t="shared" ca="1" si="24"/>
        <v>0.27938479967233271</v>
      </c>
      <c r="S247" s="48">
        <f t="shared" ca="1" si="25"/>
        <v>0.92150755948105079</v>
      </c>
      <c r="T247" s="49">
        <f ca="1">H247+K247+O247+N247+'Sheet1 select'!$B$40*I247+J247+P247</f>
        <v>3.3769660766226173E-2</v>
      </c>
      <c r="U247" s="169">
        <f t="shared" ca="1" si="26"/>
        <v>2.1769660766226172E-2</v>
      </c>
      <c r="V247" s="47">
        <f t="shared" ca="1" si="27"/>
        <v>0</v>
      </c>
    </row>
    <row r="248" spans="5:22">
      <c r="E248" s="32">
        <v>247</v>
      </c>
      <c r="F248" s="45">
        <f t="shared" si="21"/>
        <v>0.65866666666666673</v>
      </c>
      <c r="G248" s="45">
        <f t="shared" si="22"/>
        <v>8.6768355555555579E-2</v>
      </c>
      <c r="H248" s="45">
        <f ca="1">F248*F248*('Sheet1 select'!$B$25)*$B$3</f>
        <v>9.8673223180261362E-3</v>
      </c>
      <c r="I248" s="45">
        <f>F248*(1-$B$3)*'Sheet1 select'!$B$41</f>
        <v>0.15368888888888887</v>
      </c>
      <c r="J248" s="45">
        <f ca="1">F248*F248*('Sheet1 select'!$B$26)*(1-$B$3)</f>
        <v>0</v>
      </c>
      <c r="K248" s="45">
        <f>0.0000005*$B$10*F248*$B$8*((('Sheet1 select'!$B$33+0.5*'Sheet1 select'!$B$32)/(('Sheet1 select'!$B$10-'Sheet1 select'!$B$23)/('Sheet1 select'!$B$27+'Sheet1 select'!$B$8)))+(('Sheet1 select'!$B$33+0.5*'Sheet1 select'!$B$32)/(('Sheet1 select'!$B$23)/('Sheet1 select'!$B$27+'Sheet1 select'!$B$9))))</f>
        <v>9.0185865555614184E-3</v>
      </c>
      <c r="L248" s="45">
        <f>(F248*$B$28)*(('Sheet1 select'!$B$12+'Sheet1 select'!$B$13)*(0.000000001))*$B$8*1000</f>
        <v>0</v>
      </c>
      <c r="M248" s="45">
        <f t="shared" si="23"/>
        <v>6.481272239439854E-3</v>
      </c>
      <c r="N248" s="46">
        <f>$B$10*'Sheet1 select'!$B$29*0.001</f>
        <v>1.2E-2</v>
      </c>
      <c r="O248" s="44">
        <f>'Sheet1 select'!$B$10*'Sheet1 select'!$B$31*$B$8*1000*0.000000001</f>
        <v>3.0000000000000001E-3</v>
      </c>
      <c r="P248" s="44">
        <f>'Sheet1 select'!$B$35*$B$10*$B$8*1000*0.000000001</f>
        <v>0</v>
      </c>
      <c r="Q248" s="47">
        <f>IF('Sheet1 select'!$B$17=0,0,(0.00000006*0.7+0.00000003*(0.7+F248*1.1*'Sheet1 select'!$B$26))*F248*$B$8*1000)</f>
        <v>0</v>
      </c>
      <c r="R248" s="45">
        <f t="shared" ca="1" si="24"/>
        <v>0.28082442555747189</v>
      </c>
      <c r="S248" s="48">
        <f t="shared" ca="1" si="25"/>
        <v>0.92142920248584037</v>
      </c>
      <c r="T248" s="49">
        <f ca="1">H248+K248+O248+N248+'Sheet1 select'!$B$40*I248+J248+P248</f>
        <v>3.3885908873587556E-2</v>
      </c>
      <c r="U248" s="169">
        <f t="shared" ca="1" si="26"/>
        <v>2.1885908873587556E-2</v>
      </c>
      <c r="V248" s="47">
        <f t="shared" ca="1" si="27"/>
        <v>0</v>
      </c>
    </row>
    <row r="249" spans="5:22">
      <c r="E249" s="32">
        <v>248</v>
      </c>
      <c r="F249" s="45">
        <f t="shared" si="21"/>
        <v>0.66133333333333333</v>
      </c>
      <c r="G249" s="45">
        <f t="shared" si="22"/>
        <v>8.7472355555555548E-2</v>
      </c>
      <c r="H249" s="45">
        <f ca="1">F249*F249*('Sheet1 select'!$B$25)*$B$3</f>
        <v>9.9473814002504456E-3</v>
      </c>
      <c r="I249" s="45">
        <f>F249*(1-$B$3)*'Sheet1 select'!$B$41</f>
        <v>0.15431111111111109</v>
      </c>
      <c r="J249" s="45">
        <f ca="1">F249*F249*('Sheet1 select'!$B$26)*(1-$B$3)</f>
        <v>0</v>
      </c>
      <c r="K249" s="45">
        <f>0.0000005*$B$10*F249*$B$8*((('Sheet1 select'!$B$33+0.5*'Sheet1 select'!$B$32)/(('Sheet1 select'!$B$10-'Sheet1 select'!$B$23)/('Sheet1 select'!$B$27+'Sheet1 select'!$B$8)))+(('Sheet1 select'!$B$33+0.5*'Sheet1 select'!$B$32)/(('Sheet1 select'!$B$23)/('Sheet1 select'!$B$27+'Sheet1 select'!$B$9))))</f>
        <v>9.0550990517377795E-3</v>
      </c>
      <c r="L249" s="45">
        <f>(F249*$B$28)*(('Sheet1 select'!$B$12+'Sheet1 select'!$B$13)*(0.000000001))*$B$8*1000</f>
        <v>0</v>
      </c>
      <c r="M249" s="45">
        <f t="shared" si="23"/>
        <v>6.481272239439854E-3</v>
      </c>
      <c r="N249" s="46">
        <f>$B$10*'Sheet1 select'!$B$29*0.001</f>
        <v>1.2E-2</v>
      </c>
      <c r="O249" s="44">
        <f>'Sheet1 select'!$B$10*'Sheet1 select'!$B$31*$B$8*1000*0.000000001</f>
        <v>3.0000000000000001E-3</v>
      </c>
      <c r="P249" s="44">
        <f>'Sheet1 select'!$B$35*$B$10*$B$8*1000*0.000000001</f>
        <v>0</v>
      </c>
      <c r="Q249" s="47">
        <f>IF('Sheet1 select'!$B$17=0,0,(0.00000006*0.7+0.00000003*(0.7+F249*1.1*'Sheet1 select'!$B$26))*F249*$B$8*1000)</f>
        <v>0</v>
      </c>
      <c r="R249" s="45">
        <f t="shared" ca="1" si="24"/>
        <v>0.28226721935809473</v>
      </c>
      <c r="S249" s="48">
        <f t="shared" ca="1" si="25"/>
        <v>0.92135067729800268</v>
      </c>
      <c r="T249" s="49">
        <f ca="1">H249+K249+O249+N249+'Sheet1 select'!$B$40*I249+J249+P249</f>
        <v>3.4002480451988226E-2</v>
      </c>
      <c r="U249" s="169">
        <f t="shared" ca="1" si="26"/>
        <v>2.2002480451988226E-2</v>
      </c>
      <c r="V249" s="47">
        <f t="shared" ca="1" si="27"/>
        <v>0</v>
      </c>
    </row>
    <row r="250" spans="5:22">
      <c r="E250" s="32">
        <v>249</v>
      </c>
      <c r="F250" s="45">
        <f t="shared" si="21"/>
        <v>0.66400000000000003</v>
      </c>
      <c r="G250" s="45">
        <f t="shared" si="22"/>
        <v>8.8179200000000013E-2</v>
      </c>
      <c r="H250" s="45">
        <f ca="1">F250*F250*('Sheet1 select'!$B$25)*$B$3</f>
        <v>1.0027763953514046E-2</v>
      </c>
      <c r="I250" s="45">
        <f>F250*(1-$B$3)*'Sheet1 select'!$B$41</f>
        <v>0.15493333333333334</v>
      </c>
      <c r="J250" s="45">
        <f ca="1">F250*F250*('Sheet1 select'!$B$26)*(1-$B$3)</f>
        <v>0</v>
      </c>
      <c r="K250" s="45">
        <f>0.0000005*$B$10*F250*$B$8*((('Sheet1 select'!$B$33+0.5*'Sheet1 select'!$B$32)/(('Sheet1 select'!$B$10-'Sheet1 select'!$B$23)/('Sheet1 select'!$B$27+'Sheet1 select'!$B$8)))+(('Sheet1 select'!$B$33+0.5*'Sheet1 select'!$B$32)/(('Sheet1 select'!$B$23)/('Sheet1 select'!$B$27+'Sheet1 select'!$B$9))))</f>
        <v>9.0916115479141423E-3</v>
      </c>
      <c r="L250" s="45">
        <f>(F250*$B$28)*(('Sheet1 select'!$B$12+'Sheet1 select'!$B$13)*(0.000000001))*$B$8*1000</f>
        <v>0</v>
      </c>
      <c r="M250" s="45">
        <f t="shared" si="23"/>
        <v>6.481272239439854E-3</v>
      </c>
      <c r="N250" s="46">
        <f>$B$10*'Sheet1 select'!$B$29*0.001</f>
        <v>1.2E-2</v>
      </c>
      <c r="O250" s="44">
        <f>'Sheet1 select'!$B$10*'Sheet1 select'!$B$31*$B$8*1000*0.000000001</f>
        <v>3.0000000000000001E-3</v>
      </c>
      <c r="P250" s="44">
        <f>'Sheet1 select'!$B$35*$B$10*$B$8*1000*0.000000001</f>
        <v>0</v>
      </c>
      <c r="Q250" s="47">
        <f>IF('Sheet1 select'!$B$17=0,0,(0.00000006*0.7+0.00000003*(0.7+F250*1.1*'Sheet1 select'!$B$26))*F250*$B$8*1000)</f>
        <v>0</v>
      </c>
      <c r="R250" s="45">
        <f t="shared" ca="1" si="24"/>
        <v>0.2837131810742014</v>
      </c>
      <c r="S250" s="48">
        <f t="shared" ca="1" si="25"/>
        <v>0.92127198619352058</v>
      </c>
      <c r="T250" s="49">
        <f ca="1">H250+K250+O250+N250+'Sheet1 select'!$B$40*I250+J250+P250</f>
        <v>3.4119375501428184E-2</v>
      </c>
      <c r="U250" s="169">
        <f t="shared" ca="1" si="26"/>
        <v>2.2119375501428187E-2</v>
      </c>
      <c r="V250" s="47">
        <f t="shared" ca="1" si="27"/>
        <v>0</v>
      </c>
    </row>
    <row r="251" spans="5:22">
      <c r="E251" s="32">
        <v>250</v>
      </c>
      <c r="F251" s="45">
        <f t="shared" si="21"/>
        <v>0.66666666666666663</v>
      </c>
      <c r="G251" s="45">
        <f t="shared" si="22"/>
        <v>8.8888888888888892E-2</v>
      </c>
      <c r="H251" s="45">
        <f ca="1">F251*F251*('Sheet1 select'!$B$25)*$B$3</f>
        <v>1.0108469977816935E-2</v>
      </c>
      <c r="I251" s="45">
        <f>F251*(1-$B$3)*'Sheet1 select'!$B$41</f>
        <v>0.15555555555555556</v>
      </c>
      <c r="J251" s="45">
        <f ca="1">F251*F251*('Sheet1 select'!$B$26)*(1-$B$3)</f>
        <v>0</v>
      </c>
      <c r="K251" s="45">
        <f>0.0000005*$B$10*F251*$B$8*((('Sheet1 select'!$B$33+0.5*'Sheet1 select'!$B$32)/(('Sheet1 select'!$B$10-'Sheet1 select'!$B$23)/('Sheet1 select'!$B$27+'Sheet1 select'!$B$8)))+(('Sheet1 select'!$B$33+0.5*'Sheet1 select'!$B$32)/(('Sheet1 select'!$B$23)/('Sheet1 select'!$B$27+'Sheet1 select'!$B$9))))</f>
        <v>9.1281240440905034E-3</v>
      </c>
      <c r="L251" s="45">
        <f>(F251*$B$28)*(('Sheet1 select'!$B$12+'Sheet1 select'!$B$13)*(0.000000001))*$B$8*1000</f>
        <v>0</v>
      </c>
      <c r="M251" s="45">
        <f t="shared" si="23"/>
        <v>6.481272239439854E-3</v>
      </c>
      <c r="N251" s="46">
        <f>$B$10*'Sheet1 select'!$B$29*0.001</f>
        <v>1.2E-2</v>
      </c>
      <c r="O251" s="44">
        <f>'Sheet1 select'!$B$10*'Sheet1 select'!$B$31*$B$8*1000*0.000000001</f>
        <v>3.0000000000000001E-3</v>
      </c>
      <c r="P251" s="44">
        <f>'Sheet1 select'!$B$35*$B$10*$B$8*1000*0.000000001</f>
        <v>0</v>
      </c>
      <c r="Q251" s="47">
        <f>IF('Sheet1 select'!$B$17=0,0,(0.00000006*0.7+0.00000003*(0.7+F251*1.1*'Sheet1 select'!$B$26))*F251*$B$8*1000)</f>
        <v>0</v>
      </c>
      <c r="R251" s="45">
        <f t="shared" ca="1" si="24"/>
        <v>0.28516231070579173</v>
      </c>
      <c r="S251" s="48">
        <f t="shared" ca="1" si="25"/>
        <v>0.92119313141206904</v>
      </c>
      <c r="T251" s="49">
        <f ca="1">H251+K251+O251+N251+'Sheet1 select'!$B$40*I251+J251+P251</f>
        <v>3.4236594021907436E-2</v>
      </c>
      <c r="U251" s="169">
        <f t="shared" ca="1" si="26"/>
        <v>2.2236594021907436E-2</v>
      </c>
      <c r="V251" s="47">
        <f t="shared" ca="1" si="27"/>
        <v>0</v>
      </c>
    </row>
    <row r="252" spans="5:22">
      <c r="E252" s="32">
        <v>251</v>
      </c>
      <c r="F252" s="45">
        <f t="shared" si="21"/>
        <v>0.66933333333333334</v>
      </c>
      <c r="G252" s="45">
        <f t="shared" si="22"/>
        <v>8.9601422222222227E-2</v>
      </c>
      <c r="H252" s="45">
        <f ca="1">F252*F252*('Sheet1 select'!$B$25)*$B$3</f>
        <v>1.0189499473159115E-2</v>
      </c>
      <c r="I252" s="45">
        <f>F252*(1-$B$3)*'Sheet1 select'!$B$41</f>
        <v>0.15617777777777775</v>
      </c>
      <c r="J252" s="45">
        <f ca="1">F252*F252*('Sheet1 select'!$B$26)*(1-$B$3)</f>
        <v>0</v>
      </c>
      <c r="K252" s="45">
        <f>0.0000005*$B$10*F252*$B$8*((('Sheet1 select'!$B$33+0.5*'Sheet1 select'!$B$32)/(('Sheet1 select'!$B$10-'Sheet1 select'!$B$23)/('Sheet1 select'!$B$27+'Sheet1 select'!$B$8)))+(('Sheet1 select'!$B$33+0.5*'Sheet1 select'!$B$32)/(('Sheet1 select'!$B$23)/('Sheet1 select'!$B$27+'Sheet1 select'!$B$9))))</f>
        <v>9.1646365402668663E-3</v>
      </c>
      <c r="L252" s="45">
        <f>(F252*$B$28)*(('Sheet1 select'!$B$12+'Sheet1 select'!$B$13)*(0.000000001))*$B$8*1000</f>
        <v>0</v>
      </c>
      <c r="M252" s="45">
        <f t="shared" si="23"/>
        <v>6.481272239439854E-3</v>
      </c>
      <c r="N252" s="46">
        <f>$B$10*'Sheet1 select'!$B$29*0.001</f>
        <v>1.2E-2</v>
      </c>
      <c r="O252" s="44">
        <f>'Sheet1 select'!$B$10*'Sheet1 select'!$B$31*$B$8*1000*0.000000001</f>
        <v>3.0000000000000001E-3</v>
      </c>
      <c r="P252" s="44">
        <f>'Sheet1 select'!$B$35*$B$10*$B$8*1000*0.000000001</f>
        <v>0</v>
      </c>
      <c r="Q252" s="47">
        <f>IF('Sheet1 select'!$B$17=0,0,(0.00000006*0.7+0.00000003*(0.7+F252*1.1*'Sheet1 select'!$B$26))*F252*$B$8*1000)</f>
        <v>0</v>
      </c>
      <c r="R252" s="45">
        <f t="shared" ca="1" si="24"/>
        <v>0.28661460825286583</v>
      </c>
      <c r="S252" s="48">
        <f t="shared" ca="1" si="25"/>
        <v>0.92111411515773334</v>
      </c>
      <c r="T252" s="49">
        <f ca="1">H252+K252+O252+N252+'Sheet1 select'!$B$40*I252+J252+P252</f>
        <v>3.4354136013425983E-2</v>
      </c>
      <c r="U252" s="169">
        <f t="shared" ca="1" si="26"/>
        <v>2.2354136013425983E-2</v>
      </c>
      <c r="V252" s="47">
        <f t="shared" ca="1" si="27"/>
        <v>0</v>
      </c>
    </row>
    <row r="253" spans="5:22">
      <c r="E253" s="32">
        <v>252</v>
      </c>
      <c r="F253" s="45">
        <f t="shared" si="21"/>
        <v>0.67200000000000004</v>
      </c>
      <c r="G253" s="45">
        <f t="shared" si="22"/>
        <v>9.0316800000000017E-2</v>
      </c>
      <c r="H253" s="45">
        <f ca="1">F253*F253*('Sheet1 select'!$B$25)*$B$3</f>
        <v>1.0270852439540587E-2</v>
      </c>
      <c r="I253" s="45">
        <f>F253*(1-$B$3)*'Sheet1 select'!$B$41</f>
        <v>0.15679999999999999</v>
      </c>
      <c r="J253" s="45">
        <f ca="1">F253*F253*('Sheet1 select'!$B$26)*(1-$B$3)</f>
        <v>0</v>
      </c>
      <c r="K253" s="45">
        <f>0.0000005*$B$10*F253*$B$8*((('Sheet1 select'!$B$33+0.5*'Sheet1 select'!$B$32)/(('Sheet1 select'!$B$10-'Sheet1 select'!$B$23)/('Sheet1 select'!$B$27+'Sheet1 select'!$B$8)))+(('Sheet1 select'!$B$33+0.5*'Sheet1 select'!$B$32)/(('Sheet1 select'!$B$23)/('Sheet1 select'!$B$27+'Sheet1 select'!$B$9))))</f>
        <v>9.2011490364432291E-3</v>
      </c>
      <c r="L253" s="45">
        <f>(F253*$B$28)*(('Sheet1 select'!$B$12+'Sheet1 select'!$B$13)*(0.000000001))*$B$8*1000</f>
        <v>0</v>
      </c>
      <c r="M253" s="45">
        <f t="shared" si="23"/>
        <v>6.481272239439854E-3</v>
      </c>
      <c r="N253" s="46">
        <f>$B$10*'Sheet1 select'!$B$29*0.001</f>
        <v>1.2E-2</v>
      </c>
      <c r="O253" s="44">
        <f>'Sheet1 select'!$B$10*'Sheet1 select'!$B$31*$B$8*1000*0.000000001</f>
        <v>3.0000000000000001E-3</v>
      </c>
      <c r="P253" s="44">
        <f>'Sheet1 select'!$B$35*$B$10*$B$8*1000*0.000000001</f>
        <v>0</v>
      </c>
      <c r="Q253" s="47">
        <f>IF('Sheet1 select'!$B$17=0,0,(0.00000006*0.7+0.00000003*(0.7+F253*1.1*'Sheet1 select'!$B$26))*F253*$B$8*1000)</f>
        <v>0</v>
      </c>
      <c r="R253" s="45">
        <f t="shared" ca="1" si="24"/>
        <v>0.2880700737154237</v>
      </c>
      <c r="S253" s="48">
        <f t="shared" ca="1" si="25"/>
        <v>0.92103493959971139</v>
      </c>
      <c r="T253" s="49">
        <f ca="1">H253+K253+O253+N253+'Sheet1 select'!$B$40*I253+J253+P253</f>
        <v>3.4472001475983817E-2</v>
      </c>
      <c r="U253" s="169">
        <f t="shared" ca="1" si="26"/>
        <v>2.2472001475983817E-2</v>
      </c>
      <c r="V253" s="47">
        <f t="shared" ca="1" si="27"/>
        <v>0</v>
      </c>
    </row>
    <row r="254" spans="5:22">
      <c r="E254" s="32">
        <v>253</v>
      </c>
      <c r="F254" s="45">
        <f t="shared" si="21"/>
        <v>0.67466666666666664</v>
      </c>
      <c r="G254" s="45">
        <f t="shared" si="22"/>
        <v>9.1035022222222206E-2</v>
      </c>
      <c r="H254" s="45">
        <f ca="1">F254*F254*('Sheet1 select'!$B$25)*$B$3</f>
        <v>1.0352528876961347E-2</v>
      </c>
      <c r="I254" s="45">
        <f>F254*(1-$B$3)*'Sheet1 select'!$B$41</f>
        <v>0.15742222222222221</v>
      </c>
      <c r="J254" s="45">
        <f ca="1">F254*F254*('Sheet1 select'!$B$26)*(1-$B$3)</f>
        <v>0</v>
      </c>
      <c r="K254" s="45">
        <f>0.0000005*$B$10*F254*$B$8*((('Sheet1 select'!$B$33+0.5*'Sheet1 select'!$B$32)/(('Sheet1 select'!$B$10-'Sheet1 select'!$B$23)/('Sheet1 select'!$B$27+'Sheet1 select'!$B$8)))+(('Sheet1 select'!$B$33+0.5*'Sheet1 select'!$B$32)/(('Sheet1 select'!$B$23)/('Sheet1 select'!$B$27+'Sheet1 select'!$B$9))))</f>
        <v>9.2376615326195902E-3</v>
      </c>
      <c r="L254" s="45">
        <f>(F254*$B$28)*(('Sheet1 select'!$B$12+'Sheet1 select'!$B$13)*(0.000000001))*$B$8*1000</f>
        <v>0</v>
      </c>
      <c r="M254" s="45">
        <f t="shared" si="23"/>
        <v>6.481272239439854E-3</v>
      </c>
      <c r="N254" s="46">
        <f>$B$10*'Sheet1 select'!$B$29*0.001</f>
        <v>1.2E-2</v>
      </c>
      <c r="O254" s="44">
        <f>'Sheet1 select'!$B$10*'Sheet1 select'!$B$31*$B$8*1000*0.000000001</f>
        <v>3.0000000000000001E-3</v>
      </c>
      <c r="P254" s="44">
        <f>'Sheet1 select'!$B$35*$B$10*$B$8*1000*0.000000001</f>
        <v>0</v>
      </c>
      <c r="Q254" s="47">
        <f>IF('Sheet1 select'!$B$17=0,0,(0.00000006*0.7+0.00000003*(0.7+F254*1.1*'Sheet1 select'!$B$26))*F254*$B$8*1000)</f>
        <v>0</v>
      </c>
      <c r="R254" s="45">
        <f t="shared" ca="1" si="24"/>
        <v>0.28952870709346518</v>
      </c>
      <c r="S254" s="48">
        <f t="shared" ca="1" si="25"/>
        <v>0.92095560687299882</v>
      </c>
      <c r="T254" s="49">
        <f ca="1">H254+K254+O254+N254+'Sheet1 select'!$B$40*I254+J254+P254</f>
        <v>3.4590190409580938E-2</v>
      </c>
      <c r="U254" s="169">
        <f t="shared" ca="1" si="26"/>
        <v>2.2590190409580938E-2</v>
      </c>
      <c r="V254" s="47">
        <f t="shared" ca="1" si="27"/>
        <v>0</v>
      </c>
    </row>
    <row r="255" spans="5:22">
      <c r="E255" s="32">
        <v>254</v>
      </c>
      <c r="F255" s="45">
        <f t="shared" si="21"/>
        <v>0.67733333333333334</v>
      </c>
      <c r="G255" s="45">
        <f t="shared" si="22"/>
        <v>9.1756088888888879E-2</v>
      </c>
      <c r="H255" s="45">
        <f ca="1">F255*F255*('Sheet1 select'!$B$25)*$B$3</f>
        <v>1.0434528785421398E-2</v>
      </c>
      <c r="I255" s="45">
        <f>F255*(1-$B$3)*'Sheet1 select'!$B$41</f>
        <v>0.15804444444444443</v>
      </c>
      <c r="J255" s="45">
        <f ca="1">F255*F255*('Sheet1 select'!$B$26)*(1-$B$3)</f>
        <v>0</v>
      </c>
      <c r="K255" s="45">
        <f>0.0000005*$B$10*F255*$B$8*((('Sheet1 select'!$B$33+0.5*'Sheet1 select'!$B$32)/(('Sheet1 select'!$B$10-'Sheet1 select'!$B$23)/('Sheet1 select'!$B$27+'Sheet1 select'!$B$8)))+(('Sheet1 select'!$B$33+0.5*'Sheet1 select'!$B$32)/(('Sheet1 select'!$B$23)/('Sheet1 select'!$B$27+'Sheet1 select'!$B$9))))</f>
        <v>9.2741740287959513E-3</v>
      </c>
      <c r="L255" s="45">
        <f>(F255*$B$28)*(('Sheet1 select'!$B$12+'Sheet1 select'!$B$13)*(0.000000001))*$B$8*1000</f>
        <v>0</v>
      </c>
      <c r="M255" s="45">
        <f t="shared" si="23"/>
        <v>6.481272239439854E-3</v>
      </c>
      <c r="N255" s="46">
        <f>$B$10*'Sheet1 select'!$B$29*0.001</f>
        <v>1.2E-2</v>
      </c>
      <c r="O255" s="44">
        <f>'Sheet1 select'!$B$10*'Sheet1 select'!$B$31*$B$8*1000*0.000000001</f>
        <v>3.0000000000000001E-3</v>
      </c>
      <c r="P255" s="44">
        <f>'Sheet1 select'!$B$35*$B$10*$B$8*1000*0.000000001</f>
        <v>0</v>
      </c>
      <c r="Q255" s="47">
        <f>IF('Sheet1 select'!$B$17=0,0,(0.00000006*0.7+0.00000003*(0.7+F255*1.1*'Sheet1 select'!$B$26))*F255*$B$8*1000)</f>
        <v>0</v>
      </c>
      <c r="R255" s="45">
        <f t="shared" ca="1" si="24"/>
        <v>0.29099050838699048</v>
      </c>
      <c r="S255" s="48">
        <f t="shared" ca="1" si="25"/>
        <v>0.92087611907905875</v>
      </c>
      <c r="T255" s="49">
        <f ca="1">H255+K255+O255+N255+'Sheet1 select'!$B$40*I255+J255+P255</f>
        <v>3.4708702814217347E-2</v>
      </c>
      <c r="U255" s="169">
        <f t="shared" ca="1" si="26"/>
        <v>2.2708702814217347E-2</v>
      </c>
      <c r="V255" s="47">
        <f t="shared" ca="1" si="27"/>
        <v>0</v>
      </c>
    </row>
    <row r="256" spans="5:22">
      <c r="E256" s="32">
        <v>255</v>
      </c>
      <c r="F256" s="45">
        <f t="shared" si="21"/>
        <v>0.68</v>
      </c>
      <c r="G256" s="45">
        <f t="shared" si="22"/>
        <v>9.2480000000000021E-2</v>
      </c>
      <c r="H256" s="45">
        <f ca="1">F256*F256*('Sheet1 select'!$B$25)*$B$3</f>
        <v>1.0516852164920742E-2</v>
      </c>
      <c r="I256" s="45">
        <f>F256*(1-$B$3)*'Sheet1 select'!$B$41</f>
        <v>0.15866666666666668</v>
      </c>
      <c r="J256" s="45">
        <f ca="1">F256*F256*('Sheet1 select'!$B$26)*(1-$B$3)</f>
        <v>0</v>
      </c>
      <c r="K256" s="45">
        <f>0.0000005*$B$10*F256*$B$8*((('Sheet1 select'!$B$33+0.5*'Sheet1 select'!$B$32)/(('Sheet1 select'!$B$10-'Sheet1 select'!$B$23)/('Sheet1 select'!$B$27+'Sheet1 select'!$B$8)))+(('Sheet1 select'!$B$33+0.5*'Sheet1 select'!$B$32)/(('Sheet1 select'!$B$23)/('Sheet1 select'!$B$27+'Sheet1 select'!$B$9))))</f>
        <v>9.3106865249723142E-3</v>
      </c>
      <c r="L256" s="45">
        <f>(F256*$B$28)*(('Sheet1 select'!$B$12+'Sheet1 select'!$B$13)*(0.000000001))*$B$8*1000</f>
        <v>0</v>
      </c>
      <c r="M256" s="45">
        <f t="shared" si="23"/>
        <v>6.481272239439854E-3</v>
      </c>
      <c r="N256" s="46">
        <f>$B$10*'Sheet1 select'!$B$29*0.001</f>
        <v>1.2E-2</v>
      </c>
      <c r="O256" s="44">
        <f>'Sheet1 select'!$B$10*'Sheet1 select'!$B$31*$B$8*1000*0.000000001</f>
        <v>3.0000000000000001E-3</v>
      </c>
      <c r="P256" s="44">
        <f>'Sheet1 select'!$B$35*$B$10*$B$8*1000*0.000000001</f>
        <v>0</v>
      </c>
      <c r="Q256" s="47">
        <f>IF('Sheet1 select'!$B$17=0,0,(0.00000006*0.7+0.00000003*(0.7+F256*1.1*'Sheet1 select'!$B$26))*F256*$B$8*1000)</f>
        <v>0</v>
      </c>
      <c r="R256" s="45">
        <f t="shared" ca="1" si="24"/>
        <v>0.2924554775959996</v>
      </c>
      <c r="S256" s="48">
        <f t="shared" ca="1" si="25"/>
        <v>0.92079647828647493</v>
      </c>
      <c r="T256" s="49">
        <f ca="1">H256+K256+O256+N256+'Sheet1 select'!$B$40*I256+J256+P256</f>
        <v>3.4827538689893058E-2</v>
      </c>
      <c r="U256" s="169">
        <f t="shared" ca="1" si="26"/>
        <v>2.2827538689893057E-2</v>
      </c>
      <c r="V256" s="47">
        <f t="shared" ca="1" si="27"/>
        <v>0</v>
      </c>
    </row>
    <row r="257" spans="5:22">
      <c r="E257" s="32">
        <v>256</v>
      </c>
      <c r="F257" s="45">
        <f t="shared" si="21"/>
        <v>0.68266666666666675</v>
      </c>
      <c r="G257" s="45">
        <f t="shared" si="22"/>
        <v>9.3206755555555576E-2</v>
      </c>
      <c r="H257" s="45">
        <f ca="1">F257*F257*('Sheet1 select'!$B$25)*$B$3</f>
        <v>1.0599499015459373E-2</v>
      </c>
      <c r="I257" s="45">
        <f>F257*(1-$B$3)*'Sheet1 select'!$B$41</f>
        <v>0.1592888888888889</v>
      </c>
      <c r="J257" s="45">
        <f ca="1">F257*F257*('Sheet1 select'!$B$26)*(1-$B$3)</f>
        <v>0</v>
      </c>
      <c r="K257" s="45">
        <f>0.0000005*$B$10*F257*$B$8*((('Sheet1 select'!$B$33+0.5*'Sheet1 select'!$B$32)/(('Sheet1 select'!$B$10-'Sheet1 select'!$B$23)/('Sheet1 select'!$B$27+'Sheet1 select'!$B$8)))+(('Sheet1 select'!$B$33+0.5*'Sheet1 select'!$B$32)/(('Sheet1 select'!$B$23)/('Sheet1 select'!$B$27+'Sheet1 select'!$B$9))))</f>
        <v>9.347199021148677E-3</v>
      </c>
      <c r="L257" s="45">
        <f>(F257*$B$28)*(('Sheet1 select'!$B$12+'Sheet1 select'!$B$13)*(0.000000001))*$B$8*1000</f>
        <v>0</v>
      </c>
      <c r="M257" s="45">
        <f t="shared" si="23"/>
        <v>6.481272239439854E-3</v>
      </c>
      <c r="N257" s="46">
        <f>$B$10*'Sheet1 select'!$B$29*0.001</f>
        <v>1.2E-2</v>
      </c>
      <c r="O257" s="44">
        <f>'Sheet1 select'!$B$10*'Sheet1 select'!$B$31*$B$8*1000*0.000000001</f>
        <v>3.0000000000000001E-3</v>
      </c>
      <c r="P257" s="44">
        <f>'Sheet1 select'!$B$35*$B$10*$B$8*1000*0.000000001</f>
        <v>0</v>
      </c>
      <c r="Q257" s="47">
        <f>IF('Sheet1 select'!$B$17=0,0,(0.00000006*0.7+0.00000003*(0.7+F257*1.1*'Sheet1 select'!$B$26))*F257*$B$8*1000)</f>
        <v>0</v>
      </c>
      <c r="R257" s="45">
        <f t="shared" ca="1" si="24"/>
        <v>0.29392361472049233</v>
      </c>
      <c r="S257" s="48">
        <f t="shared" ca="1" si="25"/>
        <v>0.92071668653159011</v>
      </c>
      <c r="T257" s="49">
        <f ca="1">H257+K257+O257+N257+'Sheet1 select'!$B$40*I257+J257+P257</f>
        <v>3.4946698036608048E-2</v>
      </c>
      <c r="U257" s="169">
        <f t="shared" ca="1" si="26"/>
        <v>2.2946698036608048E-2</v>
      </c>
      <c r="V257" s="47">
        <f t="shared" ca="1" si="27"/>
        <v>0</v>
      </c>
    </row>
    <row r="258" spans="5:22">
      <c r="E258" s="32">
        <v>257</v>
      </c>
      <c r="F258" s="45">
        <f t="shared" ref="F258:F301" si="28">$B$12*E258/300</f>
        <v>0.68533333333333346</v>
      </c>
      <c r="G258" s="45">
        <f t="shared" ref="G258:G301" si="29">F258*F258*$B$14*0.001*2</f>
        <v>9.3936355555555601E-2</v>
      </c>
      <c r="H258" s="45">
        <f ca="1">F258*F258*('Sheet1 select'!$B$25)*$B$3</f>
        <v>1.0682469337037297E-2</v>
      </c>
      <c r="I258" s="45">
        <f>F258*(1-$B$3)*'Sheet1 select'!$B$41</f>
        <v>0.15991111111111111</v>
      </c>
      <c r="J258" s="45">
        <f ca="1">F258*F258*('Sheet1 select'!$B$26)*(1-$B$3)</f>
        <v>0</v>
      </c>
      <c r="K258" s="45">
        <f>0.0000005*$B$10*F258*$B$8*((('Sheet1 select'!$B$33+0.5*'Sheet1 select'!$B$32)/(('Sheet1 select'!$B$10-'Sheet1 select'!$B$23)/('Sheet1 select'!$B$27+'Sheet1 select'!$B$8)))+(('Sheet1 select'!$B$33+0.5*'Sheet1 select'!$B$32)/(('Sheet1 select'!$B$23)/('Sheet1 select'!$B$27+'Sheet1 select'!$B$9))))</f>
        <v>9.3837115173250399E-3</v>
      </c>
      <c r="L258" s="45">
        <f>(F258*$B$28)*(('Sheet1 select'!$B$12+'Sheet1 select'!$B$13)*(0.000000001))*$B$8*1000</f>
        <v>0</v>
      </c>
      <c r="M258" s="45">
        <f t="shared" ref="M258:M301" si="30">($B$2^2)*$B$16*0.001</f>
        <v>6.481272239439854E-3</v>
      </c>
      <c r="N258" s="46">
        <f>$B$10*'Sheet1 select'!$B$29*0.001</f>
        <v>1.2E-2</v>
      </c>
      <c r="O258" s="44">
        <f>'Sheet1 select'!$B$10*'Sheet1 select'!$B$31*$B$8*1000*0.000000001</f>
        <v>3.0000000000000001E-3</v>
      </c>
      <c r="P258" s="44">
        <f>'Sheet1 select'!$B$35*$B$10*$B$8*1000*0.000000001</f>
        <v>0</v>
      </c>
      <c r="Q258" s="47">
        <f>IF('Sheet1 select'!$B$17=0,0,(0.00000006*0.7+0.00000003*(0.7+F258*1.1*'Sheet1 select'!$B$26))*F258*$B$8*1000)</f>
        <v>0</v>
      </c>
      <c r="R258" s="45">
        <f t="shared" ref="R258:R301" ca="1" si="31">SUM(G258:P258)+Q258</f>
        <v>0.29539491976046889</v>
      </c>
      <c r="S258" s="48">
        <f t="shared" ref="S258:S301" ca="1" si="32">($B$11*F258)/($B$11*F258+R258)</f>
        <v>0.92063674581913002</v>
      </c>
      <c r="T258" s="49">
        <f ca="1">H258+K258+O258+N258+'Sheet1 select'!$B$40*I258+J258+P258</f>
        <v>3.5066180854362333E-2</v>
      </c>
      <c r="U258" s="169">
        <f t="shared" ref="U258:U301" ca="1" si="33">H258+K258+O258</f>
        <v>2.3066180854362336E-2</v>
      </c>
      <c r="V258" s="47">
        <f t="shared" ref="V258:V301" ca="1" si="34">J258+P258+Q258</f>
        <v>0</v>
      </c>
    </row>
    <row r="259" spans="5:22">
      <c r="E259" s="32">
        <v>258</v>
      </c>
      <c r="F259" s="45">
        <f t="shared" si="28"/>
        <v>0.68800000000000006</v>
      </c>
      <c r="G259" s="45">
        <f t="shared" si="29"/>
        <v>9.4668800000000025E-2</v>
      </c>
      <c r="H259" s="45">
        <f ca="1">F259*F259*('Sheet1 select'!$B$25)*$B$3</f>
        <v>1.0765763129654505E-2</v>
      </c>
      <c r="I259" s="45">
        <f>F259*(1-$B$3)*'Sheet1 select'!$B$41</f>
        <v>0.16053333333333333</v>
      </c>
      <c r="J259" s="45">
        <f ca="1">F259*F259*('Sheet1 select'!$B$26)*(1-$B$3)</f>
        <v>0</v>
      </c>
      <c r="K259" s="45">
        <f>0.0000005*$B$10*F259*$B$8*((('Sheet1 select'!$B$33+0.5*'Sheet1 select'!$B$32)/(('Sheet1 select'!$B$10-'Sheet1 select'!$B$23)/('Sheet1 select'!$B$27+'Sheet1 select'!$B$8)))+(('Sheet1 select'!$B$33+0.5*'Sheet1 select'!$B$32)/(('Sheet1 select'!$B$23)/('Sheet1 select'!$B$27+'Sheet1 select'!$B$9))))</f>
        <v>9.4202240135013993E-3</v>
      </c>
      <c r="L259" s="45">
        <f>(F259*$B$28)*(('Sheet1 select'!$B$12+'Sheet1 select'!$B$13)*(0.000000001))*$B$8*1000</f>
        <v>0</v>
      </c>
      <c r="M259" s="45">
        <f t="shared" si="30"/>
        <v>6.481272239439854E-3</v>
      </c>
      <c r="N259" s="46">
        <f>$B$10*'Sheet1 select'!$B$29*0.001</f>
        <v>1.2E-2</v>
      </c>
      <c r="O259" s="44">
        <f>'Sheet1 select'!$B$10*'Sheet1 select'!$B$31*$B$8*1000*0.000000001</f>
        <v>3.0000000000000001E-3</v>
      </c>
      <c r="P259" s="44">
        <f>'Sheet1 select'!$B$35*$B$10*$B$8*1000*0.000000001</f>
        <v>0</v>
      </c>
      <c r="Q259" s="47">
        <f>IF('Sheet1 select'!$B$17=0,0,(0.00000006*0.7+0.00000003*(0.7+F259*1.1*'Sheet1 select'!$B$26))*F259*$B$8*1000)</f>
        <v>0</v>
      </c>
      <c r="R259" s="45">
        <f t="shared" ca="1" si="31"/>
        <v>0.2968693927159291</v>
      </c>
      <c r="S259" s="48">
        <f t="shared" ca="1" si="32"/>
        <v>0.92055665812281262</v>
      </c>
      <c r="T259" s="49">
        <f ca="1">H259+K259+O259+N259+'Sheet1 select'!$B$40*I259+J259+P259</f>
        <v>3.5185987143155906E-2</v>
      </c>
      <c r="U259" s="169">
        <f t="shared" ca="1" si="33"/>
        <v>2.3185987143155905E-2</v>
      </c>
      <c r="V259" s="47">
        <f t="shared" ca="1" si="34"/>
        <v>0</v>
      </c>
    </row>
    <row r="260" spans="5:22">
      <c r="E260" s="32">
        <v>259</v>
      </c>
      <c r="F260" s="45">
        <f t="shared" si="28"/>
        <v>0.69066666666666676</v>
      </c>
      <c r="G260" s="45">
        <f t="shared" si="29"/>
        <v>9.5404088888888919E-2</v>
      </c>
      <c r="H260" s="45">
        <f ca="1">F260*F260*('Sheet1 select'!$B$25)*$B$3</f>
        <v>1.0849380393311008E-2</v>
      </c>
      <c r="I260" s="45">
        <f>F260*(1-$B$3)*'Sheet1 select'!$B$41</f>
        <v>0.16115555555555558</v>
      </c>
      <c r="J260" s="45">
        <f ca="1">F260*F260*('Sheet1 select'!$B$26)*(1-$B$3)</f>
        <v>0</v>
      </c>
      <c r="K260" s="45">
        <f>0.0000005*$B$10*F260*$B$8*((('Sheet1 select'!$B$33+0.5*'Sheet1 select'!$B$32)/(('Sheet1 select'!$B$10-'Sheet1 select'!$B$23)/('Sheet1 select'!$B$27+'Sheet1 select'!$B$8)))+(('Sheet1 select'!$B$33+0.5*'Sheet1 select'!$B$32)/(('Sheet1 select'!$B$23)/('Sheet1 select'!$B$27+'Sheet1 select'!$B$9))))</f>
        <v>9.4567365096777621E-3</v>
      </c>
      <c r="L260" s="45">
        <f>(F260*$B$28)*(('Sheet1 select'!$B$12+'Sheet1 select'!$B$13)*(0.000000001))*$B$8*1000</f>
        <v>0</v>
      </c>
      <c r="M260" s="45">
        <f t="shared" si="30"/>
        <v>6.481272239439854E-3</v>
      </c>
      <c r="N260" s="46">
        <f>$B$10*'Sheet1 select'!$B$29*0.001</f>
        <v>1.2E-2</v>
      </c>
      <c r="O260" s="44">
        <f>'Sheet1 select'!$B$10*'Sheet1 select'!$B$31*$B$8*1000*0.000000001</f>
        <v>3.0000000000000001E-3</v>
      </c>
      <c r="P260" s="44">
        <f>'Sheet1 select'!$B$35*$B$10*$B$8*1000*0.000000001</f>
        <v>0</v>
      </c>
      <c r="Q260" s="47">
        <f>IF('Sheet1 select'!$B$17=0,0,(0.00000006*0.7+0.00000003*(0.7+F260*1.1*'Sheet1 select'!$B$26))*F260*$B$8*1000)</f>
        <v>0</v>
      </c>
      <c r="R260" s="45">
        <f t="shared" ca="1" si="31"/>
        <v>0.29834703358687314</v>
      </c>
      <c r="S260" s="48">
        <f t="shared" ca="1" si="32"/>
        <v>0.92047642538594265</v>
      </c>
      <c r="T260" s="49">
        <f ca="1">H260+K260+O260+N260+'Sheet1 select'!$B$40*I260+J260+P260</f>
        <v>3.5306116902988766E-2</v>
      </c>
      <c r="U260" s="169">
        <f t="shared" ca="1" si="33"/>
        <v>2.3306116902988769E-2</v>
      </c>
      <c r="V260" s="47">
        <f t="shared" ca="1" si="34"/>
        <v>0</v>
      </c>
    </row>
    <row r="261" spans="5:22">
      <c r="E261" s="32">
        <v>260</v>
      </c>
      <c r="F261" s="45">
        <f t="shared" si="28"/>
        <v>0.69333333333333336</v>
      </c>
      <c r="G261" s="45">
        <f t="shared" si="29"/>
        <v>9.6142222222222226E-2</v>
      </c>
      <c r="H261" s="45">
        <f ca="1">F261*F261*('Sheet1 select'!$B$25)*$B$3</f>
        <v>1.0933321128006799E-2</v>
      </c>
      <c r="I261" s="45">
        <f>F261*(1-$B$3)*'Sheet1 select'!$B$41</f>
        <v>0.16177777777777777</v>
      </c>
      <c r="J261" s="45">
        <f ca="1">F261*F261*('Sheet1 select'!$B$26)*(1-$B$3)</f>
        <v>0</v>
      </c>
      <c r="K261" s="45">
        <f>0.0000005*$B$10*F261*$B$8*((('Sheet1 select'!$B$33+0.5*'Sheet1 select'!$B$32)/(('Sheet1 select'!$B$10-'Sheet1 select'!$B$23)/('Sheet1 select'!$B$27+'Sheet1 select'!$B$8)))+(('Sheet1 select'!$B$33+0.5*'Sheet1 select'!$B$32)/(('Sheet1 select'!$B$23)/('Sheet1 select'!$B$27+'Sheet1 select'!$B$9))))</f>
        <v>9.4932490058541232E-3</v>
      </c>
      <c r="L261" s="45">
        <f>(F261*$B$28)*(('Sheet1 select'!$B$12+'Sheet1 select'!$B$13)*(0.000000001))*$B$8*1000</f>
        <v>0</v>
      </c>
      <c r="M261" s="45">
        <f t="shared" si="30"/>
        <v>6.481272239439854E-3</v>
      </c>
      <c r="N261" s="46">
        <f>$B$10*'Sheet1 select'!$B$29*0.001</f>
        <v>1.2E-2</v>
      </c>
      <c r="O261" s="44">
        <f>'Sheet1 select'!$B$10*'Sheet1 select'!$B$31*$B$8*1000*0.000000001</f>
        <v>3.0000000000000001E-3</v>
      </c>
      <c r="P261" s="44">
        <f>'Sheet1 select'!$B$35*$B$10*$B$8*1000*0.000000001</f>
        <v>0</v>
      </c>
      <c r="Q261" s="47">
        <f>IF('Sheet1 select'!$B$17=0,0,(0.00000006*0.7+0.00000003*(0.7+F261*1.1*'Sheet1 select'!$B$26))*F261*$B$8*1000)</f>
        <v>0</v>
      </c>
      <c r="R261" s="45">
        <f t="shared" ca="1" si="31"/>
        <v>0.29982784237330079</v>
      </c>
      <c r="S261" s="48">
        <f t="shared" ca="1" si="32"/>
        <v>0.9203960495219935</v>
      </c>
      <c r="T261" s="49">
        <f ca="1">H261+K261+O261+N261+'Sheet1 select'!$B$40*I261+J261+P261</f>
        <v>3.542657013386092E-2</v>
      </c>
      <c r="U261" s="169">
        <f t="shared" ca="1" si="33"/>
        <v>2.342657013386092E-2</v>
      </c>
      <c r="V261" s="47">
        <f t="shared" ca="1" si="34"/>
        <v>0</v>
      </c>
    </row>
    <row r="262" spans="5:22">
      <c r="E262" s="32">
        <v>261</v>
      </c>
      <c r="F262" s="45">
        <f t="shared" si="28"/>
        <v>0.69600000000000006</v>
      </c>
      <c r="G262" s="45">
        <f t="shared" si="29"/>
        <v>9.6883200000000017E-2</v>
      </c>
      <c r="H262" s="45">
        <f ca="1">F262*F262*('Sheet1 select'!$B$25)*$B$3</f>
        <v>1.1017585333741879E-2</v>
      </c>
      <c r="I262" s="45">
        <f>F262*(1-$B$3)*'Sheet1 select'!$B$41</f>
        <v>0.16239999999999999</v>
      </c>
      <c r="J262" s="45">
        <f ca="1">F262*F262*('Sheet1 select'!$B$26)*(1-$B$3)</f>
        <v>0</v>
      </c>
      <c r="K262" s="45">
        <f>0.0000005*$B$10*F262*$B$8*((('Sheet1 select'!$B$33+0.5*'Sheet1 select'!$B$32)/(('Sheet1 select'!$B$10-'Sheet1 select'!$B$23)/('Sheet1 select'!$B$27+'Sheet1 select'!$B$8)))+(('Sheet1 select'!$B$33+0.5*'Sheet1 select'!$B$32)/(('Sheet1 select'!$B$23)/('Sheet1 select'!$B$27+'Sheet1 select'!$B$9))))</f>
        <v>9.5297615020304861E-3</v>
      </c>
      <c r="L262" s="45">
        <f>(F262*$B$28)*(('Sheet1 select'!$B$12+'Sheet1 select'!$B$13)*(0.000000001))*$B$8*1000</f>
        <v>0</v>
      </c>
      <c r="M262" s="45">
        <f t="shared" si="30"/>
        <v>6.481272239439854E-3</v>
      </c>
      <c r="N262" s="46">
        <f>$B$10*'Sheet1 select'!$B$29*0.001</f>
        <v>1.2E-2</v>
      </c>
      <c r="O262" s="44">
        <f>'Sheet1 select'!$B$10*'Sheet1 select'!$B$31*$B$8*1000*0.000000001</f>
        <v>3.0000000000000001E-3</v>
      </c>
      <c r="P262" s="44">
        <f>'Sheet1 select'!$B$35*$B$10*$B$8*1000*0.000000001</f>
        <v>0</v>
      </c>
      <c r="Q262" s="47">
        <f>IF('Sheet1 select'!$B$17=0,0,(0.00000006*0.7+0.00000003*(0.7+F262*1.1*'Sheet1 select'!$B$26))*F262*$B$8*1000)</f>
        <v>0</v>
      </c>
      <c r="R262" s="45">
        <f t="shared" ca="1" si="31"/>
        <v>0.30131181907521226</v>
      </c>
      <c r="S262" s="48">
        <f t="shared" ca="1" si="32"/>
        <v>0.92031553241517561</v>
      </c>
      <c r="T262" s="49">
        <f ca="1">H262+K262+O262+N262+'Sheet1 select'!$B$40*I262+J262+P262</f>
        <v>3.5547346835772362E-2</v>
      </c>
      <c r="U262" s="169">
        <f t="shared" ca="1" si="33"/>
        <v>2.3547346835772365E-2</v>
      </c>
      <c r="V262" s="47">
        <f t="shared" ca="1" si="34"/>
        <v>0</v>
      </c>
    </row>
    <row r="263" spans="5:22">
      <c r="E263" s="32">
        <v>262</v>
      </c>
      <c r="F263" s="45">
        <f t="shared" si="28"/>
        <v>0.69866666666666677</v>
      </c>
      <c r="G263" s="45">
        <f t="shared" si="29"/>
        <v>9.7627022222222248E-2</v>
      </c>
      <c r="H263" s="45">
        <f ca="1">F263*F263*('Sheet1 select'!$B$25)*$B$3</f>
        <v>1.1102173010516254E-2</v>
      </c>
      <c r="I263" s="45">
        <f>F263*(1-$B$3)*'Sheet1 select'!$B$41</f>
        <v>0.16302222222222224</v>
      </c>
      <c r="J263" s="45">
        <f ca="1">F263*F263*('Sheet1 select'!$B$26)*(1-$B$3)</f>
        <v>0</v>
      </c>
      <c r="K263" s="45">
        <f>0.0000005*$B$10*F263*$B$8*((('Sheet1 select'!$B$33+0.5*'Sheet1 select'!$B$32)/(('Sheet1 select'!$B$10-'Sheet1 select'!$B$23)/('Sheet1 select'!$B$27+'Sheet1 select'!$B$8)))+(('Sheet1 select'!$B$33+0.5*'Sheet1 select'!$B$32)/(('Sheet1 select'!$B$23)/('Sheet1 select'!$B$27+'Sheet1 select'!$B$9))))</f>
        <v>9.5662739982068489E-3</v>
      </c>
      <c r="L263" s="45">
        <f>(F263*$B$28)*(('Sheet1 select'!$B$12+'Sheet1 select'!$B$13)*(0.000000001))*$B$8*1000</f>
        <v>0</v>
      </c>
      <c r="M263" s="45">
        <f t="shared" si="30"/>
        <v>6.481272239439854E-3</v>
      </c>
      <c r="N263" s="46">
        <f>$B$10*'Sheet1 select'!$B$29*0.001</f>
        <v>1.2E-2</v>
      </c>
      <c r="O263" s="44">
        <f>'Sheet1 select'!$B$10*'Sheet1 select'!$B$31*$B$8*1000*0.000000001</f>
        <v>3.0000000000000001E-3</v>
      </c>
      <c r="P263" s="44">
        <f>'Sheet1 select'!$B$35*$B$10*$B$8*1000*0.000000001</f>
        <v>0</v>
      </c>
      <c r="Q263" s="47">
        <f>IF('Sheet1 select'!$B$17=0,0,(0.00000006*0.7+0.00000003*(0.7+F263*1.1*'Sheet1 select'!$B$26))*F263*$B$8*1000)</f>
        <v>0</v>
      </c>
      <c r="R263" s="45">
        <f t="shared" ca="1" si="31"/>
        <v>0.30279896369260745</v>
      </c>
      <c r="S263" s="48">
        <f t="shared" ca="1" si="32"/>
        <v>0.92023487592099107</v>
      </c>
      <c r="T263" s="49">
        <f ca="1">H263+K263+O263+N263+'Sheet1 select'!$B$40*I263+J263+P263</f>
        <v>3.5668447008723105E-2</v>
      </c>
      <c r="U263" s="169">
        <f t="shared" ca="1" si="33"/>
        <v>2.3668447008723104E-2</v>
      </c>
      <c r="V263" s="47">
        <f t="shared" ca="1" si="34"/>
        <v>0</v>
      </c>
    </row>
    <row r="264" spans="5:22">
      <c r="E264" s="32">
        <v>263</v>
      </c>
      <c r="F264" s="45">
        <f t="shared" si="28"/>
        <v>0.70133333333333336</v>
      </c>
      <c r="G264" s="45">
        <f t="shared" si="29"/>
        <v>9.8373688888888894E-2</v>
      </c>
      <c r="H264" s="45">
        <f ca="1">F264*F264*('Sheet1 select'!$B$25)*$B$3</f>
        <v>1.1187084158329915E-2</v>
      </c>
      <c r="I264" s="45">
        <f>F264*(1-$B$3)*'Sheet1 select'!$B$41</f>
        <v>0.16364444444444445</v>
      </c>
      <c r="J264" s="45">
        <f ca="1">F264*F264*('Sheet1 select'!$B$26)*(1-$B$3)</f>
        <v>0</v>
      </c>
      <c r="K264" s="45">
        <f>0.0000005*$B$10*F264*$B$8*((('Sheet1 select'!$B$33+0.5*'Sheet1 select'!$B$32)/(('Sheet1 select'!$B$10-'Sheet1 select'!$B$23)/('Sheet1 select'!$B$27+'Sheet1 select'!$B$8)))+(('Sheet1 select'!$B$33+0.5*'Sheet1 select'!$B$32)/(('Sheet1 select'!$B$23)/('Sheet1 select'!$B$27+'Sheet1 select'!$B$9))))</f>
        <v>9.60278649438321E-3</v>
      </c>
      <c r="L264" s="45">
        <f>(F264*$B$28)*(('Sheet1 select'!$B$12+'Sheet1 select'!$B$13)*(0.000000001))*$B$8*1000</f>
        <v>0</v>
      </c>
      <c r="M264" s="45">
        <f t="shared" si="30"/>
        <v>6.481272239439854E-3</v>
      </c>
      <c r="N264" s="46">
        <f>$B$10*'Sheet1 select'!$B$29*0.001</f>
        <v>1.2E-2</v>
      </c>
      <c r="O264" s="44">
        <f>'Sheet1 select'!$B$10*'Sheet1 select'!$B$31*$B$8*1000*0.000000001</f>
        <v>3.0000000000000001E-3</v>
      </c>
      <c r="P264" s="44">
        <f>'Sheet1 select'!$B$35*$B$10*$B$8*1000*0.000000001</f>
        <v>0</v>
      </c>
      <c r="Q264" s="47">
        <f>IF('Sheet1 select'!$B$17=0,0,(0.00000006*0.7+0.00000003*(0.7+F264*1.1*'Sheet1 select'!$B$26))*F264*$B$8*1000)</f>
        <v>0</v>
      </c>
      <c r="R264" s="45">
        <f t="shared" ca="1" si="31"/>
        <v>0.30428927622548635</v>
      </c>
      <c r="S264" s="48">
        <f t="shared" ca="1" si="32"/>
        <v>0.92015408186677705</v>
      </c>
      <c r="T264" s="49">
        <f ca="1">H264+K264+O264+N264+'Sheet1 select'!$B$40*I264+J264+P264</f>
        <v>3.5789870652713121E-2</v>
      </c>
      <c r="U264" s="169">
        <f t="shared" ca="1" si="33"/>
        <v>2.3789870652713124E-2</v>
      </c>
      <c r="V264" s="47">
        <f t="shared" ca="1" si="34"/>
        <v>0</v>
      </c>
    </row>
    <row r="265" spans="5:22">
      <c r="E265" s="32">
        <v>264</v>
      </c>
      <c r="F265" s="45">
        <f t="shared" si="28"/>
        <v>0.70400000000000007</v>
      </c>
      <c r="G265" s="45">
        <f t="shared" si="29"/>
        <v>9.9123200000000022E-2</v>
      </c>
      <c r="H265" s="45">
        <f ca="1">F265*F265*('Sheet1 select'!$B$25)*$B$3</f>
        <v>1.1272318777182868E-2</v>
      </c>
      <c r="I265" s="45">
        <f>F265*(1-$B$3)*'Sheet1 select'!$B$41</f>
        <v>0.16426666666666667</v>
      </c>
      <c r="J265" s="45">
        <f ca="1">F265*F265*('Sheet1 select'!$B$26)*(1-$B$3)</f>
        <v>0</v>
      </c>
      <c r="K265" s="45">
        <f>0.0000005*$B$10*F265*$B$8*((('Sheet1 select'!$B$33+0.5*'Sheet1 select'!$B$32)/(('Sheet1 select'!$B$10-'Sheet1 select'!$B$23)/('Sheet1 select'!$B$27+'Sheet1 select'!$B$8)))+(('Sheet1 select'!$B$33+0.5*'Sheet1 select'!$B$32)/(('Sheet1 select'!$B$23)/('Sheet1 select'!$B$27+'Sheet1 select'!$B$9))))</f>
        <v>9.6392989905595729E-3</v>
      </c>
      <c r="L265" s="45">
        <f>(F265*$B$28)*(('Sheet1 select'!$B$12+'Sheet1 select'!$B$13)*(0.000000001))*$B$8*1000</f>
        <v>0</v>
      </c>
      <c r="M265" s="45">
        <f t="shared" si="30"/>
        <v>6.481272239439854E-3</v>
      </c>
      <c r="N265" s="46">
        <f>$B$10*'Sheet1 select'!$B$29*0.001</f>
        <v>1.2E-2</v>
      </c>
      <c r="O265" s="44">
        <f>'Sheet1 select'!$B$10*'Sheet1 select'!$B$31*$B$8*1000*0.000000001</f>
        <v>3.0000000000000001E-3</v>
      </c>
      <c r="P265" s="44">
        <f>'Sheet1 select'!$B$35*$B$10*$B$8*1000*0.000000001</f>
        <v>0</v>
      </c>
      <c r="Q265" s="47">
        <f>IF('Sheet1 select'!$B$17=0,0,(0.00000006*0.7+0.00000003*(0.7+F265*1.1*'Sheet1 select'!$B$26))*F265*$B$8*1000)</f>
        <v>0</v>
      </c>
      <c r="R265" s="45">
        <f t="shared" ca="1" si="31"/>
        <v>0.30578275667384902</v>
      </c>
      <c r="S265" s="48">
        <f t="shared" ca="1" si="32"/>
        <v>0.92007315205223572</v>
      </c>
      <c r="T265" s="49">
        <f ca="1">H265+K265+O265+N265+'Sheet1 select'!$B$40*I265+J265+P265</f>
        <v>3.5911617767742439E-2</v>
      </c>
      <c r="U265" s="169">
        <f t="shared" ca="1" si="33"/>
        <v>2.3911617767742439E-2</v>
      </c>
      <c r="V265" s="47">
        <f t="shared" ca="1" si="34"/>
        <v>0</v>
      </c>
    </row>
    <row r="266" spans="5:22">
      <c r="E266" s="32">
        <v>265</v>
      </c>
      <c r="F266" s="45">
        <f t="shared" si="28"/>
        <v>0.70666666666666667</v>
      </c>
      <c r="G266" s="45">
        <f t="shared" si="29"/>
        <v>9.9875555555555551E-2</v>
      </c>
      <c r="H266" s="45">
        <f ca="1">F266*F266*('Sheet1 select'!$B$25)*$B$3</f>
        <v>1.1357876867075107E-2</v>
      </c>
      <c r="I266" s="45">
        <f>F266*(1-$B$3)*'Sheet1 select'!$B$41</f>
        <v>0.16488888888888886</v>
      </c>
      <c r="J266" s="45">
        <f ca="1">F266*F266*('Sheet1 select'!$B$26)*(1-$B$3)</f>
        <v>0</v>
      </c>
      <c r="K266" s="45">
        <f>0.0000005*$B$10*F266*$B$8*((('Sheet1 select'!$B$33+0.5*'Sheet1 select'!$B$32)/(('Sheet1 select'!$B$10-'Sheet1 select'!$B$23)/('Sheet1 select'!$B$27+'Sheet1 select'!$B$8)))+(('Sheet1 select'!$B$33+0.5*'Sheet1 select'!$B$32)/(('Sheet1 select'!$B$23)/('Sheet1 select'!$B$27+'Sheet1 select'!$B$9))))</f>
        <v>9.675811486735934E-3</v>
      </c>
      <c r="L266" s="45">
        <f>(F266*$B$28)*(('Sheet1 select'!$B$12+'Sheet1 select'!$B$13)*(0.000000001))*$B$8*1000</f>
        <v>0</v>
      </c>
      <c r="M266" s="45">
        <f t="shared" si="30"/>
        <v>6.481272239439854E-3</v>
      </c>
      <c r="N266" s="46">
        <f>$B$10*'Sheet1 select'!$B$29*0.001</f>
        <v>1.2E-2</v>
      </c>
      <c r="O266" s="44">
        <f>'Sheet1 select'!$B$10*'Sheet1 select'!$B$31*$B$8*1000*0.000000001</f>
        <v>3.0000000000000001E-3</v>
      </c>
      <c r="P266" s="44">
        <f>'Sheet1 select'!$B$35*$B$10*$B$8*1000*0.000000001</f>
        <v>0</v>
      </c>
      <c r="Q266" s="47">
        <f>IF('Sheet1 select'!$B$17=0,0,(0.00000006*0.7+0.00000003*(0.7+F266*1.1*'Sheet1 select'!$B$26))*F266*$B$8*1000)</f>
        <v>0</v>
      </c>
      <c r="R266" s="45">
        <f t="shared" ca="1" si="31"/>
        <v>0.3072794050376953</v>
      </c>
      <c r="S266" s="48">
        <f t="shared" ca="1" si="32"/>
        <v>0.91999208824995304</v>
      </c>
      <c r="T266" s="49">
        <f ca="1">H266+K266+O266+N266+'Sheet1 select'!$B$40*I266+J266+P266</f>
        <v>3.6033688353811044E-2</v>
      </c>
      <c r="U266" s="169">
        <f t="shared" ca="1" si="33"/>
        <v>2.403368835381104E-2</v>
      </c>
      <c r="V266" s="47">
        <f t="shared" ca="1" si="34"/>
        <v>0</v>
      </c>
    </row>
    <row r="267" spans="5:22">
      <c r="E267" s="32">
        <v>266</v>
      </c>
      <c r="F267" s="45">
        <f t="shared" si="28"/>
        <v>0.70933333333333337</v>
      </c>
      <c r="G267" s="45">
        <f t="shared" si="29"/>
        <v>0.10063075555555556</v>
      </c>
      <c r="H267" s="45">
        <f ca="1">F267*F267*('Sheet1 select'!$B$25)*$B$3</f>
        <v>1.1443758428006642E-2</v>
      </c>
      <c r="I267" s="45">
        <f>F267*(1-$B$3)*'Sheet1 select'!$B$41</f>
        <v>0.16551111111111111</v>
      </c>
      <c r="J267" s="45">
        <f ca="1">F267*F267*('Sheet1 select'!$B$26)*(1-$B$3)</f>
        <v>0</v>
      </c>
      <c r="K267" s="45">
        <f>0.0000005*$B$10*F267*$B$8*((('Sheet1 select'!$B$33+0.5*'Sheet1 select'!$B$32)/(('Sheet1 select'!$B$10-'Sheet1 select'!$B$23)/('Sheet1 select'!$B$27+'Sheet1 select'!$B$8)))+(('Sheet1 select'!$B$33+0.5*'Sheet1 select'!$B$32)/(('Sheet1 select'!$B$23)/('Sheet1 select'!$B$27+'Sheet1 select'!$B$9))))</f>
        <v>9.7123239829122968E-3</v>
      </c>
      <c r="L267" s="45">
        <f>(F267*$B$28)*(('Sheet1 select'!$B$12+'Sheet1 select'!$B$13)*(0.000000001))*$B$8*1000</f>
        <v>0</v>
      </c>
      <c r="M267" s="45">
        <f t="shared" si="30"/>
        <v>6.481272239439854E-3</v>
      </c>
      <c r="N267" s="46">
        <f>$B$10*'Sheet1 select'!$B$29*0.001</f>
        <v>1.2E-2</v>
      </c>
      <c r="O267" s="44">
        <f>'Sheet1 select'!$B$10*'Sheet1 select'!$B$31*$B$8*1000*0.000000001</f>
        <v>3.0000000000000001E-3</v>
      </c>
      <c r="P267" s="44">
        <f>'Sheet1 select'!$B$35*$B$10*$B$8*1000*0.000000001</f>
        <v>0</v>
      </c>
      <c r="Q267" s="47">
        <f>IF('Sheet1 select'!$B$17=0,0,(0.00000006*0.7+0.00000003*(0.7+F267*1.1*'Sheet1 select'!$B$26))*F267*$B$8*1000)</f>
        <v>0</v>
      </c>
      <c r="R267" s="45">
        <f t="shared" ca="1" si="31"/>
        <v>0.30877922131702545</v>
      </c>
      <c r="S267" s="48">
        <f t="shared" ca="1" si="32"/>
        <v>0.91991089220590516</v>
      </c>
      <c r="T267" s="49">
        <f ca="1">H267+K267+O267+N267+'Sheet1 select'!$B$40*I267+J267+P267</f>
        <v>3.6156082410918937E-2</v>
      </c>
      <c r="U267" s="169">
        <f t="shared" ca="1" si="33"/>
        <v>2.4156082410918937E-2</v>
      </c>
      <c r="V267" s="47">
        <f t="shared" ca="1" si="34"/>
        <v>0</v>
      </c>
    </row>
    <row r="268" spans="5:22">
      <c r="E268" s="32">
        <v>267</v>
      </c>
      <c r="F268" s="45">
        <f t="shared" si="28"/>
        <v>0.71200000000000008</v>
      </c>
      <c r="G268" s="45">
        <f t="shared" si="29"/>
        <v>0.10138880000000002</v>
      </c>
      <c r="H268" s="45">
        <f ca="1">F268*F268*('Sheet1 select'!$B$25)*$B$3</f>
        <v>1.1529963459977467E-2</v>
      </c>
      <c r="I268" s="45">
        <f>F268*(1-$B$3)*'Sheet1 select'!$B$41</f>
        <v>0.16613333333333336</v>
      </c>
      <c r="J268" s="45">
        <f ca="1">F268*F268*('Sheet1 select'!$B$26)*(1-$B$3)</f>
        <v>0</v>
      </c>
      <c r="K268" s="45">
        <f>0.0000005*$B$10*F268*$B$8*((('Sheet1 select'!$B$33+0.5*'Sheet1 select'!$B$32)/(('Sheet1 select'!$B$10-'Sheet1 select'!$B$23)/('Sheet1 select'!$B$27+'Sheet1 select'!$B$8)))+(('Sheet1 select'!$B$33+0.5*'Sheet1 select'!$B$32)/(('Sheet1 select'!$B$23)/('Sheet1 select'!$B$27+'Sheet1 select'!$B$9))))</f>
        <v>9.7488364790886597E-3</v>
      </c>
      <c r="L268" s="45">
        <f>(F268*$B$28)*(('Sheet1 select'!$B$12+'Sheet1 select'!$B$13)*(0.000000001))*$B$8*1000</f>
        <v>0</v>
      </c>
      <c r="M268" s="45">
        <f t="shared" si="30"/>
        <v>6.481272239439854E-3</v>
      </c>
      <c r="N268" s="46">
        <f>$B$10*'Sheet1 select'!$B$29*0.001</f>
        <v>1.2E-2</v>
      </c>
      <c r="O268" s="44">
        <f>'Sheet1 select'!$B$10*'Sheet1 select'!$B$31*$B$8*1000*0.000000001</f>
        <v>3.0000000000000001E-3</v>
      </c>
      <c r="P268" s="44">
        <f>'Sheet1 select'!$B$35*$B$10*$B$8*1000*0.000000001</f>
        <v>0</v>
      </c>
      <c r="Q268" s="47">
        <f>IF('Sheet1 select'!$B$17=0,0,(0.00000006*0.7+0.00000003*(0.7+F268*1.1*'Sheet1 select'!$B$26))*F268*$B$8*1000)</f>
        <v>0</v>
      </c>
      <c r="R268" s="45">
        <f t="shared" ca="1" si="31"/>
        <v>0.31028220551183933</v>
      </c>
      <c r="S268" s="48">
        <f t="shared" ca="1" si="32"/>
        <v>0.91982956563995444</v>
      </c>
      <c r="T268" s="49">
        <f ca="1">H268+K268+O268+N268+'Sheet1 select'!$B$40*I268+J268+P268</f>
        <v>3.6278799939066124E-2</v>
      </c>
      <c r="U268" s="169">
        <f t="shared" ca="1" si="33"/>
        <v>2.4278799939066124E-2</v>
      </c>
      <c r="V268" s="47">
        <f t="shared" ca="1" si="34"/>
        <v>0</v>
      </c>
    </row>
    <row r="269" spans="5:22">
      <c r="E269" s="32">
        <v>268</v>
      </c>
      <c r="F269" s="45">
        <f t="shared" si="28"/>
        <v>0.71466666666666667</v>
      </c>
      <c r="G269" s="45">
        <f t="shared" si="29"/>
        <v>0.1021496888888889</v>
      </c>
      <c r="H269" s="45">
        <f ca="1">F269*F269*('Sheet1 select'!$B$25)*$B$3</f>
        <v>1.1616491962987576E-2</v>
      </c>
      <c r="I269" s="45">
        <f>F269*(1-$B$3)*'Sheet1 select'!$B$41</f>
        <v>0.16675555555555555</v>
      </c>
      <c r="J269" s="45">
        <f ca="1">F269*F269*('Sheet1 select'!$B$26)*(1-$B$3)</f>
        <v>0</v>
      </c>
      <c r="K269" s="45">
        <f>0.0000005*$B$10*F269*$B$8*((('Sheet1 select'!$B$33+0.5*'Sheet1 select'!$B$32)/(('Sheet1 select'!$B$10-'Sheet1 select'!$B$23)/('Sheet1 select'!$B$27+'Sheet1 select'!$B$8)))+(('Sheet1 select'!$B$33+0.5*'Sheet1 select'!$B$32)/(('Sheet1 select'!$B$23)/('Sheet1 select'!$B$27+'Sheet1 select'!$B$9))))</f>
        <v>9.7853489752650208E-3</v>
      </c>
      <c r="L269" s="45">
        <f>(F269*$B$28)*(('Sheet1 select'!$B$12+'Sheet1 select'!$B$13)*(0.000000001))*$B$8*1000</f>
        <v>0</v>
      </c>
      <c r="M269" s="45">
        <f t="shared" si="30"/>
        <v>6.481272239439854E-3</v>
      </c>
      <c r="N269" s="46">
        <f>$B$10*'Sheet1 select'!$B$29*0.001</f>
        <v>1.2E-2</v>
      </c>
      <c r="O269" s="44">
        <f>'Sheet1 select'!$B$10*'Sheet1 select'!$B$31*$B$8*1000*0.000000001</f>
        <v>3.0000000000000001E-3</v>
      </c>
      <c r="P269" s="44">
        <f>'Sheet1 select'!$B$35*$B$10*$B$8*1000*0.000000001</f>
        <v>0</v>
      </c>
      <c r="Q269" s="47">
        <f>IF('Sheet1 select'!$B$17=0,0,(0.00000006*0.7+0.00000003*(0.7+F269*1.1*'Sheet1 select'!$B$26))*F269*$B$8*1000)</f>
        <v>0</v>
      </c>
      <c r="R269" s="45">
        <f t="shared" ca="1" si="31"/>
        <v>0.31178835762213686</v>
      </c>
      <c r="S269" s="48">
        <f t="shared" ca="1" si="32"/>
        <v>0.91974811024633352</v>
      </c>
      <c r="T269" s="49">
        <f ca="1">H269+K269+O269+N269+'Sheet1 select'!$B$40*I269+J269+P269</f>
        <v>3.6401840938252598E-2</v>
      </c>
      <c r="U269" s="169">
        <f t="shared" ca="1" si="33"/>
        <v>2.4401840938252598E-2</v>
      </c>
      <c r="V269" s="47">
        <f t="shared" ca="1" si="34"/>
        <v>0</v>
      </c>
    </row>
    <row r="270" spans="5:22">
      <c r="E270" s="32">
        <v>269</v>
      </c>
      <c r="F270" s="45">
        <f t="shared" si="28"/>
        <v>0.71733333333333338</v>
      </c>
      <c r="G270" s="45">
        <f t="shared" si="29"/>
        <v>0.10291342222222225</v>
      </c>
      <c r="H270" s="45">
        <f ca="1">F270*F270*('Sheet1 select'!$B$25)*$B$3</f>
        <v>1.1703343937036982E-2</v>
      </c>
      <c r="I270" s="45">
        <f>F270*(1-$B$3)*'Sheet1 select'!$B$41</f>
        <v>0.16737777777777776</v>
      </c>
      <c r="J270" s="45">
        <f ca="1">F270*F270*('Sheet1 select'!$B$26)*(1-$B$3)</f>
        <v>0</v>
      </c>
      <c r="K270" s="45">
        <f>0.0000005*$B$10*F270*$B$8*((('Sheet1 select'!$B$33+0.5*'Sheet1 select'!$B$32)/(('Sheet1 select'!$B$10-'Sheet1 select'!$B$23)/('Sheet1 select'!$B$27+'Sheet1 select'!$B$8)))+(('Sheet1 select'!$B$33+0.5*'Sheet1 select'!$B$32)/(('Sheet1 select'!$B$23)/('Sheet1 select'!$B$27+'Sheet1 select'!$B$9))))</f>
        <v>9.8218614714413836E-3</v>
      </c>
      <c r="L270" s="45">
        <f>(F270*$B$28)*(('Sheet1 select'!$B$12+'Sheet1 select'!$B$13)*(0.000000001))*$B$8*1000</f>
        <v>0</v>
      </c>
      <c r="M270" s="45">
        <f t="shared" si="30"/>
        <v>6.481272239439854E-3</v>
      </c>
      <c r="N270" s="46">
        <f>$B$10*'Sheet1 select'!$B$29*0.001</f>
        <v>1.2E-2</v>
      </c>
      <c r="O270" s="44">
        <f>'Sheet1 select'!$B$10*'Sheet1 select'!$B$31*$B$8*1000*0.000000001</f>
        <v>3.0000000000000001E-3</v>
      </c>
      <c r="P270" s="44">
        <f>'Sheet1 select'!$B$35*$B$10*$B$8*1000*0.000000001</f>
        <v>0</v>
      </c>
      <c r="Q270" s="47">
        <f>IF('Sheet1 select'!$B$17=0,0,(0.00000006*0.7+0.00000003*(0.7+F270*1.1*'Sheet1 select'!$B$26))*F270*$B$8*1000)</f>
        <v>0</v>
      </c>
      <c r="R270" s="45">
        <f t="shared" ca="1" si="31"/>
        <v>0.31329767764791822</v>
      </c>
      <c r="S270" s="48">
        <f t="shared" ca="1" si="32"/>
        <v>0.91966652769411927</v>
      </c>
      <c r="T270" s="49">
        <f ca="1">H270+K270+O270+N270+'Sheet1 select'!$B$40*I270+J270+P270</f>
        <v>3.6525205408478367E-2</v>
      </c>
      <c r="U270" s="169">
        <f t="shared" ca="1" si="33"/>
        <v>2.4525205408478367E-2</v>
      </c>
      <c r="V270" s="47">
        <f t="shared" ca="1" si="34"/>
        <v>0</v>
      </c>
    </row>
    <row r="271" spans="5:22">
      <c r="E271" s="32">
        <v>270</v>
      </c>
      <c r="F271" s="45">
        <f t="shared" si="28"/>
        <v>0.72</v>
      </c>
      <c r="G271" s="45">
        <f t="shared" si="29"/>
        <v>0.10367999999999999</v>
      </c>
      <c r="H271" s="45">
        <f ca="1">F271*F271*('Sheet1 select'!$B$25)*$B$3</f>
        <v>1.1790519382125672E-2</v>
      </c>
      <c r="I271" s="45">
        <f>F271*(1-$B$3)*'Sheet1 select'!$B$41</f>
        <v>0.16799999999999998</v>
      </c>
      <c r="J271" s="45">
        <f ca="1">F271*F271*('Sheet1 select'!$B$26)*(1-$B$3)</f>
        <v>0</v>
      </c>
      <c r="K271" s="45">
        <f>0.0000005*$B$10*F271*$B$8*((('Sheet1 select'!$B$33+0.5*'Sheet1 select'!$B$32)/(('Sheet1 select'!$B$10-'Sheet1 select'!$B$23)/('Sheet1 select'!$B$27+'Sheet1 select'!$B$8)))+(('Sheet1 select'!$B$33+0.5*'Sheet1 select'!$B$32)/(('Sheet1 select'!$B$23)/('Sheet1 select'!$B$27+'Sheet1 select'!$B$9))))</f>
        <v>9.8583739676177447E-3</v>
      </c>
      <c r="L271" s="45">
        <f>(F271*$B$28)*(('Sheet1 select'!$B$12+'Sheet1 select'!$B$13)*(0.000000001))*$B$8*1000</f>
        <v>0</v>
      </c>
      <c r="M271" s="45">
        <f t="shared" si="30"/>
        <v>6.481272239439854E-3</v>
      </c>
      <c r="N271" s="46">
        <f>$B$10*'Sheet1 select'!$B$29*0.001</f>
        <v>1.2E-2</v>
      </c>
      <c r="O271" s="44">
        <f>'Sheet1 select'!$B$10*'Sheet1 select'!$B$31*$B$8*1000*0.000000001</f>
        <v>3.0000000000000001E-3</v>
      </c>
      <c r="P271" s="44">
        <f>'Sheet1 select'!$B$35*$B$10*$B$8*1000*0.000000001</f>
        <v>0</v>
      </c>
      <c r="Q271" s="47">
        <f>IF('Sheet1 select'!$B$17=0,0,(0.00000006*0.7+0.00000003*(0.7+F271*1.1*'Sheet1 select'!$B$26))*F271*$B$8*1000)</f>
        <v>0</v>
      </c>
      <c r="R271" s="45">
        <f t="shared" ca="1" si="31"/>
        <v>0.31481016558918323</v>
      </c>
      <c r="S271" s="48">
        <f t="shared" ca="1" si="32"/>
        <v>0.919584819627696</v>
      </c>
      <c r="T271" s="49">
        <f ca="1">H271+K271+O271+N271+'Sheet1 select'!$B$40*I271+J271+P271</f>
        <v>3.6648893349743417E-2</v>
      </c>
      <c r="U271" s="169">
        <f t="shared" ca="1" si="33"/>
        <v>2.4648893349743416E-2</v>
      </c>
      <c r="V271" s="47">
        <f t="shared" ca="1" si="34"/>
        <v>0</v>
      </c>
    </row>
    <row r="272" spans="5:22">
      <c r="E272" s="32">
        <v>271</v>
      </c>
      <c r="F272" s="45">
        <f t="shared" si="28"/>
        <v>0.72266666666666668</v>
      </c>
      <c r="G272" s="45">
        <f t="shared" si="29"/>
        <v>0.10444942222222223</v>
      </c>
      <c r="H272" s="45">
        <f ca="1">F272*F272*('Sheet1 select'!$B$25)*$B$3</f>
        <v>1.1878018298253657E-2</v>
      </c>
      <c r="I272" s="45">
        <f>F272*(1-$B$3)*'Sheet1 select'!$B$41</f>
        <v>0.16862222222222223</v>
      </c>
      <c r="J272" s="45">
        <f ca="1">F272*F272*('Sheet1 select'!$B$26)*(1-$B$3)</f>
        <v>0</v>
      </c>
      <c r="K272" s="45">
        <f>0.0000005*$B$10*F272*$B$8*((('Sheet1 select'!$B$33+0.5*'Sheet1 select'!$B$32)/(('Sheet1 select'!$B$10-'Sheet1 select'!$B$23)/('Sheet1 select'!$B$27+'Sheet1 select'!$B$8)))+(('Sheet1 select'!$B$33+0.5*'Sheet1 select'!$B$32)/(('Sheet1 select'!$B$23)/('Sheet1 select'!$B$27+'Sheet1 select'!$B$9))))</f>
        <v>9.8948864637941059E-3</v>
      </c>
      <c r="L272" s="45">
        <f>(F272*$B$28)*(('Sheet1 select'!$B$12+'Sheet1 select'!$B$13)*(0.000000001))*$B$8*1000</f>
        <v>0</v>
      </c>
      <c r="M272" s="45">
        <f t="shared" si="30"/>
        <v>6.481272239439854E-3</v>
      </c>
      <c r="N272" s="46">
        <f>$B$10*'Sheet1 select'!$B$29*0.001</f>
        <v>1.2E-2</v>
      </c>
      <c r="O272" s="44">
        <f>'Sheet1 select'!$B$10*'Sheet1 select'!$B$31*$B$8*1000*0.000000001</f>
        <v>3.0000000000000001E-3</v>
      </c>
      <c r="P272" s="44">
        <f>'Sheet1 select'!$B$35*$B$10*$B$8*1000*0.000000001</f>
        <v>0</v>
      </c>
      <c r="Q272" s="47">
        <f>IF('Sheet1 select'!$B$17=0,0,(0.00000006*0.7+0.00000003*(0.7+F272*1.1*'Sheet1 select'!$B$26))*F272*$B$8*1000)</f>
        <v>0</v>
      </c>
      <c r="R272" s="45">
        <f t="shared" ca="1" si="31"/>
        <v>0.31632582144593208</v>
      </c>
      <c r="S272" s="48">
        <f t="shared" ca="1" si="32"/>
        <v>0.91950298766720884</v>
      </c>
      <c r="T272" s="49">
        <f ca="1">H272+K272+O272+N272+'Sheet1 select'!$B$40*I272+J272+P272</f>
        <v>3.677290476204776E-2</v>
      </c>
      <c r="U272" s="169">
        <f t="shared" ca="1" si="33"/>
        <v>2.477290476204776E-2</v>
      </c>
      <c r="V272" s="47">
        <f t="shared" ca="1" si="34"/>
        <v>0</v>
      </c>
    </row>
    <row r="273" spans="5:22">
      <c r="E273" s="32">
        <v>272</v>
      </c>
      <c r="F273" s="45">
        <f t="shared" si="28"/>
        <v>0.72533333333333339</v>
      </c>
      <c r="G273" s="45">
        <f t="shared" si="29"/>
        <v>0.1052216888888889</v>
      </c>
      <c r="H273" s="45">
        <f ca="1">F273*F273*('Sheet1 select'!$B$25)*$B$3</f>
        <v>1.1965840685420932E-2</v>
      </c>
      <c r="I273" s="45">
        <f>F273*(1-$B$3)*'Sheet1 select'!$B$41</f>
        <v>0.16924444444444445</v>
      </c>
      <c r="J273" s="45">
        <f ca="1">F273*F273*('Sheet1 select'!$B$26)*(1-$B$3)</f>
        <v>0</v>
      </c>
      <c r="K273" s="45">
        <f>0.0000005*$B$10*F273*$B$8*((('Sheet1 select'!$B$33+0.5*'Sheet1 select'!$B$32)/(('Sheet1 select'!$B$10-'Sheet1 select'!$B$23)/('Sheet1 select'!$B$27+'Sheet1 select'!$B$8)))+(('Sheet1 select'!$B$33+0.5*'Sheet1 select'!$B$32)/(('Sheet1 select'!$B$23)/('Sheet1 select'!$B$27+'Sheet1 select'!$B$9))))</f>
        <v>9.9313989599704687E-3</v>
      </c>
      <c r="L273" s="45">
        <f>(F273*$B$28)*(('Sheet1 select'!$B$12+'Sheet1 select'!$B$13)*(0.000000001))*$B$8*1000</f>
        <v>0</v>
      </c>
      <c r="M273" s="45">
        <f t="shared" si="30"/>
        <v>6.481272239439854E-3</v>
      </c>
      <c r="N273" s="46">
        <f>$B$10*'Sheet1 select'!$B$29*0.001</f>
        <v>1.2E-2</v>
      </c>
      <c r="O273" s="44">
        <f>'Sheet1 select'!$B$10*'Sheet1 select'!$B$31*$B$8*1000*0.000000001</f>
        <v>3.0000000000000001E-3</v>
      </c>
      <c r="P273" s="44">
        <f>'Sheet1 select'!$B$35*$B$10*$B$8*1000*0.000000001</f>
        <v>0</v>
      </c>
      <c r="Q273" s="47">
        <f>IF('Sheet1 select'!$B$17=0,0,(0.00000006*0.7+0.00000003*(0.7+F273*1.1*'Sheet1 select'!$B$26))*F273*$B$8*1000)</f>
        <v>0</v>
      </c>
      <c r="R273" s="45">
        <f t="shared" ca="1" si="31"/>
        <v>0.31784464521816463</v>
      </c>
      <c r="S273" s="48">
        <f t="shared" ca="1" si="32"/>
        <v>0.91942103340900627</v>
      </c>
      <c r="T273" s="49">
        <f ca="1">H273+K273+O273+N273+'Sheet1 select'!$B$40*I273+J273+P273</f>
        <v>3.6897239645391398E-2</v>
      </c>
      <c r="U273" s="169">
        <f t="shared" ca="1" si="33"/>
        <v>2.4897239645391398E-2</v>
      </c>
      <c r="V273" s="47">
        <f t="shared" ca="1" si="34"/>
        <v>0</v>
      </c>
    </row>
    <row r="274" spans="5:22">
      <c r="E274" s="32">
        <v>273</v>
      </c>
      <c r="F274" s="45">
        <f t="shared" si="28"/>
        <v>0.72799999999999998</v>
      </c>
      <c r="G274" s="45">
        <f t="shared" si="29"/>
        <v>0.10599680000000002</v>
      </c>
      <c r="H274" s="45">
        <f ca="1">F274*F274*('Sheet1 select'!$B$25)*$B$3</f>
        <v>1.2053986543627495E-2</v>
      </c>
      <c r="I274" s="45">
        <f>F274*(1-$B$3)*'Sheet1 select'!$B$41</f>
        <v>0.16986666666666664</v>
      </c>
      <c r="J274" s="45">
        <f ca="1">F274*F274*('Sheet1 select'!$B$26)*(1-$B$3)</f>
        <v>0</v>
      </c>
      <c r="K274" s="45">
        <f>0.0000005*$B$10*F274*$B$8*((('Sheet1 select'!$B$33+0.5*'Sheet1 select'!$B$32)/(('Sheet1 select'!$B$10-'Sheet1 select'!$B$23)/('Sheet1 select'!$B$27+'Sheet1 select'!$B$8)))+(('Sheet1 select'!$B$33+0.5*'Sheet1 select'!$B$32)/(('Sheet1 select'!$B$23)/('Sheet1 select'!$B$27+'Sheet1 select'!$B$9))))</f>
        <v>9.9679114561468316E-3</v>
      </c>
      <c r="L274" s="45">
        <f>(F274*$B$28)*(('Sheet1 select'!$B$12+'Sheet1 select'!$B$13)*(0.000000001))*$B$8*1000</f>
        <v>0</v>
      </c>
      <c r="M274" s="45">
        <f t="shared" si="30"/>
        <v>6.481272239439854E-3</v>
      </c>
      <c r="N274" s="46">
        <f>$B$10*'Sheet1 select'!$B$29*0.001</f>
        <v>1.2E-2</v>
      </c>
      <c r="O274" s="44">
        <f>'Sheet1 select'!$B$10*'Sheet1 select'!$B$31*$B$8*1000*0.000000001</f>
        <v>3.0000000000000001E-3</v>
      </c>
      <c r="P274" s="44">
        <f>'Sheet1 select'!$B$35*$B$10*$B$8*1000*0.000000001</f>
        <v>0</v>
      </c>
      <c r="Q274" s="47">
        <f>IF('Sheet1 select'!$B$17=0,0,(0.00000006*0.7+0.00000003*(0.7+F274*1.1*'Sheet1 select'!$B$26))*F274*$B$8*1000)</f>
        <v>0</v>
      </c>
      <c r="R274" s="45">
        <f t="shared" ca="1" si="31"/>
        <v>0.31936663690588085</v>
      </c>
      <c r="S274" s="48">
        <f t="shared" ca="1" si="32"/>
        <v>0.91933895842607394</v>
      </c>
      <c r="T274" s="49">
        <f ca="1">H274+K274+O274+N274+'Sheet1 select'!$B$40*I274+J274+P274</f>
        <v>3.7021897999774324E-2</v>
      </c>
      <c r="U274" s="169">
        <f t="shared" ca="1" si="33"/>
        <v>2.5021897999774324E-2</v>
      </c>
      <c r="V274" s="47">
        <f t="shared" ca="1" si="34"/>
        <v>0</v>
      </c>
    </row>
    <row r="275" spans="5:22">
      <c r="E275" s="32">
        <v>274</v>
      </c>
      <c r="F275" s="45">
        <f t="shared" si="28"/>
        <v>0.73066666666666669</v>
      </c>
      <c r="G275" s="45">
        <f t="shared" si="29"/>
        <v>0.10677475555555556</v>
      </c>
      <c r="H275" s="45">
        <f ca="1">F275*F275*('Sheet1 select'!$B$25)*$B$3</f>
        <v>1.2142455872873348E-2</v>
      </c>
      <c r="I275" s="45">
        <f>F275*(1-$B$3)*'Sheet1 select'!$B$41</f>
        <v>0.17048888888888888</v>
      </c>
      <c r="J275" s="45">
        <f ca="1">F275*F275*('Sheet1 select'!$B$26)*(1-$B$3)</f>
        <v>0</v>
      </c>
      <c r="K275" s="45">
        <f>0.0000005*$B$10*F275*$B$8*((('Sheet1 select'!$B$33+0.5*'Sheet1 select'!$B$32)/(('Sheet1 select'!$B$10-'Sheet1 select'!$B$23)/('Sheet1 select'!$B$27+'Sheet1 select'!$B$8)))+(('Sheet1 select'!$B$33+0.5*'Sheet1 select'!$B$32)/(('Sheet1 select'!$B$23)/('Sheet1 select'!$B$27+'Sheet1 select'!$B$9))))</f>
        <v>1.0004423952323191E-2</v>
      </c>
      <c r="L275" s="45">
        <f>(F275*$B$28)*(('Sheet1 select'!$B$12+'Sheet1 select'!$B$13)*(0.000000001))*$B$8*1000</f>
        <v>0</v>
      </c>
      <c r="M275" s="45">
        <f t="shared" si="30"/>
        <v>6.481272239439854E-3</v>
      </c>
      <c r="N275" s="46">
        <f>$B$10*'Sheet1 select'!$B$29*0.001</f>
        <v>1.2E-2</v>
      </c>
      <c r="O275" s="44">
        <f>'Sheet1 select'!$B$10*'Sheet1 select'!$B$31*$B$8*1000*0.000000001</f>
        <v>3.0000000000000001E-3</v>
      </c>
      <c r="P275" s="44">
        <f>'Sheet1 select'!$B$35*$B$10*$B$8*1000*0.000000001</f>
        <v>0</v>
      </c>
      <c r="Q275" s="47">
        <f>IF('Sheet1 select'!$B$17=0,0,(0.00000006*0.7+0.00000003*(0.7+F275*1.1*'Sheet1 select'!$B$26))*F275*$B$8*1000)</f>
        <v>0</v>
      </c>
      <c r="R275" s="45">
        <f t="shared" ca="1" si="31"/>
        <v>0.32089179650908084</v>
      </c>
      <c r="S275" s="48">
        <f t="shared" ca="1" si="32"/>
        <v>0.91925676426845881</v>
      </c>
      <c r="T275" s="49">
        <f ca="1">H275+K275+O275+N275+'Sheet1 select'!$B$40*I275+J275+P275</f>
        <v>3.7146879825196537E-2</v>
      </c>
      <c r="U275" s="169">
        <f t="shared" ca="1" si="33"/>
        <v>2.5146879825196537E-2</v>
      </c>
      <c r="V275" s="47">
        <f t="shared" ca="1" si="34"/>
        <v>0</v>
      </c>
    </row>
    <row r="276" spans="5:22">
      <c r="E276" s="32">
        <v>275</v>
      </c>
      <c r="F276" s="45">
        <f t="shared" si="28"/>
        <v>0.73333333333333328</v>
      </c>
      <c r="G276" s="45">
        <f t="shared" si="29"/>
        <v>0.10755555555555554</v>
      </c>
      <c r="H276" s="45">
        <f ca="1">F276*F276*('Sheet1 select'!$B$25)*$B$3</f>
        <v>1.2231248673158491E-2</v>
      </c>
      <c r="I276" s="45">
        <f>F276*(1-$B$3)*'Sheet1 select'!$B$41</f>
        <v>0.1711111111111111</v>
      </c>
      <c r="J276" s="45">
        <f ca="1">F276*F276*('Sheet1 select'!$B$26)*(1-$B$3)</f>
        <v>0</v>
      </c>
      <c r="K276" s="45">
        <f>0.0000005*$B$10*F276*$B$8*((('Sheet1 select'!$B$33+0.5*'Sheet1 select'!$B$32)/(('Sheet1 select'!$B$10-'Sheet1 select'!$B$23)/('Sheet1 select'!$B$27+'Sheet1 select'!$B$8)))+(('Sheet1 select'!$B$33+0.5*'Sheet1 select'!$B$32)/(('Sheet1 select'!$B$23)/('Sheet1 select'!$B$27+'Sheet1 select'!$B$9))))</f>
        <v>1.0040936448499554E-2</v>
      </c>
      <c r="L276" s="45">
        <f>(F276*$B$28)*(('Sheet1 select'!$B$12+'Sheet1 select'!$B$13)*(0.000000001))*$B$8*1000</f>
        <v>0</v>
      </c>
      <c r="M276" s="45">
        <f t="shared" si="30"/>
        <v>6.481272239439854E-3</v>
      </c>
      <c r="N276" s="46">
        <f>$B$10*'Sheet1 select'!$B$29*0.001</f>
        <v>1.2E-2</v>
      </c>
      <c r="O276" s="44">
        <f>'Sheet1 select'!$B$10*'Sheet1 select'!$B$31*$B$8*1000*0.000000001</f>
        <v>3.0000000000000001E-3</v>
      </c>
      <c r="P276" s="44">
        <f>'Sheet1 select'!$B$35*$B$10*$B$8*1000*0.000000001</f>
        <v>0</v>
      </c>
      <c r="Q276" s="47">
        <f>IF('Sheet1 select'!$B$17=0,0,(0.00000006*0.7+0.00000003*(0.7+F276*1.1*'Sheet1 select'!$B$26))*F276*$B$8*1000)</f>
        <v>0</v>
      </c>
      <c r="R276" s="45">
        <f t="shared" ca="1" si="31"/>
        <v>0.32242012402776454</v>
      </c>
      <c r="S276" s="48">
        <f t="shared" ca="1" si="32"/>
        <v>0.91917445246368357</v>
      </c>
      <c r="T276" s="49">
        <f ca="1">H276+K276+O276+N276+'Sheet1 select'!$B$40*I276+J276+P276</f>
        <v>3.7272185121658044E-2</v>
      </c>
      <c r="U276" s="169">
        <f t="shared" ca="1" si="33"/>
        <v>2.5272185121658044E-2</v>
      </c>
      <c r="V276" s="47">
        <f t="shared" ca="1" si="34"/>
        <v>0</v>
      </c>
    </row>
    <row r="277" spans="5:22">
      <c r="E277" s="32">
        <v>276</v>
      </c>
      <c r="F277" s="45">
        <f t="shared" si="28"/>
        <v>0.73599999999999999</v>
      </c>
      <c r="G277" s="45">
        <f t="shared" si="29"/>
        <v>0.1083392</v>
      </c>
      <c r="H277" s="45">
        <f ca="1">F277*F277*('Sheet1 select'!$B$25)*$B$3</f>
        <v>1.2320364944482924E-2</v>
      </c>
      <c r="I277" s="45">
        <f>F277*(1-$B$3)*'Sheet1 select'!$B$41</f>
        <v>0.17173333333333332</v>
      </c>
      <c r="J277" s="45">
        <f ca="1">F277*F277*('Sheet1 select'!$B$26)*(1-$B$3)</f>
        <v>0</v>
      </c>
      <c r="K277" s="45">
        <f>0.0000005*$B$10*F277*$B$8*((('Sheet1 select'!$B$33+0.5*'Sheet1 select'!$B$32)/(('Sheet1 select'!$B$10-'Sheet1 select'!$B$23)/('Sheet1 select'!$B$27+'Sheet1 select'!$B$8)))+(('Sheet1 select'!$B$33+0.5*'Sheet1 select'!$B$32)/(('Sheet1 select'!$B$23)/('Sheet1 select'!$B$27+'Sheet1 select'!$B$9))))</f>
        <v>1.0077448944675917E-2</v>
      </c>
      <c r="L277" s="45">
        <f>(F277*$B$28)*(('Sheet1 select'!$B$12+'Sheet1 select'!$B$13)*(0.000000001))*$B$8*1000</f>
        <v>0</v>
      </c>
      <c r="M277" s="45">
        <f t="shared" si="30"/>
        <v>6.481272239439854E-3</v>
      </c>
      <c r="N277" s="46">
        <f>$B$10*'Sheet1 select'!$B$29*0.001</f>
        <v>1.2E-2</v>
      </c>
      <c r="O277" s="44">
        <f>'Sheet1 select'!$B$10*'Sheet1 select'!$B$31*$B$8*1000*0.000000001</f>
        <v>3.0000000000000001E-3</v>
      </c>
      <c r="P277" s="44">
        <f>'Sheet1 select'!$B$35*$B$10*$B$8*1000*0.000000001</f>
        <v>0</v>
      </c>
      <c r="Q277" s="47">
        <f>IF('Sheet1 select'!$B$17=0,0,(0.00000006*0.7+0.00000003*(0.7+F277*1.1*'Sheet1 select'!$B$26))*F277*$B$8*1000)</f>
        <v>0</v>
      </c>
      <c r="R277" s="45">
        <f t="shared" ca="1" si="31"/>
        <v>0.32395161946193202</v>
      </c>
      <c r="S277" s="48">
        <f t="shared" ca="1" si="32"/>
        <v>0.91909202451715299</v>
      </c>
      <c r="T277" s="49">
        <f ca="1">H277+K277+O277+N277+'Sheet1 select'!$B$40*I277+J277+P277</f>
        <v>3.7397813889158839E-2</v>
      </c>
      <c r="U277" s="169">
        <f t="shared" ca="1" si="33"/>
        <v>2.5397813889158839E-2</v>
      </c>
      <c r="V277" s="47">
        <f t="shared" ca="1" si="34"/>
        <v>0</v>
      </c>
    </row>
    <row r="278" spans="5:22">
      <c r="E278" s="32">
        <v>277</v>
      </c>
      <c r="F278" s="45">
        <f t="shared" si="28"/>
        <v>0.73866666666666669</v>
      </c>
      <c r="G278" s="45">
        <f t="shared" si="29"/>
        <v>0.10912568888888889</v>
      </c>
      <c r="H278" s="45">
        <f ca="1">F278*F278*('Sheet1 select'!$B$25)*$B$3</f>
        <v>1.2409804686846651E-2</v>
      </c>
      <c r="I278" s="45">
        <f>F278*(1-$B$3)*'Sheet1 select'!$B$41</f>
        <v>0.17235555555555557</v>
      </c>
      <c r="J278" s="45">
        <f ca="1">F278*F278*('Sheet1 select'!$B$26)*(1-$B$3)</f>
        <v>0</v>
      </c>
      <c r="K278" s="45">
        <f>0.0000005*$B$10*F278*$B$8*((('Sheet1 select'!$B$33+0.5*'Sheet1 select'!$B$32)/(('Sheet1 select'!$B$10-'Sheet1 select'!$B$23)/('Sheet1 select'!$B$27+'Sheet1 select'!$B$8)))+(('Sheet1 select'!$B$33+0.5*'Sheet1 select'!$B$32)/(('Sheet1 select'!$B$23)/('Sheet1 select'!$B$27+'Sheet1 select'!$B$9))))</f>
        <v>1.0113961440852278E-2</v>
      </c>
      <c r="L278" s="45">
        <f>(F278*$B$28)*(('Sheet1 select'!$B$12+'Sheet1 select'!$B$13)*(0.000000001))*$B$8*1000</f>
        <v>0</v>
      </c>
      <c r="M278" s="45">
        <f t="shared" si="30"/>
        <v>6.481272239439854E-3</v>
      </c>
      <c r="N278" s="46">
        <f>$B$10*'Sheet1 select'!$B$29*0.001</f>
        <v>1.2E-2</v>
      </c>
      <c r="O278" s="44">
        <f>'Sheet1 select'!$B$10*'Sheet1 select'!$B$31*$B$8*1000*0.000000001</f>
        <v>3.0000000000000001E-3</v>
      </c>
      <c r="P278" s="44">
        <f>'Sheet1 select'!$B$35*$B$10*$B$8*1000*0.000000001</f>
        <v>0</v>
      </c>
      <c r="Q278" s="47">
        <f>IF('Sheet1 select'!$B$17=0,0,(0.00000006*0.7+0.00000003*(0.7+F278*1.1*'Sheet1 select'!$B$26))*F278*$B$8*1000)</f>
        <v>0</v>
      </c>
      <c r="R278" s="45">
        <f t="shared" ca="1" si="31"/>
        <v>0.32548628281158326</v>
      </c>
      <c r="S278" s="48">
        <f t="shared" ca="1" si="32"/>
        <v>0.91900948191255005</v>
      </c>
      <c r="T278" s="49">
        <f ca="1">H278+K278+O278+N278+'Sheet1 select'!$B$40*I278+J278+P278</f>
        <v>3.7523766127698928E-2</v>
      </c>
      <c r="U278" s="169">
        <f t="shared" ca="1" si="33"/>
        <v>2.5523766127698928E-2</v>
      </c>
      <c r="V278" s="47">
        <f t="shared" ca="1" si="34"/>
        <v>0</v>
      </c>
    </row>
    <row r="279" spans="5:22">
      <c r="E279" s="32">
        <v>278</v>
      </c>
      <c r="F279" s="45">
        <f t="shared" si="28"/>
        <v>0.7413333333333334</v>
      </c>
      <c r="G279" s="45">
        <f t="shared" si="29"/>
        <v>0.10991502222222226</v>
      </c>
      <c r="H279" s="45">
        <f ca="1">F279*F279*('Sheet1 select'!$B$25)*$B$3</f>
        <v>1.2499567900249668E-2</v>
      </c>
      <c r="I279" s="45">
        <f>F279*(1-$B$3)*'Sheet1 select'!$B$41</f>
        <v>0.17297777777777779</v>
      </c>
      <c r="J279" s="45">
        <f ca="1">F279*F279*('Sheet1 select'!$B$26)*(1-$B$3)</f>
        <v>0</v>
      </c>
      <c r="K279" s="45">
        <f>0.0000005*$B$10*F279*$B$8*((('Sheet1 select'!$B$33+0.5*'Sheet1 select'!$B$32)/(('Sheet1 select'!$B$10-'Sheet1 select'!$B$23)/('Sheet1 select'!$B$27+'Sheet1 select'!$B$8)))+(('Sheet1 select'!$B$33+0.5*'Sheet1 select'!$B$32)/(('Sheet1 select'!$B$23)/('Sheet1 select'!$B$27+'Sheet1 select'!$B$9))))</f>
        <v>1.0150473937028641E-2</v>
      </c>
      <c r="L279" s="45">
        <f>(F279*$B$28)*(('Sheet1 select'!$B$12+'Sheet1 select'!$B$13)*(0.000000001))*$B$8*1000</f>
        <v>0</v>
      </c>
      <c r="M279" s="45">
        <f t="shared" si="30"/>
        <v>6.481272239439854E-3</v>
      </c>
      <c r="N279" s="46">
        <f>$B$10*'Sheet1 select'!$B$29*0.001</f>
        <v>1.2E-2</v>
      </c>
      <c r="O279" s="44">
        <f>'Sheet1 select'!$B$10*'Sheet1 select'!$B$31*$B$8*1000*0.000000001</f>
        <v>3.0000000000000001E-3</v>
      </c>
      <c r="P279" s="44">
        <f>'Sheet1 select'!$B$35*$B$10*$B$8*1000*0.000000001</f>
        <v>0</v>
      </c>
      <c r="Q279" s="47">
        <f>IF('Sheet1 select'!$B$17=0,0,(0.00000006*0.7+0.00000003*(0.7+F279*1.1*'Sheet1 select'!$B$26))*F279*$B$8*1000)</f>
        <v>0</v>
      </c>
      <c r="R279" s="45">
        <f t="shared" ca="1" si="31"/>
        <v>0.32702411407671816</v>
      </c>
      <c r="S279" s="48">
        <f t="shared" ca="1" si="32"/>
        <v>0.9189268261122262</v>
      </c>
      <c r="T279" s="49">
        <f ca="1">H279+K279+O279+N279+'Sheet1 select'!$B$40*I279+J279+P279</f>
        <v>3.7650041837278311E-2</v>
      </c>
      <c r="U279" s="169">
        <f t="shared" ca="1" si="33"/>
        <v>2.5650041837278308E-2</v>
      </c>
      <c r="V279" s="47">
        <f t="shared" ca="1" si="34"/>
        <v>0</v>
      </c>
    </row>
    <row r="280" spans="5:22">
      <c r="E280" s="32">
        <v>279</v>
      </c>
      <c r="F280" s="45">
        <f t="shared" si="28"/>
        <v>0.74400000000000011</v>
      </c>
      <c r="G280" s="45">
        <f t="shared" si="29"/>
        <v>0.11070720000000003</v>
      </c>
      <c r="H280" s="45">
        <f ca="1">F280*F280*('Sheet1 select'!$B$25)*$B$3</f>
        <v>1.2589654584691972E-2</v>
      </c>
      <c r="I280" s="45">
        <f>F280*(1-$B$3)*'Sheet1 select'!$B$41</f>
        <v>0.1736</v>
      </c>
      <c r="J280" s="45">
        <f ca="1">F280*F280*('Sheet1 select'!$B$26)*(1-$B$3)</f>
        <v>0</v>
      </c>
      <c r="K280" s="45">
        <f>0.0000005*$B$10*F280*$B$8*((('Sheet1 select'!$B$33+0.5*'Sheet1 select'!$B$32)/(('Sheet1 select'!$B$10-'Sheet1 select'!$B$23)/('Sheet1 select'!$B$27+'Sheet1 select'!$B$8)))+(('Sheet1 select'!$B$33+0.5*'Sheet1 select'!$B$32)/(('Sheet1 select'!$B$23)/('Sheet1 select'!$B$27+'Sheet1 select'!$B$9))))</f>
        <v>1.0186986433205003E-2</v>
      </c>
      <c r="L280" s="45">
        <f>(F280*$B$28)*(('Sheet1 select'!$B$12+'Sheet1 select'!$B$13)*(0.000000001))*$B$8*1000</f>
        <v>0</v>
      </c>
      <c r="M280" s="45">
        <f t="shared" si="30"/>
        <v>6.481272239439854E-3</v>
      </c>
      <c r="N280" s="46">
        <f>$B$10*'Sheet1 select'!$B$29*0.001</f>
        <v>1.2E-2</v>
      </c>
      <c r="O280" s="44">
        <f>'Sheet1 select'!$B$10*'Sheet1 select'!$B$31*$B$8*1000*0.000000001</f>
        <v>3.0000000000000001E-3</v>
      </c>
      <c r="P280" s="44">
        <f>'Sheet1 select'!$B$35*$B$10*$B$8*1000*0.000000001</f>
        <v>0</v>
      </c>
      <c r="Q280" s="47">
        <f>IF('Sheet1 select'!$B$17=0,0,(0.00000006*0.7+0.00000003*(0.7+F280*1.1*'Sheet1 select'!$B$26))*F280*$B$8*1000)</f>
        <v>0</v>
      </c>
      <c r="R280" s="45">
        <f t="shared" ca="1" si="31"/>
        <v>0.32856511325733684</v>
      </c>
      <c r="S280" s="48">
        <f t="shared" ca="1" si="32"/>
        <v>0.91884405855758</v>
      </c>
      <c r="T280" s="49">
        <f ca="1">H280+K280+O280+N280+'Sheet1 select'!$B$40*I280+J280+P280</f>
        <v>3.7776641017896975E-2</v>
      </c>
      <c r="U280" s="169">
        <f t="shared" ca="1" si="33"/>
        <v>2.5776641017896975E-2</v>
      </c>
      <c r="V280" s="47">
        <f t="shared" ca="1" si="34"/>
        <v>0</v>
      </c>
    </row>
    <row r="281" spans="5:22">
      <c r="E281" s="32">
        <v>280</v>
      </c>
      <c r="F281" s="45">
        <f t="shared" si="28"/>
        <v>0.7466666666666667</v>
      </c>
      <c r="G281" s="45">
        <f t="shared" si="29"/>
        <v>0.11150222222222224</v>
      </c>
      <c r="H281" s="45">
        <f ca="1">F281*F281*('Sheet1 select'!$B$25)*$B$3</f>
        <v>1.2680064740173564E-2</v>
      </c>
      <c r="I281" s="45">
        <f>F281*(1-$B$3)*'Sheet1 select'!$B$41</f>
        <v>0.17422222222222222</v>
      </c>
      <c r="J281" s="45">
        <f ca="1">F281*F281*('Sheet1 select'!$B$26)*(1-$B$3)</f>
        <v>0</v>
      </c>
      <c r="K281" s="45">
        <f>0.0000005*$B$10*F281*$B$8*((('Sheet1 select'!$B$33+0.5*'Sheet1 select'!$B$32)/(('Sheet1 select'!$B$10-'Sheet1 select'!$B$23)/('Sheet1 select'!$B$27+'Sheet1 select'!$B$8)))+(('Sheet1 select'!$B$33+0.5*'Sheet1 select'!$B$32)/(('Sheet1 select'!$B$23)/('Sheet1 select'!$B$27+'Sheet1 select'!$B$9))))</f>
        <v>1.0223498929381365E-2</v>
      </c>
      <c r="L281" s="45">
        <f>(F281*$B$28)*(('Sheet1 select'!$B$12+'Sheet1 select'!$B$13)*(0.000000001))*$B$8*1000</f>
        <v>0</v>
      </c>
      <c r="M281" s="45">
        <f t="shared" si="30"/>
        <v>6.481272239439854E-3</v>
      </c>
      <c r="N281" s="46">
        <f>$B$10*'Sheet1 select'!$B$29*0.001</f>
        <v>1.2E-2</v>
      </c>
      <c r="O281" s="44">
        <f>'Sheet1 select'!$B$10*'Sheet1 select'!$B$31*$B$8*1000*0.000000001</f>
        <v>3.0000000000000001E-3</v>
      </c>
      <c r="P281" s="44">
        <f>'Sheet1 select'!$B$35*$B$10*$B$8*1000*0.000000001</f>
        <v>0</v>
      </c>
      <c r="Q281" s="47">
        <f>IF('Sheet1 select'!$B$17=0,0,(0.00000006*0.7+0.00000003*(0.7+F281*1.1*'Sheet1 select'!$B$26))*F281*$B$8*1000)</f>
        <v>0</v>
      </c>
      <c r="R281" s="45">
        <f t="shared" ca="1" si="31"/>
        <v>0.33010928035343923</v>
      </c>
      <c r="S281" s="48">
        <f t="shared" ca="1" si="32"/>
        <v>0.91876118066942991</v>
      </c>
      <c r="T281" s="49">
        <f ca="1">H281+K281+O281+N281+'Sheet1 select'!$B$40*I281+J281+P281</f>
        <v>3.7903563669554927E-2</v>
      </c>
      <c r="U281" s="169">
        <f t="shared" ca="1" si="33"/>
        <v>2.5903563669554926E-2</v>
      </c>
      <c r="V281" s="47">
        <f t="shared" ca="1" si="34"/>
        <v>0</v>
      </c>
    </row>
    <row r="282" spans="5:22">
      <c r="E282" s="32">
        <v>281</v>
      </c>
      <c r="F282" s="45">
        <f t="shared" si="28"/>
        <v>0.74933333333333341</v>
      </c>
      <c r="G282" s="45">
        <f t="shared" si="29"/>
        <v>0.11230008888888893</v>
      </c>
      <c r="H282" s="45">
        <f ca="1">F282*F282*('Sheet1 select'!$B$25)*$B$3</f>
        <v>1.2770798366694451E-2</v>
      </c>
      <c r="I282" s="45">
        <f>F282*(1-$B$3)*'Sheet1 select'!$B$41</f>
        <v>0.17484444444444447</v>
      </c>
      <c r="J282" s="45">
        <f ca="1">F282*F282*('Sheet1 select'!$B$26)*(1-$B$3)</f>
        <v>0</v>
      </c>
      <c r="K282" s="45">
        <f>0.0000005*$B$10*F282*$B$8*((('Sheet1 select'!$B$33+0.5*'Sheet1 select'!$B$32)/(('Sheet1 select'!$B$10-'Sheet1 select'!$B$23)/('Sheet1 select'!$B$27+'Sheet1 select'!$B$8)))+(('Sheet1 select'!$B$33+0.5*'Sheet1 select'!$B$32)/(('Sheet1 select'!$B$23)/('Sheet1 select'!$B$27+'Sheet1 select'!$B$9))))</f>
        <v>1.0260011425557727E-2</v>
      </c>
      <c r="L282" s="45">
        <f>(F282*$B$28)*(('Sheet1 select'!$B$12+'Sheet1 select'!$B$13)*(0.000000001))*$B$8*1000</f>
        <v>0</v>
      </c>
      <c r="M282" s="45">
        <f t="shared" si="30"/>
        <v>6.481272239439854E-3</v>
      </c>
      <c r="N282" s="46">
        <f>$B$10*'Sheet1 select'!$B$29*0.001</f>
        <v>1.2E-2</v>
      </c>
      <c r="O282" s="44">
        <f>'Sheet1 select'!$B$10*'Sheet1 select'!$B$31*$B$8*1000*0.000000001</f>
        <v>3.0000000000000001E-3</v>
      </c>
      <c r="P282" s="44">
        <f>'Sheet1 select'!$B$35*$B$10*$B$8*1000*0.000000001</f>
        <v>0</v>
      </c>
      <c r="Q282" s="47">
        <f>IF('Sheet1 select'!$B$17=0,0,(0.00000006*0.7+0.00000003*(0.7+F282*1.1*'Sheet1 select'!$B$26))*F282*$B$8*1000)</f>
        <v>0</v>
      </c>
      <c r="R282" s="45">
        <f t="shared" ca="1" si="31"/>
        <v>0.33165661536502539</v>
      </c>
      <c r="S282" s="48">
        <f t="shared" ca="1" si="32"/>
        <v>0.91867819384837868</v>
      </c>
      <c r="T282" s="49">
        <f ca="1">H282+K282+O282+N282+'Sheet1 select'!$B$40*I282+J282+P282</f>
        <v>3.8030809792252179E-2</v>
      </c>
      <c r="U282" s="169">
        <f t="shared" ca="1" si="33"/>
        <v>2.6030809792252179E-2</v>
      </c>
      <c r="V282" s="47">
        <f t="shared" ca="1" si="34"/>
        <v>0</v>
      </c>
    </row>
    <row r="283" spans="5:22">
      <c r="E283" s="32">
        <v>282</v>
      </c>
      <c r="F283" s="45">
        <f t="shared" si="28"/>
        <v>0.75200000000000011</v>
      </c>
      <c r="G283" s="45">
        <f t="shared" si="29"/>
        <v>0.11310080000000003</v>
      </c>
      <c r="H283" s="45">
        <f ca="1">F283*F283*('Sheet1 select'!$B$25)*$B$3</f>
        <v>1.2861855464254624E-2</v>
      </c>
      <c r="I283" s="45">
        <f>F283*(1-$B$3)*'Sheet1 select'!$B$41</f>
        <v>0.17546666666666666</v>
      </c>
      <c r="J283" s="45">
        <f ca="1">F283*F283*('Sheet1 select'!$B$26)*(1-$B$3)</f>
        <v>0</v>
      </c>
      <c r="K283" s="45">
        <f>0.0000005*$B$10*F283*$B$8*((('Sheet1 select'!$B$33+0.5*'Sheet1 select'!$B$32)/(('Sheet1 select'!$B$10-'Sheet1 select'!$B$23)/('Sheet1 select'!$B$27+'Sheet1 select'!$B$8)))+(('Sheet1 select'!$B$33+0.5*'Sheet1 select'!$B$32)/(('Sheet1 select'!$B$23)/('Sheet1 select'!$B$27+'Sheet1 select'!$B$9))))</f>
        <v>1.029652392173409E-2</v>
      </c>
      <c r="L283" s="45">
        <f>(F283*$B$28)*(('Sheet1 select'!$B$12+'Sheet1 select'!$B$13)*(0.000000001))*$B$8*1000</f>
        <v>0</v>
      </c>
      <c r="M283" s="45">
        <f t="shared" si="30"/>
        <v>6.481272239439854E-3</v>
      </c>
      <c r="N283" s="46">
        <f>$B$10*'Sheet1 select'!$B$29*0.001</f>
        <v>1.2E-2</v>
      </c>
      <c r="O283" s="44">
        <f>'Sheet1 select'!$B$10*'Sheet1 select'!$B$31*$B$8*1000*0.000000001</f>
        <v>3.0000000000000001E-3</v>
      </c>
      <c r="P283" s="44">
        <f>'Sheet1 select'!$B$35*$B$10*$B$8*1000*0.000000001</f>
        <v>0</v>
      </c>
      <c r="Q283" s="47">
        <f>IF('Sheet1 select'!$B$17=0,0,(0.00000006*0.7+0.00000003*(0.7+F283*1.1*'Sheet1 select'!$B$26))*F283*$B$8*1000)</f>
        <v>0</v>
      </c>
      <c r="R283" s="45">
        <f t="shared" ca="1" si="31"/>
        <v>0.33320711829209526</v>
      </c>
      <c r="S283" s="48">
        <f t="shared" ca="1" si="32"/>
        <v>0.91859509947516982</v>
      </c>
      <c r="T283" s="49">
        <f ca="1">H283+K283+O283+N283+'Sheet1 select'!$B$40*I283+J283+P283</f>
        <v>3.8158379385988712E-2</v>
      </c>
      <c r="U283" s="169">
        <f t="shared" ca="1" si="33"/>
        <v>2.6158379385988712E-2</v>
      </c>
      <c r="V283" s="47">
        <f t="shared" ca="1" si="34"/>
        <v>0</v>
      </c>
    </row>
    <row r="284" spans="5:22">
      <c r="E284" s="32">
        <v>283</v>
      </c>
      <c r="F284" s="45">
        <f t="shared" si="28"/>
        <v>0.75466666666666671</v>
      </c>
      <c r="G284" s="45">
        <f t="shared" si="29"/>
        <v>0.11390435555555556</v>
      </c>
      <c r="H284" s="45">
        <f ca="1">F284*F284*('Sheet1 select'!$B$25)*$B$3</f>
        <v>1.2953236032854087E-2</v>
      </c>
      <c r="I284" s="45">
        <f>F284*(1-$B$3)*'Sheet1 select'!$B$41</f>
        <v>0.17608888888888888</v>
      </c>
      <c r="J284" s="45">
        <f ca="1">F284*F284*('Sheet1 select'!$B$26)*(1-$B$3)</f>
        <v>0</v>
      </c>
      <c r="K284" s="45">
        <f>0.0000005*$B$10*F284*$B$8*((('Sheet1 select'!$B$33+0.5*'Sheet1 select'!$B$32)/(('Sheet1 select'!$B$10-'Sheet1 select'!$B$23)/('Sheet1 select'!$B$27+'Sheet1 select'!$B$8)))+(('Sheet1 select'!$B$33+0.5*'Sheet1 select'!$B$32)/(('Sheet1 select'!$B$23)/('Sheet1 select'!$B$27+'Sheet1 select'!$B$9))))</f>
        <v>1.0333036417910451E-2</v>
      </c>
      <c r="L284" s="45">
        <f>(F284*$B$28)*(('Sheet1 select'!$B$12+'Sheet1 select'!$B$13)*(0.000000001))*$B$8*1000</f>
        <v>0</v>
      </c>
      <c r="M284" s="45">
        <f t="shared" si="30"/>
        <v>6.481272239439854E-3</v>
      </c>
      <c r="N284" s="46">
        <f>$B$10*'Sheet1 select'!$B$29*0.001</f>
        <v>1.2E-2</v>
      </c>
      <c r="O284" s="44">
        <f>'Sheet1 select'!$B$10*'Sheet1 select'!$B$31*$B$8*1000*0.000000001</f>
        <v>3.0000000000000001E-3</v>
      </c>
      <c r="P284" s="44">
        <f>'Sheet1 select'!$B$35*$B$10*$B$8*1000*0.000000001</f>
        <v>0</v>
      </c>
      <c r="Q284" s="47">
        <f>IF('Sheet1 select'!$B$17=0,0,(0.00000006*0.7+0.00000003*(0.7+F284*1.1*'Sheet1 select'!$B$26))*F284*$B$8*1000)</f>
        <v>0</v>
      </c>
      <c r="R284" s="45">
        <f t="shared" ca="1" si="31"/>
        <v>0.33476078913464885</v>
      </c>
      <c r="S284" s="48">
        <f t="shared" ca="1" si="32"/>
        <v>0.91851189891103635</v>
      </c>
      <c r="T284" s="49">
        <f ca="1">H284+K284+O284+N284+'Sheet1 select'!$B$40*I284+J284+P284</f>
        <v>3.828627245076454E-2</v>
      </c>
      <c r="U284" s="169">
        <f t="shared" ca="1" si="33"/>
        <v>2.628627245076454E-2</v>
      </c>
      <c r="V284" s="47">
        <f t="shared" ca="1" si="34"/>
        <v>0</v>
      </c>
    </row>
    <row r="285" spans="5:22">
      <c r="E285" s="32">
        <v>284</v>
      </c>
      <c r="F285" s="45">
        <f t="shared" si="28"/>
        <v>0.75733333333333341</v>
      </c>
      <c r="G285" s="45">
        <f t="shared" si="29"/>
        <v>0.1147107555555556</v>
      </c>
      <c r="H285" s="45">
        <f ca="1">F285*F285*('Sheet1 select'!$B$25)*$B$3</f>
        <v>1.3044940072492846E-2</v>
      </c>
      <c r="I285" s="45">
        <f>F285*(1-$B$3)*'Sheet1 select'!$B$41</f>
        <v>0.17671111111111112</v>
      </c>
      <c r="J285" s="45">
        <f ca="1">F285*F285*('Sheet1 select'!$B$26)*(1-$B$3)</f>
        <v>0</v>
      </c>
      <c r="K285" s="45">
        <f>0.0000005*$B$10*F285*$B$8*((('Sheet1 select'!$B$33+0.5*'Sheet1 select'!$B$32)/(('Sheet1 select'!$B$10-'Sheet1 select'!$B$23)/('Sheet1 select'!$B$27+'Sheet1 select'!$B$8)))+(('Sheet1 select'!$B$33+0.5*'Sheet1 select'!$B$32)/(('Sheet1 select'!$B$23)/('Sheet1 select'!$B$27+'Sheet1 select'!$B$9))))</f>
        <v>1.0369548914086814E-2</v>
      </c>
      <c r="L285" s="45">
        <f>(F285*$B$28)*(('Sheet1 select'!$B$12+'Sheet1 select'!$B$13)*(0.000000001))*$B$8*1000</f>
        <v>0</v>
      </c>
      <c r="M285" s="45">
        <f t="shared" si="30"/>
        <v>6.481272239439854E-3</v>
      </c>
      <c r="N285" s="46">
        <f>$B$10*'Sheet1 select'!$B$29*0.001</f>
        <v>1.2E-2</v>
      </c>
      <c r="O285" s="44">
        <f>'Sheet1 select'!$B$10*'Sheet1 select'!$B$31*$B$8*1000*0.000000001</f>
        <v>3.0000000000000001E-3</v>
      </c>
      <c r="P285" s="44">
        <f>'Sheet1 select'!$B$35*$B$10*$B$8*1000*0.000000001</f>
        <v>0</v>
      </c>
      <c r="Q285" s="47">
        <f>IF('Sheet1 select'!$B$17=0,0,(0.00000006*0.7+0.00000003*(0.7+F285*1.1*'Sheet1 select'!$B$26))*F285*$B$8*1000)</f>
        <v>0</v>
      </c>
      <c r="R285" s="45">
        <f t="shared" ca="1" si="31"/>
        <v>0.33631762789268627</v>
      </c>
      <c r="S285" s="48">
        <f t="shared" ca="1" si="32"/>
        <v>0.91842859349804273</v>
      </c>
      <c r="T285" s="49">
        <f ca="1">H285+K285+O285+N285+'Sheet1 select'!$B$40*I285+J285+P285</f>
        <v>3.8414488986579662E-2</v>
      </c>
      <c r="U285" s="169">
        <f t="shared" ca="1" si="33"/>
        <v>2.6414488986579662E-2</v>
      </c>
      <c r="V285" s="47">
        <f t="shared" ca="1" si="34"/>
        <v>0</v>
      </c>
    </row>
    <row r="286" spans="5:22">
      <c r="E286" s="32">
        <v>285</v>
      </c>
      <c r="F286" s="45">
        <f t="shared" si="28"/>
        <v>0.76</v>
      </c>
      <c r="G286" s="45">
        <f t="shared" si="29"/>
        <v>0.11552</v>
      </c>
      <c r="H286" s="45">
        <f ca="1">F286*F286*('Sheet1 select'!$B$25)*$B$3</f>
        <v>1.3136967583170888E-2</v>
      </c>
      <c r="I286" s="45">
        <f>F286*(1-$B$3)*'Sheet1 select'!$B$41</f>
        <v>0.17733333333333334</v>
      </c>
      <c r="J286" s="45">
        <f ca="1">F286*F286*('Sheet1 select'!$B$26)*(1-$B$3)</f>
        <v>0</v>
      </c>
      <c r="K286" s="45">
        <f>0.0000005*$B$10*F286*$B$8*((('Sheet1 select'!$B$33+0.5*'Sheet1 select'!$B$32)/(('Sheet1 select'!$B$10-'Sheet1 select'!$B$23)/('Sheet1 select'!$B$27+'Sheet1 select'!$B$8)))+(('Sheet1 select'!$B$33+0.5*'Sheet1 select'!$B$32)/(('Sheet1 select'!$B$23)/('Sheet1 select'!$B$27+'Sheet1 select'!$B$9))))</f>
        <v>1.0406061410263175E-2</v>
      </c>
      <c r="L286" s="45">
        <f>(F286*$B$28)*(('Sheet1 select'!$B$12+'Sheet1 select'!$B$13)*(0.000000001))*$B$8*1000</f>
        <v>0</v>
      </c>
      <c r="M286" s="45">
        <f t="shared" si="30"/>
        <v>6.481272239439854E-3</v>
      </c>
      <c r="N286" s="46">
        <f>$B$10*'Sheet1 select'!$B$29*0.001</f>
        <v>1.2E-2</v>
      </c>
      <c r="O286" s="44">
        <f>'Sheet1 select'!$B$10*'Sheet1 select'!$B$31*$B$8*1000*0.000000001</f>
        <v>3.0000000000000001E-3</v>
      </c>
      <c r="P286" s="44">
        <f>'Sheet1 select'!$B$35*$B$10*$B$8*1000*0.000000001</f>
        <v>0</v>
      </c>
      <c r="Q286" s="47">
        <f>IF('Sheet1 select'!$B$17=0,0,(0.00000006*0.7+0.00000003*(0.7+F286*1.1*'Sheet1 select'!$B$26))*F286*$B$8*1000)</f>
        <v>0</v>
      </c>
      <c r="R286" s="45">
        <f t="shared" ca="1" si="31"/>
        <v>0.33787763456620729</v>
      </c>
      <c r="S286" s="48">
        <f t="shared" ca="1" si="32"/>
        <v>0.91834518455942005</v>
      </c>
      <c r="T286" s="49">
        <f ca="1">H286+K286+O286+N286+'Sheet1 select'!$B$40*I286+J286+P286</f>
        <v>3.8543028993434064E-2</v>
      </c>
      <c r="U286" s="169">
        <f t="shared" ca="1" si="33"/>
        <v>2.6543028993434064E-2</v>
      </c>
      <c r="V286" s="47">
        <f t="shared" ca="1" si="34"/>
        <v>0</v>
      </c>
    </row>
    <row r="287" spans="5:22">
      <c r="E287" s="32">
        <v>286</v>
      </c>
      <c r="F287" s="45">
        <f t="shared" si="28"/>
        <v>0.76266666666666671</v>
      </c>
      <c r="G287" s="45">
        <f t="shared" si="29"/>
        <v>0.11633208888888891</v>
      </c>
      <c r="H287" s="45">
        <f ca="1">F287*F287*('Sheet1 select'!$B$25)*$B$3</f>
        <v>1.3229318564888227E-2</v>
      </c>
      <c r="I287" s="45">
        <f>F287*(1-$B$3)*'Sheet1 select'!$B$41</f>
        <v>0.17795555555555553</v>
      </c>
      <c r="J287" s="45">
        <f ca="1">F287*F287*('Sheet1 select'!$B$26)*(1-$B$3)</f>
        <v>0</v>
      </c>
      <c r="K287" s="45">
        <f>0.0000005*$B$10*F287*$B$8*((('Sheet1 select'!$B$33+0.5*'Sheet1 select'!$B$32)/(('Sheet1 select'!$B$10-'Sheet1 select'!$B$23)/('Sheet1 select'!$B$27+'Sheet1 select'!$B$8)))+(('Sheet1 select'!$B$33+0.5*'Sheet1 select'!$B$32)/(('Sheet1 select'!$B$23)/('Sheet1 select'!$B$27+'Sheet1 select'!$B$9))))</f>
        <v>1.0442573906439538E-2</v>
      </c>
      <c r="L287" s="45">
        <f>(F287*$B$28)*(('Sheet1 select'!$B$12+'Sheet1 select'!$B$13)*(0.000000001))*$B$8*1000</f>
        <v>0</v>
      </c>
      <c r="M287" s="45">
        <f t="shared" si="30"/>
        <v>6.481272239439854E-3</v>
      </c>
      <c r="N287" s="46">
        <f>$B$10*'Sheet1 select'!$B$29*0.001</f>
        <v>1.2E-2</v>
      </c>
      <c r="O287" s="44">
        <f>'Sheet1 select'!$B$10*'Sheet1 select'!$B$31*$B$8*1000*0.000000001</f>
        <v>3.0000000000000001E-3</v>
      </c>
      <c r="P287" s="44">
        <f>'Sheet1 select'!$B$35*$B$10*$B$8*1000*0.000000001</f>
        <v>0</v>
      </c>
      <c r="Q287" s="47">
        <f>IF('Sheet1 select'!$B$17=0,0,(0.00000006*0.7+0.00000003*(0.7+F287*1.1*'Sheet1 select'!$B$26))*F287*$B$8*1000)</f>
        <v>0</v>
      </c>
      <c r="R287" s="45">
        <f t="shared" ca="1" si="31"/>
        <v>0.33944080915521208</v>
      </c>
      <c r="S287" s="48">
        <f t="shared" ca="1" si="32"/>
        <v>0.91826167339989206</v>
      </c>
      <c r="T287" s="49">
        <f ca="1">H287+K287+O287+N287+'Sheet1 select'!$B$40*I287+J287+P287</f>
        <v>3.8671892471327768E-2</v>
      </c>
      <c r="U287" s="169">
        <f t="shared" ca="1" si="33"/>
        <v>2.6671892471327764E-2</v>
      </c>
      <c r="V287" s="47">
        <f t="shared" ca="1" si="34"/>
        <v>0</v>
      </c>
    </row>
    <row r="288" spans="5:22">
      <c r="E288" s="32">
        <v>287</v>
      </c>
      <c r="F288" s="45">
        <f t="shared" si="28"/>
        <v>0.76533333333333342</v>
      </c>
      <c r="G288" s="45">
        <f t="shared" si="29"/>
        <v>0.11714702222222224</v>
      </c>
      <c r="H288" s="45">
        <f ca="1">F288*F288*('Sheet1 select'!$B$25)*$B$3</f>
        <v>1.3321993017644853E-2</v>
      </c>
      <c r="I288" s="45">
        <f>F288*(1-$B$3)*'Sheet1 select'!$B$41</f>
        <v>0.17857777777777778</v>
      </c>
      <c r="J288" s="45">
        <f ca="1">F288*F288*('Sheet1 select'!$B$26)*(1-$B$3)</f>
        <v>0</v>
      </c>
      <c r="K288" s="45">
        <f>0.0000005*$B$10*F288*$B$8*((('Sheet1 select'!$B$33+0.5*'Sheet1 select'!$B$32)/(('Sheet1 select'!$B$10-'Sheet1 select'!$B$23)/('Sheet1 select'!$B$27+'Sheet1 select'!$B$8)))+(('Sheet1 select'!$B$33+0.5*'Sheet1 select'!$B$32)/(('Sheet1 select'!$B$23)/('Sheet1 select'!$B$27+'Sheet1 select'!$B$9))))</f>
        <v>1.0479086402615899E-2</v>
      </c>
      <c r="L288" s="45">
        <f>(F288*$B$28)*(('Sheet1 select'!$B$12+'Sheet1 select'!$B$13)*(0.000000001))*$B$8*1000</f>
        <v>0</v>
      </c>
      <c r="M288" s="45">
        <f t="shared" si="30"/>
        <v>6.481272239439854E-3</v>
      </c>
      <c r="N288" s="46">
        <f>$B$10*'Sheet1 select'!$B$29*0.001</f>
        <v>1.2E-2</v>
      </c>
      <c r="O288" s="44">
        <f>'Sheet1 select'!$B$10*'Sheet1 select'!$B$31*$B$8*1000*0.000000001</f>
        <v>3.0000000000000001E-3</v>
      </c>
      <c r="P288" s="44">
        <f>'Sheet1 select'!$B$35*$B$10*$B$8*1000*0.000000001</f>
        <v>0</v>
      </c>
      <c r="Q288" s="47">
        <f>IF('Sheet1 select'!$B$17=0,0,(0.00000006*0.7+0.00000003*(0.7+F288*1.1*'Sheet1 select'!$B$26))*F288*$B$8*1000)</f>
        <v>0</v>
      </c>
      <c r="R288" s="45">
        <f t="shared" ca="1" si="31"/>
        <v>0.34100715165970064</v>
      </c>
      <c r="S288" s="48">
        <f t="shared" ca="1" si="32"/>
        <v>0.91817806130599733</v>
      </c>
      <c r="T288" s="49">
        <f ca="1">H288+K288+O288+N288+'Sheet1 select'!$B$40*I288+J288+P288</f>
        <v>3.8801079420260752E-2</v>
      </c>
      <c r="U288" s="169">
        <f t="shared" ca="1" si="33"/>
        <v>2.6801079420260752E-2</v>
      </c>
      <c r="V288" s="47">
        <f t="shared" ca="1" si="34"/>
        <v>0</v>
      </c>
    </row>
    <row r="289" spans="5:22">
      <c r="E289" s="32">
        <v>288</v>
      </c>
      <c r="F289" s="45">
        <f t="shared" si="28"/>
        <v>0.76800000000000002</v>
      </c>
      <c r="G289" s="45">
        <f t="shared" si="29"/>
        <v>0.11796479999999999</v>
      </c>
      <c r="H289" s="45">
        <f ca="1">F289*F289*('Sheet1 select'!$B$25)*$B$3</f>
        <v>1.3414990941440766E-2</v>
      </c>
      <c r="I289" s="45">
        <f>F289*(1-$B$3)*'Sheet1 select'!$B$41</f>
        <v>0.1792</v>
      </c>
      <c r="J289" s="45">
        <f ca="1">F289*F289*('Sheet1 select'!$B$26)*(1-$B$3)</f>
        <v>0</v>
      </c>
      <c r="K289" s="45">
        <f>0.0000005*$B$10*F289*$B$8*((('Sheet1 select'!$B$33+0.5*'Sheet1 select'!$B$32)/(('Sheet1 select'!$B$10-'Sheet1 select'!$B$23)/('Sheet1 select'!$B$27+'Sheet1 select'!$B$8)))+(('Sheet1 select'!$B$33+0.5*'Sheet1 select'!$B$32)/(('Sheet1 select'!$B$23)/('Sheet1 select'!$B$27+'Sheet1 select'!$B$9))))</f>
        <v>1.051559889879226E-2</v>
      </c>
      <c r="L289" s="45">
        <f>(F289*$B$28)*(('Sheet1 select'!$B$12+'Sheet1 select'!$B$13)*(0.000000001))*$B$8*1000</f>
        <v>0</v>
      </c>
      <c r="M289" s="45">
        <f t="shared" si="30"/>
        <v>6.481272239439854E-3</v>
      </c>
      <c r="N289" s="46">
        <f>$B$10*'Sheet1 select'!$B$29*0.001</f>
        <v>1.2E-2</v>
      </c>
      <c r="O289" s="44">
        <f>'Sheet1 select'!$B$10*'Sheet1 select'!$B$31*$B$8*1000*0.000000001</f>
        <v>3.0000000000000001E-3</v>
      </c>
      <c r="P289" s="44">
        <f>'Sheet1 select'!$B$35*$B$10*$B$8*1000*0.000000001</f>
        <v>0</v>
      </c>
      <c r="Q289" s="47">
        <f>IF('Sheet1 select'!$B$17=0,0,(0.00000006*0.7+0.00000003*(0.7+F289*1.1*'Sheet1 select'!$B$26))*F289*$B$8*1000)</f>
        <v>0</v>
      </c>
      <c r="R289" s="45">
        <f t="shared" ca="1" si="31"/>
        <v>0.34257666207967286</v>
      </c>
      <c r="S289" s="48">
        <f t="shared" ca="1" si="32"/>
        <v>0.91809434954640234</v>
      </c>
      <c r="T289" s="49">
        <f ca="1">H289+K289+O289+N289+'Sheet1 select'!$B$40*I289+J289+P289</f>
        <v>3.8930589840233024E-2</v>
      </c>
      <c r="U289" s="169">
        <f t="shared" ca="1" si="33"/>
        <v>2.6930589840233023E-2</v>
      </c>
      <c r="V289" s="47">
        <f t="shared" ca="1" si="34"/>
        <v>0</v>
      </c>
    </row>
    <row r="290" spans="5:22">
      <c r="E290" s="32">
        <v>289</v>
      </c>
      <c r="F290" s="45">
        <f t="shared" si="28"/>
        <v>0.77066666666666672</v>
      </c>
      <c r="G290" s="45">
        <f t="shared" si="29"/>
        <v>0.11878542222222224</v>
      </c>
      <c r="H290" s="45">
        <f ca="1">F290*F290*('Sheet1 select'!$B$25)*$B$3</f>
        <v>1.3508312336275974E-2</v>
      </c>
      <c r="I290" s="45">
        <f>F290*(1-$B$3)*'Sheet1 select'!$B$41</f>
        <v>0.17982222222222222</v>
      </c>
      <c r="J290" s="45">
        <f ca="1">F290*F290*('Sheet1 select'!$B$26)*(1-$B$3)</f>
        <v>0</v>
      </c>
      <c r="K290" s="45">
        <f>0.0000005*$B$10*F290*$B$8*((('Sheet1 select'!$B$33+0.5*'Sheet1 select'!$B$32)/(('Sheet1 select'!$B$10-'Sheet1 select'!$B$23)/('Sheet1 select'!$B$27+'Sheet1 select'!$B$8)))+(('Sheet1 select'!$B$33+0.5*'Sheet1 select'!$B$32)/(('Sheet1 select'!$B$23)/('Sheet1 select'!$B$27+'Sheet1 select'!$B$9))))</f>
        <v>1.0552111394968623E-2</v>
      </c>
      <c r="L290" s="45">
        <f>(F290*$B$28)*(('Sheet1 select'!$B$12+'Sheet1 select'!$B$13)*(0.000000001))*$B$8*1000</f>
        <v>0</v>
      </c>
      <c r="M290" s="45">
        <f t="shared" si="30"/>
        <v>6.481272239439854E-3</v>
      </c>
      <c r="N290" s="46">
        <f>$B$10*'Sheet1 select'!$B$29*0.001</f>
        <v>1.2E-2</v>
      </c>
      <c r="O290" s="44">
        <f>'Sheet1 select'!$B$10*'Sheet1 select'!$B$31*$B$8*1000*0.000000001</f>
        <v>3.0000000000000001E-3</v>
      </c>
      <c r="P290" s="44">
        <f>'Sheet1 select'!$B$35*$B$10*$B$8*1000*0.000000001</f>
        <v>0</v>
      </c>
      <c r="Q290" s="47">
        <f>IF('Sheet1 select'!$B$17=0,0,(0.00000006*0.7+0.00000003*(0.7+F290*1.1*'Sheet1 select'!$B$26))*F290*$B$8*1000)</f>
        <v>0</v>
      </c>
      <c r="R290" s="45">
        <f t="shared" ca="1" si="31"/>
        <v>0.34414934041512896</v>
      </c>
      <c r="S290" s="48">
        <f t="shared" ca="1" si="32"/>
        <v>0.91801053937221033</v>
      </c>
      <c r="T290" s="49">
        <f ca="1">H290+K290+O290+N290+'Sheet1 select'!$B$40*I290+J290+P290</f>
        <v>3.9060423731244596E-2</v>
      </c>
      <c r="U290" s="169">
        <f t="shared" ca="1" si="33"/>
        <v>2.7060423731244596E-2</v>
      </c>
      <c r="V290" s="47">
        <f t="shared" ca="1" si="34"/>
        <v>0</v>
      </c>
    </row>
    <row r="291" spans="5:22">
      <c r="E291" s="32">
        <v>290</v>
      </c>
      <c r="F291" s="45">
        <f t="shared" si="28"/>
        <v>0.77333333333333332</v>
      </c>
      <c r="G291" s="45">
        <f t="shared" si="29"/>
        <v>0.11960888888888888</v>
      </c>
      <c r="H291" s="45">
        <f ca="1">F291*F291*('Sheet1 select'!$B$25)*$B$3</f>
        <v>1.3601957202150466E-2</v>
      </c>
      <c r="I291" s="45">
        <f>F291*(1-$B$3)*'Sheet1 select'!$B$41</f>
        <v>0.18044444444444441</v>
      </c>
      <c r="J291" s="45">
        <f ca="1">F291*F291*('Sheet1 select'!$B$26)*(1-$B$3)</f>
        <v>0</v>
      </c>
      <c r="K291" s="45">
        <f>0.0000005*$B$10*F291*$B$8*((('Sheet1 select'!$B$33+0.5*'Sheet1 select'!$B$32)/(('Sheet1 select'!$B$10-'Sheet1 select'!$B$23)/('Sheet1 select'!$B$27+'Sheet1 select'!$B$8)))+(('Sheet1 select'!$B$33+0.5*'Sheet1 select'!$B$32)/(('Sheet1 select'!$B$23)/('Sheet1 select'!$B$27+'Sheet1 select'!$B$9))))</f>
        <v>1.0588623891144983E-2</v>
      </c>
      <c r="L291" s="45">
        <f>(F291*$B$28)*(('Sheet1 select'!$B$12+'Sheet1 select'!$B$13)*(0.000000001))*$B$8*1000</f>
        <v>0</v>
      </c>
      <c r="M291" s="45">
        <f t="shared" si="30"/>
        <v>6.481272239439854E-3</v>
      </c>
      <c r="N291" s="46">
        <f>$B$10*'Sheet1 select'!$B$29*0.001</f>
        <v>1.2E-2</v>
      </c>
      <c r="O291" s="44">
        <f>'Sheet1 select'!$B$10*'Sheet1 select'!$B$31*$B$8*1000*0.000000001</f>
        <v>3.0000000000000001E-3</v>
      </c>
      <c r="P291" s="44">
        <f>'Sheet1 select'!$B$35*$B$10*$B$8*1000*0.000000001</f>
        <v>0</v>
      </c>
      <c r="Q291" s="47">
        <f>IF('Sheet1 select'!$B$17=0,0,(0.00000006*0.7+0.00000003*(0.7+F291*1.1*'Sheet1 select'!$B$26))*F291*$B$8*1000)</f>
        <v>0</v>
      </c>
      <c r="R291" s="45">
        <f t="shared" ca="1" si="31"/>
        <v>0.34572518666606855</v>
      </c>
      <c r="S291" s="48">
        <f t="shared" ca="1" si="32"/>
        <v>0.91792663201726121</v>
      </c>
      <c r="T291" s="49">
        <f ca="1">H291+K291+O291+N291+'Sheet1 select'!$B$40*I291+J291+P291</f>
        <v>3.919058109329545E-2</v>
      </c>
      <c r="U291" s="169">
        <f t="shared" ca="1" si="33"/>
        <v>2.719058109329545E-2</v>
      </c>
      <c r="V291" s="47">
        <f t="shared" ca="1" si="34"/>
        <v>0</v>
      </c>
    </row>
    <row r="292" spans="5:22">
      <c r="E292" s="32">
        <v>291</v>
      </c>
      <c r="F292" s="45">
        <f t="shared" si="28"/>
        <v>0.77600000000000002</v>
      </c>
      <c r="G292" s="45">
        <f t="shared" si="29"/>
        <v>0.12043520000000001</v>
      </c>
      <c r="H292" s="45">
        <f ca="1">F292*F292*('Sheet1 select'!$B$25)*$B$3</f>
        <v>1.3695925539064256E-2</v>
      </c>
      <c r="I292" s="45">
        <f>F292*(1-$B$3)*'Sheet1 select'!$B$41</f>
        <v>0.18106666666666665</v>
      </c>
      <c r="J292" s="45">
        <f ca="1">F292*F292*('Sheet1 select'!$B$26)*(1-$B$3)</f>
        <v>0</v>
      </c>
      <c r="K292" s="45">
        <f>0.0000005*$B$10*F292*$B$8*((('Sheet1 select'!$B$33+0.5*'Sheet1 select'!$B$32)/(('Sheet1 select'!$B$10-'Sheet1 select'!$B$23)/('Sheet1 select'!$B$27+'Sheet1 select'!$B$8)))+(('Sheet1 select'!$B$33+0.5*'Sheet1 select'!$B$32)/(('Sheet1 select'!$B$23)/('Sheet1 select'!$B$27+'Sheet1 select'!$B$9))))</f>
        <v>1.0625136387321345E-2</v>
      </c>
      <c r="L292" s="45">
        <f>(F292*$B$28)*(('Sheet1 select'!$B$12+'Sheet1 select'!$B$13)*(0.000000001))*$B$8*1000</f>
        <v>0</v>
      </c>
      <c r="M292" s="45">
        <f t="shared" si="30"/>
        <v>6.481272239439854E-3</v>
      </c>
      <c r="N292" s="46">
        <f>$B$10*'Sheet1 select'!$B$29*0.001</f>
        <v>1.2E-2</v>
      </c>
      <c r="O292" s="44">
        <f>'Sheet1 select'!$B$10*'Sheet1 select'!$B$31*$B$8*1000*0.000000001</f>
        <v>3.0000000000000001E-3</v>
      </c>
      <c r="P292" s="44">
        <f>'Sheet1 select'!$B$35*$B$10*$B$8*1000*0.000000001</f>
        <v>0</v>
      </c>
      <c r="Q292" s="47">
        <f>IF('Sheet1 select'!$B$17=0,0,(0.00000006*0.7+0.00000003*(0.7+F292*1.1*'Sheet1 select'!$B$26))*F292*$B$8*1000)</f>
        <v>0</v>
      </c>
      <c r="R292" s="45">
        <f t="shared" ca="1" si="31"/>
        <v>0.34730420083249208</v>
      </c>
      <c r="S292" s="48">
        <f t="shared" ca="1" si="32"/>
        <v>0.91784262869842748</v>
      </c>
      <c r="T292" s="49">
        <f ca="1">H292+K292+O292+N292+'Sheet1 select'!$B$40*I292+J292+P292</f>
        <v>3.9321061926385598E-2</v>
      </c>
      <c r="U292" s="169">
        <f t="shared" ca="1" si="33"/>
        <v>2.7321061926385601E-2</v>
      </c>
      <c r="V292" s="47">
        <f t="shared" ca="1" si="34"/>
        <v>0</v>
      </c>
    </row>
    <row r="293" spans="5:22">
      <c r="E293" s="32">
        <v>292</v>
      </c>
      <c r="F293" s="45">
        <f t="shared" si="28"/>
        <v>0.77866666666666673</v>
      </c>
      <c r="G293" s="45">
        <f t="shared" si="29"/>
        <v>0.12126435555555556</v>
      </c>
      <c r="H293" s="45">
        <f ca="1">F293*F293*('Sheet1 select'!$B$25)*$B$3</f>
        <v>1.3790217347017332E-2</v>
      </c>
      <c r="I293" s="45">
        <f>F293*(1-$B$3)*'Sheet1 select'!$B$41</f>
        <v>0.1816888888888889</v>
      </c>
      <c r="J293" s="45">
        <f ca="1">F293*F293*('Sheet1 select'!$B$26)*(1-$B$3)</f>
        <v>0</v>
      </c>
      <c r="K293" s="45">
        <f>0.0000005*$B$10*F293*$B$8*((('Sheet1 select'!$B$33+0.5*'Sheet1 select'!$B$32)/(('Sheet1 select'!$B$10-'Sheet1 select'!$B$23)/('Sheet1 select'!$B$27+'Sheet1 select'!$B$8)))+(('Sheet1 select'!$B$33+0.5*'Sheet1 select'!$B$32)/(('Sheet1 select'!$B$23)/('Sheet1 select'!$B$27+'Sheet1 select'!$B$9))))</f>
        <v>1.0661648883497708E-2</v>
      </c>
      <c r="L293" s="45">
        <f>(F293*$B$28)*(('Sheet1 select'!$B$12+'Sheet1 select'!$B$13)*(0.000000001))*$B$8*1000</f>
        <v>0</v>
      </c>
      <c r="M293" s="45">
        <f t="shared" si="30"/>
        <v>6.481272239439854E-3</v>
      </c>
      <c r="N293" s="46">
        <f>$B$10*'Sheet1 select'!$B$29*0.001</f>
        <v>1.2E-2</v>
      </c>
      <c r="O293" s="44">
        <f>'Sheet1 select'!$B$10*'Sheet1 select'!$B$31*$B$8*1000*0.000000001</f>
        <v>3.0000000000000001E-3</v>
      </c>
      <c r="P293" s="44">
        <f>'Sheet1 select'!$B$35*$B$10*$B$8*1000*0.000000001</f>
        <v>0</v>
      </c>
      <c r="Q293" s="47">
        <f>IF('Sheet1 select'!$B$17=0,0,(0.00000006*0.7+0.00000003*(0.7+F293*1.1*'Sheet1 select'!$B$26))*F293*$B$8*1000)</f>
        <v>0</v>
      </c>
      <c r="R293" s="45">
        <f t="shared" ca="1" si="31"/>
        <v>0.34888638291439933</v>
      </c>
      <c r="S293" s="48">
        <f t="shared" ca="1" si="32"/>
        <v>0.91775853061590329</v>
      </c>
      <c r="T293" s="49">
        <f ca="1">H293+K293+O293+N293+'Sheet1 select'!$B$40*I293+J293+P293</f>
        <v>3.945186623051504E-2</v>
      </c>
      <c r="U293" s="169">
        <f t="shared" ca="1" si="33"/>
        <v>2.7451866230515039E-2</v>
      </c>
      <c r="V293" s="47">
        <f t="shared" ca="1" si="34"/>
        <v>0</v>
      </c>
    </row>
    <row r="294" spans="5:22">
      <c r="E294" s="32">
        <v>293</v>
      </c>
      <c r="F294" s="45">
        <f t="shared" si="28"/>
        <v>0.78133333333333332</v>
      </c>
      <c r="G294" s="45">
        <f t="shared" si="29"/>
        <v>0.12209635555555556</v>
      </c>
      <c r="H294" s="45">
        <f ca="1">F294*F294*('Sheet1 select'!$B$25)*$B$3</f>
        <v>1.3884832626009697E-2</v>
      </c>
      <c r="I294" s="45">
        <f>F294*(1-$B$3)*'Sheet1 select'!$B$41</f>
        <v>0.18231111111111109</v>
      </c>
      <c r="J294" s="45">
        <f ca="1">F294*F294*('Sheet1 select'!$B$26)*(1-$B$3)</f>
        <v>0</v>
      </c>
      <c r="K294" s="45">
        <f>0.0000005*$B$10*F294*$B$8*((('Sheet1 select'!$B$33+0.5*'Sheet1 select'!$B$32)/(('Sheet1 select'!$B$10-'Sheet1 select'!$B$23)/('Sheet1 select'!$B$27+'Sheet1 select'!$B$8)))+(('Sheet1 select'!$B$33+0.5*'Sheet1 select'!$B$32)/(('Sheet1 select'!$B$23)/('Sheet1 select'!$B$27+'Sheet1 select'!$B$9))))</f>
        <v>1.0698161379674071E-2</v>
      </c>
      <c r="L294" s="45">
        <f>(F294*$B$28)*(('Sheet1 select'!$B$12+'Sheet1 select'!$B$13)*(0.000000001))*$B$8*1000</f>
        <v>0</v>
      </c>
      <c r="M294" s="45">
        <f t="shared" si="30"/>
        <v>6.481272239439854E-3</v>
      </c>
      <c r="N294" s="46">
        <f>$B$10*'Sheet1 select'!$B$29*0.001</f>
        <v>1.2E-2</v>
      </c>
      <c r="O294" s="44">
        <f>'Sheet1 select'!$B$10*'Sheet1 select'!$B$31*$B$8*1000*0.000000001</f>
        <v>3.0000000000000001E-3</v>
      </c>
      <c r="P294" s="44">
        <f>'Sheet1 select'!$B$35*$B$10*$B$8*1000*0.000000001</f>
        <v>0</v>
      </c>
      <c r="Q294" s="47">
        <f>IF('Sheet1 select'!$B$17=0,0,(0.00000006*0.7+0.00000003*(0.7+F294*1.1*'Sheet1 select'!$B$26))*F294*$B$8*1000)</f>
        <v>0</v>
      </c>
      <c r="R294" s="45">
        <f t="shared" ca="1" si="31"/>
        <v>0.35047173291179023</v>
      </c>
      <c r="S294" s="48">
        <f t="shared" ca="1" si="32"/>
        <v>0.91767433895348716</v>
      </c>
      <c r="T294" s="49">
        <f ca="1">H294+K294+O294+N294+'Sheet1 select'!$B$40*I294+J294+P294</f>
        <v>3.9582994005683769E-2</v>
      </c>
      <c r="U294" s="169">
        <f t="shared" ca="1" si="33"/>
        <v>2.7582994005683769E-2</v>
      </c>
      <c r="V294" s="47">
        <f t="shared" ca="1" si="34"/>
        <v>0</v>
      </c>
    </row>
    <row r="295" spans="5:22">
      <c r="E295" s="32">
        <v>294</v>
      </c>
      <c r="F295" s="45">
        <f t="shared" si="28"/>
        <v>0.78400000000000003</v>
      </c>
      <c r="G295" s="45">
        <f t="shared" si="29"/>
        <v>0.12293120000000002</v>
      </c>
      <c r="H295" s="45">
        <f ca="1">F295*F295*('Sheet1 select'!$B$25)*$B$3</f>
        <v>1.3979771376041355E-2</v>
      </c>
      <c r="I295" s="45">
        <f>F295*(1-$B$3)*'Sheet1 select'!$B$41</f>
        <v>0.18293333333333334</v>
      </c>
      <c r="J295" s="45">
        <f ca="1">F295*F295*('Sheet1 select'!$B$26)*(1-$B$3)</f>
        <v>0</v>
      </c>
      <c r="K295" s="45">
        <f>0.0000005*$B$10*F295*$B$8*((('Sheet1 select'!$B$33+0.5*'Sheet1 select'!$B$32)/(('Sheet1 select'!$B$10-'Sheet1 select'!$B$23)/('Sheet1 select'!$B$27+'Sheet1 select'!$B$8)))+(('Sheet1 select'!$B$33+0.5*'Sheet1 select'!$B$32)/(('Sheet1 select'!$B$23)/('Sheet1 select'!$B$27+'Sheet1 select'!$B$9))))</f>
        <v>1.0734673875850432E-2</v>
      </c>
      <c r="L295" s="45">
        <f>(F295*$B$28)*(('Sheet1 select'!$B$12+'Sheet1 select'!$B$13)*(0.000000001))*$B$8*1000</f>
        <v>0</v>
      </c>
      <c r="M295" s="45">
        <f t="shared" si="30"/>
        <v>6.481272239439854E-3</v>
      </c>
      <c r="N295" s="46">
        <f>$B$10*'Sheet1 select'!$B$29*0.001</f>
        <v>1.2E-2</v>
      </c>
      <c r="O295" s="44">
        <f>'Sheet1 select'!$B$10*'Sheet1 select'!$B$31*$B$8*1000*0.000000001</f>
        <v>3.0000000000000001E-3</v>
      </c>
      <c r="P295" s="44">
        <f>'Sheet1 select'!$B$35*$B$10*$B$8*1000*0.000000001</f>
        <v>0</v>
      </c>
      <c r="Q295" s="47">
        <f>IF('Sheet1 select'!$B$17=0,0,(0.00000006*0.7+0.00000003*(0.7+F295*1.1*'Sheet1 select'!$B$26))*F295*$B$8*1000)</f>
        <v>0</v>
      </c>
      <c r="R295" s="45">
        <f t="shared" ca="1" si="31"/>
        <v>0.35206025082466502</v>
      </c>
      <c r="S295" s="48">
        <f t="shared" ca="1" si="32"/>
        <v>0.91759005487885981</v>
      </c>
      <c r="T295" s="49">
        <f ca="1">H295+K295+O295+N295+'Sheet1 select'!$B$40*I295+J295+P295</f>
        <v>3.9714445251891786E-2</v>
      </c>
      <c r="U295" s="169">
        <f t="shared" ca="1" si="33"/>
        <v>2.7714445251891786E-2</v>
      </c>
      <c r="V295" s="47">
        <f t="shared" ca="1" si="34"/>
        <v>0</v>
      </c>
    </row>
    <row r="296" spans="5:22">
      <c r="E296" s="32">
        <v>295</v>
      </c>
      <c r="F296" s="45">
        <f t="shared" si="28"/>
        <v>0.78666666666666663</v>
      </c>
      <c r="G296" s="45">
        <f t="shared" si="29"/>
        <v>0.12376888888888889</v>
      </c>
      <c r="H296" s="45">
        <f ca="1">F296*F296*('Sheet1 select'!$B$25)*$B$3</f>
        <v>1.40750335971123E-2</v>
      </c>
      <c r="I296" s="45">
        <f>F296*(1-$B$3)*'Sheet1 select'!$B$41</f>
        <v>0.18355555555555553</v>
      </c>
      <c r="J296" s="45">
        <f ca="1">F296*F296*('Sheet1 select'!$B$26)*(1-$B$3)</f>
        <v>0</v>
      </c>
      <c r="K296" s="45">
        <f>0.0000005*$B$10*F296*$B$8*((('Sheet1 select'!$B$33+0.5*'Sheet1 select'!$B$32)/(('Sheet1 select'!$B$10-'Sheet1 select'!$B$23)/('Sheet1 select'!$B$27+'Sheet1 select'!$B$8)))+(('Sheet1 select'!$B$33+0.5*'Sheet1 select'!$B$32)/(('Sheet1 select'!$B$23)/('Sheet1 select'!$B$27+'Sheet1 select'!$B$9))))</f>
        <v>1.0771186372026793E-2</v>
      </c>
      <c r="L296" s="45">
        <f>(F296*$B$28)*(('Sheet1 select'!$B$12+'Sheet1 select'!$B$13)*(0.000000001))*$B$8*1000</f>
        <v>0</v>
      </c>
      <c r="M296" s="45">
        <f t="shared" si="30"/>
        <v>6.481272239439854E-3</v>
      </c>
      <c r="N296" s="46">
        <f>$B$10*'Sheet1 select'!$B$29*0.001</f>
        <v>1.2E-2</v>
      </c>
      <c r="O296" s="44">
        <f>'Sheet1 select'!$B$10*'Sheet1 select'!$B$31*$B$8*1000*0.000000001</f>
        <v>3.0000000000000001E-3</v>
      </c>
      <c r="P296" s="44">
        <f>'Sheet1 select'!$B$35*$B$10*$B$8*1000*0.000000001</f>
        <v>0</v>
      </c>
      <c r="Q296" s="47">
        <f>IF('Sheet1 select'!$B$17=0,0,(0.00000006*0.7+0.00000003*(0.7+F296*1.1*'Sheet1 select'!$B$26))*F296*$B$8*1000)</f>
        <v>0</v>
      </c>
      <c r="R296" s="45">
        <f t="shared" ca="1" si="31"/>
        <v>0.35365193665302336</v>
      </c>
      <c r="S296" s="48">
        <f t="shared" ca="1" si="32"/>
        <v>0.91750567954385609</v>
      </c>
      <c r="T296" s="49">
        <f ca="1">H296+K296+O296+N296+'Sheet1 select'!$B$40*I296+J296+P296</f>
        <v>3.9846219969139091E-2</v>
      </c>
      <c r="U296" s="169">
        <f t="shared" ca="1" si="33"/>
        <v>2.784621996913909E-2</v>
      </c>
      <c r="V296" s="47">
        <f t="shared" ca="1" si="34"/>
        <v>0</v>
      </c>
    </row>
    <row r="297" spans="5:22">
      <c r="E297" s="32">
        <v>296</v>
      </c>
      <c r="F297" s="45">
        <f t="shared" si="28"/>
        <v>0.78933333333333333</v>
      </c>
      <c r="G297" s="45">
        <f t="shared" si="29"/>
        <v>0.12460942222222222</v>
      </c>
      <c r="H297" s="45">
        <f ca="1">F297*F297*('Sheet1 select'!$B$25)*$B$3</f>
        <v>1.4170619289222539E-2</v>
      </c>
      <c r="I297" s="45">
        <f>F297*(1-$B$3)*'Sheet1 select'!$B$41</f>
        <v>0.18417777777777777</v>
      </c>
      <c r="J297" s="45">
        <f ca="1">F297*F297*('Sheet1 select'!$B$26)*(1-$B$3)</f>
        <v>0</v>
      </c>
      <c r="K297" s="45">
        <f>0.0000005*$B$10*F297*$B$8*((('Sheet1 select'!$B$33+0.5*'Sheet1 select'!$B$32)/(('Sheet1 select'!$B$10-'Sheet1 select'!$B$23)/('Sheet1 select'!$B$27+'Sheet1 select'!$B$8)))+(('Sheet1 select'!$B$33+0.5*'Sheet1 select'!$B$32)/(('Sheet1 select'!$B$23)/('Sheet1 select'!$B$27+'Sheet1 select'!$B$9))))</f>
        <v>1.0807698868203156E-2</v>
      </c>
      <c r="L297" s="45">
        <f>(F297*$B$28)*(('Sheet1 select'!$B$12+'Sheet1 select'!$B$13)*(0.000000001))*$B$8*1000</f>
        <v>0</v>
      </c>
      <c r="M297" s="45">
        <f t="shared" si="30"/>
        <v>6.481272239439854E-3</v>
      </c>
      <c r="N297" s="46">
        <f>$B$10*'Sheet1 select'!$B$29*0.001</f>
        <v>1.2E-2</v>
      </c>
      <c r="O297" s="44">
        <f>'Sheet1 select'!$B$10*'Sheet1 select'!$B$31*$B$8*1000*0.000000001</f>
        <v>3.0000000000000001E-3</v>
      </c>
      <c r="P297" s="44">
        <f>'Sheet1 select'!$B$35*$B$10*$B$8*1000*0.000000001</f>
        <v>0</v>
      </c>
      <c r="Q297" s="47">
        <f>IF('Sheet1 select'!$B$17=0,0,(0.00000006*0.7+0.00000003*(0.7+F297*1.1*'Sheet1 select'!$B$26))*F297*$B$8*1000)</f>
        <v>0</v>
      </c>
      <c r="R297" s="45">
        <f t="shared" ca="1" si="31"/>
        <v>0.35524679039686552</v>
      </c>
      <c r="S297" s="48">
        <f t="shared" ca="1" si="32"/>
        <v>0.91742121408473065</v>
      </c>
      <c r="T297" s="49">
        <f ca="1">H297+K297+O297+N297+'Sheet1 select'!$B$40*I297+J297+P297</f>
        <v>3.9978318157425696E-2</v>
      </c>
      <c r="U297" s="169">
        <f t="shared" ca="1" si="33"/>
        <v>2.7978318157425696E-2</v>
      </c>
      <c r="V297" s="47">
        <f t="shared" ca="1" si="34"/>
        <v>0</v>
      </c>
    </row>
    <row r="298" spans="5:22">
      <c r="E298" s="32">
        <v>297</v>
      </c>
      <c r="F298" s="45">
        <f t="shared" si="28"/>
        <v>0.79200000000000004</v>
      </c>
      <c r="G298" s="45">
        <f t="shared" si="29"/>
        <v>0.1254528</v>
      </c>
      <c r="H298" s="45">
        <f ca="1">F298*F298*('Sheet1 select'!$B$25)*$B$3</f>
        <v>1.4266528452372066E-2</v>
      </c>
      <c r="I298" s="45">
        <f>F298*(1-$B$3)*'Sheet1 select'!$B$41</f>
        <v>0.18479999999999999</v>
      </c>
      <c r="J298" s="45">
        <f ca="1">F298*F298*('Sheet1 select'!$B$26)*(1-$B$3)</f>
        <v>0</v>
      </c>
      <c r="K298" s="45">
        <f>0.0000005*$B$10*F298*$B$8*((('Sheet1 select'!$B$33+0.5*'Sheet1 select'!$B$32)/(('Sheet1 select'!$B$10-'Sheet1 select'!$B$23)/('Sheet1 select'!$B$27+'Sheet1 select'!$B$8)))+(('Sheet1 select'!$B$33+0.5*'Sheet1 select'!$B$32)/(('Sheet1 select'!$B$23)/('Sheet1 select'!$B$27+'Sheet1 select'!$B$9))))</f>
        <v>1.0844211364379519E-2</v>
      </c>
      <c r="L298" s="45">
        <f>(F298*$B$28)*(('Sheet1 select'!$B$12+'Sheet1 select'!$B$13)*(0.000000001))*$B$8*1000</f>
        <v>0</v>
      </c>
      <c r="M298" s="45">
        <f t="shared" si="30"/>
        <v>6.481272239439854E-3</v>
      </c>
      <c r="N298" s="46">
        <f>$B$10*'Sheet1 select'!$B$29*0.001</f>
        <v>1.2E-2</v>
      </c>
      <c r="O298" s="44">
        <f>'Sheet1 select'!$B$10*'Sheet1 select'!$B$31*$B$8*1000*0.000000001</f>
        <v>3.0000000000000001E-3</v>
      </c>
      <c r="P298" s="44">
        <f>'Sheet1 select'!$B$35*$B$10*$B$8*1000*0.000000001</f>
        <v>0</v>
      </c>
      <c r="Q298" s="47">
        <f>IF('Sheet1 select'!$B$17=0,0,(0.00000006*0.7+0.00000003*(0.7+F298*1.1*'Sheet1 select'!$B$26))*F298*$B$8*1000)</f>
        <v>0</v>
      </c>
      <c r="R298" s="45">
        <f t="shared" ca="1" si="31"/>
        <v>0.35684481205619145</v>
      </c>
      <c r="S298" s="48">
        <f t="shared" ca="1" si="32"/>
        <v>0.91733665962241995</v>
      </c>
      <c r="T298" s="49">
        <f ca="1">H298+K298+O298+N298+'Sheet1 select'!$B$40*I298+J298+P298</f>
        <v>4.0110739816751582E-2</v>
      </c>
      <c r="U298" s="169">
        <f t="shared" ca="1" si="33"/>
        <v>2.8110739816751582E-2</v>
      </c>
      <c r="V298" s="47">
        <f t="shared" ca="1" si="34"/>
        <v>0</v>
      </c>
    </row>
    <row r="299" spans="5:22">
      <c r="E299" s="32">
        <v>298</v>
      </c>
      <c r="F299" s="45">
        <f t="shared" si="28"/>
        <v>0.79466666666666663</v>
      </c>
      <c r="G299" s="45">
        <f t="shared" si="29"/>
        <v>0.1262990222222222</v>
      </c>
      <c r="H299" s="45">
        <f ca="1">F299*F299*('Sheet1 select'!$B$25)*$B$3</f>
        <v>1.4362761086560878E-2</v>
      </c>
      <c r="I299" s="45">
        <f>F299*(1-$B$3)*'Sheet1 select'!$B$41</f>
        <v>0.18542222222222221</v>
      </c>
      <c r="J299" s="45">
        <f ca="1">F299*F299*('Sheet1 select'!$B$26)*(1-$B$3)</f>
        <v>0</v>
      </c>
      <c r="K299" s="45">
        <f>0.0000005*$B$10*F299*$B$8*((('Sheet1 select'!$B$33+0.5*'Sheet1 select'!$B$32)/(('Sheet1 select'!$B$10-'Sheet1 select'!$B$23)/('Sheet1 select'!$B$27+'Sheet1 select'!$B$8)))+(('Sheet1 select'!$B$33+0.5*'Sheet1 select'!$B$32)/(('Sheet1 select'!$B$23)/('Sheet1 select'!$B$27+'Sheet1 select'!$B$9))))</f>
        <v>1.088072386055588E-2</v>
      </c>
      <c r="L299" s="45">
        <f>(F299*$B$28)*(('Sheet1 select'!$B$12+'Sheet1 select'!$B$13)*(0.000000001))*$B$8*1000</f>
        <v>0</v>
      </c>
      <c r="M299" s="45">
        <f t="shared" si="30"/>
        <v>6.481272239439854E-3</v>
      </c>
      <c r="N299" s="46">
        <f>$B$10*'Sheet1 select'!$B$29*0.001</f>
        <v>1.2E-2</v>
      </c>
      <c r="O299" s="44">
        <f>'Sheet1 select'!$B$10*'Sheet1 select'!$B$31*$B$8*1000*0.000000001</f>
        <v>3.0000000000000001E-3</v>
      </c>
      <c r="P299" s="44">
        <f>'Sheet1 select'!$B$35*$B$10*$B$8*1000*0.000000001</f>
        <v>0</v>
      </c>
      <c r="Q299" s="47">
        <f>IF('Sheet1 select'!$B$17=0,0,(0.00000006*0.7+0.00000003*(0.7+F299*1.1*'Sheet1 select'!$B$26))*F299*$B$8*1000)</f>
        <v>0</v>
      </c>
      <c r="R299" s="45">
        <f t="shared" ca="1" si="31"/>
        <v>0.35844600163100099</v>
      </c>
      <c r="S299" s="48">
        <f t="shared" ca="1" si="32"/>
        <v>0.91725201726279704</v>
      </c>
      <c r="T299" s="49">
        <f ca="1">H299+K299+O299+N299+'Sheet1 select'!$B$40*I299+J299+P299</f>
        <v>4.0243484947116756E-2</v>
      </c>
      <c r="U299" s="169">
        <f t="shared" ca="1" si="33"/>
        <v>2.8243484947116756E-2</v>
      </c>
      <c r="V299" s="47">
        <f t="shared" ca="1" si="34"/>
        <v>0</v>
      </c>
    </row>
    <row r="300" spans="5:22">
      <c r="E300" s="32">
        <v>299</v>
      </c>
      <c r="F300" s="45">
        <f t="shared" si="28"/>
        <v>0.79733333333333334</v>
      </c>
      <c r="G300" s="45">
        <f t="shared" si="29"/>
        <v>0.1271480888888889</v>
      </c>
      <c r="H300" s="45">
        <f ca="1">F300*F300*('Sheet1 select'!$B$25)*$B$3</f>
        <v>1.4459317191788989E-2</v>
      </c>
      <c r="I300" s="45">
        <f>F300*(1-$B$3)*'Sheet1 select'!$B$41</f>
        <v>0.18604444444444443</v>
      </c>
      <c r="J300" s="45">
        <f ca="1">F300*F300*('Sheet1 select'!$B$26)*(1-$B$3)</f>
        <v>0</v>
      </c>
      <c r="K300" s="45">
        <f>0.0000005*$B$10*F300*$B$8*((('Sheet1 select'!$B$33+0.5*'Sheet1 select'!$B$32)/(('Sheet1 select'!$B$10-'Sheet1 select'!$B$23)/('Sheet1 select'!$B$27+'Sheet1 select'!$B$8)))+(('Sheet1 select'!$B$33+0.5*'Sheet1 select'!$B$32)/(('Sheet1 select'!$B$23)/('Sheet1 select'!$B$27+'Sheet1 select'!$B$9))))</f>
        <v>1.0917236356732243E-2</v>
      </c>
      <c r="L300" s="45">
        <f>(F300*$B$28)*(('Sheet1 select'!$B$12+'Sheet1 select'!$B$13)*(0.000000001))*$B$8*1000</f>
        <v>0</v>
      </c>
      <c r="M300" s="45">
        <f t="shared" si="30"/>
        <v>6.481272239439854E-3</v>
      </c>
      <c r="N300" s="46">
        <f>$B$10*'Sheet1 select'!$B$29*0.001</f>
        <v>1.2E-2</v>
      </c>
      <c r="O300" s="44">
        <f>'Sheet1 select'!$B$10*'Sheet1 select'!$B$31*$B$8*1000*0.000000001</f>
        <v>3.0000000000000001E-3</v>
      </c>
      <c r="P300" s="44">
        <f>'Sheet1 select'!$B$35*$B$10*$B$8*1000*0.000000001</f>
        <v>0</v>
      </c>
      <c r="Q300" s="47">
        <f>IF('Sheet1 select'!$B$17=0,0,(0.00000006*0.7+0.00000003*(0.7+F300*1.1*'Sheet1 select'!$B$26))*F300*$B$8*1000)</f>
        <v>0</v>
      </c>
      <c r="R300" s="45">
        <f t="shared" ca="1" si="31"/>
        <v>0.36005035912129446</v>
      </c>
      <c r="S300" s="48">
        <f t="shared" ca="1" si="32"/>
        <v>0.91716728809692294</v>
      </c>
      <c r="T300" s="49">
        <f ca="1">H300+K300+O300+N300+'Sheet1 select'!$B$40*I300+J300+P300</f>
        <v>4.0376553548521231E-2</v>
      </c>
      <c r="U300" s="169">
        <f t="shared" ca="1" si="33"/>
        <v>2.8376553548521231E-2</v>
      </c>
      <c r="V300" s="47">
        <f t="shared" ca="1" si="34"/>
        <v>0</v>
      </c>
    </row>
    <row r="301" spans="5:22">
      <c r="E301" s="32">
        <v>300</v>
      </c>
      <c r="F301" s="50">
        <f t="shared" si="28"/>
        <v>0.8</v>
      </c>
      <c r="G301" s="45">
        <f t="shared" si="29"/>
        <v>0.12800000000000003</v>
      </c>
      <c r="H301" s="45">
        <f ca="1">F301*F301*('Sheet1 select'!$B$25)*$B$3</f>
        <v>1.4556196768056388E-2</v>
      </c>
      <c r="I301" s="45">
        <f>F301*(1-$B$3)*'Sheet1 select'!$B$41</f>
        <v>0.18666666666666665</v>
      </c>
      <c r="J301" s="45">
        <f ca="1">F301*F301*('Sheet1 select'!$B$26)*(1-$B$3)</f>
        <v>0</v>
      </c>
      <c r="K301" s="45">
        <f>0.0000005*$B$10*F301*$B$8*((('Sheet1 select'!$B$33+0.5*'Sheet1 select'!$B$32)/(('Sheet1 select'!$B$10-'Sheet1 select'!$B$23)/('Sheet1 select'!$B$27+'Sheet1 select'!$B$8)))+(('Sheet1 select'!$B$33+0.5*'Sheet1 select'!$B$32)/(('Sheet1 select'!$B$23)/('Sheet1 select'!$B$27+'Sheet1 select'!$B$9))))</f>
        <v>1.0953748852908606E-2</v>
      </c>
      <c r="L301" s="45">
        <f>(F301*$B$28)*(('Sheet1 select'!$B$12+'Sheet1 select'!$B$13)*(0.000000001))*$B$8*1000</f>
        <v>0</v>
      </c>
      <c r="M301" s="45">
        <f t="shared" si="30"/>
        <v>6.481272239439854E-3</v>
      </c>
      <c r="N301" s="46">
        <f>$B$10*'Sheet1 select'!$B$29*0.001</f>
        <v>1.2E-2</v>
      </c>
      <c r="O301" s="44">
        <f>'Sheet1 select'!$B$10*'Sheet1 select'!$B$31*$B$8*1000*0.000000001</f>
        <v>3.0000000000000001E-3</v>
      </c>
      <c r="P301" s="44">
        <f>'Sheet1 select'!$B$35*$B$10*$B$8*1000*0.000000001</f>
        <v>0</v>
      </c>
      <c r="Q301" s="47">
        <f>IF('Sheet1 select'!$B$17=0,0,(0.00000006*0.7+0.00000003*(0.7+F301*1.1*'Sheet1 select'!$B$26))*F301*$B$8*1000)</f>
        <v>0</v>
      </c>
      <c r="R301" s="45">
        <f t="shared" ca="1" si="31"/>
        <v>0.36165788452707154</v>
      </c>
      <c r="S301" s="48">
        <f t="shared" ca="1" si="32"/>
        <v>0.91708247320129155</v>
      </c>
      <c r="T301" s="49">
        <f ca="1">H301+K301+O301+N301+'Sheet1 select'!$B$40*I301+J301+P301</f>
        <v>4.0509945620964993E-2</v>
      </c>
      <c r="U301" s="169">
        <f t="shared" ca="1" si="33"/>
        <v>2.8509945620964993E-2</v>
      </c>
      <c r="V301" s="47">
        <f t="shared" ca="1" si="34"/>
        <v>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34"/>
  <sheetViews>
    <sheetView workbookViewId="0">
      <pane ySplit="13" topLeftCell="A606" activePane="bottomLeft" state="frozen"/>
      <selection pane="bottomLeft" activeCell="H7" sqref="H7"/>
    </sheetView>
  </sheetViews>
  <sheetFormatPr defaultColWidth="8" defaultRowHeight="12.75"/>
  <cols>
    <col min="1" max="1" width="13.75" style="71" customWidth="1"/>
    <col min="2" max="2" width="17.5" style="72" customWidth="1"/>
    <col min="3" max="3" width="9.5" style="72" customWidth="1"/>
    <col min="4" max="4" width="8.875" style="72" customWidth="1"/>
    <col min="5" max="5" width="10.375" style="72" customWidth="1"/>
    <col min="6" max="6" width="12.5" style="72" customWidth="1"/>
    <col min="7" max="7" width="9.625" style="72" customWidth="1"/>
    <col min="8" max="8" width="10.5" style="72" customWidth="1"/>
    <col min="9" max="9" width="10" style="72" customWidth="1"/>
    <col min="10" max="10" width="9.5" style="72" customWidth="1"/>
    <col min="11" max="15" width="13.25" style="72" customWidth="1"/>
    <col min="16" max="16" width="10.75" style="72" customWidth="1"/>
    <col min="17" max="17" width="10.625" style="72" customWidth="1"/>
    <col min="18" max="18" width="8.25" style="72" customWidth="1"/>
    <col min="19" max="19" width="10.75" style="72" customWidth="1"/>
    <col min="20" max="20" width="11.5" style="72" customWidth="1"/>
    <col min="21" max="21" width="8" style="72" customWidth="1"/>
    <col min="22" max="22" width="9.625" style="72" bestFit="1" customWidth="1"/>
    <col min="23" max="24" width="8" style="72" customWidth="1"/>
    <col min="25" max="25" width="11.875" style="72" customWidth="1"/>
    <col min="26" max="26" width="9.25" style="72" customWidth="1"/>
    <col min="27" max="27" width="8" style="72" customWidth="1"/>
    <col min="28" max="28" width="8.125" style="72" bestFit="1" customWidth="1"/>
    <col min="29" max="29" width="9.875" style="72" bestFit="1" customWidth="1"/>
    <col min="30" max="16384" width="8" style="72"/>
  </cols>
  <sheetData>
    <row r="1" spans="1:30" ht="13.5" thickBot="1"/>
    <row r="2" spans="1:30" ht="13.5" thickBot="1">
      <c r="A2" s="309" t="s">
        <v>187</v>
      </c>
      <c r="B2" s="310"/>
      <c r="C2" s="310"/>
      <c r="D2" s="309" t="s">
        <v>95</v>
      </c>
      <c r="E2" s="310"/>
      <c r="F2" s="312"/>
      <c r="G2" s="311" t="s">
        <v>188</v>
      </c>
      <c r="H2" s="310"/>
      <c r="I2" s="312"/>
      <c r="J2" s="309" t="s">
        <v>96</v>
      </c>
      <c r="K2" s="310"/>
      <c r="L2" s="310"/>
      <c r="M2" s="310"/>
      <c r="N2" s="310"/>
      <c r="O2" s="310"/>
      <c r="P2" s="312"/>
      <c r="Q2" s="73" t="s">
        <v>97</v>
      </c>
      <c r="R2" s="74"/>
      <c r="S2" s="75"/>
    </row>
    <row r="3" spans="1:30">
      <c r="A3" s="76" t="s">
        <v>98</v>
      </c>
      <c r="B3" s="77">
        <f>'Sheet1 select'!B18/'EZBuck design calculator'!N16</f>
        <v>0.16</v>
      </c>
      <c r="C3" s="225" t="s">
        <v>99</v>
      </c>
      <c r="D3" s="79" t="s">
        <v>100</v>
      </c>
      <c r="E3" s="77">
        <f ca="1">('EZBuck design calculator'!N16/'EZBuck design calculator'!N17)/('Sheet1 select'!B25*'Sheet1 select'!B5)</f>
        <v>57.249386403053137</v>
      </c>
      <c r="F3" s="78" t="s">
        <v>99</v>
      </c>
      <c r="G3" s="82" t="s">
        <v>101</v>
      </c>
      <c r="H3" s="81">
        <f>1000000000/(2*3.14159265*'EZBuck design calculator'!N40*'EZBuck design calculator'!N41)</f>
        <v>599.45364698213314</v>
      </c>
      <c r="I3" s="78" t="s">
        <v>29</v>
      </c>
      <c r="J3" s="80" t="s">
        <v>102</v>
      </c>
      <c r="K3" s="81">
        <f>'EZBuck design calculator'!N22*1000/2</f>
        <v>100000</v>
      </c>
      <c r="L3" s="230"/>
      <c r="M3" s="230"/>
      <c r="N3" s="230"/>
      <c r="O3" s="230"/>
      <c r="P3" s="78" t="s">
        <v>29</v>
      </c>
      <c r="Q3" s="82" t="s">
        <v>103</v>
      </c>
      <c r="R3" s="81">
        <f ca="1">E3*E4*B3*B6</f>
        <v>4071.9972997493237</v>
      </c>
      <c r="S3" s="83" t="s">
        <v>99</v>
      </c>
      <c r="T3" s="204" t="s">
        <v>104</v>
      </c>
    </row>
    <row r="4" spans="1:30" ht="13.5" thickBot="1">
      <c r="A4" s="76" t="s">
        <v>105</v>
      </c>
      <c r="B4" s="81">
        <f>1000000/(2*3.14159265*'EZBuck design calculator'!N58*'EZBuck design calculator'!N57)</f>
        <v>61.211085448158286</v>
      </c>
      <c r="C4" s="225" t="s">
        <v>29</v>
      </c>
      <c r="D4" s="80" t="s">
        <v>106</v>
      </c>
      <c r="E4" s="77">
        <f ca="1">1/(1+(1000*('EZBuck design calculator'!N16/'EZBuck design calculator'!N17)*(E7*(1-'Efficiency calculations'!B3)-0.5)/('EZBuck design calculator'!N22*'EZBuck design calculator'!N29)))</f>
        <v>0.27784122156630675</v>
      </c>
      <c r="F4" s="78" t="s">
        <v>99</v>
      </c>
      <c r="G4" s="82" t="s">
        <v>107</v>
      </c>
      <c r="H4" s="81">
        <f ca="1">(1000000/(2*3.14159265*'EZBuck design calculator'!N40*('EZBuck design calculator'!N16/'EZBuck design calculator'!N17)))+(1000000000*(E7*(1-'Efficiency calculations'!B3)-0.5)/(2*3.14159265*'EZBuck design calculator'!N22*'EZBuck design calculator'!N29*'EZBuck design calculator'!N40))</f>
        <v>61.101542769032818</v>
      </c>
      <c r="I4" s="78" t="s">
        <v>29</v>
      </c>
      <c r="J4" s="84" t="s">
        <v>108</v>
      </c>
      <c r="K4" s="85">
        <f ca="1">K6*Pole3</f>
        <v>17395.681743210138</v>
      </c>
      <c r="L4" s="231"/>
      <c r="M4" s="231"/>
      <c r="N4" s="231"/>
      <c r="O4" s="231"/>
      <c r="P4" s="83"/>
      <c r="Q4" s="86" t="s">
        <v>109</v>
      </c>
      <c r="R4" s="87">
        <f ca="1">MIN(V14:V614)/1000</f>
        <v>34.673999999999999</v>
      </c>
      <c r="S4" s="78" t="s">
        <v>110</v>
      </c>
      <c r="T4" s="205">
        <f ca="1">K6</f>
        <v>0.1739568174321014</v>
      </c>
    </row>
    <row r="5" spans="1:30">
      <c r="A5" s="76" t="s">
        <v>111</v>
      </c>
      <c r="B5" s="88">
        <f>1000/(2*3.14159265*'Sheet1 select'!B7*'EZBuck design calculator'!N57)</f>
        <v>7.3682844108220547</v>
      </c>
      <c r="C5" s="225" t="s">
        <v>29</v>
      </c>
      <c r="D5" s="198" t="s">
        <v>135</v>
      </c>
      <c r="E5" s="199">
        <f>'Sheet1 select'!B4*'EZBuck design calculator'!N22*1000</f>
        <v>104000</v>
      </c>
      <c r="F5" s="83"/>
      <c r="G5" s="86"/>
      <c r="H5" s="199"/>
      <c r="I5" s="83"/>
      <c r="J5" s="84" t="s">
        <v>112</v>
      </c>
      <c r="K5" s="85">
        <f>Pole3^2</f>
        <v>10000000000</v>
      </c>
      <c r="L5" s="231"/>
      <c r="M5" s="231"/>
      <c r="N5" s="231"/>
      <c r="O5" s="231"/>
      <c r="P5" s="83"/>
      <c r="Q5" s="86" t="s">
        <v>113</v>
      </c>
      <c r="R5" s="87">
        <f ca="1">T618</f>
        <v>70.22653881354718</v>
      </c>
      <c r="S5" s="78" t="s">
        <v>114</v>
      </c>
    </row>
    <row r="6" spans="1:30" ht="13.5" thickBot="1">
      <c r="A6" s="215" t="s">
        <v>115</v>
      </c>
      <c r="B6" s="81">
        <f>'Sheet1 select'!B6*'Sheet1 select'!B7</f>
        <v>1600</v>
      </c>
      <c r="C6" s="226" t="s">
        <v>99</v>
      </c>
      <c r="D6" s="227" t="s">
        <v>136</v>
      </c>
      <c r="E6" s="223">
        <f ca="1">1000000*(1-'Efficiency calculations'!B3)*'EZBuck design calculator'!N15*'Sheet1 select'!B25*'Sheet1 select'!B5/'EZBuck design calculator'!N29</f>
        <v>34736.37865104364</v>
      </c>
      <c r="F6" s="224"/>
      <c r="G6" s="203"/>
      <c r="H6" s="202"/>
      <c r="I6" s="201"/>
      <c r="J6" s="200" t="s">
        <v>138</v>
      </c>
      <c r="K6" s="202">
        <f ca="1">1/(3.14159265*(E7*(1-'Efficiency calculations'!B3)-0.5))</f>
        <v>0.1739568174321014</v>
      </c>
      <c r="L6" s="232"/>
      <c r="M6" s="232"/>
      <c r="N6" s="232"/>
      <c r="O6" s="232"/>
      <c r="P6" s="201"/>
      <c r="Q6" s="203" t="s">
        <v>116</v>
      </c>
      <c r="R6" s="202">
        <f>180/3.14159265</f>
        <v>57.295779578552292</v>
      </c>
      <c r="S6" s="201"/>
    </row>
    <row r="7" spans="1:30" ht="13.5" thickBot="1">
      <c r="A7" s="216" t="s">
        <v>117</v>
      </c>
      <c r="B7" s="217">
        <f>IF('EZBuck design calculator'!N59=0,1/(2*3.14159265*'EZBuck design calculator'!N58*1000*G7*0.000000000001),1/(2*3.14159265*'EZBuck design calculator'!N58*1000*('EZBuck design calculator'!N59+G7)*0.000000000001))</f>
        <v>600.98156621828139</v>
      </c>
      <c r="C7" s="222" t="s">
        <v>217</v>
      </c>
      <c r="D7" s="228" t="s">
        <v>137</v>
      </c>
      <c r="E7" s="229">
        <f ca="1">1+E5/E6</f>
        <v>3.9939793392042429</v>
      </c>
      <c r="F7" s="90"/>
      <c r="G7" s="72">
        <f>IF('Efficiency calculations'!A2&lt;0.14,IF('EZBuck design calculator'!M16&lt;3.1,47,10),10)</f>
        <v>10</v>
      </c>
    </row>
    <row r="8" spans="1:30">
      <c r="A8" s="218" t="s">
        <v>215</v>
      </c>
      <c r="B8" s="81">
        <f>IF('EZBuck design calculator'!N60=0,1000000000/(2*3.14159265*0.0000001*'EZBuck design calculator'!N49),1000000000/(2*3.14159265*'EZBuck design calculator'!N60*'EZBuck design calculator'!N49))</f>
        <v>13779.648768290595</v>
      </c>
      <c r="C8" s="220" t="s">
        <v>217</v>
      </c>
      <c r="D8" s="127"/>
    </row>
    <row r="9" spans="1:30" ht="13.5" thickBot="1">
      <c r="A9" s="219" t="s">
        <v>216</v>
      </c>
      <c r="B9" s="89">
        <f>IF('EZBuck design calculator'!N60=0,1000000000/(2*3.14159265*0.0000001*(('EZBuck design calculator'!N48*'EZBuck design calculator'!N49)/('EZBuck design calculator'!N48+'EZBuck design calculator'!N49))),1000000000/(2*3.14159265*'EZBuck design calculator'!N60*(('EZBuck design calculator'!N48*'EZBuck design calculator'!N49)/('EZBuck design calculator'!N48+'EZBuck design calculator'!N49))))</f>
        <v>86122.804801816208</v>
      </c>
      <c r="C9" s="221" t="s">
        <v>217</v>
      </c>
      <c r="D9" s="127"/>
    </row>
    <row r="10" spans="1:30" ht="13.5" thickBot="1"/>
    <row r="11" spans="1:30" ht="15">
      <c r="A11" s="313" t="s">
        <v>118</v>
      </c>
      <c r="B11" s="316" t="s">
        <v>119</v>
      </c>
      <c r="C11" s="321"/>
      <c r="D11" s="321"/>
      <c r="E11" s="322"/>
      <c r="F11" s="316" t="s">
        <v>120</v>
      </c>
      <c r="G11" s="321"/>
      <c r="H11" s="321"/>
      <c r="I11" s="322"/>
      <c r="J11" s="206"/>
      <c r="K11" s="206"/>
      <c r="L11" s="206"/>
      <c r="M11" s="206"/>
      <c r="N11" s="206"/>
      <c r="O11" s="206"/>
      <c r="P11" s="316" t="s">
        <v>121</v>
      </c>
      <c r="Q11" s="322"/>
      <c r="R11" s="316" t="s">
        <v>122</v>
      </c>
      <c r="S11" s="317"/>
      <c r="T11" s="318"/>
      <c r="Y11" s="307" t="s">
        <v>123</v>
      </c>
      <c r="Z11" s="308"/>
      <c r="AB11" s="307" t="s">
        <v>124</v>
      </c>
      <c r="AC11" s="308"/>
    </row>
    <row r="12" spans="1:30">
      <c r="A12" s="314"/>
      <c r="B12" s="323" t="s">
        <v>107</v>
      </c>
      <c r="C12" s="319"/>
      <c r="D12" s="319" t="s">
        <v>101</v>
      </c>
      <c r="E12" s="320"/>
      <c r="F12" s="323" t="s">
        <v>111</v>
      </c>
      <c r="G12" s="319"/>
      <c r="H12" s="319" t="s">
        <v>105</v>
      </c>
      <c r="I12" s="320"/>
      <c r="J12" s="324" t="s">
        <v>117</v>
      </c>
      <c r="K12" s="325"/>
      <c r="L12" s="319" t="s">
        <v>218</v>
      </c>
      <c r="M12" s="320"/>
      <c r="N12" s="323" t="s">
        <v>219</v>
      </c>
      <c r="O12" s="319"/>
      <c r="P12" s="323" t="s">
        <v>125</v>
      </c>
      <c r="Q12" s="320"/>
      <c r="R12" s="80" t="s">
        <v>126</v>
      </c>
      <c r="S12" s="77"/>
      <c r="T12" s="78" t="s">
        <v>113</v>
      </c>
      <c r="Y12" s="80"/>
      <c r="Z12" s="78"/>
      <c r="AB12" s="80"/>
      <c r="AC12" s="78"/>
    </row>
    <row r="13" spans="1:30" ht="13.5" thickBot="1">
      <c r="A13" s="315"/>
      <c r="B13" s="91" t="s">
        <v>127</v>
      </c>
      <c r="C13" s="92" t="s">
        <v>128</v>
      </c>
      <c r="D13" s="92" t="s">
        <v>127</v>
      </c>
      <c r="E13" s="93" t="s">
        <v>128</v>
      </c>
      <c r="F13" s="91" t="s">
        <v>127</v>
      </c>
      <c r="G13" s="92" t="s">
        <v>128</v>
      </c>
      <c r="H13" s="92" t="s">
        <v>127</v>
      </c>
      <c r="I13" s="93" t="s">
        <v>128</v>
      </c>
      <c r="J13" s="91" t="s">
        <v>127</v>
      </c>
      <c r="K13" s="92" t="s">
        <v>128</v>
      </c>
      <c r="L13" s="92" t="s">
        <v>127</v>
      </c>
      <c r="M13" s="93" t="s">
        <v>128</v>
      </c>
      <c r="N13" s="91" t="s">
        <v>127</v>
      </c>
      <c r="O13" s="92" t="s">
        <v>128</v>
      </c>
      <c r="P13" s="91" t="s">
        <v>127</v>
      </c>
      <c r="Q13" s="93" t="s">
        <v>128</v>
      </c>
      <c r="R13" s="94" t="s">
        <v>126</v>
      </c>
      <c r="S13" s="95" t="s">
        <v>129</v>
      </c>
      <c r="T13" s="96" t="s">
        <v>113</v>
      </c>
      <c r="W13" s="97" t="s">
        <v>130</v>
      </c>
      <c r="Y13" s="98" t="s">
        <v>131</v>
      </c>
      <c r="Z13" s="99" t="s">
        <v>132</v>
      </c>
      <c r="AB13" s="98" t="s">
        <v>131</v>
      </c>
      <c r="AC13" s="99" t="s">
        <v>132</v>
      </c>
    </row>
    <row r="14" spans="1:30">
      <c r="A14" s="100">
        <v>1</v>
      </c>
      <c r="B14" s="101">
        <f t="shared" ref="B14:B77" ca="1" si="0">SQRT(1+(A14/Pole1)^2)</f>
        <v>1.0001339172657497</v>
      </c>
      <c r="C14" s="102">
        <f t="shared" ref="C14:C77" ca="1" si="1">ATAN(A14/Pole1)</f>
        <v>1.6364737858925265E-2</v>
      </c>
      <c r="D14" s="102">
        <f t="shared" ref="D14:D77" si="2">SQRT(1+(A14/Zero1)^2)</f>
        <v>1.0000013914207919</v>
      </c>
      <c r="E14" s="103">
        <f t="shared" ref="E14:E77" si="3">ATAN(A14/Zero1)</f>
        <v>1.6681841497193316E-3</v>
      </c>
      <c r="F14" s="101">
        <f t="shared" ref="F14:F77" si="4">SQRT(1+(A14/Pole2)^2)</f>
        <v>1.009167503675874</v>
      </c>
      <c r="G14" s="104">
        <f t="shared" ref="G14:G77" si="5">ATAN(A14/Pole2)</f>
        <v>0.13489263351930664</v>
      </c>
      <c r="H14" s="102">
        <f t="shared" ref="H14:H77" si="6">SQRT(1+(A14/Zero2)^2)</f>
        <v>1.0001334384128786</v>
      </c>
      <c r="I14" s="103">
        <f t="shared" ref="I14:I77" si="7">ATAN(A14/Zero2)</f>
        <v>1.6335456920029665E-2</v>
      </c>
      <c r="J14" s="101">
        <f t="shared" ref="J14:J77" si="8">SQRT(1+(A14/pole4)^2)</f>
        <v>1.0000013843547697</v>
      </c>
      <c r="K14" s="104">
        <f t="shared" ref="K14:K77" si="9">ATAN(A14/pole4)</f>
        <v>1.6639430114142749E-3</v>
      </c>
      <c r="L14" s="102">
        <f t="shared" ref="L14:L77" si="10">SQRT(1+(A14/Zerofeed)^2)</f>
        <v>1.0000000026332598</v>
      </c>
      <c r="M14" s="103">
        <f t="shared" ref="M14:M77" si="11">ATAN(A14/Zerofeed)</f>
        <v>7.2570790087601509E-5</v>
      </c>
      <c r="N14" s="101">
        <f t="shared" ref="N14:N77" si="12">SQRT(1+(A14/Polefeed)^2)</f>
        <v>1.0000000000674114</v>
      </c>
      <c r="O14" s="104">
        <f t="shared" ref="O14:O77" si="13">ATAN(A14/Polefeed)</f>
        <v>1.1611326433878178E-5</v>
      </c>
      <c r="P14" s="105">
        <f t="shared" ref="P14:P77" ca="1" si="14">SQRT((1-(W14/pterm2))^2+(A14/pterm1)^2)</f>
        <v>1.000000001552293</v>
      </c>
      <c r="Q14" s="106">
        <f t="shared" ref="Q14:Q77" ca="1" si="15">IF((ATAN((A14/pterm1)/(1-A14^2/pterm2))&gt;0),ATAN((A14/pterm1)/(1-A14^2/pterm2)),PI()+ATAN((A14/pterm1)/(1-A14^2/pterm2)))</f>
        <v>5.7485530820819371E-5</v>
      </c>
      <c r="R14" s="107">
        <f t="shared" ref="R14:R77" ca="1" si="16">20*LOG10(((D14*H14*L14)/(B14*F14*P14*J14*N14))*Adc)</f>
        <v>72.116880392163139</v>
      </c>
      <c r="S14" s="108">
        <f t="shared" ref="S14:S77" ca="1" si="17">((E14+I14+M14)-(C14+G14+Q14+K14+O14))*radconv</f>
        <v>-7.7300142300980896</v>
      </c>
      <c r="T14" s="109">
        <f t="shared" ref="T14:T77" ca="1" si="18">IF(S14&gt;0,S14,S14+180)</f>
        <v>172.26998576990192</v>
      </c>
      <c r="V14" s="72">
        <f t="shared" ref="V14:V77" ca="1" si="19">IF(R14&lt;0,A14,1000000000)</f>
        <v>1000000000</v>
      </c>
      <c r="W14" s="72">
        <f t="shared" ref="W14:W77" si="20">A14^2</f>
        <v>1</v>
      </c>
      <c r="Y14" s="110">
        <f t="shared" ref="Y14:Y77" si="21">20*LOG10(((H14*L14)/(F14*J14*N14))*Aea)</f>
        <v>64.004281459028419</v>
      </c>
      <c r="Z14" s="111">
        <f t="shared" ref="Z14:Z77" si="22">(I14+M14-(G14+K14+O14))*radconv</f>
        <v>-6.8846700499082063</v>
      </c>
      <c r="AA14" s="72">
        <f t="shared" ref="AA14:AA77" si="23">IF(Z14&gt;0,Z14,Z14+180)</f>
        <v>173.11532995009179</v>
      </c>
      <c r="AB14" s="110">
        <f t="shared" ref="AB14:AB77" ca="1" si="24">20*LOG10((D14/(B14*P14))*Acs*Am)</f>
        <v>24.030199280016223</v>
      </c>
      <c r="AC14" s="111">
        <f t="shared" ref="AC14:AC77" ca="1" si="25">(E14-(C14+Q14))*radconv</f>
        <v>-0.845344180189884</v>
      </c>
      <c r="AD14" s="72">
        <f t="shared" ref="AD14:AD77" ca="1" si="26">IF(AC14&gt;0,AC14,AC14+180)</f>
        <v>179.1546558198101</v>
      </c>
    </row>
    <row r="15" spans="1:30">
      <c r="A15" s="112">
        <v>1.0965</v>
      </c>
      <c r="B15" s="101">
        <f t="shared" ca="1" si="0"/>
        <v>1.0001610081883132</v>
      </c>
      <c r="C15" s="102">
        <f t="shared" ca="1" si="1"/>
        <v>1.794361102177541E-2</v>
      </c>
      <c r="D15" s="102">
        <f t="shared" si="2"/>
        <v>1.0000016729220278</v>
      </c>
      <c r="E15" s="103">
        <f t="shared" si="3"/>
        <v>1.8291635768930626E-3</v>
      </c>
      <c r="F15" s="101">
        <f t="shared" si="4"/>
        <v>1.0110120919256782</v>
      </c>
      <c r="G15" s="104">
        <f t="shared" si="5"/>
        <v>0.14772932940560352</v>
      </c>
      <c r="H15" s="113">
        <f t="shared" si="6"/>
        <v>1.0001604324732072</v>
      </c>
      <c r="I15" s="114">
        <f t="shared" si="7"/>
        <v>1.7911506208455118E-2</v>
      </c>
      <c r="J15" s="101">
        <f t="shared" si="8"/>
        <v>1.0000016644264649</v>
      </c>
      <c r="K15" s="104">
        <f t="shared" si="9"/>
        <v>1.8245131713531036E-3</v>
      </c>
      <c r="L15" s="102">
        <f t="shared" si="10"/>
        <v>1.0000000031660004</v>
      </c>
      <c r="M15" s="103">
        <f t="shared" si="11"/>
        <v>7.9573871302793565E-5</v>
      </c>
      <c r="N15" s="101">
        <f t="shared" si="12"/>
        <v>1.0000000000810496</v>
      </c>
      <c r="O15" s="104">
        <f t="shared" si="13"/>
        <v>1.2731819434631663E-5</v>
      </c>
      <c r="P15" s="105">
        <f t="shared" ca="1" si="14"/>
        <v>1.0000000018663409</v>
      </c>
      <c r="Q15" s="106">
        <f t="shared" ca="1" si="15"/>
        <v>6.3032884532256619E-5</v>
      </c>
      <c r="R15" s="107">
        <f t="shared" ca="1" si="16"/>
        <v>72.101017713730741</v>
      </c>
      <c r="S15" s="108">
        <f t="shared" ca="1" si="17"/>
        <v>-8.4656218673953862</v>
      </c>
      <c r="T15" s="78">
        <f t="shared" ca="1" si="18"/>
        <v>171.53437813260462</v>
      </c>
      <c r="V15" s="72">
        <f t="shared" ca="1" si="19"/>
        <v>1000000000</v>
      </c>
      <c r="W15" s="72">
        <f t="shared" si="20"/>
        <v>1.2023122500000001</v>
      </c>
      <c r="Y15" s="110">
        <f t="shared" si="21"/>
        <v>63.988651612308338</v>
      </c>
      <c r="Z15" s="111">
        <f t="shared" si="22"/>
        <v>-7.5387205203048824</v>
      </c>
      <c r="AA15" s="72">
        <f t="shared" si="23"/>
        <v>172.46127947969512</v>
      </c>
      <c r="AB15" s="110">
        <f t="shared" ca="1" si="24"/>
        <v>24.02996644830392</v>
      </c>
      <c r="AC15" s="111">
        <f t="shared" ca="1" si="25"/>
        <v>-0.92690134709050465</v>
      </c>
      <c r="AD15" s="72">
        <f t="shared" ca="1" si="26"/>
        <v>179.07309865290949</v>
      </c>
    </row>
    <row r="16" spans="1:30">
      <c r="A16" s="112">
        <v>1.2022999999999999</v>
      </c>
      <c r="B16" s="101">
        <f t="shared" ca="1" si="0"/>
        <v>1.0001935750206699</v>
      </c>
      <c r="C16" s="102">
        <f t="shared" ca="1" si="1"/>
        <v>1.967454191351202E-2</v>
      </c>
      <c r="D16" s="102">
        <f t="shared" si="2"/>
        <v>1.0000020113333206</v>
      </c>
      <c r="E16" s="103">
        <f t="shared" si="3"/>
        <v>2.0056569743204908E-3</v>
      </c>
      <c r="F16" s="101">
        <f t="shared" si="4"/>
        <v>1.0132251493522901</v>
      </c>
      <c r="G16" s="104">
        <f t="shared" si="5"/>
        <v>0.16174684986003857</v>
      </c>
      <c r="H16" s="113">
        <f t="shared" si="6"/>
        <v>1.0001928828679476</v>
      </c>
      <c r="I16" s="114">
        <f t="shared" si="7"/>
        <v>1.9639341632671274E-2</v>
      </c>
      <c r="J16" s="101">
        <f t="shared" si="8"/>
        <v>1.0000020011192128</v>
      </c>
      <c r="K16" s="104">
        <f t="shared" si="9"/>
        <v>2.0005578600422649E-3</v>
      </c>
      <c r="L16" s="102">
        <f t="shared" si="10"/>
        <v>1.0000000038064436</v>
      </c>
      <c r="M16" s="103">
        <f t="shared" si="11"/>
        <v>8.7251860854081645E-5</v>
      </c>
      <c r="N16" s="101">
        <f t="shared" si="12"/>
        <v>1.0000000000974449</v>
      </c>
      <c r="O16" s="104">
        <f t="shared" si="13"/>
        <v>1.3960297771172215E-5</v>
      </c>
      <c r="P16" s="105">
        <f t="shared" ca="1" si="14"/>
        <v>1.0000000022438789</v>
      </c>
      <c r="Q16" s="106">
        <f t="shared" ca="1" si="15"/>
        <v>6.9114853675031628E-5</v>
      </c>
      <c r="R16" s="107">
        <f t="shared" ca="1" si="16"/>
        <v>72.082024499081598</v>
      </c>
      <c r="S16" s="108">
        <f t="shared" ca="1" si="17"/>
        <v>-9.2688972190887888</v>
      </c>
      <c r="T16" s="78">
        <f t="shared" ca="1" si="18"/>
        <v>170.73110278091121</v>
      </c>
      <c r="V16" s="72">
        <f t="shared" ca="1" si="19"/>
        <v>1000000000</v>
      </c>
      <c r="W16" s="72">
        <f t="shared" si="20"/>
        <v>1.4455252899999997</v>
      </c>
      <c r="Y16" s="110">
        <f t="shared" si="21"/>
        <v>63.969938283310519</v>
      </c>
      <c r="Z16" s="111">
        <f t="shared" si="22"/>
        <v>-8.2525846927923006</v>
      </c>
      <c r="AA16" s="72">
        <f t="shared" si="23"/>
        <v>171.74741530720769</v>
      </c>
      <c r="AB16" s="110">
        <f t="shared" ca="1" si="24"/>
        <v>24.029686562652582</v>
      </c>
      <c r="AC16" s="111">
        <f t="shared" ca="1" si="25"/>
        <v>-1.0163125262964887</v>
      </c>
      <c r="AD16" s="72">
        <f t="shared" ca="1" si="26"/>
        <v>178.9836874737035</v>
      </c>
    </row>
    <row r="17" spans="1:30">
      <c r="A17" s="112">
        <v>1.3183</v>
      </c>
      <c r="B17" s="101">
        <f t="shared" ca="1" si="0"/>
        <v>1.0002327253133774</v>
      </c>
      <c r="C17" s="102">
        <f t="shared" ca="1" si="1"/>
        <v>2.1572213058131975E-2</v>
      </c>
      <c r="D17" s="102">
        <f t="shared" si="2"/>
        <v>1.0000024181696714</v>
      </c>
      <c r="E17" s="103">
        <f t="shared" si="3"/>
        <v>2.1991656592493317E-3</v>
      </c>
      <c r="F17" s="101">
        <f t="shared" si="4"/>
        <v>1.0158792950350208</v>
      </c>
      <c r="G17" s="104">
        <f t="shared" si="5"/>
        <v>0.17704223694647858</v>
      </c>
      <c r="H17" s="113">
        <f t="shared" si="6"/>
        <v>1.0002318931899052</v>
      </c>
      <c r="I17" s="114">
        <f t="shared" si="7"/>
        <v>2.1533619608792444E-2</v>
      </c>
      <c r="J17" s="101">
        <f t="shared" si="8"/>
        <v>1.0000024058895383</v>
      </c>
      <c r="K17" s="104">
        <f t="shared" si="9"/>
        <v>2.1935745780738733E-3</v>
      </c>
      <c r="L17" s="102">
        <f t="shared" si="10"/>
        <v>1.0000000045763813</v>
      </c>
      <c r="M17" s="103">
        <f t="shared" si="11"/>
        <v>9.5670072448552688E-5</v>
      </c>
      <c r="N17" s="101">
        <f t="shared" si="12"/>
        <v>1.0000000001171554</v>
      </c>
      <c r="O17" s="104">
        <f t="shared" si="13"/>
        <v>1.5307211637273977E-5</v>
      </c>
      <c r="P17" s="105">
        <f t="shared" ca="1" si="14"/>
        <v>1.0000000026977531</v>
      </c>
      <c r="Q17" s="106">
        <f t="shared" ca="1" si="15"/>
        <v>7.5783175225079159E-5</v>
      </c>
      <c r="R17" s="107">
        <f t="shared" ca="1" si="16"/>
        <v>72.05930034427989</v>
      </c>
      <c r="S17" s="108">
        <f t="shared" ca="1" si="17"/>
        <v>-10.145401483935277</v>
      </c>
      <c r="T17" s="78">
        <f t="shared" ca="1" si="18"/>
        <v>169.85459851606473</v>
      </c>
      <c r="V17" s="72">
        <f t="shared" ca="1" si="19"/>
        <v>1000000000</v>
      </c>
      <c r="W17" s="72">
        <f t="shared" si="20"/>
        <v>1.7379148900000001</v>
      </c>
      <c r="Y17" s="110">
        <f t="shared" si="21"/>
        <v>63.947550581377726</v>
      </c>
      <c r="Z17" s="111">
        <f t="shared" si="22"/>
        <v>-9.031065574300591</v>
      </c>
      <c r="AA17" s="72">
        <f t="shared" si="23"/>
        <v>170.96893442569942</v>
      </c>
      <c r="AB17" s="110">
        <f t="shared" ca="1" si="24"/>
        <v>24.02935010978366</v>
      </c>
      <c r="AC17" s="111">
        <f t="shared" ca="1" si="25"/>
        <v>-1.1143359096346848</v>
      </c>
      <c r="AD17" s="72">
        <f t="shared" ca="1" si="26"/>
        <v>178.88566409036531</v>
      </c>
    </row>
    <row r="18" spans="1:30">
      <c r="A18" s="112">
        <v>1.4454</v>
      </c>
      <c r="B18" s="101">
        <f t="shared" ca="1" si="0"/>
        <v>1.0002797570301194</v>
      </c>
      <c r="C18" s="102">
        <f t="shared" ca="1" si="1"/>
        <v>2.3651292805620835E-2</v>
      </c>
      <c r="D18" s="102">
        <f t="shared" si="2"/>
        <v>1.0000029069279017</v>
      </c>
      <c r="E18" s="103">
        <f t="shared" si="3"/>
        <v>2.411190933888929E-3</v>
      </c>
      <c r="F18" s="101">
        <f t="shared" si="4"/>
        <v>1.0190587486687335</v>
      </c>
      <c r="G18" s="104">
        <f t="shared" si="5"/>
        <v>0.19370541890986603</v>
      </c>
      <c r="H18" s="113">
        <f t="shared" si="6"/>
        <v>1.0002787567653209</v>
      </c>
      <c r="I18" s="114">
        <f t="shared" si="7"/>
        <v>2.3608982454786511E-2</v>
      </c>
      <c r="J18" s="101">
        <f t="shared" si="8"/>
        <v>1.0000028921657231</v>
      </c>
      <c r="K18" s="104">
        <f t="shared" si="9"/>
        <v>2.4050608111160793E-3</v>
      </c>
      <c r="L18" s="102">
        <f t="shared" si="10"/>
        <v>1.0000000055013567</v>
      </c>
      <c r="M18" s="103">
        <f t="shared" si="11"/>
        <v>1.0489381979205546E-4</v>
      </c>
      <c r="N18" s="101">
        <f t="shared" si="12"/>
        <v>1.0000000001408349</v>
      </c>
      <c r="O18" s="104">
        <f t="shared" si="13"/>
        <v>1.6783011226706012E-5</v>
      </c>
      <c r="P18" s="105">
        <f t="shared" ca="1" si="14"/>
        <v>1.0000000032430214</v>
      </c>
      <c r="Q18" s="106">
        <f t="shared" ca="1" si="15"/>
        <v>8.3089586157774367E-5</v>
      </c>
      <c r="R18" s="107">
        <f t="shared" ca="1" si="16"/>
        <v>72.032156652060152</v>
      </c>
      <c r="S18" s="108">
        <f t="shared" ca="1" si="17"/>
        <v>-11.100288264550652</v>
      </c>
      <c r="T18" s="78">
        <f t="shared" ca="1" si="18"/>
        <v>168.89971173544936</v>
      </c>
      <c r="V18" s="72">
        <f t="shared" ca="1" si="19"/>
        <v>1000000000</v>
      </c>
      <c r="W18" s="72">
        <f t="shared" si="20"/>
        <v>2.0891811599999999</v>
      </c>
      <c r="Y18" s="110">
        <f t="shared" si="21"/>
        <v>63.920811056255722</v>
      </c>
      <c r="Z18" s="111">
        <f t="shared" si="22"/>
        <v>-9.878559386868135</v>
      </c>
      <c r="AA18" s="72">
        <f t="shared" si="23"/>
        <v>170.12144061313185</v>
      </c>
      <c r="AB18" s="110">
        <f t="shared" ca="1" si="24"/>
        <v>24.028945942685933</v>
      </c>
      <c r="AC18" s="111">
        <f t="shared" ca="1" si="25"/>
        <v>-1.2217288776825161</v>
      </c>
      <c r="AD18" s="72">
        <f t="shared" ca="1" si="26"/>
        <v>178.77827112231748</v>
      </c>
    </row>
    <row r="19" spans="1:30">
      <c r="A19" s="112">
        <v>1.5849</v>
      </c>
      <c r="B19" s="101">
        <f t="shared" ca="1" si="0"/>
        <v>1.0003363538096421</v>
      </c>
      <c r="C19" s="102">
        <f t="shared" ca="1" si="1"/>
        <v>2.5932973545525841E-2</v>
      </c>
      <c r="D19" s="102">
        <f t="shared" si="2"/>
        <v>1.0000034951173564</v>
      </c>
      <c r="E19" s="103">
        <f t="shared" si="3"/>
        <v>2.6439013509167528E-3</v>
      </c>
      <c r="F19" s="101">
        <f t="shared" si="4"/>
        <v>1.0228719178986878</v>
      </c>
      <c r="G19" s="104">
        <f t="shared" si="5"/>
        <v>0.21186940792972828</v>
      </c>
      <c r="H19" s="113">
        <f t="shared" si="6"/>
        <v>1.0003351512182606</v>
      </c>
      <c r="I19" s="114">
        <f t="shared" si="7"/>
        <v>2.5886584932775718E-2</v>
      </c>
      <c r="J19" s="101">
        <f t="shared" si="8"/>
        <v>1.0000034773681956</v>
      </c>
      <c r="K19" s="104">
        <f t="shared" si="9"/>
        <v>2.6371795990262716E-3</v>
      </c>
      <c r="L19" s="102">
        <f t="shared" si="10"/>
        <v>1.0000000066145063</v>
      </c>
      <c r="M19" s="103">
        <f t="shared" si="11"/>
        <v>1.1501744490456442E-4</v>
      </c>
      <c r="N19" s="101">
        <f t="shared" si="12"/>
        <v>1.0000000001693312</v>
      </c>
      <c r="O19" s="104">
        <f t="shared" si="13"/>
        <v>1.8402791263803117E-5</v>
      </c>
      <c r="P19" s="105">
        <f t="shared" ca="1" si="14"/>
        <v>1.0000000038992174</v>
      </c>
      <c r="Q19" s="106">
        <f t="shared" ca="1" si="15"/>
        <v>9.1108817659957885E-5</v>
      </c>
      <c r="R19" s="107">
        <f t="shared" ca="1" si="16"/>
        <v>71.999714249401322</v>
      </c>
      <c r="S19" s="108">
        <f t="shared" ca="1" si="17"/>
        <v>-12.141180178731725</v>
      </c>
      <c r="T19" s="78">
        <f t="shared" ca="1" si="18"/>
        <v>167.85881982126827</v>
      </c>
      <c r="V19" s="72">
        <f t="shared" ca="1" si="19"/>
        <v>1000000000</v>
      </c>
      <c r="W19" s="72">
        <f t="shared" si="20"/>
        <v>2.51190801</v>
      </c>
      <c r="Y19" s="110">
        <f t="shared" si="21"/>
        <v>63.888854992353778</v>
      </c>
      <c r="Z19" s="111">
        <f t="shared" si="22"/>
        <v>-10.801594480946104</v>
      </c>
      <c r="AA19" s="72">
        <f t="shared" si="23"/>
        <v>169.19840551905389</v>
      </c>
      <c r="AB19" s="110">
        <f t="shared" ca="1" si="24"/>
        <v>24.028459603929054</v>
      </c>
      <c r="AC19" s="111">
        <f t="shared" ca="1" si="25"/>
        <v>-1.3395856977856209</v>
      </c>
      <c r="AD19" s="72">
        <f t="shared" ca="1" si="26"/>
        <v>178.66041430221438</v>
      </c>
    </row>
    <row r="20" spans="1:30">
      <c r="A20" s="112">
        <v>1.7378</v>
      </c>
      <c r="B20" s="101">
        <f t="shared" ca="1" si="0"/>
        <v>1.0004043686139996</v>
      </c>
      <c r="C20" s="102">
        <f t="shared" ca="1" si="1"/>
        <v>2.843351541245084E-2</v>
      </c>
      <c r="D20" s="102">
        <f t="shared" si="2"/>
        <v>1.0000042020137019</v>
      </c>
      <c r="E20" s="103">
        <f t="shared" si="3"/>
        <v>2.8989649835146872E-3</v>
      </c>
      <c r="F20" s="101">
        <f t="shared" si="4"/>
        <v>1.0274359299328943</v>
      </c>
      <c r="G20" s="104">
        <f t="shared" si="5"/>
        <v>0.23161605318159012</v>
      </c>
      <c r="H20" s="113">
        <f t="shared" si="6"/>
        <v>1.0004029228930733</v>
      </c>
      <c r="I20" s="114">
        <f t="shared" si="7"/>
        <v>2.8382658456351458E-2</v>
      </c>
      <c r="J20" s="101">
        <f t="shared" si="8"/>
        <v>1.0000041806747355</v>
      </c>
      <c r="K20" s="104">
        <f t="shared" si="9"/>
        <v>2.8915947746922339E-3</v>
      </c>
      <c r="L20" s="102">
        <f t="shared" si="10"/>
        <v>1.0000000079523099</v>
      </c>
      <c r="M20" s="103">
        <f t="shared" si="11"/>
        <v>1.2611351856703116E-4</v>
      </c>
      <c r="N20" s="101">
        <f t="shared" si="12"/>
        <v>1.0000000002035792</v>
      </c>
      <c r="O20" s="104">
        <f t="shared" si="13"/>
        <v>2.0178163074961757E-5</v>
      </c>
      <c r="P20" s="105">
        <f t="shared" ca="1" si="14"/>
        <v>1.0000000046878459</v>
      </c>
      <c r="Q20" s="106">
        <f t="shared" ca="1" si="15"/>
        <v>9.9898355258321863E-5</v>
      </c>
      <c r="R20" s="107">
        <f t="shared" ca="1" si="16"/>
        <v>71.961042303505437</v>
      </c>
      <c r="S20" s="108">
        <f t="shared" ca="1" si="17"/>
        <v>-13.272768042398491</v>
      </c>
      <c r="T20" s="78">
        <f t="shared" ca="1" si="18"/>
        <v>166.7272319576015</v>
      </c>
      <c r="V20" s="72">
        <f t="shared" ca="1" si="19"/>
        <v>1000000000</v>
      </c>
      <c r="W20" s="72">
        <f t="shared" si="20"/>
        <v>3.0199488400000001</v>
      </c>
      <c r="Y20" s="110">
        <f t="shared" si="21"/>
        <v>63.850767463675496</v>
      </c>
      <c r="Z20" s="111">
        <f t="shared" si="22"/>
        <v>-11.804022315241596</v>
      </c>
      <c r="AA20" s="72">
        <f t="shared" si="23"/>
        <v>168.19597768475842</v>
      </c>
      <c r="AB20" s="110">
        <f t="shared" ca="1" si="24"/>
        <v>24.027875186711448</v>
      </c>
      <c r="AC20" s="111">
        <f t="shared" ca="1" si="25"/>
        <v>-1.4687457271568944</v>
      </c>
      <c r="AD20" s="72">
        <f t="shared" ca="1" si="26"/>
        <v>178.53125427284311</v>
      </c>
    </row>
    <row r="21" spans="1:30">
      <c r="A21" s="112">
        <v>1.9055</v>
      </c>
      <c r="B21" s="101">
        <f t="shared" ca="1" si="0"/>
        <v>1.0004861586343494</v>
      </c>
      <c r="C21" s="102">
        <f t="shared" ca="1" si="1"/>
        <v>3.1175687883651489E-2</v>
      </c>
      <c r="D21" s="102">
        <f t="shared" si="2"/>
        <v>1.0000050521425972</v>
      </c>
      <c r="E21" s="103">
        <f t="shared" si="3"/>
        <v>3.1787171396996179E-3</v>
      </c>
      <c r="F21" s="101">
        <f t="shared" si="4"/>
        <v>1.0328980044260856</v>
      </c>
      <c r="G21" s="104">
        <f t="shared" si="5"/>
        <v>0.25306410211913871</v>
      </c>
      <c r="H21" s="113">
        <f t="shared" si="6"/>
        <v>1.0004844205640189</v>
      </c>
      <c r="I21" s="114">
        <f t="shared" si="7"/>
        <v>3.1119932264878067E-2</v>
      </c>
      <c r="J21" s="101">
        <f t="shared" si="8"/>
        <v>1.0000050264864564</v>
      </c>
      <c r="K21" s="104">
        <f t="shared" si="9"/>
        <v>3.1706357096767945E-3</v>
      </c>
      <c r="L21" s="102">
        <f t="shared" si="10"/>
        <v>1.0000000095611825</v>
      </c>
      <c r="M21" s="103">
        <f t="shared" si="11"/>
        <v>1.3828363987324576E-4</v>
      </c>
      <c r="N21" s="101">
        <f t="shared" si="12"/>
        <v>1.0000000002447664</v>
      </c>
      <c r="O21" s="104">
        <f t="shared" si="13"/>
        <v>2.212538251713884E-5</v>
      </c>
      <c r="P21" s="105">
        <f t="shared" ca="1" si="14"/>
        <v>1.0000000056362681</v>
      </c>
      <c r="Q21" s="106">
        <f t="shared" ca="1" si="15"/>
        <v>1.0953867869044211E-4</v>
      </c>
      <c r="R21" s="107">
        <f t="shared" ca="1" si="16"/>
        <v>71.914986024937477</v>
      </c>
      <c r="S21" s="108">
        <f t="shared" ca="1" si="17"/>
        <v>-14.501857270152527</v>
      </c>
      <c r="T21" s="78">
        <f t="shared" ca="1" si="18"/>
        <v>165.49814272984747</v>
      </c>
      <c r="V21" s="72">
        <f t="shared" ca="1" si="19"/>
        <v>1000000000</v>
      </c>
      <c r="W21" s="72">
        <f t="shared" si="20"/>
        <v>3.63093025</v>
      </c>
      <c r="Y21" s="110">
        <f t="shared" si="21"/>
        <v>63.805413912161484</v>
      </c>
      <c r="Z21" s="111">
        <f t="shared" si="22"/>
        <v>-12.891472901550312</v>
      </c>
      <c r="AA21" s="72">
        <f t="shared" si="23"/>
        <v>167.10852709844968</v>
      </c>
      <c r="AB21" s="110">
        <f t="shared" ca="1" si="24"/>
        <v>24.027172459657496</v>
      </c>
      <c r="AC21" s="111">
        <f t="shared" ca="1" si="25"/>
        <v>-1.610384368602217</v>
      </c>
      <c r="AD21" s="72">
        <f t="shared" ca="1" si="26"/>
        <v>178.38961563139779</v>
      </c>
    </row>
    <row r="22" spans="1:30">
      <c r="A22" s="112">
        <v>2.0893000000000002</v>
      </c>
      <c r="B22" s="101">
        <f t="shared" ca="1" si="0"/>
        <v>1.0005844405889779</v>
      </c>
      <c r="C22" s="102">
        <f t="shared" ca="1" si="1"/>
        <v>3.4180581871237396E-2</v>
      </c>
      <c r="D22" s="102">
        <f t="shared" si="2"/>
        <v>1.0000060737803265</v>
      </c>
      <c r="E22" s="103">
        <f t="shared" si="3"/>
        <v>3.4853262643209561E-3</v>
      </c>
      <c r="F22" s="101">
        <f t="shared" si="4"/>
        <v>1.0394240565165009</v>
      </c>
      <c r="G22" s="104">
        <f t="shared" si="5"/>
        <v>0.27630045727152647</v>
      </c>
      <c r="H22" s="113">
        <f t="shared" si="6"/>
        <v>1.0005823512521277</v>
      </c>
      <c r="I22" s="114">
        <f t="shared" si="7"/>
        <v>3.4119460185638113E-2</v>
      </c>
      <c r="J22" s="101">
        <f t="shared" si="8"/>
        <v>1.0000060429360498</v>
      </c>
      <c r="K22" s="104">
        <f t="shared" si="9"/>
        <v>3.4764653368295892E-3</v>
      </c>
      <c r="L22" s="102">
        <f t="shared" si="10"/>
        <v>1.0000000114946384</v>
      </c>
      <c r="M22" s="103">
        <f t="shared" si="11"/>
        <v>1.51622150834305E-4</v>
      </c>
      <c r="N22" s="101">
        <f t="shared" si="12"/>
        <v>1.0000000002942628</v>
      </c>
      <c r="O22" s="104">
        <f t="shared" si="13"/>
        <v>2.4259544314632808E-5</v>
      </c>
      <c r="P22" s="105">
        <f t="shared" ca="1" si="14"/>
        <v>1.0000000067760302</v>
      </c>
      <c r="Q22" s="106">
        <f t="shared" ca="1" si="15"/>
        <v>1.2010451913914739E-4</v>
      </c>
      <c r="R22" s="107">
        <f t="shared" ca="1" si="16"/>
        <v>71.860276516886316</v>
      </c>
      <c r="S22" s="108">
        <f t="shared" ca="1" si="17"/>
        <v>-15.833428560385029</v>
      </c>
      <c r="T22" s="78">
        <f t="shared" ca="1" si="18"/>
        <v>164.16657143961498</v>
      </c>
      <c r="V22" s="72">
        <f t="shared" ca="1" si="19"/>
        <v>1000000000</v>
      </c>
      <c r="W22" s="72">
        <f t="shared" si="20"/>
        <v>4.3651744900000002</v>
      </c>
      <c r="Y22" s="110">
        <f t="shared" si="21"/>
        <v>63.751548749716278</v>
      </c>
      <c r="Z22" s="111">
        <f t="shared" si="22"/>
        <v>-14.06783847896884</v>
      </c>
      <c r="AA22" s="72">
        <f t="shared" si="23"/>
        <v>165.93216152103116</v>
      </c>
      <c r="AB22" s="110">
        <f t="shared" ca="1" si="24"/>
        <v>24.026328114051555</v>
      </c>
      <c r="AC22" s="111">
        <f t="shared" ca="1" si="25"/>
        <v>-1.76559008141619</v>
      </c>
      <c r="AD22" s="72">
        <f t="shared" ca="1" si="26"/>
        <v>178.23440991858382</v>
      </c>
    </row>
    <row r="23" spans="1:30">
      <c r="A23" s="112">
        <v>2.2909000000000002</v>
      </c>
      <c r="B23" s="101">
        <f t="shared" ca="1" si="0"/>
        <v>1.0007026278661801</v>
      </c>
      <c r="C23" s="102">
        <f t="shared" ca="1" si="1"/>
        <v>3.7475771046523491E-2</v>
      </c>
      <c r="D23" s="102">
        <f t="shared" si="2"/>
        <v>1.0000073024647567</v>
      </c>
      <c r="E23" s="103">
        <f t="shared" si="3"/>
        <v>3.8216280087362336E-3</v>
      </c>
      <c r="F23" s="101">
        <f t="shared" si="4"/>
        <v>1.0472188314022581</v>
      </c>
      <c r="G23" s="104">
        <f t="shared" si="5"/>
        <v>0.30143897592553565</v>
      </c>
      <c r="H23" s="113">
        <f t="shared" si="6"/>
        <v>1.0007001161653069</v>
      </c>
      <c r="I23" s="114">
        <f t="shared" si="7"/>
        <v>3.7408767430112254E-2</v>
      </c>
      <c r="J23" s="101">
        <f t="shared" si="8"/>
        <v>1.0000072653809153</v>
      </c>
      <c r="K23" s="104">
        <f t="shared" si="9"/>
        <v>3.8119120995639168E-3</v>
      </c>
      <c r="L23" s="102">
        <f t="shared" si="10"/>
        <v>1.0000000138199341</v>
      </c>
      <c r="M23" s="103">
        <f t="shared" si="11"/>
        <v>1.6625242177181185E-4</v>
      </c>
      <c r="N23" s="101">
        <f t="shared" si="12"/>
        <v>1.0000000003537903</v>
      </c>
      <c r="O23" s="104">
        <f t="shared" si="13"/>
        <v>2.6600387722292995E-5</v>
      </c>
      <c r="P23" s="105">
        <f t="shared" ca="1" si="14"/>
        <v>1.0000000081467801</v>
      </c>
      <c r="Q23" s="106">
        <f t="shared" ca="1" si="15"/>
        <v>1.3169360199709605E-4</v>
      </c>
      <c r="R23" s="107">
        <f t="shared" ca="1" si="16"/>
        <v>71.795379329446888</v>
      </c>
      <c r="S23" s="108">
        <f t="shared" ca="1" si="17"/>
        <v>-17.274007480291878</v>
      </c>
      <c r="T23" s="78">
        <f t="shared" ca="1" si="18"/>
        <v>162.72599251970811</v>
      </c>
      <c r="V23" s="72">
        <f t="shared" ca="1" si="19"/>
        <v>1000000000</v>
      </c>
      <c r="W23" s="72">
        <f t="shared" si="20"/>
        <v>5.2482228100000006</v>
      </c>
      <c r="Y23" s="110">
        <f t="shared" si="21"/>
        <v>63.687666803481946</v>
      </c>
      <c r="Z23" s="111">
        <f t="shared" si="22"/>
        <v>-15.338221631301819</v>
      </c>
      <c r="AA23" s="72">
        <f t="shared" si="23"/>
        <v>164.66177836869818</v>
      </c>
      <c r="AB23" s="110">
        <f t="shared" ca="1" si="24"/>
        <v>24.025312872846456</v>
      </c>
      <c r="AC23" s="111">
        <f t="shared" ca="1" si="25"/>
        <v>-1.9357858489900599</v>
      </c>
      <c r="AD23" s="72">
        <f t="shared" ca="1" si="26"/>
        <v>178.06421415100993</v>
      </c>
    </row>
    <row r="24" spans="1:30">
      <c r="A24" s="112">
        <v>2.5118999999999998</v>
      </c>
      <c r="B24" s="101">
        <f t="shared" ca="1" si="0"/>
        <v>1.0008446697967721</v>
      </c>
      <c r="C24" s="102">
        <f t="shared" ca="1" si="1"/>
        <v>4.1087118884539309E-2</v>
      </c>
      <c r="D24" s="102">
        <f t="shared" si="2"/>
        <v>1.0000087793340962</v>
      </c>
      <c r="E24" s="103">
        <f t="shared" si="3"/>
        <v>4.1902911273677514E-3</v>
      </c>
      <c r="F24" s="101">
        <f t="shared" si="4"/>
        <v>1.0565120005453059</v>
      </c>
      <c r="G24" s="104">
        <f t="shared" si="5"/>
        <v>0.32855132972912748</v>
      </c>
      <c r="H24" s="113">
        <f t="shared" si="6"/>
        <v>1.0008416505485889</v>
      </c>
      <c r="I24" s="114">
        <f t="shared" si="7"/>
        <v>4.10136723351609E-2</v>
      </c>
      <c r="J24" s="101">
        <f t="shared" si="8"/>
        <v>1.0000087347503557</v>
      </c>
      <c r="K24" s="104">
        <f t="shared" si="9"/>
        <v>4.1796379690690081E-3</v>
      </c>
      <c r="L24" s="102">
        <f t="shared" si="10"/>
        <v>1.0000000166149254</v>
      </c>
      <c r="M24" s="103">
        <f t="shared" si="11"/>
        <v>1.8229056592189571E-4</v>
      </c>
      <c r="N24" s="101">
        <f t="shared" si="12"/>
        <v>1.000000000425342</v>
      </c>
      <c r="O24" s="104">
        <f t="shared" si="13"/>
        <v>2.9166490862298872E-5</v>
      </c>
      <c r="P24" s="105">
        <f t="shared" ca="1" si="14"/>
        <v>1.0000000097944133</v>
      </c>
      <c r="Q24" s="106">
        <f t="shared" ca="1" si="15"/>
        <v>1.4439790410094295E-4</v>
      </c>
      <c r="R24" s="107">
        <f t="shared" ca="1" si="16"/>
        <v>71.718635178491454</v>
      </c>
      <c r="S24" s="108">
        <f t="shared" ca="1" si="17"/>
        <v>-18.827702391926824</v>
      </c>
      <c r="T24" s="78">
        <f t="shared" ca="1" si="18"/>
        <v>161.17229760807317</v>
      </c>
      <c r="V24" s="72">
        <f t="shared" ca="1" si="19"/>
        <v>1000000000</v>
      </c>
      <c r="W24" s="72">
        <f t="shared" si="20"/>
        <v>6.309641609999999</v>
      </c>
      <c r="Y24" s="110">
        <f t="shared" si="21"/>
        <v>63.61214264579236</v>
      </c>
      <c r="Z24" s="111">
        <f t="shared" si="22"/>
        <v>-16.705396491119139</v>
      </c>
      <c r="AA24" s="72">
        <f t="shared" si="23"/>
        <v>163.29460350888087</v>
      </c>
      <c r="AB24" s="110">
        <f t="shared" ca="1" si="24"/>
        <v>24.024092879580596</v>
      </c>
      <c r="AC24" s="111">
        <f t="shared" ca="1" si="25"/>
        <v>-2.1223059008076839</v>
      </c>
      <c r="AD24" s="72">
        <f t="shared" ca="1" si="26"/>
        <v>177.87769409919233</v>
      </c>
    </row>
    <row r="25" spans="1:30">
      <c r="A25" s="112">
        <v>2.7542</v>
      </c>
      <c r="B25" s="101">
        <f t="shared" ca="1" si="0"/>
        <v>1.0010153976767548</v>
      </c>
      <c r="C25" s="102">
        <f t="shared" ca="1" si="1"/>
        <v>4.5045293358212057E-2</v>
      </c>
      <c r="D25" s="102">
        <f t="shared" si="2"/>
        <v>1.0000105547377467</v>
      </c>
      <c r="E25" s="103">
        <f t="shared" si="3"/>
        <v>4.5944847180477187E-3</v>
      </c>
      <c r="F25" s="101">
        <f t="shared" si="4"/>
        <v>1.0675766362178452</v>
      </c>
      <c r="G25" s="104">
        <f t="shared" si="5"/>
        <v>0.35771049472877375</v>
      </c>
      <c r="H25" s="113">
        <f t="shared" si="6"/>
        <v>1.0010117684748963</v>
      </c>
      <c r="I25" s="114">
        <f t="shared" si="7"/>
        <v>4.4964789511119457E-2</v>
      </c>
      <c r="J25" s="101">
        <f t="shared" si="8"/>
        <v>1.0000105011380924</v>
      </c>
      <c r="K25" s="104">
        <f t="shared" si="9"/>
        <v>4.5828039884532878E-3</v>
      </c>
      <c r="L25" s="102">
        <f t="shared" si="10"/>
        <v>1.0000000199749017</v>
      </c>
      <c r="M25" s="103">
        <f t="shared" si="11"/>
        <v>1.9987446774850443E-4</v>
      </c>
      <c r="N25" s="101">
        <f t="shared" si="12"/>
        <v>1.0000000005113574</v>
      </c>
      <c r="O25" s="104">
        <f t="shared" si="13"/>
        <v>3.1979915254722373E-5</v>
      </c>
      <c r="P25" s="105">
        <f t="shared" ca="1" si="14"/>
        <v>1.000000011775102</v>
      </c>
      <c r="Q25" s="106">
        <f t="shared" ca="1" si="15"/>
        <v>1.5832664794242796E-4</v>
      </c>
      <c r="R25" s="107">
        <f t="shared" ca="1" si="16"/>
        <v>71.628137453365099</v>
      </c>
      <c r="S25" s="108">
        <f t="shared" ca="1" si="17"/>
        <v>-20.498696732534594</v>
      </c>
      <c r="T25" s="78">
        <f t="shared" ca="1" si="18"/>
        <v>159.5013032674654</v>
      </c>
      <c r="V25" s="72">
        <f t="shared" ca="1" si="19"/>
        <v>1000000000</v>
      </c>
      <c r="W25" s="72">
        <f t="shared" si="20"/>
        <v>7.5856176399999997</v>
      </c>
      <c r="Y25" s="110">
        <f t="shared" si="21"/>
        <v>63.523111062698803</v>
      </c>
      <c r="Z25" s="111">
        <f t="shared" si="22"/>
        <v>-18.171964668191617</v>
      </c>
      <c r="AA25" s="72">
        <f t="shared" si="23"/>
        <v>161.82803533180839</v>
      </c>
      <c r="AB25" s="110">
        <f t="shared" ca="1" si="24"/>
        <v>24.022626737547807</v>
      </c>
      <c r="AC25" s="111">
        <f t="shared" ca="1" si="25"/>
        <v>-2.3267320643429747</v>
      </c>
      <c r="AD25" s="72">
        <f t="shared" ca="1" si="26"/>
        <v>177.67326793565704</v>
      </c>
    </row>
    <row r="26" spans="1:30">
      <c r="A26" s="112">
        <v>3.02</v>
      </c>
      <c r="B26" s="101">
        <f t="shared" ca="1" si="0"/>
        <v>1.0012207157389565</v>
      </c>
      <c r="C26" s="102">
        <f t="shared" ca="1" si="1"/>
        <v>4.9385731583745929E-2</v>
      </c>
      <c r="D26" s="102">
        <f t="shared" si="2"/>
        <v>1.0000126902424997</v>
      </c>
      <c r="E26" s="103">
        <f t="shared" si="3"/>
        <v>5.0378781841471367E-3</v>
      </c>
      <c r="F26" s="101">
        <f t="shared" si="4"/>
        <v>1.0807354477187261</v>
      </c>
      <c r="G26" s="104">
        <f t="shared" si="5"/>
        <v>0.38898143366519256</v>
      </c>
      <c r="H26" s="113">
        <f t="shared" si="6"/>
        <v>1.0012163531413916</v>
      </c>
      <c r="I26" s="114">
        <f t="shared" si="7"/>
        <v>4.9297494675194488E-2</v>
      </c>
      <c r="J26" s="101">
        <f t="shared" si="8"/>
        <v>1.0000126257982751</v>
      </c>
      <c r="K26" s="104">
        <f t="shared" si="9"/>
        <v>5.0250702351613465E-3</v>
      </c>
      <c r="L26" s="102">
        <f t="shared" si="10"/>
        <v>1.0000000240163824</v>
      </c>
      <c r="M26" s="103">
        <f t="shared" si="11"/>
        <v>2.191637829402859E-4</v>
      </c>
      <c r="N26" s="101">
        <f t="shared" si="12"/>
        <v>1.0000000006148193</v>
      </c>
      <c r="O26" s="104">
        <f t="shared" si="13"/>
        <v>3.5066205817515082E-5</v>
      </c>
      <c r="P26" s="105">
        <f t="shared" ca="1" si="14"/>
        <v>1.0000000141575343</v>
      </c>
      <c r="Q26" s="106">
        <f t="shared" ca="1" si="15"/>
        <v>1.7360630166696675E-4</v>
      </c>
      <c r="R26" s="107">
        <f t="shared" ca="1" si="16"/>
        <v>71.521724491884356</v>
      </c>
      <c r="S26" s="108">
        <f t="shared" ca="1" si="17"/>
        <v>-22.290715138665234</v>
      </c>
      <c r="T26" s="78">
        <f t="shared" ca="1" si="18"/>
        <v>157.70928486133477</v>
      </c>
      <c r="V26" s="72">
        <f t="shared" ca="1" si="19"/>
        <v>1000000000</v>
      </c>
      <c r="W26" s="72">
        <f t="shared" si="20"/>
        <v>9.1204000000000001</v>
      </c>
      <c r="Y26" s="110">
        <f t="shared" si="21"/>
        <v>63.418460951721784</v>
      </c>
      <c r="Z26" s="111">
        <f t="shared" si="22"/>
        <v>-19.739823397106111</v>
      </c>
      <c r="AA26" s="72">
        <f t="shared" si="23"/>
        <v>160.26017660289389</v>
      </c>
      <c r="AB26" s="110">
        <f t="shared" ca="1" si="24"/>
        <v>24.020863887044072</v>
      </c>
      <c r="AC26" s="111">
        <f t="shared" ca="1" si="25"/>
        <v>-2.5508917415591217</v>
      </c>
      <c r="AD26" s="72">
        <f t="shared" ca="1" si="26"/>
        <v>177.44910825844087</v>
      </c>
    </row>
    <row r="27" spans="1:30">
      <c r="A27" s="112">
        <v>3.3113000000000001</v>
      </c>
      <c r="B27" s="101">
        <f t="shared" ca="1" si="0"/>
        <v>1.0014673853832827</v>
      </c>
      <c r="C27" s="102">
        <f t="shared" ca="1" si="1"/>
        <v>5.4140433639922804E-2</v>
      </c>
      <c r="D27" s="102">
        <f t="shared" si="2"/>
        <v>1.0000152564164937</v>
      </c>
      <c r="E27" s="103">
        <f t="shared" si="3"/>
        <v>5.5238071166666992E-3</v>
      </c>
      <c r="F27" s="101">
        <f t="shared" si="4"/>
        <v>1.096339137488973</v>
      </c>
      <c r="G27" s="104">
        <f t="shared" si="5"/>
        <v>0.4223540616211135</v>
      </c>
      <c r="H27" s="113">
        <f t="shared" si="6"/>
        <v>1.0014621418801448</v>
      </c>
      <c r="I27" s="114">
        <f t="shared" si="7"/>
        <v>5.4043733236763869E-2</v>
      </c>
      <c r="J27" s="101">
        <f t="shared" si="8"/>
        <v>1.0000151789406948</v>
      </c>
      <c r="K27" s="104">
        <f t="shared" si="9"/>
        <v>5.509763823830496E-3</v>
      </c>
      <c r="L27" s="102">
        <f t="shared" si="10"/>
        <v>1.0000000288729236</v>
      </c>
      <c r="M27" s="103">
        <f t="shared" si="11"/>
        <v>2.4030365301341687E-4</v>
      </c>
      <c r="N27" s="101">
        <f t="shared" si="12"/>
        <v>1.0000000007391467</v>
      </c>
      <c r="O27" s="104">
        <f t="shared" si="13"/>
        <v>3.8448585203282631E-5</v>
      </c>
      <c r="P27" s="105">
        <f t="shared" ca="1" si="14"/>
        <v>1.0000000170204402</v>
      </c>
      <c r="Q27" s="106">
        <f t="shared" ca="1" si="15"/>
        <v>1.9035183630727908E-4</v>
      </c>
      <c r="R27" s="107">
        <f t="shared" ca="1" si="16"/>
        <v>71.397206558758697</v>
      </c>
      <c r="S27" s="108">
        <f t="shared" ca="1" si="17"/>
        <v>-24.203182035706636</v>
      </c>
      <c r="T27" s="78">
        <f t="shared" ca="1" si="18"/>
        <v>155.79681796429335</v>
      </c>
      <c r="V27" s="72">
        <f t="shared" ca="1" si="19"/>
        <v>1000000000</v>
      </c>
      <c r="W27" s="72">
        <f t="shared" si="20"/>
        <v>10.964707690000001</v>
      </c>
      <c r="Y27" s="110">
        <f t="shared" si="21"/>
        <v>63.296060423764899</v>
      </c>
      <c r="Z27" s="111">
        <f t="shared" si="22"/>
        <v>-21.406748161721918</v>
      </c>
      <c r="AA27" s="72">
        <f t="shared" si="23"/>
        <v>158.59325183827809</v>
      </c>
      <c r="AB27" s="110">
        <f t="shared" ca="1" si="24"/>
        <v>24.018746481875311</v>
      </c>
      <c r="AC27" s="111">
        <f t="shared" ca="1" si="25"/>
        <v>-2.7964338739847152</v>
      </c>
      <c r="AD27" s="72">
        <f t="shared" ca="1" si="26"/>
        <v>177.20356612601529</v>
      </c>
    </row>
    <row r="28" spans="1:30">
      <c r="A28" s="112">
        <v>3.6307999999999998</v>
      </c>
      <c r="B28" s="101">
        <f t="shared" ca="1" si="0"/>
        <v>1.0017639547363431</v>
      </c>
      <c r="C28" s="102">
        <f t="shared" ca="1" si="1"/>
        <v>5.9352602073430835E-2</v>
      </c>
      <c r="D28" s="102">
        <f t="shared" si="2"/>
        <v>1.0000183425394342</v>
      </c>
      <c r="E28" s="103">
        <f t="shared" si="3"/>
        <v>6.0567745648399717E-3</v>
      </c>
      <c r="F28" s="101">
        <f t="shared" si="4"/>
        <v>1.1148152204928807</v>
      </c>
      <c r="G28" s="104">
        <f t="shared" si="5"/>
        <v>0.45783930776067633</v>
      </c>
      <c r="H28" s="113">
        <f t="shared" si="6"/>
        <v>1.0017576524117666</v>
      </c>
      <c r="I28" s="114">
        <f t="shared" si="7"/>
        <v>5.9246633921704817E-2</v>
      </c>
      <c r="J28" s="101">
        <f t="shared" si="8"/>
        <v>1.0000182493916945</v>
      </c>
      <c r="K28" s="104">
        <f t="shared" si="9"/>
        <v>6.0413763605931588E-3</v>
      </c>
      <c r="L28" s="102">
        <f t="shared" si="10"/>
        <v>1.0000000347134961</v>
      </c>
      <c r="M28" s="103">
        <f t="shared" si="11"/>
        <v>2.6349001901484885E-4</v>
      </c>
      <c r="N28" s="101">
        <f t="shared" si="12"/>
        <v>1.0000000008886654</v>
      </c>
      <c r="O28" s="104">
        <f t="shared" si="13"/>
        <v>4.2158403993043044E-5</v>
      </c>
      <c r="P28" s="105">
        <f t="shared" ca="1" si="14"/>
        <v>1.0000000204634278</v>
      </c>
      <c r="Q28" s="106">
        <f t="shared" ca="1" si="15"/>
        <v>2.0871846275758756E-4</v>
      </c>
      <c r="R28" s="107">
        <f t="shared" ca="1" si="16"/>
        <v>71.252038117296763</v>
      </c>
      <c r="S28" s="108">
        <f t="shared" ca="1" si="17"/>
        <v>-26.236726655207967</v>
      </c>
      <c r="T28" s="78">
        <f t="shared" ca="1" si="18"/>
        <v>153.76327334479203</v>
      </c>
      <c r="V28" s="72">
        <f t="shared" ca="1" si="19"/>
        <v>1000000000</v>
      </c>
      <c r="W28" s="72">
        <f t="shared" si="20"/>
        <v>13.182708639999998</v>
      </c>
      <c r="Y28" s="110">
        <f t="shared" si="21"/>
        <v>63.153437020422899</v>
      </c>
      <c r="Z28" s="111">
        <f t="shared" si="22"/>
        <v>-23.171141982783066</v>
      </c>
      <c r="AA28" s="72">
        <f t="shared" si="23"/>
        <v>156.82885801721693</v>
      </c>
      <c r="AB28" s="110">
        <f t="shared" ca="1" si="24"/>
        <v>24.016201443755378</v>
      </c>
      <c r="AC28" s="111">
        <f t="shared" ca="1" si="25"/>
        <v>-3.0655846724248987</v>
      </c>
      <c r="AD28" s="72">
        <f t="shared" ca="1" si="26"/>
        <v>176.9344153275751</v>
      </c>
    </row>
    <row r="29" spans="1:30">
      <c r="A29" s="112">
        <v>3.9811000000000001</v>
      </c>
      <c r="B29" s="101">
        <f t="shared" ca="1" si="0"/>
        <v>1.0021203699317551</v>
      </c>
      <c r="C29" s="102">
        <f t="shared" ca="1" si="1"/>
        <v>6.5063508325804154E-2</v>
      </c>
      <c r="D29" s="102">
        <f t="shared" si="2"/>
        <v>1.000022052619062</v>
      </c>
      <c r="E29" s="103">
        <f t="shared" si="3"/>
        <v>6.6411164429882605E-3</v>
      </c>
      <c r="F29" s="101">
        <f t="shared" si="4"/>
        <v>1.1366294148241396</v>
      </c>
      <c r="G29" s="104">
        <f t="shared" si="5"/>
        <v>0.49536717813262376</v>
      </c>
      <c r="H29" s="113">
        <f t="shared" si="6"/>
        <v>1.0021127955346232</v>
      </c>
      <c r="I29" s="114">
        <f t="shared" si="7"/>
        <v>6.4947398842708517E-2</v>
      </c>
      <c r="J29" s="101">
        <f t="shared" si="8"/>
        <v>1.0000219406308699</v>
      </c>
      <c r="K29" s="104">
        <f t="shared" si="9"/>
        <v>6.6242327431909167E-3</v>
      </c>
      <c r="L29" s="102">
        <f t="shared" si="10"/>
        <v>1.0000000417349477</v>
      </c>
      <c r="M29" s="103">
        <f t="shared" si="11"/>
        <v>2.8891156488646387E-4</v>
      </c>
      <c r="N29" s="101">
        <f t="shared" si="12"/>
        <v>1.0000000010684147</v>
      </c>
      <c r="O29" s="104">
        <f t="shared" si="13"/>
        <v>4.6225851635064267E-5</v>
      </c>
      <c r="P29" s="105">
        <f t="shared" ca="1" si="14"/>
        <v>1.0000000246025376</v>
      </c>
      <c r="Q29" s="106">
        <f t="shared" ca="1" si="15"/>
        <v>2.2885564334725544E-4</v>
      </c>
      <c r="R29" s="107">
        <f t="shared" ca="1" si="16"/>
        <v>71.08370726837839</v>
      </c>
      <c r="S29" s="108">
        <f t="shared" ca="1" si="17"/>
        <v>-28.387341462707841</v>
      </c>
      <c r="T29" s="78">
        <f t="shared" ca="1" si="18"/>
        <v>151.61265853729216</v>
      </c>
      <c r="V29" s="72">
        <f t="shared" ca="1" si="19"/>
        <v>1000000000</v>
      </c>
      <c r="W29" s="72">
        <f t="shared" si="20"/>
        <v>15.849157210000001</v>
      </c>
      <c r="Y29" s="110">
        <f t="shared" si="21"/>
        <v>62.988163764991697</v>
      </c>
      <c r="Z29" s="111">
        <f t="shared" si="22"/>
        <v>-25.026872512441688</v>
      </c>
      <c r="AA29" s="72">
        <f t="shared" si="23"/>
        <v>154.97312748755832</v>
      </c>
      <c r="AB29" s="110">
        <f t="shared" ca="1" si="24"/>
        <v>24.013143850268193</v>
      </c>
      <c r="AC29" s="111">
        <f t="shared" ca="1" si="25"/>
        <v>-3.3604689502661538</v>
      </c>
      <c r="AD29" s="72">
        <f t="shared" ca="1" si="26"/>
        <v>176.63953104973385</v>
      </c>
    </row>
    <row r="30" spans="1:30">
      <c r="A30" s="112">
        <v>4.3651999999999997</v>
      </c>
      <c r="B30" s="101">
        <f t="shared" ca="1" si="0"/>
        <v>1.0025487125172141</v>
      </c>
      <c r="C30" s="102">
        <f t="shared" ca="1" si="1"/>
        <v>7.1320557834616841E-2</v>
      </c>
      <c r="D30" s="102">
        <f t="shared" si="2"/>
        <v>1.0000265131498693</v>
      </c>
      <c r="E30" s="103">
        <f t="shared" si="3"/>
        <v>7.2818354957157145E-3</v>
      </c>
      <c r="F30" s="101">
        <f t="shared" si="4"/>
        <v>1.1623142747953139</v>
      </c>
      <c r="G30" s="104">
        <f t="shared" si="5"/>
        <v>0.53483546016095174</v>
      </c>
      <c r="H30" s="113">
        <f t="shared" si="6"/>
        <v>1.0025396099283306</v>
      </c>
      <c r="I30" s="114">
        <f t="shared" si="7"/>
        <v>7.1193354579428658E-2</v>
      </c>
      <c r="J30" s="101">
        <f t="shared" si="8"/>
        <v>1.0000263785103907</v>
      </c>
      <c r="K30" s="104">
        <f t="shared" si="9"/>
        <v>7.263323006565587E-3</v>
      </c>
      <c r="L30" s="102">
        <f t="shared" si="10"/>
        <v>1.0000000501766879</v>
      </c>
      <c r="M30" s="103">
        <f t="shared" si="11"/>
        <v>3.1678600284966972E-4</v>
      </c>
      <c r="N30" s="101">
        <f t="shared" si="12"/>
        <v>1.0000000012845232</v>
      </c>
      <c r="O30" s="104">
        <f t="shared" si="13"/>
        <v>5.0685762108038196E-5</v>
      </c>
      <c r="P30" s="105">
        <f t="shared" ca="1" si="14"/>
        <v>1.0000000295789002</v>
      </c>
      <c r="Q30" s="106">
        <f t="shared" ca="1" si="15"/>
        <v>2.5093583460147531E-4</v>
      </c>
      <c r="R30" s="107">
        <f t="shared" ca="1" si="16"/>
        <v>70.889600669241887</v>
      </c>
      <c r="S30" s="108">
        <f t="shared" ca="1" si="17"/>
        <v>-30.649173301876978</v>
      </c>
      <c r="T30" s="78">
        <f t="shared" ca="1" si="18"/>
        <v>149.35082669812303</v>
      </c>
      <c r="V30" s="72">
        <f t="shared" ca="1" si="19"/>
        <v>1000000000</v>
      </c>
      <c r="W30" s="72">
        <f t="shared" si="20"/>
        <v>19.054971039999998</v>
      </c>
      <c r="Y30" s="110">
        <f t="shared" si="21"/>
        <v>62.7977303373072</v>
      </c>
      <c r="Z30" s="111">
        <f t="shared" si="22"/>
        <v>-26.965647217987499</v>
      </c>
      <c r="AA30" s="72">
        <f t="shared" si="23"/>
        <v>153.03435278201249</v>
      </c>
      <c r="AB30" s="110">
        <f t="shared" ca="1" si="24"/>
        <v>24.009470678816179</v>
      </c>
      <c r="AC30" s="111">
        <f t="shared" ca="1" si="25"/>
        <v>-3.6835260838894777</v>
      </c>
      <c r="AD30" s="72">
        <f t="shared" ca="1" si="26"/>
        <v>176.31647391611051</v>
      </c>
    </row>
    <row r="31" spans="1:30">
      <c r="A31" s="112">
        <v>4.7862999999999998</v>
      </c>
      <c r="B31" s="101">
        <f t="shared" ca="1" si="0"/>
        <v>1.0030633794124248</v>
      </c>
      <c r="C31" s="102">
        <f t="shared" ca="1" si="1"/>
        <v>7.8173903015131802E-2</v>
      </c>
      <c r="D31" s="102">
        <f t="shared" si="2"/>
        <v>1.0000318751107071</v>
      </c>
      <c r="E31" s="103">
        <f t="shared" si="3"/>
        <v>7.9842675361748924E-3</v>
      </c>
      <c r="F31" s="101">
        <f t="shared" si="4"/>
        <v>1.192457926514042</v>
      </c>
      <c r="G31" s="104">
        <f t="shared" si="5"/>
        <v>0.57608084562637973</v>
      </c>
      <c r="H31" s="113">
        <f t="shared" si="6"/>
        <v>1.0030524415118203</v>
      </c>
      <c r="I31" s="114">
        <f t="shared" si="7"/>
        <v>7.8034571613922979E-2</v>
      </c>
      <c r="J31" s="101">
        <f t="shared" si="8"/>
        <v>1.0000317132424694</v>
      </c>
      <c r="K31" s="104">
        <f t="shared" si="9"/>
        <v>7.9639694103024739E-3</v>
      </c>
      <c r="L31" s="102">
        <f t="shared" si="10"/>
        <v>1.0000000603244719</v>
      </c>
      <c r="M31" s="103">
        <f t="shared" si="11"/>
        <v>3.4734555923709629E-4</v>
      </c>
      <c r="N31" s="101">
        <f t="shared" si="12"/>
        <v>1.0000000015443065</v>
      </c>
      <c r="O31" s="104">
        <f t="shared" si="13"/>
        <v>5.5575291655751873E-5</v>
      </c>
      <c r="P31" s="105">
        <f t="shared" ca="1" si="14"/>
        <v>1.0000000355609668</v>
      </c>
      <c r="Q31" s="106">
        <f t="shared" ca="1" si="15"/>
        <v>2.7514299013045617E-4</v>
      </c>
      <c r="R31" s="107">
        <f t="shared" ca="1" si="16"/>
        <v>70.667195223111861</v>
      </c>
      <c r="S31" s="108">
        <f t="shared" ca="1" si="17"/>
        <v>-33.012868581917431</v>
      </c>
      <c r="T31" s="78">
        <f t="shared" ca="1" si="18"/>
        <v>146.98713141808258</v>
      </c>
      <c r="V31" s="72">
        <f t="shared" ca="1" si="19"/>
        <v>1000000000</v>
      </c>
      <c r="W31" s="72">
        <f t="shared" si="20"/>
        <v>22.908667689999998</v>
      </c>
      <c r="Y31" s="110">
        <f t="shared" si="21"/>
        <v>62.579736202167702</v>
      </c>
      <c r="Z31" s="111">
        <f t="shared" si="22"/>
        <v>-28.975534166701081</v>
      </c>
      <c r="AA31" s="72">
        <f t="shared" si="23"/>
        <v>151.0244658332989</v>
      </c>
      <c r="AB31" s="110">
        <f t="shared" ca="1" si="24"/>
        <v>24.005059367825666</v>
      </c>
      <c r="AC31" s="111">
        <f t="shared" ca="1" si="25"/>
        <v>-4.0373344152163471</v>
      </c>
      <c r="AD31" s="72">
        <f t="shared" ca="1" si="26"/>
        <v>175.96266558478365</v>
      </c>
    </row>
    <row r="32" spans="1:30">
      <c r="A32" s="112">
        <v>5.2481</v>
      </c>
      <c r="B32" s="101">
        <f t="shared" ca="1" si="0"/>
        <v>1.0036818922776383</v>
      </c>
      <c r="C32" s="102">
        <f t="shared" ca="1" si="1"/>
        <v>8.568116147215768E-2</v>
      </c>
      <c r="D32" s="102">
        <f t="shared" si="2"/>
        <v>1.0000383225741114</v>
      </c>
      <c r="E32" s="103">
        <f t="shared" si="3"/>
        <v>8.7545816920948163E-3</v>
      </c>
      <c r="F32" s="101">
        <f t="shared" si="4"/>
        <v>1.2277245966273838</v>
      </c>
      <c r="G32" s="104">
        <f t="shared" si="5"/>
        <v>0.61890376480889819</v>
      </c>
      <c r="H32" s="113">
        <f t="shared" si="6"/>
        <v>1.0036687499858545</v>
      </c>
      <c r="I32" s="114">
        <f t="shared" si="7"/>
        <v>8.5528574760524251E-2</v>
      </c>
      <c r="J32" s="101">
        <f t="shared" si="8"/>
        <v>1.0000381279649793</v>
      </c>
      <c r="K32" s="104">
        <f t="shared" si="9"/>
        <v>8.7323254139082349E-3</v>
      </c>
      <c r="L32" s="102">
        <f t="shared" si="10"/>
        <v>1.0000000725266964</v>
      </c>
      <c r="M32" s="103">
        <f t="shared" si="11"/>
        <v>3.8085874571239047E-4</v>
      </c>
      <c r="N32" s="101">
        <f t="shared" si="12"/>
        <v>1.0000000018566835</v>
      </c>
      <c r="O32" s="104">
        <f t="shared" si="13"/>
        <v>6.0937402184947004E-5</v>
      </c>
      <c r="P32" s="105">
        <f t="shared" ca="1" si="14"/>
        <v>1.0000000427541158</v>
      </c>
      <c r="Q32" s="106">
        <f t="shared" ca="1" si="15"/>
        <v>3.0168980628088283E-4</v>
      </c>
      <c r="R32" s="107">
        <f t="shared" ca="1" si="16"/>
        <v>70.414018690517764</v>
      </c>
      <c r="S32" s="108">
        <f t="shared" ca="1" si="17"/>
        <v>-35.466996482474485</v>
      </c>
      <c r="T32" s="78">
        <f t="shared" ca="1" si="18"/>
        <v>144.53300351752551</v>
      </c>
      <c r="V32" s="72">
        <f t="shared" ca="1" si="19"/>
        <v>1000000000</v>
      </c>
      <c r="W32" s="72">
        <f t="shared" si="20"/>
        <v>27.542553609999999</v>
      </c>
      <c r="Y32" s="110">
        <f t="shared" si="21"/>
        <v>62.331858008694255</v>
      </c>
      <c r="Z32" s="111">
        <f t="shared" si="22"/>
        <v>-31.042142571022321</v>
      </c>
      <c r="AA32" s="72">
        <f t="shared" si="23"/>
        <v>148.95785742897769</v>
      </c>
      <c r="AB32" s="110">
        <f t="shared" ca="1" si="24"/>
        <v>23.999761028705016</v>
      </c>
      <c r="AC32" s="111">
        <f t="shared" ca="1" si="25"/>
        <v>-4.424853911452165</v>
      </c>
      <c r="AD32" s="72">
        <f t="shared" ca="1" si="26"/>
        <v>175.57514608854783</v>
      </c>
    </row>
    <row r="33" spans="1:30">
      <c r="A33" s="112">
        <v>5.7544000000000004</v>
      </c>
      <c r="B33" s="101">
        <f t="shared" ca="1" si="0"/>
        <v>1.0044249253455735</v>
      </c>
      <c r="C33" s="102">
        <f t="shared" ca="1" si="1"/>
        <v>9.3900693105271826E-2</v>
      </c>
      <c r="D33" s="102">
        <f t="shared" si="2"/>
        <v>1.0000460732534495</v>
      </c>
      <c r="E33" s="103">
        <f t="shared" si="3"/>
        <v>9.5991129345573412E-3</v>
      </c>
      <c r="F33" s="101">
        <f t="shared" si="4"/>
        <v>1.2688231621820398</v>
      </c>
      <c r="G33" s="104">
        <f t="shared" si="5"/>
        <v>0.66302832886958696</v>
      </c>
      <c r="H33" s="113">
        <f t="shared" si="6"/>
        <v>1.0044091366528065</v>
      </c>
      <c r="I33" s="114">
        <f t="shared" si="7"/>
        <v>9.3733632898415922E-2</v>
      </c>
      <c r="J33" s="101">
        <f t="shared" si="8"/>
        <v>1.0000458392858333</v>
      </c>
      <c r="K33" s="104">
        <f t="shared" si="9"/>
        <v>9.5747099035450346E-3</v>
      </c>
      <c r="L33" s="102">
        <f t="shared" si="10"/>
        <v>1.0000000871954422</v>
      </c>
      <c r="M33" s="103">
        <f t="shared" si="11"/>
        <v>4.1760133093790769E-4</v>
      </c>
      <c r="N33" s="101">
        <f t="shared" si="12"/>
        <v>1.0000000022322033</v>
      </c>
      <c r="O33" s="104">
        <f t="shared" si="13"/>
        <v>6.6816216734679796E-5</v>
      </c>
      <c r="P33" s="105">
        <f t="shared" ca="1" si="14"/>
        <v>1.0000000514012666</v>
      </c>
      <c r="Q33" s="106">
        <f t="shared" ca="1" si="15"/>
        <v>3.3079472791623307E-4</v>
      </c>
      <c r="R33" s="107">
        <f t="shared" ca="1" si="16"/>
        <v>70.127993454040109</v>
      </c>
      <c r="S33" s="108">
        <f t="shared" ca="1" si="17"/>
        <v>-37.99575327458377</v>
      </c>
      <c r="T33" s="78">
        <f t="shared" ca="1" si="18"/>
        <v>142.00424672541624</v>
      </c>
      <c r="V33" s="72">
        <f t="shared" ca="1" si="19"/>
        <v>1000000000</v>
      </c>
      <c r="W33" s="72">
        <f t="shared" si="20"/>
        <v>33.113119360000006</v>
      </c>
      <c r="Y33" s="110">
        <f t="shared" si="21"/>
        <v>62.052193377441156</v>
      </c>
      <c r="Z33" s="111">
        <f t="shared" si="22"/>
        <v>-33.146675377182433</v>
      </c>
      <c r="AA33" s="72">
        <f t="shared" si="23"/>
        <v>146.85332462281758</v>
      </c>
      <c r="AB33" s="110">
        <f t="shared" ca="1" si="24"/>
        <v>23.993400423480455</v>
      </c>
      <c r="AC33" s="111">
        <f t="shared" ca="1" si="25"/>
        <v>-4.8490778974013473</v>
      </c>
      <c r="AD33" s="72">
        <f t="shared" ca="1" si="26"/>
        <v>175.15092210259866</v>
      </c>
    </row>
    <row r="34" spans="1:30">
      <c r="A34" s="112">
        <v>6.3095999999999997</v>
      </c>
      <c r="B34" s="101">
        <f t="shared" ca="1" si="0"/>
        <v>1.0053176057687339</v>
      </c>
      <c r="C34" s="102">
        <f t="shared" ca="1" si="1"/>
        <v>0.1028994469707265</v>
      </c>
      <c r="D34" s="102">
        <f t="shared" si="2"/>
        <v>1.0000553924301068</v>
      </c>
      <c r="E34" s="103">
        <f t="shared" si="3"/>
        <v>1.0525195798006872E-2</v>
      </c>
      <c r="F34" s="101">
        <f t="shared" si="4"/>
        <v>1.3165415979807233</v>
      </c>
      <c r="G34" s="104">
        <f t="shared" si="5"/>
        <v>0.70815099756062638</v>
      </c>
      <c r="H34" s="113">
        <f t="shared" si="6"/>
        <v>1.0052986402550019</v>
      </c>
      <c r="I34" s="114">
        <f t="shared" si="7"/>
        <v>0.1027165929356663</v>
      </c>
      <c r="J34" s="101">
        <f t="shared" si="8"/>
        <v>1.0000551111394713</v>
      </c>
      <c r="K34" s="104">
        <f t="shared" si="9"/>
        <v>1.0498438794300785E-2</v>
      </c>
      <c r="L34" s="102">
        <f t="shared" si="10"/>
        <v>1.0000001048328375</v>
      </c>
      <c r="M34" s="103">
        <f t="shared" si="11"/>
        <v>4.578926259391086E-4</v>
      </c>
      <c r="N34" s="101">
        <f t="shared" si="12"/>
        <v>1.0000000026837208</v>
      </c>
      <c r="O34" s="104">
        <f t="shared" si="13"/>
        <v>7.3262825139412273E-5</v>
      </c>
      <c r="P34" s="105">
        <f t="shared" ca="1" si="14"/>
        <v>1.0000000617984208</v>
      </c>
      <c r="Q34" s="106">
        <f t="shared" ca="1" si="15"/>
        <v>3.627106911683383E-4</v>
      </c>
      <c r="R34" s="107">
        <f t="shared" ca="1" si="16"/>
        <v>69.807296841719932</v>
      </c>
      <c r="S34" s="108">
        <f t="shared" ca="1" si="17"/>
        <v>-40.581751293192909</v>
      </c>
      <c r="T34" s="78">
        <f t="shared" ca="1" si="18"/>
        <v>139.41824870680711</v>
      </c>
      <c r="V34" s="72">
        <f t="shared" ca="1" si="19"/>
        <v>1000000000</v>
      </c>
      <c r="W34" s="72">
        <f t="shared" si="20"/>
        <v>39.811052159999996</v>
      </c>
      <c r="Y34" s="110">
        <f t="shared" si="21"/>
        <v>61.739132050992076</v>
      </c>
      <c r="Z34" s="111">
        <f t="shared" si="22"/>
        <v>-35.268314767454967</v>
      </c>
      <c r="AA34" s="72">
        <f t="shared" si="23"/>
        <v>144.73168523254503</v>
      </c>
      <c r="AB34" s="110">
        <f t="shared" ca="1" si="24"/>
        <v>23.98576513760937</v>
      </c>
      <c r="AC34" s="111">
        <f t="shared" ca="1" si="25"/>
        <v>-5.3134365257379352</v>
      </c>
      <c r="AD34" s="72">
        <f t="shared" ca="1" si="26"/>
        <v>174.68656347426207</v>
      </c>
    </row>
    <row r="35" spans="1:30">
      <c r="A35" s="112">
        <v>6.9183000000000003</v>
      </c>
      <c r="B35" s="101">
        <f t="shared" ca="1" si="0"/>
        <v>1.0063896805101087</v>
      </c>
      <c r="C35" s="102">
        <f t="shared" ca="1" si="1"/>
        <v>0.11274610103875166</v>
      </c>
      <c r="D35" s="102">
        <f t="shared" si="2"/>
        <v>1.0000665952281602</v>
      </c>
      <c r="E35" s="103">
        <f t="shared" si="3"/>
        <v>1.1540496748387457E-2</v>
      </c>
      <c r="F35" s="101">
        <f t="shared" si="4"/>
        <v>1.3717101401157761</v>
      </c>
      <c r="G35" s="104">
        <f t="shared" si="5"/>
        <v>0.75391158252600043</v>
      </c>
      <c r="H35" s="113">
        <f t="shared" si="6"/>
        <v>1.006366903449992</v>
      </c>
      <c r="I35" s="114">
        <f t="shared" si="7"/>
        <v>0.11254603288038138</v>
      </c>
      <c r="J35" s="101">
        <f t="shared" si="8"/>
        <v>1.0000662570500078</v>
      </c>
      <c r="K35" s="104">
        <f t="shared" si="9"/>
        <v>1.1511159097505285E-2</v>
      </c>
      <c r="L35" s="102">
        <f t="shared" si="10"/>
        <v>1.0000001260353761</v>
      </c>
      <c r="M35" s="103">
        <f t="shared" si="11"/>
        <v>5.020664557590116E-4</v>
      </c>
      <c r="N35" s="101">
        <f t="shared" si="12"/>
        <v>1.0000000032265057</v>
      </c>
      <c r="O35" s="104">
        <f t="shared" si="13"/>
        <v>8.0330639498318014E-5</v>
      </c>
      <c r="P35" s="105">
        <f t="shared" ca="1" si="14"/>
        <v>1.0000000742972093</v>
      </c>
      <c r="Q35" s="106">
        <f t="shared" ca="1" si="15"/>
        <v>3.9770212921171825E-4</v>
      </c>
      <c r="R35" s="107">
        <f t="shared" ca="1" si="16"/>
        <v>69.450709418306701</v>
      </c>
      <c r="S35" s="108">
        <f t="shared" ca="1" si="17"/>
        <v>-43.204356962816014</v>
      </c>
      <c r="T35" s="78">
        <f t="shared" ca="1" si="18"/>
        <v>136.79564303718399</v>
      </c>
      <c r="V35" s="72">
        <f t="shared" ca="1" si="19"/>
        <v>1000000000</v>
      </c>
      <c r="W35" s="72">
        <f t="shared" si="20"/>
        <v>47.862874890000008</v>
      </c>
      <c r="Y35" s="110">
        <f t="shared" si="21"/>
        <v>61.391705168116772</v>
      </c>
      <c r="Z35" s="111">
        <f t="shared" si="22"/>
        <v>-37.382916313747884</v>
      </c>
      <c r="AA35" s="72">
        <f t="shared" si="23"/>
        <v>142.6170836862521</v>
      </c>
      <c r="AB35" s="110">
        <f t="shared" ca="1" si="24"/>
        <v>23.976604597071429</v>
      </c>
      <c r="AC35" s="111">
        <f t="shared" ca="1" si="25"/>
        <v>-5.821440649068129</v>
      </c>
      <c r="AD35" s="72">
        <f t="shared" ca="1" si="26"/>
        <v>174.17855935093186</v>
      </c>
    </row>
    <row r="36" spans="1:30">
      <c r="A36" s="112">
        <v>7.5857999999999999</v>
      </c>
      <c r="B36" s="101">
        <f t="shared" ca="1" si="0"/>
        <v>1.0076772296382015</v>
      </c>
      <c r="C36" s="102">
        <f t="shared" ca="1" si="1"/>
        <v>0.12351868466363562</v>
      </c>
      <c r="D36" s="102">
        <f t="shared" si="2"/>
        <v>1.0000800652717323</v>
      </c>
      <c r="E36" s="103">
        <f t="shared" si="3"/>
        <v>1.2653847640743081E-2</v>
      </c>
      <c r="F36" s="101">
        <f t="shared" si="4"/>
        <v>1.4352395276125733</v>
      </c>
      <c r="G36" s="104">
        <f t="shared" si="5"/>
        <v>0.79994270153010227</v>
      </c>
      <c r="H36" s="113">
        <f t="shared" si="6"/>
        <v>1.0076498802653093</v>
      </c>
      <c r="I36" s="114">
        <f t="shared" si="7"/>
        <v>0.12329987253513583</v>
      </c>
      <c r="J36" s="101">
        <f t="shared" si="8"/>
        <v>1.0000796586938889</v>
      </c>
      <c r="K36" s="104">
        <f t="shared" si="9"/>
        <v>1.2621680262585996E-2</v>
      </c>
      <c r="L36" s="102">
        <f t="shared" si="10"/>
        <v>1.0000001515292425</v>
      </c>
      <c r="M36" s="103">
        <f t="shared" si="11"/>
        <v>5.5050744480096331E-4</v>
      </c>
      <c r="N36" s="101">
        <f t="shared" si="12"/>
        <v>1.0000000038791488</v>
      </c>
      <c r="O36" s="104">
        <f t="shared" si="13"/>
        <v>8.8081199838284808E-5</v>
      </c>
      <c r="P36" s="105">
        <f t="shared" ca="1" si="14"/>
        <v>1.0000000893257133</v>
      </c>
      <c r="Q36" s="106">
        <f t="shared" ca="1" si="15"/>
        <v>4.3607371500536778E-4</v>
      </c>
      <c r="R36" s="107">
        <f t="shared" ca="1" si="16"/>
        <v>69.057430184113159</v>
      </c>
      <c r="S36" s="108">
        <f t="shared" ca="1" si="17"/>
        <v>-45.842524770067733</v>
      </c>
      <c r="T36" s="78">
        <f t="shared" ca="1" si="18"/>
        <v>134.15747522993226</v>
      </c>
      <c r="V36" s="72">
        <f t="shared" ca="1" si="19"/>
        <v>1000000000</v>
      </c>
      <c r="W36" s="72">
        <f t="shared" si="20"/>
        <v>57.544361639999998</v>
      </c>
      <c r="Y36" s="110">
        <f t="shared" si="21"/>
        <v>61.009414475535195</v>
      </c>
      <c r="Z36" s="111">
        <f t="shared" si="22"/>
        <v>-39.465452321537022</v>
      </c>
      <c r="AA36" s="72">
        <f t="shared" si="23"/>
        <v>140.53454767846299</v>
      </c>
      <c r="AB36" s="110">
        <f t="shared" ca="1" si="24"/>
        <v>23.965616055459463</v>
      </c>
      <c r="AC36" s="111">
        <f t="shared" ca="1" si="25"/>
        <v>-6.3770724485307229</v>
      </c>
      <c r="AD36" s="72">
        <f t="shared" ca="1" si="26"/>
        <v>173.62292755146927</v>
      </c>
    </row>
    <row r="37" spans="1:30">
      <c r="A37" s="112">
        <v>8.3176000000000005</v>
      </c>
      <c r="B37" s="101">
        <f t="shared" ca="1" si="0"/>
        <v>1.0092228173614988</v>
      </c>
      <c r="C37" s="102">
        <f t="shared" ca="1" si="1"/>
        <v>0.13529587687232628</v>
      </c>
      <c r="D37" s="102">
        <f t="shared" si="2"/>
        <v>1.000096257361101</v>
      </c>
      <c r="E37" s="103">
        <f t="shared" si="3"/>
        <v>1.3874411014677301E-2</v>
      </c>
      <c r="F37" s="101">
        <f t="shared" si="4"/>
        <v>1.5080700920454433</v>
      </c>
      <c r="G37" s="104">
        <f t="shared" si="5"/>
        <v>0.84584480959537489</v>
      </c>
      <c r="H37" s="113">
        <f t="shared" si="6"/>
        <v>1.0091899869586112</v>
      </c>
      <c r="I37" s="114">
        <f t="shared" si="7"/>
        <v>0.13505668900696108</v>
      </c>
      <c r="J37" s="101">
        <f t="shared" si="8"/>
        <v>1.0000957685624714</v>
      </c>
      <c r="K37" s="104">
        <f t="shared" si="9"/>
        <v>1.383914159775286E-2</v>
      </c>
      <c r="L37" s="102">
        <f t="shared" si="10"/>
        <v>1.0000001821753997</v>
      </c>
      <c r="M37" s="103">
        <f t="shared" si="11"/>
        <v>6.0361473138311459E-4</v>
      </c>
      <c r="N37" s="101">
        <f t="shared" si="12"/>
        <v>1.0000000046636905</v>
      </c>
      <c r="O37" s="104">
        <f t="shared" si="13"/>
        <v>9.6578368450491033E-5</v>
      </c>
      <c r="P37" s="105">
        <f t="shared" ca="1" si="14"/>
        <v>1.0000001073914668</v>
      </c>
      <c r="Q37" s="106">
        <f t="shared" ca="1" si="15"/>
        <v>4.7814161850453412E-4</v>
      </c>
      <c r="R37" s="107">
        <f t="shared" ca="1" si="16"/>
        <v>68.627441378506575</v>
      </c>
      <c r="S37" s="108">
        <f t="shared" ca="1" si="17"/>
        <v>-48.473365887805265</v>
      </c>
      <c r="T37" s="78">
        <f t="shared" ca="1" si="18"/>
        <v>131.52663411219473</v>
      </c>
      <c r="V37" s="72">
        <f t="shared" ca="1" si="19"/>
        <v>1000000000</v>
      </c>
      <c r="W37" s="72">
        <f t="shared" si="20"/>
        <v>69.182469760000004</v>
      </c>
      <c r="Y37" s="110">
        <f t="shared" si="21"/>
        <v>60.592597514164275</v>
      </c>
      <c r="Z37" s="111">
        <f t="shared" si="22"/>
        <v>-41.489032847139526</v>
      </c>
      <c r="AA37" s="72">
        <f t="shared" si="23"/>
        <v>138.51096715286047</v>
      </c>
      <c r="AB37" s="110">
        <f t="shared" ca="1" si="24"/>
        <v>23.952444211223806</v>
      </c>
      <c r="AC37" s="111">
        <f t="shared" ca="1" si="25"/>
        <v>-6.9843330406657369</v>
      </c>
      <c r="AD37" s="72">
        <f t="shared" ca="1" si="26"/>
        <v>173.01566695933425</v>
      </c>
    </row>
    <row r="38" spans="1:30">
      <c r="A38" s="112">
        <v>9.1201000000000008</v>
      </c>
      <c r="B38" s="101">
        <f t="shared" ca="1" si="0"/>
        <v>1.0110781160020306</v>
      </c>
      <c r="C38" s="102">
        <f t="shared" ca="1" si="1"/>
        <v>0.14816749319946582</v>
      </c>
      <c r="D38" s="102">
        <f t="shared" si="2"/>
        <v>1.0001157265116967</v>
      </c>
      <c r="E38" s="103">
        <f t="shared" si="3"/>
        <v>1.521284669465091E-2</v>
      </c>
      <c r="F38" s="101">
        <f t="shared" si="4"/>
        <v>1.5912344479657858</v>
      </c>
      <c r="G38" s="104">
        <f t="shared" si="5"/>
        <v>0.89124651580549707</v>
      </c>
      <c r="H38" s="113">
        <f t="shared" si="6"/>
        <v>1.0110387171925319</v>
      </c>
      <c r="I38" s="114">
        <f t="shared" si="7"/>
        <v>0.14790618790501059</v>
      </c>
      <c r="J38" s="101">
        <f t="shared" si="8"/>
        <v>1.0001151388536527</v>
      </c>
      <c r="K38" s="104">
        <f t="shared" si="9"/>
        <v>1.5174175910079541E-2</v>
      </c>
      <c r="L38" s="102">
        <f t="shared" si="10"/>
        <v>1.0000002190245827</v>
      </c>
      <c r="M38" s="103">
        <f t="shared" si="11"/>
        <v>6.6185276719847152E-4</v>
      </c>
      <c r="N38" s="101">
        <f t="shared" si="12"/>
        <v>1.00000000560703</v>
      </c>
      <c r="O38" s="104">
        <f t="shared" si="13"/>
        <v>1.058964578185284E-4</v>
      </c>
      <c r="P38" s="105">
        <f t="shared" ca="1" si="14"/>
        <v>1.0000001291138729</v>
      </c>
      <c r="Q38" s="106">
        <f t="shared" ca="1" si="15"/>
        <v>5.2427374649025808E-4</v>
      </c>
      <c r="R38" s="107">
        <f t="shared" ca="1" si="16"/>
        <v>68.161133550427849</v>
      </c>
      <c r="S38" s="108">
        <f t="shared" ca="1" si="17"/>
        <v>-51.075604660409553</v>
      </c>
      <c r="T38" s="78">
        <f t="shared" ca="1" si="18"/>
        <v>128.92439533959043</v>
      </c>
      <c r="V38" s="72">
        <f t="shared" ca="1" si="19"/>
        <v>1000000000</v>
      </c>
      <c r="W38" s="72">
        <f t="shared" si="20"/>
        <v>83.176224010000013</v>
      </c>
      <c r="Y38" s="110">
        <f t="shared" si="21"/>
        <v>60.142073779231566</v>
      </c>
      <c r="Z38" s="111">
        <f t="shared" si="22"/>
        <v>-43.427825867307611</v>
      </c>
      <c r="AA38" s="72">
        <f t="shared" si="23"/>
        <v>136.5721741326924</v>
      </c>
      <c r="AB38" s="110">
        <f t="shared" ca="1" si="24"/>
        <v>23.936660118077782</v>
      </c>
      <c r="AC38" s="111">
        <f t="shared" ca="1" si="25"/>
        <v>-7.6477787931019394</v>
      </c>
      <c r="AD38" s="72">
        <f t="shared" ca="1" si="26"/>
        <v>172.35222120689807</v>
      </c>
    </row>
    <row r="39" spans="1:30">
      <c r="A39" s="115">
        <v>10</v>
      </c>
      <c r="B39" s="101">
        <f t="shared" ca="1" si="0"/>
        <v>1.0133041234167346</v>
      </c>
      <c r="C39" s="102">
        <f t="shared" ca="1" si="1"/>
        <v>0.16222379012504207</v>
      </c>
      <c r="D39" s="102">
        <f t="shared" si="2"/>
        <v>1.000139132497083</v>
      </c>
      <c r="E39" s="103">
        <f t="shared" si="3"/>
        <v>1.6680309796571945E-2</v>
      </c>
      <c r="F39" s="101">
        <f t="shared" si="4"/>
        <v>1.6857950787505382</v>
      </c>
      <c r="G39" s="104">
        <f t="shared" si="5"/>
        <v>0.93577844742166072</v>
      </c>
      <c r="H39" s="113">
        <f t="shared" si="6"/>
        <v>1.0132568594175639</v>
      </c>
      <c r="I39" s="114">
        <f t="shared" si="7"/>
        <v>0.16193852955542487</v>
      </c>
      <c r="J39" s="101">
        <f t="shared" si="8"/>
        <v>1.0001384259919091</v>
      </c>
      <c r="K39" s="104">
        <f t="shared" si="9"/>
        <v>1.6637910065006263E-2</v>
      </c>
      <c r="L39" s="102">
        <f t="shared" si="10"/>
        <v>1.0000002633259448</v>
      </c>
      <c r="M39" s="103">
        <f t="shared" si="11"/>
        <v>7.2570777475154408E-4</v>
      </c>
      <c r="N39" s="101">
        <f t="shared" si="12"/>
        <v>1.000000006741145</v>
      </c>
      <c r="O39" s="104">
        <f t="shared" si="13"/>
        <v>1.1611326382217578E-4</v>
      </c>
      <c r="P39" s="105">
        <f t="shared" ca="1" si="14"/>
        <v>1.000000155229301</v>
      </c>
      <c r="Q39" s="106">
        <f t="shared" ca="1" si="15"/>
        <v>5.7485525121052654E-4</v>
      </c>
      <c r="R39" s="107">
        <f t="shared" ca="1" si="16"/>
        <v>67.659655859758928</v>
      </c>
      <c r="S39" s="108">
        <f t="shared" ca="1" si="17"/>
        <v>-53.62808014590906</v>
      </c>
      <c r="T39" s="78">
        <f t="shared" ca="1" si="18"/>
        <v>126.37191985409095</v>
      </c>
      <c r="V39" s="72">
        <f t="shared" ca="1" si="19"/>
        <v>1000000000</v>
      </c>
      <c r="W39" s="72">
        <f t="shared" si="20"/>
        <v>100</v>
      </c>
      <c r="Y39" s="110">
        <f t="shared" si="21"/>
        <v>59.659495027404787</v>
      </c>
      <c r="Z39" s="111">
        <f t="shared" si="22"/>
        <v>-45.256116198150728</v>
      </c>
      <c r="AA39" s="72">
        <f t="shared" si="23"/>
        <v>134.74388380184928</v>
      </c>
      <c r="AB39" s="110">
        <f t="shared" ca="1" si="24"/>
        <v>23.91776117923564</v>
      </c>
      <c r="AC39" s="111">
        <f t="shared" ca="1" si="25"/>
        <v>-8.3719639477583172</v>
      </c>
      <c r="AD39" s="72">
        <f t="shared" ca="1" si="26"/>
        <v>171.62803605224167</v>
      </c>
    </row>
    <row r="40" spans="1:30">
      <c r="A40" s="115">
        <v>10.965</v>
      </c>
      <c r="B40" s="101">
        <f t="shared" ca="1" si="0"/>
        <v>1.0159745223313057</v>
      </c>
      <c r="C40" s="102">
        <f t="shared" ca="1" si="1"/>
        <v>0.17756535095800757</v>
      </c>
      <c r="D40" s="102">
        <f t="shared" si="2"/>
        <v>1.0001672783516835</v>
      </c>
      <c r="E40" s="103">
        <f t="shared" si="3"/>
        <v>1.8289616542682425E-2</v>
      </c>
      <c r="F40" s="101">
        <f t="shared" si="4"/>
        <v>1.7929152244302053</v>
      </c>
      <c r="G40" s="104">
        <f t="shared" si="5"/>
        <v>0.9791227871147663</v>
      </c>
      <c r="H40" s="113">
        <f t="shared" si="6"/>
        <v>1.015917845349356</v>
      </c>
      <c r="I40" s="114">
        <f t="shared" si="7"/>
        <v>0.17725420200909014</v>
      </c>
      <c r="J40" s="101">
        <f t="shared" si="8"/>
        <v>1.0001664289357017</v>
      </c>
      <c r="K40" s="104">
        <f t="shared" si="9"/>
        <v>1.8243127846976664E-2</v>
      </c>
      <c r="L40" s="102">
        <f t="shared" si="10"/>
        <v>1.0000003166000009</v>
      </c>
      <c r="M40" s="103">
        <f t="shared" si="11"/>
        <v>7.9573854675359372E-4</v>
      </c>
      <c r="N40" s="101">
        <f t="shared" si="12"/>
        <v>1.0000000081049611</v>
      </c>
      <c r="O40" s="104">
        <f t="shared" si="13"/>
        <v>1.2731819366525667E-4</v>
      </c>
      <c r="P40" s="105">
        <f t="shared" ca="1" si="14"/>
        <v>1.0000001866340873</v>
      </c>
      <c r="Q40" s="106">
        <f t="shared" ca="1" si="15"/>
        <v>6.3032877018052763E-4</v>
      </c>
      <c r="R40" s="107">
        <f t="shared" ca="1" si="16"/>
        <v>67.124478398406879</v>
      </c>
      <c r="S40" s="108">
        <f t="shared" ca="1" si="17"/>
        <v>-56.112584819458547</v>
      </c>
      <c r="T40" s="78">
        <f t="shared" ca="1" si="18"/>
        <v>123.88741518054145</v>
      </c>
      <c r="V40" s="72">
        <f t="shared" ca="1" si="19"/>
        <v>1000000000</v>
      </c>
      <c r="W40" s="72">
        <f t="shared" si="20"/>
        <v>120.23122499999999</v>
      </c>
      <c r="Y40" s="110">
        <f t="shared" si="21"/>
        <v>59.146933551076515</v>
      </c>
      <c r="Z40" s="111">
        <f t="shared" si="22"/>
        <v>-46.950642269907775</v>
      </c>
      <c r="AA40" s="72">
        <f t="shared" si="23"/>
        <v>133.04935773009223</v>
      </c>
      <c r="AB40" s="110">
        <f t="shared" ca="1" si="24"/>
        <v>23.895145194211857</v>
      </c>
      <c r="AC40" s="111">
        <f t="shared" ca="1" si="25"/>
        <v>-9.1619425495507869</v>
      </c>
      <c r="AD40" s="72">
        <f t="shared" ca="1" si="26"/>
        <v>170.83805745044921</v>
      </c>
    </row>
    <row r="41" spans="1:30">
      <c r="A41" s="115">
        <v>12.023</v>
      </c>
      <c r="B41" s="101">
        <f t="shared" ca="1" si="0"/>
        <v>1.0191755252471737</v>
      </c>
      <c r="C41" s="102">
        <f t="shared" ca="1" si="1"/>
        <v>0.19428864907972851</v>
      </c>
      <c r="D41" s="102">
        <f t="shared" si="2"/>
        <v>1.0002011133110444</v>
      </c>
      <c r="E41" s="103">
        <f t="shared" si="3"/>
        <v>2.0053907916309444E-2</v>
      </c>
      <c r="F41" s="101">
        <f t="shared" si="4"/>
        <v>1.9137712318866766</v>
      </c>
      <c r="G41" s="104">
        <f t="shared" si="5"/>
        <v>1.0209825099364345</v>
      </c>
      <c r="H41" s="113">
        <f t="shared" si="6"/>
        <v>1.0191075968559935</v>
      </c>
      <c r="I41" s="114">
        <f t="shared" si="7"/>
        <v>0.19394961376935643</v>
      </c>
      <c r="J41" s="101">
        <f t="shared" si="8"/>
        <v>1.0002000921030738</v>
      </c>
      <c r="K41" s="104">
        <f t="shared" si="9"/>
        <v>2.0002937020755968E-2</v>
      </c>
      <c r="L41" s="102">
        <f t="shared" si="10"/>
        <v>1.0000003806442905</v>
      </c>
      <c r="M41" s="103">
        <f t="shared" si="11"/>
        <v>8.7251838934218563E-4</v>
      </c>
      <c r="N41" s="101">
        <f t="shared" si="12"/>
        <v>1.0000000097444957</v>
      </c>
      <c r="O41" s="104">
        <f t="shared" si="13"/>
        <v>1.3960297681388416E-4</v>
      </c>
      <c r="P41" s="105">
        <f t="shared" ca="1" si="14"/>
        <v>1.0000002243878727</v>
      </c>
      <c r="Q41" s="106">
        <f t="shared" ca="1" si="15"/>
        <v>6.9114843769094061E-4</v>
      </c>
      <c r="R41" s="107">
        <f t="shared" ca="1" si="16"/>
        <v>66.557780392651097</v>
      </c>
      <c r="S41" s="108">
        <f t="shared" ca="1" si="17"/>
        <v>-58.512100646706955</v>
      </c>
      <c r="T41" s="78">
        <f t="shared" ca="1" si="18"/>
        <v>121.48789935329305</v>
      </c>
      <c r="V41" s="72">
        <f t="shared" ca="1" si="19"/>
        <v>1000000000</v>
      </c>
      <c r="W41" s="72">
        <f t="shared" si="20"/>
        <v>144.55252899999999</v>
      </c>
      <c r="Y41" s="110">
        <f t="shared" si="21"/>
        <v>58.607265412717496</v>
      </c>
      <c r="Z41" s="111">
        <f t="shared" si="22"/>
        <v>-48.489585433539581</v>
      </c>
      <c r="AA41" s="72">
        <f t="shared" si="23"/>
        <v>131.51041456646041</v>
      </c>
      <c r="AB41" s="110">
        <f t="shared" ca="1" si="24"/>
        <v>23.868115326815108</v>
      </c>
      <c r="AC41" s="111">
        <f t="shared" ca="1" si="25"/>
        <v>-10.02251521316737</v>
      </c>
      <c r="AD41" s="72">
        <f t="shared" ca="1" si="26"/>
        <v>169.97748478683263</v>
      </c>
    </row>
    <row r="42" spans="1:30">
      <c r="A42" s="115">
        <v>13.183</v>
      </c>
      <c r="B42" s="101">
        <f t="shared" ca="1" si="0"/>
        <v>1.0230104978848662</v>
      </c>
      <c r="C42" s="102">
        <f t="shared" ca="1" si="1"/>
        <v>0.21249826302419042</v>
      </c>
      <c r="D42" s="102">
        <f t="shared" si="2"/>
        <v>1.0002417880287873</v>
      </c>
      <c r="E42" s="103">
        <f t="shared" si="3"/>
        <v>2.1988147760153211E-2</v>
      </c>
      <c r="F42" s="101">
        <f t="shared" si="4"/>
        <v>2.049652216373576</v>
      </c>
      <c r="G42" s="104">
        <f t="shared" si="5"/>
        <v>1.0611281209891676</v>
      </c>
      <c r="H42" s="113">
        <f t="shared" si="6"/>
        <v>1.0229291350950045</v>
      </c>
      <c r="I42" s="114">
        <f t="shared" si="7"/>
        <v>0.21212929415537538</v>
      </c>
      <c r="J42" s="101">
        <f t="shared" si="8"/>
        <v>1.0002405603086204</v>
      </c>
      <c r="K42" s="104">
        <f t="shared" si="9"/>
        <v>2.1932263637516543E-2</v>
      </c>
      <c r="L42" s="102">
        <f t="shared" si="10"/>
        <v>1.0000004576380361</v>
      </c>
      <c r="M42" s="103">
        <f t="shared" si="11"/>
        <v>9.5670043552267717E-4</v>
      </c>
      <c r="N42" s="101">
        <f t="shared" si="12"/>
        <v>1.0000000117155363</v>
      </c>
      <c r="O42" s="104">
        <f t="shared" si="13"/>
        <v>1.5307211518914728E-4</v>
      </c>
      <c r="P42" s="105">
        <f t="shared" ca="1" si="14"/>
        <v>1.0000002697752983</v>
      </c>
      <c r="Q42" s="106">
        <f t="shared" ca="1" si="15"/>
        <v>7.5783162166384187E-4</v>
      </c>
      <c r="R42" s="107">
        <f t="shared" ca="1" si="16"/>
        <v>65.961867448087702</v>
      </c>
      <c r="S42" s="108">
        <f t="shared" ca="1" si="17"/>
        <v>-60.813477401852772</v>
      </c>
      <c r="T42" s="78">
        <f t="shared" ca="1" si="18"/>
        <v>119.18652259814723</v>
      </c>
      <c r="V42" s="72">
        <f t="shared" ca="1" si="19"/>
        <v>1000000000</v>
      </c>
      <c r="W42" s="72">
        <f t="shared" si="20"/>
        <v>173.79148899999998</v>
      </c>
      <c r="Y42" s="110">
        <f t="shared" si="21"/>
        <v>58.043621734621993</v>
      </c>
      <c r="Z42" s="111">
        <f t="shared" si="22"/>
        <v>-49.854631276647389</v>
      </c>
      <c r="AA42" s="72">
        <f t="shared" si="23"/>
        <v>130.14536872335262</v>
      </c>
      <c r="AB42" s="110">
        <f t="shared" ca="1" si="24"/>
        <v>23.835846060347208</v>
      </c>
      <c r="AC42" s="111">
        <f t="shared" ca="1" si="25"/>
        <v>-10.958846125205376</v>
      </c>
      <c r="AD42" s="72">
        <f t="shared" ca="1" si="26"/>
        <v>169.04115387479462</v>
      </c>
    </row>
    <row r="43" spans="1:30">
      <c r="A43" s="115">
        <v>14.454000000000001</v>
      </c>
      <c r="B43" s="101">
        <f t="shared" ca="1" si="0"/>
        <v>1.0275987701546965</v>
      </c>
      <c r="C43" s="102">
        <f t="shared" ca="1" si="1"/>
        <v>0.23228699896100893</v>
      </c>
      <c r="D43" s="102">
        <f t="shared" si="2"/>
        <v>1.0002906509736846</v>
      </c>
      <c r="E43" s="103">
        <f t="shared" si="3"/>
        <v>2.4107284907964821E-2</v>
      </c>
      <c r="F43" s="101">
        <f t="shared" si="4"/>
        <v>2.20183408181191</v>
      </c>
      <c r="G43" s="104">
        <f t="shared" si="5"/>
        <v>1.0993595213100031</v>
      </c>
      <c r="H43" s="113">
        <f t="shared" si="6"/>
        <v>1.0275013983433725</v>
      </c>
      <c r="I43" s="114">
        <f t="shared" si="7"/>
        <v>0.23188605547117783</v>
      </c>
      <c r="J43" s="101">
        <f t="shared" si="8"/>
        <v>1.0002891751793974</v>
      </c>
      <c r="K43" s="104">
        <f t="shared" si="9"/>
        <v>2.4046018853516305E-2</v>
      </c>
      <c r="L43" s="102">
        <f t="shared" si="10"/>
        <v>1.0000005501355242</v>
      </c>
      <c r="M43" s="103">
        <f t="shared" si="11"/>
        <v>1.0489378170623132E-3</v>
      </c>
      <c r="N43" s="101">
        <f t="shared" si="12"/>
        <v>1.0000000140834733</v>
      </c>
      <c r="O43" s="104">
        <f t="shared" si="13"/>
        <v>1.6783011070706374E-4</v>
      </c>
      <c r="P43" s="105">
        <f t="shared" ca="1" si="14"/>
        <v>1.0000003243021038</v>
      </c>
      <c r="Q43" s="106">
        <f t="shared" ca="1" si="15"/>
        <v>8.3089568946178346E-4</v>
      </c>
      <c r="R43" s="107">
        <f t="shared" ca="1" si="16"/>
        <v>65.339649399902356</v>
      </c>
      <c r="S43" s="108">
        <f t="shared" ca="1" si="17"/>
        <v>-63.005245957374079</v>
      </c>
      <c r="T43" s="78">
        <f t="shared" ca="1" si="18"/>
        <v>116.99475404262591</v>
      </c>
      <c r="V43" s="72">
        <f t="shared" ca="1" si="19"/>
        <v>1000000000</v>
      </c>
      <c r="W43" s="72">
        <f t="shared" si="20"/>
        <v>208.91811600000003</v>
      </c>
      <c r="Y43" s="110">
        <f t="shared" si="21"/>
        <v>57.459849564166838</v>
      </c>
      <c r="Z43" s="111">
        <f t="shared" si="22"/>
        <v>-51.029820131988643</v>
      </c>
      <c r="AA43" s="72">
        <f t="shared" si="23"/>
        <v>128.97017986801137</v>
      </c>
      <c r="AB43" s="110">
        <f t="shared" ca="1" si="24"/>
        <v>23.797400182617025</v>
      </c>
      <c r="AC43" s="111">
        <f t="shared" ca="1" si="25"/>
        <v>-11.975425825385432</v>
      </c>
      <c r="AD43" s="72">
        <f t="shared" ca="1" si="26"/>
        <v>168.02457417461457</v>
      </c>
    </row>
    <row r="44" spans="1:30">
      <c r="A44" s="115">
        <v>15.849</v>
      </c>
      <c r="B44" s="101">
        <f t="shared" ca="1" si="0"/>
        <v>1.0330934494599042</v>
      </c>
      <c r="C44" s="102">
        <f t="shared" ca="1" si="1"/>
        <v>0.25379461778638279</v>
      </c>
      <c r="D44" s="102">
        <f t="shared" si="2"/>
        <v>1.000349451288344</v>
      </c>
      <c r="E44" s="103">
        <f t="shared" si="3"/>
        <v>2.6432917174534547E-2</v>
      </c>
      <c r="F44" s="101">
        <f t="shared" si="4"/>
        <v>2.3720657753472993</v>
      </c>
      <c r="G44" s="104">
        <f t="shared" si="5"/>
        <v>1.1356165044963964</v>
      </c>
      <c r="H44" s="113">
        <f t="shared" si="6"/>
        <v>1.032976996978165</v>
      </c>
      <c r="I44" s="114">
        <f t="shared" si="7"/>
        <v>0.25335963434749914</v>
      </c>
      <c r="J44" s="101">
        <f t="shared" si="8"/>
        <v>1.0003476769845088</v>
      </c>
      <c r="K44" s="104">
        <f t="shared" si="9"/>
        <v>2.6365746021976302E-2</v>
      </c>
      <c r="L44" s="102">
        <f t="shared" si="10"/>
        <v>1.0000006614504187</v>
      </c>
      <c r="M44" s="103">
        <f t="shared" si="11"/>
        <v>1.1501739469288539E-3</v>
      </c>
      <c r="N44" s="101">
        <f t="shared" si="12"/>
        <v>1.0000000169331362</v>
      </c>
      <c r="O44" s="104">
        <f t="shared" si="13"/>
        <v>1.8402791058135919E-4</v>
      </c>
      <c r="P44" s="105">
        <f t="shared" ca="1" si="14"/>
        <v>1.0000003899216789</v>
      </c>
      <c r="Q44" s="106">
        <f t="shared" ca="1" si="15"/>
        <v>9.1108794968491912E-4</v>
      </c>
      <c r="R44" s="107">
        <f t="shared" ca="1" si="16"/>
        <v>64.692653547645278</v>
      </c>
      <c r="S44" s="108">
        <f t="shared" ca="1" si="17"/>
        <v>-65.083952423077719</v>
      </c>
      <c r="T44" s="78">
        <f t="shared" ca="1" si="18"/>
        <v>114.91604757692228</v>
      </c>
      <c r="V44" s="72">
        <f t="shared" ca="1" si="19"/>
        <v>1000000000</v>
      </c>
      <c r="W44" s="72">
        <f t="shared" si="20"/>
        <v>251.19080099999999</v>
      </c>
      <c r="Y44" s="110">
        <f t="shared" si="21"/>
        <v>56.858664352163075</v>
      </c>
      <c r="Z44" s="111">
        <f t="shared" si="22"/>
        <v>-52.004885045874644</v>
      </c>
      <c r="AA44" s="72">
        <f t="shared" si="23"/>
        <v>127.99511495412536</v>
      </c>
      <c r="AB44" s="110">
        <f t="shared" ca="1" si="24"/>
        <v>23.751589542363696</v>
      </c>
      <c r="AC44" s="111">
        <f t="shared" ca="1" si="25"/>
        <v>-13.079067377203076</v>
      </c>
      <c r="AD44" s="72">
        <f t="shared" ca="1" si="26"/>
        <v>166.92093262279693</v>
      </c>
    </row>
    <row r="45" spans="1:30">
      <c r="A45" s="115">
        <v>17.378</v>
      </c>
      <c r="B45" s="101">
        <f t="shared" ca="1" si="0"/>
        <v>1.0396586334934776</v>
      </c>
      <c r="C45" s="102">
        <f t="shared" ca="1" si="1"/>
        <v>0.27709506384421401</v>
      </c>
      <c r="D45" s="102">
        <f t="shared" si="2"/>
        <v>1.0004201140051443</v>
      </c>
      <c r="E45" s="103">
        <f t="shared" si="3"/>
        <v>2.8981614104054747E-2</v>
      </c>
      <c r="F45" s="101">
        <f t="shared" si="4"/>
        <v>2.5617296913818133</v>
      </c>
      <c r="G45" s="104">
        <f t="shared" si="5"/>
        <v>1.16977238782385</v>
      </c>
      <c r="H45" s="113">
        <f t="shared" si="6"/>
        <v>1.0395195107839175</v>
      </c>
      <c r="I45" s="114">
        <f t="shared" si="7"/>
        <v>0.27662411091645545</v>
      </c>
      <c r="J45" s="101">
        <f t="shared" si="8"/>
        <v>1.0004179809933964</v>
      </c>
      <c r="K45" s="104">
        <f t="shared" si="9"/>
        <v>2.8907973129005542E-2</v>
      </c>
      <c r="L45" s="102">
        <f t="shared" si="10"/>
        <v>1.0000007952306704</v>
      </c>
      <c r="M45" s="103">
        <f t="shared" si="11"/>
        <v>1.2611345237610525E-3</v>
      </c>
      <c r="N45" s="101">
        <f t="shared" si="12"/>
        <v>1.0000000203579131</v>
      </c>
      <c r="O45" s="104">
        <f t="shared" si="13"/>
        <v>2.0178162803843468E-4</v>
      </c>
      <c r="P45" s="105">
        <f t="shared" ca="1" si="14"/>
        <v>1.0000004687844744</v>
      </c>
      <c r="Q45" s="106">
        <f t="shared" ca="1" si="15"/>
        <v>9.9898325345575004E-4</v>
      </c>
      <c r="R45" s="107">
        <f t="shared" ca="1" si="16"/>
        <v>64.024342379290061</v>
      </c>
      <c r="S45" s="108">
        <f t="shared" ca="1" si="17"/>
        <v>-67.042326262181902</v>
      </c>
      <c r="T45" s="78">
        <f t="shared" ca="1" si="18"/>
        <v>112.9576737378181</v>
      </c>
      <c r="V45" s="72">
        <f t="shared" ca="1" si="19"/>
        <v>1000000000</v>
      </c>
      <c r="W45" s="72">
        <f t="shared" si="20"/>
        <v>301.99488400000001</v>
      </c>
      <c r="Y45" s="110">
        <f t="shared" si="21"/>
        <v>56.244763467288728</v>
      </c>
      <c r="Z45" s="111">
        <f t="shared" si="22"/>
        <v>-52.769235211102853</v>
      </c>
      <c r="AA45" s="72">
        <f t="shared" si="23"/>
        <v>127.23076478889715</v>
      </c>
      <c r="AB45" s="110">
        <f t="shared" ca="1" si="24"/>
        <v>23.697179258882844</v>
      </c>
      <c r="AC45" s="111">
        <f t="shared" ca="1" si="25"/>
        <v>-14.273091051079044</v>
      </c>
      <c r="AD45" s="72">
        <f t="shared" ca="1" si="26"/>
        <v>165.72690894892096</v>
      </c>
    </row>
    <row r="46" spans="1:30">
      <c r="A46" s="115">
        <v>19.055</v>
      </c>
      <c r="B46" s="101">
        <f t="shared" ca="1" si="0"/>
        <v>1.0474995760818584</v>
      </c>
      <c r="C46" s="102">
        <f t="shared" ca="1" si="1"/>
        <v>0.30229980550029162</v>
      </c>
      <c r="D46" s="102">
        <f t="shared" si="2"/>
        <v>1.0005050879789879</v>
      </c>
      <c r="E46" s="103">
        <f t="shared" si="3"/>
        <v>3.1776578660675063E-2</v>
      </c>
      <c r="F46" s="101">
        <f t="shared" si="4"/>
        <v>2.7726934116016109</v>
      </c>
      <c r="G46" s="104">
        <f t="shared" si="5"/>
        <v>1.2018207526321747</v>
      </c>
      <c r="H46" s="113">
        <f t="shared" si="6"/>
        <v>1.0473335567678936</v>
      </c>
      <c r="I46" s="114">
        <f t="shared" si="7"/>
        <v>0.30179109441795798</v>
      </c>
      <c r="J46" s="101">
        <f t="shared" si="8"/>
        <v>1.0005025236439007</v>
      </c>
      <c r="K46" s="104">
        <f t="shared" si="9"/>
        <v>3.1695844914613122E-2</v>
      </c>
      <c r="L46" s="102">
        <f t="shared" si="10"/>
        <v>1.0000009561178078</v>
      </c>
      <c r="M46" s="103">
        <f t="shared" si="11"/>
        <v>1.3828355261110718E-3</v>
      </c>
      <c r="N46" s="101">
        <f t="shared" si="12"/>
        <v>1.0000000244766274</v>
      </c>
      <c r="O46" s="104">
        <f t="shared" si="13"/>
        <v>2.2125382159712717E-4</v>
      </c>
      <c r="P46" s="105">
        <f t="shared" ca="1" si="14"/>
        <v>1.0000005636266502</v>
      </c>
      <c r="Q46" s="106">
        <f t="shared" ca="1" si="15"/>
        <v>1.0953863925527131E-3</v>
      </c>
      <c r="R46" s="107">
        <f t="shared" ca="1" si="16"/>
        <v>63.336761331429727</v>
      </c>
      <c r="S46" s="108">
        <f t="shared" ca="1" si="17"/>
        <v>-68.879985518863279</v>
      </c>
      <c r="T46" s="78">
        <f t="shared" ca="1" si="18"/>
        <v>111.12001448113672</v>
      </c>
      <c r="V46" s="72">
        <f t="shared" ca="1" si="19"/>
        <v>1000000000</v>
      </c>
      <c r="W46" s="72">
        <f t="shared" si="20"/>
        <v>363.09302500000001</v>
      </c>
      <c r="Y46" s="110">
        <f t="shared" si="21"/>
        <v>55.621707340174552</v>
      </c>
      <c r="Z46" s="111">
        <f t="shared" si="22"/>
        <v>-53.317385325680867</v>
      </c>
      <c r="AA46" s="72">
        <f t="shared" si="23"/>
        <v>126.68261467431913</v>
      </c>
      <c r="AB46" s="110">
        <f t="shared" ca="1" si="24"/>
        <v>23.632654338136689</v>
      </c>
      <c r="AC46" s="111">
        <f t="shared" ca="1" si="25"/>
        <v>-15.562600193182416</v>
      </c>
      <c r="AD46" s="72">
        <f t="shared" ca="1" si="26"/>
        <v>164.43739980681758</v>
      </c>
    </row>
    <row r="47" spans="1:30">
      <c r="A47" s="115">
        <v>20.893000000000001</v>
      </c>
      <c r="B47" s="101">
        <f t="shared" ca="1" si="0"/>
        <v>1.0568454356601871</v>
      </c>
      <c r="C47" s="102">
        <f t="shared" ca="1" si="1"/>
        <v>0.32947555034968451</v>
      </c>
      <c r="D47" s="102">
        <f t="shared" si="2"/>
        <v>1.0006071955339884</v>
      </c>
      <c r="E47" s="103">
        <f t="shared" si="3"/>
        <v>3.483930121046095E-2</v>
      </c>
      <c r="F47" s="101">
        <f t="shared" si="4"/>
        <v>3.0066986757109215</v>
      </c>
      <c r="G47" s="104">
        <f t="shared" si="5"/>
        <v>1.231746995453191</v>
      </c>
      <c r="H47" s="113">
        <f t="shared" si="6"/>
        <v>1.0566476062167647</v>
      </c>
      <c r="I47" s="114">
        <f t="shared" si="7"/>
        <v>0.32892757593937766</v>
      </c>
      <c r="J47" s="101">
        <f t="shared" si="8"/>
        <v>1.0006041129546057</v>
      </c>
      <c r="K47" s="104">
        <f t="shared" si="9"/>
        <v>3.4750798098810709E-2</v>
      </c>
      <c r="L47" s="102">
        <f t="shared" si="10"/>
        <v>1.0000011494631882</v>
      </c>
      <c r="M47" s="103">
        <f t="shared" si="11"/>
        <v>1.5162203580690486E-3</v>
      </c>
      <c r="N47" s="101">
        <f t="shared" si="12"/>
        <v>1.0000000294262741</v>
      </c>
      <c r="O47" s="104">
        <f t="shared" si="13"/>
        <v>2.4259543843479936E-4</v>
      </c>
      <c r="P47" s="105">
        <f t="shared" ca="1" si="14"/>
        <v>1.0000006776028088</v>
      </c>
      <c r="Q47" s="106">
        <f t="shared" ca="1" si="15"/>
        <v>1.2010446715640109E-3</v>
      </c>
      <c r="R47" s="107">
        <f t="shared" ca="1" si="16"/>
        <v>62.632756050330002</v>
      </c>
      <c r="S47" s="108">
        <f t="shared" ca="1" si="17"/>
        <v>-70.596071572385384</v>
      </c>
      <c r="T47" s="78">
        <f t="shared" ca="1" si="18"/>
        <v>109.40392842761462</v>
      </c>
      <c r="V47" s="72">
        <f t="shared" ca="1" si="19"/>
        <v>1000000000</v>
      </c>
      <c r="W47" s="72">
        <f t="shared" si="20"/>
        <v>436.51744900000006</v>
      </c>
      <c r="Y47" s="110">
        <f t="shared" si="21"/>
        <v>54.993969051401727</v>
      </c>
      <c r="Z47" s="111">
        <f t="shared" si="22"/>
        <v>-53.645843195087096</v>
      </c>
      <c r="AA47" s="72">
        <f t="shared" si="23"/>
        <v>126.3541568049129</v>
      </c>
      <c r="AB47" s="110">
        <f t="shared" ca="1" si="24"/>
        <v>23.556387345809782</v>
      </c>
      <c r="AC47" s="111">
        <f t="shared" ca="1" si="25"/>
        <v>-16.950228377298295</v>
      </c>
      <c r="AD47" s="72">
        <f t="shared" ca="1" si="26"/>
        <v>163.04977162270171</v>
      </c>
    </row>
    <row r="48" spans="1:30">
      <c r="A48" s="115">
        <v>22.909000000000002</v>
      </c>
      <c r="B48" s="101">
        <f t="shared" ca="1" si="0"/>
        <v>1.0679770324439741</v>
      </c>
      <c r="C48" s="102">
        <f t="shared" ca="1" si="1"/>
        <v>0.35871214828908254</v>
      </c>
      <c r="D48" s="102">
        <f t="shared" si="2"/>
        <v>1.0007299827045879</v>
      </c>
      <c r="E48" s="103">
        <f t="shared" si="3"/>
        <v>3.8197877394850775E-2</v>
      </c>
      <c r="F48" s="101">
        <f t="shared" si="4"/>
        <v>3.2659957263216248</v>
      </c>
      <c r="G48" s="104">
        <f t="shared" si="5"/>
        <v>1.2596130084820376</v>
      </c>
      <c r="H48" s="113">
        <f t="shared" si="6"/>
        <v>1.0677416585138395</v>
      </c>
      <c r="I48" s="114">
        <f t="shared" si="7"/>
        <v>0.35812373948997911</v>
      </c>
      <c r="J48" s="101">
        <f t="shared" si="8"/>
        <v>1.0007262769916798</v>
      </c>
      <c r="K48" s="104">
        <f t="shared" si="9"/>
        <v>3.8100858224117622E-2</v>
      </c>
      <c r="L48" s="102">
        <f t="shared" si="10"/>
        <v>1.0000013819924578</v>
      </c>
      <c r="M48" s="103">
        <f t="shared" si="11"/>
        <v>1.6625227013062831E-3</v>
      </c>
      <c r="N48" s="101">
        <f t="shared" si="12"/>
        <v>1.0000000353790308</v>
      </c>
      <c r="O48" s="104">
        <f t="shared" si="13"/>
        <v>2.6600387101169691E-4</v>
      </c>
      <c r="P48" s="105">
        <f t="shared" ca="1" si="14"/>
        <v>1.0000008146776909</v>
      </c>
      <c r="Q48" s="106">
        <f t="shared" ca="1" si="15"/>
        <v>1.3169353346797977E-3</v>
      </c>
      <c r="R48" s="107">
        <f t="shared" ca="1" si="16"/>
        <v>61.913959654544463</v>
      </c>
      <c r="S48" s="108">
        <f t="shared" ca="1" si="17"/>
        <v>-72.194104041675388</v>
      </c>
      <c r="T48" s="78">
        <f t="shared" ca="1" si="18"/>
        <v>107.80589595832461</v>
      </c>
      <c r="V48" s="72">
        <f t="shared" ca="1" si="19"/>
        <v>1000000000</v>
      </c>
      <c r="W48" s="72">
        <f t="shared" si="20"/>
        <v>524.82228100000009</v>
      </c>
      <c r="Y48" s="110">
        <f t="shared" si="21"/>
        <v>54.365116781070029</v>
      </c>
      <c r="Z48" s="111">
        <f t="shared" si="22"/>
        <v>-53.754534188084072</v>
      </c>
      <c r="AA48" s="72">
        <f t="shared" si="23"/>
        <v>126.24546581191592</v>
      </c>
      <c r="AB48" s="110">
        <f t="shared" ca="1" si="24"/>
        <v>23.466443220355927</v>
      </c>
      <c r="AC48" s="111">
        <f t="shared" ca="1" si="25"/>
        <v>-18.439569853591323</v>
      </c>
      <c r="AD48" s="72">
        <f t="shared" ca="1" si="26"/>
        <v>161.56043014640869</v>
      </c>
    </row>
    <row r="49" spans="1:30">
      <c r="A49" s="115">
        <v>25.119</v>
      </c>
      <c r="B49" s="101">
        <f t="shared" ca="1" si="0"/>
        <v>1.0812054874356571</v>
      </c>
      <c r="C49" s="102">
        <f t="shared" ca="1" si="1"/>
        <v>0.39004074829242824</v>
      </c>
      <c r="D49" s="102">
        <f t="shared" si="2"/>
        <v>1.0008775522145064</v>
      </c>
      <c r="E49" s="103">
        <f t="shared" si="3"/>
        <v>4.1878656770920203E-2</v>
      </c>
      <c r="F49" s="101">
        <f t="shared" si="4"/>
        <v>3.5527117431089827</v>
      </c>
      <c r="G49" s="104">
        <f t="shared" si="5"/>
        <v>1.2854652786717635</v>
      </c>
      <c r="H49" s="113">
        <f t="shared" si="6"/>
        <v>1.0809259675307838</v>
      </c>
      <c r="I49" s="114">
        <f t="shared" si="7"/>
        <v>0.38941124314628445</v>
      </c>
      <c r="J49" s="101">
        <f t="shared" si="8"/>
        <v>1.0008730977005613</v>
      </c>
      <c r="K49" s="104">
        <f t="shared" si="9"/>
        <v>4.1772309580105263E-2</v>
      </c>
      <c r="L49" s="102">
        <f t="shared" si="10"/>
        <v>1.0000016614911778</v>
      </c>
      <c r="M49" s="103">
        <f t="shared" si="11"/>
        <v>1.8229036602517975E-3</v>
      </c>
      <c r="N49" s="101">
        <f t="shared" si="12"/>
        <v>1.0000000425342086</v>
      </c>
      <c r="O49" s="104">
        <f t="shared" si="13"/>
        <v>2.916649004352032E-4</v>
      </c>
      <c r="P49" s="105">
        <f t="shared" ca="1" si="14"/>
        <v>1.0000009794408549</v>
      </c>
      <c r="Q49" s="106">
        <f t="shared" ca="1" si="15"/>
        <v>1.4439781376435438E-3</v>
      </c>
      <c r="R49" s="107">
        <f t="shared" ca="1" si="16"/>
        <v>61.182748588960948</v>
      </c>
      <c r="S49" s="108">
        <f t="shared" ca="1" si="17"/>
        <v>-73.676710340179028</v>
      </c>
      <c r="T49" s="78">
        <f t="shared" ca="1" si="18"/>
        <v>106.32328965982097</v>
      </c>
      <c r="V49" s="72">
        <f t="shared" ca="1" si="19"/>
        <v>1000000000</v>
      </c>
      <c r="W49" s="72">
        <f t="shared" si="20"/>
        <v>630.96416099999999</v>
      </c>
      <c r="Y49" s="110">
        <f t="shared" si="21"/>
        <v>53.73955296760009</v>
      </c>
      <c r="Z49" s="111">
        <f t="shared" si="22"/>
        <v>-53.645758033664286</v>
      </c>
      <c r="AA49" s="72">
        <f t="shared" si="23"/>
        <v>126.35424196633571</v>
      </c>
      <c r="AB49" s="110">
        <f t="shared" ca="1" si="24"/>
        <v>23.360795968242371</v>
      </c>
      <c r="AC49" s="111">
        <f t="shared" ca="1" si="25"/>
        <v>-20.030952306514745</v>
      </c>
      <c r="AD49" s="72">
        <f t="shared" ca="1" si="26"/>
        <v>159.96904769348527</v>
      </c>
    </row>
    <row r="50" spans="1:30">
      <c r="A50" s="115">
        <v>27.542000000000002</v>
      </c>
      <c r="B50" s="101">
        <f t="shared" ca="1" si="0"/>
        <v>1.0968968222194744</v>
      </c>
      <c r="C50" s="102">
        <f t="shared" ca="1" si="1"/>
        <v>0.42348397537223226</v>
      </c>
      <c r="D50" s="102">
        <f t="shared" si="2"/>
        <v>1.0010549229136234</v>
      </c>
      <c r="E50" s="103">
        <f t="shared" si="3"/>
        <v>4.5912881904663826E-2</v>
      </c>
      <c r="F50" s="101">
        <f t="shared" si="4"/>
        <v>3.869365247662842</v>
      </c>
      <c r="G50" s="104">
        <f t="shared" si="5"/>
        <v>1.309389001564065</v>
      </c>
      <c r="H50" s="113">
        <f t="shared" si="6"/>
        <v>1.0965655760254087</v>
      </c>
      <c r="I50" s="114">
        <f t="shared" si="7"/>
        <v>0.42281332492024581</v>
      </c>
      <c r="J50" s="101">
        <f t="shared" si="8"/>
        <v>1.0010495685258884</v>
      </c>
      <c r="K50" s="104">
        <f t="shared" si="9"/>
        <v>4.5796317586635868E-2</v>
      </c>
      <c r="L50" s="102">
        <f t="shared" si="10"/>
        <v>1.0000019974882011</v>
      </c>
      <c r="M50" s="103">
        <f t="shared" si="11"/>
        <v>1.9987420424592765E-3</v>
      </c>
      <c r="N50" s="101">
        <f t="shared" si="12"/>
        <v>1.0000000511357476</v>
      </c>
      <c r="O50" s="104">
        <f t="shared" si="13"/>
        <v>3.197991417541328E-4</v>
      </c>
      <c r="P50" s="105">
        <f t="shared" ca="1" si="14"/>
        <v>1.0000011775095246</v>
      </c>
      <c r="Q50" s="106">
        <f t="shared" ca="1" si="15"/>
        <v>1.5832652886129282E-3</v>
      </c>
      <c r="R50" s="107">
        <f t="shared" ca="1" si="16"/>
        <v>60.440784825272679</v>
      </c>
      <c r="S50" s="108">
        <f t="shared" ca="1" si="17"/>
        <v>-75.048728489821102</v>
      </c>
      <c r="T50" s="78">
        <f t="shared" ca="1" si="18"/>
        <v>104.9512715101789</v>
      </c>
      <c r="V50" s="72">
        <f t="shared" ca="1" si="19"/>
        <v>1000000000</v>
      </c>
      <c r="W50" s="72">
        <f t="shared" si="20"/>
        <v>758.56176400000004</v>
      </c>
      <c r="Y50" s="110">
        <f t="shared" si="21"/>
        <v>53.121202531185901</v>
      </c>
      <c r="Z50" s="111">
        <f t="shared" si="22"/>
        <v>-53.3247839242796</v>
      </c>
      <c r="AA50" s="72">
        <f t="shared" si="23"/>
        <v>126.6752160757204</v>
      </c>
      <c r="AB50" s="110">
        <f t="shared" ca="1" si="24"/>
        <v>23.237182640968278</v>
      </c>
      <c r="AC50" s="111">
        <f t="shared" ca="1" si="25"/>
        <v>-21.723944565541505</v>
      </c>
      <c r="AD50" s="72">
        <f t="shared" ca="1" si="26"/>
        <v>158.2760554344585</v>
      </c>
    </row>
    <row r="51" spans="1:30">
      <c r="A51" s="115">
        <v>30.2</v>
      </c>
      <c r="B51" s="101">
        <f t="shared" ca="1" si="0"/>
        <v>1.1154784455482896</v>
      </c>
      <c r="C51" s="102">
        <f t="shared" ca="1" si="1"/>
        <v>0.4590444357021512</v>
      </c>
      <c r="D51" s="102">
        <f t="shared" si="2"/>
        <v>1.0012682281008127</v>
      </c>
      <c r="E51" s="103">
        <f t="shared" si="3"/>
        <v>5.0336650947851273E-2</v>
      </c>
      <c r="F51" s="101">
        <f t="shared" si="4"/>
        <v>4.2188755368675617</v>
      </c>
      <c r="G51" s="104">
        <f t="shared" si="5"/>
        <v>1.331488759038868</v>
      </c>
      <c r="H51" s="113">
        <f t="shared" si="6"/>
        <v>1.115086803695021</v>
      </c>
      <c r="I51" s="114">
        <f t="shared" si="7"/>
        <v>0.4583333233506825</v>
      </c>
      <c r="J51" s="101">
        <f t="shared" si="8"/>
        <v>1.0012617917388469</v>
      </c>
      <c r="K51" s="104">
        <f t="shared" si="9"/>
        <v>5.0208891653158109E-2</v>
      </c>
      <c r="L51" s="102">
        <f t="shared" si="10"/>
        <v>1.0000024016353806</v>
      </c>
      <c r="M51" s="103">
        <f t="shared" si="11"/>
        <v>2.1916343554888745E-3</v>
      </c>
      <c r="N51" s="101">
        <f t="shared" si="12"/>
        <v>1.0000000614819375</v>
      </c>
      <c r="O51" s="104">
        <f t="shared" si="13"/>
        <v>3.5066204394595881E-4</v>
      </c>
      <c r="P51" s="105">
        <f t="shared" ca="1" si="14"/>
        <v>1.0000014157524284</v>
      </c>
      <c r="Q51" s="106">
        <f t="shared" ca="1" si="15"/>
        <v>1.7360614467506596E-3</v>
      </c>
      <c r="R51" s="107">
        <f t="shared" ca="1" si="16"/>
        <v>59.689229095303062</v>
      </c>
      <c r="S51" s="108">
        <f t="shared" ca="1" si="17"/>
        <v>-76.316099167584056</v>
      </c>
      <c r="T51" s="78">
        <f t="shared" ca="1" si="18"/>
        <v>103.68390083241594</v>
      </c>
      <c r="V51" s="72">
        <f t="shared" ca="1" si="19"/>
        <v>1000000000</v>
      </c>
      <c r="W51" s="72">
        <f t="shared" si="20"/>
        <v>912.04</v>
      </c>
      <c r="Y51" s="110">
        <f t="shared" si="21"/>
        <v>52.513706364828991</v>
      </c>
      <c r="Z51" s="111">
        <f t="shared" si="22"/>
        <v>-52.799399026275438</v>
      </c>
      <c r="AA51" s="72">
        <f t="shared" si="23"/>
        <v>127.20060097372456</v>
      </c>
      <c r="AB51" s="110">
        <f t="shared" ca="1" si="24"/>
        <v>23.093123077355571</v>
      </c>
      <c r="AC51" s="111">
        <f t="shared" ca="1" si="25"/>
        <v>-23.516700141308611</v>
      </c>
      <c r="AD51" s="72">
        <f t="shared" ca="1" si="26"/>
        <v>156.4832998586914</v>
      </c>
    </row>
    <row r="52" spans="1:30">
      <c r="A52" s="115">
        <v>33.113</v>
      </c>
      <c r="B52" s="101">
        <f t="shared" ca="1" si="0"/>
        <v>1.1374059955191218</v>
      </c>
      <c r="C52" s="102">
        <f t="shared" ca="1" si="1"/>
        <v>0.49662937618509823</v>
      </c>
      <c r="D52" s="102">
        <f t="shared" si="2"/>
        <v>1.0015244912505006</v>
      </c>
      <c r="E52" s="103">
        <f t="shared" si="3"/>
        <v>5.518255229095221E-2</v>
      </c>
      <c r="F52" s="101">
        <f t="shared" si="4"/>
        <v>4.6039059980636585</v>
      </c>
      <c r="G52" s="104">
        <f t="shared" si="5"/>
        <v>1.3518442196596292</v>
      </c>
      <c r="H52" s="113">
        <f t="shared" si="6"/>
        <v>1.1369442211105765</v>
      </c>
      <c r="I52" s="114">
        <f t="shared" si="7"/>
        <v>0.4958794042710622</v>
      </c>
      <c r="J52" s="101">
        <f t="shared" si="8"/>
        <v>1.0015167553161584</v>
      </c>
      <c r="K52" s="104">
        <f t="shared" si="9"/>
        <v>5.5042541219911041E-2</v>
      </c>
      <c r="L52" s="102">
        <f t="shared" si="10"/>
        <v>1.0000028872882256</v>
      </c>
      <c r="M52" s="103">
        <f t="shared" si="11"/>
        <v>2.4030319508925022E-3</v>
      </c>
      <c r="N52" s="101">
        <f t="shared" si="12"/>
        <v>1.0000000739146826</v>
      </c>
      <c r="O52" s="104">
        <f t="shared" si="13"/>
        <v>3.8448583327618845E-4</v>
      </c>
      <c r="P52" s="105">
        <f t="shared" ca="1" si="14"/>
        <v>1.0000017020425997</v>
      </c>
      <c r="Q52" s="106">
        <f t="shared" ca="1" si="15"/>
        <v>1.9035162936374777E-3</v>
      </c>
      <c r="R52" s="107">
        <f t="shared" ca="1" si="16"/>
        <v>58.930170325088511</v>
      </c>
      <c r="S52" s="108">
        <f t="shared" ca="1" si="17"/>
        <v>-77.483325892730278</v>
      </c>
      <c r="T52" s="78">
        <f t="shared" ca="1" si="18"/>
        <v>102.51667410726972</v>
      </c>
      <c r="V52" s="72">
        <f t="shared" ca="1" si="19"/>
        <v>1000000000</v>
      </c>
      <c r="W52" s="72">
        <f t="shared" si="20"/>
        <v>1096.470769</v>
      </c>
      <c r="Y52" s="110">
        <f t="shared" si="21"/>
        <v>51.921513919233242</v>
      </c>
      <c r="Z52" s="111">
        <f t="shared" si="22"/>
        <v>-52.081222525254866</v>
      </c>
      <c r="AA52" s="72">
        <f t="shared" si="23"/>
        <v>127.91877747474513</v>
      </c>
      <c r="AB52" s="110">
        <f t="shared" ca="1" si="24"/>
        <v>22.926256752736784</v>
      </c>
      <c r="AC52" s="111">
        <f t="shared" ca="1" si="25"/>
        <v>-25.402103367475419</v>
      </c>
      <c r="AD52" s="72">
        <f t="shared" ca="1" si="26"/>
        <v>154.59789663252457</v>
      </c>
    </row>
    <row r="53" spans="1:30">
      <c r="A53" s="115">
        <v>36.308</v>
      </c>
      <c r="B53" s="101">
        <f t="shared" ca="1" si="0"/>
        <v>1.1632291695533663</v>
      </c>
      <c r="C53" s="102">
        <f t="shared" ca="1" si="1"/>
        <v>0.53616157891958927</v>
      </c>
      <c r="D53" s="102">
        <f t="shared" si="2"/>
        <v>1.0018325915699284</v>
      </c>
      <c r="E53" s="103">
        <f t="shared" si="3"/>
        <v>6.0494582892171439E-2</v>
      </c>
      <c r="F53" s="101">
        <f t="shared" si="4"/>
        <v>5.0280510721609639</v>
      </c>
      <c r="G53" s="104">
        <f t="shared" si="5"/>
        <v>1.3705770652843745</v>
      </c>
      <c r="H53" s="113">
        <f t="shared" si="6"/>
        <v>1.1626862932680448</v>
      </c>
      <c r="I53" s="114">
        <f t="shared" si="7"/>
        <v>0.53537530180320214</v>
      </c>
      <c r="J53" s="101">
        <f t="shared" si="8"/>
        <v>1.001823293621642</v>
      </c>
      <c r="K53" s="104">
        <f t="shared" si="9"/>
        <v>6.0341156635982635E-2</v>
      </c>
      <c r="L53" s="102">
        <f t="shared" si="10"/>
        <v>1.0000034713436416</v>
      </c>
      <c r="M53" s="103">
        <f t="shared" si="11"/>
        <v>2.6348941533782151E-3</v>
      </c>
      <c r="N53" s="101">
        <f t="shared" si="12"/>
        <v>1.0000000888665475</v>
      </c>
      <c r="O53" s="104">
        <f t="shared" si="13"/>
        <v>4.2158401520371808E-4</v>
      </c>
      <c r="P53" s="105">
        <f t="shared" ca="1" si="14"/>
        <v>1.0000020463407209</v>
      </c>
      <c r="Q53" s="106">
        <f t="shared" ca="1" si="15"/>
        <v>2.0871818994583997E-3</v>
      </c>
      <c r="R53" s="107">
        <f t="shared" ca="1" si="16"/>
        <v>58.164193608394996</v>
      </c>
      <c r="S53" s="108">
        <f t="shared" ca="1" si="17"/>
        <v>-78.557314495580499</v>
      </c>
      <c r="T53" s="78">
        <f t="shared" ca="1" si="18"/>
        <v>101.4426855044195</v>
      </c>
      <c r="V53" s="72">
        <f t="shared" ca="1" si="19"/>
        <v>1000000000</v>
      </c>
      <c r="W53" s="72">
        <f t="shared" si="20"/>
        <v>1318.2708640000001</v>
      </c>
      <c r="Y53" s="110">
        <f t="shared" si="21"/>
        <v>51.347863971968515</v>
      </c>
      <c r="Z53" s="111">
        <f t="shared" si="22"/>
        <v>-51.18401642434975</v>
      </c>
      <c r="AA53" s="72">
        <f t="shared" si="23"/>
        <v>128.81598357565025</v>
      </c>
      <c r="AB53" s="110">
        <f t="shared" ca="1" si="24"/>
        <v>22.733929983307984</v>
      </c>
      <c r="AC53" s="111">
        <f t="shared" ca="1" si="25"/>
        <v>-27.373298071230753</v>
      </c>
      <c r="AD53" s="72">
        <f t="shared" ca="1" si="26"/>
        <v>152.62670192876925</v>
      </c>
    </row>
    <row r="54" spans="1:30">
      <c r="A54" s="115">
        <v>39.811</v>
      </c>
      <c r="B54" s="101">
        <f t="shared" ca="1" si="0"/>
        <v>1.1935340729178121</v>
      </c>
      <c r="C54" s="102">
        <f t="shared" ca="1" si="1"/>
        <v>0.5774674094863147</v>
      </c>
      <c r="D54" s="102">
        <f t="shared" si="2"/>
        <v>1.0022028599261776</v>
      </c>
      <c r="E54" s="103">
        <f t="shared" si="3"/>
        <v>6.6314759843684998E-2</v>
      </c>
      <c r="F54" s="101">
        <f t="shared" si="4"/>
        <v>5.4947832226891888</v>
      </c>
      <c r="G54" s="104">
        <f t="shared" si="5"/>
        <v>1.387785641816432</v>
      </c>
      <c r="H54" s="113">
        <f t="shared" si="6"/>
        <v>1.1928979409076692</v>
      </c>
      <c r="I54" s="114">
        <f t="shared" si="7"/>
        <v>0.57664844300730655</v>
      </c>
      <c r="J54" s="101">
        <f t="shared" si="8"/>
        <v>1.0021916854140742</v>
      </c>
      <c r="K54" s="104">
        <f t="shared" si="9"/>
        <v>6.6146654973235769E-2</v>
      </c>
      <c r="L54" s="102">
        <f t="shared" si="10"/>
        <v>1.0000041734861396</v>
      </c>
      <c r="M54" s="103">
        <f t="shared" si="11"/>
        <v>2.8891076908165482E-3</v>
      </c>
      <c r="N54" s="101">
        <f t="shared" si="12"/>
        <v>1.0000001068414623</v>
      </c>
      <c r="O54" s="104">
        <f t="shared" si="13"/>
        <v>4.6225848375431705E-4</v>
      </c>
      <c r="P54" s="105">
        <f t="shared" ca="1" si="14"/>
        <v>1.0000024602507718</v>
      </c>
      <c r="Q54" s="106">
        <f t="shared" ca="1" si="15"/>
        <v>2.2885528370962336E-3</v>
      </c>
      <c r="R54" s="107">
        <f t="shared" ca="1" si="16"/>
        <v>57.392618500886798</v>
      </c>
      <c r="S54" s="108">
        <f t="shared" ca="1" si="17"/>
        <v>-79.54362806072406</v>
      </c>
      <c r="T54" s="78">
        <f t="shared" ca="1" si="18"/>
        <v>100.45637193927594</v>
      </c>
      <c r="V54" s="72">
        <f t="shared" ca="1" si="19"/>
        <v>1000000000</v>
      </c>
      <c r="W54" s="72">
        <f t="shared" si="20"/>
        <v>1584.9157210000001</v>
      </c>
      <c r="Y54" s="110">
        <f t="shared" si="21"/>
        <v>50.796473576645781</v>
      </c>
      <c r="Z54" s="111">
        <f t="shared" si="22"/>
        <v>-50.125614096898843</v>
      </c>
      <c r="AA54" s="72">
        <f t="shared" si="23"/>
        <v>129.87438590310114</v>
      </c>
      <c r="AB54" s="110">
        <f t="shared" ca="1" si="24"/>
        <v>22.513745271122509</v>
      </c>
      <c r="AC54" s="111">
        <f t="shared" ca="1" si="25"/>
        <v>-29.418013963825217</v>
      </c>
      <c r="AD54" s="72">
        <f t="shared" ca="1" si="26"/>
        <v>150.58198603617478</v>
      </c>
    </row>
    <row r="55" spans="1:30">
      <c r="A55" s="115">
        <v>43.652000000000001</v>
      </c>
      <c r="B55" s="101">
        <f t="shared" ca="1" si="0"/>
        <v>1.2289801043924089</v>
      </c>
      <c r="C55" s="102">
        <f t="shared" ca="1" si="1"/>
        <v>0.62033662019190217</v>
      </c>
      <c r="D55" s="102">
        <f t="shared" si="2"/>
        <v>1.0026478445937936</v>
      </c>
      <c r="E55" s="103">
        <f t="shared" si="3"/>
        <v>7.2691336446481847E-2</v>
      </c>
      <c r="F55" s="101">
        <f t="shared" si="4"/>
        <v>6.0081151236719519</v>
      </c>
      <c r="G55" s="104">
        <f t="shared" si="5"/>
        <v>1.403576552089447</v>
      </c>
      <c r="H55" s="113">
        <f t="shared" si="6"/>
        <v>1.2282373335495571</v>
      </c>
      <c r="I55" s="114">
        <f t="shared" si="7"/>
        <v>0.6194896304438412</v>
      </c>
      <c r="J55" s="101">
        <f t="shared" si="8"/>
        <v>1.0026344157571638</v>
      </c>
      <c r="K55" s="104">
        <f t="shared" si="9"/>
        <v>7.2507175831185419E-2</v>
      </c>
      <c r="L55" s="102">
        <f t="shared" si="10"/>
        <v>1.0000050176563273</v>
      </c>
      <c r="M55" s="103">
        <f t="shared" si="11"/>
        <v>3.1678495376801013E-3</v>
      </c>
      <c r="N55" s="101">
        <f t="shared" si="12"/>
        <v>1.0000001284523159</v>
      </c>
      <c r="O55" s="104">
        <f t="shared" si="13"/>
        <v>5.0685757810974257E-4</v>
      </c>
      <c r="P55" s="105">
        <f t="shared" ca="1" si="14"/>
        <v>1.0000029578857077</v>
      </c>
      <c r="Q55" s="106">
        <f t="shared" ca="1" si="15"/>
        <v>2.5093536050355796E-3</v>
      </c>
      <c r="R55" s="107">
        <f t="shared" ca="1" si="16"/>
        <v>56.616266657108739</v>
      </c>
      <c r="S55" s="108">
        <f t="shared" ca="1" si="17"/>
        <v>-80.448301824293424</v>
      </c>
      <c r="T55" s="78">
        <f t="shared" ca="1" si="18"/>
        <v>99.551698175706576</v>
      </c>
      <c r="V55" s="72">
        <f t="shared" ca="1" si="19"/>
        <v>1000000000</v>
      </c>
      <c r="W55" s="72">
        <f t="shared" si="20"/>
        <v>1905.497104</v>
      </c>
      <c r="Y55" s="110">
        <f t="shared" si="21"/>
        <v>50.270470929986388</v>
      </c>
      <c r="Z55" s="111">
        <f t="shared" si="22"/>
        <v>-48.926762988543324</v>
      </c>
      <c r="AA55" s="72">
        <f t="shared" si="23"/>
        <v>131.07323701145668</v>
      </c>
      <c r="AB55" s="110">
        <f t="shared" ca="1" si="24"/>
        <v>22.263396074003857</v>
      </c>
      <c r="AC55" s="111">
        <f t="shared" ca="1" si="25"/>
        <v>-31.521538835750093</v>
      </c>
      <c r="AD55" s="72">
        <f t="shared" ca="1" si="26"/>
        <v>148.47846116424989</v>
      </c>
    </row>
    <row r="56" spans="1:30">
      <c r="A56" s="115">
        <v>47.863</v>
      </c>
      <c r="B56" s="101">
        <f t="shared" ca="1" si="0"/>
        <v>1.2702811939989498</v>
      </c>
      <c r="C56" s="102">
        <f t="shared" ca="1" si="1"/>
        <v>0.66449666520261363</v>
      </c>
      <c r="D56" s="102">
        <f t="shared" si="2"/>
        <v>1.0031824977259609</v>
      </c>
      <c r="E56" s="103">
        <f t="shared" si="3"/>
        <v>7.9675345508167003E-2</v>
      </c>
      <c r="F56" s="101">
        <f t="shared" si="4"/>
        <v>6.5723352509299788</v>
      </c>
      <c r="G56" s="104">
        <f t="shared" si="5"/>
        <v>1.4180501355358561</v>
      </c>
      <c r="H56" s="113">
        <f t="shared" si="6"/>
        <v>1.2694172057611215</v>
      </c>
      <c r="I56" s="114">
        <f t="shared" si="7"/>
        <v>0.66362731086882565</v>
      </c>
      <c r="J56" s="101">
        <f t="shared" si="8"/>
        <v>1.0031663616105191</v>
      </c>
      <c r="K56" s="104">
        <f t="shared" si="9"/>
        <v>7.9473634011186317E-2</v>
      </c>
      <c r="L56" s="102">
        <f t="shared" si="10"/>
        <v>1.0000060324291662</v>
      </c>
      <c r="M56" s="103">
        <f t="shared" si="11"/>
        <v>3.4734417632024213E-3</v>
      </c>
      <c r="N56" s="101">
        <f t="shared" si="12"/>
        <v>1.0000001544306405</v>
      </c>
      <c r="O56" s="104">
        <f t="shared" si="13"/>
        <v>5.5575285991284076E-4</v>
      </c>
      <c r="P56" s="105">
        <f t="shared" ca="1" si="14"/>
        <v>1.0000035560904512</v>
      </c>
      <c r="Q56" s="106">
        <f t="shared" ca="1" si="15"/>
        <v>2.7514236516639739E-3</v>
      </c>
      <c r="R56" s="107">
        <f t="shared" ca="1" si="16"/>
        <v>55.836005576646627</v>
      </c>
      <c r="S56" s="108">
        <f t="shared" ca="1" si="17"/>
        <v>-81.277014816604819</v>
      </c>
      <c r="T56" s="78">
        <f t="shared" ca="1" si="18"/>
        <v>98.722985183395181</v>
      </c>
      <c r="V56" s="72">
        <f t="shared" ca="1" si="19"/>
        <v>1000000000</v>
      </c>
      <c r="W56" s="72">
        <f t="shared" si="20"/>
        <v>2290.8667689999997</v>
      </c>
      <c r="Y56" s="110">
        <f t="shared" si="21"/>
        <v>49.77268493190973</v>
      </c>
      <c r="Z56" s="111">
        <f t="shared" si="22"/>
        <v>-47.611576427480792</v>
      </c>
      <c r="AA56" s="72">
        <f t="shared" si="23"/>
        <v>132.3884235725192</v>
      </c>
      <c r="AB56" s="110">
        <f t="shared" ca="1" si="24"/>
        <v>21.980920991618405</v>
      </c>
      <c r="AC56" s="111">
        <f t="shared" ca="1" si="25"/>
        <v>-33.665438389124027</v>
      </c>
      <c r="AD56" s="72">
        <f t="shared" ca="1" si="26"/>
        <v>146.33456161087597</v>
      </c>
    </row>
    <row r="57" spans="1:30">
      <c r="A57" s="115">
        <v>52.481000000000002</v>
      </c>
      <c r="B57" s="101">
        <f t="shared" ca="1" si="0"/>
        <v>1.3182314245238009</v>
      </c>
      <c r="C57" s="102">
        <f t="shared" ca="1" si="1"/>
        <v>0.709646668557392</v>
      </c>
      <c r="D57" s="102">
        <f t="shared" si="2"/>
        <v>1.0038250154704595</v>
      </c>
      <c r="E57" s="103">
        <f t="shared" si="3"/>
        <v>8.7325401207811973E-2</v>
      </c>
      <c r="F57" s="101">
        <f t="shared" si="4"/>
        <v>7.1924104802484132</v>
      </c>
      <c r="G57" s="104">
        <f t="shared" si="5"/>
        <v>1.4313089929028191</v>
      </c>
      <c r="H57" s="113">
        <f t="shared" si="6"/>
        <v>1.3172304163724635</v>
      </c>
      <c r="I57" s="114">
        <f t="shared" si="7"/>
        <v>0.70876145134641333</v>
      </c>
      <c r="J57" s="101">
        <f t="shared" si="8"/>
        <v>1.0038056277835927</v>
      </c>
      <c r="K57" s="104">
        <f t="shared" si="9"/>
        <v>8.7104510164950008E-2</v>
      </c>
      <c r="L57" s="102">
        <f t="shared" si="10"/>
        <v>1.0000072526436101</v>
      </c>
      <c r="M57" s="103">
        <f t="shared" si="11"/>
        <v>3.8085692264810244E-3</v>
      </c>
      <c r="N57" s="101">
        <f t="shared" si="12"/>
        <v>1.0000001856683325</v>
      </c>
      <c r="O57" s="104">
        <f t="shared" si="13"/>
        <v>6.0937394717611724E-4</v>
      </c>
      <c r="P57" s="105">
        <f t="shared" ca="1" si="14"/>
        <v>1.0000042754025742</v>
      </c>
      <c r="Q57" s="106">
        <f t="shared" ca="1" si="15"/>
        <v>3.0168898240608062E-3</v>
      </c>
      <c r="R57" s="107">
        <f t="shared" ca="1" si="16"/>
        <v>55.052254133531207</v>
      </c>
      <c r="S57" s="108">
        <f t="shared" ca="1" si="17"/>
        <v>-82.035582318676632</v>
      </c>
      <c r="T57" s="78">
        <f t="shared" ca="1" si="18"/>
        <v>97.964417681323368</v>
      </c>
      <c r="V57" s="72">
        <f t="shared" ca="1" si="19"/>
        <v>1000000000</v>
      </c>
      <c r="W57" s="72">
        <f t="shared" si="20"/>
        <v>2754.255361</v>
      </c>
      <c r="Y57" s="110">
        <f t="shared" si="21"/>
        <v>49.305214218455966</v>
      </c>
      <c r="Z57" s="111">
        <f t="shared" si="22"/>
        <v>-46.20634510319762</v>
      </c>
      <c r="AA57" s="72">
        <f t="shared" si="23"/>
        <v>133.79365489680237</v>
      </c>
      <c r="AB57" s="110">
        <f t="shared" ca="1" si="24"/>
        <v>21.664640261956745</v>
      </c>
      <c r="AC57" s="111">
        <f t="shared" ca="1" si="25"/>
        <v>-35.829237215479012</v>
      </c>
      <c r="AD57" s="72">
        <f t="shared" ca="1" si="26"/>
        <v>144.170762784521</v>
      </c>
    </row>
    <row r="58" spans="1:30">
      <c r="A58" s="115">
        <v>57.544000000000004</v>
      </c>
      <c r="B58" s="101">
        <f t="shared" ca="1" si="0"/>
        <v>1.3736604622489772</v>
      </c>
      <c r="C58" s="102">
        <f t="shared" ca="1" si="1"/>
        <v>0.75542251415484696</v>
      </c>
      <c r="D58" s="102">
        <f t="shared" si="2"/>
        <v>1.0045968658941649</v>
      </c>
      <c r="E58" s="103">
        <f t="shared" si="3"/>
        <v>9.5700839921280617E-2</v>
      </c>
      <c r="F58" s="101">
        <f t="shared" si="4"/>
        <v>7.8734504309713573</v>
      </c>
      <c r="G58" s="104">
        <f t="shared" si="5"/>
        <v>1.4434432345991355</v>
      </c>
      <c r="H58" s="113">
        <f t="shared" si="6"/>
        <v>1.3725055115239519</v>
      </c>
      <c r="I58" s="114">
        <f t="shared" si="7"/>
        <v>0.75452857551166086</v>
      </c>
      <c r="J58" s="101">
        <f t="shared" si="8"/>
        <v>1.0045735748518902</v>
      </c>
      <c r="K58" s="104">
        <f t="shared" si="9"/>
        <v>9.5459009950519633E-2</v>
      </c>
      <c r="L58" s="102">
        <f t="shared" si="10"/>
        <v>1.000008719506579</v>
      </c>
      <c r="M58" s="103">
        <f t="shared" si="11"/>
        <v>4.1759892770950333E-3</v>
      </c>
      <c r="N58" s="101">
        <f t="shared" si="12"/>
        <v>1.0000002232203167</v>
      </c>
      <c r="O58" s="104">
        <f t="shared" si="13"/>
        <v>6.6816206890954878E-4</v>
      </c>
      <c r="P58" s="105">
        <f t="shared" ca="1" si="14"/>
        <v>1.0000051401136147</v>
      </c>
      <c r="Q58" s="106">
        <f t="shared" ca="1" si="15"/>
        <v>3.3079364185427326E-3</v>
      </c>
      <c r="R58" s="107">
        <f t="shared" ca="1" si="16"/>
        <v>54.265772182730103</v>
      </c>
      <c r="S58" s="108">
        <f t="shared" ca="1" si="17"/>
        <v>-82.729115579877984</v>
      </c>
      <c r="T58" s="78">
        <f t="shared" ca="1" si="18"/>
        <v>97.270884420122016</v>
      </c>
      <c r="V58" s="72">
        <f t="shared" ca="1" si="19"/>
        <v>1000000000</v>
      </c>
      <c r="W58" s="72">
        <f t="shared" si="20"/>
        <v>3311.3119360000005</v>
      </c>
      <c r="Y58" s="110">
        <f t="shared" si="21"/>
        <v>48.869818441477676</v>
      </c>
      <c r="Z58" s="111">
        <f t="shared" si="22"/>
        <v>-44.740317153901401</v>
      </c>
      <c r="AA58" s="72">
        <f t="shared" si="23"/>
        <v>135.2596828460986</v>
      </c>
      <c r="AB58" s="110">
        <f t="shared" ca="1" si="24"/>
        <v>21.313554088133934</v>
      </c>
      <c r="AC58" s="111">
        <f t="shared" ca="1" si="25"/>
        <v>-37.98879842597659</v>
      </c>
      <c r="AD58" s="72">
        <f t="shared" ca="1" si="26"/>
        <v>142.0112015740234</v>
      </c>
    </row>
    <row r="59" spans="1:30">
      <c r="A59" s="115">
        <v>63.095999999999997</v>
      </c>
      <c r="B59" s="101">
        <f t="shared" ca="1" si="0"/>
        <v>1.4374800335510511</v>
      </c>
      <c r="C59" s="102">
        <f t="shared" ca="1" si="1"/>
        <v>0.80145553270765069</v>
      </c>
      <c r="D59" s="102">
        <f t="shared" si="2"/>
        <v>1.0055241383743525</v>
      </c>
      <c r="E59" s="103">
        <f t="shared" si="3"/>
        <v>0.10486970572144728</v>
      </c>
      <c r="F59" s="101">
        <f t="shared" si="4"/>
        <v>8.6213791194543603</v>
      </c>
      <c r="G59" s="104">
        <f t="shared" si="5"/>
        <v>1.4545439292065154</v>
      </c>
      <c r="H59" s="113">
        <f t="shared" si="6"/>
        <v>1.4361530593413712</v>
      </c>
      <c r="I59" s="114">
        <f t="shared" si="7"/>
        <v>0.80056037317972817</v>
      </c>
      <c r="J59" s="101">
        <f t="shared" si="8"/>
        <v>1.0054961619111307</v>
      </c>
      <c r="K59" s="104">
        <f t="shared" si="9"/>
        <v>0.10460503094449185</v>
      </c>
      <c r="L59" s="102">
        <f t="shared" si="10"/>
        <v>1.0000104832293606</v>
      </c>
      <c r="M59" s="103">
        <f t="shared" si="11"/>
        <v>4.5788945783487673E-3</v>
      </c>
      <c r="N59" s="101">
        <f t="shared" si="12"/>
        <v>1.0000002683720424</v>
      </c>
      <c r="O59" s="104">
        <f t="shared" si="13"/>
        <v>7.3262812162696689E-4</v>
      </c>
      <c r="P59" s="105">
        <f t="shared" ca="1" si="14"/>
        <v>1.0000061798232616</v>
      </c>
      <c r="Q59" s="106">
        <f t="shared" ca="1" si="15"/>
        <v>3.6270925944403422E-3</v>
      </c>
      <c r="R59" s="107">
        <f t="shared" ca="1" si="16"/>
        <v>53.476869608820621</v>
      </c>
      <c r="S59" s="108">
        <f t="shared" ca="1" si="17"/>
        <v>-83.36279473315426</v>
      </c>
      <c r="T59" s="78">
        <f t="shared" ca="1" si="18"/>
        <v>96.63720526684574</v>
      </c>
      <c r="V59" s="72">
        <f t="shared" ca="1" si="19"/>
        <v>1000000000</v>
      </c>
      <c r="W59" s="72">
        <f t="shared" si="20"/>
        <v>3981.1052159999995</v>
      </c>
      <c r="Y59" s="110">
        <f t="shared" si="21"/>
        <v>48.467359721701627</v>
      </c>
      <c r="Z59" s="111">
        <f t="shared" si="22"/>
        <v>-43.243549634807138</v>
      </c>
      <c r="AA59" s="72">
        <f t="shared" si="23"/>
        <v>136.75645036519285</v>
      </c>
      <c r="AB59" s="110">
        <f t="shared" ca="1" si="24"/>
        <v>20.927110234000498</v>
      </c>
      <c r="AC59" s="111">
        <f t="shared" ca="1" si="25"/>
        <v>-40.119245098347129</v>
      </c>
      <c r="AD59" s="72">
        <f t="shared" ca="1" si="26"/>
        <v>139.88075490165286</v>
      </c>
    </row>
    <row r="60" spans="1:30">
      <c r="A60" s="115">
        <v>69.183000000000007</v>
      </c>
      <c r="B60" s="101">
        <f t="shared" ca="1" si="0"/>
        <v>1.5106352649544059</v>
      </c>
      <c r="C60" s="102">
        <f t="shared" ca="1" si="1"/>
        <v>0.84734807776460463</v>
      </c>
      <c r="D60" s="102">
        <f t="shared" si="2"/>
        <v>1.0066377149324688</v>
      </c>
      <c r="E60" s="103">
        <f t="shared" si="3"/>
        <v>0.11490174632803259</v>
      </c>
      <c r="F60" s="101">
        <f t="shared" si="4"/>
        <v>9.4423975159725302</v>
      </c>
      <c r="G60" s="104">
        <f t="shared" si="5"/>
        <v>1.4646920435470343</v>
      </c>
      <c r="H60" s="113">
        <f t="shared" si="6"/>
        <v>1.5091171047843033</v>
      </c>
      <c r="I60" s="114">
        <f t="shared" si="7"/>
        <v>0.84645924922942528</v>
      </c>
      <c r="J60" s="101">
        <f t="shared" si="8"/>
        <v>1.0066041173178375</v>
      </c>
      <c r="K60" s="104">
        <f t="shared" si="9"/>
        <v>0.11461217794763007</v>
      </c>
      <c r="L60" s="102">
        <f t="shared" si="10"/>
        <v>1.0000126034589942</v>
      </c>
      <c r="M60" s="103">
        <f t="shared" si="11"/>
        <v>5.0206227946530558E-3</v>
      </c>
      <c r="N60" s="101">
        <f t="shared" si="12"/>
        <v>1.0000003226505314</v>
      </c>
      <c r="O60" s="104">
        <f t="shared" si="13"/>
        <v>8.0330622391964394E-4</v>
      </c>
      <c r="P60" s="105">
        <f t="shared" ca="1" si="14"/>
        <v>1.0000074296937027</v>
      </c>
      <c r="Q60" s="106">
        <f t="shared" ca="1" si="15"/>
        <v>3.9770024186613889E-3</v>
      </c>
      <c r="R60" s="107">
        <f t="shared" ca="1" si="16"/>
        <v>52.686102525155086</v>
      </c>
      <c r="S60" s="108">
        <f t="shared" ca="1" si="17"/>
        <v>-83.941238568581753</v>
      </c>
      <c r="T60" s="78">
        <f t="shared" ca="1" si="18"/>
        <v>96.058761431418247</v>
      </c>
      <c r="V60" s="72">
        <f t="shared" ca="1" si="19"/>
        <v>1000000000</v>
      </c>
      <c r="W60" s="72">
        <f t="shared" si="20"/>
        <v>4786.2874890000012</v>
      </c>
      <c r="Y60" s="110">
        <f t="shared" si="21"/>
        <v>48.098145506774735</v>
      </c>
      <c r="Z60" s="111">
        <f t="shared" si="22"/>
        <v>-41.747289555509688</v>
      </c>
      <c r="AA60" s="72">
        <f t="shared" si="23"/>
        <v>138.2527104444903</v>
      </c>
      <c r="AB60" s="110">
        <f t="shared" ca="1" si="24"/>
        <v>20.505557365261851</v>
      </c>
      <c r="AC60" s="111">
        <f t="shared" ca="1" si="25"/>
        <v>-42.193949013072078</v>
      </c>
      <c r="AD60" s="72">
        <f t="shared" ca="1" si="26"/>
        <v>137.80605098692791</v>
      </c>
    </row>
    <row r="61" spans="1:30">
      <c r="A61" s="115">
        <v>75.858000000000004</v>
      </c>
      <c r="B61" s="101">
        <f t="shared" ca="1" si="0"/>
        <v>1.5941580577634222</v>
      </c>
      <c r="C61" s="102">
        <f t="shared" ca="1" si="1"/>
        <v>0.89272731190096888</v>
      </c>
      <c r="D61" s="102">
        <f t="shared" si="2"/>
        <v>1.0079750470082347</v>
      </c>
      <c r="E61" s="103">
        <f t="shared" si="3"/>
        <v>0.12587616190995646</v>
      </c>
      <c r="F61" s="101">
        <f t="shared" si="4"/>
        <v>10.34365748476603</v>
      </c>
      <c r="G61" s="104">
        <f t="shared" si="5"/>
        <v>1.4739674874984852</v>
      </c>
      <c r="H61" s="113">
        <f t="shared" si="6"/>
        <v>1.5924283719744508</v>
      </c>
      <c r="I61" s="114">
        <f t="shared" si="7"/>
        <v>0.8918521039388787</v>
      </c>
      <c r="J61" s="101">
        <f t="shared" si="8"/>
        <v>1.0079347068776563</v>
      </c>
      <c r="K61" s="104">
        <f t="shared" si="9"/>
        <v>0.1255594948751701</v>
      </c>
      <c r="L61" s="102">
        <f t="shared" si="10"/>
        <v>1.0000151528105967</v>
      </c>
      <c r="M61" s="103">
        <f t="shared" si="11"/>
        <v>5.5050193931467624E-3</v>
      </c>
      <c r="N61" s="101">
        <f t="shared" si="12"/>
        <v>1.0000003879148149</v>
      </c>
      <c r="O61" s="104">
        <f t="shared" si="13"/>
        <v>8.8081177287409437E-4</v>
      </c>
      <c r="P61" s="105">
        <f t="shared" ca="1" si="14"/>
        <v>1.0000089325319961</v>
      </c>
      <c r="Q61" s="106">
        <f t="shared" ca="1" si="15"/>
        <v>4.3607122696953113E-3</v>
      </c>
      <c r="R61" s="107">
        <f t="shared" ca="1" si="16"/>
        <v>51.893635849297652</v>
      </c>
      <c r="S61" s="108">
        <f t="shared" ca="1" si="17"/>
        <v>-84.469021135995504</v>
      </c>
      <c r="T61" s="78">
        <f t="shared" ca="1" si="18"/>
        <v>95.530978864004496</v>
      </c>
      <c r="V61" s="72">
        <f t="shared" ca="1" si="19"/>
        <v>1000000000</v>
      </c>
      <c r="W61" s="72">
        <f t="shared" si="20"/>
        <v>5754.4361640000006</v>
      </c>
      <c r="Y61" s="110">
        <f t="shared" si="21"/>
        <v>47.76159541504655</v>
      </c>
      <c r="Z61" s="111">
        <f t="shared" si="22"/>
        <v>-40.281836267541145</v>
      </c>
      <c r="AA61" s="72">
        <f t="shared" si="23"/>
        <v>139.71816373245886</v>
      </c>
      <c r="AB61" s="110">
        <f t="shared" ca="1" si="24"/>
        <v>20.049640781132606</v>
      </c>
      <c r="AC61" s="111">
        <f t="shared" ca="1" si="25"/>
        <v>-44.187184868454345</v>
      </c>
      <c r="AD61" s="72">
        <f t="shared" ca="1" si="26"/>
        <v>135.81281513154565</v>
      </c>
    </row>
    <row r="62" spans="1:30">
      <c r="A62" s="115">
        <v>83.176000000000002</v>
      </c>
      <c r="B62" s="101">
        <f t="shared" ca="1" si="0"/>
        <v>1.689103166863442</v>
      </c>
      <c r="C62" s="102">
        <f t="shared" ca="1" si="1"/>
        <v>0.93722075111755987</v>
      </c>
      <c r="D62" s="102">
        <f t="shared" si="2"/>
        <v>1.0095803082311667</v>
      </c>
      <c r="E62" s="103">
        <f t="shared" si="3"/>
        <v>0.13787271729605308</v>
      </c>
      <c r="F62" s="101">
        <f t="shared" si="4"/>
        <v>11.332587535607001</v>
      </c>
      <c r="G62" s="104">
        <f t="shared" si="5"/>
        <v>1.4824403080217412</v>
      </c>
      <c r="H62" s="113">
        <f t="shared" si="6"/>
        <v>1.6871404736275388</v>
      </c>
      <c r="I62" s="114">
        <f t="shared" si="7"/>
        <v>0.93636589747769439</v>
      </c>
      <c r="J62" s="101">
        <f t="shared" si="8"/>
        <v>1.0095318863988578</v>
      </c>
      <c r="K62" s="104">
        <f t="shared" si="9"/>
        <v>0.13752660201939229</v>
      </c>
      <c r="L62" s="102">
        <f t="shared" si="10"/>
        <v>1.0000182173756857</v>
      </c>
      <c r="M62" s="103">
        <f t="shared" si="11"/>
        <v>6.0360747393398929E-3</v>
      </c>
      <c r="N62" s="101">
        <f t="shared" si="12"/>
        <v>1.0000004663689568</v>
      </c>
      <c r="O62" s="104">
        <f t="shared" si="13"/>
        <v>9.6578338723339878E-4</v>
      </c>
      <c r="P62" s="105">
        <f t="shared" ca="1" si="14"/>
        <v>1.000010739089829</v>
      </c>
      <c r="Q62" s="106">
        <f t="shared" ca="1" si="15"/>
        <v>4.7813833871776529E-3</v>
      </c>
      <c r="R62" s="107">
        <f t="shared" ca="1" si="16"/>
        <v>51.099946846838279</v>
      </c>
      <c r="S62" s="108">
        <f t="shared" ca="1" si="17"/>
        <v>-84.950168480819102</v>
      </c>
      <c r="T62" s="78">
        <f t="shared" ca="1" si="18"/>
        <v>95.049831519180898</v>
      </c>
      <c r="V62" s="72">
        <f t="shared" ca="1" si="19"/>
        <v>1000000000</v>
      </c>
      <c r="W62" s="72">
        <f t="shared" si="20"/>
        <v>6918.2469760000004</v>
      </c>
      <c r="Y62" s="110">
        <f t="shared" si="21"/>
        <v>47.456596252546547</v>
      </c>
      <c r="Z62" s="111">
        <f t="shared" si="22"/>
        <v>-38.876946639800636</v>
      </c>
      <c r="AA62" s="72">
        <f t="shared" si="23"/>
        <v>141.12305336019938</v>
      </c>
      <c r="AB62" s="110">
        <f t="shared" ca="1" si="24"/>
        <v>19.560950941173239</v>
      </c>
      <c r="AC62" s="111">
        <f t="shared" ca="1" si="25"/>
        <v>-46.073221841018501</v>
      </c>
      <c r="AD62" s="72">
        <f t="shared" ca="1" si="26"/>
        <v>133.92677815898151</v>
      </c>
    </row>
    <row r="63" spans="1:30">
      <c r="A63" s="115">
        <v>91.201000000000008</v>
      </c>
      <c r="B63" s="101">
        <f t="shared" ca="1" si="0"/>
        <v>1.796634538747814</v>
      </c>
      <c r="C63" s="102">
        <f t="shared" ca="1" si="1"/>
        <v>0.98051324607593393</v>
      </c>
      <c r="D63" s="102">
        <f t="shared" si="2"/>
        <v>1.0115071139650438</v>
      </c>
      <c r="E63" s="103">
        <f t="shared" si="3"/>
        <v>0.150982396413644</v>
      </c>
      <c r="F63" s="101">
        <f t="shared" si="4"/>
        <v>12.41783825145496</v>
      </c>
      <c r="G63" s="104">
        <f t="shared" si="5"/>
        <v>1.4901797190985899</v>
      </c>
      <c r="H63" s="113">
        <f t="shared" si="6"/>
        <v>1.7944159958694299</v>
      </c>
      <c r="I63" s="114">
        <f t="shared" si="7"/>
        <v>0.97968469769079358</v>
      </c>
      <c r="J63" s="101">
        <f t="shared" si="8"/>
        <v>1.0114490083173271</v>
      </c>
      <c r="K63" s="104">
        <f t="shared" si="9"/>
        <v>0.15060432806801538</v>
      </c>
      <c r="L63" s="102">
        <f t="shared" si="10"/>
        <v>1.000021902220815</v>
      </c>
      <c r="M63" s="103">
        <f t="shared" si="11"/>
        <v>6.6184319995626992E-3</v>
      </c>
      <c r="N63" s="101">
        <f t="shared" si="12"/>
        <v>1.0000005607028359</v>
      </c>
      <c r="O63" s="104">
        <f t="shared" si="13"/>
        <v>1.0589641863009071E-3</v>
      </c>
      <c r="P63" s="105">
        <f t="shared" ca="1" si="14"/>
        <v>1.0000129113051075</v>
      </c>
      <c r="Q63" s="106">
        <f t="shared" ca="1" si="15"/>
        <v>5.2426942285374901E-3</v>
      </c>
      <c r="R63" s="107">
        <f t="shared" ca="1" si="16"/>
        <v>50.305069601181209</v>
      </c>
      <c r="S63" s="108">
        <f t="shared" ca="1" si="17"/>
        <v>-85.388669533463499</v>
      </c>
      <c r="T63" s="78">
        <f t="shared" ca="1" si="18"/>
        <v>94.611330466536501</v>
      </c>
      <c r="V63" s="72">
        <f t="shared" ca="1" si="19"/>
        <v>1000000000</v>
      </c>
      <c r="W63" s="72">
        <f t="shared" si="20"/>
        <v>8317.6224010000005</v>
      </c>
      <c r="Y63" s="110">
        <f t="shared" si="21"/>
        <v>47.181247829733827</v>
      </c>
      <c r="Z63" s="111">
        <f t="shared" si="22"/>
        <v>-37.559668564687712</v>
      </c>
      <c r="AA63" s="72">
        <f t="shared" si="23"/>
        <v>142.44033143531229</v>
      </c>
      <c r="AB63" s="110">
        <f t="shared" ca="1" si="24"/>
        <v>19.041422118328892</v>
      </c>
      <c r="AC63" s="111">
        <f t="shared" ca="1" si="25"/>
        <v>-47.829000968775802</v>
      </c>
      <c r="AD63" s="72">
        <f t="shared" ca="1" si="26"/>
        <v>132.1709990312242</v>
      </c>
    </row>
    <row r="64" spans="1:30">
      <c r="A64" s="115">
        <v>100</v>
      </c>
      <c r="B64" s="101">
        <f t="shared" ca="1" si="0"/>
        <v>1.9179480319695035</v>
      </c>
      <c r="C64" s="102">
        <f t="shared" ca="1" si="1"/>
        <v>1.0223165934414173</v>
      </c>
      <c r="D64" s="102">
        <f t="shared" si="2"/>
        <v>1.0138187388294608</v>
      </c>
      <c r="E64" s="103">
        <f t="shared" si="3"/>
        <v>0.16529647133349451</v>
      </c>
      <c r="F64" s="101">
        <f t="shared" si="4"/>
        <v>13.608471800828825</v>
      </c>
      <c r="G64" s="104">
        <f t="shared" si="5"/>
        <v>1.4972463953458701</v>
      </c>
      <c r="H64" s="113">
        <f t="shared" si="6"/>
        <v>1.9154493769542738</v>
      </c>
      <c r="I64" s="114">
        <f t="shared" si="7"/>
        <v>1.0215193450833528</v>
      </c>
      <c r="J64" s="101">
        <f t="shared" si="8"/>
        <v>1.0137490392386683</v>
      </c>
      <c r="K64" s="104">
        <f t="shared" si="9"/>
        <v>0.16488381084952095</v>
      </c>
      <c r="L64" s="102">
        <f t="shared" si="10"/>
        <v>1.0000263322512684</v>
      </c>
      <c r="M64" s="103">
        <f t="shared" si="11"/>
        <v>7.2569516270293601E-3</v>
      </c>
      <c r="N64" s="101">
        <f t="shared" si="12"/>
        <v>1.0000006741142806</v>
      </c>
      <c r="O64" s="104">
        <f t="shared" si="13"/>
        <v>1.1611321216161822E-3</v>
      </c>
      <c r="P64" s="105">
        <f t="shared" ca="1" si="14"/>
        <v>1.000015522811323</v>
      </c>
      <c r="Q64" s="106">
        <f t="shared" ca="1" si="15"/>
        <v>5.7484955154984722E-3</v>
      </c>
      <c r="R64" s="107">
        <f t="shared" ca="1" si="16"/>
        <v>49.50932453826865</v>
      </c>
      <c r="S64" s="108">
        <f t="shared" ca="1" si="17"/>
        <v>-85.788034505812917</v>
      </c>
      <c r="T64" s="78">
        <f t="shared" ca="1" si="18"/>
        <v>94.211965494187083</v>
      </c>
      <c r="V64" s="72">
        <f t="shared" ca="1" si="19"/>
        <v>1000000000</v>
      </c>
      <c r="W64" s="72">
        <f t="shared" si="20"/>
        <v>10000</v>
      </c>
      <c r="Y64" s="110">
        <f t="shared" si="21"/>
        <v>46.93323981906665</v>
      </c>
      <c r="Z64" s="111">
        <f t="shared" si="22"/>
        <v>-36.355033963169134</v>
      </c>
      <c r="AA64" s="72">
        <f t="shared" si="23"/>
        <v>143.64496603683085</v>
      </c>
      <c r="AB64" s="110">
        <f t="shared" ca="1" si="24"/>
        <v>18.493685066083511</v>
      </c>
      <c r="AC64" s="111">
        <f t="shared" ca="1" si="25"/>
        <v>-49.433000542643811</v>
      </c>
      <c r="AD64" s="72">
        <f t="shared" ca="1" si="26"/>
        <v>130.56699945735619</v>
      </c>
    </row>
    <row r="65" spans="1:30">
      <c r="A65" s="115">
        <v>109.65</v>
      </c>
      <c r="B65" s="101">
        <f t="shared" ca="1" si="0"/>
        <v>2.0543668130673511</v>
      </c>
      <c r="C65" s="102">
        <f t="shared" ca="1" si="1"/>
        <v>1.0624103429499931</v>
      </c>
      <c r="D65" s="102">
        <f t="shared" si="2"/>
        <v>1.0165915937786447</v>
      </c>
      <c r="E65" s="103">
        <f t="shared" si="3"/>
        <v>0.18091652561163832</v>
      </c>
      <c r="F65" s="101">
        <f t="shared" si="4"/>
        <v>14.914908655414601</v>
      </c>
      <c r="G65" s="104">
        <f t="shared" si="5"/>
        <v>1.5036989841527815</v>
      </c>
      <c r="H65" s="113">
        <f t="shared" si="6"/>
        <v>2.0515620512009471</v>
      </c>
      <c r="I65" s="114">
        <f t="shared" si="7"/>
        <v>1.0616483567048804</v>
      </c>
      <c r="J65" s="101">
        <f t="shared" si="8"/>
        <v>1.0165080211190773</v>
      </c>
      <c r="K65" s="104">
        <f t="shared" si="9"/>
        <v>0.18046650234558853</v>
      </c>
      <c r="L65" s="102">
        <f t="shared" si="10"/>
        <v>1.0000316595039422</v>
      </c>
      <c r="M65" s="103">
        <f t="shared" si="11"/>
        <v>7.9572191995102414E-3</v>
      </c>
      <c r="N65" s="101">
        <f t="shared" si="12"/>
        <v>1.0000008104958023</v>
      </c>
      <c r="O65" s="104">
        <f t="shared" si="13"/>
        <v>1.2731812555932703E-3</v>
      </c>
      <c r="P65" s="105">
        <f t="shared" ca="1" si="14"/>
        <v>1.0000186632370247</v>
      </c>
      <c r="Q65" s="106">
        <f t="shared" ca="1" si="15"/>
        <v>6.3032125614475706E-3</v>
      </c>
      <c r="R65" s="107">
        <f t="shared" ca="1" si="16"/>
        <v>48.712690922523961</v>
      </c>
      <c r="S65" s="108">
        <f t="shared" ca="1" si="17"/>
        <v>-86.151660023423929</v>
      </c>
      <c r="T65" s="78">
        <f t="shared" ca="1" si="18"/>
        <v>93.848339976576071</v>
      </c>
      <c r="V65" s="72">
        <f t="shared" ca="1" si="19"/>
        <v>1000000000</v>
      </c>
      <c r="W65" s="72">
        <f t="shared" si="20"/>
        <v>12023.122500000001</v>
      </c>
      <c r="Y65" s="110">
        <f t="shared" si="21"/>
        <v>46.709732584550842</v>
      </c>
      <c r="Z65" s="111">
        <f t="shared" si="22"/>
        <v>-35.284637087791452</v>
      </c>
      <c r="AA65" s="72">
        <f t="shared" si="23"/>
        <v>144.71536291220855</v>
      </c>
      <c r="AB65" s="110">
        <f t="shared" ca="1" si="24"/>
        <v>17.920558684854619</v>
      </c>
      <c r="AC65" s="111">
        <f t="shared" ca="1" si="25"/>
        <v>-50.867022935632477</v>
      </c>
      <c r="AD65" s="72">
        <f t="shared" ca="1" si="26"/>
        <v>129.13297706436754</v>
      </c>
    </row>
    <row r="66" spans="1:30">
      <c r="A66" s="115">
        <v>120.23</v>
      </c>
      <c r="B66" s="101">
        <f t="shared" ca="1" si="0"/>
        <v>2.2072324585972418</v>
      </c>
      <c r="C66" s="102">
        <f t="shared" ca="1" si="1"/>
        <v>1.1006059160658415</v>
      </c>
      <c r="D66" s="102">
        <f t="shared" si="2"/>
        <v>1.0199150488473381</v>
      </c>
      <c r="E66" s="103">
        <f t="shared" si="3"/>
        <v>0.19793969900333647</v>
      </c>
      <c r="F66" s="101">
        <f t="shared" si="4"/>
        <v>16.347844897713728</v>
      </c>
      <c r="G66" s="104">
        <f t="shared" si="5"/>
        <v>1.5095879724380368</v>
      </c>
      <c r="H66" s="113">
        <f t="shared" si="6"/>
        <v>2.2040937813441235</v>
      </c>
      <c r="I66" s="114">
        <f t="shared" si="7"/>
        <v>1.0998820872920232</v>
      </c>
      <c r="J66" s="101">
        <f t="shared" si="8"/>
        <v>1.0198148970767869</v>
      </c>
      <c r="K66" s="104">
        <f t="shared" si="9"/>
        <v>0.1974494562828252</v>
      </c>
      <c r="L66" s="102">
        <f t="shared" si="10"/>
        <v>1.0000380637118826</v>
      </c>
      <c r="M66" s="103">
        <f t="shared" si="11"/>
        <v>8.7249647048018835E-3</v>
      </c>
      <c r="N66" s="101">
        <f t="shared" si="12"/>
        <v>1.0000009744490947</v>
      </c>
      <c r="O66" s="104">
        <f t="shared" si="13"/>
        <v>1.396028870301896E-3</v>
      </c>
      <c r="P66" s="105">
        <f t="shared" ca="1" si="14"/>
        <v>1.0000224385390726</v>
      </c>
      <c r="Q66" s="106">
        <f t="shared" ca="1" si="15"/>
        <v>6.9113853201978317E-3</v>
      </c>
      <c r="R66" s="107">
        <f t="shared" ca="1" si="16"/>
        <v>47.915559571231384</v>
      </c>
      <c r="S66" s="108">
        <f t="shared" ca="1" si="17"/>
        <v>-86.482479336035951</v>
      </c>
      <c r="T66" s="78">
        <f t="shared" ca="1" si="18"/>
        <v>93.517520663964049</v>
      </c>
      <c r="V66" s="72">
        <f t="shared" ca="1" si="19"/>
        <v>1000000000</v>
      </c>
      <c r="W66" s="72">
        <f t="shared" si="20"/>
        <v>14455.252900000001</v>
      </c>
      <c r="Y66" s="110">
        <f t="shared" si="21"/>
        <v>46.507685978433074</v>
      </c>
      <c r="Z66" s="111">
        <f t="shared" si="22"/>
        <v>-34.367521520328552</v>
      </c>
      <c r="AA66" s="72">
        <f t="shared" si="23"/>
        <v>145.63247847967145</v>
      </c>
      <c r="AB66" s="110">
        <f t="shared" ca="1" si="24"/>
        <v>17.32547393967981</v>
      </c>
      <c r="AC66" s="111">
        <f t="shared" ca="1" si="25"/>
        <v>-52.114957815707427</v>
      </c>
      <c r="AD66" s="72">
        <f t="shared" ca="1" si="26"/>
        <v>127.88504218429257</v>
      </c>
    </row>
    <row r="67" spans="1:30">
      <c r="A67" s="115">
        <v>131.83000000000001</v>
      </c>
      <c r="B67" s="101">
        <f t="shared" ca="1" si="0"/>
        <v>2.3780344569127223</v>
      </c>
      <c r="C67" s="102">
        <f t="shared" ca="1" si="1"/>
        <v>1.1367830646250701</v>
      </c>
      <c r="D67" s="102">
        <f t="shared" si="2"/>
        <v>1.0238962114894927</v>
      </c>
      <c r="E67" s="103">
        <f t="shared" si="3"/>
        <v>0.21647105946583431</v>
      </c>
      <c r="F67" s="101">
        <f t="shared" si="4"/>
        <v>17.919470438841419</v>
      </c>
      <c r="G67" s="104">
        <f t="shared" si="5"/>
        <v>1.5149621005965586</v>
      </c>
      <c r="H67" s="113">
        <f t="shared" si="6"/>
        <v>2.3745318575713785</v>
      </c>
      <c r="I67" s="114">
        <f t="shared" si="7"/>
        <v>1.1360992801380223</v>
      </c>
      <c r="J67" s="101">
        <f t="shared" si="8"/>
        <v>1.0237762688450576</v>
      </c>
      <c r="K67" s="104">
        <f t="shared" si="9"/>
        <v>0.21593767923018256</v>
      </c>
      <c r="L67" s="102">
        <f t="shared" si="10"/>
        <v>1.0000457627669754</v>
      </c>
      <c r="M67" s="103">
        <f t="shared" si="11"/>
        <v>9.5667154082433575E-3</v>
      </c>
      <c r="N67" s="101">
        <f t="shared" si="12"/>
        <v>1.0000011715529544</v>
      </c>
      <c r="O67" s="104">
        <f t="shared" si="13"/>
        <v>1.5307199683006647E-3</v>
      </c>
      <c r="P67" s="105">
        <f t="shared" ca="1" si="14"/>
        <v>1.0000269771710724</v>
      </c>
      <c r="Q67" s="106">
        <f t="shared" ca="1" si="15"/>
        <v>7.5781856339110854E-3</v>
      </c>
      <c r="R67" s="107">
        <f t="shared" ca="1" si="16"/>
        <v>47.118013895846516</v>
      </c>
      <c r="S67" s="108">
        <f t="shared" ca="1" si="17"/>
        <v>-86.783321544741355</v>
      </c>
      <c r="T67" s="78">
        <f t="shared" ca="1" si="18"/>
        <v>93.216678455258645</v>
      </c>
      <c r="V67" s="72">
        <f t="shared" ca="1" si="19"/>
        <v>1000000000</v>
      </c>
      <c r="W67" s="72">
        <f t="shared" si="20"/>
        <v>17379.148900000004</v>
      </c>
      <c r="Y67" s="110">
        <f t="shared" si="21"/>
        <v>46.323742380533815</v>
      </c>
      <c r="Z67" s="111">
        <f t="shared" si="22"/>
        <v>-33.619129699956389</v>
      </c>
      <c r="AA67" s="72">
        <f t="shared" si="23"/>
        <v>146.38087030004363</v>
      </c>
      <c r="AB67" s="110">
        <f t="shared" ca="1" si="24"/>
        <v>16.711871862194215</v>
      </c>
      <c r="AC67" s="111">
        <f t="shared" ca="1" si="25"/>
        <v>-53.164191844784966</v>
      </c>
      <c r="AD67" s="72">
        <f t="shared" ca="1" si="26"/>
        <v>126.83580815521503</v>
      </c>
    </row>
    <row r="68" spans="1:30">
      <c r="A68" s="115">
        <v>144.54</v>
      </c>
      <c r="B68" s="101">
        <f t="shared" ca="1" si="0"/>
        <v>2.5682529552877877</v>
      </c>
      <c r="C68" s="102">
        <f t="shared" ca="1" si="1"/>
        <v>1.1708490877992697</v>
      </c>
      <c r="D68" s="102">
        <f t="shared" si="2"/>
        <v>1.0286586618192617</v>
      </c>
      <c r="E68" s="103">
        <f t="shared" si="3"/>
        <v>0.23660329755530246</v>
      </c>
      <c r="F68" s="101">
        <f t="shared" si="4"/>
        <v>19.641978830628286</v>
      </c>
      <c r="G68" s="104">
        <f t="shared" si="5"/>
        <v>1.5198629403050721</v>
      </c>
      <c r="H68" s="113">
        <f t="shared" si="6"/>
        <v>2.5643541798586655</v>
      </c>
      <c r="I68" s="114">
        <f t="shared" si="7"/>
        <v>1.1702062914862277</v>
      </c>
      <c r="J68" s="101">
        <f t="shared" si="8"/>
        <v>1.0285151423814436</v>
      </c>
      <c r="K68" s="104">
        <f t="shared" si="9"/>
        <v>0.23602388255017018</v>
      </c>
      <c r="L68" s="102">
        <f t="shared" si="10"/>
        <v>1.0000550120543932</v>
      </c>
      <c r="M68" s="103">
        <f t="shared" si="11"/>
        <v>1.0488997337520099E-2</v>
      </c>
      <c r="N68" s="101">
        <f t="shared" si="12"/>
        <v>1.0000014083463378</v>
      </c>
      <c r="O68" s="104">
        <f t="shared" si="13"/>
        <v>1.6782995470769032E-3</v>
      </c>
      <c r="P68" s="105">
        <f t="shared" ca="1" si="14"/>
        <v>1.0000324296919638</v>
      </c>
      <c r="Q68" s="106">
        <f t="shared" ca="1" si="15"/>
        <v>8.3087847853476511E-3</v>
      </c>
      <c r="R68" s="107">
        <f t="shared" ca="1" si="16"/>
        <v>46.320644943349322</v>
      </c>
      <c r="S68" s="108">
        <f t="shared" ca="1" si="17"/>
        <v>-87.056606001869611</v>
      </c>
      <c r="T68" s="78">
        <f t="shared" ca="1" si="18"/>
        <v>92.943393998130389</v>
      </c>
      <c r="V68" s="72">
        <f t="shared" ca="1" si="19"/>
        <v>1000000000</v>
      </c>
      <c r="W68" s="72">
        <f t="shared" si="20"/>
        <v>20891.811599999997</v>
      </c>
      <c r="Y68" s="110">
        <f t="shared" si="21"/>
        <v>46.154506828185035</v>
      </c>
      <c r="Z68" s="111">
        <f t="shared" si="22"/>
        <v>-33.05220683023397</v>
      </c>
      <c r="AA68" s="72">
        <f t="shared" si="23"/>
        <v>146.94779316976604</v>
      </c>
      <c r="AB68" s="110">
        <f t="shared" ca="1" si="24"/>
        <v>16.083738462045787</v>
      </c>
      <c r="AC68" s="111">
        <f t="shared" ca="1" si="25"/>
        <v>-54.004399171635647</v>
      </c>
      <c r="AD68" s="72">
        <f t="shared" ca="1" si="26"/>
        <v>125.99560082836436</v>
      </c>
    </row>
    <row r="69" spans="1:30">
      <c r="A69" s="115">
        <v>158.49</v>
      </c>
      <c r="B69" s="101">
        <f t="shared" ca="1" si="0"/>
        <v>2.7799653831831064</v>
      </c>
      <c r="C69" s="102">
        <f t="shared" ca="1" si="1"/>
        <v>1.2028320651379825</v>
      </c>
      <c r="D69" s="102">
        <f t="shared" si="2"/>
        <v>1.0343608989559991</v>
      </c>
      <c r="E69" s="103">
        <f t="shared" si="3"/>
        <v>0.25847637290901948</v>
      </c>
      <c r="F69" s="101">
        <f t="shared" si="4"/>
        <v>21.532988744189662</v>
      </c>
      <c r="G69" s="104">
        <f t="shared" si="5"/>
        <v>1.5243392458694338</v>
      </c>
      <c r="H69" s="113">
        <f t="shared" si="6"/>
        <v>2.7756346352866412</v>
      </c>
      <c r="I69" s="114">
        <f t="shared" si="7"/>
        <v>1.2022304741703995</v>
      </c>
      <c r="J69" s="101">
        <f t="shared" si="8"/>
        <v>1.0341892886847781</v>
      </c>
      <c r="K69" s="104">
        <f t="shared" si="9"/>
        <v>0.25784800585796885</v>
      </c>
      <c r="L69" s="102">
        <f t="shared" si="10"/>
        <v>1.0000661428763051</v>
      </c>
      <c r="M69" s="103">
        <f t="shared" si="11"/>
        <v>1.1501237392345307E-2</v>
      </c>
      <c r="N69" s="101">
        <f t="shared" si="12"/>
        <v>1.0000016933121982</v>
      </c>
      <c r="O69" s="104">
        <f t="shared" si="13"/>
        <v>1.8402770491457901E-3</v>
      </c>
      <c r="P69" s="105">
        <f t="shared" ca="1" si="14"/>
        <v>1.0000389914184653</v>
      </c>
      <c r="Q69" s="106">
        <f t="shared" ca="1" si="15"/>
        <v>9.1106525927937866E-3</v>
      </c>
      <c r="R69" s="107">
        <f t="shared" ca="1" si="16"/>
        <v>45.522183866520791</v>
      </c>
      <c r="S69" s="108">
        <f t="shared" ca="1" si="17"/>
        <v>-87.305140966127766</v>
      </c>
      <c r="T69" s="78">
        <f t="shared" ca="1" si="18"/>
        <v>92.694859033872234</v>
      </c>
      <c r="V69" s="72">
        <f t="shared" ca="1" si="19"/>
        <v>1000000000</v>
      </c>
      <c r="W69" s="72">
        <f t="shared" si="20"/>
        <v>25119.080100000003</v>
      </c>
      <c r="Y69" s="110">
        <f t="shared" si="21"/>
        <v>45.996118423119398</v>
      </c>
      <c r="Z69" s="111">
        <f t="shared" si="22"/>
        <v>-32.675543437652436</v>
      </c>
      <c r="AA69" s="72">
        <f t="shared" si="23"/>
        <v>147.32445656234756</v>
      </c>
      <c r="AB69" s="110">
        <f t="shared" ca="1" si="24"/>
        <v>15.443665790282896</v>
      </c>
      <c r="AC69" s="111">
        <f t="shared" ca="1" si="25"/>
        <v>-54.629597528475308</v>
      </c>
      <c r="AD69" s="72">
        <f t="shared" ca="1" si="26"/>
        <v>125.3704024715247</v>
      </c>
    </row>
    <row r="70" spans="1:30">
      <c r="A70" s="115">
        <v>173.78</v>
      </c>
      <c r="B70" s="101">
        <f t="shared" ca="1" si="0"/>
        <v>3.0147980727989929</v>
      </c>
      <c r="C70" s="102">
        <f t="shared" ca="1" si="1"/>
        <v>1.2326942955143463</v>
      </c>
      <c r="D70" s="102">
        <f t="shared" si="2"/>
        <v>1.0411726324709871</v>
      </c>
      <c r="E70" s="103">
        <f t="shared" si="3"/>
        <v>0.2821626960614646</v>
      </c>
      <c r="F70" s="101">
        <f t="shared" si="4"/>
        <v>23.606056451061793</v>
      </c>
      <c r="G70" s="104">
        <f t="shared" si="5"/>
        <v>1.5284216364758141</v>
      </c>
      <c r="H70" s="113">
        <f t="shared" si="6"/>
        <v>3.0099968986767291</v>
      </c>
      <c r="I70" s="114">
        <f t="shared" si="7"/>
        <v>1.2321334068794549</v>
      </c>
      <c r="J70" s="101">
        <f t="shared" si="8"/>
        <v>1.0409676601558451</v>
      </c>
      <c r="K70" s="104">
        <f t="shared" si="9"/>
        <v>0.28148267324350301</v>
      </c>
      <c r="L70" s="102">
        <f t="shared" si="10"/>
        <v>1.0000795199369599</v>
      </c>
      <c r="M70" s="103">
        <f t="shared" si="11"/>
        <v>1.2610683391502444E-2</v>
      </c>
      <c r="N70" s="101">
        <f t="shared" si="12"/>
        <v>1.0000020357892538</v>
      </c>
      <c r="O70" s="104">
        <f t="shared" si="13"/>
        <v>2.017813569208098E-3</v>
      </c>
      <c r="P70" s="105">
        <f t="shared" ca="1" si="14"/>
        <v>1.0000468773641948</v>
      </c>
      <c r="Q70" s="106">
        <f t="shared" ca="1" si="15"/>
        <v>9.9895334238954345E-3</v>
      </c>
      <c r="R70" s="107">
        <f t="shared" ca="1" si="16"/>
        <v>44.723813143365867</v>
      </c>
      <c r="S70" s="108">
        <f t="shared" ca="1" si="17"/>
        <v>-87.530714671420554</v>
      </c>
      <c r="T70" s="78">
        <f t="shared" ca="1" si="18"/>
        <v>92.469285328579446</v>
      </c>
      <c r="V70" s="72">
        <f t="shared" ca="1" si="19"/>
        <v>1000000000</v>
      </c>
      <c r="W70" s="72">
        <f t="shared" si="20"/>
        <v>30199.488400000002</v>
      </c>
      <c r="Y70" s="110">
        <f t="shared" si="21"/>
        <v>45.845180030810837</v>
      </c>
      <c r="Z70" s="111">
        <f t="shared" si="22"/>
        <v>-32.496907561571419</v>
      </c>
      <c r="AA70" s="72">
        <f t="shared" si="23"/>
        <v>147.50309243842858</v>
      </c>
      <c r="AB70" s="110">
        <f t="shared" ca="1" si="24"/>
        <v>14.796233459436536</v>
      </c>
      <c r="AC70" s="111">
        <f t="shared" ca="1" si="25"/>
        <v>-55.033807109849164</v>
      </c>
      <c r="AD70" s="72">
        <f t="shared" ca="1" si="26"/>
        <v>124.96619289015084</v>
      </c>
    </row>
    <row r="71" spans="1:30">
      <c r="A71" s="115">
        <v>190.55</v>
      </c>
      <c r="B71" s="101">
        <f t="shared" ca="1" si="0"/>
        <v>3.2749864410661802</v>
      </c>
      <c r="C71" s="102">
        <f t="shared" ca="1" si="1"/>
        <v>1.2604958512479822</v>
      </c>
      <c r="D71" s="102">
        <f t="shared" si="2"/>
        <v>1.0493060121738698</v>
      </c>
      <c r="E71" s="103">
        <f t="shared" si="3"/>
        <v>0.30777213259982644</v>
      </c>
      <c r="F71" s="101">
        <f t="shared" si="4"/>
        <v>25.880163745113709</v>
      </c>
      <c r="G71" s="104">
        <f t="shared" si="5"/>
        <v>1.5321470734887008</v>
      </c>
      <c r="H71" s="113">
        <f t="shared" si="6"/>
        <v>3.2696724473880638</v>
      </c>
      <c r="I71" s="114">
        <f t="shared" si="7"/>
        <v>1.2599746609527132</v>
      </c>
      <c r="J71" s="101">
        <f t="shared" si="8"/>
        <v>1.049061476645387</v>
      </c>
      <c r="K71" s="104">
        <f t="shared" si="9"/>
        <v>0.30703797460537613</v>
      </c>
      <c r="L71" s="102">
        <f t="shared" si="10"/>
        <v>1.0000956072561282</v>
      </c>
      <c r="M71" s="103">
        <f t="shared" si="11"/>
        <v>1.3827482739820851E-2</v>
      </c>
      <c r="N71" s="101">
        <f t="shared" si="12"/>
        <v>1.0000024476597629</v>
      </c>
      <c r="O71" s="104">
        <f t="shared" si="13"/>
        <v>2.2125346417205373E-3</v>
      </c>
      <c r="P71" s="105">
        <f t="shared" ca="1" si="14"/>
        <v>1.0000563610991375</v>
      </c>
      <c r="Q71" s="106">
        <f t="shared" ca="1" si="15"/>
        <v>1.0953469600457757E-2</v>
      </c>
      <c r="R71" s="107">
        <f t="shared" ca="1" si="16"/>
        <v>43.925048098541495</v>
      </c>
      <c r="S71" s="108">
        <f t="shared" ca="1" si="17"/>
        <v>-87.735458927986045</v>
      </c>
      <c r="T71" s="78">
        <f t="shared" ca="1" si="18"/>
        <v>92.264541072013955</v>
      </c>
      <c r="V71" s="72">
        <f t="shared" ca="1" si="19"/>
        <v>1000000000</v>
      </c>
      <c r="W71" s="72">
        <f t="shared" si="20"/>
        <v>36309.302500000005</v>
      </c>
      <c r="Y71" s="110">
        <f t="shared" si="21"/>
        <v>45.697934558523087</v>
      </c>
      <c r="Z71" s="111">
        <f t="shared" si="22"/>
        <v>-32.520823165214445</v>
      </c>
      <c r="AA71" s="72">
        <f t="shared" si="23"/>
        <v>147.47917683478556</v>
      </c>
      <c r="AB71" s="110">
        <f t="shared" ca="1" si="24"/>
        <v>14.144713886899915</v>
      </c>
      <c r="AC71" s="111">
        <f t="shared" ca="1" si="25"/>
        <v>-55.214635762771614</v>
      </c>
      <c r="AD71" s="72">
        <f t="shared" ca="1" si="26"/>
        <v>124.78536423722838</v>
      </c>
    </row>
    <row r="72" spans="1:30">
      <c r="A72" s="115">
        <v>208.93</v>
      </c>
      <c r="B72" s="101">
        <f t="shared" ca="1" si="0"/>
        <v>3.5626152595497946</v>
      </c>
      <c r="C72" s="102">
        <f t="shared" ca="1" si="1"/>
        <v>1.2862806072319188</v>
      </c>
      <c r="D72" s="102">
        <f t="shared" si="2"/>
        <v>1.0589976276835249</v>
      </c>
      <c r="E72" s="103">
        <f t="shared" si="3"/>
        <v>0.335368243130796</v>
      </c>
      <c r="F72" s="101">
        <f t="shared" si="4"/>
        <v>28.37293944328259</v>
      </c>
      <c r="G72" s="104">
        <f t="shared" si="5"/>
        <v>1.5355441756718655</v>
      </c>
      <c r="H72" s="113">
        <f t="shared" si="6"/>
        <v>3.5567423820628177</v>
      </c>
      <c r="I72" s="114">
        <f t="shared" si="7"/>
        <v>1.2857976812306144</v>
      </c>
      <c r="J72" s="101">
        <f t="shared" si="8"/>
        <v>1.0587063266871197</v>
      </c>
      <c r="K72" s="104">
        <f t="shared" si="9"/>
        <v>0.33457790307266144</v>
      </c>
      <c r="L72" s="102">
        <f t="shared" si="10"/>
        <v>1.0001149397793032</v>
      </c>
      <c r="M72" s="103">
        <f t="shared" si="11"/>
        <v>1.5161053465311021E-2</v>
      </c>
      <c r="N72" s="101">
        <f t="shared" si="12"/>
        <v>1.0000029426231234</v>
      </c>
      <c r="O72" s="104">
        <f t="shared" si="13"/>
        <v>2.4259496728359234E-3</v>
      </c>
      <c r="P72" s="105">
        <f t="shared" ca="1" si="14"/>
        <v>1.0000677580176818</v>
      </c>
      <c r="Q72" s="106">
        <f t="shared" ca="1" si="15"/>
        <v>1.2009926930392168E-2</v>
      </c>
      <c r="R72" s="107">
        <f t="shared" ca="1" si="16"/>
        <v>43.126506524589196</v>
      </c>
      <c r="S72" s="108">
        <f t="shared" ca="1" si="17"/>
        <v>-87.921037520740143</v>
      </c>
      <c r="T72" s="116">
        <f t="shared" ca="1" si="18"/>
        <v>92.078962479259857</v>
      </c>
      <c r="V72" s="72">
        <f t="shared" ca="1" si="19"/>
        <v>1000000000</v>
      </c>
      <c r="W72" s="72">
        <f t="shared" si="20"/>
        <v>43651.744900000005</v>
      </c>
      <c r="Y72" s="110">
        <f t="shared" si="21"/>
        <v>45.550823800470198</v>
      </c>
      <c r="Z72" s="111">
        <f t="shared" si="22"/>
        <v>-32.749654182523855</v>
      </c>
      <c r="AA72" s="72">
        <f t="shared" si="23"/>
        <v>147.25034581747616</v>
      </c>
      <c r="AB72" s="110">
        <f t="shared" ca="1" si="24"/>
        <v>13.4932830710005</v>
      </c>
      <c r="AC72" s="111">
        <f t="shared" ca="1" si="25"/>
        <v>-55.171383338216259</v>
      </c>
      <c r="AD72" s="72">
        <f t="shared" ca="1" si="26"/>
        <v>124.82861666178374</v>
      </c>
    </row>
    <row r="73" spans="1:30">
      <c r="A73" s="115">
        <v>229.09</v>
      </c>
      <c r="B73" s="101">
        <f t="shared" ca="1" si="0"/>
        <v>3.8803987144085741</v>
      </c>
      <c r="C73" s="102">
        <f t="shared" ca="1" si="1"/>
        <v>1.310149612216104</v>
      </c>
      <c r="D73" s="102">
        <f t="shared" si="2"/>
        <v>1.0705371681508657</v>
      </c>
      <c r="E73" s="103">
        <f t="shared" si="3"/>
        <v>0.36503717421327908</v>
      </c>
      <c r="F73" s="101">
        <f t="shared" si="4"/>
        <v>31.10743976021028</v>
      </c>
      <c r="G73" s="104">
        <f t="shared" si="5"/>
        <v>1.5386441367600048</v>
      </c>
      <c r="H73" s="113">
        <f t="shared" si="6"/>
        <v>3.8739159687051106</v>
      </c>
      <c r="I73" s="114">
        <f t="shared" si="7"/>
        <v>1.3097032569116842</v>
      </c>
      <c r="J73" s="101">
        <f t="shared" si="8"/>
        <v>1.0701907055113242</v>
      </c>
      <c r="K73" s="104">
        <f t="shared" si="9"/>
        <v>0.36418911358773992</v>
      </c>
      <c r="L73" s="102">
        <f t="shared" si="10"/>
        <v>1.0001381897930619</v>
      </c>
      <c r="M73" s="103">
        <f t="shared" si="11"/>
        <v>1.6623710852633027E-2</v>
      </c>
      <c r="N73" s="101">
        <f t="shared" si="12"/>
        <v>1.0000035378968781</v>
      </c>
      <c r="O73" s="104">
        <f t="shared" si="13"/>
        <v>2.6600324989103207E-3</v>
      </c>
      <c r="P73" s="105">
        <f t="shared" ca="1" si="14"/>
        <v>1.0000814644976761</v>
      </c>
      <c r="Q73" s="106">
        <f t="shared" ca="1" si="15"/>
        <v>1.3168668122543596E-2</v>
      </c>
      <c r="R73" s="107">
        <f t="shared" ca="1" si="16"/>
        <v>42.327614563015004</v>
      </c>
      <c r="S73" s="108">
        <f t="shared" ca="1" si="17"/>
        <v>-88.089248559130397</v>
      </c>
      <c r="T73" s="116">
        <f t="shared" ca="1" si="18"/>
        <v>91.910751440869603</v>
      </c>
      <c r="V73" s="72">
        <f t="shared" ca="1" si="19"/>
        <v>1000000000</v>
      </c>
      <c r="W73" s="72">
        <f t="shared" si="20"/>
        <v>52482.2281</v>
      </c>
      <c r="Y73" s="110">
        <f t="shared" si="21"/>
        <v>45.40006418818745</v>
      </c>
      <c r="Z73" s="111">
        <f t="shared" si="22"/>
        <v>-33.183785528279998</v>
      </c>
      <c r="AA73" s="72">
        <f t="shared" si="23"/>
        <v>146.81621447172</v>
      </c>
      <c r="AB73" s="110">
        <f t="shared" ca="1" si="24"/>
        <v>12.845150721709066</v>
      </c>
      <c r="AC73" s="111">
        <f t="shared" ca="1" si="25"/>
        <v>-54.905463030850392</v>
      </c>
      <c r="AD73" s="72">
        <f t="shared" ca="1" si="26"/>
        <v>125.0945369691496</v>
      </c>
    </row>
    <row r="74" spans="1:30">
      <c r="A74" s="115">
        <v>251.19</v>
      </c>
      <c r="B74" s="101">
        <f t="shared" ca="1" si="0"/>
        <v>4.2309018667534346</v>
      </c>
      <c r="C74" s="102">
        <f t="shared" ca="1" si="1"/>
        <v>1.3321822214014249</v>
      </c>
      <c r="D74" s="102">
        <f t="shared" si="2"/>
        <v>1.0842451072936428</v>
      </c>
      <c r="E74" s="103">
        <f t="shared" si="3"/>
        <v>0.39680448806420537</v>
      </c>
      <c r="F74" s="101">
        <f t="shared" si="4"/>
        <v>34.105367216355361</v>
      </c>
      <c r="G74" s="104">
        <f t="shared" si="5"/>
        <v>1.5414712257056125</v>
      </c>
      <c r="H74" s="113">
        <f t="shared" si="6"/>
        <v>4.2237536301536478</v>
      </c>
      <c r="I74" s="114">
        <f t="shared" si="7"/>
        <v>1.3317705298738771</v>
      </c>
      <c r="J74" s="101">
        <f t="shared" si="8"/>
        <v>1.0838338295475569</v>
      </c>
      <c r="K74" s="104">
        <f t="shared" si="9"/>
        <v>0.39589792948416225</v>
      </c>
      <c r="L74" s="102">
        <f t="shared" si="10"/>
        <v>1.0001661354553066</v>
      </c>
      <c r="M74" s="103">
        <f t="shared" si="11"/>
        <v>1.8227038033775664E-2</v>
      </c>
      <c r="N74" s="101">
        <f t="shared" si="12"/>
        <v>1.0000042534119029</v>
      </c>
      <c r="O74" s="104">
        <f t="shared" si="13"/>
        <v>2.9166408166082657E-3</v>
      </c>
      <c r="P74" s="105">
        <f t="shared" ca="1" si="14"/>
        <v>1.0000979393570983</v>
      </c>
      <c r="Q74" s="106">
        <f t="shared" ca="1" si="15"/>
        <v>1.4438878116585745E-2</v>
      </c>
      <c r="R74" s="107">
        <f t="shared" ca="1" si="16"/>
        <v>41.528858235694884</v>
      </c>
      <c r="S74" s="108">
        <f t="shared" ca="1" si="17"/>
        <v>-88.241507414863719</v>
      </c>
      <c r="T74" s="116">
        <f t="shared" ca="1" si="18"/>
        <v>91.758492585136281</v>
      </c>
      <c r="V74" s="72">
        <f t="shared" ca="1" si="19"/>
        <v>1000000000</v>
      </c>
      <c r="W74" s="72">
        <f t="shared" si="20"/>
        <v>63096.416100000002</v>
      </c>
      <c r="Y74" s="110">
        <f t="shared" si="21"/>
        <v>45.242068534781367</v>
      </c>
      <c r="Z74" s="111">
        <f t="shared" si="22"/>
        <v>-33.821024204959045</v>
      </c>
      <c r="AA74" s="72">
        <f t="shared" si="23"/>
        <v>146.17897579504097</v>
      </c>
      <c r="AB74" s="110">
        <f t="shared" ca="1" si="24"/>
        <v>12.204390047795028</v>
      </c>
      <c r="AC74" s="111">
        <f t="shared" ca="1" si="25"/>
        <v>-54.420483209904681</v>
      </c>
      <c r="AD74" s="72">
        <f t="shared" ca="1" si="26"/>
        <v>125.57951679009531</v>
      </c>
    </row>
    <row r="75" spans="1:30">
      <c r="A75" s="115">
        <v>275.42</v>
      </c>
      <c r="B75" s="101">
        <f t="shared" ca="1" si="0"/>
        <v>4.6171705469386879</v>
      </c>
      <c r="C75" s="102">
        <f t="shared" ca="1" si="1"/>
        <v>1.3524834443820037</v>
      </c>
      <c r="D75" s="102">
        <f t="shared" si="2"/>
        <v>1.1004980095211689</v>
      </c>
      <c r="E75" s="103">
        <f t="shared" si="3"/>
        <v>0.43068610831983811</v>
      </c>
      <c r="F75" s="101">
        <f t="shared" si="4"/>
        <v>37.392495797714446</v>
      </c>
      <c r="G75" s="104">
        <f t="shared" si="5"/>
        <v>1.5440498040493889</v>
      </c>
      <c r="H75" s="113">
        <f t="shared" si="6"/>
        <v>4.6092956351696097</v>
      </c>
      <c r="I75" s="114">
        <f t="shared" si="7"/>
        <v>1.3521044034553493</v>
      </c>
      <c r="J75" s="101">
        <f t="shared" si="8"/>
        <v>1.1000108474859376</v>
      </c>
      <c r="K75" s="104">
        <f t="shared" si="9"/>
        <v>0.4297211846657733</v>
      </c>
      <c r="L75" s="102">
        <f t="shared" si="10"/>
        <v>1.0001997290737572</v>
      </c>
      <c r="M75" s="103">
        <f t="shared" si="11"/>
        <v>1.9984786030193401E-2</v>
      </c>
      <c r="N75" s="101">
        <f t="shared" si="12"/>
        <v>1.0000051135618278</v>
      </c>
      <c r="O75" s="104">
        <f t="shared" si="13"/>
        <v>3.1979806245165422E-3</v>
      </c>
      <c r="P75" s="105">
        <f t="shared" ca="1" si="14"/>
        <v>1.0001177441184399</v>
      </c>
      <c r="Q75" s="106">
        <f t="shared" ca="1" si="15"/>
        <v>1.5831462242815349E-2</v>
      </c>
      <c r="R75" s="107">
        <f t="shared" ca="1" si="16"/>
        <v>40.730146961504012</v>
      </c>
      <c r="S75" s="108">
        <f t="shared" ca="1" si="17"/>
        <v>-88.379231492230858</v>
      </c>
      <c r="T75" s="116">
        <f t="shared" ca="1" si="18"/>
        <v>91.620768507769142</v>
      </c>
      <c r="V75" s="72">
        <f t="shared" ca="1" si="19"/>
        <v>1000000000</v>
      </c>
      <c r="W75" s="72">
        <f t="shared" si="20"/>
        <v>75856.176400000011</v>
      </c>
      <c r="Y75" s="110">
        <f t="shared" si="21"/>
        <v>45.073152744913898</v>
      </c>
      <c r="Z75" s="111">
        <f t="shared" si="22"/>
        <v>-34.657058538045817</v>
      </c>
      <c r="AA75" s="72">
        <f t="shared" si="23"/>
        <v>145.34294146195418</v>
      </c>
      <c r="AB75" s="110">
        <f t="shared" ca="1" si="24"/>
        <v>11.574594563471619</v>
      </c>
      <c r="AC75" s="111">
        <f t="shared" ca="1" si="25"/>
        <v>-53.722172954185048</v>
      </c>
      <c r="AD75" s="72">
        <f t="shared" ca="1" si="26"/>
        <v>126.27782704581494</v>
      </c>
    </row>
    <row r="76" spans="1:30">
      <c r="A76" s="115">
        <v>302</v>
      </c>
      <c r="B76" s="101">
        <f t="shared" ca="1" si="0"/>
        <v>5.0427389629330248</v>
      </c>
      <c r="C76" s="102">
        <f t="shared" ca="1" si="1"/>
        <v>1.3711681244827798</v>
      </c>
      <c r="D76" s="102">
        <f t="shared" si="2"/>
        <v>1.1197349956191047</v>
      </c>
      <c r="E76" s="103">
        <f t="shared" si="3"/>
        <v>0.46667666957740722</v>
      </c>
      <c r="F76" s="101">
        <f t="shared" si="4"/>
        <v>40.998671680408819</v>
      </c>
      <c r="G76" s="104">
        <f t="shared" si="5"/>
        <v>1.5464028735604136</v>
      </c>
      <c r="H76" s="113">
        <f t="shared" si="6"/>
        <v>5.0340697231442721</v>
      </c>
      <c r="I76" s="114">
        <f t="shared" si="7"/>
        <v>1.3708196890283408</v>
      </c>
      <c r="J76" s="101">
        <f t="shared" si="8"/>
        <v>1.1191593093070393</v>
      </c>
      <c r="K76" s="104">
        <f t="shared" si="9"/>
        <v>0.46565459285824473</v>
      </c>
      <c r="L76" s="102">
        <f t="shared" si="10"/>
        <v>1.0002401349940464</v>
      </c>
      <c r="M76" s="103">
        <f t="shared" si="11"/>
        <v>2.1912870641630857E-2</v>
      </c>
      <c r="N76" s="101">
        <f t="shared" si="12"/>
        <v>1.0000061481750571</v>
      </c>
      <c r="O76" s="104">
        <f t="shared" si="13"/>
        <v>3.5066062103725213E-3</v>
      </c>
      <c r="P76" s="105">
        <f t="shared" ca="1" si="14"/>
        <v>1.0001415653638601</v>
      </c>
      <c r="Q76" s="106">
        <f t="shared" ca="1" si="15"/>
        <v>1.7359044814846552E-2</v>
      </c>
      <c r="R76" s="107">
        <f t="shared" ca="1" si="16"/>
        <v>39.931078079810007</v>
      </c>
      <c r="S76" s="108">
        <f t="shared" ca="1" si="17"/>
        <v>-88.50376011742641</v>
      </c>
      <c r="T76" s="116">
        <f t="shared" ca="1" si="18"/>
        <v>91.49623988257359</v>
      </c>
      <c r="V76" s="72">
        <f t="shared" ca="1" si="19"/>
        <v>1000000000</v>
      </c>
      <c r="W76" s="72">
        <f t="shared" si="20"/>
        <v>91204</v>
      </c>
      <c r="Y76" s="110">
        <f t="shared" si="21"/>
        <v>44.889582357863311</v>
      </c>
      <c r="Z76" s="111">
        <f t="shared" si="22"/>
        <v>-35.685617081078476</v>
      </c>
      <c r="AA76" s="72">
        <f t="shared" si="23"/>
        <v>144.31438291892152</v>
      </c>
      <c r="AB76" s="110">
        <f t="shared" ca="1" si="24"/>
        <v>10.959096068828202</v>
      </c>
      <c r="AC76" s="111">
        <f t="shared" ca="1" si="25"/>
        <v>-52.818143036347962</v>
      </c>
      <c r="AD76" s="72">
        <f t="shared" ca="1" si="26"/>
        <v>127.18185696365204</v>
      </c>
    </row>
    <row r="77" spans="1:30">
      <c r="A77" s="115">
        <v>331.13</v>
      </c>
      <c r="B77" s="101">
        <f t="shared" ca="1" si="0"/>
        <v>5.510829326361363</v>
      </c>
      <c r="C77" s="102">
        <f t="shared" ca="1" si="1"/>
        <v>1.3883245245781075</v>
      </c>
      <c r="D77" s="102">
        <f t="shared" si="2"/>
        <v>1.1424231516637722</v>
      </c>
      <c r="E77" s="103">
        <f t="shared" si="3"/>
        <v>0.50467347967171772</v>
      </c>
      <c r="F77" s="101">
        <f t="shared" si="4"/>
        <v>44.9510293975639</v>
      </c>
      <c r="G77" s="104">
        <f t="shared" si="5"/>
        <v>1.5485480598312404</v>
      </c>
      <c r="H77" s="113">
        <f t="shared" si="6"/>
        <v>5.5012922292560988</v>
      </c>
      <c r="I77" s="114">
        <f t="shared" si="7"/>
        <v>1.3880046218366282</v>
      </c>
      <c r="J77" s="101">
        <f t="shared" si="8"/>
        <v>1.1417447691584102</v>
      </c>
      <c r="K77" s="104">
        <f t="shared" si="9"/>
        <v>0.50359680070893831</v>
      </c>
      <c r="L77" s="102">
        <f t="shared" si="10"/>
        <v>1.000288687569117</v>
      </c>
      <c r="M77" s="103">
        <f t="shared" si="11"/>
        <v>2.4025741853037925E-2</v>
      </c>
      <c r="N77" s="101">
        <f t="shared" si="12"/>
        <v>1.0000073914412113</v>
      </c>
      <c r="O77" s="104">
        <f t="shared" si="13"/>
        <v>3.8448395762904104E-3</v>
      </c>
      <c r="P77" s="105">
        <f t="shared" ca="1" si="14"/>
        <v>1.0001701899820141</v>
      </c>
      <c r="Q77" s="106">
        <f t="shared" ca="1" si="15"/>
        <v>1.9033093923136117E-2</v>
      </c>
      <c r="R77" s="107">
        <f t="shared" ca="1" si="16"/>
        <v>39.132436003244486</v>
      </c>
      <c r="S77" s="108">
        <f t="shared" ca="1" si="17"/>
        <v>-88.616143644892702</v>
      </c>
      <c r="T77" s="116">
        <f t="shared" ca="1" si="18"/>
        <v>91.383856355107298</v>
      </c>
      <c r="V77" s="72">
        <f t="shared" ca="1" si="19"/>
        <v>1000000000</v>
      </c>
      <c r="W77" s="72">
        <f t="shared" si="20"/>
        <v>109647.0769</v>
      </c>
      <c r="Y77" s="110">
        <f t="shared" si="21"/>
        <v>44.687963459334867</v>
      </c>
      <c r="Z77" s="111">
        <f t="shared" si="22"/>
        <v>-36.896152197460907</v>
      </c>
      <c r="AA77" s="72">
        <f t="shared" si="23"/>
        <v>143.10384780253909</v>
      </c>
      <c r="AB77" s="110">
        <f t="shared" ca="1" si="24"/>
        <v>10.362072890791133</v>
      </c>
      <c r="AC77" s="111">
        <f t="shared" ca="1" si="25"/>
        <v>-51.719991447431809</v>
      </c>
      <c r="AD77" s="72">
        <f t="shared" ca="1" si="26"/>
        <v>128.28000855256818</v>
      </c>
    </row>
    <row r="78" spans="1:30">
      <c r="A78" s="115">
        <v>363.08</v>
      </c>
      <c r="B78" s="101">
        <f t="shared" ref="B78:B141" ca="1" si="27">SQRT(1+(A78/Pole1)^2)</f>
        <v>6.0257953906502175</v>
      </c>
      <c r="C78" s="102">
        <f t="shared" ref="C78:C141" ca="1" si="28">ATAN(A78/Pole1)</f>
        <v>1.4040717953087039</v>
      </c>
      <c r="D78" s="102">
        <f t="shared" ref="D78:D141" si="29">SQRT(1+(A78/Zero1)^2)</f>
        <v>1.1691253795773573</v>
      </c>
      <c r="E78" s="103">
        <f t="shared" ref="E78:E141" si="30">ATAN(A78/Zero1)</f>
        <v>0.54458906492851056</v>
      </c>
      <c r="F78" s="101">
        <f t="shared" ref="F78:F141" si="31">SQRT(1+(A78/Pole2)^2)</f>
        <v>49.286202515774143</v>
      </c>
      <c r="G78" s="104">
        <f t="shared" ref="G78:G141" si="32">ATAN(A78/Pole2)</f>
        <v>1.5505052803489754</v>
      </c>
      <c r="H78" s="113">
        <f t="shared" ref="H78:H141" si="33">SQRT(1+(A78/Zero2)^2)</f>
        <v>6.0153089409720764</v>
      </c>
      <c r="I78" s="114">
        <f t="shared" ref="I78:I141" si="34">ATAN(A78/Zero2)</f>
        <v>1.4037784148951191</v>
      </c>
      <c r="J78" s="101">
        <f t="shared" ref="J78:J141" si="35">SQRT(1+(A78/pole4)^2)</f>
        <v>1.1683283632145085</v>
      </c>
      <c r="K78" s="104">
        <f t="shared" ref="K78:K141" si="36">ATAN(A78/pole4)</f>
        <v>0.54346171160104328</v>
      </c>
      <c r="L78" s="102">
        <f t="shared" ref="L78:L141" si="37">SQRT(1+(A78/Zerofeed)^2)</f>
        <v>1.0003470747362331</v>
      </c>
      <c r="M78" s="103">
        <f t="shared" ref="M78:M141" si="38">ATAN(A78/Zerofeed)</f>
        <v>2.634290727669799E-2</v>
      </c>
      <c r="N78" s="101">
        <f t="shared" ref="N78:N141" si="39">SQRT(1+(A78/Polefeed)^2)</f>
        <v>1.0000088866156609</v>
      </c>
      <c r="O78" s="104">
        <f t="shared" ref="O78:O141" si="40">ATAN(A78/Polefeed)</f>
        <v>4.2158154255884286E-3</v>
      </c>
      <c r="P78" s="105">
        <f t="shared" ref="P78:P141" ca="1" si="41">SQRT((1-(W78/pterm2))^2+(A78/pterm1)^2)</f>
        <v>1.0002046134341542</v>
      </c>
      <c r="Q78" s="106">
        <f t="shared" ref="Q78:Q141" ca="1" si="42">IF((ATAN((A78/pterm1)/(1-A78^2/pterm2))&gt;0),ATAN((A78/pterm1)/(1-A78^2/pterm2)),PI()+ATAN((A78/pterm1)/(1-A78^2/pterm2)))</f>
        <v>2.086909154604711E-2</v>
      </c>
      <c r="R78" s="107">
        <f t="shared" ref="R78:R141" ca="1" si="43">20*LOG10(((D78*H78*L78)/(B78*F78*P78*J78*N78))*Adc)</f>
        <v>38.333596849379987</v>
      </c>
      <c r="S78" s="108">
        <f t="shared" ref="S78:S141" ca="1" si="44">((E78+I78+M78)-(C78+G78+Q78+K78+O78))*radconv</f>
        <v>-88.717547541819386</v>
      </c>
      <c r="T78" s="116">
        <f t="shared" ref="T78:T141" ca="1" si="45">IF(S78&gt;0,S78,S78+180)</f>
        <v>91.282452458180614</v>
      </c>
      <c r="V78" s="72">
        <f t="shared" ref="V78:V141" ca="1" si="46">IF(R78&lt;0,A78,1000000000)</f>
        <v>1000000000</v>
      </c>
      <c r="W78" s="72">
        <f t="shared" ref="W78:W141" si="47">A78^2</f>
        <v>131827.0864</v>
      </c>
      <c r="Y78" s="110">
        <f t="shared" ref="Y78:Y141" si="48">20*LOG10(((H78*L78)/(F78*J78*N78))*Aea)</f>
        <v>44.464689793951464</v>
      </c>
      <c r="Z78" s="111">
        <f t="shared" ref="Z78:Z141" si="49">(I78+M78-(G78+K78+O78))*radconv</f>
        <v>-38.277103601156604</v>
      </c>
      <c r="AA78" s="72">
        <f t="shared" ref="AA78:AA141" si="50">IF(Z78&gt;0,Z78,Z78+180)</f>
        <v>141.7228963988434</v>
      </c>
      <c r="AB78" s="110">
        <f t="shared" ref="AB78:AB141" ca="1" si="51">20*LOG10((D78/(B78*P78))*Acs*Am)</f>
        <v>9.7865074023100256</v>
      </c>
      <c r="AC78" s="111">
        <f t="shared" ref="AC78:AC141" ca="1" si="52">(E78-(C78+Q78))*radconv</f>
        <v>-50.440443940662796</v>
      </c>
      <c r="AD78" s="72">
        <f t="shared" ref="AD78:AD141" ca="1" si="53">IF(AC78&gt;0,AC78,AC78+180)</f>
        <v>129.55955605933721</v>
      </c>
    </row>
    <row r="79" spans="1:30">
      <c r="A79" s="115">
        <v>398.11</v>
      </c>
      <c r="B79" s="101">
        <f t="shared" ca="1" si="27"/>
        <v>6.5918402833789989</v>
      </c>
      <c r="C79" s="102">
        <f t="shared" ca="1" si="28"/>
        <v>1.4185056385490034</v>
      </c>
      <c r="D79" s="102">
        <f t="shared" si="29"/>
        <v>1.2004404376815061</v>
      </c>
      <c r="E79" s="103">
        <f t="shared" si="30"/>
        <v>0.58623843071203086</v>
      </c>
      <c r="F79" s="101">
        <f t="shared" si="31"/>
        <v>54.039469523993844</v>
      </c>
      <c r="G79" s="104">
        <f t="shared" si="32"/>
        <v>1.5522902776040775</v>
      </c>
      <c r="H79" s="113">
        <f t="shared" si="33"/>
        <v>6.5803153223972242</v>
      </c>
      <c r="I79" s="114">
        <f t="shared" si="34"/>
        <v>1.418236825211953</v>
      </c>
      <c r="J79" s="101">
        <f t="shared" si="35"/>
        <v>1.1995071618420179</v>
      </c>
      <c r="K79" s="104">
        <f t="shared" si="36"/>
        <v>0.58506584832907849</v>
      </c>
      <c r="L79" s="102">
        <f t="shared" si="37"/>
        <v>1.0004172624308818</v>
      </c>
      <c r="M79" s="103">
        <f t="shared" si="38"/>
        <v>2.8883122842842918E-2</v>
      </c>
      <c r="N79" s="101">
        <f t="shared" si="39"/>
        <v>1.0000106840897374</v>
      </c>
      <c r="O79" s="104">
        <f t="shared" si="40"/>
        <v>4.6225522416354012E-3</v>
      </c>
      <c r="P79" s="105">
        <f t="shared" ca="1" si="41"/>
        <v>1.0002459952473302</v>
      </c>
      <c r="Q79" s="106">
        <f t="shared" ca="1" si="42"/>
        <v>2.288193305478433E-2</v>
      </c>
      <c r="R79" s="107">
        <f t="shared" ca="1" si="43"/>
        <v>37.534878401625846</v>
      </c>
      <c r="S79" s="108">
        <f t="shared" ca="1" si="44"/>
        <v>-88.808909322510473</v>
      </c>
      <c r="T79" s="116">
        <f t="shared" ca="1" si="45"/>
        <v>91.191090677489527</v>
      </c>
      <c r="V79" s="72">
        <f t="shared" ca="1" si="46"/>
        <v>1000000000</v>
      </c>
      <c r="W79" s="72">
        <f t="shared" si="47"/>
        <v>158491.57210000002</v>
      </c>
      <c r="Y79" s="110">
        <f t="shared" si="48"/>
        <v>44.216586044586094</v>
      </c>
      <c r="Z79" s="111">
        <f t="shared" si="49"/>
        <v>-39.812472639188009</v>
      </c>
      <c r="AA79" s="72">
        <f t="shared" si="50"/>
        <v>140.187527360812</v>
      </c>
      <c r="AB79" s="110">
        <f t="shared" ca="1" si="51"/>
        <v>9.2358927039212553</v>
      </c>
      <c r="AC79" s="111">
        <f t="shared" ca="1" si="52"/>
        <v>-48.99643668332245</v>
      </c>
      <c r="AD79" s="72">
        <f t="shared" ca="1" si="53"/>
        <v>131.00356331667754</v>
      </c>
    </row>
    <row r="80" spans="1:30">
      <c r="A80" s="115">
        <v>436.52</v>
      </c>
      <c r="B80" s="101">
        <f t="shared" ca="1" si="27"/>
        <v>7.2138207421059208</v>
      </c>
      <c r="C80" s="102">
        <f t="shared" ca="1" si="28"/>
        <v>1.4317256782427692</v>
      </c>
      <c r="D80" s="102">
        <f t="shared" si="29"/>
        <v>1.2370408347576975</v>
      </c>
      <c r="E80" s="103">
        <f t="shared" si="30"/>
        <v>0.62940016632322904</v>
      </c>
      <c r="F80" s="101">
        <f t="shared" si="31"/>
        <v>59.251537819111185</v>
      </c>
      <c r="G80" s="104">
        <f t="shared" si="32"/>
        <v>1.5539183263884384</v>
      </c>
      <c r="H80" s="113">
        <f t="shared" si="33"/>
        <v>7.2011592644860025</v>
      </c>
      <c r="I80" s="114">
        <f t="shared" si="34"/>
        <v>1.4314795635790252</v>
      </c>
      <c r="J80" s="101">
        <f t="shared" si="35"/>
        <v>1.2359519270873578</v>
      </c>
      <c r="K80" s="104">
        <f t="shared" si="36"/>
        <v>0.6281892830544934</v>
      </c>
      <c r="L80" s="102">
        <f t="shared" si="37"/>
        <v>1.0005016410696952</v>
      </c>
      <c r="M80" s="103">
        <f t="shared" si="38"/>
        <v>3.1668010871775079E-2</v>
      </c>
      <c r="N80" s="101">
        <f t="shared" si="39"/>
        <v>1.0000128451499255</v>
      </c>
      <c r="O80" s="104">
        <f t="shared" si="40"/>
        <v>5.0685328111202991E-3</v>
      </c>
      <c r="P80" s="105">
        <f t="shared" ca="1" si="41"/>
        <v>1.0002957454552714</v>
      </c>
      <c r="Q80" s="106">
        <f t="shared" ca="1" si="42"/>
        <v>2.5088796751294766E-2</v>
      </c>
      <c r="R80" s="107">
        <f t="shared" ca="1" si="43"/>
        <v>36.736223735148357</v>
      </c>
      <c r="S80" s="108">
        <f t="shared" ca="1" si="44"/>
        <v>-88.891129079174405</v>
      </c>
      <c r="T80" s="116">
        <f t="shared" ca="1" si="45"/>
        <v>91.108870920825595</v>
      </c>
      <c r="V80" s="72">
        <f t="shared" ca="1" si="46"/>
        <v>1000000000</v>
      </c>
      <c r="W80" s="72">
        <f t="shared" si="47"/>
        <v>190549.71039999998</v>
      </c>
      <c r="Y80" s="110">
        <f t="shared" si="48"/>
        <v>43.940668399984773</v>
      </c>
      <c r="Z80" s="111">
        <f t="shared" si="49"/>
        <v>-41.483781229430022</v>
      </c>
      <c r="AA80" s="72">
        <f t="shared" si="50"/>
        <v>138.51621877056999</v>
      </c>
      <c r="AB80" s="110">
        <f t="shared" ca="1" si="51"/>
        <v>8.7131556820450822</v>
      </c>
      <c r="AC80" s="111">
        <f t="shared" ca="1" si="52"/>
        <v>-47.407347849744383</v>
      </c>
      <c r="AD80" s="72">
        <f t="shared" ca="1" si="53"/>
        <v>132.59265215025562</v>
      </c>
    </row>
    <row r="81" spans="1:30">
      <c r="A81" s="115">
        <v>478.63</v>
      </c>
      <c r="B81" s="101">
        <f t="shared" ca="1" si="27"/>
        <v>7.8969254259325377</v>
      </c>
      <c r="C81" s="102">
        <f t="shared" ca="1" si="28"/>
        <v>1.4438238647892345</v>
      </c>
      <c r="D81" s="102">
        <f t="shared" si="29"/>
        <v>1.2796532242642065</v>
      </c>
      <c r="E81" s="103">
        <f t="shared" si="30"/>
        <v>0.67379127047404908</v>
      </c>
      <c r="F81" s="101">
        <f t="shared" si="31"/>
        <v>64.965829980549643</v>
      </c>
      <c r="G81" s="104">
        <f t="shared" si="32"/>
        <v>1.5554030116667805</v>
      </c>
      <c r="H81" s="113">
        <f t="shared" si="33"/>
        <v>7.8830199941543553</v>
      </c>
      <c r="I81" s="114">
        <f t="shared" si="34"/>
        <v>1.4435986741381495</v>
      </c>
      <c r="J81" s="101">
        <f t="shared" si="35"/>
        <v>1.2783876198902568</v>
      </c>
      <c r="K81" s="104">
        <f t="shared" si="36"/>
        <v>0.67255039323971355</v>
      </c>
      <c r="L81" s="102">
        <f t="shared" si="37"/>
        <v>1.0006030628937024</v>
      </c>
      <c r="M81" s="103">
        <f t="shared" si="38"/>
        <v>3.4720598464697022E-2</v>
      </c>
      <c r="N81" s="101">
        <f t="shared" si="39"/>
        <v>1.0000154429460026</v>
      </c>
      <c r="O81" s="104">
        <f t="shared" si="40"/>
        <v>5.5574719555001118E-3</v>
      </c>
      <c r="P81" s="105">
        <f t="shared" ca="1" si="41"/>
        <v>1.0003555467304337</v>
      </c>
      <c r="Q81" s="106">
        <f t="shared" ca="1" si="42"/>
        <v>2.7507989538492095E-2</v>
      </c>
      <c r="R81" s="107">
        <f t="shared" ca="1" si="43"/>
        <v>35.937751142940598</v>
      </c>
      <c r="S81" s="108">
        <f t="shared" ca="1" si="44"/>
        <v>-88.965001194635619</v>
      </c>
      <c r="T81" s="116">
        <f t="shared" ca="1" si="45"/>
        <v>91.034998805364381</v>
      </c>
      <c r="V81" s="72">
        <f t="shared" ca="1" si="46"/>
        <v>1000000000</v>
      </c>
      <c r="W81" s="72">
        <f t="shared" si="47"/>
        <v>229086.67689999999</v>
      </c>
      <c r="Y81" s="110">
        <f t="shared" si="48"/>
        <v>43.634403690596208</v>
      </c>
      <c r="Z81" s="111">
        <f t="shared" si="49"/>
        <v>-43.269291697205411</v>
      </c>
      <c r="AA81" s="72">
        <f t="shared" si="50"/>
        <v>136.7307083027946</v>
      </c>
      <c r="AB81" s="110">
        <f t="shared" ca="1" si="51"/>
        <v>8.2209477992258897</v>
      </c>
      <c r="AC81" s="111">
        <f t="shared" ca="1" si="52"/>
        <v>-45.695709497430201</v>
      </c>
      <c r="AD81" s="72">
        <f t="shared" ca="1" si="53"/>
        <v>134.30429050256981</v>
      </c>
    </row>
    <row r="82" spans="1:30">
      <c r="A82" s="115">
        <v>524.80999999999995</v>
      </c>
      <c r="B82" s="101">
        <f t="shared" ca="1" si="27"/>
        <v>8.6471618962642829</v>
      </c>
      <c r="C82" s="102">
        <f t="shared" ca="1" si="28"/>
        <v>1.4548921156288743</v>
      </c>
      <c r="D82" s="102">
        <f t="shared" si="29"/>
        <v>1.3290847107791286</v>
      </c>
      <c r="E82" s="103">
        <f t="shared" si="30"/>
        <v>0.71910209664173741</v>
      </c>
      <c r="F82" s="101">
        <f t="shared" si="31"/>
        <v>71.232554717900712</v>
      </c>
      <c r="G82" s="104">
        <f t="shared" si="32"/>
        <v>1.5567573406379194</v>
      </c>
      <c r="H82" s="113">
        <f t="shared" si="33"/>
        <v>8.6318941711351709</v>
      </c>
      <c r="I82" s="114">
        <f t="shared" si="34"/>
        <v>1.4546861837845395</v>
      </c>
      <c r="J82" s="101">
        <f t="shared" si="35"/>
        <v>1.3276196130674185</v>
      </c>
      <c r="K82" s="104">
        <f t="shared" si="36"/>
        <v>0.71784067715493716</v>
      </c>
      <c r="L82" s="102">
        <f t="shared" si="37"/>
        <v>1.0007250041755358</v>
      </c>
      <c r="M82" s="103">
        <f t="shared" si="38"/>
        <v>3.806747747039764E-2</v>
      </c>
      <c r="N82" s="101">
        <f t="shared" si="39"/>
        <v>1.0000185666626107</v>
      </c>
      <c r="O82" s="104">
        <f t="shared" si="40"/>
        <v>6.0936648000718746E-3</v>
      </c>
      <c r="P82" s="105">
        <f t="shared" ca="1" si="41"/>
        <v>1.0004274501900292</v>
      </c>
      <c r="Q82" s="106">
        <f t="shared" ca="1" si="42"/>
        <v>3.0160663711938783E-2</v>
      </c>
      <c r="R82" s="107">
        <f t="shared" ca="1" si="43"/>
        <v>35.139231375164755</v>
      </c>
      <c r="S82" s="108">
        <f t="shared" ca="1" si="44"/>
        <v>-89.031264676110041</v>
      </c>
      <c r="T82" s="116">
        <f t="shared" ca="1" si="45"/>
        <v>90.968735323889959</v>
      </c>
      <c r="V82" s="72">
        <f t="shared" ca="1" si="46"/>
        <v>1000000000</v>
      </c>
      <c r="W82" s="72">
        <f t="shared" si="47"/>
        <v>275425.53609999997</v>
      </c>
      <c r="Y82" s="110">
        <f t="shared" si="48"/>
        <v>43.295611953917039</v>
      </c>
      <c r="Z82" s="111">
        <f t="shared" si="49"/>
        <v>-45.145523192142178</v>
      </c>
      <c r="AA82" s="72">
        <f t="shared" si="50"/>
        <v>134.85447680785782</v>
      </c>
      <c r="AB82" s="110">
        <f t="shared" ca="1" si="51"/>
        <v>7.7612197681292274</v>
      </c>
      <c r="AC82" s="111">
        <f t="shared" ca="1" si="52"/>
        <v>-43.885741483967884</v>
      </c>
      <c r="AD82" s="72">
        <f t="shared" ca="1" si="53"/>
        <v>136.11425851603212</v>
      </c>
    </row>
    <row r="83" spans="1:30">
      <c r="A83" s="115">
        <v>575.44000000000005</v>
      </c>
      <c r="B83" s="101">
        <f t="shared" ca="1" si="27"/>
        <v>9.4707078169800685</v>
      </c>
      <c r="C83" s="102">
        <f t="shared" ca="1" si="28"/>
        <v>1.4650104058838251</v>
      </c>
      <c r="D83" s="102">
        <f t="shared" si="29"/>
        <v>1.3861768633323273</v>
      </c>
      <c r="E83" s="103">
        <f t="shared" si="30"/>
        <v>0.7649620124651646</v>
      </c>
      <c r="F83" s="101">
        <f t="shared" si="31"/>
        <v>78.103278861366036</v>
      </c>
      <c r="G83" s="104">
        <f t="shared" si="32"/>
        <v>1.5579924171709749</v>
      </c>
      <c r="H83" s="113">
        <f t="shared" si="33"/>
        <v>9.4539482712971576</v>
      </c>
      <c r="I83" s="114">
        <f t="shared" si="34"/>
        <v>1.4648221686676526</v>
      </c>
      <c r="J83" s="101">
        <f t="shared" si="35"/>
        <v>1.3844878941582093</v>
      </c>
      <c r="K83" s="104">
        <f t="shared" si="36"/>
        <v>0.76369033786608442</v>
      </c>
      <c r="L83" s="102">
        <f t="shared" si="37"/>
        <v>1.0008715746382044</v>
      </c>
      <c r="M83" s="103">
        <f t="shared" si="38"/>
        <v>4.1735885599132293E-2</v>
      </c>
      <c r="N83" s="101">
        <f t="shared" si="39"/>
        <v>1.000022321785029</v>
      </c>
      <c r="O83" s="104">
        <f t="shared" si="40"/>
        <v>6.6815222544828303E-3</v>
      </c>
      <c r="P83" s="105">
        <f t="shared" ca="1" si="41"/>
        <v>1.0005138811883167</v>
      </c>
      <c r="Q83" s="106">
        <f t="shared" ca="1" si="42"/>
        <v>3.3068510252061804E-2</v>
      </c>
      <c r="R83" s="107">
        <f t="shared" ca="1" si="43"/>
        <v>34.340880480444028</v>
      </c>
      <c r="S83" s="108">
        <f t="shared" ca="1" si="44"/>
        <v>-89.090532728737529</v>
      </c>
      <c r="T83" s="116">
        <f t="shared" ca="1" si="45"/>
        <v>90.909467271262471</v>
      </c>
      <c r="V83" s="72">
        <f t="shared" ca="1" si="46"/>
        <v>1000000000</v>
      </c>
      <c r="W83" s="72">
        <f t="shared" si="47"/>
        <v>331131.19360000006</v>
      </c>
      <c r="Y83" s="110">
        <f t="shared" si="48"/>
        <v>42.922868726304245</v>
      </c>
      <c r="Z83" s="111">
        <f t="shared" si="49"/>
        <v>-47.086028210709081</v>
      </c>
      <c r="AA83" s="72">
        <f t="shared" si="50"/>
        <v>132.91397178929091</v>
      </c>
      <c r="AB83" s="110">
        <f t="shared" ca="1" si="51"/>
        <v>7.3356121010212858</v>
      </c>
      <c r="AC83" s="111">
        <f t="shared" ca="1" si="52"/>
        <v>-42.004504518028462</v>
      </c>
      <c r="AD83" s="72">
        <f t="shared" ca="1" si="53"/>
        <v>137.99549548197155</v>
      </c>
    </row>
    <row r="84" spans="1:30">
      <c r="A84" s="115">
        <v>630.96</v>
      </c>
      <c r="B84" s="101">
        <f t="shared" ca="1" si="27"/>
        <v>10.374723354663155</v>
      </c>
      <c r="C84" s="102">
        <f t="shared" ca="1" si="28"/>
        <v>1.4742583353489209</v>
      </c>
      <c r="D84" s="102">
        <f t="shared" si="29"/>
        <v>1.4518537410319199</v>
      </c>
      <c r="E84" s="103">
        <f t="shared" si="30"/>
        <v>0.81099887884937616</v>
      </c>
      <c r="F84" s="101">
        <f t="shared" si="31"/>
        <v>85.637712441052315</v>
      </c>
      <c r="G84" s="104">
        <f t="shared" si="32"/>
        <v>1.5591189629482816</v>
      </c>
      <c r="H84" s="113">
        <f t="shared" si="33"/>
        <v>10.356329513179753</v>
      </c>
      <c r="I84" s="114">
        <f t="shared" si="34"/>
        <v>1.4740863384778391</v>
      </c>
      <c r="J84" s="101">
        <f t="shared" si="35"/>
        <v>1.4499148808814553</v>
      </c>
      <c r="K84" s="104">
        <f t="shared" si="36"/>
        <v>0.80972766033233701</v>
      </c>
      <c r="L84" s="102">
        <f t="shared" si="37"/>
        <v>1.0010477795100285</v>
      </c>
      <c r="M84" s="103">
        <f t="shared" si="38"/>
        <v>4.5757304532068221E-2</v>
      </c>
      <c r="N84" s="101">
        <f t="shared" si="39"/>
        <v>1.0000268368477248</v>
      </c>
      <c r="O84" s="104">
        <f t="shared" si="40"/>
        <v>7.3261514532923025E-3</v>
      </c>
      <c r="P84" s="105">
        <f t="shared" ca="1" si="41"/>
        <v>1.0006177941853662</v>
      </c>
      <c r="Q84" s="106">
        <f t="shared" ca="1" si="42"/>
        <v>3.6256619296957414E-2</v>
      </c>
      <c r="R84" s="107">
        <f t="shared" ca="1" si="43"/>
        <v>33.542540988685879</v>
      </c>
      <c r="S84" s="108">
        <f t="shared" ca="1" si="44"/>
        <v>-89.143364068441869</v>
      </c>
      <c r="T84" s="116">
        <f t="shared" ca="1" si="45"/>
        <v>90.856635931558131</v>
      </c>
      <c r="V84" s="72">
        <f t="shared" ca="1" si="46"/>
        <v>1000000000</v>
      </c>
      <c r="W84" s="72">
        <f t="shared" si="47"/>
        <v>398110.52160000004</v>
      </c>
      <c r="Y84" s="110">
        <f t="shared" si="48"/>
        <v>42.515228589544655</v>
      </c>
      <c r="Z84" s="111">
        <f t="shared" si="49"/>
        <v>-49.064045177951591</v>
      </c>
      <c r="AA84" s="72">
        <f t="shared" si="50"/>
        <v>130.93595482204842</v>
      </c>
      <c r="AB84" s="110">
        <f t="shared" ca="1" si="51"/>
        <v>6.944912746022732</v>
      </c>
      <c r="AC84" s="111">
        <f t="shared" ca="1" si="52"/>
        <v>-40.079318890490264</v>
      </c>
      <c r="AD84" s="72">
        <f t="shared" ca="1" si="53"/>
        <v>139.92068110950973</v>
      </c>
    </row>
    <row r="85" spans="1:30">
      <c r="A85" s="115">
        <v>691.83</v>
      </c>
      <c r="B85" s="101">
        <f t="shared" ca="1" si="27"/>
        <v>11.366700944970216</v>
      </c>
      <c r="C85" s="102">
        <f t="shared" ca="1" si="28"/>
        <v>1.4827061685925536</v>
      </c>
      <c r="D85" s="102">
        <f t="shared" si="29"/>
        <v>1.5270720063069165</v>
      </c>
      <c r="E85" s="103">
        <f t="shared" si="30"/>
        <v>0.85681488835345643</v>
      </c>
      <c r="F85" s="101">
        <f t="shared" si="31"/>
        <v>93.898280521873346</v>
      </c>
      <c r="G85" s="104">
        <f t="shared" si="32"/>
        <v>1.5601463031892886</v>
      </c>
      <c r="H85" s="113">
        <f t="shared" si="33"/>
        <v>11.346516804520046</v>
      </c>
      <c r="I85" s="114">
        <f t="shared" si="34"/>
        <v>1.4825490587117145</v>
      </c>
      <c r="J85" s="101">
        <f t="shared" si="35"/>
        <v>1.5248556981308927</v>
      </c>
      <c r="K85" s="104">
        <f t="shared" si="36"/>
        <v>0.85555481774032094</v>
      </c>
      <c r="L85" s="102">
        <f t="shared" si="37"/>
        <v>1.0012595605953443</v>
      </c>
      <c r="M85" s="103">
        <f t="shared" si="38"/>
        <v>5.0164528052772064E-2</v>
      </c>
      <c r="N85" s="101">
        <f t="shared" si="39"/>
        <v>1.0000322645378497</v>
      </c>
      <c r="O85" s="104">
        <f t="shared" si="40"/>
        <v>8.0328911822823822E-3</v>
      </c>
      <c r="P85" s="105">
        <f t="shared" ca="1" si="41"/>
        <v>1.0007426974644922</v>
      </c>
      <c r="Q85" s="106">
        <f t="shared" ca="1" si="42"/>
        <v>3.9751167520213418E-2</v>
      </c>
      <c r="R85" s="107">
        <f t="shared" ca="1" si="43"/>
        <v>32.744379434270556</v>
      </c>
      <c r="S85" s="108">
        <f t="shared" ca="1" si="44"/>
        <v>-89.190212855638293</v>
      </c>
      <c r="T85" s="116">
        <f t="shared" ca="1" si="45"/>
        <v>90.809787144361707</v>
      </c>
      <c r="V85" s="72">
        <f t="shared" ca="1" si="46"/>
        <v>1000000000</v>
      </c>
      <c r="W85" s="72">
        <f t="shared" si="47"/>
        <v>478628.74890000006</v>
      </c>
      <c r="Y85" s="110">
        <f t="shared" si="48"/>
        <v>42.072576415692311</v>
      </c>
      <c r="Z85" s="111">
        <f t="shared" si="49"/>
        <v>-51.051709890692848</v>
      </c>
      <c r="AA85" s="72">
        <f t="shared" si="50"/>
        <v>128.94829010930715</v>
      </c>
      <c r="AB85" s="110">
        <f t="shared" ca="1" si="51"/>
        <v>6.5894033654597557</v>
      </c>
      <c r="AC85" s="111">
        <f t="shared" ca="1" si="52"/>
        <v>-38.138502964945459</v>
      </c>
      <c r="AD85" s="72">
        <f t="shared" ca="1" si="53"/>
        <v>141.86149703505453</v>
      </c>
    </row>
    <row r="86" spans="1:30">
      <c r="A86" s="115">
        <v>758.58</v>
      </c>
      <c r="B86" s="101">
        <f t="shared" ca="1" si="27"/>
        <v>12.455279656162068</v>
      </c>
      <c r="C86" s="102">
        <f t="shared" ca="1" si="28"/>
        <v>1.4904225819977919</v>
      </c>
      <c r="D86" s="102">
        <f t="shared" si="29"/>
        <v>1.6128761698051366</v>
      </c>
      <c r="E86" s="103">
        <f t="shared" si="30"/>
        <v>0.90204036775279417</v>
      </c>
      <c r="F86" s="101">
        <f t="shared" si="31"/>
        <v>102.95690854049393</v>
      </c>
      <c r="G86" s="104">
        <f t="shared" si="32"/>
        <v>1.5610833727257756</v>
      </c>
      <c r="H86" s="113">
        <f t="shared" si="33"/>
        <v>12.433133635046314</v>
      </c>
      <c r="I86" s="114">
        <f t="shared" si="34"/>
        <v>1.4902791095834425</v>
      </c>
      <c r="J86" s="101">
        <f t="shared" si="35"/>
        <v>1.6103531702253104</v>
      </c>
      <c r="K86" s="104">
        <f t="shared" si="36"/>
        <v>0.90080167675258027</v>
      </c>
      <c r="L86" s="102">
        <f t="shared" si="37"/>
        <v>1.0015141462206658</v>
      </c>
      <c r="M86" s="103">
        <f t="shared" si="38"/>
        <v>5.4995238951129385E-2</v>
      </c>
      <c r="N86" s="101">
        <f t="shared" si="39"/>
        <v>1.0000387907366648</v>
      </c>
      <c r="O86" s="104">
        <f t="shared" si="40"/>
        <v>8.8078922304829447E-3</v>
      </c>
      <c r="P86" s="105">
        <f t="shared" ca="1" si="41"/>
        <v>1.0008928602285296</v>
      </c>
      <c r="Q86" s="106">
        <f t="shared" ca="1" si="42"/>
        <v>4.3582268942836039E-2</v>
      </c>
      <c r="R86" s="107">
        <f t="shared" ca="1" si="43"/>
        <v>31.946232986468964</v>
      </c>
      <c r="S86" s="108">
        <f t="shared" ca="1" si="44"/>
        <v>-89.231477462610599</v>
      </c>
      <c r="T86" s="116">
        <f t="shared" ca="1" si="45"/>
        <v>90.768522537389401</v>
      </c>
      <c r="V86" s="72">
        <f t="shared" ca="1" si="46"/>
        <v>1000000000</v>
      </c>
      <c r="W86" s="72">
        <f t="shared" si="47"/>
        <v>575443.61640000006</v>
      </c>
      <c r="Y86" s="110">
        <f t="shared" si="48"/>
        <v>41.595283995056036</v>
      </c>
      <c r="Z86" s="111">
        <f t="shared" si="49"/>
        <v>-53.02257973240674</v>
      </c>
      <c r="AA86" s="72">
        <f t="shared" si="50"/>
        <v>126.97742026759326</v>
      </c>
      <c r="AB86" s="110">
        <f t="shared" ca="1" si="51"/>
        <v>6.2685493382944388</v>
      </c>
      <c r="AC86" s="111">
        <f t="shared" ca="1" si="52"/>
        <v>-36.208897730203837</v>
      </c>
      <c r="AD86" s="72">
        <f t="shared" ca="1" si="53"/>
        <v>143.79110226979617</v>
      </c>
    </row>
    <row r="87" spans="1:30">
      <c r="A87" s="115">
        <v>831.76</v>
      </c>
      <c r="B87" s="101">
        <f t="shared" ca="1" si="27"/>
        <v>13.649430421479533</v>
      </c>
      <c r="C87" s="102">
        <f t="shared" ca="1" si="28"/>
        <v>1.497467497839418</v>
      </c>
      <c r="D87" s="102">
        <f t="shared" si="29"/>
        <v>1.7103332648386878</v>
      </c>
      <c r="E87" s="103">
        <f t="shared" si="30"/>
        <v>0.94630908002987391</v>
      </c>
      <c r="F87" s="101">
        <f t="shared" si="31"/>
        <v>112.88823687709679</v>
      </c>
      <c r="G87" s="104">
        <f t="shared" si="32"/>
        <v>1.5619378920595504</v>
      </c>
      <c r="H87" s="113">
        <f t="shared" si="33"/>
        <v>13.625134780075227</v>
      </c>
      <c r="I87" s="114">
        <f t="shared" si="34"/>
        <v>1.4973365061335946</v>
      </c>
      <c r="J87" s="101">
        <f t="shared" si="35"/>
        <v>1.7074726837064362</v>
      </c>
      <c r="K87" s="104">
        <f t="shared" si="36"/>
        <v>0.94510113472473622</v>
      </c>
      <c r="L87" s="102">
        <f t="shared" si="37"/>
        <v>1.0018200977842464</v>
      </c>
      <c r="M87" s="103">
        <f t="shared" si="38"/>
        <v>6.0288331129380091E-2</v>
      </c>
      <c r="N87" s="101">
        <f t="shared" si="39"/>
        <v>1.0000466358191029</v>
      </c>
      <c r="O87" s="104">
        <f t="shared" si="40"/>
        <v>9.6575366174561743E-3</v>
      </c>
      <c r="P87" s="105">
        <f t="shared" ca="1" si="41"/>
        <v>1.0010733410879387</v>
      </c>
      <c r="Q87" s="106">
        <f t="shared" ca="1" si="42"/>
        <v>4.7781078156393229E-2</v>
      </c>
      <c r="R87" s="107">
        <f t="shared" ca="1" si="43"/>
        <v>31.148312755913192</v>
      </c>
      <c r="S87" s="108">
        <f t="shared" ca="1" si="44"/>
        <v>-89.267467562622045</v>
      </c>
      <c r="T87" s="116">
        <f t="shared" ca="1" si="45"/>
        <v>90.732532437377955</v>
      </c>
      <c r="V87" s="72">
        <f t="shared" ca="1" si="46"/>
        <v>1000000000</v>
      </c>
      <c r="W87" s="72">
        <f t="shared" si="47"/>
        <v>691824.69759999996</v>
      </c>
      <c r="Y87" s="110">
        <f t="shared" si="48"/>
        <v>41.0845564346034</v>
      </c>
      <c r="Z87" s="111">
        <f t="shared" si="49"/>
        <v>-54.950762220868519</v>
      </c>
      <c r="AA87" s="72">
        <f t="shared" si="50"/>
        <v>125.04923777913149</v>
      </c>
      <c r="AB87" s="110">
        <f t="shared" ca="1" si="51"/>
        <v>5.9813566681912933</v>
      </c>
      <c r="AC87" s="111">
        <f t="shared" ca="1" si="52"/>
        <v>-34.316705341753554</v>
      </c>
      <c r="AD87" s="72">
        <f t="shared" ca="1" si="53"/>
        <v>145.68329465824644</v>
      </c>
    </row>
    <row r="88" spans="1:30">
      <c r="A88" s="115">
        <v>912.01</v>
      </c>
      <c r="B88" s="101">
        <f t="shared" ca="1" si="27"/>
        <v>14.959597808168407</v>
      </c>
      <c r="C88" s="102">
        <f t="shared" ca="1" si="28"/>
        <v>1.5038997255867788</v>
      </c>
      <c r="D88" s="102">
        <f t="shared" si="29"/>
        <v>1.8206219157719761</v>
      </c>
      <c r="E88" s="103">
        <f t="shared" si="30"/>
        <v>0.98931446130770873</v>
      </c>
      <c r="F88" s="101">
        <f t="shared" si="31"/>
        <v>123.77912054918549</v>
      </c>
      <c r="G88" s="104">
        <f t="shared" si="32"/>
        <v>1.5627173319369139</v>
      </c>
      <c r="H88" s="113">
        <f t="shared" si="33"/>
        <v>14.932946012867244</v>
      </c>
      <c r="I88" s="114">
        <f t="shared" si="34"/>
        <v>1.5037801519907468</v>
      </c>
      <c r="J88" s="101">
        <f t="shared" si="35"/>
        <v>1.8173908887772152</v>
      </c>
      <c r="K88" s="104">
        <f t="shared" si="36"/>
        <v>0.98814545938031473</v>
      </c>
      <c r="L88" s="102">
        <f t="shared" si="37"/>
        <v>1.0021878527171091</v>
      </c>
      <c r="M88" s="103">
        <f t="shared" si="38"/>
        <v>6.6088898218540429E-2</v>
      </c>
      <c r="N88" s="101">
        <f t="shared" si="39"/>
        <v>1.0000560687274607</v>
      </c>
      <c r="O88" s="104">
        <f t="shared" si="40"/>
        <v>1.0589250004995185E-2</v>
      </c>
      <c r="P88" s="105">
        <f t="shared" ca="1" si="41"/>
        <v>1.0012903098206802</v>
      </c>
      <c r="Q88" s="106">
        <f t="shared" ca="1" si="42"/>
        <v>5.2383772707517082E-2</v>
      </c>
      <c r="R88" s="107">
        <f t="shared" ca="1" si="43"/>
        <v>30.350437148468373</v>
      </c>
      <c r="S88" s="108">
        <f t="shared" ca="1" si="44"/>
        <v>-89.298453463695907</v>
      </c>
      <c r="T88" s="116">
        <f t="shared" ca="1" si="45"/>
        <v>90.701546536304093</v>
      </c>
      <c r="V88" s="72">
        <f t="shared" ca="1" si="46"/>
        <v>1000000000</v>
      </c>
      <c r="W88" s="72">
        <f t="shared" si="47"/>
        <v>831762.24009999994</v>
      </c>
      <c r="Y88" s="110">
        <f t="shared" si="48"/>
        <v>40.541890465904011</v>
      </c>
      <c r="Z88" s="111">
        <f t="shared" si="49"/>
        <v>-56.813520492648401</v>
      </c>
      <c r="AA88" s="72">
        <f t="shared" si="50"/>
        <v>123.18647950735161</v>
      </c>
      <c r="AB88" s="110">
        <f t="shared" ca="1" si="51"/>
        <v>5.7261470294458636</v>
      </c>
      <c r="AC88" s="111">
        <f t="shared" ca="1" si="52"/>
        <v>-32.484932971047563</v>
      </c>
      <c r="AD88" s="72">
        <f t="shared" ca="1" si="53"/>
        <v>147.51506702895244</v>
      </c>
    </row>
    <row r="89" spans="1:30">
      <c r="A89" s="117">
        <v>1000</v>
      </c>
      <c r="B89" s="101">
        <f t="shared" ca="1" si="27"/>
        <v>16.396721176307448</v>
      </c>
      <c r="C89" s="102">
        <f t="shared" ca="1" si="28"/>
        <v>1.5097706529521688</v>
      </c>
      <c r="D89" s="102">
        <f t="shared" si="29"/>
        <v>1.9449533465293796</v>
      </c>
      <c r="E89" s="103">
        <f t="shared" si="30"/>
        <v>1.0307786535185006</v>
      </c>
      <c r="F89" s="101">
        <f t="shared" si="31"/>
        <v>135.72048657220228</v>
      </c>
      <c r="G89" s="104">
        <f t="shared" si="32"/>
        <v>1.563428175725085</v>
      </c>
      <c r="H89" s="113">
        <f t="shared" si="33"/>
        <v>16.367487026646806</v>
      </c>
      <c r="I89" s="114">
        <f t="shared" si="34"/>
        <v>1.5096615184465432</v>
      </c>
      <c r="J89" s="101">
        <f t="shared" si="35"/>
        <v>1.941316938506515</v>
      </c>
      <c r="K89" s="104">
        <f t="shared" si="36"/>
        <v>1.0296553991928603</v>
      </c>
      <c r="L89" s="102">
        <f t="shared" si="37"/>
        <v>1.0026298018672841</v>
      </c>
      <c r="M89" s="103">
        <f t="shared" si="38"/>
        <v>7.2443792778633567E-2</v>
      </c>
      <c r="N89" s="101">
        <f t="shared" si="39"/>
        <v>1.0000674091787844</v>
      </c>
      <c r="O89" s="104">
        <f t="shared" si="40"/>
        <v>1.1610804652367947E-2</v>
      </c>
      <c r="P89" s="105">
        <f t="shared" ca="1" si="41"/>
        <v>1.0015510951820534</v>
      </c>
      <c r="Q89" s="106">
        <f t="shared" ca="1" si="42"/>
        <v>5.7428064359564109E-2</v>
      </c>
      <c r="R89" s="107">
        <f t="shared" ca="1" si="43"/>
        <v>29.552760725668211</v>
      </c>
      <c r="S89" s="108">
        <f t="shared" ca="1" si="44"/>
        <v>-89.324643595950079</v>
      </c>
      <c r="T89" s="116">
        <f t="shared" ca="1" si="45"/>
        <v>90.675356404049921</v>
      </c>
      <c r="V89" s="72">
        <f t="shared" ca="1" si="46"/>
        <v>1000000000</v>
      </c>
      <c r="W89" s="72">
        <f t="shared" si="47"/>
        <v>1000000</v>
      </c>
      <c r="Y89" s="110">
        <f t="shared" si="48"/>
        <v>39.969429420300543</v>
      </c>
      <c r="Z89" s="111">
        <f t="shared" si="49"/>
        <v>-58.590037859340079</v>
      </c>
      <c r="AA89" s="72">
        <f t="shared" si="50"/>
        <v>121.40996214065993</v>
      </c>
      <c r="AB89" s="110">
        <f t="shared" ca="1" si="51"/>
        <v>5.5009316522491725</v>
      </c>
      <c r="AC89" s="111">
        <f t="shared" ca="1" si="52"/>
        <v>-30.73460573661</v>
      </c>
      <c r="AD89" s="72">
        <f t="shared" ca="1" si="53"/>
        <v>149.26539426338999</v>
      </c>
    </row>
    <row r="90" spans="1:30">
      <c r="A90" s="118">
        <v>1096.5</v>
      </c>
      <c r="B90" s="101">
        <f t="shared" ca="1" si="27"/>
        <v>17.97337754188818</v>
      </c>
      <c r="C90" s="102">
        <f t="shared" ca="1" si="28"/>
        <v>1.5151297362504927</v>
      </c>
      <c r="D90" s="102">
        <f t="shared" si="29"/>
        <v>2.0846694831892481</v>
      </c>
      <c r="E90" s="103">
        <f t="shared" si="30"/>
        <v>1.0704922734115163</v>
      </c>
      <c r="F90" s="101">
        <f t="shared" si="31"/>
        <v>148.81683379220289</v>
      </c>
      <c r="G90" s="104">
        <f t="shared" si="32"/>
        <v>1.5640766063148206</v>
      </c>
      <c r="H90" s="113">
        <f t="shared" si="33"/>
        <v>17.941312242775993</v>
      </c>
      <c r="I90" s="114">
        <f t="shared" si="34"/>
        <v>1.5150301439333889</v>
      </c>
      <c r="J90" s="101">
        <f t="shared" si="35"/>
        <v>2.0805902287433455</v>
      </c>
      <c r="K90" s="104">
        <f t="shared" si="36"/>
        <v>1.069420091202913</v>
      </c>
      <c r="L90" s="102">
        <f t="shared" si="37"/>
        <v>1.0031610045355845</v>
      </c>
      <c r="M90" s="103">
        <f t="shared" si="38"/>
        <v>7.9406552744496581E-2</v>
      </c>
      <c r="N90" s="101">
        <f t="shared" si="39"/>
        <v>1.000081046328813</v>
      </c>
      <c r="O90" s="104">
        <f t="shared" si="40"/>
        <v>1.2731131562861275E-2</v>
      </c>
      <c r="P90" s="105">
        <f t="shared" ca="1" si="41"/>
        <v>1.0018646098887676</v>
      </c>
      <c r="Q90" s="106">
        <f t="shared" ca="1" si="42"/>
        <v>6.2957152897474722E-2</v>
      </c>
      <c r="R90" s="107">
        <f t="shared" ca="1" si="43"/>
        <v>28.755139846158446</v>
      </c>
      <c r="S90" s="108">
        <f t="shared" ca="1" si="44"/>
        <v>-89.346222103317203</v>
      </c>
      <c r="T90" s="116">
        <f t="shared" ca="1" si="45"/>
        <v>90.653777896682797</v>
      </c>
      <c r="V90" s="72">
        <f t="shared" ca="1" si="46"/>
        <v>1000000000</v>
      </c>
      <c r="W90" s="72">
        <f t="shared" si="47"/>
        <v>1202312.25</v>
      </c>
      <c r="Y90" s="110">
        <f t="shared" si="48"/>
        <v>39.369420349223262</v>
      </c>
      <c r="Z90" s="111">
        <f t="shared" si="49"/>
        <v>-60.263192884821535</v>
      </c>
      <c r="AA90" s="72">
        <f t="shared" si="50"/>
        <v>119.73680711517846</v>
      </c>
      <c r="AB90" s="110">
        <f t="shared" ca="1" si="51"/>
        <v>5.3033198438166851</v>
      </c>
      <c r="AC90" s="111">
        <f t="shared" ca="1" si="52"/>
        <v>-29.08302921849566</v>
      </c>
      <c r="AD90" s="72">
        <f t="shared" ca="1" si="53"/>
        <v>150.91697078150435</v>
      </c>
    </row>
    <row r="91" spans="1:30">
      <c r="A91" s="118">
        <v>1202.3</v>
      </c>
      <c r="B91" s="101">
        <f t="shared" ca="1" si="27"/>
        <v>19.70247478436459</v>
      </c>
      <c r="C91" s="102">
        <f t="shared" ca="1" si="28"/>
        <v>1.5200194647409546</v>
      </c>
      <c r="D91" s="102">
        <f t="shared" si="29"/>
        <v>2.2411315638593803</v>
      </c>
      <c r="E91" s="103">
        <f t="shared" si="30"/>
        <v>1.10827809329532</v>
      </c>
      <c r="F91" s="101">
        <f t="shared" si="31"/>
        <v>163.17537583830008</v>
      </c>
      <c r="G91" s="104">
        <f t="shared" si="32"/>
        <v>1.564667912783491</v>
      </c>
      <c r="H91" s="113">
        <f t="shared" si="33"/>
        <v>19.667306366047782</v>
      </c>
      <c r="I91" s="114">
        <f t="shared" si="34"/>
        <v>1.5199285889328329</v>
      </c>
      <c r="J91" s="101">
        <f t="shared" si="35"/>
        <v>2.2365693438777536</v>
      </c>
      <c r="K91" s="104">
        <f t="shared" si="36"/>
        <v>1.107260798452893</v>
      </c>
      <c r="L91" s="102">
        <f t="shared" si="37"/>
        <v>1.0037992265693063</v>
      </c>
      <c r="M91" s="103">
        <f t="shared" si="38"/>
        <v>8.7031454102458827E-2</v>
      </c>
      <c r="N91" s="101">
        <f t="shared" si="39"/>
        <v>1.0000974402096452</v>
      </c>
      <c r="O91" s="104">
        <f t="shared" si="40"/>
        <v>1.3959390971035717E-2</v>
      </c>
      <c r="P91" s="105">
        <f t="shared" ca="1" si="41"/>
        <v>1.0022413775382584</v>
      </c>
      <c r="Q91" s="106">
        <f t="shared" ca="1" si="42"/>
        <v>6.9015062051825352E-2</v>
      </c>
      <c r="R91" s="107">
        <f t="shared" ca="1" si="43"/>
        <v>27.95788318223218</v>
      </c>
      <c r="S91" s="108">
        <f t="shared" ca="1" si="44"/>
        <v>-89.36333890408288</v>
      </c>
      <c r="T91" s="116">
        <f t="shared" ca="1" si="45"/>
        <v>90.63666109591712</v>
      </c>
      <c r="V91" s="72">
        <f t="shared" ca="1" si="46"/>
        <v>1000000000</v>
      </c>
      <c r="W91" s="72">
        <f t="shared" si="47"/>
        <v>1445525.2899999998</v>
      </c>
      <c r="Y91" s="110">
        <f t="shared" si="48"/>
        <v>38.744648344350274</v>
      </c>
      <c r="Z91" s="111">
        <f t="shared" si="49"/>
        <v>-61.818024259441472</v>
      </c>
      <c r="AA91" s="72">
        <f t="shared" si="50"/>
        <v>118.18197574055853</v>
      </c>
      <c r="AB91" s="110">
        <f t="shared" ca="1" si="51"/>
        <v>5.1308351847634093</v>
      </c>
      <c r="AC91" s="111">
        <f t="shared" ca="1" si="52"/>
        <v>-27.545314644641394</v>
      </c>
      <c r="AD91" s="72">
        <f t="shared" ca="1" si="53"/>
        <v>152.45468535535861</v>
      </c>
    </row>
    <row r="92" spans="1:30">
      <c r="A92" s="118">
        <v>1318.3</v>
      </c>
      <c r="B92" s="101">
        <f t="shared" ca="1" si="27"/>
        <v>21.598721902613093</v>
      </c>
      <c r="C92" s="102">
        <f t="shared" ca="1" si="28"/>
        <v>1.5244807338461701</v>
      </c>
      <c r="D92" s="102">
        <f t="shared" si="29"/>
        <v>2.4158528908552346</v>
      </c>
      <c r="E92" s="103">
        <f t="shared" si="30"/>
        <v>1.1440265296375862</v>
      </c>
      <c r="F92" s="101">
        <f t="shared" si="31"/>
        <v>178.91825530350761</v>
      </c>
      <c r="G92" s="104">
        <f t="shared" si="32"/>
        <v>1.5652071530976699</v>
      </c>
      <c r="H92" s="113">
        <f t="shared" si="33"/>
        <v>21.560151999977599</v>
      </c>
      <c r="I92" s="114">
        <f t="shared" si="34"/>
        <v>1.5243978183921489</v>
      </c>
      <c r="J92" s="101">
        <f t="shared" si="35"/>
        <v>2.4107643736024373</v>
      </c>
      <c r="K92" s="104">
        <f t="shared" si="36"/>
        <v>1.1430665263738662</v>
      </c>
      <c r="L92" s="102">
        <f t="shared" si="37"/>
        <v>1.0045659574254744</v>
      </c>
      <c r="M92" s="103">
        <f t="shared" si="38"/>
        <v>9.5379783422012671E-2</v>
      </c>
      <c r="N92" s="101">
        <f t="shared" si="39"/>
        <v>1.0001171485021867</v>
      </c>
      <c r="O92" s="104">
        <f t="shared" si="40"/>
        <v>1.5306016258550935E-2</v>
      </c>
      <c r="P92" s="105">
        <f t="shared" ca="1" si="41"/>
        <v>1.002694139253177</v>
      </c>
      <c r="Q92" s="106">
        <f t="shared" ca="1" si="42"/>
        <v>7.5651694230922509E-2</v>
      </c>
      <c r="R92" s="107">
        <f t="shared" ca="1" si="43"/>
        <v>27.161028381143666</v>
      </c>
      <c r="S92" s="108">
        <f t="shared" ca="1" si="44"/>
        <v>-89.376144492818838</v>
      </c>
      <c r="T92" s="116">
        <f t="shared" ca="1" si="45"/>
        <v>90.623855507181162</v>
      </c>
      <c r="V92" s="72">
        <f t="shared" ca="1" si="46"/>
        <v>1000000000</v>
      </c>
      <c r="W92" s="72">
        <f t="shared" si="47"/>
        <v>1737914.89</v>
      </c>
      <c r="Y92" s="110">
        <f t="shared" si="48"/>
        <v>38.097799288004516</v>
      </c>
      <c r="Z92" s="111">
        <f t="shared" si="49"/>
        <v>-63.243201471351327</v>
      </c>
      <c r="AA92" s="72">
        <f t="shared" si="50"/>
        <v>116.75679852864867</v>
      </c>
      <c r="AB92" s="110">
        <f t="shared" ca="1" si="51"/>
        <v>4.9808294400206536</v>
      </c>
      <c r="AC92" s="111">
        <f t="shared" ca="1" si="52"/>
        <v>-26.132943021467511</v>
      </c>
      <c r="AD92" s="72">
        <f t="shared" ca="1" si="53"/>
        <v>153.8670569785325</v>
      </c>
    </row>
    <row r="93" spans="1:30">
      <c r="A93" s="118">
        <v>1445.4</v>
      </c>
      <c r="B93" s="101">
        <f t="shared" ca="1" si="27"/>
        <v>23.676830958437947</v>
      </c>
      <c r="C93" s="102">
        <f t="shared" ca="1" si="28"/>
        <v>1.5285483779353246</v>
      </c>
      <c r="D93" s="102">
        <f t="shared" si="29"/>
        <v>2.6103379577325674</v>
      </c>
      <c r="E93" s="103">
        <f t="shared" si="30"/>
        <v>1.1776548036548111</v>
      </c>
      <c r="F93" s="101">
        <f t="shared" si="31"/>
        <v>196.16761516184312</v>
      </c>
      <c r="G93" s="104">
        <f t="shared" si="32"/>
        <v>1.5656986233320449</v>
      </c>
      <c r="H93" s="113">
        <f t="shared" si="33"/>
        <v>23.634534816151156</v>
      </c>
      <c r="I93" s="114">
        <f t="shared" si="34"/>
        <v>1.5284727262652138</v>
      </c>
      <c r="J93" s="101">
        <f t="shared" si="35"/>
        <v>2.6046765270935492</v>
      </c>
      <c r="K93" s="104">
        <f t="shared" si="36"/>
        <v>1.1767531884749334</v>
      </c>
      <c r="L93" s="102">
        <f t="shared" si="37"/>
        <v>1.0054863069735334</v>
      </c>
      <c r="M93" s="103">
        <f t="shared" si="38"/>
        <v>0.10451163451861169</v>
      </c>
      <c r="N93" s="101">
        <f t="shared" si="39"/>
        <v>1.0001408248171297</v>
      </c>
      <c r="O93" s="104">
        <f t="shared" si="40"/>
        <v>1.6781435740597036E-2</v>
      </c>
      <c r="P93" s="105">
        <f t="shared" ca="1" si="41"/>
        <v>1.003237801705827</v>
      </c>
      <c r="Q93" s="106">
        <f t="shared" ca="1" si="42"/>
        <v>8.2916404497610521E-2</v>
      </c>
      <c r="R93" s="107">
        <f t="shared" ca="1" si="43"/>
        <v>26.36515428483758</v>
      </c>
      <c r="S93" s="108">
        <f t="shared" ca="1" si="44"/>
        <v>-89.384788889653549</v>
      </c>
      <c r="T93" s="116">
        <f t="shared" ca="1" si="45"/>
        <v>90.615211110346451</v>
      </c>
      <c r="V93" s="72">
        <f t="shared" ca="1" si="46"/>
        <v>1000000000</v>
      </c>
      <c r="W93" s="72">
        <f t="shared" si="47"/>
        <v>2089181.1600000001</v>
      </c>
      <c r="Y93" s="110">
        <f t="shared" si="48"/>
        <v>37.432018766256434</v>
      </c>
      <c r="Z93" s="111">
        <f t="shared" si="49"/>
        <v>-64.529307966605685</v>
      </c>
      <c r="AA93" s="72">
        <f t="shared" si="50"/>
        <v>115.47069203339431</v>
      </c>
      <c r="AB93" s="110">
        <f t="shared" ca="1" si="51"/>
        <v>4.8507358654626493</v>
      </c>
      <c r="AC93" s="111">
        <f t="shared" ca="1" si="52"/>
        <v>-24.855480923047839</v>
      </c>
      <c r="AD93" s="72">
        <f t="shared" ca="1" si="53"/>
        <v>155.14451907695215</v>
      </c>
    </row>
    <row r="94" spans="1:30">
      <c r="A94" s="118">
        <v>1584.9</v>
      </c>
      <c r="B94" s="101">
        <f t="shared" ca="1" si="27"/>
        <v>25.958057576976742</v>
      </c>
      <c r="C94" s="102">
        <f t="shared" ca="1" si="28"/>
        <v>1.5322631080412663</v>
      </c>
      <c r="D94" s="102">
        <f t="shared" si="29"/>
        <v>2.8267024832667254</v>
      </c>
      <c r="E94" s="103">
        <f t="shared" si="30"/>
        <v>1.2091985873111979</v>
      </c>
      <c r="F94" s="101">
        <f t="shared" si="31"/>
        <v>215.09988476458992</v>
      </c>
      <c r="G94" s="104">
        <f t="shared" si="32"/>
        <v>1.5661473070925653</v>
      </c>
      <c r="H94" s="113">
        <f t="shared" si="33"/>
        <v>25.911672328514047</v>
      </c>
      <c r="I94" s="114">
        <f t="shared" si="34"/>
        <v>1.5321940943378993</v>
      </c>
      <c r="J94" s="101">
        <f t="shared" si="35"/>
        <v>2.8204163669629958</v>
      </c>
      <c r="K94" s="104">
        <f t="shared" si="36"/>
        <v>1.208355461798934</v>
      </c>
      <c r="L94" s="102">
        <f t="shared" si="37"/>
        <v>1.0065927740397533</v>
      </c>
      <c r="M94" s="103">
        <f t="shared" si="38"/>
        <v>0.11451424444092773</v>
      </c>
      <c r="N94" s="101">
        <f t="shared" si="39"/>
        <v>1.0001693170290595</v>
      </c>
      <c r="O94" s="104">
        <f t="shared" si="40"/>
        <v>1.8400714241423019E-2</v>
      </c>
      <c r="P94" s="105">
        <f t="shared" ca="1" si="41"/>
        <v>1.0038916765229102</v>
      </c>
      <c r="Q94" s="106">
        <f t="shared" ca="1" si="42"/>
        <v>9.0880676451374112E-2</v>
      </c>
      <c r="R94" s="107">
        <f t="shared" ca="1" si="43"/>
        <v>25.5690171454631</v>
      </c>
      <c r="S94" s="108">
        <f t="shared" ca="1" si="44"/>
        <v>-89.38945712022749</v>
      </c>
      <c r="T94" s="116">
        <f t="shared" ca="1" si="45"/>
        <v>90.61054287977251</v>
      </c>
      <c r="V94" s="72">
        <f t="shared" ca="1" si="46"/>
        <v>1000000000</v>
      </c>
      <c r="W94" s="72">
        <f t="shared" si="47"/>
        <v>2511908.0100000002</v>
      </c>
      <c r="Y94" s="110">
        <f t="shared" si="48"/>
        <v>36.74884605951776</v>
      </c>
      <c r="Z94" s="111">
        <f t="shared" si="49"/>
        <v>-65.672144344919175</v>
      </c>
      <c r="AA94" s="72">
        <f t="shared" si="50"/>
        <v>114.32785565508082</v>
      </c>
      <c r="AB94" s="110">
        <f t="shared" ca="1" si="51"/>
        <v>4.7377714328268468</v>
      </c>
      <c r="AC94" s="111">
        <f t="shared" ca="1" si="52"/>
        <v>-23.717312775308297</v>
      </c>
      <c r="AD94" s="72">
        <f t="shared" ca="1" si="53"/>
        <v>156.2826872246917</v>
      </c>
    </row>
    <row r="95" spans="1:30">
      <c r="A95" s="118">
        <v>1737.8</v>
      </c>
      <c r="B95" s="101">
        <f t="shared" ca="1" si="27"/>
        <v>28.458755102345076</v>
      </c>
      <c r="C95" s="102">
        <f t="shared" ca="1" si="28"/>
        <v>1.5356505202632658</v>
      </c>
      <c r="D95" s="102">
        <f t="shared" si="29"/>
        <v>3.0666015490533693</v>
      </c>
      <c r="E95" s="103">
        <f t="shared" si="30"/>
        <v>1.2386276965979517</v>
      </c>
      <c r="F95" s="101">
        <f t="shared" si="31"/>
        <v>235.85077934378674</v>
      </c>
      <c r="G95" s="104">
        <f t="shared" si="32"/>
        <v>1.5665563450614062</v>
      </c>
      <c r="H95" s="113">
        <f t="shared" si="33"/>
        <v>28.407888569979164</v>
      </c>
      <c r="I95" s="114">
        <f t="shared" si="34"/>
        <v>1.5355875629710876</v>
      </c>
      <c r="J95" s="101">
        <f t="shared" si="35"/>
        <v>3.059635100634305</v>
      </c>
      <c r="K95" s="104">
        <f t="shared" si="36"/>
        <v>1.2378421779618576</v>
      </c>
      <c r="L95" s="102">
        <f t="shared" si="37"/>
        <v>1.0079209392278716</v>
      </c>
      <c r="M95" s="103">
        <f t="shared" si="38"/>
        <v>0.12545123204030748</v>
      </c>
      <c r="N95" s="101">
        <f t="shared" si="39"/>
        <v>1.0002035584145812</v>
      </c>
      <c r="O95" s="104">
        <f t="shared" si="40"/>
        <v>2.0175425177899848E-2</v>
      </c>
      <c r="P95" s="105">
        <f t="shared" ca="1" si="41"/>
        <v>1.0046769544866629</v>
      </c>
      <c r="Q95" s="106">
        <f t="shared" ca="1" si="42"/>
        <v>9.9597893046379338E-2</v>
      </c>
      <c r="R95" s="107">
        <f t="shared" ca="1" si="43"/>
        <v>24.773851421330889</v>
      </c>
      <c r="S95" s="108">
        <f t="shared" ca="1" si="44"/>
        <v>-89.390346830058689</v>
      </c>
      <c r="T95" s="116">
        <f t="shared" ca="1" si="45"/>
        <v>90.609653169941311</v>
      </c>
      <c r="V95" s="72">
        <f t="shared" ca="1" si="46"/>
        <v>1000000000</v>
      </c>
      <c r="W95" s="72">
        <f t="shared" si="47"/>
        <v>3019948.84</v>
      </c>
      <c r="Y95" s="110">
        <f t="shared" si="48"/>
        <v>36.051801210268827</v>
      </c>
      <c r="Z95" s="111">
        <f t="shared" si="49"/>
        <v>-66.665653669058074</v>
      </c>
      <c r="AA95" s="72">
        <f t="shared" si="50"/>
        <v>113.33434633094193</v>
      </c>
      <c r="AB95" s="110">
        <f t="shared" ca="1" si="51"/>
        <v>4.6396505579435665</v>
      </c>
      <c r="AC95" s="111">
        <f t="shared" ca="1" si="52"/>
        <v>-22.724693161000612</v>
      </c>
      <c r="AD95" s="72">
        <f t="shared" ca="1" si="53"/>
        <v>157.2753068389994</v>
      </c>
    </row>
    <row r="96" spans="1:30">
      <c r="A96" s="118">
        <v>1905.5</v>
      </c>
      <c r="B96" s="101">
        <f t="shared" ca="1" si="27"/>
        <v>31.201820762845433</v>
      </c>
      <c r="C96" s="102">
        <f t="shared" ca="1" si="28"/>
        <v>1.5387414258674039</v>
      </c>
      <c r="D96" s="102">
        <f t="shared" si="29"/>
        <v>3.332313118304298</v>
      </c>
      <c r="E96" s="103">
        <f t="shared" si="30"/>
        <v>1.2660073890179637</v>
      </c>
      <c r="F96" s="101">
        <f t="shared" si="31"/>
        <v>258.61030054386816</v>
      </c>
      <c r="G96" s="104">
        <f t="shared" si="32"/>
        <v>1.566929495156846</v>
      </c>
      <c r="H96" s="113">
        <f t="shared" si="33"/>
        <v>31.146039737354489</v>
      </c>
      <c r="I96" s="114">
        <f t="shared" si="34"/>
        <v>1.5386839973924069</v>
      </c>
      <c r="J96" s="101">
        <f t="shared" si="35"/>
        <v>3.3246049657275032</v>
      </c>
      <c r="K96" s="104">
        <f t="shared" si="36"/>
        <v>1.2652779201191859</v>
      </c>
      <c r="L96" s="102">
        <f t="shared" si="37"/>
        <v>1.0095159064127568</v>
      </c>
      <c r="M96" s="103">
        <f t="shared" si="38"/>
        <v>0.13741218097340355</v>
      </c>
      <c r="N96" s="101">
        <f t="shared" si="39"/>
        <v>1.0002447363279097</v>
      </c>
      <c r="O96" s="104">
        <f t="shared" si="40"/>
        <v>2.2121773215825761E-2</v>
      </c>
      <c r="P96" s="105">
        <f t="shared" ca="1" si="41"/>
        <v>1.0056205387734773</v>
      </c>
      <c r="Q96" s="106">
        <f t="shared" ca="1" si="42"/>
        <v>0.10914301356059022</v>
      </c>
      <c r="R96" s="107">
        <f t="shared" ca="1" si="43"/>
        <v>23.979261367965531</v>
      </c>
      <c r="S96" s="108">
        <f t="shared" ca="1" si="44"/>
        <v>-89.387722146757014</v>
      </c>
      <c r="T96" s="116">
        <f t="shared" ca="1" si="45"/>
        <v>90.612277853242986</v>
      </c>
      <c r="V96" s="72">
        <f t="shared" ca="1" si="46"/>
        <v>1000000000</v>
      </c>
      <c r="W96" s="72">
        <f t="shared" si="47"/>
        <v>3630930.25</v>
      </c>
      <c r="Y96" s="110">
        <f t="shared" si="48"/>
        <v>35.342876788852493</v>
      </c>
      <c r="Z96" s="111">
        <f t="shared" si="49"/>
        <v>-67.507778840356167</v>
      </c>
      <c r="AA96" s="72">
        <f t="shared" si="50"/>
        <v>112.49222115964383</v>
      </c>
      <c r="AB96" s="110">
        <f t="shared" ca="1" si="51"/>
        <v>4.5539849259945449</v>
      </c>
      <c r="AC96" s="111">
        <f t="shared" ca="1" si="52"/>
        <v>-21.879943306400804</v>
      </c>
      <c r="AD96" s="72">
        <f t="shared" ca="1" si="53"/>
        <v>158.1200566935992</v>
      </c>
    </row>
    <row r="97" spans="1:30">
      <c r="A97" s="118">
        <v>2089.3000000000002</v>
      </c>
      <c r="B97" s="101">
        <f t="shared" ca="1" si="27"/>
        <v>34.2085186577511</v>
      </c>
      <c r="C97" s="102">
        <f t="shared" ca="1" si="28"/>
        <v>1.5415596770636062</v>
      </c>
      <c r="D97" s="102">
        <f t="shared" si="29"/>
        <v>3.6259616026556798</v>
      </c>
      <c r="E97" s="103">
        <f t="shared" si="30"/>
        <v>1.2913859806344257</v>
      </c>
      <c r="F97" s="101">
        <f t="shared" si="31"/>
        <v>283.55487875403963</v>
      </c>
      <c r="G97" s="104">
        <f t="shared" si="32"/>
        <v>1.5672696652989375</v>
      </c>
      <c r="H97" s="113">
        <f t="shared" si="33"/>
        <v>34.147351833431955</v>
      </c>
      <c r="I97" s="114">
        <f t="shared" si="34"/>
        <v>1.5415072916220955</v>
      </c>
      <c r="J97" s="101">
        <f t="shared" si="35"/>
        <v>3.6174450399050206</v>
      </c>
      <c r="K97" s="104">
        <f t="shared" si="36"/>
        <v>1.2907104277764749</v>
      </c>
      <c r="L97" s="102">
        <f t="shared" si="37"/>
        <v>1.0114293237670928</v>
      </c>
      <c r="M97" s="103">
        <f t="shared" si="38"/>
        <v>0.15047602556257278</v>
      </c>
      <c r="N97" s="101">
        <f t="shared" si="39"/>
        <v>1.0002942194627462</v>
      </c>
      <c r="O97" s="104">
        <f t="shared" si="40"/>
        <v>2.4254786879129912E-2</v>
      </c>
      <c r="P97" s="105">
        <f t="shared" ca="1" si="41"/>
        <v>1.0067533219678284</v>
      </c>
      <c r="Q97" s="106">
        <f t="shared" ca="1" si="42"/>
        <v>0.11958366513740941</v>
      </c>
      <c r="R97" s="107">
        <f t="shared" ca="1" si="43"/>
        <v>23.185981758622045</v>
      </c>
      <c r="S97" s="108">
        <f t="shared" ca="1" si="44"/>
        <v>-89.381927469356526</v>
      </c>
      <c r="T97" s="116">
        <f t="shared" ca="1" si="45"/>
        <v>90.618072530643474</v>
      </c>
      <c r="V97" s="72">
        <f t="shared" ca="1" si="46"/>
        <v>1000000000</v>
      </c>
      <c r="W97" s="72">
        <f t="shared" si="47"/>
        <v>4365174.4900000012</v>
      </c>
      <c r="Y97" s="110">
        <f t="shared" si="48"/>
        <v>34.624914559459093</v>
      </c>
      <c r="Z97" s="111">
        <f t="shared" si="49"/>
        <v>-68.196391183490107</v>
      </c>
      <c r="AA97" s="72">
        <f t="shared" si="50"/>
        <v>111.80360881650989</v>
      </c>
      <c r="AB97" s="110">
        <f t="shared" ca="1" si="51"/>
        <v>4.4786675460444583</v>
      </c>
      <c r="AC97" s="111">
        <f t="shared" ca="1" si="52"/>
        <v>-21.185536285866398</v>
      </c>
      <c r="AD97" s="72">
        <f t="shared" ca="1" si="53"/>
        <v>158.81446371413361</v>
      </c>
    </row>
    <row r="98" spans="1:30">
      <c r="A98" s="118">
        <v>2290.9</v>
      </c>
      <c r="B98" s="101">
        <f t="shared" ca="1" si="27"/>
        <v>37.506658319268752</v>
      </c>
      <c r="C98" s="102">
        <f t="shared" ca="1" si="28"/>
        <v>1.5441312342706763</v>
      </c>
      <c r="D98" s="102">
        <f t="shared" si="29"/>
        <v>3.9503142709469969</v>
      </c>
      <c r="E98" s="103">
        <f t="shared" si="30"/>
        <v>1.3148671641356715</v>
      </c>
      <c r="F98" s="101">
        <f t="shared" si="31"/>
        <v>310.91523096096654</v>
      </c>
      <c r="G98" s="104">
        <f t="shared" si="32"/>
        <v>1.567580010498566</v>
      </c>
      <c r="H98" s="113">
        <f t="shared" si="33"/>
        <v>37.439584576472605</v>
      </c>
      <c r="I98" s="114">
        <f t="shared" si="34"/>
        <v>1.5440834518837647</v>
      </c>
      <c r="J98" s="101">
        <f t="shared" si="35"/>
        <v>3.9409154540896467</v>
      </c>
      <c r="K98" s="104">
        <f t="shared" si="36"/>
        <v>1.3142430542876158</v>
      </c>
      <c r="L98" s="102">
        <f t="shared" si="37"/>
        <v>1.0137257362098984</v>
      </c>
      <c r="M98" s="103">
        <f t="shared" si="38"/>
        <v>0.16474560276352396</v>
      </c>
      <c r="N98" s="101">
        <f t="shared" si="39"/>
        <v>1.0003537277519938</v>
      </c>
      <c r="O98" s="104">
        <f t="shared" si="40"/>
        <v>2.6594116417814648E-2</v>
      </c>
      <c r="P98" s="105">
        <f t="shared" ca="1" si="41"/>
        <v>1.0081139994394068</v>
      </c>
      <c r="Q98" s="106">
        <f t="shared" ca="1" si="42"/>
        <v>0.13100807102386314</v>
      </c>
      <c r="R98" s="107">
        <f t="shared" ca="1" si="43"/>
        <v>22.393597890371261</v>
      </c>
      <c r="S98" s="108">
        <f t="shared" ca="1" si="44"/>
        <v>-89.373410072373161</v>
      </c>
      <c r="T98" s="116">
        <f t="shared" ca="1" si="45"/>
        <v>90.626589927626839</v>
      </c>
      <c r="V98" s="72">
        <f t="shared" ca="1" si="46"/>
        <v>1000000000</v>
      </c>
      <c r="W98" s="72">
        <f t="shared" si="47"/>
        <v>5248222.8100000005</v>
      </c>
      <c r="Y98" s="110">
        <f t="shared" si="48"/>
        <v>33.899575319597901</v>
      </c>
      <c r="Z98" s="111">
        <f t="shared" si="49"/>
        <v>-68.731336884241614</v>
      </c>
      <c r="AA98" s="72">
        <f t="shared" si="50"/>
        <v>111.26866311575839</v>
      </c>
      <c r="AB98" s="110">
        <f t="shared" ca="1" si="51"/>
        <v>4.411622917654868</v>
      </c>
      <c r="AC98" s="111">
        <f t="shared" ca="1" si="52"/>
        <v>-20.642073188131583</v>
      </c>
      <c r="AD98" s="72">
        <f t="shared" ca="1" si="53"/>
        <v>159.35792681186842</v>
      </c>
    </row>
    <row r="99" spans="1:30">
      <c r="A99" s="118">
        <v>2511.9</v>
      </c>
      <c r="B99" s="101">
        <f t="shared" ca="1" si="27"/>
        <v>41.122415549305593</v>
      </c>
      <c r="C99" s="102">
        <f t="shared" ca="1" si="28"/>
        <v>1.5464762918262869</v>
      </c>
      <c r="D99" s="102">
        <f t="shared" si="29"/>
        <v>4.3079862196878382</v>
      </c>
      <c r="E99" s="103">
        <f t="shared" si="30"/>
        <v>1.3365324632631674</v>
      </c>
      <c r="F99" s="101">
        <f t="shared" si="31"/>
        <v>340.90850282186375</v>
      </c>
      <c r="G99" s="104">
        <f t="shared" si="32"/>
        <v>1.5678629841947354</v>
      </c>
      <c r="H99" s="113">
        <f t="shared" si="33"/>
        <v>41.048866888424726</v>
      </c>
      <c r="I99" s="114">
        <f t="shared" si="34"/>
        <v>1.5464327081704079</v>
      </c>
      <c r="J99" s="101">
        <f t="shared" si="35"/>
        <v>4.2976245772719892</v>
      </c>
      <c r="K99" s="104">
        <f t="shared" si="36"/>
        <v>1.3359570455449368</v>
      </c>
      <c r="L99" s="102">
        <f t="shared" si="37"/>
        <v>1.0164791444787609</v>
      </c>
      <c r="M99" s="103">
        <f t="shared" si="38"/>
        <v>0.1803107315133313</v>
      </c>
      <c r="N99" s="101">
        <f t="shared" si="39"/>
        <v>1.0004252516753578</v>
      </c>
      <c r="O99" s="104">
        <f t="shared" si="40"/>
        <v>2.9158224598467303E-2</v>
      </c>
      <c r="P99" s="105">
        <f t="shared" ca="1" si="41"/>
        <v>1.0097471093130406</v>
      </c>
      <c r="Q99" s="106">
        <f t="shared" ca="1" si="42"/>
        <v>0.14349597892580809</v>
      </c>
      <c r="R99" s="107">
        <f t="shared" ca="1" si="43"/>
        <v>21.602784868365976</v>
      </c>
      <c r="S99" s="108">
        <f t="shared" ca="1" si="44"/>
        <v>-89.362773364585962</v>
      </c>
      <c r="T99" s="116">
        <f t="shared" ca="1" si="45"/>
        <v>90.637226635414038</v>
      </c>
      <c r="V99" s="72">
        <f t="shared" ca="1" si="46"/>
        <v>1000000000</v>
      </c>
      <c r="W99" s="72">
        <f t="shared" si="47"/>
        <v>6309641.6100000003</v>
      </c>
      <c r="Y99" s="110">
        <f t="shared" si="48"/>
        <v>33.169373505343508</v>
      </c>
      <c r="Z99" s="111">
        <f t="shared" si="49"/>
        <v>-69.112164060414386</v>
      </c>
      <c r="AA99" s="72">
        <f t="shared" si="50"/>
        <v>110.88783593958561</v>
      </c>
      <c r="AB99" s="110">
        <f t="shared" ca="1" si="51"/>
        <v>4.3510117099039736</v>
      </c>
      <c r="AC99" s="111">
        <f t="shared" ca="1" si="52"/>
        <v>-20.250609304171547</v>
      </c>
      <c r="AD99" s="72">
        <f t="shared" ca="1" si="53"/>
        <v>159.74939069582845</v>
      </c>
    </row>
    <row r="100" spans="1:30">
      <c r="A100" s="118">
        <v>2754.2</v>
      </c>
      <c r="B100" s="101">
        <f t="shared" ca="1" si="27"/>
        <v>45.086875983503333</v>
      </c>
      <c r="C100" s="102">
        <f t="shared" ca="1" si="28"/>
        <v>1.5486151047875278</v>
      </c>
      <c r="D100" s="102">
        <f t="shared" si="29"/>
        <v>4.7020832506459831</v>
      </c>
      <c r="E100" s="103">
        <f t="shared" si="30"/>
        <v>1.3564879356329178</v>
      </c>
      <c r="F100" s="101">
        <f t="shared" si="31"/>
        <v>373.79255503314829</v>
      </c>
      <c r="G100" s="104">
        <f t="shared" si="32"/>
        <v>1.5681210429258277</v>
      </c>
      <c r="H100" s="113">
        <f t="shared" si="33"/>
        <v>45.006228738246456</v>
      </c>
      <c r="I100" s="114">
        <f t="shared" si="34"/>
        <v>1.5485753514306098</v>
      </c>
      <c r="J100" s="101">
        <f t="shared" si="35"/>
        <v>4.6906701502741663</v>
      </c>
      <c r="K100" s="104">
        <f t="shared" si="36"/>
        <v>1.3559583283769192</v>
      </c>
      <c r="L100" s="102">
        <f t="shared" si="37"/>
        <v>1.0197792917694197</v>
      </c>
      <c r="M100" s="103">
        <f t="shared" si="38"/>
        <v>0.19727485540792578</v>
      </c>
      <c r="N100" s="101">
        <f t="shared" si="39"/>
        <v>1.0005112268137708</v>
      </c>
      <c r="O100" s="104">
        <f t="shared" si="40"/>
        <v>3.1969019837789159E-2</v>
      </c>
      <c r="P100" s="105">
        <f t="shared" ca="1" si="41"/>
        <v>1.0117068645203111</v>
      </c>
      <c r="Q100" s="106">
        <f t="shared" ca="1" si="42"/>
        <v>0.15714050557854564</v>
      </c>
      <c r="R100" s="107">
        <f t="shared" ca="1" si="43"/>
        <v>20.813685164323662</v>
      </c>
      <c r="S100" s="108">
        <f t="shared" ca="1" si="44"/>
        <v>-89.350812119556011</v>
      </c>
      <c r="T100" s="116">
        <f t="shared" ca="1" si="45"/>
        <v>90.649187880443989</v>
      </c>
      <c r="V100" s="72">
        <f t="shared" ca="1" si="46"/>
        <v>1000000000</v>
      </c>
      <c r="W100" s="72">
        <f t="shared" si="47"/>
        <v>7585617.6399999987</v>
      </c>
      <c r="Y100" s="110">
        <f t="shared" si="48"/>
        <v>32.43622573594498</v>
      </c>
      <c r="Z100" s="111">
        <f t="shared" si="49"/>
        <v>-69.339248414131617</v>
      </c>
      <c r="AA100" s="72">
        <f t="shared" si="50"/>
        <v>110.66075158586838</v>
      </c>
      <c r="AB100" s="110">
        <f t="shared" ca="1" si="51"/>
        <v>4.2950597752601842</v>
      </c>
      <c r="AC100" s="111">
        <f t="shared" ca="1" si="52"/>
        <v>-20.011563705424393</v>
      </c>
      <c r="AD100" s="72">
        <f t="shared" ca="1" si="53"/>
        <v>159.98843629457559</v>
      </c>
    </row>
    <row r="101" spans="1:30">
      <c r="A101" s="118">
        <v>3020</v>
      </c>
      <c r="B101" s="101">
        <f t="shared" ca="1" si="27"/>
        <v>49.436035690863029</v>
      </c>
      <c r="C101" s="102">
        <f t="shared" ca="1" si="28"/>
        <v>1.5505667878565832</v>
      </c>
      <c r="D101" s="102">
        <f t="shared" si="29"/>
        <v>5.1362093066201711</v>
      </c>
      <c r="E101" s="103">
        <f t="shared" si="30"/>
        <v>1.374848699447299</v>
      </c>
      <c r="F101" s="101">
        <f t="shared" si="31"/>
        <v>409.8659634024221</v>
      </c>
      <c r="G101" s="104">
        <f t="shared" si="32"/>
        <v>1.5683565023610178</v>
      </c>
      <c r="H101" s="113">
        <f t="shared" si="33"/>
        <v>49.347601742615467</v>
      </c>
      <c r="I101" s="114">
        <f t="shared" si="34"/>
        <v>1.5505305303147781</v>
      </c>
      <c r="J101" s="101">
        <f t="shared" si="35"/>
        <v>5.123646744347325</v>
      </c>
      <c r="K101" s="104">
        <f t="shared" si="36"/>
        <v>1.3743619911969389</v>
      </c>
      <c r="L101" s="102">
        <f t="shared" si="37"/>
        <v>1.0237347143136226</v>
      </c>
      <c r="M101" s="103">
        <f t="shared" si="38"/>
        <v>0.2157525558986382</v>
      </c>
      <c r="N101" s="101">
        <f t="shared" si="39"/>
        <v>1.00061463051039</v>
      </c>
      <c r="O101" s="104">
        <f t="shared" si="40"/>
        <v>3.5051843504364993E-2</v>
      </c>
      <c r="P101" s="105">
        <f t="shared" ca="1" si="41"/>
        <v>1.0140591207351008</v>
      </c>
      <c r="Q101" s="106">
        <f t="shared" ca="1" si="42"/>
        <v>0.17204690371108133</v>
      </c>
      <c r="R101" s="107">
        <f t="shared" ca="1" si="43"/>
        <v>20.026177620882201</v>
      </c>
      <c r="S101" s="108">
        <f t="shared" ca="1" si="44"/>
        <v>-89.338572820530572</v>
      </c>
      <c r="T101" s="116">
        <f t="shared" ca="1" si="45"/>
        <v>90.661427179469428</v>
      </c>
      <c r="V101" s="72">
        <f t="shared" ca="1" si="46"/>
        <v>1000000000</v>
      </c>
      <c r="W101" s="72">
        <f t="shared" si="47"/>
        <v>9120400</v>
      </c>
      <c r="Y101" s="110">
        <f t="shared" si="48"/>
        <v>31.70171163211328</v>
      </c>
      <c r="Z101" s="111">
        <f t="shared" si="49"/>
        <v>-69.413106486865175</v>
      </c>
      <c r="AA101" s="72">
        <f t="shared" si="50"/>
        <v>110.58689351313483</v>
      </c>
      <c r="AB101" s="110">
        <f t="shared" ca="1" si="51"/>
        <v>4.2420663356504287</v>
      </c>
      <c r="AC101" s="111">
        <f t="shared" ca="1" si="52"/>
        <v>-19.92546633366543</v>
      </c>
      <c r="AD101" s="72">
        <f t="shared" ca="1" si="53"/>
        <v>160.07453366633456</v>
      </c>
    </row>
    <row r="102" spans="1:30">
      <c r="A102" s="118">
        <v>3311.3</v>
      </c>
      <c r="B102" s="101">
        <f t="shared" ca="1" si="27"/>
        <v>54.202619737688352</v>
      </c>
      <c r="C102" s="102">
        <f t="shared" ca="1" si="28"/>
        <v>1.5523459872553822</v>
      </c>
      <c r="D102" s="102">
        <f t="shared" si="29"/>
        <v>5.613649948628666</v>
      </c>
      <c r="E102" s="103">
        <f t="shared" si="30"/>
        <v>1.3917032586545734</v>
      </c>
      <c r="F102" s="101">
        <f t="shared" si="31"/>
        <v>449.40016064757413</v>
      </c>
      <c r="G102" s="104">
        <f t="shared" si="32"/>
        <v>1.5685711366129333</v>
      </c>
      <c r="H102" s="113">
        <f t="shared" si="33"/>
        <v>54.105652377245704</v>
      </c>
      <c r="I102" s="114">
        <f t="shared" si="34"/>
        <v>1.5523129170634578</v>
      </c>
      <c r="J102" s="101">
        <f t="shared" si="35"/>
        <v>5.5998314072888951</v>
      </c>
      <c r="K102" s="104">
        <f t="shared" si="36"/>
        <v>1.3912565113874511</v>
      </c>
      <c r="L102" s="102">
        <f t="shared" si="37"/>
        <v>1.0284677184407141</v>
      </c>
      <c r="M102" s="103">
        <f t="shared" si="38"/>
        <v>0.23583208048199975</v>
      </c>
      <c r="N102" s="101">
        <f t="shared" si="39"/>
        <v>1.0007388738854861</v>
      </c>
      <c r="O102" s="104">
        <f t="shared" si="40"/>
        <v>3.842965590873762E-2</v>
      </c>
      <c r="P102" s="105">
        <f t="shared" ca="1" si="41"/>
        <v>1.0168785980103532</v>
      </c>
      <c r="Q102" s="106">
        <f t="shared" ca="1" si="42"/>
        <v>0.18830313463052251</v>
      </c>
      <c r="R102" s="107">
        <f t="shared" ca="1" si="43"/>
        <v>19.241355629158839</v>
      </c>
      <c r="S102" s="108">
        <f t="shared" ca="1" si="44"/>
        <v>-89.327453235256087</v>
      </c>
      <c r="T102" s="116">
        <f t="shared" ca="1" si="45"/>
        <v>90.672546764743913</v>
      </c>
      <c r="V102" s="72">
        <f t="shared" ca="1" si="46"/>
        <v>1000000000</v>
      </c>
      <c r="W102" s="72">
        <f t="shared" si="47"/>
        <v>10964707.690000001</v>
      </c>
      <c r="Y102" s="110">
        <f t="shared" si="48"/>
        <v>30.96848678912626</v>
      </c>
      <c r="Z102" s="111">
        <f t="shared" si="49"/>
        <v>-69.334327970706084</v>
      </c>
      <c r="AA102" s="72">
        <f t="shared" si="50"/>
        <v>110.66567202929392</v>
      </c>
      <c r="AB102" s="110">
        <f t="shared" ca="1" si="51"/>
        <v>4.190469186914088</v>
      </c>
      <c r="AC102" s="111">
        <f t="shared" ca="1" si="52"/>
        <v>-19.993125264550017</v>
      </c>
      <c r="AD102" s="72">
        <f t="shared" ca="1" si="53"/>
        <v>160.00687473544997</v>
      </c>
    </row>
    <row r="103" spans="1:30">
      <c r="A103" s="118">
        <v>3630.8</v>
      </c>
      <c r="B103" s="101">
        <f t="shared" ca="1" si="27"/>
        <v>59.430808584421442</v>
      </c>
      <c r="C103" s="102">
        <f t="shared" ca="1" si="28"/>
        <v>1.553969243045402</v>
      </c>
      <c r="D103" s="102">
        <f t="shared" si="29"/>
        <v>6.1388447868625873</v>
      </c>
      <c r="E103" s="103">
        <f t="shared" si="30"/>
        <v>1.407170062962448</v>
      </c>
      <c r="F103" s="101">
        <f t="shared" si="31"/>
        <v>492.76158113492392</v>
      </c>
      <c r="G103" s="104">
        <f t="shared" si="32"/>
        <v>1.5687669464115992</v>
      </c>
      <c r="H103" s="113">
        <f t="shared" si="33"/>
        <v>59.324482008137764</v>
      </c>
      <c r="I103" s="114">
        <f t="shared" si="34"/>
        <v>1.5539390812052174</v>
      </c>
      <c r="J103" s="101">
        <f t="shared" si="35"/>
        <v>6.1236522132751201</v>
      </c>
      <c r="K103" s="104">
        <f t="shared" si="36"/>
        <v>1.4067604357413093</v>
      </c>
      <c r="L103" s="102">
        <f t="shared" si="37"/>
        <v>1.0341310329614184</v>
      </c>
      <c r="M103" s="103">
        <f t="shared" si="38"/>
        <v>0.25763430891363059</v>
      </c>
      <c r="N103" s="101">
        <f t="shared" si="39"/>
        <v>1.0008882710019869</v>
      </c>
      <c r="O103" s="104">
        <f t="shared" si="40"/>
        <v>4.2133454139266585E-2</v>
      </c>
      <c r="P103" s="105">
        <f t="shared" ca="1" si="41"/>
        <v>1.0202590817808408</v>
      </c>
      <c r="Q103" s="106">
        <f t="shared" ca="1" si="42"/>
        <v>0.20602846746236636</v>
      </c>
      <c r="R103" s="107">
        <f t="shared" ca="1" si="43"/>
        <v>18.458971884511964</v>
      </c>
      <c r="S103" s="108">
        <f t="shared" ca="1" si="44"/>
        <v>-89.319255591381776</v>
      </c>
      <c r="T103" s="116">
        <f t="shared" ca="1" si="45"/>
        <v>90.680744408618224</v>
      </c>
      <c r="V103" s="72">
        <f t="shared" ca="1" si="46"/>
        <v>1000000000</v>
      </c>
      <c r="W103" s="72">
        <f t="shared" si="47"/>
        <v>13182708.640000001</v>
      </c>
      <c r="Y103" s="110">
        <f t="shared" si="48"/>
        <v>30.237931020405362</v>
      </c>
      <c r="Z103" s="111">
        <f t="shared" si="49"/>
        <v>-69.103720468405982</v>
      </c>
      <c r="AA103" s="72">
        <f t="shared" si="50"/>
        <v>110.89627953159402</v>
      </c>
      <c r="AB103" s="110">
        <f t="shared" ca="1" si="51"/>
        <v>4.1386412109881032</v>
      </c>
      <c r="AC103" s="111">
        <f t="shared" ca="1" si="52"/>
        <v>-20.215535122975819</v>
      </c>
      <c r="AD103" s="72">
        <f t="shared" ca="1" si="53"/>
        <v>159.78446487702419</v>
      </c>
    </row>
    <row r="104" spans="1:30">
      <c r="A104" s="118">
        <v>3981.1</v>
      </c>
      <c r="B104" s="101">
        <f t="shared" ca="1" si="27"/>
        <v>65.163147807313706</v>
      </c>
      <c r="C104" s="102">
        <f t="shared" ca="1" si="28"/>
        <v>1.5554496271915079</v>
      </c>
      <c r="D104" s="102">
        <f t="shared" si="29"/>
        <v>6.7160795440566794</v>
      </c>
      <c r="E104" s="103">
        <f t="shared" si="30"/>
        <v>1.4213441987394819</v>
      </c>
      <c r="F104" s="101">
        <f t="shared" si="31"/>
        <v>540.30308776044012</v>
      </c>
      <c r="G104" s="104">
        <f t="shared" si="32"/>
        <v>1.5689455126989342</v>
      </c>
      <c r="H104" s="113">
        <f t="shared" si="33"/>
        <v>65.046560049072298</v>
      </c>
      <c r="I104" s="114">
        <f t="shared" si="34"/>
        <v>1.5554221180017707</v>
      </c>
      <c r="J104" s="101">
        <f t="shared" si="35"/>
        <v>6.6993837874112945</v>
      </c>
      <c r="K104" s="104">
        <f t="shared" si="36"/>
        <v>1.4209689354783375</v>
      </c>
      <c r="L104" s="102">
        <f t="shared" si="37"/>
        <v>1.0408986007147676</v>
      </c>
      <c r="M104" s="103">
        <f t="shared" si="38"/>
        <v>0.28125313851590589</v>
      </c>
      <c r="N104" s="101">
        <f t="shared" si="39"/>
        <v>1.0010678445352399</v>
      </c>
      <c r="O104" s="104">
        <f t="shared" si="40"/>
        <v>4.6192968231764671E-2</v>
      </c>
      <c r="P104" s="105">
        <f t="shared" ca="1" si="41"/>
        <v>1.0243083459927793</v>
      </c>
      <c r="Q104" s="106">
        <f t="shared" ca="1" si="42"/>
        <v>0.22532644340136831</v>
      </c>
      <c r="R104" s="107">
        <f t="shared" ca="1" si="43"/>
        <v>17.67974971268653</v>
      </c>
      <c r="S104" s="108">
        <f t="shared" ca="1" si="44"/>
        <v>-89.316329955780773</v>
      </c>
      <c r="T104" s="116">
        <f t="shared" ca="1" si="45"/>
        <v>90.683670044219227</v>
      </c>
      <c r="V104" s="72">
        <f t="shared" ca="1" si="46"/>
        <v>1000000000</v>
      </c>
      <c r="W104" s="72">
        <f t="shared" si="47"/>
        <v>15849157.209999999</v>
      </c>
      <c r="Y104" s="110">
        <f t="shared" si="48"/>
        <v>29.512338449945279</v>
      </c>
      <c r="Z104" s="111">
        <f t="shared" si="49"/>
        <v>-68.722400652562257</v>
      </c>
      <c r="AA104" s="72">
        <f t="shared" si="50"/>
        <v>111.27759934743774</v>
      </c>
      <c r="AB104" s="110">
        <f t="shared" ca="1" si="51"/>
        <v>4.0850116096227529</v>
      </c>
      <c r="AC104" s="111">
        <f t="shared" ca="1" si="52"/>
        <v>-20.593929303218541</v>
      </c>
      <c r="AD104" s="72">
        <f t="shared" ca="1" si="53"/>
        <v>159.40607069678146</v>
      </c>
    </row>
    <row r="105" spans="1:30">
      <c r="A105" s="118">
        <v>4365.2</v>
      </c>
      <c r="B105" s="101">
        <f t="shared" ca="1" si="27"/>
        <v>71.448729659272189</v>
      </c>
      <c r="C105" s="102">
        <f t="shared" ca="1" si="28"/>
        <v>1.5567998197067554</v>
      </c>
      <c r="D105" s="102">
        <f t="shared" si="29"/>
        <v>7.3503062987743677</v>
      </c>
      <c r="E105" s="103">
        <f t="shared" si="30"/>
        <v>1.434324346233846</v>
      </c>
      <c r="F105" s="101">
        <f t="shared" si="31"/>
        <v>592.43183016525734</v>
      </c>
      <c r="G105" s="104">
        <f t="shared" si="32"/>
        <v>1.5691083680729814</v>
      </c>
      <c r="H105" s="113">
        <f t="shared" si="33"/>
        <v>71.320890875319691</v>
      </c>
      <c r="I105" s="114">
        <f t="shared" si="34"/>
        <v>1.5567747300929031</v>
      </c>
      <c r="J105" s="101">
        <f t="shared" si="35"/>
        <v>7.331965398656445</v>
      </c>
      <c r="K105" s="104">
        <f t="shared" si="36"/>
        <v>1.4339808183834544</v>
      </c>
      <c r="L105" s="102">
        <f t="shared" si="37"/>
        <v>1.048977301143994</v>
      </c>
      <c r="M105" s="103">
        <f t="shared" si="38"/>
        <v>0.30678478535684778</v>
      </c>
      <c r="N105" s="101">
        <f t="shared" si="39"/>
        <v>1.0012836993004892</v>
      </c>
      <c r="O105" s="104">
        <f t="shared" si="40"/>
        <v>5.0642424241089438E-2</v>
      </c>
      <c r="P105" s="105">
        <f t="shared" ca="1" si="41"/>
        <v>1.0291556890003368</v>
      </c>
      <c r="Q105" s="106">
        <f t="shared" ca="1" si="42"/>
        <v>0.24630989893144592</v>
      </c>
      <c r="R105" s="107">
        <f t="shared" ca="1" si="43"/>
        <v>16.904084816505819</v>
      </c>
      <c r="S105" s="108">
        <f t="shared" ca="1" si="44"/>
        <v>-89.321683438934443</v>
      </c>
      <c r="T105" s="116">
        <f t="shared" ca="1" si="45"/>
        <v>90.678316561065557</v>
      </c>
      <c r="V105" s="72">
        <f t="shared" ca="1" si="46"/>
        <v>1000000000</v>
      </c>
      <c r="W105" s="72">
        <f t="shared" si="47"/>
        <v>19054971.039999999</v>
      </c>
      <c r="Y105" s="110">
        <f t="shared" si="48"/>
        <v>28.793737911908512</v>
      </c>
      <c r="Z105" s="111">
        <f t="shared" si="49"/>
        <v>-68.191838029860207</v>
      </c>
      <c r="AA105" s="72">
        <f t="shared" si="50"/>
        <v>111.80816197013979</v>
      </c>
      <c r="AB105" s="110">
        <f t="shared" ca="1" si="51"/>
        <v>4.0279472514788104</v>
      </c>
      <c r="AC105" s="111">
        <f t="shared" ca="1" si="52"/>
        <v>-21.12984540907426</v>
      </c>
      <c r="AD105" s="72">
        <f t="shared" ca="1" si="53"/>
        <v>158.87015459092575</v>
      </c>
    </row>
    <row r="106" spans="1:30">
      <c r="A106" s="118">
        <v>4786.3</v>
      </c>
      <c r="B106" s="101">
        <f t="shared" ca="1" si="27"/>
        <v>78.339920336147784</v>
      </c>
      <c r="C106" s="102">
        <f t="shared" ca="1" si="28"/>
        <v>1.5580310960575585</v>
      </c>
      <c r="D106" s="102">
        <f t="shared" si="29"/>
        <v>8.0468153599407248</v>
      </c>
      <c r="E106" s="103">
        <f t="shared" si="30"/>
        <v>1.4462014451104053</v>
      </c>
      <c r="F106" s="101">
        <f t="shared" si="31"/>
        <v>649.582101436122</v>
      </c>
      <c r="G106" s="104">
        <f t="shared" si="32"/>
        <v>1.5692568749030193</v>
      </c>
      <c r="H106" s="113">
        <f t="shared" si="33"/>
        <v>78.199746948591425</v>
      </c>
      <c r="I106" s="114">
        <f t="shared" si="34"/>
        <v>1.5580082130794795</v>
      </c>
      <c r="J106" s="101">
        <f t="shared" si="35"/>
        <v>8.0266736989158591</v>
      </c>
      <c r="K106" s="104">
        <f t="shared" si="36"/>
        <v>1.4458871599181231</v>
      </c>
      <c r="L106" s="102">
        <f t="shared" si="37"/>
        <v>1.0586070787718371</v>
      </c>
      <c r="M106" s="103">
        <f t="shared" si="38"/>
        <v>0.3343081195034795</v>
      </c>
      <c r="N106" s="101">
        <f t="shared" si="39"/>
        <v>1.0015431159211177</v>
      </c>
      <c r="O106" s="104">
        <f t="shared" si="40"/>
        <v>5.5518180654982492E-2</v>
      </c>
      <c r="P106" s="105">
        <f t="shared" ca="1" si="41"/>
        <v>1.034952744343588</v>
      </c>
      <c r="Q106" s="106">
        <f t="shared" ca="1" si="42"/>
        <v>0.26908635603887776</v>
      </c>
      <c r="R106" s="107">
        <f t="shared" ca="1" si="43"/>
        <v>16.132574090967459</v>
      </c>
      <c r="S106" s="108">
        <f t="shared" ca="1" si="44"/>
        <v>-89.339125547755359</v>
      </c>
      <c r="T106" s="116">
        <f t="shared" ca="1" si="45"/>
        <v>90.660874452244641</v>
      </c>
      <c r="V106" s="72">
        <f t="shared" ca="1" si="46"/>
        <v>1000000000</v>
      </c>
      <c r="W106" s="72">
        <f t="shared" si="47"/>
        <v>22908667.690000001</v>
      </c>
      <c r="Y106" s="110">
        <f t="shared" si="48"/>
        <v>28.084416313769339</v>
      </c>
      <c r="Z106" s="111">
        <f t="shared" si="49"/>
        <v>-67.514245973541449</v>
      </c>
      <c r="AA106" s="72">
        <f t="shared" si="50"/>
        <v>112.48575402645855</v>
      </c>
      <c r="AB106" s="110">
        <f t="shared" ca="1" si="51"/>
        <v>3.9657581240796214</v>
      </c>
      <c r="AC106" s="111">
        <f t="shared" ca="1" si="52"/>
        <v>-21.824879574213909</v>
      </c>
      <c r="AD106" s="72">
        <f t="shared" ca="1" si="53"/>
        <v>158.17512042578608</v>
      </c>
    </row>
    <row r="107" spans="1:30">
      <c r="A107" s="118">
        <v>5248.1</v>
      </c>
      <c r="B107" s="101">
        <f t="shared" ca="1" si="27"/>
        <v>85.897269374645973</v>
      </c>
      <c r="C107" s="102">
        <f t="shared" ca="1" si="28"/>
        <v>1.5591542501922808</v>
      </c>
      <c r="D107" s="102">
        <f t="shared" si="29"/>
        <v>8.8117317731921467</v>
      </c>
      <c r="E107" s="103">
        <f t="shared" si="30"/>
        <v>1.4570662407292727</v>
      </c>
      <c r="F107" s="101">
        <f t="shared" si="31"/>
        <v>712.25605309037007</v>
      </c>
      <c r="G107" s="104">
        <f t="shared" si="32"/>
        <v>1.5693923368615117</v>
      </c>
      <c r="H107" s="113">
        <f t="shared" si="33"/>
        <v>85.743569427495459</v>
      </c>
      <c r="I107" s="114">
        <f t="shared" si="34"/>
        <v>1.5591333802000975</v>
      </c>
      <c r="J107" s="101">
        <f t="shared" si="35"/>
        <v>8.7896179496112481</v>
      </c>
      <c r="K107" s="104">
        <f t="shared" si="36"/>
        <v>1.4567788620919591</v>
      </c>
      <c r="L107" s="102">
        <f t="shared" si="37"/>
        <v>1.0700716790068812</v>
      </c>
      <c r="M107" s="103">
        <f t="shared" si="38"/>
        <v>0.36389720144912235</v>
      </c>
      <c r="N107" s="101">
        <f t="shared" si="39"/>
        <v>1.001854963053157</v>
      </c>
      <c r="O107" s="104">
        <f t="shared" si="40"/>
        <v>6.0862142224139382E-2</v>
      </c>
      <c r="P107" s="105">
        <f t="shared" ca="1" si="41"/>
        <v>1.041880904631485</v>
      </c>
      <c r="Q107" s="106">
        <f t="shared" ca="1" si="42"/>
        <v>0.29376989997434361</v>
      </c>
      <c r="R107" s="107">
        <f t="shared" ca="1" si="43"/>
        <v>15.365494827454821</v>
      </c>
      <c r="S107" s="108">
        <f t="shared" ca="1" si="44"/>
        <v>-89.373433062314248</v>
      </c>
      <c r="T107" s="116">
        <f t="shared" ca="1" si="45"/>
        <v>90.626566937685752</v>
      </c>
      <c r="V107" s="72">
        <f t="shared" ca="1" si="46"/>
        <v>1000000000</v>
      </c>
      <c r="W107" s="72">
        <f t="shared" si="47"/>
        <v>27542553.610000003</v>
      </c>
      <c r="Y107" s="110">
        <f t="shared" si="48"/>
        <v>27.386468206927415</v>
      </c>
      <c r="Z107" s="111">
        <f t="shared" si="49"/>
        <v>-66.692445538765256</v>
      </c>
      <c r="AA107" s="72">
        <f t="shared" si="50"/>
        <v>113.30755446123474</v>
      </c>
      <c r="AB107" s="110">
        <f t="shared" ca="1" si="51"/>
        <v>3.8966269674089133</v>
      </c>
      <c r="AC107" s="111">
        <f t="shared" ca="1" si="52"/>
        <v>-22.680987523549021</v>
      </c>
      <c r="AD107" s="72">
        <f t="shared" ca="1" si="53"/>
        <v>157.31901247645098</v>
      </c>
    </row>
    <row r="108" spans="1:30">
      <c r="A108" s="118">
        <v>5370.3</v>
      </c>
      <c r="B108" s="101">
        <f t="shared" ca="1" si="27"/>
        <v>87.897086426841398</v>
      </c>
      <c r="C108" s="102">
        <f t="shared" ca="1" si="28"/>
        <v>1.5594191399690875</v>
      </c>
      <c r="D108" s="102">
        <f t="shared" si="29"/>
        <v>9.0142968044787839</v>
      </c>
      <c r="E108" s="103">
        <f t="shared" si="30"/>
        <v>1.4596326324970315</v>
      </c>
      <c r="F108" s="101">
        <f t="shared" si="31"/>
        <v>728.84063037969702</v>
      </c>
      <c r="G108" s="104">
        <f t="shared" si="32"/>
        <v>1.5694242843043056</v>
      </c>
      <c r="H108" s="113">
        <f t="shared" si="33"/>
        <v>87.739807154853452</v>
      </c>
      <c r="I108" s="114">
        <f t="shared" si="34"/>
        <v>1.5593987447444146</v>
      </c>
      <c r="J108" s="101">
        <f t="shared" si="35"/>
        <v>8.991661493589568</v>
      </c>
      <c r="K108" s="104">
        <f t="shared" si="36"/>
        <v>1.4593516298626696</v>
      </c>
      <c r="L108" s="102">
        <f t="shared" si="37"/>
        <v>1.0732600188374879</v>
      </c>
      <c r="M108" s="103">
        <f t="shared" si="38"/>
        <v>0.37161901929571672</v>
      </c>
      <c r="N108" s="101">
        <f t="shared" si="39"/>
        <v>1.0019422682678365</v>
      </c>
      <c r="O108" s="104">
        <f t="shared" si="40"/>
        <v>6.2275674186371525E-2</v>
      </c>
      <c r="P108" s="105">
        <f t="shared" ca="1" si="41"/>
        <v>1.0438127055724353</v>
      </c>
      <c r="Q108" s="106">
        <f t="shared" ca="1" si="42"/>
        <v>0.30024750436217568</v>
      </c>
      <c r="R108" s="107">
        <f t="shared" ca="1" si="43"/>
        <v>15.174573622771927</v>
      </c>
      <c r="S108" s="108">
        <f t="shared" ca="1" si="44"/>
        <v>-89.385302867493124</v>
      </c>
      <c r="T108" s="116">
        <f t="shared" ca="1" si="45"/>
        <v>90.614697132506876</v>
      </c>
      <c r="V108" s="72">
        <f t="shared" ca="1" si="46"/>
        <v>1000000000</v>
      </c>
      <c r="W108" s="72">
        <f t="shared" si="47"/>
        <v>28840122.090000004</v>
      </c>
      <c r="Y108" s="110">
        <f t="shared" si="48"/>
        <v>27.214127746722436</v>
      </c>
      <c r="Z108" s="111">
        <f t="shared" si="49"/>
        <v>-66.465042301515069</v>
      </c>
      <c r="AA108" s="72">
        <f t="shared" si="50"/>
        <v>113.53495769848493</v>
      </c>
      <c r="AB108" s="110">
        <f t="shared" ca="1" si="51"/>
        <v>3.878046222930998</v>
      </c>
      <c r="AC108" s="111">
        <f t="shared" ca="1" si="52"/>
        <v>-22.920260565978126</v>
      </c>
      <c r="AD108" s="72">
        <f t="shared" ca="1" si="53"/>
        <v>157.07973943402186</v>
      </c>
    </row>
    <row r="109" spans="1:30">
      <c r="A109" s="118">
        <v>5432.85</v>
      </c>
      <c r="B109" s="101">
        <f t="shared" ca="1" si="27"/>
        <v>88.920726674943126</v>
      </c>
      <c r="C109" s="102">
        <f t="shared" ca="1" si="28"/>
        <v>1.5595501177585829</v>
      </c>
      <c r="D109" s="102">
        <f t="shared" si="29"/>
        <v>9.1180051163328422</v>
      </c>
      <c r="E109" s="103">
        <f t="shared" si="30"/>
        <v>1.4609021542267839</v>
      </c>
      <c r="F109" s="101">
        <f t="shared" si="31"/>
        <v>737.32970847646266</v>
      </c>
      <c r="G109" s="104">
        <f t="shared" si="32"/>
        <v>1.5694400810135711</v>
      </c>
      <c r="H109" s="113">
        <f t="shared" si="33"/>
        <v>88.761615273137309</v>
      </c>
      <c r="I109" s="114">
        <f t="shared" si="34"/>
        <v>1.5595299572902823</v>
      </c>
      <c r="J109" s="101">
        <f t="shared" si="35"/>
        <v>9.0951029284031044</v>
      </c>
      <c r="K109" s="104">
        <f t="shared" si="36"/>
        <v>1.4606243083790658</v>
      </c>
      <c r="L109" s="102">
        <f t="shared" si="37"/>
        <v>1.0749166713545923</v>
      </c>
      <c r="M109" s="103">
        <f t="shared" si="38"/>
        <v>0.37555370943420058</v>
      </c>
      <c r="N109" s="101">
        <f t="shared" si="39"/>
        <v>1.0019877313466041</v>
      </c>
      <c r="O109" s="104">
        <f t="shared" si="40"/>
        <v>6.2999116796018786E-2</v>
      </c>
      <c r="P109" s="105">
        <f t="shared" ca="1" si="41"/>
        <v>1.0448173249684112</v>
      </c>
      <c r="Q109" s="106">
        <f t="shared" ca="1" si="42"/>
        <v>0.30355415994589147</v>
      </c>
      <c r="R109" s="107">
        <f t="shared" ca="1" si="43"/>
        <v>15.07864369509341</v>
      </c>
      <c r="S109" s="108">
        <f t="shared" ca="1" si="44"/>
        <v>-89.391841851150005</v>
      </c>
      <c r="T109" s="116">
        <f t="shared" ca="1" si="45"/>
        <v>90.608158148849995</v>
      </c>
      <c r="V109" s="72">
        <f t="shared" ca="1" si="46"/>
        <v>1000000000</v>
      </c>
      <c r="W109" s="72">
        <f t="shared" si="47"/>
        <v>29515859.122500002</v>
      </c>
      <c r="Y109" s="110">
        <f t="shared" si="48"/>
        <v>27.127764461297268</v>
      </c>
      <c r="Z109" s="111">
        <f t="shared" si="49"/>
        <v>-66.347357638346594</v>
      </c>
      <c r="AA109" s="72">
        <f t="shared" si="50"/>
        <v>113.65264236165341</v>
      </c>
      <c r="AB109" s="110">
        <f t="shared" ca="1" si="51"/>
        <v>3.8684795806776457</v>
      </c>
      <c r="AC109" s="111">
        <f t="shared" ca="1" si="52"/>
        <v>-23.044484212803425</v>
      </c>
      <c r="AD109" s="72">
        <f t="shared" ca="1" si="53"/>
        <v>156.95551578719659</v>
      </c>
    </row>
    <row r="110" spans="1:30">
      <c r="A110" s="118">
        <v>5495.4</v>
      </c>
      <c r="B110" s="101">
        <f t="shared" ca="1" si="27"/>
        <v>89.944368413774257</v>
      </c>
      <c r="C110" s="102">
        <f t="shared" ca="1" si="28"/>
        <v>1.5596781142778184</v>
      </c>
      <c r="D110" s="102">
        <f t="shared" si="29"/>
        <v>9.2217277929988235</v>
      </c>
      <c r="E110" s="103">
        <f t="shared" si="30"/>
        <v>1.4621431196718575</v>
      </c>
      <c r="F110" s="101">
        <f t="shared" si="31"/>
        <v>745.81878675303017</v>
      </c>
      <c r="G110" s="104">
        <f t="shared" si="32"/>
        <v>1.5694555181193983</v>
      </c>
      <c r="H110" s="113">
        <f t="shared" si="33"/>
        <v>89.783424884822153</v>
      </c>
      <c r="I110" s="114">
        <f t="shared" si="34"/>
        <v>1.5596581832237884</v>
      </c>
      <c r="J110" s="101">
        <f t="shared" si="35"/>
        <v>9.1985587633159493</v>
      </c>
      <c r="K110" s="104">
        <f t="shared" si="36"/>
        <v>1.4618683613406918</v>
      </c>
      <c r="L110" s="102">
        <f t="shared" si="37"/>
        <v>1.0765899141359123</v>
      </c>
      <c r="M110" s="103">
        <f t="shared" si="38"/>
        <v>0.37947622950372628</v>
      </c>
      <c r="N110" s="101">
        <f t="shared" si="39"/>
        <v>1.0020337187871529</v>
      </c>
      <c r="O110" s="104">
        <f t="shared" si="40"/>
        <v>6.3722493380728301E-2</v>
      </c>
      <c r="P110" s="105">
        <f t="shared" ca="1" si="41"/>
        <v>1.0458326003978202</v>
      </c>
      <c r="Q110" s="106">
        <f t="shared" ca="1" si="42"/>
        <v>0.30685465276575863</v>
      </c>
      <c r="R110" s="107">
        <f t="shared" ca="1" si="43"/>
        <v>14.983893219997222</v>
      </c>
      <c r="S110" s="108">
        <f t="shared" ca="1" si="44"/>
        <v>-89.39869697852275</v>
      </c>
      <c r="T110" s="116">
        <f t="shared" ca="1" si="45"/>
        <v>90.60130302147725</v>
      </c>
      <c r="V110" s="72">
        <f t="shared" ca="1" si="46"/>
        <v>1000000000</v>
      </c>
      <c r="W110" s="72">
        <f t="shared" si="47"/>
        <v>30199421.159999996</v>
      </c>
      <c r="Y110" s="110">
        <f t="shared" si="48"/>
        <v>27.042620314003663</v>
      </c>
      <c r="Z110" s="111">
        <f t="shared" si="49"/>
        <v>-66.22887687886417</v>
      </c>
      <c r="AA110" s="72">
        <f t="shared" si="50"/>
        <v>113.77112312113583</v>
      </c>
      <c r="AB110" s="110">
        <f t="shared" ca="1" si="51"/>
        <v>3.8588732528750636</v>
      </c>
      <c r="AC110" s="111">
        <f t="shared" ca="1" si="52"/>
        <v>-23.169820099658526</v>
      </c>
      <c r="AD110" s="72">
        <f t="shared" ca="1" si="53"/>
        <v>156.83017990034148</v>
      </c>
    </row>
    <row r="111" spans="1:30">
      <c r="A111" s="118">
        <v>5559.4</v>
      </c>
      <c r="B111" s="101">
        <f t="shared" ca="1" si="27"/>
        <v>90.991741147831661</v>
      </c>
      <c r="C111" s="102">
        <f t="shared" ca="1" si="28"/>
        <v>1.5598060971484837</v>
      </c>
      <c r="D111" s="102">
        <f t="shared" si="29"/>
        <v>9.3278692805573051</v>
      </c>
      <c r="E111" s="103">
        <f t="shared" si="30"/>
        <v>1.4633842852680321</v>
      </c>
      <c r="F111" s="101">
        <f t="shared" si="31"/>
        <v>754.50465439403854</v>
      </c>
      <c r="G111" s="104">
        <f t="shared" si="32"/>
        <v>1.569470953535838</v>
      </c>
      <c r="H111" s="113">
        <f t="shared" si="33"/>
        <v>90.828923023031706</v>
      </c>
      <c r="I111" s="114">
        <f t="shared" si="34"/>
        <v>1.5597863954855709</v>
      </c>
      <c r="J111" s="101">
        <f t="shared" si="35"/>
        <v>9.3044272586672285</v>
      </c>
      <c r="K111" s="104">
        <f t="shared" si="36"/>
        <v>1.4631126166506323</v>
      </c>
      <c r="L111" s="102">
        <f t="shared" si="37"/>
        <v>1.0783190361621908</v>
      </c>
      <c r="M111" s="103">
        <f t="shared" si="38"/>
        <v>0.38347701627609071</v>
      </c>
      <c r="N111" s="101">
        <f t="shared" si="39"/>
        <v>1.0020813149440486</v>
      </c>
      <c r="O111" s="104">
        <f t="shared" si="40"/>
        <v>6.4462569768465025E-2</v>
      </c>
      <c r="P111" s="105">
        <f t="shared" ca="1" si="41"/>
        <v>1.0468824086395387</v>
      </c>
      <c r="Q111" s="106">
        <f t="shared" ca="1" si="42"/>
        <v>0.31022522827653065</v>
      </c>
      <c r="R111" s="107">
        <f t="shared" ca="1" si="43"/>
        <v>14.888139189471188</v>
      </c>
      <c r="S111" s="108">
        <f t="shared" ca="1" si="44"/>
        <v>-89.406040055207654</v>
      </c>
      <c r="T111" s="116">
        <f t="shared" ca="1" si="45"/>
        <v>90.593959944792346</v>
      </c>
      <c r="V111" s="72">
        <f t="shared" ca="1" si="46"/>
        <v>1000000000</v>
      </c>
      <c r="W111" s="72">
        <f t="shared" si="47"/>
        <v>30906928.359999996</v>
      </c>
      <c r="Y111" s="110">
        <f t="shared" si="48"/>
        <v>26.956737741601273</v>
      </c>
      <c r="Z111" s="111">
        <f t="shared" si="49"/>
        <v>-66.106880876102522</v>
      </c>
      <c r="AA111" s="72">
        <f t="shared" si="50"/>
        <v>113.89311912389748</v>
      </c>
      <c r="AB111" s="110">
        <f t="shared" ca="1" si="51"/>
        <v>3.8490017947514206</v>
      </c>
      <c r="AC111" s="111">
        <f t="shared" ca="1" si="52"/>
        <v>-23.299159179105164</v>
      </c>
      <c r="AD111" s="72">
        <f t="shared" ca="1" si="53"/>
        <v>156.70084082089483</v>
      </c>
    </row>
    <row r="112" spans="1:30">
      <c r="A112" s="118">
        <v>5623.4</v>
      </c>
      <c r="B112" s="101">
        <f t="shared" ca="1" si="27"/>
        <v>92.039115338378096</v>
      </c>
      <c r="C112" s="102">
        <f t="shared" ca="1" si="28"/>
        <v>1.5599311672170741</v>
      </c>
      <c r="D112" s="102">
        <f t="shared" si="29"/>
        <v>9.4340248142709324</v>
      </c>
      <c r="E112" s="103">
        <f t="shared" si="30"/>
        <v>1.464597520485081</v>
      </c>
      <c r="F112" s="101">
        <f t="shared" si="31"/>
        <v>763.1905222107174</v>
      </c>
      <c r="G112" s="104">
        <f t="shared" si="32"/>
        <v>1.5694860376114745</v>
      </c>
      <c r="H112" s="113">
        <f t="shared" si="33"/>
        <v>91.874422620340539</v>
      </c>
      <c r="I112" s="114">
        <f t="shared" si="34"/>
        <v>1.5599116897257448</v>
      </c>
      <c r="J112" s="101">
        <f t="shared" si="35"/>
        <v>9.4103098347359531</v>
      </c>
      <c r="K112" s="104">
        <f t="shared" si="36"/>
        <v>1.4643288736766653</v>
      </c>
      <c r="L112" s="102">
        <f t="shared" si="37"/>
        <v>1.0800653626558174</v>
      </c>
      <c r="M112" s="103">
        <f t="shared" si="38"/>
        <v>0.3874649291958378</v>
      </c>
      <c r="N112" s="101">
        <f t="shared" si="39"/>
        <v>1.0021294599016568</v>
      </c>
      <c r="O112" s="104">
        <f t="shared" si="40"/>
        <v>6.5202575451014474E-2</v>
      </c>
      <c r="P112" s="105">
        <f t="shared" ca="1" si="41"/>
        <v>1.0479433071236881</v>
      </c>
      <c r="Q112" s="106">
        <f t="shared" ca="1" si="42"/>
        <v>0.31358925358362433</v>
      </c>
      <c r="R112" s="107">
        <f t="shared" ca="1" si="43"/>
        <v>14.793564248205104</v>
      </c>
      <c r="S112" s="108">
        <f t="shared" ca="1" si="44"/>
        <v>-89.413717677234175</v>
      </c>
      <c r="T112" s="116">
        <f t="shared" ca="1" si="45"/>
        <v>90.586282322765825</v>
      </c>
      <c r="V112" s="72">
        <f t="shared" ca="1" si="46"/>
        <v>1000000000</v>
      </c>
      <c r="W112" s="72">
        <f t="shared" si="47"/>
        <v>31622627.559999995</v>
      </c>
      <c r="Y112" s="110">
        <f t="shared" si="48"/>
        <v>26.87207846934507</v>
      </c>
      <c r="Z112" s="111">
        <f t="shared" si="49"/>
        <v>-65.984161316128251</v>
      </c>
      <c r="AA112" s="72">
        <f t="shared" si="50"/>
        <v>114.01583868387175</v>
      </c>
      <c r="AB112" s="110">
        <f t="shared" ca="1" si="51"/>
        <v>3.8390861257415416</v>
      </c>
      <c r="AC112" s="111">
        <f t="shared" ca="1" si="52"/>
        <v>-23.429556361105927</v>
      </c>
      <c r="AD112" s="72">
        <f t="shared" ca="1" si="53"/>
        <v>156.57044363889406</v>
      </c>
    </row>
    <row r="113" spans="1:30">
      <c r="A113" s="118">
        <v>5688.9</v>
      </c>
      <c r="B113" s="101">
        <f t="shared" ca="1" si="27"/>
        <v>93.1110388183195</v>
      </c>
      <c r="C113" s="102">
        <f t="shared" ca="1" si="28"/>
        <v>1.5600562551792596</v>
      </c>
      <c r="D113" s="102">
        <f t="shared" si="29"/>
        <v>9.5426824229678662</v>
      </c>
      <c r="E113" s="103">
        <f t="shared" si="30"/>
        <v>1.4658112399438661</v>
      </c>
      <c r="F113" s="101">
        <f t="shared" si="31"/>
        <v>772.0799652300575</v>
      </c>
      <c r="G113" s="104">
        <f t="shared" si="32"/>
        <v>1.5695011238047583</v>
      </c>
      <c r="H113" s="113">
        <f t="shared" si="33"/>
        <v>92.944427573876155</v>
      </c>
      <c r="I113" s="114">
        <f t="shared" si="34"/>
        <v>1.560037001892808</v>
      </c>
      <c r="J113" s="101">
        <f t="shared" si="35"/>
        <v>9.51868812295438</v>
      </c>
      <c r="K113" s="104">
        <f t="shared" si="36"/>
        <v>1.4655456177391279</v>
      </c>
      <c r="L113" s="102">
        <f t="shared" si="37"/>
        <v>1.0818703457700876</v>
      </c>
      <c r="M113" s="103">
        <f t="shared" si="38"/>
        <v>0.39153291186851813</v>
      </c>
      <c r="N113" s="101">
        <f t="shared" si="39"/>
        <v>1.0021793014193874</v>
      </c>
      <c r="O113" s="104">
        <f t="shared" si="40"/>
        <v>6.5959850971372039E-2</v>
      </c>
      <c r="P113" s="105">
        <f t="shared" ca="1" si="41"/>
        <v>1.0490405186575542</v>
      </c>
      <c r="Q113" s="106">
        <f t="shared" ca="1" si="42"/>
        <v>0.31702529018916231</v>
      </c>
      <c r="R113" s="107">
        <f t="shared" ca="1" si="43"/>
        <v>14.697965637695434</v>
      </c>
      <c r="S113" s="108">
        <f t="shared" ca="1" si="44"/>
        <v>-89.421923352197737</v>
      </c>
      <c r="T113" s="116">
        <f t="shared" ca="1" si="45"/>
        <v>90.578076647802263</v>
      </c>
      <c r="V113" s="72">
        <f t="shared" ca="1" si="46"/>
        <v>1000000000</v>
      </c>
      <c r="W113" s="72">
        <f t="shared" si="47"/>
        <v>32363583.209999997</v>
      </c>
      <c r="Y113" s="110">
        <f t="shared" si="48"/>
        <v>26.786674944407991</v>
      </c>
      <c r="Z113" s="111">
        <f t="shared" si="49"/>
        <v>-65.857870585388497</v>
      </c>
      <c r="AA113" s="72">
        <f t="shared" si="50"/>
        <v>114.1421294146115</v>
      </c>
      <c r="AB113" s="110">
        <f t="shared" ca="1" si="51"/>
        <v>3.8288910401689424</v>
      </c>
      <c r="AC113" s="111">
        <f t="shared" ca="1" si="52"/>
        <v>-23.564052766809233</v>
      </c>
      <c r="AD113" s="72">
        <f t="shared" ca="1" si="53"/>
        <v>156.43594723319077</v>
      </c>
    </row>
    <row r="114" spans="1:30">
      <c r="A114" s="118">
        <v>5754.4</v>
      </c>
      <c r="B114" s="101">
        <f t="shared" ca="1" si="27"/>
        <v>94.182963722006193</v>
      </c>
      <c r="C114" s="102">
        <f t="shared" ca="1" si="28"/>
        <v>1.5601784958151741</v>
      </c>
      <c r="D114" s="102">
        <f t="shared" si="29"/>
        <v>9.6513537725950602</v>
      </c>
      <c r="E114" s="103">
        <f t="shared" si="30"/>
        <v>1.4669976288833195</v>
      </c>
      <c r="F114" s="101">
        <f t="shared" si="31"/>
        <v>780.96940842111758</v>
      </c>
      <c r="G114" s="104">
        <f t="shared" si="32"/>
        <v>1.5695158665585798</v>
      </c>
      <c r="H114" s="113">
        <f t="shared" si="33"/>
        <v>94.014433953708661</v>
      </c>
      <c r="I114" s="114">
        <f t="shared" si="34"/>
        <v>1.5601594616312835</v>
      </c>
      <c r="J114" s="101">
        <f t="shared" si="35"/>
        <v>9.6270801859682908</v>
      </c>
      <c r="K114" s="104">
        <f t="shared" si="36"/>
        <v>1.4667349646927599</v>
      </c>
      <c r="L114" s="102">
        <f t="shared" si="37"/>
        <v>1.0836931723859378</v>
      </c>
      <c r="M114" s="103">
        <f t="shared" si="38"/>
        <v>0.39558727634326485</v>
      </c>
      <c r="N114" s="101">
        <f t="shared" si="39"/>
        <v>1.0022297175957331</v>
      </c>
      <c r="O114" s="104">
        <f t="shared" si="40"/>
        <v>6.6717050737927219E-2</v>
      </c>
      <c r="P114" s="105">
        <f t="shared" ca="1" si="41"/>
        <v>1.0501492751936778</v>
      </c>
      <c r="Q114" s="106">
        <f t="shared" ca="1" si="42"/>
        <v>0.32045436366516777</v>
      </c>
      <c r="R114" s="107">
        <f t="shared" ca="1" si="43"/>
        <v>14.60354624128974</v>
      </c>
      <c r="S114" s="108">
        <f t="shared" ca="1" si="44"/>
        <v>-89.430482793532605</v>
      </c>
      <c r="T114" s="116">
        <f t="shared" ca="1" si="45"/>
        <v>90.569517206467395</v>
      </c>
      <c r="V114" s="72">
        <f t="shared" ca="1" si="46"/>
        <v>1000000000</v>
      </c>
      <c r="W114" s="72">
        <f t="shared" si="47"/>
        <v>33113119.359999996</v>
      </c>
      <c r="Y114" s="110">
        <f t="shared" si="48"/>
        <v>26.702499356808911</v>
      </c>
      <c r="Z114" s="111">
        <f t="shared" si="49"/>
        <v>-65.730929795321913</v>
      </c>
      <c r="AA114" s="72">
        <f t="shared" si="50"/>
        <v>114.26907020467809</v>
      </c>
      <c r="AB114" s="110">
        <f t="shared" ca="1" si="51"/>
        <v>3.818647231362335</v>
      </c>
      <c r="AC114" s="111">
        <f t="shared" ca="1" si="52"/>
        <v>-23.699552998210642</v>
      </c>
      <c r="AD114" s="72">
        <f t="shared" ca="1" si="53"/>
        <v>156.30044700178937</v>
      </c>
    </row>
    <row r="115" spans="1:30">
      <c r="A115" s="118">
        <v>5821.4</v>
      </c>
      <c r="B115" s="101">
        <f t="shared" ca="1" si="27"/>
        <v>95.279437947180881</v>
      </c>
      <c r="C115" s="102">
        <f t="shared" ca="1" si="28"/>
        <v>1.5603006901547882</v>
      </c>
      <c r="D115" s="102">
        <f t="shared" si="29"/>
        <v>9.7625275172560695</v>
      </c>
      <c r="E115" s="103">
        <f t="shared" si="30"/>
        <v>1.4681838585787854</v>
      </c>
      <c r="F115" s="101">
        <f t="shared" si="31"/>
        <v>790.06242681870833</v>
      </c>
      <c r="G115" s="104">
        <f t="shared" si="32"/>
        <v>1.569530603691172</v>
      </c>
      <c r="H115" s="113">
        <f t="shared" si="33"/>
        <v>95.108945721918545</v>
      </c>
      <c r="I115" s="114">
        <f t="shared" si="34"/>
        <v>1.5602818749916179</v>
      </c>
      <c r="J115" s="101">
        <f t="shared" si="35"/>
        <v>9.7379682820239282</v>
      </c>
      <c r="K115" s="104">
        <f t="shared" si="36"/>
        <v>1.4679241534894196</v>
      </c>
      <c r="L115" s="102">
        <f t="shared" si="37"/>
        <v>1.0855761105368278</v>
      </c>
      <c r="M115" s="103">
        <f t="shared" si="38"/>
        <v>0.39972033221753323</v>
      </c>
      <c r="N115" s="101">
        <f t="shared" si="39"/>
        <v>1.0022818828000772</v>
      </c>
      <c r="O115" s="104">
        <f t="shared" si="40"/>
        <v>6.7491511688049677E-2</v>
      </c>
      <c r="P115" s="105">
        <f t="shared" ca="1" si="41"/>
        <v>1.0512953298226722</v>
      </c>
      <c r="Q115" s="106">
        <f t="shared" ca="1" si="42"/>
        <v>0.32395470874409188</v>
      </c>
      <c r="R115" s="107">
        <f t="shared" ca="1" si="43"/>
        <v>14.508156630273977</v>
      </c>
      <c r="S115" s="108">
        <f t="shared" ca="1" si="44"/>
        <v>-89.439605849703426</v>
      </c>
      <c r="T115" s="116">
        <f t="shared" ca="1" si="45"/>
        <v>90.560394150296574</v>
      </c>
      <c r="V115" s="72">
        <f t="shared" ca="1" si="46"/>
        <v>1000000000</v>
      </c>
      <c r="W115" s="72">
        <f t="shared" si="47"/>
        <v>33888697.959999993</v>
      </c>
      <c r="Y115" s="110">
        <f t="shared" si="48"/>
        <v>26.617639670945408</v>
      </c>
      <c r="Z115" s="111">
        <f t="shared" si="49"/>
        <v>-65.600462586614526</v>
      </c>
      <c r="AA115" s="72">
        <f t="shared" si="50"/>
        <v>114.39953741338547</v>
      </c>
      <c r="AB115" s="110">
        <f t="shared" ca="1" si="51"/>
        <v>3.8081173062100677</v>
      </c>
      <c r="AC115" s="111">
        <f t="shared" ca="1" si="52"/>
        <v>-23.839143263088882</v>
      </c>
      <c r="AD115" s="72">
        <f t="shared" ca="1" si="53"/>
        <v>156.16085673691111</v>
      </c>
    </row>
    <row r="116" spans="1:30">
      <c r="A116" s="118">
        <v>5888.4</v>
      </c>
      <c r="B116" s="101">
        <f t="shared" ca="1" si="27"/>
        <v>96.375913562644968</v>
      </c>
      <c r="C116" s="102">
        <f t="shared" ca="1" si="28"/>
        <v>1.5604201040687857</v>
      </c>
      <c r="D116" s="102">
        <f t="shared" si="29"/>
        <v>9.8737146898066239</v>
      </c>
      <c r="E116" s="103">
        <f t="shared" si="30"/>
        <v>1.4693433737852302</v>
      </c>
      <c r="F116" s="101">
        <f t="shared" si="31"/>
        <v>799.15544538398251</v>
      </c>
      <c r="G116" s="104">
        <f t="shared" si="32"/>
        <v>1.5695450054571722</v>
      </c>
      <c r="H116" s="113">
        <f t="shared" si="33"/>
        <v>96.203458882909516</v>
      </c>
      <c r="I116" s="114">
        <f t="shared" si="34"/>
        <v>1.5604015029437988</v>
      </c>
      <c r="J116" s="101">
        <f t="shared" si="35"/>
        <v>9.8488698391132417</v>
      </c>
      <c r="K116" s="104">
        <f t="shared" si="36"/>
        <v>1.469086562574782</v>
      </c>
      <c r="L116" s="102">
        <f t="shared" si="37"/>
        <v>1.087477528261406</v>
      </c>
      <c r="M116" s="103">
        <f t="shared" si="38"/>
        <v>0.40383900522643512</v>
      </c>
      <c r="N116" s="101">
        <f t="shared" si="39"/>
        <v>1.0023346491000511</v>
      </c>
      <c r="O116" s="104">
        <f t="shared" si="40"/>
        <v>6.8265891562087552E-2</v>
      </c>
      <c r="P116" s="105">
        <f t="shared" ca="1" si="41"/>
        <v>1.0524533871175139</v>
      </c>
      <c r="Q116" s="106">
        <f t="shared" ca="1" si="42"/>
        <v>0.32744766211134463</v>
      </c>
      <c r="R116" s="107">
        <f t="shared" ca="1" si="43"/>
        <v>14.413945018216994</v>
      </c>
      <c r="S116" s="108">
        <f t="shared" ca="1" si="44"/>
        <v>-89.449102157584761</v>
      </c>
      <c r="T116" s="116">
        <f t="shared" ca="1" si="45"/>
        <v>90.550897842415239</v>
      </c>
      <c r="V116" s="72">
        <f t="shared" ca="1" si="46"/>
        <v>1000000000</v>
      </c>
      <c r="W116" s="72">
        <f t="shared" si="47"/>
        <v>34673254.559999995</v>
      </c>
      <c r="Y116" s="110">
        <f t="shared" si="48"/>
        <v>26.534011129608576</v>
      </c>
      <c r="Z116" s="111">
        <f t="shared" si="49"/>
        <v>-65.469420822679041</v>
      </c>
      <c r="AA116" s="72">
        <f t="shared" si="50"/>
        <v>114.53057917732096</v>
      </c>
      <c r="AB116" s="110">
        <f t="shared" ca="1" si="51"/>
        <v>3.7975342354899198</v>
      </c>
      <c r="AC116" s="111">
        <f t="shared" ca="1" si="52"/>
        <v>-23.979681334905731</v>
      </c>
      <c r="AD116" s="72">
        <f t="shared" ca="1" si="53"/>
        <v>156.02031866509427</v>
      </c>
    </row>
    <row r="117" spans="1:30">
      <c r="A117" s="118">
        <v>5957</v>
      </c>
      <c r="B117" s="101">
        <f t="shared" ca="1" si="27"/>
        <v>97.498575061919581</v>
      </c>
      <c r="C117" s="102">
        <f t="shared" ca="1" si="28"/>
        <v>1.5605395868063108</v>
      </c>
      <c r="D117" s="102">
        <f t="shared" si="29"/>
        <v>9.9875705227842104</v>
      </c>
      <c r="E117" s="103">
        <f t="shared" si="30"/>
        <v>1.4705038284371585</v>
      </c>
      <c r="F117" s="101">
        <f t="shared" si="31"/>
        <v>808.46561082909216</v>
      </c>
      <c r="G117" s="104">
        <f t="shared" si="32"/>
        <v>1.5695594154883463</v>
      </c>
      <c r="H117" s="113">
        <f t="shared" si="33"/>
        <v>97.324111065620428</v>
      </c>
      <c r="I117" s="114">
        <f t="shared" si="34"/>
        <v>1.5605211998439317</v>
      </c>
      <c r="J117" s="101">
        <f t="shared" si="35"/>
        <v>9.9624332691710844</v>
      </c>
      <c r="K117" s="104">
        <f t="shared" si="36"/>
        <v>1.4702499148382264</v>
      </c>
      <c r="L117" s="102">
        <f t="shared" si="37"/>
        <v>1.0894433987190415</v>
      </c>
      <c r="M117" s="103">
        <f t="shared" si="38"/>
        <v>0.40804106555039121</v>
      </c>
      <c r="N117" s="101">
        <f t="shared" si="39"/>
        <v>1.0023892981904385</v>
      </c>
      <c r="O117" s="104">
        <f t="shared" si="40"/>
        <v>6.9058679129937087E-2</v>
      </c>
      <c r="P117" s="105">
        <f t="shared" ca="1" si="41"/>
        <v>1.0536514944220314</v>
      </c>
      <c r="Q117" s="106">
        <f t="shared" ca="1" si="42"/>
        <v>0.33101631612214005</v>
      </c>
      <c r="R117" s="107">
        <f t="shared" ca="1" si="43"/>
        <v>14.318676070257865</v>
      </c>
      <c r="S117" s="108">
        <f t="shared" ca="1" si="44"/>
        <v>-89.459213415089422</v>
      </c>
      <c r="T117" s="116">
        <f t="shared" ca="1" si="45"/>
        <v>90.540786584910578</v>
      </c>
      <c r="V117" s="72">
        <f t="shared" ca="1" si="46"/>
        <v>1000000000</v>
      </c>
      <c r="W117" s="72">
        <f t="shared" si="47"/>
        <v>35485849</v>
      </c>
      <c r="Y117" s="110">
        <f t="shared" si="48"/>
        <v>26.449634038652142</v>
      </c>
      <c r="Z117" s="111">
        <f t="shared" si="49"/>
        <v>-65.334706563944138</v>
      </c>
      <c r="AA117" s="72">
        <f t="shared" si="50"/>
        <v>114.66529343605586</v>
      </c>
      <c r="AB117" s="110">
        <f t="shared" ca="1" si="51"/>
        <v>3.7866423784872234</v>
      </c>
      <c r="AC117" s="111">
        <f t="shared" ca="1" si="52"/>
        <v>-24.124506851145259</v>
      </c>
      <c r="AD117" s="72">
        <f t="shared" ca="1" si="53"/>
        <v>155.87549314885473</v>
      </c>
    </row>
    <row r="118" spans="1:30">
      <c r="A118" s="118">
        <v>6025.6</v>
      </c>
      <c r="B118" s="101">
        <f t="shared" ca="1" si="27"/>
        <v>98.621237921406362</v>
      </c>
      <c r="C118" s="102">
        <f t="shared" ca="1" si="28"/>
        <v>1.5606563492626073</v>
      </c>
      <c r="D118" s="102">
        <f t="shared" si="29"/>
        <v>10.101439502370809</v>
      </c>
      <c r="E118" s="103">
        <f t="shared" si="30"/>
        <v>1.4716381220223718</v>
      </c>
      <c r="F118" s="101">
        <f t="shared" si="31"/>
        <v>817.77577643825646</v>
      </c>
      <c r="G118" s="104">
        <f t="shared" si="32"/>
        <v>1.5695734974105706</v>
      </c>
      <c r="H118" s="113">
        <f t="shared" si="33"/>
        <v>98.444764610981323</v>
      </c>
      <c r="I118" s="114">
        <f t="shared" si="34"/>
        <v>1.5606381715879816</v>
      </c>
      <c r="J118" s="101">
        <f t="shared" si="35"/>
        <v>10.076009878334959</v>
      </c>
      <c r="K118" s="104">
        <f t="shared" si="36"/>
        <v>1.4713870420386603</v>
      </c>
      <c r="L118" s="102">
        <f t="shared" si="37"/>
        <v>1.0914284363221154</v>
      </c>
      <c r="M118" s="103">
        <f t="shared" si="38"/>
        <v>0.41222791456901658</v>
      </c>
      <c r="N118" s="101">
        <f t="shared" si="39"/>
        <v>1.0024445772257342</v>
      </c>
      <c r="O118" s="104">
        <f t="shared" si="40"/>
        <v>6.9851379760641541E-2</v>
      </c>
      <c r="P118" s="105">
        <f t="shared" ca="1" si="41"/>
        <v>1.0548621007021672</v>
      </c>
      <c r="Q118" s="106">
        <f t="shared" ca="1" si="42"/>
        <v>0.33457711127789475</v>
      </c>
      <c r="R118" s="107">
        <f t="shared" ca="1" si="43"/>
        <v>14.224586038024569</v>
      </c>
      <c r="S118" s="108">
        <f t="shared" ca="1" si="44"/>
        <v>-89.46971876916659</v>
      </c>
      <c r="T118" s="116">
        <f t="shared" ca="1" si="45"/>
        <v>90.53028123083341</v>
      </c>
      <c r="V118" s="72">
        <f t="shared" ca="1" si="46"/>
        <v>1000000000</v>
      </c>
      <c r="W118" s="72">
        <f t="shared" si="47"/>
        <v>36307855.360000007</v>
      </c>
      <c r="Y118" s="110">
        <f t="shared" si="48"/>
        <v>26.366493496762153</v>
      </c>
      <c r="Z118" s="111">
        <f t="shared" si="49"/>
        <v>-65.199493622929566</v>
      </c>
      <c r="AA118" s="72">
        <f t="shared" si="50"/>
        <v>114.80050637707043</v>
      </c>
      <c r="AB118" s="110">
        <f t="shared" ca="1" si="51"/>
        <v>3.7756928881439196</v>
      </c>
      <c r="AC118" s="111">
        <f t="shared" ca="1" si="52"/>
        <v>-24.270225146237038</v>
      </c>
      <c r="AD118" s="72">
        <f t="shared" ca="1" si="53"/>
        <v>155.72977485376296</v>
      </c>
    </row>
    <row r="119" spans="1:30">
      <c r="A119" s="118">
        <v>6095.8</v>
      </c>
      <c r="B119" s="101">
        <f t="shared" ca="1" si="27"/>
        <v>99.770086697646519</v>
      </c>
      <c r="C119" s="102">
        <f t="shared" ca="1" si="28"/>
        <v>1.5607731146535953</v>
      </c>
      <c r="D119" s="102">
        <f t="shared" si="29"/>
        <v>10.217977469789636</v>
      </c>
      <c r="E119" s="103">
        <f t="shared" si="30"/>
        <v>1.4727726974948538</v>
      </c>
      <c r="F119" s="101">
        <f t="shared" si="31"/>
        <v>827.30308893122822</v>
      </c>
      <c r="G119" s="104">
        <f t="shared" si="32"/>
        <v>1.5695875796538656</v>
      </c>
      <c r="H119" s="113">
        <f t="shared" si="33"/>
        <v>99.591557211064128</v>
      </c>
      <c r="I119" s="114">
        <f t="shared" si="34"/>
        <v>1.560755146272977</v>
      </c>
      <c r="J119" s="101">
        <f t="shared" si="35"/>
        <v>10.192248688727995</v>
      </c>
      <c r="K119" s="104">
        <f t="shared" si="36"/>
        <v>1.4725244531280637</v>
      </c>
      <c r="L119" s="102">
        <f t="shared" si="37"/>
        <v>1.0934795061965235</v>
      </c>
      <c r="M119" s="103">
        <f t="shared" si="38"/>
        <v>0.41649660214788281</v>
      </c>
      <c r="N119" s="101">
        <f t="shared" si="39"/>
        <v>1.0025017976143873</v>
      </c>
      <c r="O119" s="104">
        <f t="shared" si="40"/>
        <v>7.0662478009196547E-2</v>
      </c>
      <c r="P119" s="105">
        <f t="shared" ca="1" si="41"/>
        <v>1.0561138377376131</v>
      </c>
      <c r="Q119" s="106">
        <f t="shared" ca="1" si="42"/>
        <v>0.33821276465782302</v>
      </c>
      <c r="R119" s="107">
        <f t="shared" ca="1" si="43"/>
        <v>14.12949385526138</v>
      </c>
      <c r="S119" s="108">
        <f t="shared" ca="1" si="44"/>
        <v>-89.480878418030869</v>
      </c>
      <c r="T119" s="116">
        <f t="shared" ca="1" si="45"/>
        <v>90.519121581969131</v>
      </c>
      <c r="V119" s="72">
        <f t="shared" ca="1" si="46"/>
        <v>1000000000</v>
      </c>
      <c r="W119" s="72">
        <f t="shared" si="47"/>
        <v>37158777.640000001</v>
      </c>
      <c r="Y119" s="110">
        <f t="shared" si="48"/>
        <v>26.282666719015687</v>
      </c>
      <c r="Z119" s="111">
        <f t="shared" si="49"/>
        <v>-65.060661899195594</v>
      </c>
      <c r="AA119" s="72">
        <f t="shared" si="50"/>
        <v>114.93933810080441</v>
      </c>
      <c r="AB119" s="110">
        <f t="shared" ca="1" si="51"/>
        <v>3.7644274831271982</v>
      </c>
      <c r="AC119" s="111">
        <f t="shared" ca="1" si="52"/>
        <v>-24.420216518835307</v>
      </c>
      <c r="AD119" s="72">
        <f t="shared" ca="1" si="53"/>
        <v>155.5797834811647</v>
      </c>
    </row>
    <row r="120" spans="1:30">
      <c r="A120" s="118">
        <v>6166</v>
      </c>
      <c r="B120" s="101">
        <f t="shared" ca="1" si="27"/>
        <v>100.91893680319708</v>
      </c>
      <c r="C120" s="102">
        <f t="shared" ca="1" si="28"/>
        <v>1.5608872215573066</v>
      </c>
      <c r="D120" s="102">
        <f t="shared" si="29"/>
        <v>10.334528293761752</v>
      </c>
      <c r="E120" s="103">
        <f t="shared" si="30"/>
        <v>1.473881683319916</v>
      </c>
      <c r="F120" s="101">
        <f t="shared" si="31"/>
        <v>836.83040158452627</v>
      </c>
      <c r="G120" s="104">
        <f t="shared" si="32"/>
        <v>1.5696013412445331</v>
      </c>
      <c r="H120" s="113">
        <f t="shared" si="33"/>
        <v>100.73835114283979</v>
      </c>
      <c r="I120" s="114">
        <f t="shared" si="34"/>
        <v>1.5608694577064877</v>
      </c>
      <c r="J120" s="101">
        <f t="shared" si="35"/>
        <v>10.308500387498466</v>
      </c>
      <c r="K120" s="104">
        <f t="shared" si="36"/>
        <v>1.4736362118545074</v>
      </c>
      <c r="L120" s="102">
        <f t="shared" si="37"/>
        <v>1.0955504263015337</v>
      </c>
      <c r="M120" s="103">
        <f t="shared" si="38"/>
        <v>0.42074922876481208</v>
      </c>
      <c r="N120" s="101">
        <f t="shared" si="39"/>
        <v>1.0025596774537555</v>
      </c>
      <c r="O120" s="104">
        <f t="shared" si="40"/>
        <v>7.1473483138492985E-2</v>
      </c>
      <c r="P120" s="105">
        <f t="shared" ca="1" si="41"/>
        <v>1.0573785727209424</v>
      </c>
      <c r="Q120" s="106">
        <f t="shared" ca="1" si="42"/>
        <v>0.34184007473300032</v>
      </c>
      <c r="R120" s="107">
        <f t="shared" ca="1" si="43"/>
        <v>14.035580076897178</v>
      </c>
      <c r="S120" s="108">
        <f t="shared" ca="1" si="44"/>
        <v>-89.492453228330632</v>
      </c>
      <c r="T120" s="116">
        <f t="shared" ca="1" si="45"/>
        <v>90.507546771669368</v>
      </c>
      <c r="V120" s="72">
        <f t="shared" ca="1" si="46"/>
        <v>1000000000</v>
      </c>
      <c r="W120" s="72">
        <f t="shared" si="47"/>
        <v>38019556</v>
      </c>
      <c r="Y120" s="110">
        <f t="shared" si="48"/>
        <v>26.200080369107425</v>
      </c>
      <c r="Z120" s="111">
        <f t="shared" si="49"/>
        <v>-64.921409514350017</v>
      </c>
      <c r="AA120" s="72">
        <f t="shared" si="50"/>
        <v>115.07859048564998</v>
      </c>
      <c r="AB120" s="110">
        <f t="shared" ca="1" si="51"/>
        <v>3.7531000546712603</v>
      </c>
      <c r="AC120" s="111">
        <f t="shared" ca="1" si="52"/>
        <v>-24.571043713980671</v>
      </c>
      <c r="AD120" s="72">
        <f t="shared" ca="1" si="53"/>
        <v>155.42895628601934</v>
      </c>
    </row>
    <row r="121" spans="1:30">
      <c r="A121" s="118">
        <v>6237.8</v>
      </c>
      <c r="B121" s="101">
        <f t="shared" ca="1" si="27"/>
        <v>102.093972854866</v>
      </c>
      <c r="C121" s="102">
        <f t="shared" ca="1" si="28"/>
        <v>1.5610012726626137</v>
      </c>
      <c r="D121" s="102">
        <f t="shared" si="29"/>
        <v>10.453748397989651</v>
      </c>
      <c r="E121" s="103">
        <f t="shared" si="30"/>
        <v>1.4749903633492574</v>
      </c>
      <c r="F121" s="101">
        <f t="shared" si="31"/>
        <v>846.57486112517267</v>
      </c>
      <c r="G121" s="104">
        <f t="shared" si="32"/>
        <v>1.5696150960751207</v>
      </c>
      <c r="H121" s="113">
        <f t="shared" si="33"/>
        <v>101.911284158755</v>
      </c>
      <c r="I121" s="114">
        <f t="shared" si="34"/>
        <v>1.560983713242506</v>
      </c>
      <c r="J121" s="101">
        <f t="shared" si="35"/>
        <v>10.427414580688598</v>
      </c>
      <c r="K121" s="104">
        <f t="shared" si="36"/>
        <v>1.4747476652322258</v>
      </c>
      <c r="L121" s="102">
        <f t="shared" si="37"/>
        <v>1.0976889637826417</v>
      </c>
      <c r="M121" s="103">
        <f t="shared" si="38"/>
        <v>0.42508210201952418</v>
      </c>
      <c r="N121" s="101">
        <f t="shared" si="39"/>
        <v>1.0026195585400184</v>
      </c>
      <c r="O121" s="104">
        <f t="shared" si="40"/>
        <v>7.2302875293103586E-2</v>
      </c>
      <c r="P121" s="105">
        <f t="shared" ca="1" si="41"/>
        <v>1.0586855309649172</v>
      </c>
      <c r="Q121" s="106">
        <f t="shared" ca="1" si="42"/>
        <v>0.34554136964730292</v>
      </c>
      <c r="R121" s="107">
        <f t="shared" ca="1" si="43"/>
        <v>13.940716668353883</v>
      </c>
      <c r="S121" s="108">
        <f t="shared" ca="1" si="44"/>
        <v>-89.504722406908513</v>
      </c>
      <c r="T121" s="116">
        <f t="shared" ca="1" si="45"/>
        <v>90.495277593091487</v>
      </c>
      <c r="V121" s="72">
        <f t="shared" ca="1" si="46"/>
        <v>1000000000</v>
      </c>
      <c r="W121" s="72">
        <f t="shared" si="47"/>
        <v>38910148.840000004</v>
      </c>
      <c r="Y121" s="110">
        <f t="shared" si="48"/>
        <v>26.116867465534792</v>
      </c>
      <c r="Z121" s="111">
        <f t="shared" si="49"/>
        <v>-64.778598154956711</v>
      </c>
      <c r="AA121" s="72">
        <f t="shared" si="50"/>
        <v>115.22140184504329</v>
      </c>
      <c r="AB121" s="110">
        <f t="shared" ca="1" si="51"/>
        <v>3.7414495497005937</v>
      </c>
      <c r="AC121" s="111">
        <f t="shared" ca="1" si="52"/>
        <v>-24.726124251951838</v>
      </c>
      <c r="AD121" s="72">
        <f t="shared" ca="1" si="53"/>
        <v>155.27387574804817</v>
      </c>
    </row>
    <row r="122" spans="1:30">
      <c r="A122" s="118">
        <v>6309.6</v>
      </c>
      <c r="B122" s="101">
        <f t="shared" ca="1" si="27"/>
        <v>103.26901020431691</v>
      </c>
      <c r="C122" s="102">
        <f t="shared" ca="1" si="28"/>
        <v>1.5611127283284028</v>
      </c>
      <c r="D122" s="102">
        <f t="shared" si="29"/>
        <v>10.572981061878345</v>
      </c>
      <c r="E122" s="103">
        <f t="shared" si="30"/>
        <v>1.4760740392737879</v>
      </c>
      <c r="F122" s="101">
        <f t="shared" si="31"/>
        <v>856.31932082234175</v>
      </c>
      <c r="G122" s="104">
        <f t="shared" si="32"/>
        <v>1.5696285378603574</v>
      </c>
      <c r="H122" s="113">
        <f t="shared" si="33"/>
        <v>103.08421847477817</v>
      </c>
      <c r="I122" s="114">
        <f t="shared" si="34"/>
        <v>1.5610953686877003</v>
      </c>
      <c r="J122" s="101">
        <f t="shared" si="35"/>
        <v>10.546341364669951</v>
      </c>
      <c r="K122" s="104">
        <f t="shared" si="36"/>
        <v>1.4758340531153338</v>
      </c>
      <c r="L122" s="102">
        <f t="shared" si="37"/>
        <v>1.0998480286820878</v>
      </c>
      <c r="M122" s="103">
        <f t="shared" si="38"/>
        <v>0.42939804467857579</v>
      </c>
      <c r="N122" s="101">
        <f t="shared" si="39"/>
        <v>1.0026801292369438</v>
      </c>
      <c r="O122" s="104">
        <f t="shared" si="40"/>
        <v>7.3132167812961293E-2</v>
      </c>
      <c r="P122" s="105">
        <f t="shared" ca="1" si="41"/>
        <v>1.0600059880706221</v>
      </c>
      <c r="Q122" s="106">
        <f t="shared" ca="1" si="42"/>
        <v>0.3492338196505424</v>
      </c>
      <c r="R122" s="107">
        <f t="shared" ca="1" si="43"/>
        <v>13.847029803375415</v>
      </c>
      <c r="S122" s="108">
        <f t="shared" ca="1" si="44"/>
        <v>-89.517427965384371</v>
      </c>
      <c r="T122" s="116">
        <f t="shared" ca="1" si="45"/>
        <v>90.482572034615629</v>
      </c>
      <c r="V122" s="72">
        <f t="shared" ca="1" si="46"/>
        <v>1000000000</v>
      </c>
      <c r="W122" s="72">
        <f t="shared" si="47"/>
        <v>39811052.160000004</v>
      </c>
      <c r="Y122" s="110">
        <f t="shared" si="48"/>
        <v>26.034897406173151</v>
      </c>
      <c r="Z122" s="111">
        <f t="shared" si="49"/>
        <v>-64.635446029588763</v>
      </c>
      <c r="AA122" s="72">
        <f t="shared" si="50"/>
        <v>115.36455397041124</v>
      </c>
      <c r="AB122" s="110">
        <f t="shared" ca="1" si="51"/>
        <v>3.7297327440837638</v>
      </c>
      <c r="AC122" s="111">
        <f t="shared" ca="1" si="52"/>
        <v>-24.881981935795626</v>
      </c>
      <c r="AD122" s="72">
        <f t="shared" ca="1" si="53"/>
        <v>155.11801806420436</v>
      </c>
    </row>
    <row r="123" spans="1:30">
      <c r="A123" s="118">
        <v>6383.05</v>
      </c>
      <c r="B123" s="101">
        <f t="shared" ca="1" si="27"/>
        <v>104.47105179841515</v>
      </c>
      <c r="C123" s="102">
        <f t="shared" ca="1" si="28"/>
        <v>1.5612241510195022</v>
      </c>
      <c r="D123" s="102">
        <f t="shared" si="29"/>
        <v>10.69496631009959</v>
      </c>
      <c r="E123" s="103">
        <f t="shared" si="30"/>
        <v>1.4771576153384198</v>
      </c>
      <c r="F123" s="101">
        <f t="shared" si="31"/>
        <v>866.28771324560557</v>
      </c>
      <c r="G123" s="104">
        <f t="shared" si="32"/>
        <v>1.5696419756401963</v>
      </c>
      <c r="H123" s="113">
        <f t="shared" si="33"/>
        <v>104.28410870901102</v>
      </c>
      <c r="I123" s="114">
        <f t="shared" si="34"/>
        <v>1.5612069910999635</v>
      </c>
      <c r="J123" s="101">
        <f t="shared" si="35"/>
        <v>10.668013734856299</v>
      </c>
      <c r="K123" s="104">
        <f t="shared" si="36"/>
        <v>1.4769203420200323</v>
      </c>
      <c r="L123" s="102">
        <f t="shared" si="37"/>
        <v>1.1020778246110325</v>
      </c>
      <c r="M123" s="103">
        <f t="shared" si="38"/>
        <v>0.43379558780643879</v>
      </c>
      <c r="N123" s="101">
        <f t="shared" si="39"/>
        <v>1.0027428053127005</v>
      </c>
      <c r="O123" s="104">
        <f t="shared" si="40"/>
        <v>7.3980413624805841E-2</v>
      </c>
      <c r="P123" s="105">
        <f t="shared" ca="1" si="41"/>
        <v>1.0613707054240391</v>
      </c>
      <c r="Q123" s="106">
        <f t="shared" ca="1" si="42"/>
        <v>0.35300191206197623</v>
      </c>
      <c r="R123" s="107">
        <f t="shared" ca="1" si="43"/>
        <v>13.752379208953494</v>
      </c>
      <c r="S123" s="108">
        <f t="shared" ca="1" si="44"/>
        <v>-89.530877920122521</v>
      </c>
      <c r="T123" s="116">
        <f t="shared" ca="1" si="45"/>
        <v>90.469122079877479</v>
      </c>
      <c r="V123" s="72">
        <f t="shared" ca="1" si="46"/>
        <v>1000000000</v>
      </c>
      <c r="W123" s="72">
        <f t="shared" si="47"/>
        <v>40743327.302500002</v>
      </c>
      <c r="Y123" s="110">
        <f t="shared" si="48"/>
        <v>25.952302093592206</v>
      </c>
      <c r="Z123" s="111">
        <f t="shared" si="49"/>
        <v>-64.488700477496252</v>
      </c>
      <c r="AA123" s="72">
        <f t="shared" si="50"/>
        <v>115.51129952250375</v>
      </c>
      <c r="AB123" s="110">
        <f t="shared" ca="1" si="51"/>
        <v>3.7176774622427944</v>
      </c>
      <c r="AC123" s="111">
        <f t="shared" ca="1" si="52"/>
        <v>-25.04217744262629</v>
      </c>
      <c r="AD123" s="72">
        <f t="shared" ca="1" si="53"/>
        <v>154.9578225573737</v>
      </c>
    </row>
    <row r="124" spans="1:30">
      <c r="A124" s="118">
        <v>6456.5</v>
      </c>
      <c r="B124" s="101">
        <f t="shared" ca="1" si="27"/>
        <v>105.67309466001593</v>
      </c>
      <c r="C124" s="102">
        <f t="shared" ca="1" si="28"/>
        <v>1.5613330388216442</v>
      </c>
      <c r="D124" s="102">
        <f t="shared" si="29"/>
        <v>10.816963832444875</v>
      </c>
      <c r="E124" s="103">
        <f t="shared" si="30"/>
        <v>1.4782167507194683</v>
      </c>
      <c r="F124" s="101">
        <f t="shared" si="31"/>
        <v>876.25610582173908</v>
      </c>
      <c r="G124" s="104">
        <f t="shared" si="32"/>
        <v>1.5696551076805079</v>
      </c>
      <c r="H124" s="113">
        <f t="shared" si="33"/>
        <v>105.48400021301818</v>
      </c>
      <c r="I124" s="114">
        <f t="shared" si="34"/>
        <v>1.561316074080398</v>
      </c>
      <c r="J124" s="101">
        <f t="shared" si="35"/>
        <v>10.789698409627839</v>
      </c>
      <c r="K124" s="104">
        <f t="shared" si="36"/>
        <v>1.4779821301325613</v>
      </c>
      <c r="L124" s="102">
        <f t="shared" si="37"/>
        <v>1.1043288466404959</v>
      </c>
      <c r="M124" s="103">
        <f t="shared" si="38"/>
        <v>0.43817528777415304</v>
      </c>
      <c r="N124" s="101">
        <f t="shared" si="39"/>
        <v>1.0028062027924296</v>
      </c>
      <c r="O124" s="104">
        <f t="shared" si="40"/>
        <v>7.4828552794518763E-2</v>
      </c>
      <c r="P124" s="105">
        <f t="shared" ca="1" si="41"/>
        <v>1.0627494428023756</v>
      </c>
      <c r="Q124" s="106">
        <f t="shared" ca="1" si="42"/>
        <v>0.35676062821250776</v>
      </c>
      <c r="R124" s="107">
        <f t="shared" ca="1" si="43"/>
        <v>13.658903605454093</v>
      </c>
      <c r="S124" s="108">
        <f t="shared" ca="1" si="44"/>
        <v>-89.544786181044074</v>
      </c>
      <c r="T124" s="116">
        <f t="shared" ca="1" si="45"/>
        <v>90.455213818955926</v>
      </c>
      <c r="V124" s="72">
        <f t="shared" ca="1" si="46"/>
        <v>1000000000</v>
      </c>
      <c r="W124" s="72">
        <f t="shared" si="47"/>
        <v>41686392.25</v>
      </c>
      <c r="Y124" s="110">
        <f t="shared" si="48"/>
        <v>25.870952318931177</v>
      </c>
      <c r="Z124" s="111">
        <f t="shared" si="49"/>
        <v>-64.341695342184664</v>
      </c>
      <c r="AA124" s="72">
        <f t="shared" si="50"/>
        <v>115.65830465781534</v>
      </c>
      <c r="AB124" s="110">
        <f t="shared" ca="1" si="51"/>
        <v>3.7055516334044194</v>
      </c>
      <c r="AC124" s="111">
        <f t="shared" ca="1" si="52"/>
        <v>-25.203090838859406</v>
      </c>
      <c r="AD124" s="72">
        <f t="shared" ca="1" si="53"/>
        <v>154.7969091611406</v>
      </c>
    </row>
    <row r="125" spans="1:30">
      <c r="A125" s="118">
        <v>6531.7</v>
      </c>
      <c r="B125" s="101">
        <f t="shared" ca="1" si="27"/>
        <v>106.90377834095082</v>
      </c>
      <c r="C125" s="102">
        <f t="shared" ca="1" si="28"/>
        <v>1.5614419840427234</v>
      </c>
      <c r="D125" s="102">
        <f t="shared" si="29"/>
        <v>10.941880322582513</v>
      </c>
      <c r="E125" s="103">
        <f t="shared" si="30"/>
        <v>1.4792766509271009</v>
      </c>
      <c r="F125" s="101">
        <f t="shared" si="31"/>
        <v>886.46200279876382</v>
      </c>
      <c r="G125" s="104">
        <f t="shared" si="32"/>
        <v>1.5696682466189422</v>
      </c>
      <c r="H125" s="113">
        <f t="shared" si="33"/>
        <v>106.712481280964</v>
      </c>
      <c r="I125" s="114">
        <f t="shared" si="34"/>
        <v>1.5614252145834986</v>
      </c>
      <c r="J125" s="101">
        <f t="shared" si="35"/>
        <v>10.914294628882438</v>
      </c>
      <c r="K125" s="104">
        <f t="shared" si="36"/>
        <v>1.4790446860451343</v>
      </c>
      <c r="L125" s="102">
        <f t="shared" si="37"/>
        <v>1.1066553563675827</v>
      </c>
      <c r="M125" s="103">
        <f t="shared" si="38"/>
        <v>0.44264079019279134</v>
      </c>
      <c r="N125" s="101">
        <f t="shared" si="39"/>
        <v>1.0028718580113278</v>
      </c>
      <c r="O125" s="104">
        <f t="shared" si="40"/>
        <v>7.5696787764021514E-2</v>
      </c>
      <c r="P125" s="105">
        <f t="shared" ca="1" si="41"/>
        <v>1.064175498060087</v>
      </c>
      <c r="Q125" s="106">
        <f t="shared" ca="1" si="42"/>
        <v>0.36059912308125158</v>
      </c>
      <c r="R125" s="107">
        <f t="shared" ca="1" si="43"/>
        <v>13.564389948353517</v>
      </c>
      <c r="S125" s="108">
        <f t="shared" ca="1" si="44"/>
        <v>-89.559501271675956</v>
      </c>
      <c r="T125" s="116">
        <f t="shared" ca="1" si="45"/>
        <v>90.440498728324044</v>
      </c>
      <c r="V125" s="72">
        <f t="shared" ca="1" si="46"/>
        <v>1000000000</v>
      </c>
      <c r="W125" s="72">
        <f t="shared" si="47"/>
        <v>42663104.890000001</v>
      </c>
      <c r="Y125" s="110">
        <f t="shared" si="48"/>
        <v>25.7889269732839</v>
      </c>
      <c r="Z125" s="111">
        <f t="shared" si="49"/>
        <v>-64.190966584202258</v>
      </c>
      <c r="AA125" s="72">
        <f t="shared" si="50"/>
        <v>115.80903341579774</v>
      </c>
      <c r="AB125" s="110">
        <f t="shared" ca="1" si="51"/>
        <v>3.6930633219511213</v>
      </c>
      <c r="AC125" s="111">
        <f t="shared" ca="1" si="52"/>
        <v>-25.368534687473662</v>
      </c>
      <c r="AD125" s="72">
        <f t="shared" ca="1" si="53"/>
        <v>154.63146531252633</v>
      </c>
    </row>
    <row r="126" spans="1:30">
      <c r="A126" s="118">
        <v>6606.9</v>
      </c>
      <c r="B126" s="101">
        <f t="shared" ca="1" si="27"/>
        <v>108.13446326185155</v>
      </c>
      <c r="C126" s="102">
        <f t="shared" ca="1" si="28"/>
        <v>1.5615484494406322</v>
      </c>
      <c r="D126" s="102">
        <f t="shared" si="29"/>
        <v>11.066808827202937</v>
      </c>
      <c r="E126" s="103">
        <f t="shared" si="30"/>
        <v>1.4803126227501573</v>
      </c>
      <c r="F126" s="101">
        <f t="shared" si="31"/>
        <v>896.66789992533631</v>
      </c>
      <c r="G126" s="104">
        <f t="shared" si="32"/>
        <v>1.5696810864619073</v>
      </c>
      <c r="H126" s="113">
        <f t="shared" si="33"/>
        <v>107.94096359109808</v>
      </c>
      <c r="I126" s="114">
        <f t="shared" si="34"/>
        <v>1.5615318708191692</v>
      </c>
      <c r="J126" s="101">
        <f t="shared" si="35"/>
        <v>11.038902892472596</v>
      </c>
      <c r="K126" s="104">
        <f t="shared" si="36"/>
        <v>1.4800832546289331</v>
      </c>
      <c r="L126" s="102">
        <f t="shared" si="37"/>
        <v>1.1090038407461478</v>
      </c>
      <c r="M126" s="103">
        <f t="shared" si="38"/>
        <v>0.44708746820829787</v>
      </c>
      <c r="N126" s="101">
        <f t="shared" si="39"/>
        <v>1.0029382691277746</v>
      </c>
      <c r="O126" s="104">
        <f t="shared" si="40"/>
        <v>7.6564908404813323E-2</v>
      </c>
      <c r="P126" s="105">
        <f t="shared" ca="1" si="41"/>
        <v>1.0656161340919665</v>
      </c>
      <c r="Q126" s="106">
        <f t="shared" ca="1" si="42"/>
        <v>0.36442766617534866</v>
      </c>
      <c r="R126" s="107">
        <f t="shared" ca="1" si="43"/>
        <v>13.471051505022253</v>
      </c>
      <c r="S126" s="108">
        <f t="shared" ca="1" si="44"/>
        <v>-89.574697916396602</v>
      </c>
      <c r="T126" s="116">
        <f t="shared" ca="1" si="45"/>
        <v>90.425302083603398</v>
      </c>
      <c r="V126" s="72">
        <f t="shared" ca="1" si="46"/>
        <v>1000000000</v>
      </c>
      <c r="W126" s="72">
        <f t="shared" si="47"/>
        <v>43651127.609999992</v>
      </c>
      <c r="Y126" s="110">
        <f t="shared" si="48"/>
        <v>25.708151700519299</v>
      </c>
      <c r="Z126" s="111">
        <f t="shared" si="49"/>
        <v>-64.040060662948662</v>
      </c>
      <c r="AA126" s="72">
        <f t="shared" si="50"/>
        <v>115.95993933705134</v>
      </c>
      <c r="AB126" s="110">
        <f t="shared" ca="1" si="51"/>
        <v>3.6805001513844564</v>
      </c>
      <c r="AC126" s="111">
        <f t="shared" ca="1" si="52"/>
        <v>-25.534637253447944</v>
      </c>
      <c r="AD126" s="72">
        <f t="shared" ca="1" si="53"/>
        <v>154.46536274655205</v>
      </c>
    </row>
    <row r="127" spans="1:30">
      <c r="A127" s="118">
        <v>6683.85</v>
      </c>
      <c r="B127" s="101">
        <f t="shared" ca="1" si="27"/>
        <v>109.39378903187658</v>
      </c>
      <c r="C127" s="102">
        <f t="shared" ca="1" si="28"/>
        <v>1.561654912674761</v>
      </c>
      <c r="D127" s="102">
        <f t="shared" si="29"/>
        <v>11.19465659512144</v>
      </c>
      <c r="E127" s="103">
        <f t="shared" si="30"/>
        <v>1.4813487662612288</v>
      </c>
      <c r="F127" s="101">
        <f t="shared" si="31"/>
        <v>907.11130145639186</v>
      </c>
      <c r="G127" s="104">
        <f t="shared" si="32"/>
        <v>1.5696939260190024</v>
      </c>
      <c r="H127" s="113">
        <f t="shared" si="33"/>
        <v>109.19803549501444</v>
      </c>
      <c r="I127" s="114">
        <f t="shared" si="34"/>
        <v>1.5616385248879348</v>
      </c>
      <c r="J127" s="101">
        <f t="shared" si="35"/>
        <v>11.166422996820959</v>
      </c>
      <c r="K127" s="104">
        <f t="shared" si="36"/>
        <v>1.4811219963197158</v>
      </c>
      <c r="L127" s="102">
        <f t="shared" si="37"/>
        <v>1.1114295796972342</v>
      </c>
      <c r="M127" s="103">
        <f t="shared" si="38"/>
        <v>0.45161808114602797</v>
      </c>
      <c r="N127" s="101">
        <f t="shared" si="39"/>
        <v>1.0030070080473141</v>
      </c>
      <c r="O127" s="104">
        <f t="shared" si="40"/>
        <v>7.7453111629432442E-2</v>
      </c>
      <c r="P127" s="105">
        <f t="shared" ca="1" si="41"/>
        <v>1.0671053279741671</v>
      </c>
      <c r="Q127" s="106">
        <f t="shared" ca="1" si="42"/>
        <v>0.36833493958491742</v>
      </c>
      <c r="R127" s="107">
        <f t="shared" ca="1" si="43"/>
        <v>13.376729189025687</v>
      </c>
      <c r="S127" s="108">
        <f t="shared" ca="1" si="44"/>
        <v>-89.590747071513107</v>
      </c>
      <c r="T127" s="116">
        <f t="shared" ca="1" si="45"/>
        <v>90.409252928486893</v>
      </c>
      <c r="V127" s="72">
        <f t="shared" ca="1" si="46"/>
        <v>1000000000</v>
      </c>
      <c r="W127" s="72">
        <f t="shared" si="47"/>
        <v>44673850.822500005</v>
      </c>
      <c r="Y127" s="110">
        <f t="shared" si="48"/>
        <v>25.626762767485079</v>
      </c>
      <c r="Z127" s="111">
        <f t="shared" si="49"/>
        <v>-63.885506298263671</v>
      </c>
      <c r="AA127" s="72">
        <f t="shared" si="50"/>
        <v>116.11449370173634</v>
      </c>
      <c r="AB127" s="110">
        <f t="shared" ca="1" si="51"/>
        <v>3.6675667684221103</v>
      </c>
      <c r="AC127" s="111">
        <f t="shared" ca="1" si="52"/>
        <v>-25.705240773249489</v>
      </c>
      <c r="AD127" s="72">
        <f t="shared" ca="1" si="53"/>
        <v>154.2947592267505</v>
      </c>
    </row>
    <row r="128" spans="1:30">
      <c r="A128" s="118">
        <v>6760.8</v>
      </c>
      <c r="B128" s="101">
        <f t="shared" ca="1" si="27"/>
        <v>110.65311601359419</v>
      </c>
      <c r="C128" s="102">
        <f t="shared" ca="1" si="28"/>
        <v>1.5617589526249531</v>
      </c>
      <c r="D128" s="102">
        <f t="shared" si="29"/>
        <v>11.322516110128579</v>
      </c>
      <c r="E128" s="103">
        <f t="shared" si="30"/>
        <v>1.4823615095376714</v>
      </c>
      <c r="F128" s="101">
        <f t="shared" si="31"/>
        <v>917.55470313358444</v>
      </c>
      <c r="G128" s="104">
        <f t="shared" si="32"/>
        <v>1.5697064733021857</v>
      </c>
      <c r="H128" s="113">
        <f t="shared" si="33"/>
        <v>110.45510861279514</v>
      </c>
      <c r="I128" s="114">
        <f t="shared" si="34"/>
        <v>1.5617427513297635</v>
      </c>
      <c r="J128" s="101">
        <f t="shared" si="35"/>
        <v>11.293954877479953</v>
      </c>
      <c r="K128" s="104">
        <f t="shared" si="36"/>
        <v>1.4821372800433734</v>
      </c>
      <c r="L128" s="102">
        <f t="shared" si="37"/>
        <v>1.1138780327187947</v>
      </c>
      <c r="M128" s="103">
        <f t="shared" si="38"/>
        <v>0.45612886854930079</v>
      </c>
      <c r="N128" s="101">
        <f t="shared" si="39"/>
        <v>1.0030765381352518</v>
      </c>
      <c r="O128" s="104">
        <f t="shared" si="40"/>
        <v>7.8341192419714864E-2</v>
      </c>
      <c r="P128" s="105">
        <f t="shared" ca="1" si="41"/>
        <v>1.0686096644132312</v>
      </c>
      <c r="Q128" s="106">
        <f t="shared" ca="1" si="42"/>
        <v>0.37223166640298416</v>
      </c>
      <c r="R128" s="107">
        <f t="shared" ca="1" si="43"/>
        <v>13.283580852205601</v>
      </c>
      <c r="S128" s="108">
        <f t="shared" ca="1" si="44"/>
        <v>-89.607301050874796</v>
      </c>
      <c r="T128" s="116">
        <f t="shared" ca="1" si="45"/>
        <v>90.392698949125204</v>
      </c>
      <c r="V128" s="72">
        <f t="shared" ca="1" si="46"/>
        <v>1000000000</v>
      </c>
      <c r="W128" s="72">
        <f t="shared" si="47"/>
        <v>45708416.640000001</v>
      </c>
      <c r="Y128" s="110">
        <f t="shared" si="48"/>
        <v>25.546626849657997</v>
      </c>
      <c r="Z128" s="111">
        <f t="shared" si="49"/>
        <v>-63.730859142262688</v>
      </c>
      <c r="AA128" s="72">
        <f t="shared" si="50"/>
        <v>116.26914085773731</v>
      </c>
      <c r="AB128" s="110">
        <f t="shared" ca="1" si="51"/>
        <v>3.6545543494291093</v>
      </c>
      <c r="AC128" s="111">
        <f t="shared" ca="1" si="52"/>
        <v>-25.876441908612129</v>
      </c>
      <c r="AD128" s="72">
        <f t="shared" ca="1" si="53"/>
        <v>154.12355809138788</v>
      </c>
    </row>
    <row r="129" spans="1:30">
      <c r="A129" s="118">
        <v>6839.55</v>
      </c>
      <c r="B129" s="101">
        <f t="shared" ca="1" si="27"/>
        <v>111.94190214827404</v>
      </c>
      <c r="C129" s="102">
        <f t="shared" ca="1" si="28"/>
        <v>1.5618630026182829</v>
      </c>
      <c r="D129" s="102">
        <f t="shared" si="29"/>
        <v>11.453378242961946</v>
      </c>
      <c r="E129" s="103">
        <f t="shared" si="30"/>
        <v>1.4833745306099264</v>
      </c>
      <c r="F129" s="101">
        <f t="shared" si="31"/>
        <v>928.24239505464698</v>
      </c>
      <c r="G129" s="104">
        <f t="shared" si="32"/>
        <v>1.5697190217733217</v>
      </c>
      <c r="H129" s="113">
        <f t="shared" si="33"/>
        <v>111.74158816374678</v>
      </c>
      <c r="I129" s="114">
        <f t="shared" si="34"/>
        <v>1.5618469878334353</v>
      </c>
      <c r="J129" s="101">
        <f t="shared" si="35"/>
        <v>11.424481741254263</v>
      </c>
      <c r="K129" s="104">
        <f t="shared" si="36"/>
        <v>1.4831528431834555</v>
      </c>
      <c r="L129" s="102">
        <f t="shared" si="37"/>
        <v>1.1164071208190274</v>
      </c>
      <c r="M129" s="103">
        <f t="shared" si="38"/>
        <v>0.46072459008805661</v>
      </c>
      <c r="N129" s="101">
        <f t="shared" si="39"/>
        <v>1.0031485136314737</v>
      </c>
      <c r="O129" s="104">
        <f t="shared" si="40"/>
        <v>7.9249918830922028E-2</v>
      </c>
      <c r="P129" s="105">
        <f t="shared" ca="1" si="41"/>
        <v>1.0701648017491772</v>
      </c>
      <c r="Q129" s="106">
        <f t="shared" ca="1" si="42"/>
        <v>0.37620856097804001</v>
      </c>
      <c r="R129" s="107">
        <f t="shared" ca="1" si="43"/>
        <v>13.189440709938435</v>
      </c>
      <c r="S129" s="108">
        <f t="shared" ca="1" si="44"/>
        <v>-89.624765003657856</v>
      </c>
      <c r="T129" s="116">
        <f t="shared" ca="1" si="45"/>
        <v>90.375234996342144</v>
      </c>
      <c r="V129" s="72">
        <f t="shared" ca="1" si="46"/>
        <v>1000000000</v>
      </c>
      <c r="W129" s="72">
        <f t="shared" si="47"/>
        <v>46779444.202500001</v>
      </c>
      <c r="Y129" s="110">
        <f t="shared" si="48"/>
        <v>25.465885569383232</v>
      </c>
      <c r="Z129" s="111">
        <f t="shared" si="49"/>
        <v>-63.572544026647499</v>
      </c>
      <c r="AA129" s="72">
        <f t="shared" si="50"/>
        <v>116.42745597335249</v>
      </c>
      <c r="AB129" s="110">
        <f t="shared" ca="1" si="51"/>
        <v>3.6411554874367051</v>
      </c>
      <c r="AC129" s="111">
        <f t="shared" ca="1" si="52"/>
        <v>-26.05222097701029</v>
      </c>
      <c r="AD129" s="72">
        <f t="shared" ca="1" si="53"/>
        <v>153.94777902298972</v>
      </c>
    </row>
    <row r="130" spans="1:30">
      <c r="A130" s="118">
        <v>6918.3</v>
      </c>
      <c r="B130" s="101">
        <f t="shared" ca="1" si="27"/>
        <v>113.23068946729363</v>
      </c>
      <c r="C130" s="102">
        <f t="shared" ca="1" si="28"/>
        <v>1.5619646840267098</v>
      </c>
      <c r="D130" s="102">
        <f t="shared" si="29"/>
        <v>11.584251863828889</v>
      </c>
      <c r="E130" s="103">
        <f t="shared" si="30"/>
        <v>1.4843646633744489</v>
      </c>
      <c r="F130" s="101">
        <f t="shared" si="31"/>
        <v>938.93008711854679</v>
      </c>
      <c r="G130" s="104">
        <f t="shared" si="32"/>
        <v>1.5697312845699516</v>
      </c>
      <c r="H130" s="113">
        <f t="shared" si="33"/>
        <v>113.02806890116092</v>
      </c>
      <c r="I130" s="114">
        <f t="shared" si="34"/>
        <v>1.5619488515071716</v>
      </c>
      <c r="J130" s="101">
        <f t="shared" si="35"/>
        <v>11.555020121671154</v>
      </c>
      <c r="K130" s="104">
        <f t="shared" si="36"/>
        <v>1.4841454614628236</v>
      </c>
      <c r="L130" s="102">
        <f t="shared" si="37"/>
        <v>1.1189596812924891</v>
      </c>
      <c r="M130" s="103">
        <f t="shared" si="38"/>
        <v>0.4652994404502257</v>
      </c>
      <c r="N130" s="101">
        <f t="shared" si="39"/>
        <v>1.0032213173921145</v>
      </c>
      <c r="O130" s="104">
        <f t="shared" si="40"/>
        <v>8.0158514099809536E-2</v>
      </c>
      <c r="P130" s="105">
        <f t="shared" ca="1" si="41"/>
        <v>1.0717356634512358</v>
      </c>
      <c r="Q130" s="106">
        <f t="shared" ca="1" si="42"/>
        <v>0.38017428102209405</v>
      </c>
      <c r="R130" s="107">
        <f t="shared" ca="1" si="43"/>
        <v>13.096473405852407</v>
      </c>
      <c r="S130" s="108">
        <f t="shared" ca="1" si="44"/>
        <v>-89.642757654439237</v>
      </c>
      <c r="T130" s="116">
        <f t="shared" ca="1" si="45"/>
        <v>90.357242345560763</v>
      </c>
      <c r="V130" s="72">
        <f t="shared" ca="1" si="46"/>
        <v>1000000000</v>
      </c>
      <c r="W130" s="72">
        <f t="shared" si="47"/>
        <v>47862874.890000001</v>
      </c>
      <c r="Y130" s="110">
        <f t="shared" si="48"/>
        <v>25.3864002942749</v>
      </c>
      <c r="Z130" s="111">
        <f t="shared" si="49"/>
        <v>-63.414222168979698</v>
      </c>
      <c r="AA130" s="72">
        <f t="shared" si="50"/>
        <v>116.58577783102029</v>
      </c>
      <c r="AB130" s="110">
        <f t="shared" ca="1" si="51"/>
        <v>3.6276734584590091</v>
      </c>
      <c r="AC130" s="111">
        <f t="shared" ca="1" si="52"/>
        <v>-26.228535485459542</v>
      </c>
      <c r="AD130" s="72">
        <f t="shared" ca="1" si="53"/>
        <v>153.77146451454047</v>
      </c>
    </row>
    <row r="131" spans="1:30">
      <c r="A131" s="118">
        <v>6998.9</v>
      </c>
      <c r="B131" s="101">
        <f t="shared" ca="1" si="27"/>
        <v>114.54975424452132</v>
      </c>
      <c r="C131" s="102">
        <f t="shared" ca="1" si="28"/>
        <v>1.5620663848697547</v>
      </c>
      <c r="D131" s="102">
        <f t="shared" si="29"/>
        <v>11.718211470426949</v>
      </c>
      <c r="E131" s="103">
        <f t="shared" si="30"/>
        <v>1.4853551535759244</v>
      </c>
      <c r="F131" s="101">
        <f t="shared" si="31"/>
        <v>949.86885526587378</v>
      </c>
      <c r="G131" s="104">
        <f t="shared" si="32"/>
        <v>1.5697435496886893</v>
      </c>
      <c r="H131" s="113">
        <f t="shared" si="33"/>
        <v>114.34477291254503</v>
      </c>
      <c r="I131" s="114">
        <f t="shared" si="34"/>
        <v>1.5620507346510191</v>
      </c>
      <c r="J131" s="101">
        <f t="shared" si="35"/>
        <v>11.688636640969111</v>
      </c>
      <c r="K131" s="104">
        <f t="shared" si="36"/>
        <v>1.4851384389397084</v>
      </c>
      <c r="L131" s="102">
        <f t="shared" si="37"/>
        <v>1.1215963453933919</v>
      </c>
      <c r="M131" s="103">
        <f t="shared" si="38"/>
        <v>0.46996010067151139</v>
      </c>
      <c r="N131" s="101">
        <f t="shared" si="39"/>
        <v>1.003296688954566</v>
      </c>
      <c r="O131" s="104">
        <f t="shared" si="40"/>
        <v>8.1088316811089134E-2</v>
      </c>
      <c r="P131" s="105">
        <f t="shared" ca="1" si="41"/>
        <v>1.0733596390762317</v>
      </c>
      <c r="Q131" s="106">
        <f t="shared" ca="1" si="42"/>
        <v>0.38422152728629649</v>
      </c>
      <c r="R131" s="107">
        <f t="shared" ca="1" si="43"/>
        <v>13.00250813210009</v>
      </c>
      <c r="S131" s="108">
        <f t="shared" ca="1" si="44"/>
        <v>-89.661720199617491</v>
      </c>
      <c r="T131" s="116">
        <f t="shared" ca="1" si="45"/>
        <v>90.338279800382509</v>
      </c>
      <c r="V131" s="72">
        <f t="shared" ca="1" si="46"/>
        <v>1000000000</v>
      </c>
      <c r="W131" s="72">
        <f t="shared" si="47"/>
        <v>48984601.209999993</v>
      </c>
      <c r="Y131" s="110">
        <f t="shared" si="48"/>
        <v>25.306319985872147</v>
      </c>
      <c r="Z131" s="111">
        <f t="shared" si="49"/>
        <v>-63.252218463476531</v>
      </c>
      <c r="AA131" s="72">
        <f t="shared" si="50"/>
        <v>116.74778153652346</v>
      </c>
      <c r="AB131" s="110">
        <f t="shared" ca="1" si="51"/>
        <v>3.6137884931094466</v>
      </c>
      <c r="AC131" s="111">
        <f t="shared" ca="1" si="52"/>
        <v>-26.409501736141003</v>
      </c>
      <c r="AD131" s="72">
        <f t="shared" ca="1" si="53"/>
        <v>153.59049826385899</v>
      </c>
    </row>
    <row r="132" spans="1:30">
      <c r="A132" s="118">
        <v>7079.5</v>
      </c>
      <c r="B132" s="101">
        <f t="shared" ca="1" si="27"/>
        <v>115.86882017956846</v>
      </c>
      <c r="C132" s="102">
        <f t="shared" ca="1" si="28"/>
        <v>1.5621657701621798</v>
      </c>
      <c r="D132" s="102">
        <f t="shared" si="29"/>
        <v>11.852182313537448</v>
      </c>
      <c r="E132" s="103">
        <f t="shared" si="30"/>
        <v>1.4863232527474648</v>
      </c>
      <c r="F132" s="101">
        <f t="shared" si="31"/>
        <v>960.80762355283878</v>
      </c>
      <c r="G132" s="104">
        <f t="shared" si="32"/>
        <v>1.5697555355313517</v>
      </c>
      <c r="H132" s="113">
        <f t="shared" si="33"/>
        <v>115.66147808382385</v>
      </c>
      <c r="I132" s="114">
        <f t="shared" si="34"/>
        <v>1.562150298094203</v>
      </c>
      <c r="J132" s="101">
        <f t="shared" si="35"/>
        <v>11.822264424791522</v>
      </c>
      <c r="K132" s="104">
        <f t="shared" si="36"/>
        <v>1.486108969984288</v>
      </c>
      <c r="L132" s="102">
        <f t="shared" si="37"/>
        <v>1.1242572579511665</v>
      </c>
      <c r="M132" s="103">
        <f t="shared" si="38"/>
        <v>0.47459879938697702</v>
      </c>
      <c r="N132" s="101">
        <f t="shared" si="39"/>
        <v>1.0033729277694463</v>
      </c>
      <c r="O132" s="104">
        <f t="shared" si="40"/>
        <v>8.2017979028464014E-2</v>
      </c>
      <c r="P132" s="105">
        <f t="shared" ca="1" si="41"/>
        <v>1.0749999406929702</v>
      </c>
      <c r="Q132" s="106">
        <f t="shared" ca="1" si="42"/>
        <v>0.38825693691189311</v>
      </c>
      <c r="R132" s="107">
        <f t="shared" ca="1" si="43"/>
        <v>12.909714585151946</v>
      </c>
      <c r="S132" s="108">
        <f t="shared" ca="1" si="44"/>
        <v>-89.681235869365707</v>
      </c>
      <c r="T132" s="116">
        <f t="shared" ca="1" si="45"/>
        <v>90.318764130634293</v>
      </c>
      <c r="V132" s="72">
        <f t="shared" ca="1" si="46"/>
        <v>1000000000</v>
      </c>
      <c r="W132" s="72">
        <f t="shared" si="47"/>
        <v>50119320.25</v>
      </c>
      <c r="Y132" s="110">
        <f t="shared" si="48"/>
        <v>25.227498648151688</v>
      </c>
      <c r="Z132" s="111">
        <f t="shared" si="49"/>
        <v>-63.09029583174199</v>
      </c>
      <c r="AA132" s="72">
        <f t="shared" si="50"/>
        <v>116.909704168258</v>
      </c>
      <c r="AB132" s="110">
        <f t="shared" ca="1" si="51"/>
        <v>3.5998162838817587</v>
      </c>
      <c r="AC132" s="111">
        <f t="shared" ca="1" si="52"/>
        <v>-26.590940037623739</v>
      </c>
      <c r="AD132" s="72">
        <f t="shared" ca="1" si="53"/>
        <v>153.40905996237626</v>
      </c>
    </row>
    <row r="133" spans="1:30">
      <c r="A133" s="118">
        <v>7161.95</v>
      </c>
      <c r="B133" s="101">
        <f t="shared" ca="1" si="27"/>
        <v>117.21816359914361</v>
      </c>
      <c r="C133" s="102">
        <f t="shared" ca="1" si="28"/>
        <v>1.5622651222474118</v>
      </c>
      <c r="D133" s="102">
        <f t="shared" si="29"/>
        <v>11.989239403404458</v>
      </c>
      <c r="E133" s="103">
        <f t="shared" si="30"/>
        <v>1.4872911854550313</v>
      </c>
      <c r="F133" s="101">
        <f t="shared" si="31"/>
        <v>971.99746792640428</v>
      </c>
      <c r="G133" s="104">
        <f t="shared" si="32"/>
        <v>1.5697675173489816</v>
      </c>
      <c r="H133" s="113">
        <f t="shared" si="33"/>
        <v>117.00840655543973</v>
      </c>
      <c r="I133" s="114">
        <f t="shared" si="34"/>
        <v>1.562249828271282</v>
      </c>
      <c r="J133" s="101">
        <f t="shared" si="35"/>
        <v>11.958970609199831</v>
      </c>
      <c r="K133" s="104">
        <f t="shared" si="36"/>
        <v>1.4870793349528739</v>
      </c>
      <c r="L133" s="102">
        <f t="shared" si="37"/>
        <v>1.1270041566634506</v>
      </c>
      <c r="M133" s="103">
        <f t="shared" si="38"/>
        <v>0.47932120089055447</v>
      </c>
      <c r="N133" s="101">
        <f t="shared" si="39"/>
        <v>1.0034518136163288</v>
      </c>
      <c r="O133" s="104">
        <f t="shared" si="40"/>
        <v>8.2968832636748494E-2</v>
      </c>
      <c r="P133" s="105">
        <f t="shared" ca="1" si="41"/>
        <v>1.0766947069255639</v>
      </c>
      <c r="Q133" s="106">
        <f t="shared" ca="1" si="42"/>
        <v>0.39237265723123937</v>
      </c>
      <c r="R133" s="107">
        <f t="shared" ca="1" si="43"/>
        <v>12.815975019484355</v>
      </c>
      <c r="S133" s="108">
        <f t="shared" ca="1" si="44"/>
        <v>-89.701771158673168</v>
      </c>
      <c r="T133" s="116">
        <f t="shared" ca="1" si="45"/>
        <v>90.298228841326832</v>
      </c>
      <c r="V133" s="72">
        <f t="shared" ca="1" si="46"/>
        <v>1000000000</v>
      </c>
      <c r="W133" s="72">
        <f t="shared" si="47"/>
        <v>51293527.802499995</v>
      </c>
      <c r="Y133" s="110">
        <f t="shared" si="48"/>
        <v>25.148142223995613</v>
      </c>
      <c r="Z133" s="111">
        <f t="shared" si="49"/>
        <v>-62.924783720708724</v>
      </c>
      <c r="AA133" s="72">
        <f t="shared" si="50"/>
        <v>117.07521627929128</v>
      </c>
      <c r="AB133" s="110">
        <f t="shared" ca="1" si="51"/>
        <v>3.5854331423702424</v>
      </c>
      <c r="AC133" s="111">
        <f t="shared" ca="1" si="52"/>
        <v>-26.77698743796449</v>
      </c>
      <c r="AD133" s="72">
        <f t="shared" ca="1" si="53"/>
        <v>153.22301256203551</v>
      </c>
    </row>
    <row r="134" spans="1:30">
      <c r="A134" s="118">
        <v>7244.4</v>
      </c>
      <c r="B134" s="101">
        <f t="shared" ca="1" si="27"/>
        <v>118.56750814942494</v>
      </c>
      <c r="C134" s="102">
        <f t="shared" ca="1" si="28"/>
        <v>1.5623622130025185</v>
      </c>
      <c r="D134" s="102">
        <f t="shared" si="29"/>
        <v>12.126307471995617</v>
      </c>
      <c r="E134" s="103">
        <f t="shared" si="30"/>
        <v>1.4882372372406827</v>
      </c>
      <c r="F134" s="101">
        <f t="shared" si="31"/>
        <v>983.18731243633738</v>
      </c>
      <c r="G134" s="104">
        <f t="shared" si="32"/>
        <v>1.5697792264318564</v>
      </c>
      <c r="H134" s="113">
        <f t="shared" si="33"/>
        <v>118.35533615978851</v>
      </c>
      <c r="I134" s="114">
        <f t="shared" si="34"/>
        <v>1.5623470930653127</v>
      </c>
      <c r="J134" s="101">
        <f t="shared" si="35"/>
        <v>12.095687799729092</v>
      </c>
      <c r="K134" s="104">
        <f t="shared" si="36"/>
        <v>1.4880277647864351</v>
      </c>
      <c r="L134" s="102">
        <f t="shared" si="37"/>
        <v>1.1297760662380076</v>
      </c>
      <c r="M134" s="103">
        <f t="shared" si="38"/>
        <v>0.48402053391033945</v>
      </c>
      <c r="N134" s="101">
        <f t="shared" si="39"/>
        <v>1.0035316065635462</v>
      </c>
      <c r="O134" s="104">
        <f t="shared" si="40"/>
        <v>8.3919535895658412E-2</v>
      </c>
      <c r="P134" s="105">
        <f t="shared" ca="1" si="41"/>
        <v>1.078406399817633</v>
      </c>
      <c r="Q134" s="106">
        <f t="shared" ca="1" si="42"/>
        <v>0.39647585887403031</v>
      </c>
      <c r="R134" s="107">
        <f t="shared" ca="1" si="43"/>
        <v>12.723404637161256</v>
      </c>
      <c r="S134" s="108">
        <f t="shared" ca="1" si="44"/>
        <v>-89.722883792508668</v>
      </c>
      <c r="T134" s="116">
        <f t="shared" ca="1" si="45"/>
        <v>90.277116207491332</v>
      </c>
      <c r="V134" s="72">
        <f t="shared" ca="1" si="46"/>
        <v>1000000000</v>
      </c>
      <c r="W134" s="72">
        <f t="shared" si="47"/>
        <v>52481331.359999992</v>
      </c>
      <c r="Y134" s="110">
        <f t="shared" si="48"/>
        <v>25.070046129744309</v>
      </c>
      <c r="Z134" s="111">
        <f t="shared" si="49"/>
        <v>-62.759442101729377</v>
      </c>
      <c r="AA134" s="72">
        <f t="shared" si="50"/>
        <v>117.24055789827062</v>
      </c>
      <c r="AB134" s="110">
        <f t="shared" ca="1" si="51"/>
        <v>3.5709588542984489</v>
      </c>
      <c r="AC134" s="111">
        <f t="shared" ca="1" si="52"/>
        <v>-26.96344169077932</v>
      </c>
      <c r="AD134" s="72">
        <f t="shared" ca="1" si="53"/>
        <v>153.03655830922068</v>
      </c>
    </row>
    <row r="135" spans="1:30">
      <c r="A135" s="118">
        <v>7328.75</v>
      </c>
      <c r="B135" s="101">
        <f t="shared" ca="1" si="27"/>
        <v>119.94794848913857</v>
      </c>
      <c r="C135" s="102">
        <f t="shared" ca="1" si="28"/>
        <v>1.5624592806254551</v>
      </c>
      <c r="D135" s="102">
        <f t="shared" si="29"/>
        <v>12.26654515142145</v>
      </c>
      <c r="E135" s="103">
        <f t="shared" si="30"/>
        <v>1.4891832101674556</v>
      </c>
      <c r="F135" s="101">
        <f t="shared" si="31"/>
        <v>994.63501887238681</v>
      </c>
      <c r="G135" s="104">
        <f t="shared" si="32"/>
        <v>1.569790932706115</v>
      </c>
      <c r="H135" s="113">
        <f t="shared" si="33"/>
        <v>119.73330590493123</v>
      </c>
      <c r="I135" s="114">
        <f t="shared" si="34"/>
        <v>1.5624443346862793</v>
      </c>
      <c r="J135" s="101">
        <f t="shared" si="35"/>
        <v>12.235566542771158</v>
      </c>
      <c r="K135" s="104">
        <f t="shared" si="36"/>
        <v>1.4889761163155533</v>
      </c>
      <c r="L135" s="102">
        <f t="shared" si="37"/>
        <v>1.1326375429885296</v>
      </c>
      <c r="M135" s="103">
        <f t="shared" si="38"/>
        <v>0.48880424863078831</v>
      </c>
      <c r="N135" s="101">
        <f t="shared" si="39"/>
        <v>1.0036141767516786</v>
      </c>
      <c r="O135" s="104">
        <f t="shared" si="40"/>
        <v>8.4891990075653054E-2</v>
      </c>
      <c r="P135" s="105">
        <f t="shared" ca="1" si="41"/>
        <v>1.0801749702214314</v>
      </c>
      <c r="Q135" s="106">
        <f t="shared" ca="1" si="42"/>
        <v>0.40066059433229534</v>
      </c>
      <c r="R135" s="107">
        <f t="shared" ca="1" si="43"/>
        <v>12.629882386062183</v>
      </c>
      <c r="S135" s="108">
        <f t="shared" ca="1" si="44"/>
        <v>-89.745079363710218</v>
      </c>
      <c r="T135" s="116">
        <f t="shared" ca="1" si="45"/>
        <v>90.254920636289782</v>
      </c>
      <c r="V135" s="72">
        <f t="shared" ca="1" si="46"/>
        <v>1000000000</v>
      </c>
      <c r="W135" s="72">
        <f t="shared" si="47"/>
        <v>53710576.5625</v>
      </c>
      <c r="Y135" s="110">
        <f t="shared" si="48"/>
        <v>24.991425859077694</v>
      </c>
      <c r="Z135" s="111">
        <f t="shared" si="49"/>
        <v>-62.590508683691233</v>
      </c>
      <c r="AA135" s="72">
        <f t="shared" si="50"/>
        <v>117.40949131630876</v>
      </c>
      <c r="AB135" s="110">
        <f t="shared" ca="1" si="51"/>
        <v>3.5560568738659883</v>
      </c>
      <c r="AC135" s="111">
        <f t="shared" ca="1" si="52"/>
        <v>-27.154570680018963</v>
      </c>
      <c r="AD135" s="72">
        <f t="shared" ca="1" si="53"/>
        <v>152.84542931998104</v>
      </c>
    </row>
    <row r="136" spans="1:30">
      <c r="A136" s="118">
        <v>7413.1</v>
      </c>
      <c r="B136" s="101">
        <f t="shared" ca="1" si="27"/>
        <v>121.32838993329918</v>
      </c>
      <c r="C136" s="102">
        <f t="shared" ca="1" si="28"/>
        <v>1.5625541394312061</v>
      </c>
      <c r="D136" s="102">
        <f t="shared" si="29"/>
        <v>12.40679355959052</v>
      </c>
      <c r="E136" s="103">
        <f t="shared" si="30"/>
        <v>1.4901077970430781</v>
      </c>
      <c r="F136" s="101">
        <f t="shared" si="31"/>
        <v>1006.0827254416361</v>
      </c>
      <c r="G136" s="104">
        <f t="shared" si="32"/>
        <v>1.5698023725808248</v>
      </c>
      <c r="H136" s="113">
        <f t="shared" si="33"/>
        <v>121.11127675650054</v>
      </c>
      <c r="I136" s="114">
        <f t="shared" si="34"/>
        <v>1.562539363531203</v>
      </c>
      <c r="J136" s="101">
        <f t="shared" si="35"/>
        <v>12.37545604135506</v>
      </c>
      <c r="K136" s="104">
        <f t="shared" si="36"/>
        <v>1.4899030287384503</v>
      </c>
      <c r="L136" s="102">
        <f t="shared" si="37"/>
        <v>1.1355248079577343</v>
      </c>
      <c r="M136" s="103">
        <f t="shared" si="38"/>
        <v>0.49356374499125122</v>
      </c>
      <c r="N136" s="101">
        <f t="shared" si="39"/>
        <v>1.003697695868073</v>
      </c>
      <c r="O136" s="104">
        <f t="shared" si="40"/>
        <v>8.5864283336388847E-2</v>
      </c>
      <c r="P136" s="105">
        <f t="shared" ca="1" si="41"/>
        <v>1.0819610866653149</v>
      </c>
      <c r="Q136" s="106">
        <f t="shared" ca="1" si="42"/>
        <v>0.40483209409854426</v>
      </c>
      <c r="R136" s="107">
        <f t="shared" ca="1" si="43"/>
        <v>12.537526789799085</v>
      </c>
      <c r="S136" s="108">
        <f t="shared" ca="1" si="44"/>
        <v>-89.76787689886487</v>
      </c>
      <c r="T136" s="116">
        <f t="shared" ca="1" si="45"/>
        <v>90.23212310113513</v>
      </c>
      <c r="V136" s="72">
        <f t="shared" ca="1" si="46"/>
        <v>1000000000</v>
      </c>
      <c r="W136" s="72">
        <f t="shared" si="47"/>
        <v>54954051.610000007</v>
      </c>
      <c r="Y136" s="110">
        <f t="shared" si="48"/>
        <v>24.914067213930949</v>
      </c>
      <c r="Z136" s="111">
        <f t="shared" si="49"/>
        <v>-62.421836804328429</v>
      </c>
      <c r="AA136" s="72">
        <f t="shared" si="50"/>
        <v>117.57816319567158</v>
      </c>
      <c r="AB136" s="110">
        <f t="shared" ca="1" si="51"/>
        <v>3.5410599227496382</v>
      </c>
      <c r="AC136" s="111">
        <f t="shared" ca="1" si="52"/>
        <v>-27.346040094536455</v>
      </c>
      <c r="AD136" s="72">
        <f t="shared" ca="1" si="53"/>
        <v>152.65395990546355</v>
      </c>
    </row>
    <row r="137" spans="1:30">
      <c r="A137" s="118">
        <v>7499.45</v>
      </c>
      <c r="B137" s="101">
        <f t="shared" ca="1" si="27"/>
        <v>122.74156375572062</v>
      </c>
      <c r="C137" s="102">
        <f t="shared" ca="1" si="28"/>
        <v>1.5626490372171749</v>
      </c>
      <c r="D137" s="102">
        <f t="shared" si="29"/>
        <v>12.550378097597669</v>
      </c>
      <c r="E137" s="103">
        <f t="shared" si="30"/>
        <v>1.4910329007718699</v>
      </c>
      <c r="F137" s="101">
        <f t="shared" si="31"/>
        <v>1017.8018656135035</v>
      </c>
      <c r="G137" s="104">
        <f t="shared" si="32"/>
        <v>1.5698138171388696</v>
      </c>
      <c r="H137" s="113">
        <f t="shared" si="33"/>
        <v>122.52192140875992</v>
      </c>
      <c r="I137" s="114">
        <f t="shared" si="34"/>
        <v>1.5626344314267524</v>
      </c>
      <c r="J137" s="101">
        <f t="shared" si="35"/>
        <v>12.518673186602793</v>
      </c>
      <c r="K137" s="104">
        <f t="shared" si="36"/>
        <v>1.4908304600179463</v>
      </c>
      <c r="L137" s="102">
        <f t="shared" si="37"/>
        <v>1.1385070398906834</v>
      </c>
      <c r="M137" s="103">
        <f t="shared" si="38"/>
        <v>0.49841097409986312</v>
      </c>
      <c r="N137" s="101">
        <f t="shared" si="39"/>
        <v>1.0037841779809764</v>
      </c>
      <c r="O137" s="104">
        <f t="shared" si="40"/>
        <v>8.6859461814395383E-2</v>
      </c>
      <c r="P137" s="105">
        <f t="shared" ca="1" si="41"/>
        <v>1.0838076381872888</v>
      </c>
      <c r="Q137" s="106">
        <f t="shared" ca="1" si="42"/>
        <v>0.40908872593226503</v>
      </c>
      <c r="R137" s="107">
        <f t="shared" ca="1" si="43"/>
        <v>12.444161212074681</v>
      </c>
      <c r="S137" s="108">
        <f t="shared" ca="1" si="44"/>
        <v>-89.791837031446406</v>
      </c>
      <c r="T137" s="116">
        <f t="shared" ca="1" si="45"/>
        <v>90.208162968553594</v>
      </c>
      <c r="V137" s="72">
        <f t="shared" ca="1" si="46"/>
        <v>1000000000</v>
      </c>
      <c r="W137" s="72">
        <f t="shared" si="47"/>
        <v>56241750.302499995</v>
      </c>
      <c r="Y137" s="110">
        <f t="shared" si="48"/>
        <v>24.836152231540932</v>
      </c>
      <c r="Z137" s="111">
        <f t="shared" si="49"/>
        <v>-62.249477194322807</v>
      </c>
      <c r="AA137" s="72">
        <f t="shared" si="50"/>
        <v>117.75052280567719</v>
      </c>
      <c r="AB137" s="110">
        <f t="shared" ca="1" si="51"/>
        <v>3.5256093274152498</v>
      </c>
      <c r="AC137" s="111">
        <f t="shared" ca="1" si="52"/>
        <v>-27.542359837123566</v>
      </c>
      <c r="AD137" s="72">
        <f t="shared" ca="1" si="53"/>
        <v>152.45764016287643</v>
      </c>
    </row>
    <row r="138" spans="1:30">
      <c r="A138" s="118">
        <v>7585.8</v>
      </c>
      <c r="B138" s="101">
        <f t="shared" ca="1" si="27"/>
        <v>124.15473865833903</v>
      </c>
      <c r="C138" s="102">
        <f t="shared" ca="1" si="28"/>
        <v>1.5627417746809518</v>
      </c>
      <c r="D138" s="102">
        <f t="shared" si="29"/>
        <v>12.69397313344127</v>
      </c>
      <c r="E138" s="103">
        <f t="shared" si="30"/>
        <v>1.4919370755948695</v>
      </c>
      <c r="F138" s="101">
        <f t="shared" si="31"/>
        <v>1029.5210059156459</v>
      </c>
      <c r="G138" s="104">
        <f t="shared" si="32"/>
        <v>1.5698250011478243</v>
      </c>
      <c r="H138" s="113">
        <f t="shared" si="33"/>
        <v>123.93256714315247</v>
      </c>
      <c r="I138" s="114">
        <f t="shared" si="34"/>
        <v>1.5627273351281212</v>
      </c>
      <c r="J138" s="101">
        <f t="shared" si="35"/>
        <v>12.66190085593276</v>
      </c>
      <c r="K138" s="104">
        <f t="shared" si="36"/>
        <v>1.4917369104070126</v>
      </c>
      <c r="L138" s="102">
        <f t="shared" si="37"/>
        <v>1.1415158816288589</v>
      </c>
      <c r="M138" s="103">
        <f t="shared" si="38"/>
        <v>0.50323276306102638</v>
      </c>
      <c r="N138" s="101">
        <f t="shared" si="39"/>
        <v>1.0038716540499983</v>
      </c>
      <c r="O138" s="104">
        <f t="shared" si="40"/>
        <v>8.7854467840579875E-2</v>
      </c>
      <c r="P138" s="105">
        <f t="shared" ca="1" si="41"/>
        <v>1.0856723944380779</v>
      </c>
      <c r="Q138" s="106">
        <f t="shared" ca="1" si="42"/>
        <v>0.41333135301178664</v>
      </c>
      <c r="R138" s="107">
        <f t="shared" ca="1" si="43"/>
        <v>12.351961052355875</v>
      </c>
      <c r="S138" s="108">
        <f t="shared" ca="1" si="44"/>
        <v>-89.816424798022396</v>
      </c>
      <c r="T138" s="116">
        <f t="shared" ca="1" si="45"/>
        <v>90.183575201977604</v>
      </c>
      <c r="V138" s="72">
        <f t="shared" ca="1" si="46"/>
        <v>1000000000</v>
      </c>
      <c r="W138" s="72">
        <f t="shared" si="47"/>
        <v>57544361.640000001</v>
      </c>
      <c r="Y138" s="110">
        <f t="shared" si="48"/>
        <v>24.759501486177072</v>
      </c>
      <c r="Z138" s="111">
        <f t="shared" si="49"/>
        <v>-62.077472270992374</v>
      </c>
      <c r="AA138" s="72">
        <f t="shared" si="50"/>
        <v>117.92252772900763</v>
      </c>
      <c r="AB138" s="110">
        <f t="shared" ca="1" si="51"/>
        <v>3.5100599130603078</v>
      </c>
      <c r="AC138" s="111">
        <f t="shared" ca="1" si="52"/>
        <v>-27.738952527030001</v>
      </c>
      <c r="AD138" s="72">
        <f t="shared" ca="1" si="53"/>
        <v>152.26104747297001</v>
      </c>
    </row>
    <row r="139" spans="1:30">
      <c r="A139" s="118">
        <v>7674.15</v>
      </c>
      <c r="B139" s="101">
        <f t="shared" ca="1" si="27"/>
        <v>125.60064596468716</v>
      </c>
      <c r="C139" s="102">
        <f t="shared" ca="1" si="28"/>
        <v>1.5628345001855564</v>
      </c>
      <c r="D139" s="102">
        <f t="shared" si="29"/>
        <v>12.840904551196246</v>
      </c>
      <c r="E139" s="103">
        <f t="shared" si="30"/>
        <v>1.4928412616685016</v>
      </c>
      <c r="F139" s="101">
        <f t="shared" si="31"/>
        <v>1041.5115798234774</v>
      </c>
      <c r="G139" s="104">
        <f t="shared" si="32"/>
        <v>1.5698361836980572</v>
      </c>
      <c r="H139" s="113">
        <f t="shared" si="33"/>
        <v>125.37588670374961</v>
      </c>
      <c r="I139" s="114">
        <f t="shared" si="34"/>
        <v>1.5628202268493783</v>
      </c>
      <c r="J139" s="101">
        <f t="shared" si="35"/>
        <v>12.808456424653471</v>
      </c>
      <c r="K139" s="104">
        <f t="shared" si="36"/>
        <v>1.4926433727320776</v>
      </c>
      <c r="L139" s="102">
        <f t="shared" si="37"/>
        <v>1.1446217353595403</v>
      </c>
      <c r="M139" s="103">
        <f t="shared" si="38"/>
        <v>0.50813987768045443</v>
      </c>
      <c r="N139" s="101">
        <f t="shared" si="39"/>
        <v>1.0039621846845985</v>
      </c>
      <c r="O139" s="104">
        <f t="shared" si="40"/>
        <v>8.8872339253341995E-2</v>
      </c>
      <c r="P139" s="105">
        <f t="shared" ca="1" si="41"/>
        <v>1.0875990863112539</v>
      </c>
      <c r="Q139" s="106">
        <f t="shared" ca="1" si="42"/>
        <v>0.41765768379653373</v>
      </c>
      <c r="R139" s="107">
        <f t="shared" ca="1" si="43"/>
        <v>12.258802902941001</v>
      </c>
      <c r="S139" s="108">
        <f t="shared" ca="1" si="44"/>
        <v>-89.84222968057361</v>
      </c>
      <c r="T139" s="116">
        <f t="shared" ca="1" si="45"/>
        <v>90.15777031942639</v>
      </c>
      <c r="V139" s="72">
        <f t="shared" ca="1" si="46"/>
        <v>1000000000</v>
      </c>
      <c r="W139" s="72">
        <f t="shared" si="47"/>
        <v>58892578.222499996</v>
      </c>
      <c r="Y139" s="110">
        <f t="shared" si="48"/>
        <v>24.682354714463187</v>
      </c>
      <c r="Z139" s="111">
        <f t="shared" si="49"/>
        <v>-61.901889924416487</v>
      </c>
      <c r="AA139" s="72">
        <f t="shared" si="50"/>
        <v>118.09811007558352</v>
      </c>
      <c r="AB139" s="110">
        <f t="shared" ca="1" si="51"/>
        <v>3.4940485353593158</v>
      </c>
      <c r="AC139" s="111">
        <f t="shared" ca="1" si="52"/>
        <v>-27.940339756157098</v>
      </c>
      <c r="AD139" s="72">
        <f t="shared" ca="1" si="53"/>
        <v>152.0596602438429</v>
      </c>
    </row>
    <row r="140" spans="1:30">
      <c r="A140" s="118">
        <v>7762.5</v>
      </c>
      <c r="B140" s="101">
        <f t="shared" ca="1" si="27"/>
        <v>127.04655432637117</v>
      </c>
      <c r="C140" s="102">
        <f t="shared" ca="1" si="28"/>
        <v>1.562925115085358</v>
      </c>
      <c r="D140" s="102">
        <f t="shared" si="29"/>
        <v>12.98784622952917</v>
      </c>
      <c r="E140" s="103">
        <f t="shared" si="30"/>
        <v>1.4937249889203879</v>
      </c>
      <c r="F140" s="101">
        <f t="shared" si="31"/>
        <v>1053.5021538585847</v>
      </c>
      <c r="G140" s="104">
        <f t="shared" si="32"/>
        <v>1.5698471116969439</v>
      </c>
      <c r="H140" s="113">
        <f t="shared" si="33"/>
        <v>126.81920732157427</v>
      </c>
      <c r="I140" s="114">
        <f t="shared" si="34"/>
        <v>1.562911004182908</v>
      </c>
      <c r="J140" s="101">
        <f t="shared" si="35"/>
        <v>12.95502227962711</v>
      </c>
      <c r="K140" s="104">
        <f t="shared" si="36"/>
        <v>1.4935293253589086</v>
      </c>
      <c r="L140" s="102">
        <f t="shared" si="37"/>
        <v>1.1477550017686782</v>
      </c>
      <c r="M140" s="103">
        <f t="shared" si="38"/>
        <v>0.51302031733758813</v>
      </c>
      <c r="N140" s="101">
        <f t="shared" si="39"/>
        <v>1.0040537552982791</v>
      </c>
      <c r="O140" s="104">
        <f t="shared" si="40"/>
        <v>8.9890026058738373E-2</v>
      </c>
      <c r="P140" s="105">
        <f t="shared" ca="1" si="41"/>
        <v>1.0895446385017935</v>
      </c>
      <c r="Q140" s="106">
        <f t="shared" ca="1" si="42"/>
        <v>0.42196921989196712</v>
      </c>
      <c r="R140" s="107">
        <f t="shared" ca="1" si="43"/>
        <v>12.166807442607663</v>
      </c>
      <c r="S140" s="108">
        <f t="shared" ca="1" si="44"/>
        <v>-89.868687392423638</v>
      </c>
      <c r="T140" s="116">
        <f t="shared" ca="1" si="45"/>
        <v>90.131312607576362</v>
      </c>
      <c r="V140" s="72">
        <f t="shared" ca="1" si="46"/>
        <v>1000000000</v>
      </c>
      <c r="W140" s="72">
        <f t="shared" si="47"/>
        <v>60256406.25</v>
      </c>
      <c r="Y140" s="110">
        <f t="shared" si="48"/>
        <v>24.606473083078502</v>
      </c>
      <c r="Z140" s="111">
        <f t="shared" si="49"/>
        <v>-61.726756805003681</v>
      </c>
      <c r="AA140" s="72">
        <f t="shared" si="50"/>
        <v>118.27324319499633</v>
      </c>
      <c r="AB140" s="110">
        <f t="shared" ca="1" si="51"/>
        <v>3.4779347064106689</v>
      </c>
      <c r="AC140" s="111">
        <f t="shared" ca="1" si="52"/>
        <v>-28.141930587419953</v>
      </c>
      <c r="AD140" s="72">
        <f t="shared" ca="1" si="53"/>
        <v>151.85806941258005</v>
      </c>
    </row>
    <row r="141" spans="1:30">
      <c r="A141" s="118">
        <v>7852.9</v>
      </c>
      <c r="B141" s="101">
        <f t="shared" ca="1" si="27"/>
        <v>128.52601339963724</v>
      </c>
      <c r="C141" s="102">
        <f t="shared" ca="1" si="28"/>
        <v>1.5630157222055636</v>
      </c>
      <c r="D141" s="102">
        <f t="shared" si="29"/>
        <v>13.138207681842408</v>
      </c>
      <c r="E141" s="103">
        <f t="shared" si="30"/>
        <v>1.4946087596618023</v>
      </c>
      <c r="F141" s="101">
        <f t="shared" si="31"/>
        <v>1065.7709473392529</v>
      </c>
      <c r="G141" s="104">
        <f t="shared" si="32"/>
        <v>1.5698580387422645</v>
      </c>
      <c r="H141" s="113">
        <f t="shared" si="33"/>
        <v>128.29601860901374</v>
      </c>
      <c r="I141" s="114">
        <f t="shared" si="34"/>
        <v>1.5630017737233608</v>
      </c>
      <c r="J141" s="101">
        <f t="shared" si="35"/>
        <v>13.104999213975823</v>
      </c>
      <c r="K141" s="104">
        <f t="shared" si="36"/>
        <v>1.49441532219837</v>
      </c>
      <c r="L141" s="102">
        <f t="shared" si="37"/>
        <v>1.1509891105101571</v>
      </c>
      <c r="M141" s="103">
        <f t="shared" si="38"/>
        <v>0.51798637386601598</v>
      </c>
      <c r="N141" s="101">
        <f t="shared" si="39"/>
        <v>1.0041485267988655</v>
      </c>
      <c r="O141" s="104">
        <f t="shared" si="40"/>
        <v>9.0931133195188321E-2</v>
      </c>
      <c r="P141" s="105">
        <f t="shared" ca="1" si="41"/>
        <v>1.0915547509040986</v>
      </c>
      <c r="Q141" s="106">
        <f t="shared" ca="1" si="42"/>
        <v>0.42636541709436976</v>
      </c>
      <c r="R141" s="107">
        <f t="shared" ca="1" si="43"/>
        <v>12.073852098965872</v>
      </c>
      <c r="S141" s="108">
        <f t="shared" ca="1" si="44"/>
        <v>-89.89643221670508</v>
      </c>
      <c r="T141" s="116">
        <f t="shared" ca="1" si="45"/>
        <v>90.10356778329492</v>
      </c>
      <c r="V141" s="72">
        <f t="shared" ca="1" si="46"/>
        <v>1000000000</v>
      </c>
      <c r="W141" s="72">
        <f t="shared" si="47"/>
        <v>61668038.409999996</v>
      </c>
      <c r="Y141" s="110">
        <f t="shared" si="48"/>
        <v>24.53011089334283</v>
      </c>
      <c r="Z141" s="111">
        <f t="shared" si="49"/>
        <v>-61.548063011402938</v>
      </c>
      <c r="AA141" s="72">
        <f t="shared" si="50"/>
        <v>118.45193698859705</v>
      </c>
      <c r="AB141" s="110">
        <f t="shared" ca="1" si="51"/>
        <v>3.4613415525045417</v>
      </c>
      <c r="AC141" s="111">
        <f t="shared" ca="1" si="52"/>
        <v>-28.348369205302156</v>
      </c>
      <c r="AD141" s="72">
        <f t="shared" ca="1" si="53"/>
        <v>151.65163079469784</v>
      </c>
    </row>
    <row r="142" spans="1:30">
      <c r="A142" s="118">
        <v>7943.3</v>
      </c>
      <c r="B142" s="101">
        <f t="shared" ref="B142:B205" ca="1" si="54">SQRT(1+(A142/Pole1)^2)</f>
        <v>130.0054735040417</v>
      </c>
      <c r="C142" s="102">
        <f t="shared" ref="C142:C205" ca="1" si="55">ATAN(A142/Pole1)</f>
        <v>1.563104267111471</v>
      </c>
      <c r="D142" s="102">
        <f t="shared" ref="D142:D205" si="56">SQRT(1+(A142/Zero1)^2)</f>
        <v>13.288579163535669</v>
      </c>
      <c r="E142" s="103">
        <f t="shared" ref="E142:E205" si="57">ATAN(A142/Zero1)</f>
        <v>1.4954725298424609</v>
      </c>
      <c r="F142" s="101">
        <f t="shared" ref="F142:F205" si="58">SQRT(1+(A142/Pole2)^2)</f>
        <v>1078.0397409442778</v>
      </c>
      <c r="G142" s="104">
        <f t="shared" ref="G142:G205" si="59">ATAN(A142/Pole2)</f>
        <v>1.569868717073817</v>
      </c>
      <c r="H142" s="113">
        <f t="shared" ref="H142:H205" si="60">SQRT(1+(A142/Zero2)^2)</f>
        <v>129.77283092943989</v>
      </c>
      <c r="I142" s="114">
        <f t="shared" ref="I142:I205" si="61">ATAN(A142/Zero2)</f>
        <v>1.563090477353281</v>
      </c>
      <c r="J142" s="101">
        <f t="shared" ref="J142:J205" si="62">SQRT(1+(A142/pole4)^2)</f>
        <v>13.254986202821913</v>
      </c>
      <c r="K142" s="104">
        <f t="shared" ref="K142:K205" si="63">ATAN(A142/pole4)</f>
        <v>1.495281268684626</v>
      </c>
      <c r="L142" s="102">
        <f t="shared" ref="L142:L205" si="64">SQRT(1+(A142/Zerofeed)^2)</f>
        <v>1.1542514451463386</v>
      </c>
      <c r="M142" s="103">
        <f t="shared" ref="M142:M205" si="65">ATAN(A142/Zerofeed)</f>
        <v>0.52292447983985679</v>
      </c>
      <c r="N142" s="101">
        <f t="shared" ref="N142:N205" si="66">SQRT(1+(A142/Polefeed)^2)</f>
        <v>1.0042443864940116</v>
      </c>
      <c r="O142" s="104">
        <f t="shared" ref="O142:O205" si="67">ATAN(A142/Polefeed)</f>
        <v>9.1972042702881091E-2</v>
      </c>
      <c r="P142" s="105">
        <f t="shared" ref="P142:P205" ca="1" si="68">SQRT((1-(W142/pterm2))^2+(A142/pterm1)^2)</f>
        <v>1.0935843963693821</v>
      </c>
      <c r="Q142" s="106">
        <f t="shared" ref="Q142:Q205" ca="1" si="69">IF((ATAN((A142/pterm1)/(1-A142^2/pterm2))&gt;0),ATAN((A142/pterm1)/(1-A142^2/pterm2)),PI()+ATAN((A142/pterm1)/(1-A142^2/pterm2)))</f>
        <v>0.43074599251505469</v>
      </c>
      <c r="R142" s="107">
        <f t="shared" ref="R142:R205" ca="1" si="70">20*LOG10(((D142*H142*L142)/(B142*F142*P142*J142*N142))*Adc)</f>
        <v>11.982056574882584</v>
      </c>
      <c r="S142" s="108">
        <f t="shared" ref="S142:S205" ca="1" si="71">((E142+I142+M142)-(C142+G142+Q142+K142+O142))*radconv</f>
        <v>-89.924855212977761</v>
      </c>
      <c r="T142" s="116">
        <f t="shared" ref="T142:T205" ca="1" si="72">IF(S142&gt;0,S142,S142+180)</f>
        <v>90.075144787022239</v>
      </c>
      <c r="V142" s="72">
        <f t="shared" ref="V142:V205" ca="1" si="73">IF(R142&lt;0,A142,1000000000)</f>
        <v>1000000000</v>
      </c>
      <c r="W142" s="72">
        <f t="shared" ref="W142:W205" si="74">A142^2</f>
        <v>63096014.890000001</v>
      </c>
      <c r="Y142" s="110">
        <f t="shared" ref="Y142:Y205" si="75">20*LOG10(((H142*L142)/(F142*J142*N142))*Aea)</f>
        <v>24.455014489145416</v>
      </c>
      <c r="Z142" s="111">
        <f t="shared" ref="Z142:Z205" si="76">(I142+M142-(G142+K142+O142))*radconv</f>
        <v>-61.369914660410686</v>
      </c>
      <c r="AA142" s="72">
        <f t="shared" ref="AA142:AA205" si="77">IF(Z142&gt;0,Z142,Z142+180)</f>
        <v>118.63008533958931</v>
      </c>
      <c r="AB142" s="110">
        <f t="shared" ref="AB142:AB205" ca="1" si="78">20*LOG10((D142/(B142*P142))*Acs*Am)</f>
        <v>3.444642432618672</v>
      </c>
      <c r="AC142" s="111">
        <f t="shared" ref="AC142:AC205" ca="1" si="79">(E142-(C142+Q142))*radconv</f>
        <v>-28.554940552567071</v>
      </c>
      <c r="AD142" s="72">
        <f t="shared" ref="AD142:AD205" ca="1" si="80">IF(AC142&gt;0,AC142,AC142+180)</f>
        <v>151.44505944743293</v>
      </c>
    </row>
    <row r="143" spans="1:30">
      <c r="A143" s="118">
        <v>8035.8</v>
      </c>
      <c r="B143" s="101">
        <f t="shared" ca="1" si="54"/>
        <v>131.51930262864519</v>
      </c>
      <c r="C143" s="102">
        <f t="shared" ca="1" si="55"/>
        <v>1.5631928068882071</v>
      </c>
      <c r="D143" s="102">
        <f t="shared" si="56"/>
        <v>13.442453818525069</v>
      </c>
      <c r="E143" s="103">
        <f t="shared" si="57"/>
        <v>1.4963363614263976</v>
      </c>
      <c r="F143" s="101">
        <f t="shared" si="58"/>
        <v>1090.5935398348274</v>
      </c>
      <c r="G143" s="104">
        <f t="shared" si="59"/>
        <v>1.569879394772469</v>
      </c>
      <c r="H143" s="113">
        <f t="shared" si="60"/>
        <v>131.28395076365712</v>
      </c>
      <c r="I143" s="114">
        <f t="shared" si="61"/>
        <v>1.5631791758452693</v>
      </c>
      <c r="J143" s="101">
        <f t="shared" si="62"/>
        <v>13.40846745829147</v>
      </c>
      <c r="K143" s="104">
        <f t="shared" si="63"/>
        <v>1.4961472773018876</v>
      </c>
      <c r="L143" s="102">
        <f t="shared" si="64"/>
        <v>1.1576185322118011</v>
      </c>
      <c r="M143" s="103">
        <f t="shared" si="65"/>
        <v>0.52794836280902324</v>
      </c>
      <c r="N143" s="101">
        <f t="shared" si="66"/>
        <v>1.0043435990997689</v>
      </c>
      <c r="O143" s="104">
        <f t="shared" si="67"/>
        <v>9.3036925768535006E-2</v>
      </c>
      <c r="P143" s="105">
        <f t="shared" ca="1" si="68"/>
        <v>1.0956812970731011</v>
      </c>
      <c r="Q143" s="106">
        <f t="shared" ca="1" si="69"/>
        <v>0.43521209304615138</v>
      </c>
      <c r="R143" s="107">
        <f t="shared" ca="1" si="70"/>
        <v>11.889300355723499</v>
      </c>
      <c r="S143" s="108">
        <f t="shared" ca="1" si="71"/>
        <v>-89.954637366935785</v>
      </c>
      <c r="T143" s="116">
        <f t="shared" ca="1" si="72"/>
        <v>90.045362633064215</v>
      </c>
      <c r="V143" s="72">
        <f t="shared" ca="1" si="73"/>
        <v>1000000000</v>
      </c>
      <c r="W143" s="72">
        <f t="shared" si="74"/>
        <v>64574081.640000001</v>
      </c>
      <c r="Y143" s="110">
        <f t="shared" si="75"/>
        <v>24.379454236065893</v>
      </c>
      <c r="Z143" s="111">
        <f t="shared" si="76"/>
        <v>-61.188229051257736</v>
      </c>
      <c r="AA143" s="72">
        <f t="shared" si="77"/>
        <v>118.81177094874226</v>
      </c>
      <c r="AB143" s="110">
        <f t="shared" ca="1" si="78"/>
        <v>3.4274464665391142</v>
      </c>
      <c r="AC143" s="111">
        <f t="shared" ca="1" si="79"/>
        <v>-28.766408315678017</v>
      </c>
      <c r="AD143" s="72">
        <f t="shared" ca="1" si="80"/>
        <v>151.23359168432199</v>
      </c>
    </row>
    <row r="144" spans="1:30">
      <c r="A144" s="118">
        <v>8128.3</v>
      </c>
      <c r="B144" s="101">
        <f t="shared" ca="1" si="54"/>
        <v>133.03313276080232</v>
      </c>
      <c r="C144" s="102">
        <f t="shared" ca="1" si="55"/>
        <v>1.5632793316159872</v>
      </c>
      <c r="D144" s="102">
        <f t="shared" si="56"/>
        <v>13.59633827729154</v>
      </c>
      <c r="E144" s="103">
        <f t="shared" si="57"/>
        <v>1.4971806397967278</v>
      </c>
      <c r="F144" s="101">
        <f t="shared" si="58"/>
        <v>1103.1473388468892</v>
      </c>
      <c r="G144" s="104">
        <f t="shared" si="59"/>
        <v>1.5698898294470431</v>
      </c>
      <c r="H144" s="113">
        <f t="shared" si="60"/>
        <v>132.79507160723392</v>
      </c>
      <c r="I144" s="114">
        <f t="shared" si="61"/>
        <v>1.5632658556765648</v>
      </c>
      <c r="J144" s="101">
        <f t="shared" si="62"/>
        <v>13.561958542109968</v>
      </c>
      <c r="K144" s="104">
        <f t="shared" si="63"/>
        <v>1.4969936839748961</v>
      </c>
      <c r="L144" s="102">
        <f t="shared" si="64"/>
        <v>1.1610146669764874</v>
      </c>
      <c r="M144" s="103">
        <f t="shared" si="65"/>
        <v>0.53294298006837226</v>
      </c>
      <c r="N144" s="101">
        <f t="shared" si="66"/>
        <v>1.0044439503812663</v>
      </c>
      <c r="O144" s="104">
        <f t="shared" si="67"/>
        <v>9.4101597262120334E-2</v>
      </c>
      <c r="P144" s="105">
        <f t="shared" ca="1" si="68"/>
        <v>1.0977984200500033</v>
      </c>
      <c r="Q144" s="106">
        <f t="shared" ca="1" si="69"/>
        <v>0.43966170703230384</v>
      </c>
      <c r="R144" s="107">
        <f t="shared" ca="1" si="70"/>
        <v>11.797700901176791</v>
      </c>
      <c r="S144" s="108">
        <f t="shared" ca="1" si="71"/>
        <v>-89.985123081543776</v>
      </c>
      <c r="T144" s="116">
        <f t="shared" ca="1" si="72"/>
        <v>90.014876918456224</v>
      </c>
      <c r="V144" s="72">
        <f t="shared" ca="1" si="73"/>
        <v>1000000000</v>
      </c>
      <c r="W144" s="72">
        <f t="shared" si="74"/>
        <v>66069260.890000001</v>
      </c>
      <c r="Y144" s="110">
        <f t="shared" si="75"/>
        <v>24.305160095351393</v>
      </c>
      <c r="Z144" s="111">
        <f t="shared" si="76"/>
        <v>-61.007186749383969</v>
      </c>
      <c r="AA144" s="72">
        <f t="shared" si="77"/>
        <v>118.99281325061602</v>
      </c>
      <c r="AB144" s="110">
        <f t="shared" ca="1" si="78"/>
        <v>3.410141152706903</v>
      </c>
      <c r="AC144" s="111">
        <f t="shared" ca="1" si="79"/>
        <v>-28.977936332159864</v>
      </c>
      <c r="AD144" s="72">
        <f t="shared" ca="1" si="80"/>
        <v>151.02206366784014</v>
      </c>
    </row>
    <row r="145" spans="1:30">
      <c r="A145" s="118">
        <v>8222.9500000000007</v>
      </c>
      <c r="B145" s="101">
        <f t="shared" ca="1" si="54"/>
        <v>134.58215022243687</v>
      </c>
      <c r="C145" s="102">
        <f t="shared" ca="1" si="55"/>
        <v>1.5633658525425702</v>
      </c>
      <c r="D145" s="102">
        <f t="shared" si="56"/>
        <v>13.753809314927482</v>
      </c>
      <c r="E145" s="103">
        <f t="shared" si="57"/>
        <v>1.4980249851214429</v>
      </c>
      <c r="F145" s="101">
        <f t="shared" si="58"/>
        <v>1115.9929289845186</v>
      </c>
      <c r="G145" s="104">
        <f t="shared" si="59"/>
        <v>1.5699002636498267</v>
      </c>
      <c r="H145" s="113">
        <f t="shared" si="60"/>
        <v>134.3413168094406</v>
      </c>
      <c r="I145" s="114">
        <f t="shared" si="61"/>
        <v>1.5633525317002541</v>
      </c>
      <c r="J145" s="101">
        <f t="shared" si="62"/>
        <v>13.719027086072629</v>
      </c>
      <c r="K145" s="104">
        <f t="shared" si="63"/>
        <v>1.4978401583062058</v>
      </c>
      <c r="L145" s="102">
        <f t="shared" si="64"/>
        <v>1.1645195420980261</v>
      </c>
      <c r="M145" s="103">
        <f t="shared" si="65"/>
        <v>0.53802340281143501</v>
      </c>
      <c r="N145" s="101">
        <f t="shared" si="66"/>
        <v>1.0045478124791083</v>
      </c>
      <c r="O145" s="104">
        <f t="shared" si="67"/>
        <v>9.5190793717269295E-2</v>
      </c>
      <c r="P145" s="105">
        <f t="shared" ca="1" si="68"/>
        <v>1.0999855635316609</v>
      </c>
      <c r="Q145" s="106">
        <f t="shared" ca="1" si="69"/>
        <v>0.44419761436033151</v>
      </c>
      <c r="R145" s="107">
        <f t="shared" ca="1" si="70"/>
        <v>11.705140904930554</v>
      </c>
      <c r="S145" s="108">
        <f t="shared" ca="1" si="71"/>
        <v>-90.017041938824519</v>
      </c>
      <c r="T145" s="116">
        <f t="shared" ca="1" si="72"/>
        <v>89.982958061175481</v>
      </c>
      <c r="V145" s="72">
        <f t="shared" ca="1" si="73"/>
        <v>1000000000</v>
      </c>
      <c r="W145" s="72">
        <f t="shared" si="74"/>
        <v>67616906.702500015</v>
      </c>
      <c r="Y145" s="110">
        <f t="shared" si="75"/>
        <v>24.230419916347763</v>
      </c>
      <c r="Z145" s="111">
        <f t="shared" si="76"/>
        <v>-60.822637399883853</v>
      </c>
      <c r="AA145" s="72">
        <f t="shared" si="77"/>
        <v>119.17736260011614</v>
      </c>
      <c r="AB145" s="110">
        <f t="shared" ca="1" si="78"/>
        <v>3.392321335464294</v>
      </c>
      <c r="AC145" s="111">
        <f t="shared" ca="1" si="79"/>
        <v>-29.194404538940656</v>
      </c>
      <c r="AD145" s="72">
        <f t="shared" ca="1" si="80"/>
        <v>150.80559546105934</v>
      </c>
    </row>
    <row r="146" spans="1:30">
      <c r="A146" s="118">
        <v>8270.2750000000015</v>
      </c>
      <c r="B146" s="101">
        <f t="shared" ca="1" si="54"/>
        <v>135.35665932456806</v>
      </c>
      <c r="C146" s="102">
        <f t="shared" ca="1" si="55"/>
        <v>1.5634083703985784</v>
      </c>
      <c r="D146" s="102">
        <f t="shared" si="56"/>
        <v>13.832548447962791</v>
      </c>
      <c r="E146" s="103">
        <f t="shared" si="57"/>
        <v>1.4984399485559206</v>
      </c>
      <c r="F146" s="101">
        <f t="shared" si="58"/>
        <v>1122.4157240981142</v>
      </c>
      <c r="G146" s="104">
        <f t="shared" si="59"/>
        <v>1.5699053911898222</v>
      </c>
      <c r="H146" s="113">
        <f t="shared" si="60"/>
        <v>135.11443978252345</v>
      </c>
      <c r="I146" s="114">
        <f t="shared" si="61"/>
        <v>1.563395125773767</v>
      </c>
      <c r="J146" s="101">
        <f t="shared" si="62"/>
        <v>13.797564981336178</v>
      </c>
      <c r="K146" s="104">
        <f t="shared" si="63"/>
        <v>1.498256168260278</v>
      </c>
      <c r="L146" s="102">
        <f t="shared" si="64"/>
        <v>1.1662832001686902</v>
      </c>
      <c r="M146" s="103">
        <f t="shared" si="65"/>
        <v>0.54055213092425514</v>
      </c>
      <c r="N146" s="101">
        <f t="shared" si="66"/>
        <v>1.0046001903626589</v>
      </c>
      <c r="O146" s="104">
        <f t="shared" si="67"/>
        <v>9.5735307165699293E-2</v>
      </c>
      <c r="P146" s="105">
        <f t="shared" ca="1" si="68"/>
        <v>1.1010869907514165</v>
      </c>
      <c r="Q146" s="106">
        <f t="shared" ca="1" si="69"/>
        <v>0.44645905082389836</v>
      </c>
      <c r="R146" s="107">
        <f t="shared" ca="1" si="70"/>
        <v>11.659295218743742</v>
      </c>
      <c r="S146" s="108">
        <f t="shared" ca="1" si="71"/>
        <v>-90.033274958540517</v>
      </c>
      <c r="T146" s="116">
        <f t="shared" ca="1" si="72"/>
        <v>89.966725041459483</v>
      </c>
      <c r="V146" s="72">
        <f t="shared" ca="1" si="73"/>
        <v>1000000000</v>
      </c>
      <c r="W146" s="72">
        <f t="shared" si="74"/>
        <v>68397448.575625017</v>
      </c>
      <c r="Y146" s="110">
        <f t="shared" si="75"/>
        <v>24.193526419777896</v>
      </c>
      <c r="Z146" s="111">
        <f t="shared" si="76"/>
        <v>-60.730639214221469</v>
      </c>
      <c r="AA146" s="72">
        <f t="shared" si="77"/>
        <v>119.26936078577853</v>
      </c>
      <c r="AB146" s="110">
        <f t="shared" ca="1" si="78"/>
        <v>3.3833691458473498</v>
      </c>
      <c r="AC146" s="111">
        <f t="shared" ca="1" si="79"/>
        <v>-29.30263574431908</v>
      </c>
      <c r="AD146" s="72">
        <f t="shared" ca="1" si="80"/>
        <v>150.69736425568092</v>
      </c>
    </row>
    <row r="147" spans="1:30">
      <c r="A147" s="118">
        <v>8317.6</v>
      </c>
      <c r="B147" s="101">
        <f t="shared" ca="1" si="54"/>
        <v>136.13116866860835</v>
      </c>
      <c r="C147" s="102">
        <f t="shared" ca="1" si="55"/>
        <v>1.5634504044495627</v>
      </c>
      <c r="D147" s="102">
        <f t="shared" si="56"/>
        <v>13.9112899359253</v>
      </c>
      <c r="E147" s="103">
        <f t="shared" si="57"/>
        <v>1.49885021446031</v>
      </c>
      <c r="F147" s="101">
        <f t="shared" si="58"/>
        <v>1128.8385192408841</v>
      </c>
      <c r="G147" s="104">
        <f t="shared" si="59"/>
        <v>1.5699104603811018</v>
      </c>
      <c r="H147" s="113">
        <f t="shared" si="60"/>
        <v>135.88756299794903</v>
      </c>
      <c r="I147" s="114">
        <f t="shared" si="61"/>
        <v>1.5634372351750818</v>
      </c>
      <c r="J147" s="101">
        <f t="shared" si="62"/>
        <v>13.876105237434817</v>
      </c>
      <c r="K147" s="104">
        <f t="shared" si="63"/>
        <v>1.4986674689622133</v>
      </c>
      <c r="L147" s="102">
        <f t="shared" si="64"/>
        <v>1.1680542934485982</v>
      </c>
      <c r="M147" s="103">
        <f t="shared" si="65"/>
        <v>0.54307320661532732</v>
      </c>
      <c r="N147" s="101">
        <f t="shared" si="66"/>
        <v>1.0046528660739285</v>
      </c>
      <c r="O147" s="104">
        <f t="shared" si="67"/>
        <v>9.627976367595413E-2</v>
      </c>
      <c r="P147" s="105">
        <f t="shared" ca="1" si="68"/>
        <v>1.1021936341753318</v>
      </c>
      <c r="Q147" s="106">
        <f t="shared" ca="1" si="69"/>
        <v>0.44871613232284657</v>
      </c>
      <c r="R147" s="107">
        <f t="shared" ca="1" si="70"/>
        <v>11.6137343919274</v>
      </c>
      <c r="S147" s="108">
        <f t="shared" ca="1" si="71"/>
        <v>-90.049689681242683</v>
      </c>
      <c r="T147" s="116">
        <f t="shared" ca="1" si="72"/>
        <v>89.950310318757317</v>
      </c>
      <c r="V147" s="72">
        <f t="shared" ca="1" si="73"/>
        <v>1000000000</v>
      </c>
      <c r="W147" s="72">
        <f t="shared" si="74"/>
        <v>69182469.760000005</v>
      </c>
      <c r="Y147" s="110">
        <f t="shared" si="75"/>
        <v>24.156945800468979</v>
      </c>
      <c r="Z147" s="111">
        <f t="shared" si="76"/>
        <v>-60.638830823975461</v>
      </c>
      <c r="AA147" s="72">
        <f t="shared" si="77"/>
        <v>119.36116917602453</v>
      </c>
      <c r="AB147" s="110">
        <f t="shared" ca="1" si="78"/>
        <v>3.3743889383399219</v>
      </c>
      <c r="AC147" s="111">
        <f t="shared" ca="1" si="79"/>
        <v>-29.410858857267147</v>
      </c>
      <c r="AD147" s="72">
        <f t="shared" ca="1" si="80"/>
        <v>150.58914114273284</v>
      </c>
    </row>
    <row r="148" spans="1:30">
      <c r="A148" s="118">
        <v>8366.0499999999993</v>
      </c>
      <c r="B148" s="101">
        <f t="shared" ca="1" si="54"/>
        <v>136.92408973307127</v>
      </c>
      <c r="C148" s="102">
        <f t="shared" ca="1" si="55"/>
        <v>1.5634929451043398</v>
      </c>
      <c r="D148" s="102">
        <f t="shared" si="56"/>
        <v>13.991905648118047</v>
      </c>
      <c r="E148" s="103">
        <f t="shared" si="57"/>
        <v>1.4992654494260582</v>
      </c>
      <c r="F148" s="101">
        <f t="shared" si="58"/>
        <v>1135.4139957558975</v>
      </c>
      <c r="G148" s="104">
        <f t="shared" si="59"/>
        <v>1.5699155906642688</v>
      </c>
      <c r="H148" s="113">
        <f t="shared" si="60"/>
        <v>136.67906498347929</v>
      </c>
      <c r="I148" s="114">
        <f t="shared" si="61"/>
        <v>1.5634798520884232</v>
      </c>
      <c r="J148" s="101">
        <f t="shared" si="62"/>
        <v>13.956514940139096</v>
      </c>
      <c r="K148" s="104">
        <f t="shared" si="63"/>
        <v>1.4990837513845288</v>
      </c>
      <c r="L148" s="102">
        <f t="shared" si="64"/>
        <v>1.1698751559592753</v>
      </c>
      <c r="M148" s="103">
        <f t="shared" si="65"/>
        <v>0.54564628824632666</v>
      </c>
      <c r="N148" s="101">
        <f t="shared" si="66"/>
        <v>1.0047071024639902</v>
      </c>
      <c r="O148" s="104">
        <f t="shared" si="67"/>
        <v>9.6837103580266842E-2</v>
      </c>
      <c r="P148" s="105">
        <f t="shared" ca="1" si="68"/>
        <v>1.1033319718818377</v>
      </c>
      <c r="Q148" s="106">
        <f t="shared" ca="1" si="69"/>
        <v>0.45102234950367359</v>
      </c>
      <c r="R148" s="107">
        <f t="shared" ca="1" si="70"/>
        <v>11.567382009604906</v>
      </c>
      <c r="S148" s="108">
        <f t="shared" ca="1" si="71"/>
        <v>-90.066682287956226</v>
      </c>
      <c r="T148" s="116">
        <f t="shared" ca="1" si="72"/>
        <v>89.933317712043774</v>
      </c>
      <c r="V148" s="72">
        <f t="shared" ca="1" si="73"/>
        <v>1000000000</v>
      </c>
      <c r="W148" s="72">
        <f t="shared" si="74"/>
        <v>69990792.602499992</v>
      </c>
      <c r="Y148" s="110">
        <f t="shared" si="75"/>
        <v>24.119815990015873</v>
      </c>
      <c r="Z148" s="111">
        <f t="shared" si="76"/>
        <v>-60.545040730527745</v>
      </c>
      <c r="AA148" s="72">
        <f t="shared" si="77"/>
        <v>119.45495926947225</v>
      </c>
      <c r="AB148" s="110">
        <f t="shared" ca="1" si="78"/>
        <v>3.3651663664705382</v>
      </c>
      <c r="AC148" s="111">
        <f t="shared" ca="1" si="79"/>
        <v>-29.521641557428495</v>
      </c>
      <c r="AD148" s="72">
        <f t="shared" ca="1" si="80"/>
        <v>150.4783584425715</v>
      </c>
    </row>
    <row r="149" spans="1:30">
      <c r="A149" s="119">
        <v>8414.5</v>
      </c>
      <c r="B149" s="101">
        <f t="shared" ca="1" si="54"/>
        <v>137.71701104247336</v>
      </c>
      <c r="C149" s="102">
        <f t="shared" ca="1" si="55"/>
        <v>1.5635349958939033</v>
      </c>
      <c r="D149" s="102">
        <f t="shared" si="56"/>
        <v>14.072523745155726</v>
      </c>
      <c r="E149" s="103">
        <f t="shared" si="57"/>
        <v>1.4996759268998139</v>
      </c>
      <c r="F149" s="101">
        <f t="shared" si="58"/>
        <v>1141.9894723004513</v>
      </c>
      <c r="G149" s="104">
        <f t="shared" si="59"/>
        <v>1.5699206618679828</v>
      </c>
      <c r="H149" s="113">
        <f t="shared" si="60"/>
        <v>137.47056721438776</v>
      </c>
      <c r="I149" s="114">
        <f t="shared" si="61"/>
        <v>1.5635219782585099</v>
      </c>
      <c r="J149" s="101">
        <f t="shared" si="62"/>
        <v>14.036927033673416</v>
      </c>
      <c r="K149" s="104">
        <f t="shared" si="63"/>
        <v>1.4994952644374133</v>
      </c>
      <c r="L149" s="102">
        <f t="shared" si="64"/>
        <v>1.1717037398166348</v>
      </c>
      <c r="M149" s="103">
        <f t="shared" si="65"/>
        <v>0.54821135561252443</v>
      </c>
      <c r="N149" s="101">
        <f t="shared" si="66"/>
        <v>1.0047616509102282</v>
      </c>
      <c r="O149" s="104">
        <f t="shared" si="67"/>
        <v>9.7394383141774399E-2</v>
      </c>
      <c r="P149" s="105">
        <f t="shared" ca="1" si="68"/>
        <v>1.1044757436356401</v>
      </c>
      <c r="Q149" s="106">
        <f t="shared" ca="1" si="69"/>
        <v>0.4533239867660056</v>
      </c>
      <c r="R149" s="107">
        <f t="shared" ca="1" si="70"/>
        <v>11.521320958161592</v>
      </c>
      <c r="S149" s="108">
        <f t="shared" ca="1" si="71"/>
        <v>-90.083864195608427</v>
      </c>
      <c r="T149" s="116">
        <f t="shared" ca="1" si="72"/>
        <v>89.916135804391573</v>
      </c>
      <c r="V149" s="72">
        <f t="shared" ca="1" si="73"/>
        <v>1000000000</v>
      </c>
      <c r="W149" s="72">
        <f t="shared" si="74"/>
        <v>70803810.25</v>
      </c>
      <c r="Y149" s="110">
        <f t="shared" si="75"/>
        <v>24.083006597062642</v>
      </c>
      <c r="Z149" s="111">
        <f t="shared" si="76"/>
        <v>-60.451457831015887</v>
      </c>
      <c r="AA149" s="72">
        <f t="shared" si="77"/>
        <v>119.54854216898411</v>
      </c>
      <c r="AB149" s="110">
        <f t="shared" ca="1" si="78"/>
        <v>3.3559147079804537</v>
      </c>
      <c r="AC149" s="111">
        <f t="shared" ca="1" si="79"/>
        <v>-29.63240636459253</v>
      </c>
      <c r="AD149" s="72">
        <f t="shared" ca="1" si="80"/>
        <v>150.36759363540747</v>
      </c>
    </row>
    <row r="150" spans="1:30">
      <c r="A150" s="119">
        <v>8462.9500000000007</v>
      </c>
      <c r="B150" s="101">
        <f t="shared" ca="1" si="54"/>
        <v>138.50993259260801</v>
      </c>
      <c r="C150" s="102">
        <f t="shared" ca="1" si="55"/>
        <v>1.5635765652310314</v>
      </c>
      <c r="D150" s="102">
        <f t="shared" si="56"/>
        <v>14.153144186285196</v>
      </c>
      <c r="E150" s="103">
        <f t="shared" si="57"/>
        <v>1.5000817280422467</v>
      </c>
      <c r="F150" s="101">
        <f t="shared" si="58"/>
        <v>1148.5649488740376</v>
      </c>
      <c r="G150" s="104">
        <f t="shared" si="59"/>
        <v>1.5699256750069246</v>
      </c>
      <c r="H150" s="113">
        <f t="shared" si="60"/>
        <v>138.26206968646031</v>
      </c>
      <c r="I150" s="114">
        <f t="shared" si="61"/>
        <v>1.5635636221131972</v>
      </c>
      <c r="J150" s="101">
        <f t="shared" si="62"/>
        <v>14.11734147718342</v>
      </c>
      <c r="K150" s="104">
        <f t="shared" si="63"/>
        <v>1.4999020894813677</v>
      </c>
      <c r="L150" s="102">
        <f t="shared" si="64"/>
        <v>1.1735400089269874</v>
      </c>
      <c r="M150" s="103">
        <f t="shared" si="65"/>
        <v>0.55076841250170505</v>
      </c>
      <c r="N150" s="101">
        <f t="shared" si="66"/>
        <v>1.0048165113618208</v>
      </c>
      <c r="O150" s="104">
        <f t="shared" si="67"/>
        <v>9.7951602024194562E-2</v>
      </c>
      <c r="P150" s="105">
        <f t="shared" ca="1" si="68"/>
        <v>1.1056249326757011</v>
      </c>
      <c r="Q150" s="106">
        <f t="shared" ca="1" si="69"/>
        <v>0.45562103661292525</v>
      </c>
      <c r="R150" s="107">
        <f t="shared" ca="1" si="70"/>
        <v>11.475547669713732</v>
      </c>
      <c r="S150" s="108">
        <f t="shared" ca="1" si="71"/>
        <v>-90.101234807088375</v>
      </c>
      <c r="T150" s="116">
        <f t="shared" ca="1" si="72"/>
        <v>89.898765192911625</v>
      </c>
      <c r="V150" s="72">
        <f t="shared" ca="1" si="73"/>
        <v>1000000000</v>
      </c>
      <c r="W150" s="72">
        <f t="shared" si="74"/>
        <v>71621522.702500015</v>
      </c>
      <c r="Y150" s="110">
        <f t="shared" si="75"/>
        <v>24.046513908571072</v>
      </c>
      <c r="Z150" s="111">
        <f t="shared" si="76"/>
        <v>-60.358086126018037</v>
      </c>
      <c r="AA150" s="72">
        <f t="shared" si="77"/>
        <v>119.64191387398196</v>
      </c>
      <c r="AB150" s="110">
        <f t="shared" ca="1" si="78"/>
        <v>3.3466341080241651</v>
      </c>
      <c r="AC150" s="111">
        <f t="shared" ca="1" si="79"/>
        <v>-29.743148681070338</v>
      </c>
      <c r="AD150" s="72">
        <f t="shared" ca="1" si="80"/>
        <v>150.25685131892965</v>
      </c>
    </row>
    <row r="151" spans="1:30">
      <c r="A151" s="119">
        <v>8511.4</v>
      </c>
      <c r="B151" s="101">
        <f t="shared" ca="1" si="54"/>
        <v>139.30285437936442</v>
      </c>
      <c r="C151" s="102">
        <f t="shared" ca="1" si="55"/>
        <v>1.5636176613369637</v>
      </c>
      <c r="D151" s="102">
        <f t="shared" si="56"/>
        <v>14.23376693167546</v>
      </c>
      <c r="E151" s="103">
        <f t="shared" si="57"/>
        <v>1.5004829321814306</v>
      </c>
      <c r="F151" s="101">
        <f t="shared" si="58"/>
        <v>1155.1404254761601</v>
      </c>
      <c r="G151" s="104">
        <f t="shared" si="59"/>
        <v>1.5699306310726708</v>
      </c>
      <c r="H151" s="113">
        <f t="shared" si="60"/>
        <v>139.05357239557875</v>
      </c>
      <c r="I151" s="114">
        <f t="shared" si="61"/>
        <v>1.5636047918884586</v>
      </c>
      <c r="J151" s="101">
        <f t="shared" si="62"/>
        <v>14.197758230739138</v>
      </c>
      <c r="K151" s="104">
        <f t="shared" si="63"/>
        <v>1.5003043060398624</v>
      </c>
      <c r="L151" s="102">
        <f t="shared" si="64"/>
        <v>1.1753839272709719</v>
      </c>
      <c r="M151" s="103">
        <f t="shared" si="65"/>
        <v>0.55331746309704455</v>
      </c>
      <c r="N151" s="101">
        <f t="shared" si="66"/>
        <v>1.0048716837676668</v>
      </c>
      <c r="O151" s="104">
        <f t="shared" si="67"/>
        <v>9.8508759891468983E-2</v>
      </c>
      <c r="P151" s="105">
        <f t="shared" ca="1" si="68"/>
        <v>1.1067795222314831</v>
      </c>
      <c r="Q151" s="106">
        <f t="shared" ca="1" si="69"/>
        <v>0.45791349175777785</v>
      </c>
      <c r="R151" s="107">
        <f t="shared" ca="1" si="70"/>
        <v>11.430058635783311</v>
      </c>
      <c r="S151" s="108">
        <f t="shared" ca="1" si="71"/>
        <v>-90.118793513132843</v>
      </c>
      <c r="T151" s="116">
        <f t="shared" ca="1" si="72"/>
        <v>89.881206486867157</v>
      </c>
      <c r="V151" s="72">
        <f t="shared" ca="1" si="73"/>
        <v>1000000000</v>
      </c>
      <c r="W151" s="72">
        <f t="shared" si="74"/>
        <v>72443929.959999993</v>
      </c>
      <c r="Y151" s="110">
        <f t="shared" si="75"/>
        <v>24.010334268418184</v>
      </c>
      <c r="Z151" s="111">
        <f t="shared" si="76"/>
        <v>-60.264929497886968</v>
      </c>
      <c r="AA151" s="72">
        <f t="shared" si="77"/>
        <v>119.73507050211303</v>
      </c>
      <c r="AB151" s="110">
        <f t="shared" ca="1" si="78"/>
        <v>3.3373247142466345</v>
      </c>
      <c r="AC151" s="111">
        <f t="shared" ca="1" si="79"/>
        <v>-29.853864015245897</v>
      </c>
      <c r="AD151" s="72">
        <f t="shared" ca="1" si="80"/>
        <v>150.1461359847541</v>
      </c>
    </row>
    <row r="152" spans="1:30">
      <c r="A152" s="119">
        <v>8560.9500000000007</v>
      </c>
      <c r="B152" s="101">
        <f t="shared" ca="1" si="54"/>
        <v>140.11377875890309</v>
      </c>
      <c r="C152" s="102">
        <f t="shared" ca="1" si="55"/>
        <v>1.5636592093846808</v>
      </c>
      <c r="D152" s="102">
        <f t="shared" si="56"/>
        <v>14.316222463991133</v>
      </c>
      <c r="E152" s="103">
        <f t="shared" si="57"/>
        <v>1.500888571248622</v>
      </c>
      <c r="F152" s="101">
        <f t="shared" si="58"/>
        <v>1161.8651905337611</v>
      </c>
      <c r="G152" s="104">
        <f t="shared" si="59"/>
        <v>1.5699356416382961</v>
      </c>
      <c r="H152" s="113">
        <f t="shared" si="60"/>
        <v>139.86304547942979</v>
      </c>
      <c r="I152" s="114">
        <f t="shared" si="61"/>
        <v>1.5636464144157491</v>
      </c>
      <c r="J152" s="101">
        <f t="shared" si="62"/>
        <v>14.280003100301659</v>
      </c>
      <c r="K152" s="104">
        <f t="shared" si="63"/>
        <v>1.5007109688350564</v>
      </c>
      <c r="L152" s="102">
        <f t="shared" si="64"/>
        <v>1.1772775838499308</v>
      </c>
      <c r="M152" s="103">
        <f t="shared" si="65"/>
        <v>0.55591611062483548</v>
      </c>
      <c r="N152" s="101">
        <f t="shared" si="66"/>
        <v>1.0049284314027291</v>
      </c>
      <c r="O152" s="104">
        <f t="shared" si="67"/>
        <v>9.9078503910994528E-2</v>
      </c>
      <c r="P152" s="105">
        <f t="shared" ca="1" si="68"/>
        <v>1.1079658937186185</v>
      </c>
      <c r="Q152" s="106">
        <f t="shared" ca="1" si="69"/>
        <v>0.46025323465103041</v>
      </c>
      <c r="R152" s="107">
        <f t="shared" ca="1" si="70"/>
        <v>11.383827239929644</v>
      </c>
      <c r="S152" s="108">
        <f t="shared" ca="1" si="71"/>
        <v>-90.136944770211798</v>
      </c>
      <c r="T152" s="116">
        <f t="shared" ca="1" si="72"/>
        <v>89.863055229788202</v>
      </c>
      <c r="V152" s="72">
        <f t="shared" ca="1" si="73"/>
        <v>1000000000</v>
      </c>
      <c r="W152" s="72">
        <f t="shared" si="74"/>
        <v>73289864.902500018</v>
      </c>
      <c r="Y152" s="110">
        <f t="shared" si="75"/>
        <v>23.973653250602936</v>
      </c>
      <c r="Z152" s="111">
        <f t="shared" si="76"/>
        <v>-60.169884240681967</v>
      </c>
      <c r="AA152" s="72">
        <f t="shared" si="77"/>
        <v>119.83011575931803</v>
      </c>
      <c r="AB152" s="110">
        <f t="shared" ca="1" si="78"/>
        <v>3.3277743362082157</v>
      </c>
      <c r="AC152" s="111">
        <f t="shared" ca="1" si="79"/>
        <v>-29.967060529529853</v>
      </c>
      <c r="AD152" s="72">
        <f t="shared" ca="1" si="80"/>
        <v>150.03293947047015</v>
      </c>
    </row>
    <row r="153" spans="1:30">
      <c r="A153" s="119">
        <v>8610.5</v>
      </c>
      <c r="B153" s="101">
        <f t="shared" ca="1" si="54"/>
        <v>140.92470337752823</v>
      </c>
      <c r="C153" s="102">
        <f t="shared" ca="1" si="55"/>
        <v>1.5637002792716641</v>
      </c>
      <c r="D153" s="102">
        <f t="shared" si="56"/>
        <v>14.398680324961953</v>
      </c>
      <c r="E153" s="103">
        <f t="shared" si="57"/>
        <v>1.5012895643818029</v>
      </c>
      <c r="F153" s="101">
        <f t="shared" si="58"/>
        <v>1168.5899556201955</v>
      </c>
      <c r="G153" s="104">
        <f t="shared" si="59"/>
        <v>1.5699405945363427</v>
      </c>
      <c r="H153" s="113">
        <f t="shared" si="60"/>
        <v>140.67251880279576</v>
      </c>
      <c r="I153" s="114">
        <f t="shared" si="61"/>
        <v>1.5636875579252356</v>
      </c>
      <c r="J153" s="101">
        <f t="shared" si="62"/>
        <v>14.362250304367514</v>
      </c>
      <c r="K153" s="104">
        <f t="shared" si="63"/>
        <v>1.5011129740864353</v>
      </c>
      <c r="L153" s="102">
        <f t="shared" si="64"/>
        <v>1.1791791649822627</v>
      </c>
      <c r="M153" s="103">
        <f t="shared" si="65"/>
        <v>0.55850639427758342</v>
      </c>
      <c r="N153" s="101">
        <f t="shared" si="66"/>
        <v>1.0049855052089476</v>
      </c>
      <c r="O153" s="104">
        <f t="shared" si="67"/>
        <v>9.9648183403129212E-2</v>
      </c>
      <c r="P153" s="105">
        <f t="shared" ca="1" si="68"/>
        <v>1.1091578782235805</v>
      </c>
      <c r="Q153" s="106">
        <f t="shared" ca="1" si="69"/>
        <v>0.46258815709153545</v>
      </c>
      <c r="R153" s="107">
        <f t="shared" ca="1" si="70"/>
        <v>11.337885914583602</v>
      </c>
      <c r="S153" s="108">
        <f t="shared" ca="1" si="71"/>
        <v>-90.155291433091222</v>
      </c>
      <c r="T153" s="116">
        <f t="shared" ca="1" si="72"/>
        <v>89.844708566908778</v>
      </c>
      <c r="V153" s="72">
        <f t="shared" ca="1" si="73"/>
        <v>1000000000</v>
      </c>
      <c r="W153" s="72">
        <f t="shared" si="74"/>
        <v>74140710.25</v>
      </c>
      <c r="Y153" s="110">
        <f t="shared" si="75"/>
        <v>23.937292099556377</v>
      </c>
      <c r="Z153" s="111">
        <f t="shared" si="76"/>
        <v>-60.075071785056508</v>
      </c>
      <c r="AA153" s="72">
        <f t="shared" si="77"/>
        <v>119.92492821494349</v>
      </c>
      <c r="AB153" s="110">
        <f t="shared" ca="1" si="78"/>
        <v>3.3181941619087301</v>
      </c>
      <c r="AC153" s="111">
        <f t="shared" ca="1" si="79"/>
        <v>-30.080219648034685</v>
      </c>
      <c r="AD153" s="72">
        <f t="shared" ca="1" si="80"/>
        <v>149.9197803519653</v>
      </c>
    </row>
    <row r="154" spans="1:30">
      <c r="A154" s="119">
        <v>8660.0499999999993</v>
      </c>
      <c r="B154" s="101">
        <f t="shared" ca="1" si="54"/>
        <v>141.73562823113608</v>
      </c>
      <c r="C154" s="102">
        <f t="shared" ca="1" si="55"/>
        <v>1.5637408792050063</v>
      </c>
      <c r="D154" s="102">
        <f t="shared" si="56"/>
        <v>14.48114047480875</v>
      </c>
      <c r="E154" s="103">
        <f t="shared" si="57"/>
        <v>1.5016859908171138</v>
      </c>
      <c r="F154" s="101">
        <f t="shared" si="58"/>
        <v>1175.3147207349689</v>
      </c>
      <c r="G154" s="104">
        <f t="shared" si="59"/>
        <v>1.569945490756675</v>
      </c>
      <c r="H154" s="113">
        <f t="shared" si="60"/>
        <v>141.48199236156574</v>
      </c>
      <c r="I154" s="114">
        <f t="shared" si="61"/>
        <v>1.5637282306387195</v>
      </c>
      <c r="J154" s="101">
        <f t="shared" si="62"/>
        <v>14.444499803058612</v>
      </c>
      <c r="K154" s="104">
        <f t="shared" si="63"/>
        <v>1.5015104012255398</v>
      </c>
      <c r="L154" s="102">
        <f t="shared" si="64"/>
        <v>1.1810886323918039</v>
      </c>
      <c r="M154" s="103">
        <f t="shared" si="65"/>
        <v>0.56108831977799734</v>
      </c>
      <c r="N154" s="101">
        <f t="shared" si="66"/>
        <v>1.005042905130755</v>
      </c>
      <c r="O154" s="104">
        <f t="shared" si="67"/>
        <v>0.10021779800913619</v>
      </c>
      <c r="P154" s="105">
        <f t="shared" ca="1" si="68"/>
        <v>1.1103554577822567</v>
      </c>
      <c r="Q154" s="106">
        <f t="shared" ca="1" si="69"/>
        <v>0.46491825195932363</v>
      </c>
      <c r="R154" s="107">
        <f t="shared" ca="1" si="70"/>
        <v>11.292231091301518</v>
      </c>
      <c r="S154" s="108">
        <f t="shared" ca="1" si="71"/>
        <v>-90.173832812453583</v>
      </c>
      <c r="T154" s="116">
        <f t="shared" ca="1" si="72"/>
        <v>89.826167187546417</v>
      </c>
      <c r="V154" s="72">
        <f t="shared" ca="1" si="73"/>
        <v>1000000000</v>
      </c>
      <c r="W154" s="72">
        <f t="shared" si="74"/>
        <v>74996466.002499983</v>
      </c>
      <c r="Y154" s="110">
        <f t="shared" si="75"/>
        <v>23.901247081523316</v>
      </c>
      <c r="Z154" s="111">
        <f t="shared" si="76"/>
        <v>-59.980495919301994</v>
      </c>
      <c r="AA154" s="72">
        <f t="shared" si="77"/>
        <v>120.019504080698</v>
      </c>
      <c r="AB154" s="110">
        <f t="shared" ca="1" si="78"/>
        <v>3.3085843566597042</v>
      </c>
      <c r="AC154" s="111">
        <f t="shared" ca="1" si="79"/>
        <v>-30.193336893151589</v>
      </c>
      <c r="AD154" s="72">
        <f t="shared" ca="1" si="80"/>
        <v>149.80666310684842</v>
      </c>
    </row>
    <row r="155" spans="1:30">
      <c r="A155" s="119">
        <v>8709.6</v>
      </c>
      <c r="B155" s="101">
        <f t="shared" ca="1" si="54"/>
        <v>142.54655331571638</v>
      </c>
      <c r="C155" s="102">
        <f t="shared" ca="1" si="55"/>
        <v>1.5637810172050508</v>
      </c>
      <c r="D155" s="102">
        <f t="shared" si="56"/>
        <v>14.563602874652199</v>
      </c>
      <c r="E155" s="103">
        <f t="shared" si="57"/>
        <v>1.5020779280019005</v>
      </c>
      <c r="F155" s="101">
        <f t="shared" si="58"/>
        <v>1182.0394858775976</v>
      </c>
      <c r="G155" s="104">
        <f t="shared" si="59"/>
        <v>1.5699503312666319</v>
      </c>
      <c r="H155" s="113">
        <f t="shared" si="60"/>
        <v>142.29146615172215</v>
      </c>
      <c r="I155" s="114">
        <f t="shared" si="61"/>
        <v>1.5637684405909185</v>
      </c>
      <c r="J155" s="101">
        <f t="shared" si="62"/>
        <v>14.52675155739891</v>
      </c>
      <c r="K155" s="104">
        <f t="shared" si="63"/>
        <v>1.5019033278907776</v>
      </c>
      <c r="L155" s="102">
        <f t="shared" si="64"/>
        <v>1.1830059478912847</v>
      </c>
      <c r="M155" s="103">
        <f t="shared" si="65"/>
        <v>0.56366189325765947</v>
      </c>
      <c r="N155" s="101">
        <f t="shared" si="66"/>
        <v>1.005100631112279</v>
      </c>
      <c r="O155" s="104">
        <f t="shared" si="67"/>
        <v>0.10078734737052872</v>
      </c>
      <c r="P155" s="105">
        <f t="shared" ca="1" si="68"/>
        <v>1.1115586144239322</v>
      </c>
      <c r="Q155" s="106">
        <f t="shared" ca="1" si="69"/>
        <v>0.46724351235896144</v>
      </c>
      <c r="R155" s="107">
        <f t="shared" ca="1" si="70"/>
        <v>11.246859261131728</v>
      </c>
      <c r="S155" s="108">
        <f t="shared" ca="1" si="71"/>
        <v>-90.192568206914004</v>
      </c>
      <c r="T155" s="116">
        <f t="shared" ca="1" si="72"/>
        <v>89.807431793085996</v>
      </c>
      <c r="V155" s="72">
        <f t="shared" ca="1" si="73"/>
        <v>1000000000</v>
      </c>
      <c r="W155" s="72">
        <f t="shared" si="74"/>
        <v>75857132.160000011</v>
      </c>
      <c r="Y155" s="110">
        <f t="shared" si="75"/>
        <v>23.865514519976557</v>
      </c>
      <c r="Z155" s="111">
        <f t="shared" si="76"/>
        <v>-59.886160314986988</v>
      </c>
      <c r="AA155" s="72">
        <f t="shared" si="77"/>
        <v>120.11383968501301</v>
      </c>
      <c r="AB155" s="110">
        <f t="shared" ca="1" si="78"/>
        <v>3.2989450880366773</v>
      </c>
      <c r="AC155" s="111">
        <f t="shared" ca="1" si="79"/>
        <v>-30.306407891927069</v>
      </c>
      <c r="AD155" s="72">
        <f t="shared" ca="1" si="80"/>
        <v>149.69359210807292</v>
      </c>
    </row>
    <row r="156" spans="1:30">
      <c r="A156" s="119">
        <v>8760.3250000000007</v>
      </c>
      <c r="B156" s="101">
        <f t="shared" ca="1" si="54"/>
        <v>143.37670844321551</v>
      </c>
      <c r="C156" s="102">
        <f t="shared" ca="1" si="55"/>
        <v>1.5638216367031719</v>
      </c>
      <c r="D156" s="102">
        <f t="shared" si="56"/>
        <v>14.648023031071011</v>
      </c>
      <c r="E156" s="103">
        <f t="shared" si="57"/>
        <v>1.5024745881943988</v>
      </c>
      <c r="F156" s="101">
        <f t="shared" si="58"/>
        <v>1188.9237182341078</v>
      </c>
      <c r="G156" s="104">
        <f t="shared" si="59"/>
        <v>1.5699552298409283</v>
      </c>
      <c r="H156" s="113">
        <f t="shared" si="60"/>
        <v>143.12013557006355</v>
      </c>
      <c r="I156" s="114">
        <f t="shared" si="61"/>
        <v>1.5638091329044195</v>
      </c>
      <c r="J156" s="101">
        <f t="shared" si="62"/>
        <v>14.610956078945611</v>
      </c>
      <c r="K156" s="104">
        <f t="shared" si="63"/>
        <v>1.5023009895970254</v>
      </c>
      <c r="L156" s="102">
        <f t="shared" si="64"/>
        <v>1.1849768191803822</v>
      </c>
      <c r="M156" s="103">
        <f t="shared" si="65"/>
        <v>0.56628785034142193</v>
      </c>
      <c r="N156" s="101">
        <f t="shared" si="66"/>
        <v>1.0051600636650206</v>
      </c>
      <c r="O156" s="104">
        <f t="shared" si="67"/>
        <v>0.10137033473785853</v>
      </c>
      <c r="P156" s="105">
        <f t="shared" ca="1" si="68"/>
        <v>1.1127960602858948</v>
      </c>
      <c r="Q156" s="106">
        <f t="shared" ca="1" si="69"/>
        <v>0.46961889788201905</v>
      </c>
      <c r="R156" s="107">
        <f t="shared" ca="1" si="70"/>
        <v>11.200701046075167</v>
      </c>
      <c r="S156" s="108">
        <f t="shared" ca="1" si="71"/>
        <v>-90.211948107829087</v>
      </c>
      <c r="T156" s="116">
        <f t="shared" ca="1" si="72"/>
        <v>89.788051892170913</v>
      </c>
      <c r="V156" s="72">
        <f t="shared" ca="1" si="73"/>
        <v>1000000000</v>
      </c>
      <c r="W156" s="72">
        <f t="shared" si="74"/>
        <v>76743294.105625018</v>
      </c>
      <c r="Y156" s="110">
        <f t="shared" si="75"/>
        <v>23.829254496029044</v>
      </c>
      <c r="Z156" s="111">
        <f t="shared" si="76"/>
        <v>-59.789840279704855</v>
      </c>
      <c r="AA156" s="72">
        <f t="shared" si="77"/>
        <v>120.21015972029514</v>
      </c>
      <c r="AB156" s="110">
        <f t="shared" ca="1" si="78"/>
        <v>3.289046896927629</v>
      </c>
      <c r="AC156" s="111">
        <f t="shared" ca="1" si="79"/>
        <v>-30.422107828124236</v>
      </c>
      <c r="AD156" s="72">
        <f t="shared" ca="1" si="80"/>
        <v>149.57789217187576</v>
      </c>
    </row>
    <row r="157" spans="1:30">
      <c r="A157" s="119">
        <v>8811.0499999999993</v>
      </c>
      <c r="B157" s="101">
        <f t="shared" ca="1" si="54"/>
        <v>144.20686380455444</v>
      </c>
      <c r="C157" s="102">
        <f t="shared" ca="1" si="55"/>
        <v>1.5638617885329931</v>
      </c>
      <c r="D157" s="102">
        <f t="shared" si="56"/>
        <v>14.732445465786432</v>
      </c>
      <c r="E157" s="103">
        <f t="shared" si="57"/>
        <v>1.5028667024248361</v>
      </c>
      <c r="F157" s="101">
        <f t="shared" si="58"/>
        <v>1195.8079506188192</v>
      </c>
      <c r="G157" s="104">
        <f t="shared" si="59"/>
        <v>1.5699600720133189</v>
      </c>
      <c r="H157" s="113">
        <f t="shared" si="60"/>
        <v>143.94880522266394</v>
      </c>
      <c r="I157" s="114">
        <f t="shared" si="61"/>
        <v>1.5638493567113496</v>
      </c>
      <c r="J157" s="101">
        <f t="shared" si="62"/>
        <v>14.695162884514456</v>
      </c>
      <c r="K157" s="104">
        <f t="shared" si="63"/>
        <v>1.5026940939710618</v>
      </c>
      <c r="L157" s="102">
        <f t="shared" si="64"/>
        <v>1.1869558344872346</v>
      </c>
      <c r="M157" s="103">
        <f t="shared" si="65"/>
        <v>0.56890506888908421</v>
      </c>
      <c r="N157" s="101">
        <f t="shared" si="66"/>
        <v>1.005219837805341</v>
      </c>
      <c r="O157" s="104">
        <f t="shared" si="67"/>
        <v>0.10195325297005846</v>
      </c>
      <c r="P157" s="105">
        <f t="shared" ca="1" si="68"/>
        <v>1.1140393127404438</v>
      </c>
      <c r="Q157" s="106">
        <f t="shared" ca="1" si="69"/>
        <v>0.47198920302554215</v>
      </c>
      <c r="R157" s="107">
        <f t="shared" ca="1" si="70"/>
        <v>11.154832148309685</v>
      </c>
      <c r="S157" s="108">
        <f t="shared" ca="1" si="71"/>
        <v>-90.231529809501779</v>
      </c>
      <c r="T157" s="116">
        <f t="shared" ca="1" si="72"/>
        <v>89.768470190498221</v>
      </c>
      <c r="V157" s="72">
        <f t="shared" ca="1" si="73"/>
        <v>1000000000</v>
      </c>
      <c r="W157" s="72">
        <f t="shared" si="74"/>
        <v>77634602.102499992</v>
      </c>
      <c r="Y157" s="110">
        <f t="shared" si="75"/>
        <v>23.793314304455638</v>
      </c>
      <c r="Z157" s="111">
        <f t="shared" si="76"/>
        <v>-59.693779460466018</v>
      </c>
      <c r="AA157" s="72">
        <f t="shared" si="77"/>
        <v>120.30622053953398</v>
      </c>
      <c r="AB157" s="110">
        <f t="shared" ca="1" si="78"/>
        <v>3.279118190735554</v>
      </c>
      <c r="AC157" s="111">
        <f t="shared" ca="1" si="79"/>
        <v>-30.537750349035807</v>
      </c>
      <c r="AD157" s="72">
        <f t="shared" ca="1" si="80"/>
        <v>149.4622496509642</v>
      </c>
    </row>
    <row r="158" spans="1:30">
      <c r="A158" s="119">
        <v>8861.7749999999996</v>
      </c>
      <c r="B158" s="101">
        <f t="shared" ca="1" si="54"/>
        <v>145.03701939571789</v>
      </c>
      <c r="C158" s="102">
        <f t="shared" ca="1" si="55"/>
        <v>1.5639014807248328</v>
      </c>
      <c r="D158" s="102">
        <f t="shared" si="56"/>
        <v>14.816870139855151</v>
      </c>
      <c r="E158" s="103">
        <f t="shared" si="57"/>
        <v>1.5032543482785627</v>
      </c>
      <c r="F158" s="101">
        <f t="shared" si="58"/>
        <v>1202.6921830312472</v>
      </c>
      <c r="G158" s="104">
        <f t="shared" si="59"/>
        <v>1.56996485875234</v>
      </c>
      <c r="H158" s="113">
        <f t="shared" si="60"/>
        <v>144.77747510550083</v>
      </c>
      <c r="I158" s="114">
        <f t="shared" si="61"/>
        <v>1.5638891200564196</v>
      </c>
      <c r="J158" s="101">
        <f t="shared" si="62"/>
        <v>14.779371935065187</v>
      </c>
      <c r="K158" s="104">
        <f t="shared" si="63"/>
        <v>1.5030827187898548</v>
      </c>
      <c r="L158" s="102">
        <f t="shared" si="64"/>
        <v>1.1889429531442839</v>
      </c>
      <c r="M158" s="103">
        <f t="shared" si="65"/>
        <v>0.5715135567714712</v>
      </c>
      <c r="N158" s="101">
        <f t="shared" si="66"/>
        <v>1.0052799534723078</v>
      </c>
      <c r="O158" s="104">
        <f t="shared" si="67"/>
        <v>0.10253610168335255</v>
      </c>
      <c r="P158" s="105">
        <f t="shared" ca="1" si="68"/>
        <v>1.1152883524924968</v>
      </c>
      <c r="Q158" s="106">
        <f t="shared" ca="1" si="69"/>
        <v>0.47435442111368925</v>
      </c>
      <c r="R158" s="107">
        <f t="shared" ca="1" si="70"/>
        <v>11.109248988686106</v>
      </c>
      <c r="S158" s="108">
        <f t="shared" ca="1" si="71"/>
        <v>-90.25131252212816</v>
      </c>
      <c r="T158" s="116">
        <f t="shared" ca="1" si="72"/>
        <v>89.74868747787184</v>
      </c>
      <c r="V158" s="72">
        <f t="shared" ca="1" si="73"/>
        <v>1000000000</v>
      </c>
      <c r="W158" s="72">
        <f t="shared" si="74"/>
        <v>78531056.15062499</v>
      </c>
      <c r="Y158" s="110">
        <f t="shared" si="75"/>
        <v>23.757690179634476</v>
      </c>
      <c r="Z158" s="111">
        <f t="shared" si="76"/>
        <v>-59.597981435173715</v>
      </c>
      <c r="AA158" s="72">
        <f t="shared" si="77"/>
        <v>120.40201856482628</v>
      </c>
      <c r="AB158" s="110">
        <f t="shared" ca="1" si="78"/>
        <v>3.2691591559331332</v>
      </c>
      <c r="AC158" s="111">
        <f t="shared" ca="1" si="79"/>
        <v>-30.653331086954463</v>
      </c>
      <c r="AD158" s="72">
        <f t="shared" ca="1" si="80"/>
        <v>149.34666891304553</v>
      </c>
    </row>
    <row r="159" spans="1:30">
      <c r="A159" s="118">
        <v>8912.5</v>
      </c>
      <c r="B159" s="101">
        <f t="shared" ca="1" si="54"/>
        <v>145.86717521278197</v>
      </c>
      <c r="C159" s="102">
        <f t="shared" ca="1" si="55"/>
        <v>1.5639407211262071</v>
      </c>
      <c r="D159" s="102">
        <f t="shared" si="56"/>
        <v>14.901297015215382</v>
      </c>
      <c r="E159" s="103">
        <f t="shared" si="57"/>
        <v>1.5036376015880573</v>
      </c>
      <c r="F159" s="101">
        <f t="shared" si="58"/>
        <v>1209.5764154709188</v>
      </c>
      <c r="G159" s="104">
        <f t="shared" si="59"/>
        <v>1.5699695910044786</v>
      </c>
      <c r="H159" s="113">
        <f t="shared" si="60"/>
        <v>145.60614521464325</v>
      </c>
      <c r="I159" s="114">
        <f t="shared" si="61"/>
        <v>1.5639284308012098</v>
      </c>
      <c r="J159" s="101">
        <f t="shared" si="62"/>
        <v>14.863583192441233</v>
      </c>
      <c r="K159" s="104">
        <f t="shared" si="63"/>
        <v>1.503466940073239</v>
      </c>
      <c r="L159" s="102">
        <f t="shared" si="64"/>
        <v>1.1909381345894277</v>
      </c>
      <c r="M159" s="103">
        <f t="shared" si="65"/>
        <v>0.57411332228222423</v>
      </c>
      <c r="N159" s="101">
        <f t="shared" si="66"/>
        <v>1.0053404106046544</v>
      </c>
      <c r="O159" s="104">
        <f t="shared" si="67"/>
        <v>0.10311888049424527</v>
      </c>
      <c r="P159" s="105">
        <f t="shared" ca="1" si="68"/>
        <v>1.1165431602438323</v>
      </c>
      <c r="Q159" s="106">
        <f t="shared" ca="1" si="69"/>
        <v>0.47671454571083799</v>
      </c>
      <c r="R159" s="107">
        <f t="shared" ca="1" si="70"/>
        <v>11.063948047881727</v>
      </c>
      <c r="S159" s="108">
        <f t="shared" ca="1" si="71"/>
        <v>-90.271295443969464</v>
      </c>
      <c r="T159" s="116">
        <f t="shared" ca="1" si="72"/>
        <v>89.728704556030536</v>
      </c>
      <c r="V159" s="72">
        <f t="shared" ca="1" si="73"/>
        <v>1000000000</v>
      </c>
      <c r="W159" s="72">
        <f t="shared" si="74"/>
        <v>79432656.25</v>
      </c>
      <c r="Y159" s="110">
        <f t="shared" si="75"/>
        <v>23.722378413731224</v>
      </c>
      <c r="Z159" s="111">
        <f t="shared" si="76"/>
        <v>-59.502449666074689</v>
      </c>
      <c r="AA159" s="72">
        <f t="shared" si="77"/>
        <v>120.49755033392532</v>
      </c>
      <c r="AB159" s="110">
        <f t="shared" ca="1" si="78"/>
        <v>3.2591699810320076</v>
      </c>
      <c r="AC159" s="111">
        <f t="shared" ca="1" si="79"/>
        <v>-30.768845777894782</v>
      </c>
      <c r="AD159" s="72">
        <f t="shared" ca="1" si="80"/>
        <v>149.2311542221052</v>
      </c>
    </row>
    <row r="160" spans="1:30">
      <c r="A160" s="118">
        <v>8964.4</v>
      </c>
      <c r="B160" s="101">
        <f t="shared" ca="1" si="54"/>
        <v>146.71656108883482</v>
      </c>
      <c r="C160" s="102">
        <f t="shared" ca="1" si="55"/>
        <v>1.5639804108859801</v>
      </c>
      <c r="D160" s="102">
        <f t="shared" si="56"/>
        <v>14.987681804437853</v>
      </c>
      <c r="E160" s="103">
        <f t="shared" si="57"/>
        <v>1.5040252635831626</v>
      </c>
      <c r="F160" s="101">
        <f t="shared" si="58"/>
        <v>1216.6201151264102</v>
      </c>
      <c r="G160" s="104">
        <f t="shared" si="59"/>
        <v>1.5699743774450816</v>
      </c>
      <c r="H160" s="113">
        <f t="shared" si="60"/>
        <v>146.4540109680695</v>
      </c>
      <c r="I160" s="114">
        <f t="shared" si="61"/>
        <v>1.5639681917100081</v>
      </c>
      <c r="J160" s="101">
        <f t="shared" si="62"/>
        <v>14.949747374709519</v>
      </c>
      <c r="K160" s="104">
        <f t="shared" si="63"/>
        <v>1.5038555812795382</v>
      </c>
      <c r="L160" s="102">
        <f t="shared" si="64"/>
        <v>1.19298783556591</v>
      </c>
      <c r="M160" s="103">
        <f t="shared" si="65"/>
        <v>0.57676429038001509</v>
      </c>
      <c r="N160" s="101">
        <f t="shared" si="66"/>
        <v>1.0054026215306437</v>
      </c>
      <c r="O160" s="104">
        <f t="shared" si="67"/>
        <v>0.10371508611390705</v>
      </c>
      <c r="P160" s="105">
        <f t="shared" ca="1" si="68"/>
        <v>1.1178329843451407</v>
      </c>
      <c r="Q160" s="106">
        <f t="shared" ca="1" si="69"/>
        <v>0.47912406221896586</v>
      </c>
      <c r="R160" s="107">
        <f t="shared" ca="1" si="70"/>
        <v>11.017886241914901</v>
      </c>
      <c r="S160" s="108">
        <f t="shared" ca="1" si="71"/>
        <v>-90.291947623652504</v>
      </c>
      <c r="T160" s="116">
        <f t="shared" ca="1" si="72"/>
        <v>89.708052376347496</v>
      </c>
      <c r="V160" s="72">
        <f t="shared" ca="1" si="73"/>
        <v>1000000000</v>
      </c>
      <c r="W160" s="72">
        <f t="shared" si="74"/>
        <v>80360467.359999999</v>
      </c>
      <c r="Y160" s="110">
        <f t="shared" si="75"/>
        <v>23.686568169903577</v>
      </c>
      <c r="Z160" s="111">
        <f t="shared" si="76"/>
        <v>-59.404984059512159</v>
      </c>
      <c r="AA160" s="72">
        <f t="shared" si="77"/>
        <v>120.59501594048784</v>
      </c>
      <c r="AB160" s="110">
        <f t="shared" ca="1" si="78"/>
        <v>3.2489184188928286</v>
      </c>
      <c r="AC160" s="111">
        <f t="shared" ca="1" si="79"/>
        <v>-30.886963564140306</v>
      </c>
      <c r="AD160" s="72">
        <f t="shared" ca="1" si="80"/>
        <v>149.1130364358597</v>
      </c>
    </row>
    <row r="161" spans="1:30">
      <c r="A161" s="118">
        <v>9016.2999999999993</v>
      </c>
      <c r="B161" s="101">
        <f t="shared" ca="1" si="54"/>
        <v>147.56594719334632</v>
      </c>
      <c r="C161" s="102">
        <f t="shared" ca="1" si="55"/>
        <v>1.5640196437391758</v>
      </c>
      <c r="D161" s="102">
        <f t="shared" si="56"/>
        <v>15.074068820220932</v>
      </c>
      <c r="E161" s="103">
        <f t="shared" si="57"/>
        <v>1.5044084823806998</v>
      </c>
      <c r="F161" s="101">
        <f t="shared" si="58"/>
        <v>1223.663814809453</v>
      </c>
      <c r="G161" s="104">
        <f t="shared" si="59"/>
        <v>1.5699791087819057</v>
      </c>
      <c r="H161" s="113">
        <f t="shared" si="60"/>
        <v>147.30187695036383</v>
      </c>
      <c r="I161" s="114">
        <f t="shared" si="61"/>
        <v>1.5640074948932408</v>
      </c>
      <c r="J161" s="101">
        <f t="shared" si="62"/>
        <v>15.035913789137508</v>
      </c>
      <c r="K161" s="104">
        <f t="shared" si="63"/>
        <v>1.5042397681656521</v>
      </c>
      <c r="L161" s="102">
        <f t="shared" si="64"/>
        <v>1.1950458916279332</v>
      </c>
      <c r="M161" s="103">
        <f t="shared" si="65"/>
        <v>0.57940614622670605</v>
      </c>
      <c r="N161" s="101">
        <f t="shared" si="66"/>
        <v>1.0054651897938973</v>
      </c>
      <c r="O161" s="104">
        <f t="shared" si="67"/>
        <v>0.1043112177438739</v>
      </c>
      <c r="P161" s="105">
        <f t="shared" ca="1" si="68"/>
        <v>1.1191288058830189</v>
      </c>
      <c r="Q161" s="106">
        <f t="shared" ca="1" si="69"/>
        <v>0.48152823366299247</v>
      </c>
      <c r="R161" s="107">
        <f t="shared" ca="1" si="70"/>
        <v>10.972112613275279</v>
      </c>
      <c r="S161" s="108">
        <f t="shared" ca="1" si="71"/>
        <v>-90.312807660385729</v>
      </c>
      <c r="T161" s="116">
        <f t="shared" ca="1" si="72"/>
        <v>89.687192339614271</v>
      </c>
      <c r="V161" s="72">
        <f t="shared" ca="1" si="73"/>
        <v>1000000000</v>
      </c>
      <c r="W161" s="72">
        <f t="shared" si="74"/>
        <v>81293665.689999983</v>
      </c>
      <c r="Y161" s="110">
        <f t="shared" si="75"/>
        <v>23.651077250653195</v>
      </c>
      <c r="Z161" s="111">
        <f t="shared" si="76"/>
        <v>-59.307804161964576</v>
      </c>
      <c r="AA161" s="72">
        <f t="shared" si="77"/>
        <v>120.69219583803542</v>
      </c>
      <c r="AB161" s="110">
        <f t="shared" ca="1" si="78"/>
        <v>3.2386357095035869</v>
      </c>
      <c r="AC161" s="111">
        <f t="shared" ca="1" si="79"/>
        <v>-31.005003498421196</v>
      </c>
      <c r="AD161" s="72">
        <f t="shared" ca="1" si="80"/>
        <v>148.99499650157881</v>
      </c>
    </row>
    <row r="162" spans="1:30">
      <c r="A162" s="118">
        <v>9068.2000000000007</v>
      </c>
      <c r="B162" s="101">
        <f t="shared" ca="1" si="54"/>
        <v>148.41533352239401</v>
      </c>
      <c r="C162" s="102">
        <f t="shared" ca="1" si="55"/>
        <v>1.5640584275303511</v>
      </c>
      <c r="D162" s="102">
        <f t="shared" si="56"/>
        <v>15.160458024502596</v>
      </c>
      <c r="E162" s="103">
        <f t="shared" si="57"/>
        <v>1.5047873338234794</v>
      </c>
      <c r="F162" s="101">
        <f t="shared" si="58"/>
        <v>1230.7075145195754</v>
      </c>
      <c r="G162" s="104">
        <f t="shared" si="59"/>
        <v>1.5699837859610759</v>
      </c>
      <c r="H162" s="113">
        <f t="shared" si="60"/>
        <v>148.14974315759687</v>
      </c>
      <c r="I162" s="114">
        <f t="shared" si="61"/>
        <v>1.5640463482095244</v>
      </c>
      <c r="J162" s="101">
        <f t="shared" si="62"/>
        <v>15.12208239756831</v>
      </c>
      <c r="K162" s="104">
        <f t="shared" si="63"/>
        <v>1.5046195767619734</v>
      </c>
      <c r="L162" s="102">
        <f t="shared" si="64"/>
        <v>1.1971122596837143</v>
      </c>
      <c r="M162" s="103">
        <f t="shared" si="65"/>
        <v>0.58203890003714243</v>
      </c>
      <c r="N162" s="101">
        <f t="shared" si="66"/>
        <v>1.0055281153277102</v>
      </c>
      <c r="O162" s="104">
        <f t="shared" si="67"/>
        <v>0.10490727497429936</v>
      </c>
      <c r="P162" s="105">
        <f t="shared" ca="1" si="68"/>
        <v>1.1204306041832719</v>
      </c>
      <c r="Q162" s="106">
        <f t="shared" ca="1" si="69"/>
        <v>0.483927053919609</v>
      </c>
      <c r="R162" s="107">
        <f t="shared" ca="1" si="70"/>
        <v>10.926623578470201</v>
      </c>
      <c r="S162" s="108">
        <f t="shared" ca="1" si="71"/>
        <v>-90.333874658730537</v>
      </c>
      <c r="T162" s="116">
        <f t="shared" ca="1" si="72"/>
        <v>89.666125341269463</v>
      </c>
      <c r="V162" s="72">
        <f t="shared" ca="1" si="73"/>
        <v>1000000000</v>
      </c>
      <c r="W162" s="72">
        <f t="shared" si="74"/>
        <v>82232251.24000001</v>
      </c>
      <c r="Y162" s="110">
        <f t="shared" si="75"/>
        <v>23.61590186460441</v>
      </c>
      <c r="Z162" s="111">
        <f t="shared" si="76"/>
        <v>-59.210913324845819</v>
      </c>
      <c r="AA162" s="72">
        <f t="shared" si="77"/>
        <v>120.78908667515418</v>
      </c>
      <c r="AB162" s="110">
        <f t="shared" ca="1" si="78"/>
        <v>3.2283220607472956</v>
      </c>
      <c r="AC162" s="111">
        <f t="shared" ca="1" si="79"/>
        <v>-31.122961333884746</v>
      </c>
      <c r="AD162" s="72">
        <f t="shared" ca="1" si="80"/>
        <v>148.87703866611525</v>
      </c>
    </row>
    <row r="163" spans="1:30">
      <c r="A163" s="118">
        <v>9120.1</v>
      </c>
      <c r="B163" s="101">
        <f t="shared" ca="1" si="54"/>
        <v>149.26472007214466</v>
      </c>
      <c r="C163" s="102">
        <f t="shared" ca="1" si="55"/>
        <v>1.5640967699255113</v>
      </c>
      <c r="D163" s="102">
        <f t="shared" si="56"/>
        <v>15.246849380082498</v>
      </c>
      <c r="E163" s="103">
        <f t="shared" si="57"/>
        <v>1.5051618920404366</v>
      </c>
      <c r="F163" s="101">
        <f t="shared" si="58"/>
        <v>1237.7512142563139</v>
      </c>
      <c r="G163" s="104">
        <f t="shared" si="59"/>
        <v>1.569988409907181</v>
      </c>
      <c r="H163" s="113">
        <f t="shared" si="60"/>
        <v>148.9976095859285</v>
      </c>
      <c r="I163" s="114">
        <f t="shared" si="61"/>
        <v>1.5640847593386034</v>
      </c>
      <c r="J163" s="101">
        <f t="shared" si="62"/>
        <v>15.208253162708846</v>
      </c>
      <c r="K163" s="104">
        <f t="shared" si="63"/>
        <v>1.5049950813808453</v>
      </c>
      <c r="L163" s="102">
        <f t="shared" si="64"/>
        <v>1.1991868967650428</v>
      </c>
      <c r="M163" s="103">
        <f t="shared" si="65"/>
        <v>0.5846625624606212</v>
      </c>
      <c r="N163" s="101">
        <f t="shared" si="66"/>
        <v>1.0055913980650133</v>
      </c>
      <c r="O163" s="104">
        <f t="shared" si="67"/>
        <v>0.10550325739565065</v>
      </c>
      <c r="P163" s="105">
        <f t="shared" ca="1" si="68"/>
        <v>1.1217383585726945</v>
      </c>
      <c r="Q163" s="106">
        <f t="shared" ca="1" si="69"/>
        <v>0.48632051712138435</v>
      </c>
      <c r="R163" s="107">
        <f t="shared" ca="1" si="70"/>
        <v>10.881415614051644</v>
      </c>
      <c r="S163" s="108">
        <f t="shared" ca="1" si="71"/>
        <v>-90.355147711580017</v>
      </c>
      <c r="T163" s="116">
        <f t="shared" ca="1" si="72"/>
        <v>89.644852288419983</v>
      </c>
      <c r="V163" s="72">
        <f t="shared" ca="1" si="73"/>
        <v>1000000000</v>
      </c>
      <c r="W163" s="72">
        <f t="shared" si="74"/>
        <v>83176224.010000005</v>
      </c>
      <c r="Y163" s="110">
        <f t="shared" si="75"/>
        <v>23.581038278625975</v>
      </c>
      <c r="Z163" s="111">
        <f t="shared" si="76"/>
        <v>-59.114314785273443</v>
      </c>
      <c r="AA163" s="72">
        <f t="shared" si="77"/>
        <v>120.88568521472655</v>
      </c>
      <c r="AB163" s="110">
        <f t="shared" ca="1" si="78"/>
        <v>3.217977682307172</v>
      </c>
      <c r="AC163" s="111">
        <f t="shared" ca="1" si="79"/>
        <v>-31.240832926306531</v>
      </c>
      <c r="AD163" s="72">
        <f t="shared" ca="1" si="80"/>
        <v>148.75916707369348</v>
      </c>
    </row>
    <row r="164" spans="1:30">
      <c r="A164" s="118">
        <v>9173.2000000000007</v>
      </c>
      <c r="B164" s="101">
        <f t="shared" ca="1" si="54"/>
        <v>150.13374584177504</v>
      </c>
      <c r="C164" s="102">
        <f t="shared" ca="1" si="55"/>
        <v>1.5641355498406126</v>
      </c>
      <c r="D164" s="102">
        <f t="shared" si="56"/>
        <v>15.335240412218628</v>
      </c>
      <c r="E164" s="103">
        <f t="shared" si="57"/>
        <v>1.505540742855443</v>
      </c>
      <c r="F164" s="101">
        <f t="shared" si="58"/>
        <v>1244.957774129648</v>
      </c>
      <c r="G164" s="104">
        <f t="shared" si="59"/>
        <v>1.5699930866141349</v>
      </c>
      <c r="H164" s="113">
        <f t="shared" si="60"/>
        <v>149.86508008722626</v>
      </c>
      <c r="I164" s="114">
        <f t="shared" si="61"/>
        <v>1.5641236087720092</v>
      </c>
      <c r="J164" s="101">
        <f t="shared" si="62"/>
        <v>15.296418509554705</v>
      </c>
      <c r="K164" s="104">
        <f t="shared" si="63"/>
        <v>1.5053748895395231</v>
      </c>
      <c r="L164" s="102">
        <f t="shared" si="64"/>
        <v>1.2013180156756369</v>
      </c>
      <c r="M164" s="103">
        <f t="shared" si="65"/>
        <v>0.58733749002833513</v>
      </c>
      <c r="N164" s="101">
        <f t="shared" si="66"/>
        <v>1.0056565136041944</v>
      </c>
      <c r="O164" s="104">
        <f t="shared" si="67"/>
        <v>0.10611294190699368</v>
      </c>
      <c r="P164" s="105">
        <f t="shared" ca="1" si="68"/>
        <v>1.1230824927501939</v>
      </c>
      <c r="Q164" s="106">
        <f t="shared" ca="1" si="69"/>
        <v>0.48876377037931634</v>
      </c>
      <c r="R164" s="107">
        <f t="shared" ca="1" si="70"/>
        <v>10.835449659320409</v>
      </c>
      <c r="S164" s="108">
        <f t="shared" ca="1" si="71"/>
        <v>-90.377124924984415</v>
      </c>
      <c r="T164" s="116">
        <f t="shared" ca="1" si="72"/>
        <v>89.622875075015585</v>
      </c>
      <c r="V164" s="72">
        <f t="shared" ca="1" si="73"/>
        <v>1000000000</v>
      </c>
      <c r="W164" s="72">
        <f t="shared" si="74"/>
        <v>84147598.24000001</v>
      </c>
      <c r="Y164" s="110">
        <f t="shared" si="75"/>
        <v>23.545687461915566</v>
      </c>
      <c r="Z164" s="111">
        <f t="shared" si="76"/>
        <v>-59.015788525878868</v>
      </c>
      <c r="AA164" s="72">
        <f t="shared" si="77"/>
        <v>120.98421147412114</v>
      </c>
      <c r="AB164" s="110">
        <f t="shared" ca="1" si="78"/>
        <v>3.2073625442863465</v>
      </c>
      <c r="AC164" s="111">
        <f t="shared" ca="1" si="79"/>
        <v>-31.361336399105539</v>
      </c>
      <c r="AD164" s="72">
        <f t="shared" ca="1" si="80"/>
        <v>148.63866360089446</v>
      </c>
    </row>
    <row r="165" spans="1:30">
      <c r="A165" s="118">
        <v>9226.2999999999993</v>
      </c>
      <c r="B165" s="101">
        <f t="shared" ca="1" si="54"/>
        <v>151.00277183458999</v>
      </c>
      <c r="C165" s="102">
        <f t="shared" ca="1" si="55"/>
        <v>1.5641738833963592</v>
      </c>
      <c r="D165" s="102">
        <f t="shared" si="56"/>
        <v>15.423633620162287</v>
      </c>
      <c r="E165" s="103">
        <f t="shared" si="57"/>
        <v>1.5059152513177825</v>
      </c>
      <c r="F165" s="101">
        <f t="shared" si="58"/>
        <v>1252.1643340298979</v>
      </c>
      <c r="G165" s="104">
        <f t="shared" si="59"/>
        <v>1.5699977094895468</v>
      </c>
      <c r="H165" s="113">
        <f t="shared" si="60"/>
        <v>150.73255081210868</v>
      </c>
      <c r="I165" s="114">
        <f t="shared" si="61"/>
        <v>1.5641620110459704</v>
      </c>
      <c r="J165" s="101">
        <f t="shared" si="62"/>
        <v>15.384586037682888</v>
      </c>
      <c r="K165" s="104">
        <f t="shared" si="63"/>
        <v>1.505750344466495</v>
      </c>
      <c r="L165" s="102">
        <f t="shared" si="64"/>
        <v>1.2034576998230313</v>
      </c>
      <c r="M165" s="103">
        <f t="shared" si="65"/>
        <v>0.59000292485198291</v>
      </c>
      <c r="N165" s="101">
        <f t="shared" si="66"/>
        <v>1.0057220029127043</v>
      </c>
      <c r="O165" s="104">
        <f t="shared" si="67"/>
        <v>0.10672254724361206</v>
      </c>
      <c r="P165" s="105">
        <f t="shared" ca="1" si="68"/>
        <v>1.1244328178541014</v>
      </c>
      <c r="Q165" s="106">
        <f t="shared" ca="1" si="69"/>
        <v>0.49120140437960946</v>
      </c>
      <c r="R165" s="107">
        <f t="shared" ca="1" si="70"/>
        <v>10.789770647796795</v>
      </c>
      <c r="S165" s="108">
        <f t="shared" ca="1" si="71"/>
        <v>-90.399315874634311</v>
      </c>
      <c r="T165" s="116">
        <f t="shared" ca="1" si="72"/>
        <v>89.600684125365689</v>
      </c>
      <c r="V165" s="72">
        <f t="shared" ca="1" si="73"/>
        <v>1000000000</v>
      </c>
      <c r="W165" s="72">
        <f t="shared" si="74"/>
        <v>85124611.689999983</v>
      </c>
      <c r="Y165" s="110">
        <f t="shared" si="75"/>
        <v>23.510655306150248</v>
      </c>
      <c r="Z165" s="111">
        <f t="shared" si="76"/>
        <v>-58.917574738502793</v>
      </c>
      <c r="AA165" s="72">
        <f t="shared" si="77"/>
        <v>121.08242526149721</v>
      </c>
      <c r="AB165" s="110">
        <f t="shared" ca="1" si="78"/>
        <v>3.1967156885280463</v>
      </c>
      <c r="AC165" s="111">
        <f t="shared" ca="1" si="79"/>
        <v>-31.481741136131536</v>
      </c>
      <c r="AD165" s="72">
        <f t="shared" ca="1" si="80"/>
        <v>148.51825886386845</v>
      </c>
    </row>
    <row r="166" spans="1:30">
      <c r="A166" s="118">
        <v>9279.4</v>
      </c>
      <c r="B166" s="101">
        <f t="shared" ca="1" si="54"/>
        <v>151.87179804675839</v>
      </c>
      <c r="C166" s="102">
        <f t="shared" ca="1" si="55"/>
        <v>1.5642117782549811</v>
      </c>
      <c r="D166" s="102">
        <f t="shared" si="56"/>
        <v>15.512028966717844</v>
      </c>
      <c r="E166" s="103">
        <f t="shared" si="57"/>
        <v>1.5062854915562236</v>
      </c>
      <c r="F166" s="101">
        <f t="shared" si="58"/>
        <v>1259.3708939566015</v>
      </c>
      <c r="G166" s="104">
        <f t="shared" si="59"/>
        <v>1.5700022794575443</v>
      </c>
      <c r="H166" s="113">
        <f t="shared" si="60"/>
        <v>151.60002175673773</v>
      </c>
      <c r="I166" s="114">
        <f t="shared" si="61"/>
        <v>1.5641999738364505</v>
      </c>
      <c r="J166" s="101">
        <f t="shared" si="62"/>
        <v>15.472755709804968</v>
      </c>
      <c r="K166" s="104">
        <f t="shared" si="63"/>
        <v>1.5061215204741234</v>
      </c>
      <c r="L166" s="102">
        <f t="shared" si="64"/>
        <v>1.2056059036030182</v>
      </c>
      <c r="M166" s="103">
        <f t="shared" si="65"/>
        <v>0.59265887970154518</v>
      </c>
      <c r="N166" s="101">
        <f t="shared" si="66"/>
        <v>1.0057878659175317</v>
      </c>
      <c r="O166" s="104">
        <f t="shared" si="67"/>
        <v>0.10733207296793465</v>
      </c>
      <c r="P166" s="105">
        <f t="shared" ca="1" si="68"/>
        <v>1.1257893117541644</v>
      </c>
      <c r="Q166" s="106">
        <f t="shared" ca="1" si="69"/>
        <v>0.49363341365747326</v>
      </c>
      <c r="R166" s="107">
        <f t="shared" ca="1" si="70"/>
        <v>10.744374992711514</v>
      </c>
      <c r="S166" s="108">
        <f t="shared" ca="1" si="71"/>
        <v>-90.421719553364312</v>
      </c>
      <c r="T166" s="116">
        <f t="shared" ca="1" si="72"/>
        <v>89.578280446635688</v>
      </c>
      <c r="V166" s="72">
        <f t="shared" ca="1" si="73"/>
        <v>1000000000</v>
      </c>
      <c r="W166" s="72">
        <f t="shared" si="74"/>
        <v>86107264.359999999</v>
      </c>
      <c r="Y166" s="110">
        <f t="shared" si="75"/>
        <v>23.475937994786126</v>
      </c>
      <c r="Z166" s="111">
        <f t="shared" si="76"/>
        <v>-58.819676537341401</v>
      </c>
      <c r="AA166" s="72">
        <f t="shared" si="77"/>
        <v>121.18032346265861</v>
      </c>
      <c r="AB166" s="110">
        <f t="shared" ca="1" si="78"/>
        <v>3.1860373448068913</v>
      </c>
      <c r="AC166" s="111">
        <f t="shared" ca="1" si="79"/>
        <v>-31.602043016022943</v>
      </c>
      <c r="AD166" s="72">
        <f t="shared" ca="1" si="80"/>
        <v>148.39795698397705</v>
      </c>
    </row>
    <row r="167" spans="1:30">
      <c r="A167" s="118">
        <v>9332.5</v>
      </c>
      <c r="B167" s="101">
        <f t="shared" ca="1" si="54"/>
        <v>152.74082447453608</v>
      </c>
      <c r="C167" s="102">
        <f t="shared" ca="1" si="55"/>
        <v>1.564249241904335</v>
      </c>
      <c r="D167" s="102">
        <f t="shared" si="56"/>
        <v>15.600426415531796</v>
      </c>
      <c r="E167" s="103">
        <f t="shared" si="57"/>
        <v>1.5066515360241193</v>
      </c>
      <c r="F167" s="101">
        <f t="shared" si="58"/>
        <v>1266.5774539093075</v>
      </c>
      <c r="G167" s="104">
        <f t="shared" si="59"/>
        <v>1.5700067974212242</v>
      </c>
      <c r="H167" s="113">
        <f t="shared" si="60"/>
        <v>152.46749291736256</v>
      </c>
      <c r="I167" s="114">
        <f t="shared" si="61"/>
        <v>1.5642375046447263</v>
      </c>
      <c r="J167" s="101">
        <f t="shared" si="62"/>
        <v>15.560927489476731</v>
      </c>
      <c r="K167" s="104">
        <f t="shared" si="63"/>
        <v>1.506488490195266</v>
      </c>
      <c r="L167" s="102">
        <f t="shared" si="64"/>
        <v>1.2077625815549073</v>
      </c>
      <c r="M167" s="103">
        <f t="shared" si="65"/>
        <v>0.59530536779130883</v>
      </c>
      <c r="N167" s="101">
        <f t="shared" si="66"/>
        <v>1.0058541025452683</v>
      </c>
      <c r="O167" s="104">
        <f t="shared" si="67"/>
        <v>0.10794151864274114</v>
      </c>
      <c r="P167" s="105">
        <f t="shared" ca="1" si="68"/>
        <v>1.1271519523259825</v>
      </c>
      <c r="Q167" s="106">
        <f t="shared" ca="1" si="69"/>
        <v>0.49605979301999881</v>
      </c>
      <c r="R167" s="107">
        <f t="shared" ca="1" si="70"/>
        <v>10.699259167560264</v>
      </c>
      <c r="S167" s="108">
        <f t="shared" ca="1" si="71"/>
        <v>-90.444334942728489</v>
      </c>
      <c r="T167" s="116">
        <f t="shared" ca="1" si="72"/>
        <v>89.555665057271511</v>
      </c>
      <c r="V167" s="72">
        <f t="shared" ca="1" si="73"/>
        <v>1000000000</v>
      </c>
      <c r="W167" s="72">
        <f t="shared" si="74"/>
        <v>87095556.25</v>
      </c>
      <c r="Y167" s="110">
        <f t="shared" si="75"/>
        <v>23.441531769993258</v>
      </c>
      <c r="Z167" s="111">
        <f t="shared" si="76"/>
        <v>-58.722096923729204</v>
      </c>
      <c r="AA167" s="72">
        <f t="shared" si="77"/>
        <v>121.2779030762708</v>
      </c>
      <c r="AB167" s="110">
        <f t="shared" ca="1" si="78"/>
        <v>3.1753277444485093</v>
      </c>
      <c r="AC167" s="111">
        <f t="shared" ca="1" si="79"/>
        <v>-31.722238018999249</v>
      </c>
      <c r="AD167" s="72">
        <f t="shared" ca="1" si="80"/>
        <v>148.27776198100076</v>
      </c>
    </row>
    <row r="168" spans="1:30">
      <c r="A168" s="118">
        <v>9386.85</v>
      </c>
      <c r="B168" s="101">
        <f t="shared" ca="1" si="54"/>
        <v>153.63030842939924</v>
      </c>
      <c r="C168" s="102">
        <f t="shared" ca="1" si="55"/>
        <v>1.5642871485485914</v>
      </c>
      <c r="D168" s="102">
        <f t="shared" si="56"/>
        <v>15.690906923563638</v>
      </c>
      <c r="E168" s="103">
        <f t="shared" si="57"/>
        <v>1.507021926180379</v>
      </c>
      <c r="F168" s="101">
        <f t="shared" si="58"/>
        <v>1273.9536598384027</v>
      </c>
      <c r="G168" s="104">
        <f t="shared" si="59"/>
        <v>1.5700113688060637</v>
      </c>
      <c r="H168" s="113">
        <f t="shared" si="60"/>
        <v>153.35538499371597</v>
      </c>
      <c r="I168" s="114">
        <f t="shared" si="61"/>
        <v>1.5642754792421032</v>
      </c>
      <c r="J168" s="101">
        <f t="shared" si="62"/>
        <v>15.651177021391309</v>
      </c>
      <c r="K168" s="104">
        <f t="shared" si="63"/>
        <v>1.5068598166786833</v>
      </c>
      <c r="L168" s="102">
        <f t="shared" si="64"/>
        <v>1.2099787572156662</v>
      </c>
      <c r="M168" s="103">
        <f t="shared" si="65"/>
        <v>0.59800436609552687</v>
      </c>
      <c r="N168" s="101">
        <f t="shared" si="66"/>
        <v>1.0059222852579504</v>
      </c>
      <c r="O168" s="104">
        <f t="shared" si="67"/>
        <v>0.10856522761287704</v>
      </c>
      <c r="P168" s="105">
        <f t="shared" ca="1" si="68"/>
        <v>1.128553012458257</v>
      </c>
      <c r="Q168" s="106">
        <f t="shared" ca="1" si="69"/>
        <v>0.49853745513229863</v>
      </c>
      <c r="R168" s="107">
        <f t="shared" ca="1" si="70"/>
        <v>10.653367463497588</v>
      </c>
      <c r="S168" s="108">
        <f t="shared" ca="1" si="71"/>
        <v>-90.467700879963232</v>
      </c>
      <c r="T168" s="116">
        <f t="shared" ca="1" si="72"/>
        <v>89.532299120036768</v>
      </c>
      <c r="V168" s="72">
        <f t="shared" ca="1" si="73"/>
        <v>1000000000</v>
      </c>
      <c r="W168" s="72">
        <f t="shared" si="74"/>
        <v>88112952.922499999</v>
      </c>
      <c r="Y168" s="110">
        <f t="shared" si="75"/>
        <v>23.406633901554407</v>
      </c>
      <c r="Z168" s="111">
        <f t="shared" si="76"/>
        <v>-58.622553180724736</v>
      </c>
      <c r="AA168" s="72">
        <f t="shared" si="77"/>
        <v>121.37744681927526</v>
      </c>
      <c r="AB168" s="110">
        <f t="shared" ca="1" si="78"/>
        <v>3.1643339088246885</v>
      </c>
      <c r="AC168" s="111">
        <f t="shared" ca="1" si="79"/>
        <v>-31.845147699238474</v>
      </c>
      <c r="AD168" s="72">
        <f t="shared" ca="1" si="80"/>
        <v>148.15485230076152</v>
      </c>
    </row>
    <row r="169" spans="1:30">
      <c r="A169" s="118">
        <v>9441.2000000000007</v>
      </c>
      <c r="B169" s="101">
        <f t="shared" ca="1" si="54"/>
        <v>154.51979260247435</v>
      </c>
      <c r="C169" s="102">
        <f t="shared" ca="1" si="55"/>
        <v>1.5643246187781279</v>
      </c>
      <c r="D169" s="102">
        <f t="shared" si="56"/>
        <v>15.78138955952957</v>
      </c>
      <c r="E169" s="103">
        <f t="shared" si="57"/>
        <v>1.5073880691206416</v>
      </c>
      <c r="F169" s="101">
        <f t="shared" si="58"/>
        <v>1281.329865793814</v>
      </c>
      <c r="G169" s="104">
        <f t="shared" si="59"/>
        <v>1.5700158875589043</v>
      </c>
      <c r="H169" s="113">
        <f t="shared" si="60"/>
        <v>154.24327728867252</v>
      </c>
      <c r="I169" s="114">
        <f t="shared" si="61"/>
        <v>1.5643130166424901</v>
      </c>
      <c r="J169" s="101">
        <f t="shared" si="62"/>
        <v>15.74142868659742</v>
      </c>
      <c r="K169" s="104">
        <f t="shared" si="63"/>
        <v>1.5072268852971291</v>
      </c>
      <c r="L169" s="102">
        <f t="shared" si="64"/>
        <v>1.2122037148118312</v>
      </c>
      <c r="M169" s="103">
        <f t="shared" si="65"/>
        <v>0.60069347609472745</v>
      </c>
      <c r="N169" s="101">
        <f t="shared" si="66"/>
        <v>1.0059908592342239</v>
      </c>
      <c r="O169" s="104">
        <f t="shared" si="67"/>
        <v>0.10918885179458379</v>
      </c>
      <c r="P169" s="105">
        <f t="shared" ca="1" si="68"/>
        <v>1.1299604651814104</v>
      </c>
      <c r="Q169" s="106">
        <f t="shared" ca="1" si="69"/>
        <v>0.50100920900194545</v>
      </c>
      <c r="R169" s="107">
        <f t="shared" ca="1" si="70"/>
        <v>10.607761630971011</v>
      </c>
      <c r="S169" s="108">
        <f t="shared" ca="1" si="71"/>
        <v>-90.491286419042751</v>
      </c>
      <c r="T169" s="116">
        <f t="shared" ca="1" si="72"/>
        <v>89.508713580957249</v>
      </c>
      <c r="V169" s="72">
        <f t="shared" ca="1" si="73"/>
        <v>1000000000</v>
      </c>
      <c r="W169" s="72">
        <f t="shared" si="74"/>
        <v>89136257.440000013</v>
      </c>
      <c r="Y169" s="110">
        <f t="shared" si="75"/>
        <v>23.372054155247056</v>
      </c>
      <c r="Z169" s="111">
        <f t="shared" si="76"/>
        <v>-58.523349214103838</v>
      </c>
      <c r="AA169" s="72">
        <f t="shared" si="77"/>
        <v>121.47665078589617</v>
      </c>
      <c r="AB169" s="110">
        <f t="shared" ca="1" si="78"/>
        <v>3.1533078226054547</v>
      </c>
      <c r="AC169" s="111">
        <f t="shared" ca="1" si="79"/>
        <v>-31.967937204938927</v>
      </c>
      <c r="AD169" s="72">
        <f t="shared" ca="1" si="80"/>
        <v>148.03206279506108</v>
      </c>
    </row>
    <row r="170" spans="1:30">
      <c r="A170" s="118">
        <v>9495.5499999999993</v>
      </c>
      <c r="B170" s="101">
        <f t="shared" ca="1" si="54"/>
        <v>155.40927699001463</v>
      </c>
      <c r="C170" s="102">
        <f t="shared" ca="1" si="55"/>
        <v>1.5643616600862922</v>
      </c>
      <c r="D170" s="102">
        <f t="shared" si="56"/>
        <v>15.871874287036702</v>
      </c>
      <c r="E170" s="103">
        <f t="shared" si="57"/>
        <v>1.5077500373853576</v>
      </c>
      <c r="F170" s="101">
        <f t="shared" si="58"/>
        <v>1288.7060717750892</v>
      </c>
      <c r="G170" s="104">
        <f t="shared" si="59"/>
        <v>1.5700203545835001</v>
      </c>
      <c r="H170" s="113">
        <f t="shared" si="60"/>
        <v>155.13116979847865</v>
      </c>
      <c r="I170" s="114">
        <f t="shared" si="61"/>
        <v>1.5643501243526647</v>
      </c>
      <c r="J170" s="101">
        <f t="shared" si="62"/>
        <v>15.831682448611302</v>
      </c>
      <c r="K170" s="104">
        <f t="shared" si="63"/>
        <v>1.5075897687709492</v>
      </c>
      <c r="L170" s="102">
        <f t="shared" si="64"/>
        <v>1.2144374060755376</v>
      </c>
      <c r="M170" s="103">
        <f t="shared" si="65"/>
        <v>0.60337271335292553</v>
      </c>
      <c r="N170" s="101">
        <f t="shared" si="66"/>
        <v>1.0060598243940826</v>
      </c>
      <c r="O170" s="104">
        <f t="shared" si="67"/>
        <v>0.1098123907201852</v>
      </c>
      <c r="P170" s="105">
        <f t="shared" ca="1" si="68"/>
        <v>1.1313742867982077</v>
      </c>
      <c r="Q170" s="106">
        <f t="shared" ca="1" si="69"/>
        <v>0.50347504993114278</v>
      </c>
      <c r="R170" s="107">
        <f t="shared" ca="1" si="70"/>
        <v>10.562438076264959</v>
      </c>
      <c r="S170" s="108">
        <f t="shared" ca="1" si="71"/>
        <v>-90.51509043357413</v>
      </c>
      <c r="T170" s="116">
        <f t="shared" ca="1" si="72"/>
        <v>89.48490956642587</v>
      </c>
      <c r="V170" s="72">
        <f t="shared" ca="1" si="73"/>
        <v>1000000000</v>
      </c>
      <c r="W170" s="72">
        <f t="shared" si="74"/>
        <v>90165469.80249998</v>
      </c>
      <c r="Y170" s="110">
        <f t="shared" si="75"/>
        <v>23.337788684882597</v>
      </c>
      <c r="Z170" s="111">
        <f t="shared" si="76"/>
        <v>-58.424487893561881</v>
      </c>
      <c r="AA170" s="72">
        <f t="shared" si="77"/>
        <v>121.57551210643811</v>
      </c>
      <c r="AB170" s="110">
        <f t="shared" ca="1" si="78"/>
        <v>3.1422497382638688</v>
      </c>
      <c r="AC170" s="111">
        <f t="shared" ca="1" si="79"/>
        <v>-32.09060254001227</v>
      </c>
      <c r="AD170" s="72">
        <f t="shared" ca="1" si="80"/>
        <v>147.90939745998773</v>
      </c>
    </row>
    <row r="171" spans="1:30">
      <c r="A171" s="118">
        <v>9549.9</v>
      </c>
      <c r="B171" s="101">
        <f t="shared" ca="1" si="54"/>
        <v>156.29876158835862</v>
      </c>
      <c r="C171" s="102">
        <f t="shared" ca="1" si="55"/>
        <v>1.5643982797958604</v>
      </c>
      <c r="D171" s="102">
        <f t="shared" si="56"/>
        <v>15.96236107051652</v>
      </c>
      <c r="E171" s="103">
        <f t="shared" si="57"/>
        <v>1.5081079018745533</v>
      </c>
      <c r="F171" s="101">
        <f t="shared" si="58"/>
        <v>1296.0822777817871</v>
      </c>
      <c r="G171" s="104">
        <f t="shared" si="59"/>
        <v>1.5700247707630313</v>
      </c>
      <c r="H171" s="113">
        <f t="shared" si="60"/>
        <v>156.01906251946636</v>
      </c>
      <c r="I171" s="114">
        <f t="shared" si="61"/>
        <v>1.5643868097085283</v>
      </c>
      <c r="J171" s="101">
        <f t="shared" si="62"/>
        <v>15.921938271775597</v>
      </c>
      <c r="K171" s="104">
        <f t="shared" si="63"/>
        <v>1.5079485381760525</v>
      </c>
      <c r="L171" s="102">
        <f t="shared" si="64"/>
        <v>1.2166797829046059</v>
      </c>
      <c r="M171" s="103">
        <f t="shared" si="65"/>
        <v>0.60604209388702091</v>
      </c>
      <c r="N171" s="101">
        <f t="shared" si="66"/>
        <v>1.0061291806570851</v>
      </c>
      <c r="O171" s="104">
        <f t="shared" si="67"/>
        <v>0.11043584392239819</v>
      </c>
      <c r="P171" s="105">
        <f t="shared" ca="1" si="68"/>
        <v>1.1327944536229528</v>
      </c>
      <c r="Q171" s="106">
        <f t="shared" ca="1" si="69"/>
        <v>0.50593497351075079</v>
      </c>
      <c r="R171" s="107">
        <f t="shared" ca="1" si="70"/>
        <v>10.517393266258733</v>
      </c>
      <c r="S171" s="108">
        <f t="shared" ca="1" si="71"/>
        <v>-90.539111786385917</v>
      </c>
      <c r="T171" s="116">
        <f t="shared" ca="1" si="72"/>
        <v>89.460888213614083</v>
      </c>
      <c r="V171" s="72">
        <f t="shared" ca="1" si="73"/>
        <v>1000000000</v>
      </c>
      <c r="W171" s="72">
        <f t="shared" si="74"/>
        <v>91200590.00999999</v>
      </c>
      <c r="Y171" s="110">
        <f t="shared" si="75"/>
        <v>23.303833703574846</v>
      </c>
      <c r="Z171" s="111">
        <f t="shared" si="76"/>
        <v>-58.325971977260586</v>
      </c>
      <c r="AA171" s="72">
        <f t="shared" si="77"/>
        <v>121.67402802273941</v>
      </c>
      <c r="AB171" s="110">
        <f t="shared" ca="1" si="78"/>
        <v>3.1311599095653939</v>
      </c>
      <c r="AC171" s="111">
        <f t="shared" ca="1" si="79"/>
        <v>-32.213139809125273</v>
      </c>
      <c r="AD171" s="72">
        <f t="shared" ca="1" si="80"/>
        <v>147.78686019087473</v>
      </c>
    </row>
    <row r="172" spans="1:30">
      <c r="A172" s="118">
        <v>9605.5249999999996</v>
      </c>
      <c r="B172" s="101">
        <f t="shared" ca="1" si="54"/>
        <v>157.20911287526633</v>
      </c>
      <c r="C172" s="102">
        <f t="shared" ca="1" si="55"/>
        <v>1.5644353294871913</v>
      </c>
      <c r="D172" s="102">
        <f t="shared" si="56"/>
        <v>16.054972681635519</v>
      </c>
      <c r="E172" s="103">
        <f t="shared" si="57"/>
        <v>1.5084699845331644</v>
      </c>
      <c r="F172" s="101">
        <f t="shared" si="58"/>
        <v>1303.6315226857212</v>
      </c>
      <c r="G172" s="104">
        <f t="shared" si="59"/>
        <v>1.5700292387944388</v>
      </c>
      <c r="H172" s="113">
        <f t="shared" si="60"/>
        <v>156.92778458545337</v>
      </c>
      <c r="I172" s="114">
        <f t="shared" si="61"/>
        <v>1.5644239258170238</v>
      </c>
      <c r="J172" s="101">
        <f t="shared" si="62"/>
        <v>16.014313509737505</v>
      </c>
      <c r="K172" s="104">
        <f t="shared" si="63"/>
        <v>1.5083115365002668</v>
      </c>
      <c r="L172" s="102">
        <f t="shared" si="64"/>
        <v>1.2189837073564491</v>
      </c>
      <c r="M172" s="103">
        <f t="shared" si="65"/>
        <v>0.60876390648391976</v>
      </c>
      <c r="N172" s="101">
        <f t="shared" si="66"/>
        <v>1.006200568841666</v>
      </c>
      <c r="O172" s="104">
        <f t="shared" si="67"/>
        <v>0.11107383350102457</v>
      </c>
      <c r="P172" s="105">
        <f t="shared" ca="1" si="68"/>
        <v>1.1342544817576039</v>
      </c>
      <c r="Q172" s="106">
        <f t="shared" ca="1" si="69"/>
        <v>0.5084464730873669</v>
      </c>
      <c r="R172" s="107">
        <f t="shared" ca="1" si="70"/>
        <v>10.471576752512018</v>
      </c>
      <c r="S172" s="108">
        <f t="shared" ca="1" si="71"/>
        <v>-90.563920505897727</v>
      </c>
      <c r="T172" s="116">
        <f t="shared" ca="1" si="72"/>
        <v>89.436079494102273</v>
      </c>
      <c r="V172" s="72">
        <f t="shared" ca="1" si="73"/>
        <v>1000000000</v>
      </c>
      <c r="W172" s="72">
        <f t="shared" si="74"/>
        <v>92266110.52562499</v>
      </c>
      <c r="Y172" s="110">
        <f t="shared" si="75"/>
        <v>23.269399779556196</v>
      </c>
      <c r="Z172" s="111">
        <f t="shared" si="76"/>
        <v>-58.225505387868004</v>
      </c>
      <c r="AA172" s="72">
        <f t="shared" si="77"/>
        <v>121.774494612132</v>
      </c>
      <c r="AB172" s="110">
        <f t="shared" ca="1" si="78"/>
        <v>3.1197773198373269</v>
      </c>
      <c r="AC172" s="111">
        <f t="shared" ca="1" si="79"/>
        <v>-32.338415118029658</v>
      </c>
      <c r="AD172" s="72">
        <f t="shared" ca="1" si="80"/>
        <v>147.66158488197033</v>
      </c>
    </row>
    <row r="173" spans="1:30">
      <c r="A173" s="118">
        <v>9661.15</v>
      </c>
      <c r="B173" s="101">
        <f t="shared" ca="1" si="54"/>
        <v>158.11946437548687</v>
      </c>
      <c r="C173" s="102">
        <f t="shared" ca="1" si="55"/>
        <v>1.564471952561366</v>
      </c>
      <c r="D173" s="102">
        <f t="shared" si="56"/>
        <v>16.147586373478909</v>
      </c>
      <c r="E173" s="103">
        <f t="shared" si="57"/>
        <v>1.508827913823497</v>
      </c>
      <c r="F173" s="101">
        <f t="shared" si="58"/>
        <v>1311.1807676153801</v>
      </c>
      <c r="G173" s="104">
        <f t="shared" si="59"/>
        <v>1.5700336553756358</v>
      </c>
      <c r="H173" s="113">
        <f t="shared" si="60"/>
        <v>157.83650686513559</v>
      </c>
      <c r="I173" s="114">
        <f t="shared" si="61"/>
        <v>1.5644606145436486</v>
      </c>
      <c r="J173" s="101">
        <f t="shared" si="62"/>
        <v>16.106690833665311</v>
      </c>
      <c r="K173" s="104">
        <f t="shared" si="63"/>
        <v>1.5086703710347897</v>
      </c>
      <c r="L173" s="102">
        <f t="shared" si="64"/>
        <v>1.2212966282507272</v>
      </c>
      <c r="M173" s="103">
        <f t="shared" si="65"/>
        <v>0.61147542983708691</v>
      </c>
      <c r="N173" s="101">
        <f t="shared" si="66"/>
        <v>1.0062723665225637</v>
      </c>
      <c r="O173" s="104">
        <f t="shared" si="67"/>
        <v>0.11171173229796458</v>
      </c>
      <c r="P173" s="105">
        <f t="shared" ca="1" si="68"/>
        <v>1.1357211061377483</v>
      </c>
      <c r="Q173" s="106">
        <f t="shared" ca="1" si="69"/>
        <v>0.51095176599709624</v>
      </c>
      <c r="R173" s="107">
        <f t="shared" ca="1" si="70"/>
        <v>10.426044915369063</v>
      </c>
      <c r="S173" s="108">
        <f t="shared" ca="1" si="71"/>
        <v>-90.588954437257044</v>
      </c>
      <c r="T173" s="116">
        <f t="shared" ca="1" si="72"/>
        <v>89.411045562742956</v>
      </c>
      <c r="V173" s="72">
        <f t="shared" ca="1" si="73"/>
        <v>1000000000</v>
      </c>
      <c r="W173" s="72">
        <f t="shared" si="74"/>
        <v>93337819.32249999</v>
      </c>
      <c r="Y173" s="110">
        <f t="shared" si="75"/>
        <v>23.235283241753386</v>
      </c>
      <c r="Z173" s="111">
        <f t="shared" si="76"/>
        <v>-58.125406099029988</v>
      </c>
      <c r="AA173" s="72">
        <f t="shared" si="77"/>
        <v>121.87459390097001</v>
      </c>
      <c r="AB173" s="110">
        <f t="shared" ca="1" si="78"/>
        <v>3.1083620204971787</v>
      </c>
      <c r="AC173" s="111">
        <f t="shared" ca="1" si="79"/>
        <v>-32.463548338227028</v>
      </c>
      <c r="AD173" s="72">
        <f t="shared" ca="1" si="80"/>
        <v>147.53645166177296</v>
      </c>
    </row>
    <row r="174" spans="1:30">
      <c r="A174" s="118">
        <v>9716.7749999999996</v>
      </c>
      <c r="B174" s="101">
        <f t="shared" ca="1" si="54"/>
        <v>159.02981608535708</v>
      </c>
      <c r="C174" s="102">
        <f t="shared" ca="1" si="55"/>
        <v>1.5645081563446779</v>
      </c>
      <c r="D174" s="102">
        <f t="shared" si="56"/>
        <v>16.240202110449193</v>
      </c>
      <c r="E174" s="103">
        <f t="shared" si="57"/>
        <v>1.5091817607113855</v>
      </c>
      <c r="F174" s="101">
        <f t="shared" si="58"/>
        <v>1318.7300125703225</v>
      </c>
      <c r="G174" s="104">
        <f t="shared" si="59"/>
        <v>1.5700380213902227</v>
      </c>
      <c r="H174" s="113">
        <f t="shared" si="60"/>
        <v>158.7452293548433</v>
      </c>
      <c r="I174" s="114">
        <f t="shared" si="61"/>
        <v>1.5644968832278283</v>
      </c>
      <c r="J174" s="101">
        <f t="shared" si="62"/>
        <v>16.199070207872523</v>
      </c>
      <c r="K174" s="104">
        <f t="shared" si="63"/>
        <v>1.5090251129216656</v>
      </c>
      <c r="L174" s="102">
        <f t="shared" si="64"/>
        <v>1.2236184945713933</v>
      </c>
      <c r="M174" s="103">
        <f t="shared" si="65"/>
        <v>0.61417668253444835</v>
      </c>
      <c r="N174" s="101">
        <f t="shared" si="66"/>
        <v>1.0063445736121319</v>
      </c>
      <c r="O174" s="104">
        <f t="shared" si="67"/>
        <v>0.11234953981356346</v>
      </c>
      <c r="P174" s="105">
        <f t="shared" ca="1" si="68"/>
        <v>1.1371943014170738</v>
      </c>
      <c r="Q174" s="106">
        <f t="shared" ca="1" si="69"/>
        <v>0.5134508484359831</v>
      </c>
      <c r="R174" s="107">
        <f t="shared" ca="1" si="70"/>
        <v>10.380794155910515</v>
      </c>
      <c r="S174" s="108">
        <f t="shared" ca="1" si="71"/>
        <v>-90.614212328845724</v>
      </c>
      <c r="T174" s="116">
        <f t="shared" ca="1" si="72"/>
        <v>89.385787671154276</v>
      </c>
      <c r="V174" s="72">
        <f t="shared" ca="1" si="73"/>
        <v>1000000000</v>
      </c>
      <c r="W174" s="72">
        <f t="shared" si="74"/>
        <v>94415716.40062499</v>
      </c>
      <c r="Y174" s="110">
        <f t="shared" si="75"/>
        <v>23.20148021560232</v>
      </c>
      <c r="Z174" s="111">
        <f t="shared" si="76"/>
        <v>-58.025676723356071</v>
      </c>
      <c r="AA174" s="72">
        <f t="shared" si="77"/>
        <v>121.97432327664393</v>
      </c>
      <c r="AB174" s="110">
        <f t="shared" ca="1" si="78"/>
        <v>3.0969142871897026</v>
      </c>
      <c r="AC174" s="111">
        <f t="shared" ca="1" si="79"/>
        <v>-32.588535605489653</v>
      </c>
      <c r="AD174" s="72">
        <f t="shared" ca="1" si="80"/>
        <v>147.41146439451035</v>
      </c>
    </row>
    <row r="175" spans="1:30">
      <c r="A175" s="118">
        <v>9772.4</v>
      </c>
      <c r="B175" s="101">
        <f t="shared" ca="1" si="54"/>
        <v>159.94016800129702</v>
      </c>
      <c r="C175" s="102">
        <f t="shared" ca="1" si="55"/>
        <v>1.5645439479966259</v>
      </c>
      <c r="D175" s="102">
        <f t="shared" si="56"/>
        <v>16.332819857755506</v>
      </c>
      <c r="E175" s="103">
        <f t="shared" si="57"/>
        <v>1.5095315945571168</v>
      </c>
      <c r="F175" s="101">
        <f t="shared" si="58"/>
        <v>1326.2792575501164</v>
      </c>
      <c r="G175" s="104">
        <f t="shared" si="59"/>
        <v>1.5700423377016817</v>
      </c>
      <c r="H175" s="113">
        <f t="shared" si="60"/>
        <v>159.65395205099014</v>
      </c>
      <c r="I175" s="114">
        <f t="shared" si="61"/>
        <v>1.5645327390418931</v>
      </c>
      <c r="J175" s="101">
        <f t="shared" si="62"/>
        <v>16.291451597481313</v>
      </c>
      <c r="K175" s="104">
        <f t="shared" si="63"/>
        <v>1.5093758316934562</v>
      </c>
      <c r="L175" s="102">
        <f t="shared" si="64"/>
        <v>1.2259492554923215</v>
      </c>
      <c r="M175" s="103">
        <f t="shared" si="65"/>
        <v>0.6168676836229241</v>
      </c>
      <c r="N175" s="101">
        <f t="shared" si="66"/>
        <v>1.0064171900222489</v>
      </c>
      <c r="O175" s="104">
        <f t="shared" si="67"/>
        <v>0.11298725554860659</v>
      </c>
      <c r="P175" s="105">
        <f t="shared" ca="1" si="68"/>
        <v>1.1386740422673993</v>
      </c>
      <c r="Q175" s="106">
        <f t="shared" ca="1" si="69"/>
        <v>0.51594371690565421</v>
      </c>
      <c r="R175" s="107">
        <f t="shared" ca="1" si="70"/>
        <v>10.335820936131586</v>
      </c>
      <c r="S175" s="108">
        <f t="shared" ca="1" si="71"/>
        <v>-90.639692918920019</v>
      </c>
      <c r="T175" s="116">
        <f t="shared" ca="1" si="72"/>
        <v>89.360307081079981</v>
      </c>
      <c r="V175" s="72">
        <f t="shared" ca="1" si="73"/>
        <v>1000000000</v>
      </c>
      <c r="W175" s="72">
        <f t="shared" si="74"/>
        <v>95499801.75999999</v>
      </c>
      <c r="Y175" s="110">
        <f t="shared" si="75"/>
        <v>23.167986886433901</v>
      </c>
      <c r="Z175" s="111">
        <f t="shared" si="76"/>
        <v>-57.926319763387198</v>
      </c>
      <c r="AA175" s="72">
        <f t="shared" si="77"/>
        <v>122.0736802366128</v>
      </c>
      <c r="AB175" s="110">
        <f t="shared" ca="1" si="78"/>
        <v>3.0854343965791884</v>
      </c>
      <c r="AC175" s="111">
        <f t="shared" ca="1" si="79"/>
        <v>-32.713373155532871</v>
      </c>
      <c r="AD175" s="72">
        <f t="shared" ca="1" si="80"/>
        <v>147.28662684446712</v>
      </c>
    </row>
    <row r="176" spans="1:30">
      <c r="A176" s="118">
        <v>9829.2999999999993</v>
      </c>
      <c r="B176" s="101">
        <f t="shared" ca="1" si="54"/>
        <v>160.87138662015286</v>
      </c>
      <c r="C176" s="102">
        <f t="shared" ca="1" si="55"/>
        <v>1.564580140926173</v>
      </c>
      <c r="D176" s="102">
        <f t="shared" si="56"/>
        <v>16.427562573242177</v>
      </c>
      <c r="E176" s="103">
        <f t="shared" si="57"/>
        <v>1.5098853656690081</v>
      </c>
      <c r="F176" s="101">
        <f t="shared" si="58"/>
        <v>1334.0015414288773</v>
      </c>
      <c r="G176" s="104">
        <f t="shared" si="59"/>
        <v>1.5700467024034697</v>
      </c>
      <c r="H176" s="113">
        <f t="shared" si="60"/>
        <v>160.58350410651417</v>
      </c>
      <c r="I176" s="114">
        <f t="shared" si="61"/>
        <v>1.5645689968529681</v>
      </c>
      <c r="J176" s="101">
        <f t="shared" si="62"/>
        <v>16.385952542785738</v>
      </c>
      <c r="K176" s="104">
        <f t="shared" si="63"/>
        <v>1.5097304977687982</v>
      </c>
      <c r="L176" s="102">
        <f t="shared" si="64"/>
        <v>1.2283425905596852</v>
      </c>
      <c r="M176" s="103">
        <f t="shared" si="65"/>
        <v>0.61960977964042963</v>
      </c>
      <c r="N176" s="101">
        <f t="shared" si="66"/>
        <v>1.0064918943073717</v>
      </c>
      <c r="O176" s="104">
        <f t="shared" si="67"/>
        <v>0.11363949310787871</v>
      </c>
      <c r="P176" s="105">
        <f t="shared" ca="1" si="68"/>
        <v>1.1401944467281517</v>
      </c>
      <c r="Q176" s="106">
        <f t="shared" ca="1" si="69"/>
        <v>0.5184872927015951</v>
      </c>
      <c r="R176" s="107">
        <f t="shared" ca="1" si="70"/>
        <v>10.290100398421378</v>
      </c>
      <c r="S176" s="108">
        <f t="shared" ca="1" si="71"/>
        <v>-90.665986646674739</v>
      </c>
      <c r="T176" s="116">
        <f t="shared" ca="1" si="72"/>
        <v>89.334013353325261</v>
      </c>
      <c r="V176" s="72">
        <f t="shared" ca="1" si="73"/>
        <v>1000000000</v>
      </c>
      <c r="W176" s="72">
        <f t="shared" si="74"/>
        <v>96615138.48999998</v>
      </c>
      <c r="Y176" s="110">
        <f t="shared" si="75"/>
        <v>23.134042355880773</v>
      </c>
      <c r="Z176" s="111">
        <f t="shared" si="76"/>
        <v>-57.825073222530868</v>
      </c>
      <c r="AA176" s="72">
        <f t="shared" si="77"/>
        <v>122.17492677746912</v>
      </c>
      <c r="AB176" s="110">
        <f t="shared" ca="1" si="78"/>
        <v>3.0736583894221092</v>
      </c>
      <c r="AC176" s="111">
        <f t="shared" ca="1" si="79"/>
        <v>-32.840913424143892</v>
      </c>
      <c r="AD176" s="72">
        <f t="shared" ca="1" si="80"/>
        <v>147.15908657585612</v>
      </c>
    </row>
    <row r="177" spans="1:30">
      <c r="A177" s="118">
        <v>9886.2000000000007</v>
      </c>
      <c r="B177" s="101">
        <f t="shared" ca="1" si="54"/>
        <v>161.80260544731306</v>
      </c>
      <c r="C177" s="102">
        <f t="shared" ca="1" si="55"/>
        <v>1.5646159172550906</v>
      </c>
      <c r="D177" s="102">
        <f t="shared" si="56"/>
        <v>16.522307321124995</v>
      </c>
      <c r="E177" s="103">
        <f t="shared" si="57"/>
        <v>1.5102350795271484</v>
      </c>
      <c r="F177" s="101">
        <f t="shared" si="58"/>
        <v>1341.7238253327591</v>
      </c>
      <c r="G177" s="104">
        <f t="shared" si="59"/>
        <v>1.5700510168632249</v>
      </c>
      <c r="H177" s="113">
        <f t="shared" si="60"/>
        <v>161.51305637071599</v>
      </c>
      <c r="I177" s="114">
        <f t="shared" si="61"/>
        <v>1.564604837316649</v>
      </c>
      <c r="J177" s="101">
        <f t="shared" si="62"/>
        <v>16.480455525608775</v>
      </c>
      <c r="K177" s="104">
        <f t="shared" si="63"/>
        <v>1.5100810964029172</v>
      </c>
      <c r="L177" s="102">
        <f t="shared" si="64"/>
        <v>1.2307451256846702</v>
      </c>
      <c r="M177" s="103">
        <f t="shared" si="65"/>
        <v>0.62234119044858627</v>
      </c>
      <c r="N177" s="101">
        <f t="shared" si="66"/>
        <v>1.006567026704408</v>
      </c>
      <c r="O177" s="104">
        <f t="shared" si="67"/>
        <v>0.11429163357562779</v>
      </c>
      <c r="P177" s="105">
        <f t="shared" ca="1" si="68"/>
        <v>1.1417216467166436</v>
      </c>
      <c r="Q177" s="106">
        <f t="shared" ca="1" si="69"/>
        <v>0.52102435996006724</v>
      </c>
      <c r="R177" s="107">
        <f t="shared" ca="1" si="70"/>
        <v>10.24466296993036</v>
      </c>
      <c r="S177" s="108">
        <f t="shared" ca="1" si="71"/>
        <v>-90.692510697597243</v>
      </c>
      <c r="T177" s="116">
        <f t="shared" ca="1" si="72"/>
        <v>89.307489302402757</v>
      </c>
      <c r="V177" s="72">
        <f t="shared" ca="1" si="73"/>
        <v>1000000000</v>
      </c>
      <c r="W177" s="72">
        <f t="shared" si="74"/>
        <v>97736950.440000013</v>
      </c>
      <c r="Y177" s="110">
        <f t="shared" si="75"/>
        <v>23.100413994427818</v>
      </c>
      <c r="Z177" s="111">
        <f t="shared" si="76"/>
        <v>-57.724221322511745</v>
      </c>
      <c r="AA177" s="72">
        <f t="shared" si="77"/>
        <v>122.27577867748826</v>
      </c>
      <c r="AB177" s="110">
        <f t="shared" ca="1" si="78"/>
        <v>3.0618493223840448</v>
      </c>
      <c r="AC177" s="111">
        <f t="shared" ca="1" si="79"/>
        <v>-32.968289375085511</v>
      </c>
      <c r="AD177" s="72">
        <f t="shared" ca="1" si="80"/>
        <v>147.0317106249145</v>
      </c>
    </row>
    <row r="178" spans="1:30">
      <c r="A178" s="118">
        <v>9943.1</v>
      </c>
      <c r="B178" s="101">
        <f t="shared" ca="1" si="54"/>
        <v>162.73382447920162</v>
      </c>
      <c r="C178" s="102">
        <f t="shared" ca="1" si="55"/>
        <v>1.5646512841350833</v>
      </c>
      <c r="D178" s="102">
        <f t="shared" si="56"/>
        <v>16.617054066639867</v>
      </c>
      <c r="E178" s="103">
        <f t="shared" si="57"/>
        <v>1.5105808054459327</v>
      </c>
      <c r="F178" s="101">
        <f t="shared" si="58"/>
        <v>1349.4461092613308</v>
      </c>
      <c r="G178" s="104">
        <f t="shared" si="59"/>
        <v>1.5700552819434856</v>
      </c>
      <c r="H178" s="113">
        <f t="shared" si="60"/>
        <v>162.44260884001315</v>
      </c>
      <c r="I178" s="114">
        <f t="shared" si="61"/>
        <v>1.5646402675974584</v>
      </c>
      <c r="J178" s="101">
        <f t="shared" si="62"/>
        <v>16.574960511099373</v>
      </c>
      <c r="K178" s="104">
        <f t="shared" si="63"/>
        <v>1.5104276970825221</v>
      </c>
      <c r="L178" s="102">
        <f t="shared" si="64"/>
        <v>1.2331568070944048</v>
      </c>
      <c r="M178" s="103">
        <f t="shared" si="65"/>
        <v>0.6250619378638067</v>
      </c>
      <c r="N178" s="101">
        <f t="shared" si="66"/>
        <v>1.0066425871174991</v>
      </c>
      <c r="O178" s="104">
        <f t="shared" si="67"/>
        <v>0.11494367641896189</v>
      </c>
      <c r="P178" s="105">
        <f t="shared" ca="1" si="68"/>
        <v>1.1432556151903923</v>
      </c>
      <c r="Q178" s="106">
        <f t="shared" ca="1" si="69"/>
        <v>0.52355491591041914</v>
      </c>
      <c r="R178" s="107">
        <f t="shared" ca="1" si="70"/>
        <v>10.199505053136743</v>
      </c>
      <c r="S178" s="108">
        <f t="shared" ca="1" si="71"/>
        <v>-90.719263690978323</v>
      </c>
      <c r="T178" s="116">
        <f t="shared" ca="1" si="72"/>
        <v>89.280736309021677</v>
      </c>
      <c r="V178" s="72">
        <f t="shared" ca="1" si="73"/>
        <v>1000000000</v>
      </c>
      <c r="W178" s="72">
        <f t="shared" si="74"/>
        <v>98865237.610000014</v>
      </c>
      <c r="Y178" s="110">
        <f t="shared" si="75"/>
        <v>23.067097905702752</v>
      </c>
      <c r="Z178" s="111">
        <f t="shared" si="76"/>
        <v>-57.623766403027062</v>
      </c>
      <c r="AA178" s="72">
        <f t="shared" si="77"/>
        <v>122.37623359697294</v>
      </c>
      <c r="AB178" s="110">
        <f t="shared" ca="1" si="78"/>
        <v>3.050007494315496</v>
      </c>
      <c r="AC178" s="111">
        <f t="shared" ca="1" si="79"/>
        <v>-33.09549728795124</v>
      </c>
      <c r="AD178" s="72">
        <f t="shared" ca="1" si="80"/>
        <v>146.90450271204875</v>
      </c>
    </row>
    <row r="179" spans="1:30">
      <c r="A179" s="118">
        <v>10000</v>
      </c>
      <c r="B179" s="101">
        <f t="shared" ca="1" si="54"/>
        <v>163.66504371232395</v>
      </c>
      <c r="C179" s="102">
        <f t="shared" ca="1" si="55"/>
        <v>1.5646862485550934</v>
      </c>
      <c r="D179" s="102">
        <f t="shared" si="56"/>
        <v>16.711802775810373</v>
      </c>
      <c r="E179" s="103">
        <f t="shared" si="57"/>
        <v>1.5109226111716878</v>
      </c>
      <c r="F179" s="101">
        <f t="shared" si="58"/>
        <v>1357.1683932141705</v>
      </c>
      <c r="G179" s="104">
        <f t="shared" si="59"/>
        <v>1.5700594984871596</v>
      </c>
      <c r="H179" s="113">
        <f t="shared" si="60"/>
        <v>163.37216151090479</v>
      </c>
      <c r="I179" s="114">
        <f t="shared" si="61"/>
        <v>1.5646752946968656</v>
      </c>
      <c r="J179" s="101">
        <f t="shared" si="62"/>
        <v>16.669467465196085</v>
      </c>
      <c r="K179" s="104">
        <f t="shared" si="63"/>
        <v>1.5107703677224045</v>
      </c>
      <c r="L179" s="102">
        <f t="shared" si="64"/>
        <v>1.2355775812319332</v>
      </c>
      <c r="M179" s="103">
        <f t="shared" si="65"/>
        <v>0.62777204416397991</v>
      </c>
      <c r="N179" s="101">
        <f t="shared" si="66"/>
        <v>1.0067185754502694</v>
      </c>
      <c r="O179" s="104">
        <f t="shared" si="67"/>
        <v>0.11559562110548083</v>
      </c>
      <c r="P179" s="105">
        <f t="shared" ca="1" si="68"/>
        <v>1.1447963251325823</v>
      </c>
      <c r="Q179" s="106">
        <f t="shared" ca="1" si="69"/>
        <v>0.52607895810395433</v>
      </c>
      <c r="R179" s="107">
        <f t="shared" ca="1" si="70"/>
        <v>10.154623111633718</v>
      </c>
      <c r="S179" s="108">
        <f t="shared" ca="1" si="71"/>
        <v>-90.74624423681432</v>
      </c>
      <c r="T179" s="116">
        <f t="shared" ca="1" si="72"/>
        <v>89.25375576318568</v>
      </c>
      <c r="V179" s="72">
        <f t="shared" ca="1" si="73"/>
        <v>1000000000</v>
      </c>
      <c r="W179" s="72">
        <f t="shared" si="74"/>
        <v>100000000</v>
      </c>
      <c r="Y179" s="110">
        <f t="shared" si="75"/>
        <v>23.034090253718176</v>
      </c>
      <c r="Z179" s="111">
        <f t="shared" si="76"/>
        <v>-57.52371069551485</v>
      </c>
      <c r="AA179" s="72">
        <f t="shared" si="77"/>
        <v>122.47628930448515</v>
      </c>
      <c r="AB179" s="110">
        <f t="shared" ca="1" si="78"/>
        <v>3.0381332047970435</v>
      </c>
      <c r="AC179" s="111">
        <f t="shared" ca="1" si="79"/>
        <v>-33.222533541299441</v>
      </c>
      <c r="AD179" s="72">
        <f t="shared" ca="1" si="80"/>
        <v>146.77746645870056</v>
      </c>
    </row>
    <row r="180" spans="1:30">
      <c r="A180" s="118">
        <v>10058.25</v>
      </c>
      <c r="B180" s="101">
        <f t="shared" ca="1" si="54"/>
        <v>164.61835710401851</v>
      </c>
      <c r="C180" s="102">
        <f t="shared" ca="1" si="55"/>
        <v>1.5647216327696578</v>
      </c>
      <c r="D180" s="102">
        <f t="shared" si="56"/>
        <v>16.808801476624673</v>
      </c>
      <c r="E180" s="103">
        <f t="shared" si="57"/>
        <v>1.5112685348434451</v>
      </c>
      <c r="F180" s="101">
        <f t="shared" si="58"/>
        <v>1365.0738948250466</v>
      </c>
      <c r="G180" s="104">
        <f t="shared" si="59"/>
        <v>1.570063765654264</v>
      </c>
      <c r="H180" s="113">
        <f t="shared" si="60"/>
        <v>164.32376880015582</v>
      </c>
      <c r="I180" s="114">
        <f t="shared" si="61"/>
        <v>1.5647107423434317</v>
      </c>
      <c r="J180" s="101">
        <f t="shared" si="62"/>
        <v>16.766218680136934</v>
      </c>
      <c r="K180" s="104">
        <f t="shared" si="63"/>
        <v>1.5111171668011587</v>
      </c>
      <c r="L180" s="102">
        <f t="shared" si="64"/>
        <v>1.2380651534544815</v>
      </c>
      <c r="M180" s="103">
        <f t="shared" si="65"/>
        <v>0.63053545091790453</v>
      </c>
      <c r="N180" s="101">
        <f t="shared" si="66"/>
        <v>1.0067968098377527</v>
      </c>
      <c r="O180" s="104">
        <f t="shared" si="67"/>
        <v>0.11626293149086846</v>
      </c>
      <c r="P180" s="105">
        <f t="shared" ca="1" si="68"/>
        <v>1.1463805448118716</v>
      </c>
      <c r="Q180" s="106">
        <f t="shared" ca="1" si="69"/>
        <v>0.52865613567710956</v>
      </c>
      <c r="R180" s="107">
        <f t="shared" ca="1" si="70"/>
        <v>10.108958553751851</v>
      </c>
      <c r="S180" s="108">
        <f t="shared" ca="1" si="71"/>
        <v>-90.774099172879701</v>
      </c>
      <c r="T180" s="116">
        <f t="shared" ca="1" si="72"/>
        <v>89.225900827120299</v>
      </c>
      <c r="V180" s="72">
        <f t="shared" ca="1" si="73"/>
        <v>1000000000</v>
      </c>
      <c r="W180" s="72">
        <f t="shared" si="74"/>
        <v>101168393.0625</v>
      </c>
      <c r="Y180" s="110">
        <f t="shared" si="75"/>
        <v>23.000615025181563</v>
      </c>
      <c r="Z180" s="111">
        <f t="shared" si="76"/>
        <v>-57.421696833703713</v>
      </c>
      <c r="AA180" s="72">
        <f t="shared" si="77"/>
        <v>122.57830316629628</v>
      </c>
      <c r="AB180" s="110">
        <f t="shared" ca="1" si="78"/>
        <v>3.0259438754517913</v>
      </c>
      <c r="AC180" s="111">
        <f t="shared" ca="1" si="79"/>
        <v>-33.352402339175953</v>
      </c>
      <c r="AD180" s="72">
        <f t="shared" ca="1" si="80"/>
        <v>146.64759766082403</v>
      </c>
    </row>
    <row r="181" spans="1:30">
      <c r="A181" s="118">
        <v>10116.5</v>
      </c>
      <c r="B181" s="101">
        <f t="shared" ca="1" si="54"/>
        <v>165.5716706994489</v>
      </c>
      <c r="C181" s="102">
        <f t="shared" ca="1" si="55"/>
        <v>1.564756609520203</v>
      </c>
      <c r="D181" s="102">
        <f t="shared" si="56"/>
        <v>16.905802165752434</v>
      </c>
      <c r="E181" s="103">
        <f t="shared" si="57"/>
        <v>1.5116104889322595</v>
      </c>
      <c r="F181" s="101">
        <f t="shared" si="58"/>
        <v>1372.9793964604928</v>
      </c>
      <c r="G181" s="104">
        <f t="shared" si="59"/>
        <v>1.5700679836813787</v>
      </c>
      <c r="H181" s="113">
        <f t="shared" si="60"/>
        <v>165.27537629350783</v>
      </c>
      <c r="I181" s="114">
        <f t="shared" si="61"/>
        <v>1.5647457817955861</v>
      </c>
      <c r="J181" s="101">
        <f t="shared" si="62"/>
        <v>16.862971888405141</v>
      </c>
      <c r="K181" s="104">
        <f t="shared" si="63"/>
        <v>1.5114599863228815</v>
      </c>
      <c r="L181" s="102">
        <f t="shared" si="64"/>
        <v>1.2405621421008515</v>
      </c>
      <c r="M181" s="103">
        <f t="shared" si="65"/>
        <v>0.6332877543150891</v>
      </c>
      <c r="N181" s="101">
        <f t="shared" si="66"/>
        <v>1.0068754924852401</v>
      </c>
      <c r="O181" s="104">
        <f t="shared" si="67"/>
        <v>0.11693013787890646</v>
      </c>
      <c r="P181" s="105">
        <f t="shared" ca="1" si="68"/>
        <v>1.1479717724371143</v>
      </c>
      <c r="Q181" s="106">
        <f t="shared" ca="1" si="69"/>
        <v>0.53122648256453531</v>
      </c>
      <c r="R181" s="107">
        <f t="shared" ca="1" si="70"/>
        <v>10.063575912241911</v>
      </c>
      <c r="S181" s="108">
        <f t="shared" ca="1" si="71"/>
        <v>-90.802189611213436</v>
      </c>
      <c r="T181" s="116">
        <f t="shared" ca="1" si="72"/>
        <v>89.197810388786564</v>
      </c>
      <c r="V181" s="72">
        <f t="shared" ca="1" si="73"/>
        <v>1000000000</v>
      </c>
      <c r="W181" s="72">
        <f t="shared" si="74"/>
        <v>102343572.25</v>
      </c>
      <c r="Y181" s="110">
        <f t="shared" si="75"/>
        <v>22.967455095747951</v>
      </c>
      <c r="Z181" s="111">
        <f t="shared" si="76"/>
        <v>-57.320105749244256</v>
      </c>
      <c r="AA181" s="72">
        <f t="shared" si="77"/>
        <v>122.67989425075575</v>
      </c>
      <c r="AB181" s="110">
        <f t="shared" ca="1" si="78"/>
        <v>3.0137211633754628</v>
      </c>
      <c r="AC181" s="111">
        <f t="shared" ca="1" si="79"/>
        <v>-33.482083861969244</v>
      </c>
      <c r="AD181" s="72">
        <f t="shared" ca="1" si="80"/>
        <v>146.51791613803076</v>
      </c>
    </row>
    <row r="182" spans="1:30">
      <c r="A182" s="118">
        <v>10174.75</v>
      </c>
      <c r="B182" s="101">
        <f t="shared" ca="1" si="54"/>
        <v>166.52498449511603</v>
      </c>
      <c r="C182" s="102">
        <f t="shared" ca="1" si="55"/>
        <v>1.5647911858045307</v>
      </c>
      <c r="D182" s="102">
        <f t="shared" si="56"/>
        <v>17.002804809163777</v>
      </c>
      <c r="E182" s="103">
        <f t="shared" si="57"/>
        <v>1.5119485412980289</v>
      </c>
      <c r="F182" s="101">
        <f t="shared" si="58"/>
        <v>1380.8848981200872</v>
      </c>
      <c r="G182" s="104">
        <f t="shared" si="59"/>
        <v>1.5700721534124764</v>
      </c>
      <c r="H182" s="113">
        <f t="shared" si="60"/>
        <v>166.22698398745555</v>
      </c>
      <c r="I182" s="114">
        <f t="shared" si="61"/>
        <v>1.5647804200636732</v>
      </c>
      <c r="J182" s="101">
        <f t="shared" si="62"/>
        <v>16.959727055885629</v>
      </c>
      <c r="K182" s="104">
        <f t="shared" si="63"/>
        <v>1.5117988943163609</v>
      </c>
      <c r="L182" s="102">
        <f t="shared" si="64"/>
        <v>1.2430684904258922</v>
      </c>
      <c r="M182" s="103">
        <f t="shared" si="65"/>
        <v>0.63602897969363503</v>
      </c>
      <c r="N182" s="101">
        <f t="shared" si="66"/>
        <v>1.0069546232876516</v>
      </c>
      <c r="O182" s="104">
        <f t="shared" si="67"/>
        <v>0.1175972397000106</v>
      </c>
      <c r="P182" s="105">
        <f t="shared" ca="1" si="68"/>
        <v>1.1495699791153644</v>
      </c>
      <c r="Q182" s="106">
        <f t="shared" ca="1" si="69"/>
        <v>0.53378999716648001</v>
      </c>
      <c r="R182" s="107">
        <f t="shared" ca="1" si="70"/>
        <v>10.018471583511268</v>
      </c>
      <c r="S182" s="108">
        <f t="shared" ca="1" si="71"/>
        <v>-90.830514033069775</v>
      </c>
      <c r="T182" s="116">
        <f t="shared" ca="1" si="72"/>
        <v>89.169485966930225</v>
      </c>
      <c r="V182" s="72">
        <f t="shared" ca="1" si="73"/>
        <v>1000000000</v>
      </c>
      <c r="W182" s="72">
        <f t="shared" si="74"/>
        <v>103525537.5625</v>
      </c>
      <c r="Y182" s="110">
        <f t="shared" si="75"/>
        <v>22.934606538605266</v>
      </c>
      <c r="Z182" s="111">
        <f t="shared" si="76"/>
        <v>-57.21893950219075</v>
      </c>
      <c r="AA182" s="72">
        <f t="shared" si="77"/>
        <v>122.78106049780925</v>
      </c>
      <c r="AB182" s="110">
        <f t="shared" ca="1" si="78"/>
        <v>3.0014653917875087</v>
      </c>
      <c r="AC182" s="111">
        <f t="shared" ca="1" si="79"/>
        <v>-33.611574530879011</v>
      </c>
      <c r="AD182" s="72">
        <f t="shared" ca="1" si="80"/>
        <v>146.38842546912099</v>
      </c>
    </row>
    <row r="183" spans="1:30">
      <c r="A183" s="118">
        <v>10233</v>
      </c>
      <c r="B183" s="101">
        <f t="shared" ca="1" si="54"/>
        <v>167.47829848760057</v>
      </c>
      <c r="C183" s="102">
        <f t="shared" ca="1" si="55"/>
        <v>1.564825368461116</v>
      </c>
      <c r="D183" s="102">
        <f t="shared" si="56"/>
        <v>17.099809373600326</v>
      </c>
      <c r="E183" s="103">
        <f t="shared" si="57"/>
        <v>1.5122827582644318</v>
      </c>
      <c r="F183" s="101">
        <f t="shared" si="58"/>
        <v>1388.7903998034169</v>
      </c>
      <c r="G183" s="104">
        <f t="shared" si="59"/>
        <v>1.5700762756723126</v>
      </c>
      <c r="H183" s="113">
        <f t="shared" si="60"/>
        <v>167.17859187857351</v>
      </c>
      <c r="I183" s="114">
        <f t="shared" si="61"/>
        <v>1.5648146639984253</v>
      </c>
      <c r="J183" s="101">
        <f t="shared" si="62"/>
        <v>17.05648414923672</v>
      </c>
      <c r="K183" s="104">
        <f t="shared" si="63"/>
        <v>1.5121339572703862</v>
      </c>
      <c r="L183" s="102">
        <f t="shared" si="64"/>
        <v>1.2455841419293316</v>
      </c>
      <c r="M183" s="103">
        <f t="shared" si="65"/>
        <v>0.63875915285403617</v>
      </c>
      <c r="N183" s="101">
        <f t="shared" si="66"/>
        <v>1.0070342021393421</v>
      </c>
      <c r="O183" s="104">
        <f t="shared" si="67"/>
        <v>0.11826423638514738</v>
      </c>
      <c r="P183" s="105">
        <f t="shared" ca="1" si="68"/>
        <v>1.1511751359880431</v>
      </c>
      <c r="Q183" s="106">
        <f t="shared" ca="1" si="69"/>
        <v>0.53634667822249882</v>
      </c>
      <c r="R183" s="107">
        <f t="shared" ca="1" si="70"/>
        <v>9.9736420254815652</v>
      </c>
      <c r="S183" s="108">
        <f t="shared" ca="1" si="71"/>
        <v>-90.859070911380613</v>
      </c>
      <c r="T183" s="116">
        <f t="shared" ca="1" si="72"/>
        <v>89.140929088619387</v>
      </c>
      <c r="V183" s="72">
        <f t="shared" ca="1" si="73"/>
        <v>1000000000</v>
      </c>
      <c r="W183" s="72">
        <f t="shared" si="74"/>
        <v>104714289</v>
      </c>
      <c r="Y183" s="110">
        <f t="shared" si="75"/>
        <v>22.902065488029017</v>
      </c>
      <c r="Z183" s="111">
        <f t="shared" si="76"/>
        <v>-57.11820004594459</v>
      </c>
      <c r="AA183" s="72">
        <f t="shared" si="77"/>
        <v>122.88179995405541</v>
      </c>
      <c r="AB183" s="110">
        <f t="shared" ca="1" si="78"/>
        <v>2.9891768843340492</v>
      </c>
      <c r="AC183" s="111">
        <f t="shared" ca="1" si="79"/>
        <v>-33.740870865436015</v>
      </c>
      <c r="AD183" s="72">
        <f t="shared" ca="1" si="80"/>
        <v>146.25912913456398</v>
      </c>
    </row>
    <row r="184" spans="1:30">
      <c r="A184" s="118">
        <v>10292.5</v>
      </c>
      <c r="B184" s="101">
        <f t="shared" ca="1" si="54"/>
        <v>168.45207006162161</v>
      </c>
      <c r="C184" s="102">
        <f t="shared" ca="1" si="55"/>
        <v>1.5648598852111584</v>
      </c>
      <c r="D184" s="102">
        <f t="shared" si="56"/>
        <v>17.198897530555119</v>
      </c>
      <c r="E184" s="103">
        <f t="shared" si="57"/>
        <v>1.512620254932231</v>
      </c>
      <c r="F184" s="101">
        <f t="shared" si="58"/>
        <v>1396.8655474697025</v>
      </c>
      <c r="G184" s="104">
        <f t="shared" si="59"/>
        <v>1.5700804382204898</v>
      </c>
      <c r="H184" s="113">
        <f t="shared" si="60"/>
        <v>168.1506207399687</v>
      </c>
      <c r="I184" s="114">
        <f t="shared" si="61"/>
        <v>1.5648492426256042</v>
      </c>
      <c r="J184" s="101">
        <f t="shared" si="62"/>
        <v>17.155319529485578</v>
      </c>
      <c r="K184" s="104">
        <f t="shared" si="63"/>
        <v>1.5124723082952833</v>
      </c>
      <c r="L184" s="102">
        <f t="shared" si="64"/>
        <v>1.2481633236582248</v>
      </c>
      <c r="M184" s="103">
        <f t="shared" si="65"/>
        <v>0.64153653019963208</v>
      </c>
      <c r="N184" s="101">
        <f t="shared" si="66"/>
        <v>1.0071159511559005</v>
      </c>
      <c r="O184" s="104">
        <f t="shared" si="67"/>
        <v>0.11894543716838642</v>
      </c>
      <c r="P184" s="105">
        <f t="shared" ca="1" si="68"/>
        <v>1.1528218838308251</v>
      </c>
      <c r="Q184" s="106">
        <f t="shared" ca="1" si="69"/>
        <v>0.5389511676358707</v>
      </c>
      <c r="R184" s="107">
        <f t="shared" ca="1" si="70"/>
        <v>9.9281305181348394</v>
      </c>
      <c r="S184" s="108">
        <f t="shared" ca="1" si="71"/>
        <v>-90.888478994649304</v>
      </c>
      <c r="T184" s="116">
        <f t="shared" ca="1" si="72"/>
        <v>89.111521005350696</v>
      </c>
      <c r="V184" s="72">
        <f t="shared" ca="1" si="73"/>
        <v>1000000000</v>
      </c>
      <c r="W184" s="72">
        <f t="shared" si="74"/>
        <v>105935556.25</v>
      </c>
      <c r="Y184" s="110">
        <f t="shared" si="75"/>
        <v>22.869139650261214</v>
      </c>
      <c r="Z184" s="111">
        <f t="shared" si="76"/>
        <v>-57.015741348454647</v>
      </c>
      <c r="AA184" s="72">
        <f t="shared" si="77"/>
        <v>122.98425865154536</v>
      </c>
      <c r="AB184" s="110">
        <f t="shared" ca="1" si="78"/>
        <v>2.9765912147551328</v>
      </c>
      <c r="AC184" s="111">
        <f t="shared" ca="1" si="79"/>
        <v>-33.872737646194736</v>
      </c>
      <c r="AD184" s="72">
        <f t="shared" ca="1" si="80"/>
        <v>146.12726235380526</v>
      </c>
    </row>
    <row r="185" spans="1:30">
      <c r="A185" s="118">
        <v>10352</v>
      </c>
      <c r="B185" s="101">
        <f t="shared" ca="1" si="54"/>
        <v>169.42584183403051</v>
      </c>
      <c r="C185" s="102">
        <f t="shared" ca="1" si="55"/>
        <v>1.5648940051925251</v>
      </c>
      <c r="D185" s="102">
        <f t="shared" si="56"/>
        <v>17.297987624089256</v>
      </c>
      <c r="E185" s="103">
        <f t="shared" si="57"/>
        <v>1.5129538849940918</v>
      </c>
      <c r="F185" s="101">
        <f t="shared" si="58"/>
        <v>1404.9406951599133</v>
      </c>
      <c r="G185" s="104">
        <f t="shared" si="59"/>
        <v>1.5700845529186882</v>
      </c>
      <c r="H185" s="113">
        <f t="shared" si="60"/>
        <v>169.12264980010733</v>
      </c>
      <c r="I185" s="114">
        <f t="shared" si="61"/>
        <v>1.5648834237728824</v>
      </c>
      <c r="J185" s="101">
        <f t="shared" si="62"/>
        <v>17.254156851199578</v>
      </c>
      <c r="K185" s="104">
        <f t="shared" si="63"/>
        <v>1.5128067829926153</v>
      </c>
      <c r="L185" s="102">
        <f t="shared" si="64"/>
        <v>1.2507520937488925</v>
      </c>
      <c r="M185" s="103">
        <f t="shared" si="65"/>
        <v>0.64430243173874613</v>
      </c>
      <c r="N185" s="101">
        <f t="shared" si="66"/>
        <v>1.0071981674330237</v>
      </c>
      <c r="O185" s="104">
        <f t="shared" si="67"/>
        <v>0.1196265270565629</v>
      </c>
      <c r="P185" s="105">
        <f t="shared" ca="1" si="68"/>
        <v>1.1544758226092413</v>
      </c>
      <c r="Q185" s="106">
        <f t="shared" ca="1" si="69"/>
        <v>0.54154852547966148</v>
      </c>
      <c r="R185" s="107">
        <f t="shared" ca="1" si="70"/>
        <v>9.8828984205958221</v>
      </c>
      <c r="S185" s="108">
        <f t="shared" ca="1" si="71"/>
        <v>-90.918126372679083</v>
      </c>
      <c r="T185" s="116">
        <f t="shared" ca="1" si="72"/>
        <v>89.081873627320917</v>
      </c>
      <c r="V185" s="72">
        <f t="shared" ca="1" si="73"/>
        <v>1000000000</v>
      </c>
      <c r="W185" s="72">
        <f t="shared" si="74"/>
        <v>107163904</v>
      </c>
      <c r="Y185" s="110">
        <f t="shared" si="75"/>
        <v>22.836526694602735</v>
      </c>
      <c r="Z185" s="111">
        <f t="shared" si="76"/>
        <v>-56.913731747533468</v>
      </c>
      <c r="AA185" s="72">
        <f t="shared" si="77"/>
        <v>123.08626825246654</v>
      </c>
      <c r="AB185" s="110">
        <f t="shared" ca="1" si="78"/>
        <v>2.9639720728745935</v>
      </c>
      <c r="AC185" s="111">
        <f t="shared" ca="1" si="79"/>
        <v>-34.004394625145643</v>
      </c>
      <c r="AD185" s="72">
        <f t="shared" ca="1" si="80"/>
        <v>145.99560537485436</v>
      </c>
    </row>
    <row r="186" spans="1:30">
      <c r="A186" s="118">
        <v>10411.5</v>
      </c>
      <c r="B186" s="101">
        <f t="shared" ca="1" si="54"/>
        <v>170.39961380142609</v>
      </c>
      <c r="C186" s="102">
        <f t="shared" ca="1" si="55"/>
        <v>1.564927735207303</v>
      </c>
      <c r="D186" s="102">
        <f t="shared" si="56"/>
        <v>17.39707962111169</v>
      </c>
      <c r="E186" s="103">
        <f t="shared" si="57"/>
        <v>1.5132837144464837</v>
      </c>
      <c r="F186" s="101">
        <f t="shared" si="58"/>
        <v>1413.0158428736388</v>
      </c>
      <c r="G186" s="104">
        <f t="shared" si="59"/>
        <v>1.5700886205872713</v>
      </c>
      <c r="H186" s="113">
        <f t="shared" si="60"/>
        <v>170.09467905558222</v>
      </c>
      <c r="I186" s="114">
        <f t="shared" si="61"/>
        <v>1.564917214254538</v>
      </c>
      <c r="J186" s="101">
        <f t="shared" si="62"/>
        <v>17.352996081204758</v>
      </c>
      <c r="K186" s="104">
        <f t="shared" si="63"/>
        <v>1.5131374475232811</v>
      </c>
      <c r="L186" s="102">
        <f t="shared" si="64"/>
        <v>1.2533503927876293</v>
      </c>
      <c r="M186" s="103">
        <f t="shared" si="65"/>
        <v>0.64705688639203307</v>
      </c>
      <c r="N186" s="101">
        <f t="shared" si="66"/>
        <v>1.0072808508562958</v>
      </c>
      <c r="O186" s="104">
        <f t="shared" si="67"/>
        <v>0.12030750544501639</v>
      </c>
      <c r="P186" s="105">
        <f t="shared" ca="1" si="68"/>
        <v>1.1561369216874902</v>
      </c>
      <c r="Q186" s="106">
        <f t="shared" ca="1" si="69"/>
        <v>0.54413875148334956</v>
      </c>
      <c r="R186" s="107">
        <f t="shared" ca="1" si="70"/>
        <v>9.8379421481435063</v>
      </c>
      <c r="S186" s="108">
        <f t="shared" ca="1" si="71"/>
        <v>-90.948011394020128</v>
      </c>
      <c r="T186" s="116">
        <f t="shared" ca="1" si="72"/>
        <v>89.051988605979872</v>
      </c>
      <c r="V186" s="72">
        <f t="shared" ca="1" si="73"/>
        <v>1000000000</v>
      </c>
      <c r="W186" s="72">
        <f t="shared" si="74"/>
        <v>108399332.25</v>
      </c>
      <c r="Y186" s="110">
        <f t="shared" si="75"/>
        <v>22.804222690572416</v>
      </c>
      <c r="Z186" s="111">
        <f t="shared" si="76"/>
        <v>-56.812172998819435</v>
      </c>
      <c r="AA186" s="72">
        <f t="shared" si="77"/>
        <v>123.18782700118057</v>
      </c>
      <c r="AB186" s="110">
        <f t="shared" ca="1" si="78"/>
        <v>2.9513198044525972</v>
      </c>
      <c r="AC186" s="111">
        <f t="shared" ca="1" si="79"/>
        <v>-34.135838395200722</v>
      </c>
      <c r="AD186" s="72">
        <f t="shared" ca="1" si="80"/>
        <v>145.86416160479928</v>
      </c>
    </row>
    <row r="187" spans="1:30">
      <c r="A187" s="118">
        <v>10471</v>
      </c>
      <c r="B187" s="101">
        <f t="shared" ca="1" si="54"/>
        <v>171.37338596048451</v>
      </c>
      <c r="C187" s="102">
        <f t="shared" ca="1" si="55"/>
        <v>1.56496108190298</v>
      </c>
      <c r="D187" s="102">
        <f t="shared" si="56"/>
        <v>17.496173489280419</v>
      </c>
      <c r="E187" s="103">
        <f t="shared" si="57"/>
        <v>1.5136098077940774</v>
      </c>
      <c r="F187" s="101">
        <f t="shared" si="58"/>
        <v>1421.090990610478</v>
      </c>
      <c r="G187" s="104">
        <f t="shared" si="59"/>
        <v>1.5700926420279564</v>
      </c>
      <c r="H187" s="113">
        <f t="shared" si="60"/>
        <v>171.06670850306352</v>
      </c>
      <c r="I187" s="114">
        <f t="shared" si="61"/>
        <v>1.5649506207299746</v>
      </c>
      <c r="J187" s="101">
        <f t="shared" si="62"/>
        <v>17.451837187078045</v>
      </c>
      <c r="K187" s="104">
        <f t="shared" si="63"/>
        <v>1.5134643665527066</v>
      </c>
      <c r="L187" s="102">
        <f t="shared" si="64"/>
        <v>1.2559581616345923</v>
      </c>
      <c r="M187" s="103">
        <f t="shared" si="65"/>
        <v>0.64979992353604965</v>
      </c>
      <c r="N187" s="101">
        <f t="shared" si="66"/>
        <v>1.0073640013106879</v>
      </c>
      <c r="O187" s="104">
        <f t="shared" si="67"/>
        <v>0.12098837172969799</v>
      </c>
      <c r="P187" s="105">
        <f t="shared" ca="1" si="68"/>
        <v>1.1578051504736546</v>
      </c>
      <c r="Q187" s="106">
        <f t="shared" ca="1" si="69"/>
        <v>0.54672184572980209</v>
      </c>
      <c r="R187" s="107">
        <f t="shared" ca="1" si="70"/>
        <v>9.793258177433529</v>
      </c>
      <c r="S187" s="108">
        <f t="shared" ca="1" si="71"/>
        <v>-90.978132400121154</v>
      </c>
      <c r="T187" s="116">
        <f t="shared" ca="1" si="72"/>
        <v>89.021867599878846</v>
      </c>
      <c r="V187" s="72">
        <f t="shared" ca="1" si="73"/>
        <v>1000000000</v>
      </c>
      <c r="W187" s="72">
        <f t="shared" si="74"/>
        <v>109641841</v>
      </c>
      <c r="Y187" s="110">
        <f t="shared" si="75"/>
        <v>22.772223768961748</v>
      </c>
      <c r="Z187" s="111">
        <f t="shared" si="76"/>
        <v>-56.711066753985619</v>
      </c>
      <c r="AA187" s="72">
        <f t="shared" si="77"/>
        <v>123.28893324601438</v>
      </c>
      <c r="AB187" s="110">
        <f t="shared" ca="1" si="78"/>
        <v>2.9386347553532861</v>
      </c>
      <c r="AC187" s="111">
        <f t="shared" ca="1" si="79"/>
        <v>-34.267065646135521</v>
      </c>
      <c r="AD187" s="72">
        <f t="shared" ca="1" si="80"/>
        <v>145.73293435386449</v>
      </c>
    </row>
    <row r="188" spans="1:30">
      <c r="A188" s="118">
        <v>10532</v>
      </c>
      <c r="B188" s="101">
        <f t="shared" ca="1" si="54"/>
        <v>172.37170719307346</v>
      </c>
      <c r="C188" s="102">
        <f t="shared" ca="1" si="55"/>
        <v>1.5649948781362157</v>
      </c>
      <c r="D188" s="102">
        <f t="shared" si="56"/>
        <v>17.597767431600758</v>
      </c>
      <c r="E188" s="103">
        <f t="shared" si="57"/>
        <v>1.5139403094089869</v>
      </c>
      <c r="F188" s="101">
        <f t="shared" si="58"/>
        <v>1429.3697135239322</v>
      </c>
      <c r="G188" s="104">
        <f t="shared" si="59"/>
        <v>1.5700967176789946</v>
      </c>
      <c r="H188" s="113">
        <f t="shared" si="60"/>
        <v>172.06324309052061</v>
      </c>
      <c r="I188" s="114">
        <f t="shared" si="61"/>
        <v>1.5649844775488917</v>
      </c>
      <c r="J188" s="101">
        <f t="shared" si="62"/>
        <v>17.553171999763169</v>
      </c>
      <c r="K188" s="104">
        <f t="shared" si="63"/>
        <v>1.5137957050747242</v>
      </c>
      <c r="L188" s="102">
        <f t="shared" si="64"/>
        <v>1.2586414418520997</v>
      </c>
      <c r="M188" s="103">
        <f t="shared" si="65"/>
        <v>0.65260029120592999</v>
      </c>
      <c r="N188" s="101">
        <f t="shared" si="66"/>
        <v>1.0074497327143308</v>
      </c>
      <c r="O188" s="104">
        <f t="shared" si="67"/>
        <v>0.12168628570031308</v>
      </c>
      <c r="P188" s="105">
        <f t="shared" ca="1" si="68"/>
        <v>1.1595228050546038</v>
      </c>
      <c r="Q188" s="106">
        <f t="shared" ca="1" si="69"/>
        <v>0.54936265674219809</v>
      </c>
      <c r="R188" s="107">
        <f t="shared" ca="1" si="70"/>
        <v>9.7477267802900727</v>
      </c>
      <c r="S188" s="108">
        <f t="shared" ca="1" si="71"/>
        <v>-91.0092559996136</v>
      </c>
      <c r="T188" s="116">
        <f t="shared" ca="1" si="72"/>
        <v>88.9907440003864</v>
      </c>
      <c r="V188" s="72">
        <f t="shared" ca="1" si="73"/>
        <v>1000000000</v>
      </c>
      <c r="W188" s="72">
        <f t="shared" si="74"/>
        <v>110923024</v>
      </c>
      <c r="Y188" s="110">
        <f t="shared" si="75"/>
        <v>22.739730880679112</v>
      </c>
      <c r="Z188" s="111">
        <f t="shared" si="76"/>
        <v>-56.607882993951442</v>
      </c>
      <c r="AA188" s="72">
        <f t="shared" si="77"/>
        <v>123.39211700604855</v>
      </c>
      <c r="AB188" s="110">
        <f t="shared" ca="1" si="78"/>
        <v>2.9255962464924674</v>
      </c>
      <c r="AC188" s="111">
        <f t="shared" ca="1" si="79"/>
        <v>-34.401373005662201</v>
      </c>
      <c r="AD188" s="72">
        <f t="shared" ca="1" si="80"/>
        <v>145.59862699433779</v>
      </c>
    </row>
    <row r="189" spans="1:30">
      <c r="A189" s="118">
        <v>10593</v>
      </c>
      <c r="B189" s="101">
        <f t="shared" ca="1" si="54"/>
        <v>173.37002862027543</v>
      </c>
      <c r="C189" s="102">
        <f t="shared" ca="1" si="55"/>
        <v>1.5650282851499215</v>
      </c>
      <c r="D189" s="102">
        <f t="shared" si="56"/>
        <v>17.699363274081218</v>
      </c>
      <c r="E189" s="103">
        <f t="shared" si="57"/>
        <v>1.5142670168447854</v>
      </c>
      <c r="F189" s="101">
        <f t="shared" si="58"/>
        <v>1437.6484364608561</v>
      </c>
      <c r="G189" s="104">
        <f t="shared" si="59"/>
        <v>1.5701007463906216</v>
      </c>
      <c r="H189" s="113">
        <f t="shared" si="60"/>
        <v>173.05977787293961</v>
      </c>
      <c r="I189" s="114">
        <f t="shared" si="61"/>
        <v>1.5650179444505814</v>
      </c>
      <c r="J189" s="101">
        <f t="shared" si="62"/>
        <v>17.654508717404536</v>
      </c>
      <c r="K189" s="104">
        <f t="shared" si="63"/>
        <v>1.51412323987222</v>
      </c>
      <c r="L189" s="102">
        <f t="shared" si="64"/>
        <v>1.2613345503700937</v>
      </c>
      <c r="M189" s="103">
        <f t="shared" si="65"/>
        <v>0.65538872238814616</v>
      </c>
      <c r="N189" s="101">
        <f t="shared" si="66"/>
        <v>1.0075359547468803</v>
      </c>
      <c r="O189" s="104">
        <f t="shared" si="67"/>
        <v>0.12238408055981921</v>
      </c>
      <c r="P189" s="105">
        <f t="shared" ca="1" si="68"/>
        <v>1.1612478883858721</v>
      </c>
      <c r="Q189" s="106">
        <f t="shared" ca="1" si="69"/>
        <v>0.55199597317864946</v>
      </c>
      <c r="R189" s="107">
        <f t="shared" ca="1" si="70"/>
        <v>9.7024742798482624</v>
      </c>
      <c r="S189" s="108">
        <f t="shared" ca="1" si="71"/>
        <v>-91.040624080970346</v>
      </c>
      <c r="T189" s="116">
        <f t="shared" ca="1" si="72"/>
        <v>88.959375919029654</v>
      </c>
      <c r="V189" s="72">
        <f t="shared" ca="1" si="73"/>
        <v>1000000000</v>
      </c>
      <c r="W189" s="72">
        <f t="shared" si="74"/>
        <v>112211649</v>
      </c>
      <c r="Y189" s="110">
        <f t="shared" si="75"/>
        <v>22.707550607227965</v>
      </c>
      <c r="Z189" s="111">
        <f t="shared" si="76"/>
        <v>-56.505178033539131</v>
      </c>
      <c r="AA189" s="72">
        <f t="shared" si="77"/>
        <v>123.49482196646088</v>
      </c>
      <c r="AB189" s="110">
        <f t="shared" ca="1" si="78"/>
        <v>2.9125240195018023</v>
      </c>
      <c r="AC189" s="111">
        <f t="shared" ca="1" si="79"/>
        <v>-34.535446047431186</v>
      </c>
      <c r="AD189" s="72">
        <f t="shared" ca="1" si="80"/>
        <v>145.46455395256882</v>
      </c>
    </row>
    <row r="190" spans="1:30">
      <c r="A190" s="118">
        <v>10654</v>
      </c>
      <c r="B190" s="101">
        <f t="shared" ca="1" si="54"/>
        <v>174.36835023874778</v>
      </c>
      <c r="C190" s="102">
        <f t="shared" ca="1" si="55"/>
        <v>1.5650613096292882</v>
      </c>
      <c r="D190" s="102">
        <f t="shared" si="56"/>
        <v>17.800960984187306</v>
      </c>
      <c r="E190" s="103">
        <f t="shared" si="57"/>
        <v>1.5145899949961417</v>
      </c>
      <c r="F190" s="101">
        <f t="shared" si="58"/>
        <v>1445.9271594208467</v>
      </c>
      <c r="G190" s="104">
        <f t="shared" si="59"/>
        <v>1.5701047289690986</v>
      </c>
      <c r="H190" s="113">
        <f t="shared" si="60"/>
        <v>174.05631284697182</v>
      </c>
      <c r="I190" s="114">
        <f t="shared" si="61"/>
        <v>1.565051028132217</v>
      </c>
      <c r="J190" s="101">
        <f t="shared" si="62"/>
        <v>17.755847307386073</v>
      </c>
      <c r="K190" s="104">
        <f t="shared" si="63"/>
        <v>1.5144470360017142</v>
      </c>
      <c r="L190" s="102">
        <f t="shared" si="64"/>
        <v>1.2640374243692027</v>
      </c>
      <c r="M190" s="103">
        <f t="shared" si="65"/>
        <v>0.65816525015329042</v>
      </c>
      <c r="N190" s="101">
        <f t="shared" si="66"/>
        <v>1.0076226672823869</v>
      </c>
      <c r="O190" s="104">
        <f t="shared" si="67"/>
        <v>0.12308175565934364</v>
      </c>
      <c r="P190" s="105">
        <f t="shared" ca="1" si="68"/>
        <v>1.1629803676569821</v>
      </c>
      <c r="Q190" s="106">
        <f t="shared" ca="1" si="69"/>
        <v>0.55462179625848274</v>
      </c>
      <c r="R190" s="107">
        <f t="shared" ca="1" si="70"/>
        <v>9.6574970718690452</v>
      </c>
      <c r="S190" s="108">
        <f t="shared" ca="1" si="71"/>
        <v>-91.072234836852587</v>
      </c>
      <c r="T190" s="116">
        <f t="shared" ca="1" si="72"/>
        <v>88.927765163147413</v>
      </c>
      <c r="V190" s="72">
        <f t="shared" ca="1" si="73"/>
        <v>1000000000</v>
      </c>
      <c r="W190" s="72">
        <f t="shared" si="74"/>
        <v>113507716</v>
      </c>
      <c r="Y190" s="110">
        <f t="shared" si="75"/>
        <v>22.675678971877382</v>
      </c>
      <c r="Z190" s="111">
        <f t="shared" si="76"/>
        <v>-56.402953330705294</v>
      </c>
      <c r="AA190" s="72">
        <f t="shared" si="77"/>
        <v>123.59704666929471</v>
      </c>
      <c r="AB190" s="110">
        <f t="shared" ca="1" si="78"/>
        <v>2.8994184468731694</v>
      </c>
      <c r="AC190" s="111">
        <f t="shared" ca="1" si="79"/>
        <v>-34.669281506147279</v>
      </c>
      <c r="AD190" s="72">
        <f t="shared" ca="1" si="80"/>
        <v>145.33071849385271</v>
      </c>
    </row>
    <row r="191" spans="1:30">
      <c r="A191" s="118">
        <v>10715</v>
      </c>
      <c r="B191" s="101">
        <f t="shared" ca="1" si="54"/>
        <v>175.36667204522388</v>
      </c>
      <c r="C191" s="102">
        <f t="shared" ca="1" si="55"/>
        <v>1.5650939581072811</v>
      </c>
      <c r="D191" s="102">
        <f t="shared" si="56"/>
        <v>17.902560530122486</v>
      </c>
      <c r="E191" s="103">
        <f t="shared" si="57"/>
        <v>1.5149093072877313</v>
      </c>
      <c r="F191" s="101">
        <f t="shared" si="58"/>
        <v>1454.20588240351</v>
      </c>
      <c r="G191" s="104">
        <f t="shared" si="59"/>
        <v>1.5701086662023263</v>
      </c>
      <c r="H191" s="113">
        <f t="shared" si="60"/>
        <v>175.05284800934481</v>
      </c>
      <c r="I191" s="114">
        <f t="shared" si="61"/>
        <v>1.5650837351384737</v>
      </c>
      <c r="J191" s="101">
        <f t="shared" si="62"/>
        <v>17.857187737831499</v>
      </c>
      <c r="K191" s="104">
        <f t="shared" si="63"/>
        <v>1.5147671570461074</v>
      </c>
      <c r="L191" s="102">
        <f t="shared" si="64"/>
        <v>1.2667500013393869</v>
      </c>
      <c r="M191" s="103">
        <f t="shared" si="65"/>
        <v>0.66092990802433382</v>
      </c>
      <c r="N191" s="101">
        <f t="shared" si="66"/>
        <v>1.0077098701942289</v>
      </c>
      <c r="O191" s="104">
        <f t="shared" si="67"/>
        <v>0.12377931035070266</v>
      </c>
      <c r="P191" s="105">
        <f t="shared" ca="1" si="68"/>
        <v>1.1647202101127907</v>
      </c>
      <c r="Q191" s="106">
        <f t="shared" ca="1" si="69"/>
        <v>0.55724012757333219</v>
      </c>
      <c r="R191" s="107">
        <f t="shared" ca="1" si="70"/>
        <v>9.6127916142578655</v>
      </c>
      <c r="S191" s="108">
        <f t="shared" ca="1" si="71"/>
        <v>-91.104086454129501</v>
      </c>
      <c r="T191" s="116">
        <f t="shared" ca="1" si="72"/>
        <v>88.895913545870499</v>
      </c>
      <c r="V191" s="72">
        <f t="shared" ca="1" si="73"/>
        <v>1000000000</v>
      </c>
      <c r="W191" s="72">
        <f t="shared" si="74"/>
        <v>114811225</v>
      </c>
      <c r="Y191" s="110">
        <f t="shared" si="75"/>
        <v>22.644112060277113</v>
      </c>
      <c r="Z191" s="111">
        <f t="shared" si="76"/>
        <v>-56.301210240780009</v>
      </c>
      <c r="AA191" s="72">
        <f t="shared" si="77"/>
        <v>123.69878975921999</v>
      </c>
      <c r="AB191" s="110">
        <f t="shared" ca="1" si="78"/>
        <v>2.8862799008622613</v>
      </c>
      <c r="AC191" s="111">
        <f t="shared" ca="1" si="79"/>
        <v>-34.802876213349535</v>
      </c>
      <c r="AD191" s="72">
        <f t="shared" ca="1" si="80"/>
        <v>145.19712378665048</v>
      </c>
    </row>
    <row r="192" spans="1:30">
      <c r="A192" s="118">
        <v>10777.5</v>
      </c>
      <c r="B192" s="101">
        <f t="shared" ca="1" si="54"/>
        <v>176.3895429402377</v>
      </c>
      <c r="C192" s="102">
        <f t="shared" ca="1" si="55"/>
        <v>1.5651270261085897</v>
      </c>
      <c r="D192" s="102">
        <f t="shared" si="56"/>
        <v>18.006660297152155</v>
      </c>
      <c r="E192" s="103">
        <f t="shared" si="57"/>
        <v>1.5152327341562806</v>
      </c>
      <c r="F192" s="101">
        <f t="shared" si="58"/>
        <v>1462.6881805645976</v>
      </c>
      <c r="G192" s="104">
        <f t="shared" si="59"/>
        <v>1.5701126540263675</v>
      </c>
      <c r="H192" s="113">
        <f t="shared" si="60"/>
        <v>176.07388832672777</v>
      </c>
      <c r="I192" s="114">
        <f t="shared" si="61"/>
        <v>1.565116862420161</v>
      </c>
      <c r="J192" s="101">
        <f t="shared" si="62"/>
        <v>17.961022022404656</v>
      </c>
      <c r="K192" s="104">
        <f t="shared" si="63"/>
        <v>1.5150914031481661</v>
      </c>
      <c r="L192" s="102">
        <f t="shared" si="64"/>
        <v>1.2695392797840501</v>
      </c>
      <c r="M192" s="103">
        <f t="shared" si="65"/>
        <v>0.66375027349612348</v>
      </c>
      <c r="N192" s="101">
        <f t="shared" si="66"/>
        <v>1.0077997259191005</v>
      </c>
      <c r="O192" s="104">
        <f t="shared" si="67"/>
        <v>0.12449389246335119</v>
      </c>
      <c r="P192" s="105">
        <f t="shared" ca="1" si="68"/>
        <v>1.1665104383918339</v>
      </c>
      <c r="Q192" s="106">
        <f t="shared" ca="1" si="69"/>
        <v>0.55991507577005939</v>
      </c>
      <c r="R192" s="107">
        <f t="shared" ca="1" si="70"/>
        <v>9.5672650582631</v>
      </c>
      <c r="S192" s="108">
        <f t="shared" ca="1" si="71"/>
        <v>-91.136969224802087</v>
      </c>
      <c r="T192" s="116">
        <f t="shared" ca="1" si="72"/>
        <v>88.863030775197913</v>
      </c>
      <c r="V192" s="72">
        <f t="shared" ca="1" si="73"/>
        <v>1000000000</v>
      </c>
      <c r="W192" s="72">
        <f t="shared" si="74"/>
        <v>116154506.25</v>
      </c>
      <c r="Y192" s="110">
        <f t="shared" si="75"/>
        <v>22.612080939946424</v>
      </c>
      <c r="Z192" s="111">
        <f t="shared" si="76"/>
        <v>-56.1974661068449</v>
      </c>
      <c r="AA192" s="72">
        <f t="shared" si="77"/>
        <v>123.8025338931551</v>
      </c>
      <c r="AB192" s="110">
        <f t="shared" ca="1" si="78"/>
        <v>2.8727844651981838</v>
      </c>
      <c r="AC192" s="111">
        <f t="shared" ca="1" si="79"/>
        <v>-34.939503117957173</v>
      </c>
      <c r="AD192" s="72">
        <f t="shared" ca="1" si="80"/>
        <v>145.06049688204283</v>
      </c>
    </row>
    <row r="193" spans="1:30">
      <c r="A193" s="118">
        <v>10840</v>
      </c>
      <c r="B193" s="101">
        <f t="shared" ca="1" si="54"/>
        <v>177.41241402590811</v>
      </c>
      <c r="C193" s="102">
        <f t="shared" ca="1" si="55"/>
        <v>1.5651597128028802</v>
      </c>
      <c r="D193" s="102">
        <f t="shared" si="56"/>
        <v>18.110761926113806</v>
      </c>
      <c r="E193" s="103">
        <f t="shared" si="57"/>
        <v>1.5155524429080485</v>
      </c>
      <c r="F193" s="101">
        <f t="shared" si="58"/>
        <v>1471.1704787486779</v>
      </c>
      <c r="G193" s="104">
        <f t="shared" si="59"/>
        <v>1.5701165958653742</v>
      </c>
      <c r="H193" s="113">
        <f t="shared" si="60"/>
        <v>177.09492883510904</v>
      </c>
      <c r="I193" s="114">
        <f t="shared" si="61"/>
        <v>1.5651496077113125</v>
      </c>
      <c r="J193" s="101">
        <f t="shared" si="62"/>
        <v>18.064858173611501</v>
      </c>
      <c r="K193" s="104">
        <f t="shared" si="63"/>
        <v>1.5154119217738737</v>
      </c>
      <c r="L193" s="102">
        <f t="shared" si="64"/>
        <v>1.2723386124063785</v>
      </c>
      <c r="M193" s="103">
        <f t="shared" si="65"/>
        <v>0.66655825078205388</v>
      </c>
      <c r="N193" s="101">
        <f t="shared" si="66"/>
        <v>1.0078900961624124</v>
      </c>
      <c r="O193" s="104">
        <f t="shared" si="67"/>
        <v>0.12520834679790613</v>
      </c>
      <c r="P193" s="105">
        <f t="shared" ca="1" si="68"/>
        <v>1.1683083269997365</v>
      </c>
      <c r="Q193" s="106">
        <f t="shared" ca="1" si="69"/>
        <v>0.56258216378562287</v>
      </c>
      <c r="R193" s="107">
        <f t="shared" ca="1" si="70"/>
        <v>9.5220164476907012</v>
      </c>
      <c r="S193" s="108">
        <f t="shared" ca="1" si="71"/>
        <v>-91.170100978038505</v>
      </c>
      <c r="T193" s="116">
        <f t="shared" ca="1" si="72"/>
        <v>88.829899021961495</v>
      </c>
      <c r="V193" s="72">
        <f t="shared" ca="1" si="73"/>
        <v>1000000000</v>
      </c>
      <c r="W193" s="72">
        <f t="shared" si="74"/>
        <v>117505600</v>
      </c>
      <c r="Y193" s="110">
        <f t="shared" si="75"/>
        <v>22.580361589920233</v>
      </c>
      <c r="Z193" s="111">
        <f t="shared" si="76"/>
        <v>-56.09423012556443</v>
      </c>
      <c r="AA193" s="72">
        <f t="shared" si="77"/>
        <v>123.90576987443558</v>
      </c>
      <c r="AB193" s="110">
        <f t="shared" ca="1" si="78"/>
        <v>2.8592552046519741</v>
      </c>
      <c r="AC193" s="111">
        <f t="shared" ca="1" si="79"/>
        <v>-35.075870852474083</v>
      </c>
      <c r="AD193" s="72">
        <f t="shared" ca="1" si="80"/>
        <v>144.92412914752592</v>
      </c>
    </row>
    <row r="194" spans="1:30">
      <c r="A194" s="118">
        <v>10902.5</v>
      </c>
      <c r="B194" s="101">
        <f t="shared" ca="1" si="54"/>
        <v>178.4352852989563</v>
      </c>
      <c r="C194" s="102">
        <f t="shared" ca="1" si="55"/>
        <v>1.5651920247475521</v>
      </c>
      <c r="D194" s="102">
        <f t="shared" si="56"/>
        <v>18.214865385083478</v>
      </c>
      <c r="E194" s="103">
        <f t="shared" si="57"/>
        <v>1.5158684972275933</v>
      </c>
      <c r="F194" s="101">
        <f t="shared" si="58"/>
        <v>1479.6527769553552</v>
      </c>
      <c r="G194" s="104">
        <f t="shared" si="59"/>
        <v>1.5701204925101917</v>
      </c>
      <c r="H194" s="113">
        <f t="shared" si="60"/>
        <v>178.11596953120403</v>
      </c>
      <c r="I194" s="114">
        <f t="shared" si="61"/>
        <v>1.5651819775810811</v>
      </c>
      <c r="J194" s="101">
        <f t="shared" si="62"/>
        <v>18.168696159447975</v>
      </c>
      <c r="K194" s="104">
        <f t="shared" si="63"/>
        <v>1.515728776766778</v>
      </c>
      <c r="L194" s="102">
        <f t="shared" si="64"/>
        <v>1.2751479329905564</v>
      </c>
      <c r="M194" s="103">
        <f t="shared" si="65"/>
        <v>0.66935387733477092</v>
      </c>
      <c r="N194" s="101">
        <f t="shared" si="66"/>
        <v>1.0079809807857776</v>
      </c>
      <c r="O194" s="104">
        <f t="shared" si="67"/>
        <v>0.12592267265945448</v>
      </c>
      <c r="P194" s="105">
        <f t="shared" ca="1" si="68"/>
        <v>1.1701138408966676</v>
      </c>
      <c r="Q194" s="106">
        <f t="shared" ca="1" si="69"/>
        <v>0.56524139451797895</v>
      </c>
      <c r="R194" s="107">
        <f t="shared" ca="1" si="70"/>
        <v>9.4770421669958687</v>
      </c>
      <c r="S194" s="108">
        <f t="shared" ca="1" si="71"/>
        <v>-91.2034797479335</v>
      </c>
      <c r="T194" s="116">
        <f t="shared" ca="1" si="72"/>
        <v>88.7965202520665</v>
      </c>
      <c r="V194" s="72">
        <f t="shared" ca="1" si="73"/>
        <v>1000000000</v>
      </c>
      <c r="W194" s="72">
        <f t="shared" si="74"/>
        <v>118864506.25</v>
      </c>
      <c r="Y194" s="110">
        <f t="shared" si="75"/>
        <v>22.548949995547098</v>
      </c>
      <c r="Z194" s="111">
        <f t="shared" si="76"/>
        <v>-55.991503438137642</v>
      </c>
      <c r="AA194" s="72">
        <f t="shared" si="77"/>
        <v>124.00849656186236</v>
      </c>
      <c r="AB194" s="110">
        <f t="shared" ca="1" si="78"/>
        <v>2.8456925183302766</v>
      </c>
      <c r="AC194" s="111">
        <f t="shared" ca="1" si="79"/>
        <v>-35.211976309795865</v>
      </c>
      <c r="AD194" s="72">
        <f t="shared" ca="1" si="80"/>
        <v>144.78802369020414</v>
      </c>
    </row>
    <row r="195" spans="1:30">
      <c r="A195" s="118">
        <v>10965</v>
      </c>
      <c r="B195" s="101">
        <f t="shared" ca="1" si="54"/>
        <v>179.45815675617825</v>
      </c>
      <c r="C195" s="102">
        <f t="shared" ca="1" si="55"/>
        <v>1.5652239683505054</v>
      </c>
      <c r="D195" s="102">
        <f t="shared" si="56"/>
        <v>18.31897064286235</v>
      </c>
      <c r="E195" s="103">
        <f t="shared" si="57"/>
        <v>1.5161809593547746</v>
      </c>
      <c r="F195" s="101">
        <f t="shared" si="58"/>
        <v>1488.1350751842433</v>
      </c>
      <c r="G195" s="104">
        <f t="shared" si="59"/>
        <v>1.5701243447336337</v>
      </c>
      <c r="H195" s="113">
        <f t="shared" si="60"/>
        <v>179.13701041180289</v>
      </c>
      <c r="I195" s="114">
        <f t="shared" si="61"/>
        <v>1.5652139784488519</v>
      </c>
      <c r="J195" s="101">
        <f t="shared" si="62"/>
        <v>18.272535948636921</v>
      </c>
      <c r="K195" s="104">
        <f t="shared" si="63"/>
        <v>1.5160420305221594</v>
      </c>
      <c r="L195" s="102">
        <f t="shared" si="64"/>
        <v>1.2779671756677886</v>
      </c>
      <c r="M195" s="103">
        <f t="shared" si="65"/>
        <v>0.6721371910504057</v>
      </c>
      <c r="N195" s="101">
        <f t="shared" si="66"/>
        <v>1.0080723796500717</v>
      </c>
      <c r="O195" s="104">
        <f t="shared" si="67"/>
        <v>0.12663686935385757</v>
      </c>
      <c r="P195" s="105">
        <f t="shared" ca="1" si="68"/>
        <v>1.1719269451109919</v>
      </c>
      <c r="Q195" s="106">
        <f t="shared" ca="1" si="69"/>
        <v>0.5678927712550319</v>
      </c>
      <c r="R195" s="107">
        <f t="shared" ca="1" si="70"/>
        <v>9.432338663393832</v>
      </c>
      <c r="S195" s="108">
        <f t="shared" ca="1" si="71"/>
        <v>-91.23710356433638</v>
      </c>
      <c r="T195" s="116">
        <f t="shared" ca="1" si="72"/>
        <v>88.76289643566362</v>
      </c>
      <c r="V195" s="72">
        <f t="shared" ca="1" si="73"/>
        <v>1000000000</v>
      </c>
      <c r="W195" s="72">
        <f t="shared" si="74"/>
        <v>120231225</v>
      </c>
      <c r="Y195" s="110">
        <f t="shared" si="75"/>
        <v>22.51784220553639</v>
      </c>
      <c r="Z195" s="111">
        <f t="shared" si="76"/>
        <v>-55.889287084966526</v>
      </c>
      <c r="AA195" s="72">
        <f t="shared" si="77"/>
        <v>124.11071291503347</v>
      </c>
      <c r="AB195" s="110">
        <f t="shared" ca="1" si="78"/>
        <v>2.8320968047389403</v>
      </c>
      <c r="AC195" s="111">
        <f t="shared" ca="1" si="79"/>
        <v>-35.347816479369861</v>
      </c>
      <c r="AD195" s="72">
        <f t="shared" ca="1" si="80"/>
        <v>144.65218352063013</v>
      </c>
    </row>
    <row r="196" spans="1:30">
      <c r="A196" s="118">
        <v>11028.75</v>
      </c>
      <c r="B196" s="101">
        <f t="shared" ca="1" si="54"/>
        <v>180.50148582903333</v>
      </c>
      <c r="C196" s="102">
        <f t="shared" ca="1" si="55"/>
        <v>1.5652561778539222</v>
      </c>
      <c r="D196" s="102">
        <f t="shared" si="56"/>
        <v>18.425159827309074</v>
      </c>
      <c r="E196" s="103">
        <f t="shared" si="57"/>
        <v>1.5164960331317314</v>
      </c>
      <c r="F196" s="101">
        <f t="shared" si="58"/>
        <v>1496.7870194001991</v>
      </c>
      <c r="G196" s="104">
        <f t="shared" si="59"/>
        <v>1.5701282290218459</v>
      </c>
      <c r="H196" s="113">
        <f t="shared" si="60"/>
        <v>180.17847229683673</v>
      </c>
      <c r="I196" s="114">
        <f t="shared" si="61"/>
        <v>1.5652462456938037</v>
      </c>
      <c r="J196" s="101">
        <f t="shared" si="62"/>
        <v>18.37845435972303</v>
      </c>
      <c r="K196" s="104">
        <f t="shared" si="63"/>
        <v>1.5163579025991223</v>
      </c>
      <c r="L196" s="102">
        <f t="shared" si="64"/>
        <v>1.2808529569914677</v>
      </c>
      <c r="M196" s="103">
        <f t="shared" si="65"/>
        <v>0.67496352610458421</v>
      </c>
      <c r="N196" s="101">
        <f t="shared" si="66"/>
        <v>1.0081661361176069</v>
      </c>
      <c r="O196" s="104">
        <f t="shared" si="67"/>
        <v>0.12736521619509761</v>
      </c>
      <c r="P196" s="105">
        <f t="shared" ca="1" si="68"/>
        <v>1.1737840947595177</v>
      </c>
      <c r="Q196" s="106">
        <f t="shared" ca="1" si="69"/>
        <v>0.57058908815170328</v>
      </c>
      <c r="R196" s="107">
        <f t="shared" ca="1" si="70"/>
        <v>9.3870164237978848</v>
      </c>
      <c r="S196" s="108">
        <f t="shared" ca="1" si="71"/>
        <v>-91.271650256911187</v>
      </c>
      <c r="T196" s="116">
        <f t="shared" ca="1" si="72"/>
        <v>88.728349743088813</v>
      </c>
      <c r="V196" s="72">
        <f t="shared" ca="1" si="73"/>
        <v>1000000000</v>
      </c>
      <c r="W196" s="72">
        <f t="shared" si="74"/>
        <v>121633326.5625</v>
      </c>
      <c r="Y196" s="110">
        <f t="shared" si="75"/>
        <v>22.486421205927098</v>
      </c>
      <c r="Z196" s="111">
        <f t="shared" si="76"/>
        <v>-55.785553128023132</v>
      </c>
      <c r="AA196" s="72">
        <f t="shared" si="77"/>
        <v>124.21444687197686</v>
      </c>
      <c r="AB196" s="110">
        <f t="shared" ca="1" si="78"/>
        <v>2.81819556475229</v>
      </c>
      <c r="AC196" s="111">
        <f t="shared" ca="1" si="79"/>
        <v>-35.486097128888076</v>
      </c>
      <c r="AD196" s="72">
        <f t="shared" ca="1" si="80"/>
        <v>144.51390287111192</v>
      </c>
    </row>
    <row r="197" spans="1:30">
      <c r="A197" s="118">
        <v>11092.5</v>
      </c>
      <c r="B197" s="101">
        <f t="shared" ca="1" si="54"/>
        <v>181.54481508699769</v>
      </c>
      <c r="C197" s="102">
        <f t="shared" ca="1" si="55"/>
        <v>1.5652880171444601</v>
      </c>
      <c r="D197" s="102">
        <f t="shared" si="56"/>
        <v>18.531350819886367</v>
      </c>
      <c r="E197" s="103">
        <f t="shared" si="57"/>
        <v>1.5168074959778199</v>
      </c>
      <c r="F197" s="101">
        <f t="shared" si="58"/>
        <v>1505.4389636384781</v>
      </c>
      <c r="G197" s="104">
        <f t="shared" si="59"/>
        <v>1.5701320686630871</v>
      </c>
      <c r="H197" s="113">
        <f t="shared" si="60"/>
        <v>181.21993436731165</v>
      </c>
      <c r="I197" s="114">
        <f t="shared" si="61"/>
        <v>1.5652781420622415</v>
      </c>
      <c r="J197" s="101">
        <f t="shared" si="62"/>
        <v>18.484374583507488</v>
      </c>
      <c r="K197" s="104">
        <f t="shared" si="63"/>
        <v>1.5166701546503458</v>
      </c>
      <c r="L197" s="102">
        <f t="shared" si="64"/>
        <v>1.2837489239383342</v>
      </c>
      <c r="M197" s="103">
        <f t="shared" si="65"/>
        <v>0.67777713187757282</v>
      </c>
      <c r="N197" s="101">
        <f t="shared" si="66"/>
        <v>1.0082604273066798</v>
      </c>
      <c r="O197" s="104">
        <f t="shared" si="67"/>
        <v>0.12809342719450831</v>
      </c>
      <c r="P197" s="105">
        <f t="shared" ca="1" si="68"/>
        <v>1.1756490681016336</v>
      </c>
      <c r="Q197" s="106">
        <f t="shared" ca="1" si="69"/>
        <v>0.57327724187853502</v>
      </c>
      <c r="R197" s="107">
        <f t="shared" ca="1" si="70"/>
        <v>9.341968627786196</v>
      </c>
      <c r="S197" s="108">
        <f t="shared" ca="1" si="71"/>
        <v>-91.306447744074745</v>
      </c>
      <c r="T197" s="116">
        <f t="shared" ca="1" si="72"/>
        <v>88.693552255925255</v>
      </c>
      <c r="V197" s="72">
        <f t="shared" ca="1" si="73"/>
        <v>1000000000</v>
      </c>
      <c r="W197" s="72">
        <f t="shared" si="74"/>
        <v>123043556.25</v>
      </c>
      <c r="Y197" s="110">
        <f t="shared" si="75"/>
        <v>22.455308176208906</v>
      </c>
      <c r="Z197" s="111">
        <f t="shared" si="76"/>
        <v>-55.682352001384672</v>
      </c>
      <c r="AA197" s="72">
        <f t="shared" si="77"/>
        <v>124.31764799861533</v>
      </c>
      <c r="AB197" s="110">
        <f t="shared" ca="1" si="78"/>
        <v>2.8042607984587935</v>
      </c>
      <c r="AC197" s="111">
        <f t="shared" ca="1" si="79"/>
        <v>-35.624095742690088</v>
      </c>
      <c r="AD197" s="72">
        <f t="shared" ca="1" si="80"/>
        <v>144.37590425730991</v>
      </c>
    </row>
    <row r="198" spans="1:30">
      <c r="A198" s="118">
        <v>11156.25</v>
      </c>
      <c r="B198" s="101">
        <f t="shared" ca="1" si="54"/>
        <v>182.58814452689813</v>
      </c>
      <c r="C198" s="102">
        <f t="shared" ca="1" si="55"/>
        <v>1.5653194925683693</v>
      </c>
      <c r="D198" s="102">
        <f t="shared" si="56"/>
        <v>18.637543589687709</v>
      </c>
      <c r="E198" s="103">
        <f t="shared" si="57"/>
        <v>1.517115409555043</v>
      </c>
      <c r="F198" s="101">
        <f t="shared" si="58"/>
        <v>1514.0909078986983</v>
      </c>
      <c r="G198" s="104">
        <f t="shared" si="59"/>
        <v>1.5701358644227332</v>
      </c>
      <c r="H198" s="113">
        <f t="shared" si="60"/>
        <v>182.26139662004888</v>
      </c>
      <c r="I198" s="114">
        <f t="shared" si="61"/>
        <v>1.5653096739117909</v>
      </c>
      <c r="J198" s="101">
        <f t="shared" si="62"/>
        <v>18.590296589006154</v>
      </c>
      <c r="K198" s="104">
        <f t="shared" si="63"/>
        <v>1.5169788484919182</v>
      </c>
      <c r="L198" s="102">
        <f t="shared" si="64"/>
        <v>1.2866550077318466</v>
      </c>
      <c r="M198" s="103">
        <f t="shared" si="65"/>
        <v>0.68057804992452231</v>
      </c>
      <c r="N198" s="101">
        <f t="shared" si="66"/>
        <v>1.0083552530672852</v>
      </c>
      <c r="O198" s="104">
        <f t="shared" si="67"/>
        <v>0.12882150161797828</v>
      </c>
      <c r="P198" s="105">
        <f t="shared" ca="1" si="68"/>
        <v>1.1775218282555917</v>
      </c>
      <c r="Q198" s="106">
        <f t="shared" ca="1" si="69"/>
        <v>0.5759572371453332</v>
      </c>
      <c r="R198" s="107">
        <f t="shared" ca="1" si="70"/>
        <v>9.2971916983049709</v>
      </c>
      <c r="S198" s="108">
        <f t="shared" ca="1" si="71"/>
        <v>-91.341493924712282</v>
      </c>
      <c r="T198" s="116">
        <f t="shared" ca="1" si="72"/>
        <v>88.658506075287718</v>
      </c>
      <c r="V198" s="72">
        <f t="shared" ca="1" si="73"/>
        <v>1000000000</v>
      </c>
      <c r="W198" s="72">
        <f t="shared" si="74"/>
        <v>124461914.0625</v>
      </c>
      <c r="Y198" s="110">
        <f t="shared" si="75"/>
        <v>22.424499118855998</v>
      </c>
      <c r="Z198" s="111">
        <f t="shared" si="76"/>
        <v>-55.579684503443474</v>
      </c>
      <c r="AA198" s="72">
        <f t="shared" si="77"/>
        <v>124.42031549655653</v>
      </c>
      <c r="AB198" s="110">
        <f t="shared" ca="1" si="78"/>
        <v>2.7902929263304781</v>
      </c>
      <c r="AC198" s="111">
        <f t="shared" ca="1" si="79"/>
        <v>-35.761809421268751</v>
      </c>
      <c r="AD198" s="72">
        <f t="shared" ca="1" si="80"/>
        <v>144.23819057873123</v>
      </c>
    </row>
    <row r="199" spans="1:30">
      <c r="A199" s="118">
        <v>11220</v>
      </c>
      <c r="B199" s="101">
        <f t="shared" ca="1" si="54"/>
        <v>183.63147414563355</v>
      </c>
      <c r="C199" s="102">
        <f t="shared" ca="1" si="55"/>
        <v>1.5653506103276749</v>
      </c>
      <c r="D199" s="102">
        <f t="shared" si="56"/>
        <v>18.743738106506484</v>
      </c>
      <c r="E199" s="103">
        <f t="shared" si="57"/>
        <v>1.517419834130721</v>
      </c>
      <c r="F199" s="101">
        <f t="shared" si="58"/>
        <v>1522.742852180485</v>
      </c>
      <c r="G199" s="104">
        <f t="shared" si="59"/>
        <v>1.5701396170487658</v>
      </c>
      <c r="H199" s="113">
        <f t="shared" si="60"/>
        <v>183.30285905194162</v>
      </c>
      <c r="I199" s="114">
        <f t="shared" si="61"/>
        <v>1.5653408474555937</v>
      </c>
      <c r="J199" s="101">
        <f t="shared" si="62"/>
        <v>18.696220345936531</v>
      </c>
      <c r="K199" s="104">
        <f t="shared" si="63"/>
        <v>1.5172840445417948</v>
      </c>
      <c r="L199" s="102">
        <f t="shared" si="64"/>
        <v>1.2895711399762353</v>
      </c>
      <c r="M199" s="103">
        <f t="shared" si="65"/>
        <v>0.68336632222295501</v>
      </c>
      <c r="N199" s="101">
        <f t="shared" si="66"/>
        <v>1.008450613248624</v>
      </c>
      <c r="O199" s="104">
        <f t="shared" si="67"/>
        <v>0.12954943873225069</v>
      </c>
      <c r="P199" s="105">
        <f t="shared" ca="1" si="68"/>
        <v>1.1794023384208587</v>
      </c>
      <c r="Q199" s="106">
        <f t="shared" ca="1" si="69"/>
        <v>0.57862907906164673</v>
      </c>
      <c r="R199" s="107">
        <f t="shared" ca="1" si="70"/>
        <v>9.2526821205553169</v>
      </c>
      <c r="S199" s="108">
        <f t="shared" ca="1" si="71"/>
        <v>-91.376786695281837</v>
      </c>
      <c r="T199" s="116">
        <f t="shared" ca="1" si="72"/>
        <v>88.623213304718163</v>
      </c>
      <c r="V199" s="72">
        <f t="shared" ca="1" si="73"/>
        <v>1000000000</v>
      </c>
      <c r="W199" s="72">
        <f t="shared" si="74"/>
        <v>125888400</v>
      </c>
      <c r="Y199" s="110">
        <f t="shared" si="75"/>
        <v>22.393990099570047</v>
      </c>
      <c r="Z199" s="111">
        <f t="shared" si="76"/>
        <v>-55.477551335615473</v>
      </c>
      <c r="AA199" s="72">
        <f t="shared" si="77"/>
        <v>124.52244866438453</v>
      </c>
      <c r="AB199" s="110">
        <f t="shared" ca="1" si="78"/>
        <v>2.7762923678667706</v>
      </c>
      <c r="AC199" s="111">
        <f t="shared" ca="1" si="79"/>
        <v>-35.899235359666399</v>
      </c>
      <c r="AD199" s="72">
        <f t="shared" ca="1" si="80"/>
        <v>144.10076464033361</v>
      </c>
    </row>
    <row r="200" spans="1:30">
      <c r="A200" s="118">
        <v>11285.5</v>
      </c>
      <c r="B200" s="101">
        <f t="shared" ca="1" si="54"/>
        <v>184.70344436835623</v>
      </c>
      <c r="C200" s="102">
        <f t="shared" ca="1" si="55"/>
        <v>1.5653822161437994</v>
      </c>
      <c r="D200" s="102">
        <f t="shared" si="56"/>
        <v>18.852849555505944</v>
      </c>
      <c r="E200" s="103">
        <f t="shared" si="57"/>
        <v>1.5177290433902573</v>
      </c>
      <c r="F200" s="101">
        <f t="shared" si="58"/>
        <v>1531.6323008371839</v>
      </c>
      <c r="G200" s="104">
        <f t="shared" si="59"/>
        <v>1.5701434285304114</v>
      </c>
      <c r="H200" s="113">
        <f t="shared" si="60"/>
        <v>184.37291083204042</v>
      </c>
      <c r="I200" s="114">
        <f t="shared" si="61"/>
        <v>1.5653725099311888</v>
      </c>
      <c r="J200" s="101">
        <f t="shared" si="62"/>
        <v>18.805053606942963</v>
      </c>
      <c r="K200" s="104">
        <f t="shared" si="63"/>
        <v>1.5175940374526224</v>
      </c>
      <c r="L200" s="102">
        <f t="shared" si="64"/>
        <v>1.2925777174207487</v>
      </c>
      <c r="M200" s="103">
        <f t="shared" si="65"/>
        <v>0.6862180086630788</v>
      </c>
      <c r="N200" s="101">
        <f t="shared" si="66"/>
        <v>1.0085491476287407</v>
      </c>
      <c r="O200" s="104">
        <f t="shared" si="67"/>
        <v>0.1302972146493272</v>
      </c>
      <c r="P200" s="105">
        <f t="shared" ca="1" si="68"/>
        <v>1.1813425038906533</v>
      </c>
      <c r="Q200" s="106">
        <f t="shared" ca="1" si="69"/>
        <v>0.58136577929697664</v>
      </c>
      <c r="R200" s="107">
        <f t="shared" ca="1" si="70"/>
        <v>9.2072255424355802</v>
      </c>
      <c r="S200" s="108">
        <f t="shared" ca="1" si="71"/>
        <v>-91.413302910531741</v>
      </c>
      <c r="T200" s="116">
        <f t="shared" ca="1" si="72"/>
        <v>88.586697089468259</v>
      </c>
      <c r="V200" s="72">
        <f t="shared" ca="1" si="73"/>
        <v>1000000000</v>
      </c>
      <c r="W200" s="72">
        <f t="shared" si="74"/>
        <v>127362510.25</v>
      </c>
      <c r="Y200" s="110">
        <f t="shared" si="75"/>
        <v>22.362952013707297</v>
      </c>
      <c r="Z200" s="111">
        <f t="shared" si="76"/>
        <v>-55.373171683113291</v>
      </c>
      <c r="AA200" s="72">
        <f t="shared" si="77"/>
        <v>124.6268283168867</v>
      </c>
      <c r="AB200" s="110">
        <f t="shared" ca="1" si="78"/>
        <v>2.7618738756097865</v>
      </c>
      <c r="AC200" s="111">
        <f t="shared" ca="1" si="79"/>
        <v>-36.04013122741847</v>
      </c>
      <c r="AD200" s="72">
        <f t="shared" ca="1" si="80"/>
        <v>143.95986877258153</v>
      </c>
    </row>
    <row r="201" spans="1:30">
      <c r="A201" s="118">
        <v>11351</v>
      </c>
      <c r="B201" s="101">
        <f t="shared" ca="1" si="54"/>
        <v>185.77541477345503</v>
      </c>
      <c r="C201" s="102">
        <f t="shared" ca="1" si="55"/>
        <v>1.5654134572130958</v>
      </c>
      <c r="D201" s="102">
        <f t="shared" si="56"/>
        <v>18.961962786288836</v>
      </c>
      <c r="E201" s="103">
        <f t="shared" si="57"/>
        <v>1.5180346940997362</v>
      </c>
      <c r="F201" s="101">
        <f t="shared" si="58"/>
        <v>1540.5217495158765</v>
      </c>
      <c r="G201" s="104">
        <f t="shared" si="59"/>
        <v>1.5701471960244011</v>
      </c>
      <c r="H201" s="113">
        <f t="shared" si="60"/>
        <v>185.44296279484226</v>
      </c>
      <c r="I201" s="114">
        <f t="shared" si="61"/>
        <v>1.5654038070061156</v>
      </c>
      <c r="J201" s="101">
        <f t="shared" si="62"/>
        <v>18.913888654235855</v>
      </c>
      <c r="K201" s="104">
        <f t="shared" si="63"/>
        <v>1.5179004628456414</v>
      </c>
      <c r="L201" s="102">
        <f t="shared" si="64"/>
        <v>1.2955947574210935</v>
      </c>
      <c r="M201" s="103">
        <f t="shared" si="65"/>
        <v>0.6890564367025116</v>
      </c>
      <c r="N201" s="101">
        <f t="shared" si="66"/>
        <v>1.0086482458477284</v>
      </c>
      <c r="O201" s="104">
        <f t="shared" si="67"/>
        <v>0.13104484404860012</v>
      </c>
      <c r="P201" s="105">
        <f t="shared" ca="1" si="68"/>
        <v>1.1832907722100692</v>
      </c>
      <c r="Q201" s="106">
        <f t="shared" ca="1" si="69"/>
        <v>0.58409388461140355</v>
      </c>
      <c r="R201" s="107">
        <f t="shared" ca="1" si="70"/>
        <v>9.1620438691541253</v>
      </c>
      <c r="S201" s="108">
        <f t="shared" ca="1" si="71"/>
        <v>-91.45007493198078</v>
      </c>
      <c r="T201" s="116">
        <f t="shared" ca="1" si="72"/>
        <v>88.54992506801922</v>
      </c>
      <c r="V201" s="72">
        <f t="shared" ca="1" si="73"/>
        <v>1000000000</v>
      </c>
      <c r="W201" s="72">
        <f t="shared" si="74"/>
        <v>128845201</v>
      </c>
      <c r="Y201" s="110">
        <f t="shared" si="75"/>
        <v>22.332222443816562</v>
      </c>
      <c r="Z201" s="111">
        <f t="shared" si="76"/>
        <v>-55.269357298057948</v>
      </c>
      <c r="AA201" s="72">
        <f t="shared" si="77"/>
        <v>124.73064270194206</v>
      </c>
      <c r="AB201" s="110">
        <f t="shared" ca="1" si="78"/>
        <v>2.7474217722190657</v>
      </c>
      <c r="AC201" s="111">
        <f t="shared" ca="1" si="79"/>
        <v>-36.180717633922818</v>
      </c>
      <c r="AD201" s="72">
        <f t="shared" ca="1" si="80"/>
        <v>143.81928236607718</v>
      </c>
    </row>
    <row r="202" spans="1:30">
      <c r="A202" s="118">
        <v>11416.5</v>
      </c>
      <c r="B202" s="101">
        <f t="shared" ca="1" si="54"/>
        <v>186.84738535779087</v>
      </c>
      <c r="C202" s="102">
        <f t="shared" ca="1" si="55"/>
        <v>1.5654443398133189</v>
      </c>
      <c r="D202" s="102">
        <f t="shared" si="56"/>
        <v>19.071077768272293</v>
      </c>
      <c r="E202" s="103">
        <f t="shared" si="57"/>
        <v>1.518336847282179</v>
      </c>
      <c r="F202" s="101">
        <f t="shared" si="58"/>
        <v>1549.4111982161846</v>
      </c>
      <c r="G202" s="104">
        <f t="shared" si="59"/>
        <v>1.5701509202878465</v>
      </c>
      <c r="H202" s="113">
        <f t="shared" si="60"/>
        <v>186.51301493720251</v>
      </c>
      <c r="I202" s="114">
        <f t="shared" si="61"/>
        <v>1.5654347449693815</v>
      </c>
      <c r="J202" s="101">
        <f t="shared" si="62"/>
        <v>19.022725457155477</v>
      </c>
      <c r="K202" s="104">
        <f t="shared" si="63"/>
        <v>1.5182033818964984</v>
      </c>
      <c r="L202" s="102">
        <f t="shared" si="64"/>
        <v>1.2986221870554862</v>
      </c>
      <c r="M202" s="103">
        <f t="shared" si="65"/>
        <v>0.6918816531720049</v>
      </c>
      <c r="N202" s="101">
        <f t="shared" si="66"/>
        <v>1.0087479077394148</v>
      </c>
      <c r="O202" s="104">
        <f t="shared" si="67"/>
        <v>0.13179232613759992</v>
      </c>
      <c r="P202" s="105">
        <f t="shared" ca="1" si="68"/>
        <v>1.1852471037435679</v>
      </c>
      <c r="Q202" s="106">
        <f t="shared" ca="1" si="69"/>
        <v>0.58681340182817321</v>
      </c>
      <c r="R202" s="107">
        <f t="shared" ca="1" si="70"/>
        <v>9.1171334850188703</v>
      </c>
      <c r="S202" s="108">
        <f t="shared" ca="1" si="71"/>
        <v>-91.487100473441956</v>
      </c>
      <c r="T202" s="116">
        <f t="shared" ca="1" si="72"/>
        <v>88.512899526558044</v>
      </c>
      <c r="V202" s="72">
        <f t="shared" ca="1" si="73"/>
        <v>1000000000</v>
      </c>
      <c r="W202" s="72">
        <f t="shared" si="74"/>
        <v>130336472.25</v>
      </c>
      <c r="Y202" s="110">
        <f t="shared" si="75"/>
        <v>22.301797322888504</v>
      </c>
      <c r="Z202" s="111">
        <f t="shared" si="76"/>
        <v>-55.166108639992046</v>
      </c>
      <c r="AA202" s="72">
        <f t="shared" si="77"/>
        <v>124.83389136000795</v>
      </c>
      <c r="AB202" s="110">
        <f t="shared" ca="1" si="78"/>
        <v>2.7329365090118674</v>
      </c>
      <c r="AC202" s="111">
        <f t="shared" ca="1" si="79"/>
        <v>-36.320991833449924</v>
      </c>
      <c r="AD202" s="72">
        <f t="shared" ca="1" si="80"/>
        <v>143.67900816655009</v>
      </c>
    </row>
    <row r="203" spans="1:30">
      <c r="A203" s="118">
        <v>11482</v>
      </c>
      <c r="B203" s="101">
        <f t="shared" ca="1" si="54"/>
        <v>187.91935611829661</v>
      </c>
      <c r="C203" s="102">
        <f t="shared" ca="1" si="55"/>
        <v>1.5654748700789831</v>
      </c>
      <c r="D203" s="102">
        <f t="shared" si="56"/>
        <v>19.180194471568885</v>
      </c>
      <c r="E203" s="103">
        <f t="shared" si="57"/>
        <v>1.518635562574548</v>
      </c>
      <c r="F203" s="101">
        <f t="shared" si="58"/>
        <v>1558.3006469377383</v>
      </c>
      <c r="G203" s="104">
        <f t="shared" si="59"/>
        <v>1.5701546020605841</v>
      </c>
      <c r="H203" s="113">
        <f t="shared" si="60"/>
        <v>187.58306725604839</v>
      </c>
      <c r="I203" s="114">
        <f t="shared" si="61"/>
        <v>1.5654653299664965</v>
      </c>
      <c r="J203" s="101">
        <f t="shared" si="62"/>
        <v>19.13156398573928</v>
      </c>
      <c r="K203" s="104">
        <f t="shared" si="63"/>
        <v>1.5185028543913475</v>
      </c>
      <c r="L203" s="102">
        <f t="shared" si="64"/>
        <v>1.3016599338306027</v>
      </c>
      <c r="M203" s="103">
        <f t="shared" si="65"/>
        <v>0.6946937053110076</v>
      </c>
      <c r="N203" s="101">
        <f t="shared" si="66"/>
        <v>1.0088481331367478</v>
      </c>
      <c r="O203" s="104">
        <f t="shared" si="67"/>
        <v>0.13253966012482771</v>
      </c>
      <c r="P203" s="105">
        <f t="shared" ca="1" si="68"/>
        <v>1.1872114589538931</v>
      </c>
      <c r="Q203" s="106">
        <f t="shared" ca="1" si="69"/>
        <v>0.58952433819080174</v>
      </c>
      <c r="R203" s="107">
        <f t="shared" ca="1" si="70"/>
        <v>9.0724908379063915</v>
      </c>
      <c r="S203" s="108">
        <f t="shared" ca="1" si="71"/>
        <v>-91.524377248275215</v>
      </c>
      <c r="T203" s="116">
        <f t="shared" ca="1" si="72"/>
        <v>88.475622751724785</v>
      </c>
      <c r="V203" s="72">
        <f t="shared" ca="1" si="73"/>
        <v>1000000000</v>
      </c>
      <c r="W203" s="72">
        <f t="shared" si="74"/>
        <v>131836324</v>
      </c>
      <c r="Y203" s="110">
        <f t="shared" si="75"/>
        <v>22.271672648879299</v>
      </c>
      <c r="Z203" s="111">
        <f t="shared" si="76"/>
        <v>-55.063426072716943</v>
      </c>
      <c r="AA203" s="72">
        <f t="shared" si="77"/>
        <v>124.93657392728306</v>
      </c>
      <c r="AB203" s="110">
        <f t="shared" ca="1" si="78"/>
        <v>2.7184185359085951</v>
      </c>
      <c r="AC203" s="111">
        <f t="shared" ca="1" si="79"/>
        <v>-36.460951175558222</v>
      </c>
      <c r="AD203" s="72">
        <f t="shared" ca="1" si="80"/>
        <v>143.53904882444178</v>
      </c>
    </row>
    <row r="204" spans="1:30">
      <c r="A204" s="118">
        <v>11548.75</v>
      </c>
      <c r="B204" s="101">
        <f t="shared" ca="1" si="54"/>
        <v>189.0117845142054</v>
      </c>
      <c r="C204" s="102">
        <f t="shared" ca="1" si="55"/>
        <v>1.5655056267052876</v>
      </c>
      <c r="D204" s="102">
        <f t="shared" si="56"/>
        <v>19.291395295359131</v>
      </c>
      <c r="E204" s="103">
        <f t="shared" si="57"/>
        <v>1.5189365019556422</v>
      </c>
      <c r="F204" s="101">
        <f t="shared" si="58"/>
        <v>1567.3597416487432</v>
      </c>
      <c r="G204" s="104">
        <f t="shared" si="59"/>
        <v>1.5701583111299082</v>
      </c>
      <c r="H204" s="113">
        <f t="shared" si="60"/>
        <v>188.67354059913467</v>
      </c>
      <c r="I204" s="114">
        <f t="shared" si="61"/>
        <v>1.5654961417300834</v>
      </c>
      <c r="J204" s="101">
        <f t="shared" si="62"/>
        <v>19.24248133053938</v>
      </c>
      <c r="K204" s="104">
        <f t="shared" si="63"/>
        <v>1.5188045566607618</v>
      </c>
      <c r="L204" s="102">
        <f t="shared" si="64"/>
        <v>1.3047661926202667</v>
      </c>
      <c r="M204" s="103">
        <f t="shared" si="65"/>
        <v>0.69754592831682671</v>
      </c>
      <c r="N204" s="101">
        <f t="shared" si="66"/>
        <v>1.0089508507977791</v>
      </c>
      <c r="O204" s="104">
        <f t="shared" si="67"/>
        <v>0.13330110302428697</v>
      </c>
      <c r="P204" s="105">
        <f t="shared" ca="1" si="68"/>
        <v>1.189221515851596</v>
      </c>
      <c r="Q204" s="106">
        <f t="shared" ca="1" si="69"/>
        <v>0.59227818985854408</v>
      </c>
      <c r="R204" s="107">
        <f t="shared" ca="1" si="70"/>
        <v>9.0272680688788469</v>
      </c>
      <c r="S204" s="108">
        <f t="shared" ca="1" si="71"/>
        <v>-91.562621515466859</v>
      </c>
      <c r="T204" s="116">
        <f t="shared" ca="1" si="72"/>
        <v>88.437378484533141</v>
      </c>
      <c r="V204" s="72">
        <f t="shared" ca="1" si="73"/>
        <v>1000000000</v>
      </c>
      <c r="W204" s="72">
        <f t="shared" si="74"/>
        <v>133373626.5625</v>
      </c>
      <c r="Y204" s="110">
        <f t="shared" si="75"/>
        <v>22.241278101416381</v>
      </c>
      <c r="Z204" s="111">
        <f t="shared" si="76"/>
        <v>-54.95936659332596</v>
      </c>
      <c r="AA204" s="72">
        <f t="shared" si="77"/>
        <v>125.04063340667403</v>
      </c>
      <c r="AB204" s="110">
        <f t="shared" ca="1" si="78"/>
        <v>2.7035903143439732</v>
      </c>
      <c r="AC204" s="111">
        <f t="shared" ca="1" si="79"/>
        <v>-36.603254922140884</v>
      </c>
      <c r="AD204" s="72">
        <f t="shared" ca="1" si="80"/>
        <v>143.39674507785912</v>
      </c>
    </row>
    <row r="205" spans="1:30">
      <c r="A205" s="118">
        <v>11615.5</v>
      </c>
      <c r="B205" s="101">
        <f t="shared" ca="1" si="54"/>
        <v>190.10421308685875</v>
      </c>
      <c r="C205" s="102">
        <f t="shared" ca="1" si="55"/>
        <v>1.5655360298474255</v>
      </c>
      <c r="D205" s="102">
        <f t="shared" si="56"/>
        <v>19.402597846238816</v>
      </c>
      <c r="E205" s="103">
        <f t="shared" si="57"/>
        <v>1.5192339918019659</v>
      </c>
      <c r="F205" s="101">
        <f t="shared" si="58"/>
        <v>1576.4188363810633</v>
      </c>
      <c r="G205" s="104">
        <f t="shared" si="59"/>
        <v>1.5701619775699394</v>
      </c>
      <c r="H205" s="113">
        <f t="shared" si="60"/>
        <v>189.76401411928231</v>
      </c>
      <c r="I205" s="114">
        <f t="shared" si="61"/>
        <v>1.5655265993758494</v>
      </c>
      <c r="J205" s="101">
        <f t="shared" si="62"/>
        <v>19.353400406795391</v>
      </c>
      <c r="K205" s="104">
        <f t="shared" si="63"/>
        <v>1.5191028006979141</v>
      </c>
      <c r="L205" s="102">
        <f t="shared" si="64"/>
        <v>1.3078830154429291</v>
      </c>
      <c r="M205" s="103">
        <f t="shared" si="65"/>
        <v>0.70038458002909643</v>
      </c>
      <c r="N205" s="101">
        <f t="shared" si="66"/>
        <v>1.0090541533244648</v>
      </c>
      <c r="O205" s="104">
        <f t="shared" si="67"/>
        <v>0.13406239045871104</v>
      </c>
      <c r="P205" s="105">
        <f t="shared" ca="1" si="68"/>
        <v>1.1912398230098271</v>
      </c>
      <c r="Q205" s="106">
        <f t="shared" ca="1" si="69"/>
        <v>0.59502314652713484</v>
      </c>
      <c r="R205" s="107">
        <f t="shared" ca="1" si="70"/>
        <v>8.9823161005886334</v>
      </c>
      <c r="S205" s="108">
        <f t="shared" ca="1" si="71"/>
        <v>-91.601121902598777</v>
      </c>
      <c r="T205" s="116">
        <f t="shared" ca="1" si="72"/>
        <v>88.398878097401223</v>
      </c>
      <c r="V205" s="72">
        <f t="shared" ca="1" si="73"/>
        <v>1000000000</v>
      </c>
      <c r="W205" s="72">
        <f t="shared" si="74"/>
        <v>134919840.25</v>
      </c>
      <c r="Y205" s="110">
        <f t="shared" si="75"/>
        <v>22.211187386264925</v>
      </c>
      <c r="Z205" s="111">
        <f t="shared" si="76"/>
        <v>-54.855895489153028</v>
      </c>
      <c r="AA205" s="72">
        <f t="shared" si="77"/>
        <v>125.14410451084697</v>
      </c>
      <c r="AB205" s="110">
        <f t="shared" ca="1" si="78"/>
        <v>2.688729061205211</v>
      </c>
      <c r="AC205" s="111">
        <f t="shared" ca="1" si="79"/>
        <v>-36.745226413445735</v>
      </c>
      <c r="AD205" s="72">
        <f t="shared" ca="1" si="80"/>
        <v>143.25477358655428</v>
      </c>
    </row>
    <row r="206" spans="1:30">
      <c r="A206" s="118">
        <v>11682.25</v>
      </c>
      <c r="B206" s="101">
        <f t="shared" ref="B206:B269" ca="1" si="81">SQRT(1+(A206/Pole1)^2)</f>
        <v>191.19664183322712</v>
      </c>
      <c r="C206" s="102">
        <f t="shared" ref="C206:C269" ca="1" si="82">ATAN(A206/Pole1)</f>
        <v>1.5655660855643836</v>
      </c>
      <c r="D206" s="102">
        <f t="shared" ref="D206:D269" si="83">SQRT(1+(A206/Zero1)^2)</f>
        <v>19.513802094681633</v>
      </c>
      <c r="E206" s="103">
        <f t="shared" ref="E206:E269" si="84">ATAN(A206/Zero1)</f>
        <v>1.5195280910345002</v>
      </c>
      <c r="F206" s="101">
        <f t="shared" ref="F206:F269" si="85">SQRT(1+(A206/Pole2)^2)</f>
        <v>1585.4779311343323</v>
      </c>
      <c r="G206" s="104">
        <f t="shared" ref="G206:G269" si="86">ATAN(A206/Pole2)</f>
        <v>1.5701656021114021</v>
      </c>
      <c r="H206" s="113">
        <f t="shared" ref="H206:H269" si="87">SQRT(1+(A206/Zero2)^2)</f>
        <v>190.85448781345639</v>
      </c>
      <c r="I206" s="114">
        <f t="shared" ref="I206:I269" si="88">ATAN(A206/Zero2)</f>
        <v>1.565556708973642</v>
      </c>
      <c r="J206" s="101">
        <f t="shared" ref="J206:J269" si="89">SQRT(1+(A206/pole4)^2)</f>
        <v>19.464321184906765</v>
      </c>
      <c r="K206" s="104">
        <f t="shared" ref="K206:K269" si="90">ATAN(A206/pole4)</f>
        <v>1.5193976455712801</v>
      </c>
      <c r="L206" s="102">
        <f t="shared" ref="L206:L269" si="91">SQRT(1+(A206/Zerofeed)^2)</f>
        <v>1.3110103269531455</v>
      </c>
      <c r="M206" s="103">
        <f t="shared" ref="M206:M269" si="92">ATAN(A206/Zerofeed)</f>
        <v>0.70320971165725943</v>
      </c>
      <c r="N206" s="101">
        <f t="shared" ref="N206:N269" si="93">SQRT(1+(A206/Polefeed)^2)</f>
        <v>1.0091580405371952</v>
      </c>
      <c r="O206" s="104">
        <f t="shared" ref="O206:O269" si="94">ATAN(A206/Polefeed)</f>
        <v>0.13482352159355743</v>
      </c>
      <c r="P206" s="105">
        <f t="shared" ref="P206:P269" ca="1" si="95">SQRT((1-(W206/pterm2))^2+(A206/pterm1)^2)</f>
        <v>1.1932663389111795</v>
      </c>
      <c r="Q206" s="106">
        <f t="shared" ref="Q206:Q269" ca="1" si="96">IF((ATAN((A206/pterm1)/(1-A206^2/pterm2))&gt;0),ATAN((A206/pterm1)/(1-A206^2/pterm2)),PI()+ATAN((A206/pterm1)/(1-A206^2/pterm2)))</f>
        <v>0.59775921716909353</v>
      </c>
      <c r="R206" s="107">
        <f t="shared" ref="R206:R269" ca="1" si="97">20*LOG10(((D206*H206*L206)/(B206*F206*P206*J206*N206))*Adc)</f>
        <v>8.9376313686765858</v>
      </c>
      <c r="S206" s="108">
        <f t="shared" ref="S206:S269" ca="1" si="98">((E206+I206+M206)-(C206+G206+Q206+K206+O206))*radconv</f>
        <v>-91.639875991553751</v>
      </c>
      <c r="T206" s="116">
        <f t="shared" ref="T206:T269" ca="1" si="99">IF(S206&gt;0,S206,S206+180)</f>
        <v>88.360124008446249</v>
      </c>
      <c r="V206" s="72">
        <f t="shared" ref="V206:V269" ca="1" si="100">IF(R206&lt;0,A206,1000000000)</f>
        <v>1000000000</v>
      </c>
      <c r="W206" s="72">
        <f t="shared" ref="W206:W269" si="101">A206^2</f>
        <v>136474965.0625</v>
      </c>
      <c r="Y206" s="110">
        <f t="shared" ref="Y206:Y269" si="102">20*LOG10(((H206*L206)/(F206*J206*N206))*Aea)</f>
        <v>22.181396467818058</v>
      </c>
      <c r="Z206" s="111">
        <f t="shared" ref="Z206:Z269" si="103">(I206+M206-(G206+K206+O206))*radconv</f>
        <v>-54.753012856762609</v>
      </c>
      <c r="AA206" s="72">
        <f t="shared" ref="AA206:AA269" si="104">IF(Z206&gt;0,Z206,Z206+180)</f>
        <v>125.24698714323739</v>
      </c>
      <c r="AB206" s="110">
        <f t="shared" ref="AB206:AB269" ca="1" si="105">20*LOG10((D206/(B206*P206))*Acs*Am)</f>
        <v>2.6738352477400298</v>
      </c>
      <c r="AC206" s="111">
        <f t="shared" ref="AC206:AC269" ca="1" si="106">(E206-(C206+Q206))*radconv</f>
        <v>-36.886863134791142</v>
      </c>
      <c r="AD206" s="72">
        <f t="shared" ref="AD206:AD269" ca="1" si="107">IF(AC206&gt;0,AC206,AC206+180)</f>
        <v>143.11313686520884</v>
      </c>
    </row>
    <row r="207" spans="1:30">
      <c r="A207" s="118">
        <v>11749</v>
      </c>
      <c r="B207" s="101">
        <f t="shared" ca="1" si="81"/>
        <v>192.28907075034977</v>
      </c>
      <c r="C207" s="102">
        <f t="shared" ca="1" si="82"/>
        <v>1.5655957997774628</v>
      </c>
      <c r="D207" s="102">
        <f t="shared" si="83"/>
        <v>19.625008011830094</v>
      </c>
      <c r="E207" s="103">
        <f t="shared" si="84"/>
        <v>1.5198188572410898</v>
      </c>
      <c r="F207" s="101">
        <f t="shared" si="85"/>
        <v>1594.5370259081938</v>
      </c>
      <c r="G207" s="104">
        <f t="shared" si="86"/>
        <v>1.5701691854684157</v>
      </c>
      <c r="H207" s="113">
        <f t="shared" si="87"/>
        <v>191.94496167869079</v>
      </c>
      <c r="I207" s="114">
        <f t="shared" si="88"/>
        <v>1.5655864764553755</v>
      </c>
      <c r="J207" s="101">
        <f t="shared" si="89"/>
        <v>19.575243635943426</v>
      </c>
      <c r="K207" s="104">
        <f t="shared" si="90"/>
        <v>1.5196891490128928</v>
      </c>
      <c r="L207" s="102">
        <f t="shared" si="91"/>
        <v>1.3141480522703295</v>
      </c>
      <c r="M207" s="103">
        <f t="shared" si="92"/>
        <v>0.70602137478739824</v>
      </c>
      <c r="N207" s="101">
        <f t="shared" si="93"/>
        <v>1.0092625122554186</v>
      </c>
      <c r="O207" s="104">
        <f t="shared" si="94"/>
        <v>0.13558449559535043</v>
      </c>
      <c r="P207" s="105">
        <f t="shared" ca="1" si="95"/>
        <v>1.1953010221521025</v>
      </c>
      <c r="Q207" s="106">
        <f t="shared" ca="1" si="96"/>
        <v>0.60048641118283308</v>
      </c>
      <c r="R207" s="107">
        <f t="shared" ca="1" si="97"/>
        <v>8.8932103715953978</v>
      </c>
      <c r="S207" s="108">
        <f t="shared" ca="1" si="98"/>
        <v>-91.67888136597098</v>
      </c>
      <c r="T207" s="116">
        <f t="shared" ca="1" si="99"/>
        <v>88.32111863402902</v>
      </c>
      <c r="V207" s="72">
        <f t="shared" ca="1" si="100"/>
        <v>1000000000</v>
      </c>
      <c r="W207" s="72">
        <f t="shared" si="101"/>
        <v>138039001</v>
      </c>
      <c r="Y207" s="110">
        <f t="shared" si="102"/>
        <v>22.151901375079376</v>
      </c>
      <c r="Z207" s="111">
        <f t="shared" si="103"/>
        <v>-54.650718701579372</v>
      </c>
      <c r="AA207" s="72">
        <f t="shared" si="104"/>
        <v>125.34928129842064</v>
      </c>
      <c r="AB207" s="110">
        <f t="shared" ca="1" si="105"/>
        <v>2.6589093433975246</v>
      </c>
      <c r="AC207" s="111">
        <f t="shared" ca="1" si="106"/>
        <v>-37.028162664391594</v>
      </c>
      <c r="AD207" s="72">
        <f t="shared" ca="1" si="107"/>
        <v>142.9718373356084</v>
      </c>
    </row>
    <row r="208" spans="1:30">
      <c r="A208" s="118">
        <v>11817.5</v>
      </c>
      <c r="B208" s="101">
        <f t="shared" ca="1" si="81"/>
        <v>193.41014030046728</v>
      </c>
      <c r="C208" s="102">
        <f t="shared" ca="1" si="82"/>
        <v>1.5656259440324589</v>
      </c>
      <c r="D208" s="102">
        <f t="shared" si="83"/>
        <v>19.739131145238986</v>
      </c>
      <c r="E208" s="103">
        <f t="shared" si="84"/>
        <v>1.5201138403142866</v>
      </c>
      <c r="F208" s="101">
        <f t="shared" si="85"/>
        <v>1603.833625060465</v>
      </c>
      <c r="G208" s="104">
        <f t="shared" si="86"/>
        <v>1.5701728206848065</v>
      </c>
      <c r="H208" s="113">
        <f t="shared" si="87"/>
        <v>193.06402492119093</v>
      </c>
      <c r="I208" s="114">
        <f t="shared" si="88"/>
        <v>1.5656166747499956</v>
      </c>
      <c r="J208" s="101">
        <f t="shared" si="89"/>
        <v>19.689075875857334</v>
      </c>
      <c r="K208" s="104">
        <f t="shared" si="90"/>
        <v>1.5199848800579316</v>
      </c>
      <c r="L208" s="102">
        <f t="shared" si="91"/>
        <v>1.3173787889263997</v>
      </c>
      <c r="M208" s="103">
        <f t="shared" si="92"/>
        <v>0.70889280362768725</v>
      </c>
      <c r="N208" s="101">
        <f t="shared" si="93"/>
        <v>1.0093703304347408</v>
      </c>
      <c r="O208" s="104">
        <f t="shared" si="94"/>
        <v>0.13636525598697846</v>
      </c>
      <c r="P208" s="105">
        <f t="shared" ca="1" si="95"/>
        <v>1.1973974971823478</v>
      </c>
      <c r="Q208" s="106">
        <f t="shared" ca="1" si="96"/>
        <v>0.60327588620431871</v>
      </c>
      <c r="R208" s="107">
        <f t="shared" ca="1" si="97"/>
        <v>8.8478953687499189</v>
      </c>
      <c r="S208" s="108">
        <f t="shared" ca="1" si="98"/>
        <v>-91.719168075280081</v>
      </c>
      <c r="T208" s="116">
        <f t="shared" ca="1" si="99"/>
        <v>88.280831924719919</v>
      </c>
      <c r="V208" s="72">
        <f t="shared" ca="1" si="100"/>
        <v>1000000000</v>
      </c>
      <c r="W208" s="72">
        <f t="shared" si="101"/>
        <v>139653306.25</v>
      </c>
      <c r="Y208" s="110">
        <f t="shared" si="102"/>
        <v>22.121936465958999</v>
      </c>
      <c r="Z208" s="111">
        <f t="shared" si="103"/>
        <v>-54.546354411468975</v>
      </c>
      <c r="AA208" s="72">
        <f t="shared" si="104"/>
        <v>125.45364558853103</v>
      </c>
      <c r="AB208" s="110">
        <f t="shared" ca="1" si="105"/>
        <v>2.6435592496724181</v>
      </c>
      <c r="AC208" s="111">
        <f t="shared" ca="1" si="106"/>
        <v>-37.172813663811041</v>
      </c>
      <c r="AD208" s="72">
        <f t="shared" ca="1" si="107"/>
        <v>142.82718633618896</v>
      </c>
    </row>
    <row r="209" spans="1:30">
      <c r="A209" s="118">
        <v>11886</v>
      </c>
      <c r="B209" s="101">
        <f t="shared" ca="1" si="81"/>
        <v>194.53121002430632</v>
      </c>
      <c r="C209" s="102">
        <f t="shared" ca="1" si="82"/>
        <v>1.5656557408490257</v>
      </c>
      <c r="D209" s="102">
        <f t="shared" si="83"/>
        <v>19.853255976501863</v>
      </c>
      <c r="E209" s="103">
        <f t="shared" si="84"/>
        <v>1.5204054320400862</v>
      </c>
      <c r="F209" s="101">
        <f t="shared" si="85"/>
        <v>1613.1302242336869</v>
      </c>
      <c r="G209" s="104">
        <f t="shared" si="86"/>
        <v>1.5701764140011085</v>
      </c>
      <c r="H209" s="113">
        <f t="shared" si="87"/>
        <v>194.18308833772403</v>
      </c>
      <c r="I209" s="114">
        <f t="shared" si="88"/>
        <v>1.5656465249833664</v>
      </c>
      <c r="J209" s="101">
        <f t="shared" si="89"/>
        <v>19.802909817919371</v>
      </c>
      <c r="K209" s="104">
        <f t="shared" si="90"/>
        <v>1.5202772112006095</v>
      </c>
      <c r="L209" s="102">
        <f t="shared" si="91"/>
        <v>1.3206203343102019</v>
      </c>
      <c r="M209" s="103">
        <f t="shared" si="92"/>
        <v>0.71175015972690758</v>
      </c>
      <c r="N209" s="101">
        <f t="shared" si="93"/>
        <v>1.0094787637812279</v>
      </c>
      <c r="O209" s="104">
        <f t="shared" si="94"/>
        <v>0.13714584912331959</v>
      </c>
      <c r="P209" s="105">
        <f t="shared" ca="1" si="95"/>
        <v>1.1995024854430387</v>
      </c>
      <c r="Q209" s="106">
        <f t="shared" ca="1" si="96"/>
        <v>0.60605603445737566</v>
      </c>
      <c r="R209" s="107">
        <f t="shared" ca="1" si="97"/>
        <v>8.8028508362582052</v>
      </c>
      <c r="S209" s="108">
        <f t="shared" ca="1" si="98"/>
        <v>-91.759714270592696</v>
      </c>
      <c r="T209" s="116">
        <f t="shared" ca="1" si="99"/>
        <v>88.240285729407304</v>
      </c>
      <c r="V209" s="72">
        <f t="shared" ca="1" si="100"/>
        <v>1000000000</v>
      </c>
      <c r="W209" s="72">
        <f t="shared" si="101"/>
        <v>141276996</v>
      </c>
      <c r="Y209" s="110">
        <f t="shared" si="102"/>
        <v>22.092274827159027</v>
      </c>
      <c r="Z209" s="111">
        <f t="shared" si="103"/>
        <v>-54.442609588693003</v>
      </c>
      <c r="AA209" s="72">
        <f t="shared" si="104"/>
        <v>125.557390411307</v>
      </c>
      <c r="AB209" s="110">
        <f t="shared" ca="1" si="105"/>
        <v>2.6281763559806848</v>
      </c>
      <c r="AC209" s="111">
        <f t="shared" ca="1" si="106"/>
        <v>-37.317104681899721</v>
      </c>
      <c r="AD209" s="72">
        <f t="shared" ca="1" si="107"/>
        <v>142.68289531810029</v>
      </c>
    </row>
    <row r="210" spans="1:30">
      <c r="A210" s="118">
        <v>11954.5</v>
      </c>
      <c r="B210" s="101">
        <f t="shared" ca="1" si="81"/>
        <v>195.65227991888068</v>
      </c>
      <c r="C210" s="102">
        <f t="shared" ca="1" si="82"/>
        <v>1.5656851961994824</v>
      </c>
      <c r="D210" s="102">
        <f t="shared" si="83"/>
        <v>19.967382476506167</v>
      </c>
      <c r="E210" s="103">
        <f t="shared" si="84"/>
        <v>1.520693690519701</v>
      </c>
      <c r="F210" s="101">
        <f t="shared" si="85"/>
        <v>1622.4268234274984</v>
      </c>
      <c r="G210" s="104">
        <f t="shared" si="86"/>
        <v>1.5701799661375917</v>
      </c>
      <c r="H210" s="113">
        <f t="shared" si="87"/>
        <v>195.30215192529849</v>
      </c>
      <c r="I210" s="114">
        <f t="shared" si="88"/>
        <v>1.5656760331385127</v>
      </c>
      <c r="J210" s="101">
        <f t="shared" si="89"/>
        <v>19.916745432943703</v>
      </c>
      <c r="K210" s="104">
        <f t="shared" si="90"/>
        <v>1.5205662006877012</v>
      </c>
      <c r="L210" s="102">
        <f t="shared" si="91"/>
        <v>1.3238726090251687</v>
      </c>
      <c r="M210" s="103">
        <f t="shared" si="92"/>
        <v>0.71459349997107757</v>
      </c>
      <c r="N210" s="101">
        <f t="shared" si="93"/>
        <v>1.0095878120966666</v>
      </c>
      <c r="O210" s="104">
        <f t="shared" si="94"/>
        <v>0.13792627410714833</v>
      </c>
      <c r="P210" s="105">
        <f t="shared" ca="1" si="95"/>
        <v>1.201615942574225</v>
      </c>
      <c r="Q210" s="106">
        <f t="shared" ca="1" si="96"/>
        <v>0.60882686745287484</v>
      </c>
      <c r="R210" s="107">
        <f t="shared" ca="1" si="97"/>
        <v>8.7580731873621289</v>
      </c>
      <c r="S210" s="108">
        <f t="shared" ca="1" si="98"/>
        <v>-91.800517349692484</v>
      </c>
      <c r="T210" s="116">
        <f t="shared" ca="1" si="99"/>
        <v>88.199482650307516</v>
      </c>
      <c r="V210" s="72">
        <f t="shared" ca="1" si="100"/>
        <v>1000000000</v>
      </c>
      <c r="W210" s="72">
        <f t="shared" si="101"/>
        <v>142910070.25</v>
      </c>
      <c r="Y210" s="110">
        <f t="shared" si="102"/>
        <v>22.062912370906702</v>
      </c>
      <c r="Z210" s="111">
        <f t="shared" si="103"/>
        <v>-54.339483958276112</v>
      </c>
      <c r="AA210" s="72">
        <f t="shared" si="104"/>
        <v>125.66051604172389</v>
      </c>
      <c r="AB210" s="110">
        <f t="shared" ca="1" si="105"/>
        <v>2.6127611633369336</v>
      </c>
      <c r="AC210" s="111">
        <f t="shared" ca="1" si="106"/>
        <v>-37.461033391416322</v>
      </c>
      <c r="AD210" s="72">
        <f t="shared" ca="1" si="107"/>
        <v>142.53896660858368</v>
      </c>
    </row>
    <row r="211" spans="1:30">
      <c r="A211" s="118">
        <v>12023</v>
      </c>
      <c r="B211" s="101">
        <f t="shared" ca="1" si="81"/>
        <v>196.77334998127222</v>
      </c>
      <c r="C211" s="102">
        <f t="shared" ca="1" si="82"/>
        <v>1.5657143159200471</v>
      </c>
      <c r="D211" s="102">
        <f t="shared" si="83"/>
        <v>20.081510616800699</v>
      </c>
      <c r="E211" s="103">
        <f t="shared" si="84"/>
        <v>1.5209786725357757</v>
      </c>
      <c r="F211" s="101">
        <f t="shared" si="85"/>
        <v>1631.7234226415483</v>
      </c>
      <c r="G211" s="104">
        <f t="shared" si="86"/>
        <v>1.5701834777981112</v>
      </c>
      <c r="H211" s="113">
        <f t="shared" si="87"/>
        <v>196.42121568099094</v>
      </c>
      <c r="I211" s="114">
        <f t="shared" si="88"/>
        <v>1.5657052050621136</v>
      </c>
      <c r="J211" s="101">
        <f t="shared" si="89"/>
        <v>20.030582692407545</v>
      </c>
      <c r="K211" s="104">
        <f t="shared" si="90"/>
        <v>1.520851905444137</v>
      </c>
      <c r="L211" s="102">
        <f t="shared" si="91"/>
        <v>1.327135534191493</v>
      </c>
      <c r="M211" s="103">
        <f t="shared" si="92"/>
        <v>0.7174228815960263</v>
      </c>
      <c r="N211" s="101">
        <f t="shared" si="93"/>
        <v>1.0096974751818051</v>
      </c>
      <c r="O211" s="104">
        <f t="shared" si="94"/>
        <v>0.13870653004244513</v>
      </c>
      <c r="P211" s="105">
        <f t="shared" ca="1" si="95"/>
        <v>1.2037378243503163</v>
      </c>
      <c r="Q211" s="106">
        <f t="shared" ca="1" si="96"/>
        <v>0.61158839714356195</v>
      </c>
      <c r="R211" s="107">
        <f t="shared" ca="1" si="97"/>
        <v>8.7135588991136999</v>
      </c>
      <c r="S211" s="108">
        <f t="shared" ca="1" si="98"/>
        <v>-91.841574714592511</v>
      </c>
      <c r="T211" s="116">
        <f t="shared" ca="1" si="99"/>
        <v>88.158425285407489</v>
      </c>
      <c r="V211" s="72">
        <f t="shared" ca="1" si="100"/>
        <v>1000000000</v>
      </c>
      <c r="W211" s="72">
        <f t="shared" si="101"/>
        <v>144552529</v>
      </c>
      <c r="Y211" s="110">
        <f t="shared" si="102"/>
        <v>22.033845075512033</v>
      </c>
      <c r="Z211" s="111">
        <f t="shared" si="103"/>
        <v>-54.236977156404926</v>
      </c>
      <c r="AA211" s="72">
        <f t="shared" si="104"/>
        <v>125.76302284359508</v>
      </c>
      <c r="AB211" s="110">
        <f t="shared" ca="1" si="105"/>
        <v>2.5973141704831706</v>
      </c>
      <c r="AC211" s="111">
        <f t="shared" ca="1" si="106"/>
        <v>-37.604597558187564</v>
      </c>
      <c r="AD211" s="72">
        <f t="shared" ca="1" si="107"/>
        <v>142.39540244181245</v>
      </c>
    </row>
    <row r="212" spans="1:30">
      <c r="A212" s="118">
        <v>12093</v>
      </c>
      <c r="B212" s="101">
        <f t="shared" ca="1" si="81"/>
        <v>197.91896919353422</v>
      </c>
      <c r="C212" s="102">
        <f t="shared" ca="1" si="82"/>
        <v>1.5657437324989973</v>
      </c>
      <c r="D212" s="102">
        <f t="shared" si="83"/>
        <v>20.198139579079019</v>
      </c>
      <c r="E212" s="103">
        <f t="shared" si="84"/>
        <v>1.5212665679127606</v>
      </c>
      <c r="F212" s="101">
        <f t="shared" si="85"/>
        <v>1641.2235970414185</v>
      </c>
      <c r="G212" s="104">
        <f t="shared" si="86"/>
        <v>1.5701870252568995</v>
      </c>
      <c r="H212" s="113">
        <f t="shared" si="87"/>
        <v>197.564784653136</v>
      </c>
      <c r="I212" s="114">
        <f t="shared" si="88"/>
        <v>1.5657346743763105</v>
      </c>
      <c r="J212" s="101">
        <f t="shared" si="89"/>
        <v>20.146914408415686</v>
      </c>
      <c r="K212" s="104">
        <f t="shared" si="90"/>
        <v>1.521140530992005</v>
      </c>
      <c r="L212" s="102">
        <f t="shared" si="91"/>
        <v>1.3304808315673367</v>
      </c>
      <c r="M212" s="103">
        <f t="shared" si="92"/>
        <v>0.72029985993206092</v>
      </c>
      <c r="N212" s="101">
        <f t="shared" si="93"/>
        <v>1.0098101745501991</v>
      </c>
      <c r="O212" s="104">
        <f t="shared" si="94"/>
        <v>0.13950369630122894</v>
      </c>
      <c r="P212" s="105">
        <f t="shared" ca="1" si="95"/>
        <v>1.2059148281977821</v>
      </c>
      <c r="Q212" s="106">
        <f t="shared" ca="1" si="96"/>
        <v>0.61440080006168085</v>
      </c>
      <c r="R212" s="107">
        <f t="shared" ca="1" si="97"/>
        <v>8.6683383189867307</v>
      </c>
      <c r="S212" s="108">
        <f t="shared" ca="1" si="98"/>
        <v>-91.883791146551815</v>
      </c>
      <c r="T212" s="116">
        <f t="shared" ca="1" si="99"/>
        <v>88.116208853448185</v>
      </c>
      <c r="V212" s="72">
        <f t="shared" ca="1" si="100"/>
        <v>1000000000</v>
      </c>
      <c r="W212" s="72">
        <f t="shared" si="101"/>
        <v>146240649</v>
      </c>
      <c r="Y212" s="110">
        <f t="shared" si="102"/>
        <v>22.004442079362757</v>
      </c>
      <c r="Z212" s="111">
        <f t="shared" si="103"/>
        <v>-54.132864514919561</v>
      </c>
      <c r="AA212" s="72">
        <f t="shared" si="104"/>
        <v>125.86713548508044</v>
      </c>
      <c r="AB212" s="110">
        <f t="shared" ca="1" si="105"/>
        <v>2.5814965865054744</v>
      </c>
      <c r="AC212" s="111">
        <f t="shared" ca="1" si="106"/>
        <v>-37.750926631632247</v>
      </c>
      <c r="AD212" s="72">
        <f t="shared" ca="1" si="107"/>
        <v>142.24907336836776</v>
      </c>
    </row>
    <row r="213" spans="1:30">
      <c r="A213" s="118">
        <v>12163</v>
      </c>
      <c r="B213" s="101">
        <f t="shared" ca="1" si="81"/>
        <v>199.06458857509114</v>
      </c>
      <c r="C213" s="102">
        <f t="shared" ca="1" si="82"/>
        <v>1.5657728104923583</v>
      </c>
      <c r="D213" s="102">
        <f t="shared" si="83"/>
        <v>20.314770196232477</v>
      </c>
      <c r="E213" s="103">
        <f t="shared" si="84"/>
        <v>1.5215511575985794</v>
      </c>
      <c r="F213" s="101">
        <f t="shared" si="85"/>
        <v>1650.7237714617049</v>
      </c>
      <c r="G213" s="104">
        <f t="shared" si="86"/>
        <v>1.5701905318833234</v>
      </c>
      <c r="H213" s="113">
        <f t="shared" si="87"/>
        <v>198.70835379487954</v>
      </c>
      <c r="I213" s="114">
        <f t="shared" si="88"/>
        <v>1.5657638044979654</v>
      </c>
      <c r="J213" s="101">
        <f t="shared" si="89"/>
        <v>20.263247783485856</v>
      </c>
      <c r="K213" s="104">
        <f t="shared" si="90"/>
        <v>1.5214258425059171</v>
      </c>
      <c r="L213" s="102">
        <f t="shared" si="91"/>
        <v>1.3338370860470514</v>
      </c>
      <c r="M213" s="103">
        <f t="shared" si="92"/>
        <v>0.72316238352508233</v>
      </c>
      <c r="N213" s="101">
        <f t="shared" si="93"/>
        <v>1.009923515483292</v>
      </c>
      <c r="O213" s="104">
        <f t="shared" si="94"/>
        <v>0.14030068413883839</v>
      </c>
      <c r="P213" s="105">
        <f t="shared" ca="1" si="95"/>
        <v>1.2081005367510906</v>
      </c>
      <c r="Q213" s="106">
        <f t="shared" ca="1" si="96"/>
        <v>0.61720351438596266</v>
      </c>
      <c r="R213" s="107">
        <f t="shared" ca="1" si="97"/>
        <v>8.6233855193378108</v>
      </c>
      <c r="S213" s="108">
        <f t="shared" ca="1" si="98"/>
        <v>-91.926267653210587</v>
      </c>
      <c r="T213" s="116">
        <f t="shared" ca="1" si="99"/>
        <v>88.073732346789413</v>
      </c>
      <c r="V213" s="72">
        <f t="shared" ca="1" si="100"/>
        <v>1000000000</v>
      </c>
      <c r="W213" s="72">
        <f t="shared" si="101"/>
        <v>147938569</v>
      </c>
      <c r="Y213" s="110">
        <f t="shared" si="102"/>
        <v>21.975339026331895</v>
      </c>
      <c r="Z213" s="111">
        <f t="shared" si="103"/>
        <v>-54.029397061043412</v>
      </c>
      <c r="AA213" s="72">
        <f t="shared" si="104"/>
        <v>125.97060293895659</v>
      </c>
      <c r="AB213" s="110">
        <f t="shared" ca="1" si="105"/>
        <v>2.5656468398874193</v>
      </c>
      <c r="AC213" s="111">
        <f t="shared" ca="1" si="106"/>
        <v>-37.896870592167133</v>
      </c>
      <c r="AD213" s="72">
        <f t="shared" ca="1" si="107"/>
        <v>142.10312940783285</v>
      </c>
    </row>
    <row r="214" spans="1:30">
      <c r="A214" s="118">
        <v>12233</v>
      </c>
      <c r="B214" s="101">
        <f t="shared" ca="1" si="81"/>
        <v>200.21020812303692</v>
      </c>
      <c r="C214" s="102">
        <f t="shared" ca="1" si="82"/>
        <v>1.5658015557123257</v>
      </c>
      <c r="D214" s="102">
        <f t="shared" si="83"/>
        <v>20.431402439921005</v>
      </c>
      <c r="E214" s="103">
        <f t="shared" si="84"/>
        <v>1.5218324981581457</v>
      </c>
      <c r="F214" s="101">
        <f t="shared" si="85"/>
        <v>1660.2239459020575</v>
      </c>
      <c r="G214" s="104">
        <f t="shared" si="86"/>
        <v>1.5701939983783388</v>
      </c>
      <c r="H214" s="113">
        <f t="shared" si="87"/>
        <v>199.85192310331013</v>
      </c>
      <c r="I214" s="114">
        <f t="shared" si="88"/>
        <v>1.5657926012496914</v>
      </c>
      <c r="J214" s="101">
        <f t="shared" si="89"/>
        <v>20.379582789206641</v>
      </c>
      <c r="K214" s="104">
        <f t="shared" si="90"/>
        <v>1.5217078966926099</v>
      </c>
      <c r="L214" s="102">
        <f t="shared" si="91"/>
        <v>1.3372042151267971</v>
      </c>
      <c r="M214" s="103">
        <f t="shared" si="92"/>
        <v>0.72601051448007747</v>
      </c>
      <c r="N214" s="101">
        <f t="shared" si="93"/>
        <v>1.0100374977651045</v>
      </c>
      <c r="O214" s="104">
        <f t="shared" si="94"/>
        <v>0.14109749260303231</v>
      </c>
      <c r="P214" s="105">
        <f t="shared" ca="1" si="95"/>
        <v>1.2102949032624115</v>
      </c>
      <c r="Q214" s="106">
        <f t="shared" ca="1" si="96"/>
        <v>0.61999655425231137</v>
      </c>
      <c r="R214" s="107">
        <f t="shared" ca="1" si="97"/>
        <v>8.5786969383144402</v>
      </c>
      <c r="S214" s="108">
        <f t="shared" ca="1" si="98"/>
        <v>-91.969001479274084</v>
      </c>
      <c r="T214" s="116">
        <f t="shared" ca="1" si="99"/>
        <v>88.030998520725916</v>
      </c>
      <c r="V214" s="72">
        <f t="shared" ca="1" si="100"/>
        <v>1000000000</v>
      </c>
      <c r="W214" s="72">
        <f t="shared" si="101"/>
        <v>149646289</v>
      </c>
      <c r="Y214" s="110">
        <f t="shared" si="102"/>
        <v>21.946531830089974</v>
      </c>
      <c r="Z214" s="111">
        <f t="shared" si="103"/>
        <v>-53.926574137470766</v>
      </c>
      <c r="AA214" s="72">
        <f t="shared" si="104"/>
        <v>126.07342586252923</v>
      </c>
      <c r="AB214" s="110">
        <f t="shared" ca="1" si="105"/>
        <v>2.5497654551059705</v>
      </c>
      <c r="AC214" s="111">
        <f t="shared" ca="1" si="106"/>
        <v>-38.042427341803347</v>
      </c>
      <c r="AD214" s="72">
        <f t="shared" ca="1" si="107"/>
        <v>141.95757265819665</v>
      </c>
    </row>
    <row r="215" spans="1:30">
      <c r="A215" s="118">
        <v>12303</v>
      </c>
      <c r="B215" s="101">
        <f t="shared" ca="1" si="81"/>
        <v>201.35582783453145</v>
      </c>
      <c r="C215" s="102">
        <f t="shared" ca="1" si="82"/>
        <v>1.5658299738388226</v>
      </c>
      <c r="D215" s="102">
        <f t="shared" si="83"/>
        <v>20.548036282447583</v>
      </c>
      <c r="E215" s="103">
        <f t="shared" si="84"/>
        <v>1.5221106448741726</v>
      </c>
      <c r="F215" s="101">
        <f t="shared" si="85"/>
        <v>1669.7241203621329</v>
      </c>
      <c r="G215" s="104">
        <f t="shared" si="86"/>
        <v>1.5701974254269486</v>
      </c>
      <c r="H215" s="113">
        <f t="shared" si="87"/>
        <v>200.99549257558269</v>
      </c>
      <c r="I215" s="114">
        <f t="shared" si="88"/>
        <v>1.5658210703215936</v>
      </c>
      <c r="J215" s="101">
        <f t="shared" si="89"/>
        <v>20.495919397811289</v>
      </c>
      <c r="K215" s="104">
        <f t="shared" si="90"/>
        <v>1.5219867489734316</v>
      </c>
      <c r="L215" s="102">
        <f t="shared" si="91"/>
        <v>1.3405821368656463</v>
      </c>
      <c r="M215" s="103">
        <f t="shared" si="92"/>
        <v>0.72884431521310789</v>
      </c>
      <c r="N215" s="101">
        <f t="shared" si="93"/>
        <v>1.0101521211785338</v>
      </c>
      <c r="O215" s="104">
        <f t="shared" si="94"/>
        <v>0.14189412074290905</v>
      </c>
      <c r="P215" s="105">
        <f t="shared" ca="1" si="95"/>
        <v>1.212497881138568</v>
      </c>
      <c r="Q215" s="106">
        <f t="shared" ca="1" si="96"/>
        <v>0.62277993424525957</v>
      </c>
      <c r="R215" s="107">
        <f t="shared" ca="1" si="97"/>
        <v>8.5342690777832004</v>
      </c>
      <c r="S215" s="108">
        <f t="shared" ca="1" si="98"/>
        <v>-92.011989876322602</v>
      </c>
      <c r="T215" s="116">
        <f t="shared" ca="1" si="99"/>
        <v>87.988010123677398</v>
      </c>
      <c r="V215" s="72">
        <f t="shared" ca="1" si="100"/>
        <v>1000000000</v>
      </c>
      <c r="W215" s="72">
        <f t="shared" si="101"/>
        <v>151363809</v>
      </c>
      <c r="Y215" s="110">
        <f t="shared" si="102"/>
        <v>21.918016470762268</v>
      </c>
      <c r="Z215" s="111">
        <f t="shared" si="103"/>
        <v>-53.824395002180125</v>
      </c>
      <c r="AA215" s="72">
        <f t="shared" si="104"/>
        <v>126.17560499781987</v>
      </c>
      <c r="AB215" s="110">
        <f t="shared" ca="1" si="105"/>
        <v>2.5338529539024357</v>
      </c>
      <c r="AC215" s="111">
        <f t="shared" ca="1" si="106"/>
        <v>-38.187594874142491</v>
      </c>
      <c r="AD215" s="72">
        <f t="shared" ca="1" si="107"/>
        <v>141.81240512585751</v>
      </c>
    </row>
    <row r="216" spans="1:30">
      <c r="A216" s="118">
        <v>12374.5</v>
      </c>
      <c r="B216" s="101">
        <f t="shared" ca="1" si="81"/>
        <v>202.52599670580125</v>
      </c>
      <c r="C216" s="102">
        <f t="shared" ca="1" si="82"/>
        <v>1.5658586690142269</v>
      </c>
      <c r="D216" s="102">
        <f t="shared" si="83"/>
        <v>20.667171044051379</v>
      </c>
      <c r="E216" s="103">
        <f t="shared" si="84"/>
        <v>1.52239151081849</v>
      </c>
      <c r="F216" s="101">
        <f t="shared" si="85"/>
        <v>1679.4278700092239</v>
      </c>
      <c r="G216" s="104">
        <f t="shared" si="86"/>
        <v>1.5702008858849597</v>
      </c>
      <c r="H216" s="113">
        <f t="shared" si="87"/>
        <v>202.16356727423039</v>
      </c>
      <c r="I216" s="114">
        <f t="shared" si="88"/>
        <v>1.5658498169391002</v>
      </c>
      <c r="J216" s="101">
        <f t="shared" si="89"/>
        <v>20.614750560300717</v>
      </c>
      <c r="K216" s="104">
        <f t="shared" si="90"/>
        <v>1.5222683274193651</v>
      </c>
      <c r="L216" s="102">
        <f t="shared" si="91"/>
        <v>1.3440435000758266</v>
      </c>
      <c r="M216" s="103">
        <f t="shared" si="92"/>
        <v>0.73172411132548976</v>
      </c>
      <c r="N216" s="101">
        <f t="shared" si="93"/>
        <v>1.0102698624676774</v>
      </c>
      <c r="O216" s="104">
        <f t="shared" si="94"/>
        <v>0.14270763233663647</v>
      </c>
      <c r="P216" s="105">
        <f t="shared" ca="1" si="95"/>
        <v>1.2147569075378806</v>
      </c>
      <c r="Q216" s="106">
        <f t="shared" ca="1" si="96"/>
        <v>0.62561300113254248</v>
      </c>
      <c r="R216" s="107">
        <f t="shared" ca="1" si="97"/>
        <v>8.489154780302</v>
      </c>
      <c r="S216" s="108">
        <f t="shared" ca="1" si="98"/>
        <v>-92.056159415459859</v>
      </c>
      <c r="T216" s="116">
        <f t="shared" ca="1" si="99"/>
        <v>87.943840584540141</v>
      </c>
      <c r="V216" s="72">
        <f t="shared" ca="1" si="100"/>
        <v>1000000000</v>
      </c>
      <c r="W216" s="72">
        <f t="shared" si="101"/>
        <v>153128250.25</v>
      </c>
      <c r="Y216" s="110">
        <f t="shared" si="102"/>
        <v>21.889187240831326</v>
      </c>
      <c r="Z216" s="111">
        <f t="shared" si="103"/>
        <v>-53.720690086204151</v>
      </c>
      <c r="AA216" s="72">
        <f t="shared" si="104"/>
        <v>126.27930991379586</v>
      </c>
      <c r="AB216" s="110">
        <f t="shared" ca="1" si="105"/>
        <v>2.5175678863521753</v>
      </c>
      <c r="AC216" s="111">
        <f t="shared" ca="1" si="106"/>
        <v>-38.33546932925573</v>
      </c>
      <c r="AD216" s="72">
        <f t="shared" ca="1" si="107"/>
        <v>141.66453067074428</v>
      </c>
    </row>
    <row r="217" spans="1:30">
      <c r="A217" s="118">
        <v>12446</v>
      </c>
      <c r="B217" s="101">
        <f t="shared" ca="1" si="81"/>
        <v>203.69616574191761</v>
      </c>
      <c r="C217" s="102">
        <f t="shared" ca="1" si="82"/>
        <v>1.5658870345005254</v>
      </c>
      <c r="D217" s="102">
        <f t="shared" si="83"/>
        <v>20.786307417310592</v>
      </c>
      <c r="E217" s="103">
        <f t="shared" si="84"/>
        <v>1.5226691572275777</v>
      </c>
      <c r="F217" s="101">
        <f t="shared" si="85"/>
        <v>1689.1316196761945</v>
      </c>
      <c r="G217" s="104">
        <f t="shared" si="86"/>
        <v>1.5702043065835845</v>
      </c>
      <c r="H217" s="113">
        <f t="shared" si="87"/>
        <v>203.33164213802019</v>
      </c>
      <c r="I217" s="114">
        <f t="shared" si="88"/>
        <v>1.5658782332764931</v>
      </c>
      <c r="J217" s="101">
        <f t="shared" si="89"/>
        <v>20.733583338524468</v>
      </c>
      <c r="K217" s="104">
        <f t="shared" si="90"/>
        <v>1.5225466782010921</v>
      </c>
      <c r="L217" s="102">
        <f t="shared" si="91"/>
        <v>1.3475159524244853</v>
      </c>
      <c r="M217" s="103">
        <f t="shared" si="92"/>
        <v>0.73458908903826103</v>
      </c>
      <c r="N217" s="101">
        <f t="shared" si="93"/>
        <v>1.0103882721984578</v>
      </c>
      <c r="O217" s="104">
        <f t="shared" si="94"/>
        <v>0.14352095379391813</v>
      </c>
      <c r="P217" s="105">
        <f t="shared" ca="1" si="95"/>
        <v>1.2170248205516607</v>
      </c>
      <c r="Q217" s="106">
        <f t="shared" ca="1" si="96"/>
        <v>0.62843602187055581</v>
      </c>
      <c r="R217" s="107">
        <f t="shared" ca="1" si="97"/>
        <v>8.4443053166007402</v>
      </c>
      <c r="S217" s="108">
        <f t="shared" ca="1" si="98"/>
        <v>-92.100588780446074</v>
      </c>
      <c r="T217" s="116">
        <f t="shared" ca="1" si="99"/>
        <v>87.899411219553926</v>
      </c>
      <c r="V217" s="72">
        <f t="shared" ca="1" si="100"/>
        <v>1000000000</v>
      </c>
      <c r="W217" s="72">
        <f t="shared" si="101"/>
        <v>154902916</v>
      </c>
      <c r="Y217" s="110">
        <f t="shared" si="102"/>
        <v>21.860654217573821</v>
      </c>
      <c r="Z217" s="111">
        <f t="shared" si="103"/>
        <v>-53.617655022044715</v>
      </c>
      <c r="AA217" s="72">
        <f t="shared" si="104"/>
        <v>126.38234497795528</v>
      </c>
      <c r="AB217" s="110">
        <f t="shared" ca="1" si="105"/>
        <v>2.5012514459084234</v>
      </c>
      <c r="AC217" s="111">
        <f t="shared" ca="1" si="106"/>
        <v>-38.482933758401352</v>
      </c>
      <c r="AD217" s="72">
        <f t="shared" ca="1" si="107"/>
        <v>141.51706624159866</v>
      </c>
    </row>
    <row r="218" spans="1:30">
      <c r="A218" s="118">
        <v>12517.5</v>
      </c>
      <c r="B218" s="101">
        <f t="shared" ca="1" si="81"/>
        <v>204.86633494005576</v>
      </c>
      <c r="C218" s="102">
        <f t="shared" ca="1" si="82"/>
        <v>1.5659150759470926</v>
      </c>
      <c r="D218" s="102">
        <f t="shared" si="83"/>
        <v>20.905445374671618</v>
      </c>
      <c r="E218" s="103">
        <f t="shared" si="84"/>
        <v>1.5229436391016478</v>
      </c>
      <c r="F218" s="101">
        <f t="shared" si="85"/>
        <v>1698.8353693627039</v>
      </c>
      <c r="G218" s="104">
        <f t="shared" si="86"/>
        <v>1.57020768820414</v>
      </c>
      <c r="H218" s="113">
        <f t="shared" si="87"/>
        <v>204.49971716412225</v>
      </c>
      <c r="I218" s="114">
        <f t="shared" si="88"/>
        <v>1.5659063249932732</v>
      </c>
      <c r="J218" s="101">
        <f t="shared" si="89"/>
        <v>20.85241770485953</v>
      </c>
      <c r="K218" s="104">
        <f t="shared" si="90"/>
        <v>1.5228218564568272</v>
      </c>
      <c r="L218" s="102">
        <f t="shared" si="91"/>
        <v>1.3509994084049144</v>
      </c>
      <c r="M218" s="103">
        <f t="shared" si="92"/>
        <v>0.73743931576275201</v>
      </c>
      <c r="N218" s="101">
        <f t="shared" si="93"/>
        <v>1.0105073501358943</v>
      </c>
      <c r="O218" s="104">
        <f t="shared" si="94"/>
        <v>0.14433408410577273</v>
      </c>
      <c r="P218" s="105">
        <f t="shared" ca="1" si="95"/>
        <v>1.2193015710387825</v>
      </c>
      <c r="Q218" s="106">
        <f t="shared" ca="1" si="96"/>
        <v>0.63124901339766559</v>
      </c>
      <c r="R218" s="107">
        <f t="shared" ca="1" si="97"/>
        <v>8.3997171558316115</v>
      </c>
      <c r="S218" s="108">
        <f t="shared" ca="1" si="98"/>
        <v>-92.145275067946301</v>
      </c>
      <c r="T218" s="116">
        <f t="shared" ca="1" si="99"/>
        <v>87.854724932053699</v>
      </c>
      <c r="V218" s="72">
        <f t="shared" ca="1" si="100"/>
        <v>1000000000</v>
      </c>
      <c r="W218" s="72">
        <f t="shared" si="101"/>
        <v>156687806.25</v>
      </c>
      <c r="Y218" s="110">
        <f t="shared" si="102"/>
        <v>21.832413323337988</v>
      </c>
      <c r="Z218" s="111">
        <f t="shared" si="103"/>
        <v>-53.515288763464817</v>
      </c>
      <c r="AA218" s="72">
        <f t="shared" si="104"/>
        <v>126.48471123653519</v>
      </c>
      <c r="AB218" s="110">
        <f t="shared" ca="1" si="105"/>
        <v>2.4849041793751296</v>
      </c>
      <c r="AC218" s="111">
        <f t="shared" ca="1" si="106"/>
        <v>-38.629986304481534</v>
      </c>
      <c r="AD218" s="72">
        <f t="shared" ca="1" si="107"/>
        <v>141.37001369551848</v>
      </c>
    </row>
    <row r="219" spans="1:30">
      <c r="A219" s="118">
        <v>12589</v>
      </c>
      <c r="B219" s="101">
        <f t="shared" ca="1" si="81"/>
        <v>206.03650429745517</v>
      </c>
      <c r="C219" s="102">
        <f t="shared" ca="1" si="82"/>
        <v>1.5659427988749641</v>
      </c>
      <c r="D219" s="102">
        <f t="shared" si="83"/>
        <v>21.024584889205027</v>
      </c>
      <c r="E219" s="103">
        <f t="shared" si="84"/>
        <v>1.5232150101961712</v>
      </c>
      <c r="F219" s="101">
        <f t="shared" si="85"/>
        <v>1708.5391190684197</v>
      </c>
      <c r="G219" s="104">
        <f t="shared" si="86"/>
        <v>1.5702110314124647</v>
      </c>
      <c r="H219" s="113">
        <f t="shared" si="87"/>
        <v>205.66779234977105</v>
      </c>
      <c r="I219" s="114">
        <f t="shared" si="88"/>
        <v>1.5659340976203728</v>
      </c>
      <c r="J219" s="101">
        <f t="shared" si="89"/>
        <v>20.971253632308642</v>
      </c>
      <c r="K219" s="104">
        <f t="shared" si="90"/>
        <v>1.5230939160769457</v>
      </c>
      <c r="L219" s="102">
        <f t="shared" si="91"/>
        <v>1.3544937831204553</v>
      </c>
      <c r="M219" s="103">
        <f t="shared" si="92"/>
        <v>0.74027485917660885</v>
      </c>
      <c r="N219" s="101">
        <f t="shared" si="93"/>
        <v>1.0106270960437911</v>
      </c>
      <c r="O219" s="104">
        <f t="shared" si="94"/>
        <v>0.14514702226470427</v>
      </c>
      <c r="P219" s="105">
        <f t="shared" ca="1" si="95"/>
        <v>1.2215871100345215</v>
      </c>
      <c r="Q219" s="106">
        <f t="shared" ca="1" si="96"/>
        <v>0.63405199310460458</v>
      </c>
      <c r="R219" s="107">
        <f t="shared" ca="1" si="97"/>
        <v>8.3553868306469941</v>
      </c>
      <c r="S219" s="108">
        <f t="shared" ca="1" si="98"/>
        <v>-92.190215384319657</v>
      </c>
      <c r="T219" s="116">
        <f t="shared" ca="1" si="99"/>
        <v>87.809784615680343</v>
      </c>
      <c r="V219" s="72">
        <f t="shared" ca="1" si="100"/>
        <v>1000000000</v>
      </c>
      <c r="W219" s="72">
        <f t="shared" si="101"/>
        <v>158482921</v>
      </c>
      <c r="Y219" s="110">
        <f t="shared" si="102"/>
        <v>21.804460547184217</v>
      </c>
      <c r="Z219" s="111">
        <f t="shared" si="103"/>
        <v>-53.413590184037353</v>
      </c>
      <c r="AA219" s="72">
        <f t="shared" si="104"/>
        <v>126.58640981596264</v>
      </c>
      <c r="AB219" s="110">
        <f t="shared" ca="1" si="105"/>
        <v>2.4685266303442837</v>
      </c>
      <c r="AC219" s="111">
        <f t="shared" ca="1" si="106"/>
        <v>-38.776625200282268</v>
      </c>
      <c r="AD219" s="72">
        <f t="shared" ca="1" si="107"/>
        <v>141.22337479971773</v>
      </c>
    </row>
    <row r="220" spans="1:30">
      <c r="A220" s="118">
        <v>12662.25</v>
      </c>
      <c r="B220" s="101">
        <f t="shared" ca="1" si="81"/>
        <v>207.23531432593757</v>
      </c>
      <c r="C220" s="102">
        <f t="shared" ca="1" si="82"/>
        <v>1.5659708756689967</v>
      </c>
      <c r="D220" s="102">
        <f t="shared" si="83"/>
        <v>21.146641993134121</v>
      </c>
      <c r="E220" s="103">
        <f t="shared" si="84"/>
        <v>1.5234898522498956</v>
      </c>
      <c r="F220" s="101">
        <f t="shared" si="85"/>
        <v>1718.4803731571387</v>
      </c>
      <c r="G220" s="104">
        <f t="shared" si="86"/>
        <v>1.5702144172938883</v>
      </c>
      <c r="H220" s="113">
        <f t="shared" si="87"/>
        <v>206.86445695084188</v>
      </c>
      <c r="I220" s="114">
        <f t="shared" si="88"/>
        <v>1.5659622247480411</v>
      </c>
      <c r="J220" s="101">
        <f t="shared" si="89"/>
        <v>21.092999722718528</v>
      </c>
      <c r="K220" s="104">
        <f t="shared" si="90"/>
        <v>1.5233694554993145</v>
      </c>
      <c r="L220" s="102">
        <f t="shared" si="91"/>
        <v>1.3580849192415532</v>
      </c>
      <c r="M220" s="103">
        <f t="shared" si="92"/>
        <v>0.74316464823841943</v>
      </c>
      <c r="N220" s="101">
        <f t="shared" si="93"/>
        <v>1.0107504652413009</v>
      </c>
      <c r="O220" s="104">
        <f t="shared" si="94"/>
        <v>0.14597965719465797</v>
      </c>
      <c r="P220" s="105">
        <f t="shared" ca="1" si="95"/>
        <v>1.2239376515881621</v>
      </c>
      <c r="Q220" s="106">
        <f t="shared" ca="1" si="96"/>
        <v>0.63691321347212415</v>
      </c>
      <c r="R220" s="107">
        <f t="shared" ca="1" si="97"/>
        <v>8.3102353166199059</v>
      </c>
      <c r="S220" s="108">
        <f t="shared" ca="1" si="98"/>
        <v>-92.236516055215716</v>
      </c>
      <c r="T220" s="116">
        <f t="shared" ca="1" si="99"/>
        <v>87.763483944784284</v>
      </c>
      <c r="V220" s="72">
        <f t="shared" ca="1" si="100"/>
        <v>1000000000</v>
      </c>
      <c r="W220" s="72">
        <f t="shared" si="101"/>
        <v>160332575.0625</v>
      </c>
      <c r="Y220" s="110">
        <f t="shared" si="102"/>
        <v>21.776118269750327</v>
      </c>
      <c r="Z220" s="111">
        <f t="shared" si="103"/>
        <v>-53.310093611357289</v>
      </c>
      <c r="AA220" s="72">
        <f t="shared" si="104"/>
        <v>126.68990638864271</v>
      </c>
      <c r="AB220" s="110">
        <f t="shared" ca="1" si="105"/>
        <v>2.4517173937510832</v>
      </c>
      <c r="AC220" s="111">
        <f t="shared" ca="1" si="106"/>
        <v>-38.926422443858378</v>
      </c>
      <c r="AD220" s="72">
        <f t="shared" ca="1" si="107"/>
        <v>141.07357755614163</v>
      </c>
    </row>
    <row r="221" spans="1:30">
      <c r="A221" s="118">
        <v>12735.5</v>
      </c>
      <c r="B221" s="101">
        <f t="shared" ca="1" si="81"/>
        <v>208.43412451590567</v>
      </c>
      <c r="C221" s="102">
        <f t="shared" ca="1" si="82"/>
        <v>1.565998629495333</v>
      </c>
      <c r="D221" s="102">
        <f t="shared" si="83"/>
        <v>21.268700676107343</v>
      </c>
      <c r="E221" s="103">
        <f t="shared" si="84"/>
        <v>1.5237615397486286</v>
      </c>
      <c r="F221" s="101">
        <f t="shared" si="85"/>
        <v>1728.4216272653323</v>
      </c>
      <c r="G221" s="104">
        <f t="shared" si="86"/>
        <v>1.5702177642265889</v>
      </c>
      <c r="H221" s="113">
        <f t="shared" si="87"/>
        <v>208.06112171368795</v>
      </c>
      <c r="I221" s="114">
        <f t="shared" si="88"/>
        <v>1.5659900283290513</v>
      </c>
      <c r="J221" s="101">
        <f t="shared" si="89"/>
        <v>21.214747396170189</v>
      </c>
      <c r="K221" s="104">
        <f t="shared" si="90"/>
        <v>1.5236418323983942</v>
      </c>
      <c r="L221" s="102">
        <f t="shared" si="91"/>
        <v>1.3616873366932551</v>
      </c>
      <c r="M221" s="103">
        <f t="shared" si="92"/>
        <v>0.74603917101311834</v>
      </c>
      <c r="N221" s="101">
        <f t="shared" si="93"/>
        <v>1.0108745350015083</v>
      </c>
      <c r="O221" s="104">
        <f t="shared" si="94"/>
        <v>0.14681208831458412</v>
      </c>
      <c r="P221" s="105">
        <f t="shared" ca="1" si="95"/>
        <v>1.2262973136578827</v>
      </c>
      <c r="Q221" s="106">
        <f t="shared" ca="1" si="96"/>
        <v>0.63976396430142912</v>
      </c>
      <c r="R221" s="107">
        <f t="shared" ca="1" si="97"/>
        <v>8.2653472449462235</v>
      </c>
      <c r="S221" s="108">
        <f t="shared" ca="1" si="98"/>
        <v>-92.28307722714959</v>
      </c>
      <c r="T221" s="116">
        <f t="shared" ca="1" si="99"/>
        <v>87.71692277285041</v>
      </c>
      <c r="V221" s="72">
        <f t="shared" ca="1" si="100"/>
        <v>1000000000</v>
      </c>
      <c r="W221" s="72">
        <f t="shared" si="101"/>
        <v>162192960.25</v>
      </c>
      <c r="Y221" s="110">
        <f t="shared" si="102"/>
        <v>21.748070073204993</v>
      </c>
      <c r="Z221" s="111">
        <f t="shared" si="103"/>
        <v>-53.207295162067425</v>
      </c>
      <c r="AA221" s="72">
        <f t="shared" si="104"/>
        <v>126.79270483793258</v>
      </c>
      <c r="AB221" s="110">
        <f t="shared" ca="1" si="105"/>
        <v>2.4348775186227347</v>
      </c>
      <c r="AC221" s="111">
        <f t="shared" ca="1" si="106"/>
        <v>-39.07578206508218</v>
      </c>
      <c r="AD221" s="72">
        <f t="shared" ca="1" si="107"/>
        <v>140.92421793491781</v>
      </c>
    </row>
    <row r="222" spans="1:30">
      <c r="A222" s="118">
        <v>12808.75</v>
      </c>
      <c r="B222" s="101">
        <f t="shared" ca="1" si="81"/>
        <v>209.63293486458912</v>
      </c>
      <c r="C222" s="102">
        <f t="shared" ca="1" si="82"/>
        <v>1.5660260658947147</v>
      </c>
      <c r="D222" s="102">
        <f t="shared" si="83"/>
        <v>21.390760911093949</v>
      </c>
      <c r="E222" s="103">
        <f t="shared" si="84"/>
        <v>1.5240301266536007</v>
      </c>
      <c r="F222" s="101">
        <f t="shared" si="85"/>
        <v>1738.3628813926662</v>
      </c>
      <c r="G222" s="104">
        <f t="shared" si="86"/>
        <v>1.57022107287878</v>
      </c>
      <c r="H222" s="113">
        <f t="shared" si="87"/>
        <v>209.25778663553382</v>
      </c>
      <c r="I222" s="114">
        <f t="shared" si="88"/>
        <v>1.5660175139140775</v>
      </c>
      <c r="J222" s="101">
        <f t="shared" si="89"/>
        <v>21.336496625564756</v>
      </c>
      <c r="K222" s="104">
        <f t="shared" si="90"/>
        <v>1.5239111008709074</v>
      </c>
      <c r="L222" s="102">
        <f t="shared" si="91"/>
        <v>1.365300946176434</v>
      </c>
      <c r="M222" s="103">
        <f t="shared" si="92"/>
        <v>0.74889850102719957</v>
      </c>
      <c r="N222" s="101">
        <f t="shared" si="93"/>
        <v>1.0109993050664945</v>
      </c>
      <c r="O222" s="104">
        <f t="shared" si="94"/>
        <v>0.14764431454607843</v>
      </c>
      <c r="P222" s="105">
        <f t="shared" ca="1" si="95"/>
        <v>1.2286660441830883</v>
      </c>
      <c r="Q222" s="106">
        <f t="shared" ca="1" si="96"/>
        <v>0.64260426571025675</v>
      </c>
      <c r="R222" s="107">
        <f t="shared" ca="1" si="97"/>
        <v>8.2207190857731547</v>
      </c>
      <c r="S222" s="108">
        <f t="shared" ca="1" si="98"/>
        <v>-92.329895823716896</v>
      </c>
      <c r="T222" s="116">
        <f t="shared" ca="1" si="99"/>
        <v>87.670104176283104</v>
      </c>
      <c r="V222" s="72">
        <f t="shared" ca="1" si="100"/>
        <v>1000000000</v>
      </c>
      <c r="W222" s="72">
        <f t="shared" si="101"/>
        <v>164064076.5625</v>
      </c>
      <c r="Y222" s="110">
        <f t="shared" si="102"/>
        <v>21.720311854020533</v>
      </c>
      <c r="Z222" s="111">
        <f t="shared" si="103"/>
        <v>-53.105193381391466</v>
      </c>
      <c r="AA222" s="72">
        <f t="shared" si="104"/>
        <v>126.89480661860853</v>
      </c>
      <c r="AB222" s="110">
        <f t="shared" ca="1" si="105"/>
        <v>2.4180075786341226</v>
      </c>
      <c r="AC222" s="111">
        <f t="shared" ca="1" si="106"/>
        <v>-39.224702442325459</v>
      </c>
      <c r="AD222" s="72">
        <f t="shared" ca="1" si="107"/>
        <v>140.77529755767455</v>
      </c>
    </row>
    <row r="223" spans="1:30">
      <c r="A223" s="118">
        <v>12882</v>
      </c>
      <c r="B223" s="101">
        <f t="shared" ca="1" si="81"/>
        <v>210.83174536928038</v>
      </c>
      <c r="C223" s="102">
        <f t="shared" ca="1" si="82"/>
        <v>1.5660531902818653</v>
      </c>
      <c r="D223" s="102">
        <f t="shared" si="83"/>
        <v>21.512822671676332</v>
      </c>
      <c r="E223" s="103">
        <f t="shared" si="84"/>
        <v>1.5242956657031719</v>
      </c>
      <c r="F223" s="101">
        <f t="shared" si="85"/>
        <v>1748.3041355388134</v>
      </c>
      <c r="G223" s="104">
        <f t="shared" si="86"/>
        <v>1.5702243439034764</v>
      </c>
      <c r="H223" s="113">
        <f t="shared" si="87"/>
        <v>210.45445171366728</v>
      </c>
      <c r="I223" s="114">
        <f t="shared" si="88"/>
        <v>1.5660446869275488</v>
      </c>
      <c r="J223" s="101">
        <f t="shared" si="89"/>
        <v>21.458247384418023</v>
      </c>
      <c r="K223" s="104">
        <f t="shared" si="90"/>
        <v>1.5241773137876582</v>
      </c>
      <c r="L223" s="102">
        <f t="shared" si="91"/>
        <v>1.3689256590588925</v>
      </c>
      <c r="M223" s="103">
        <f t="shared" si="92"/>
        <v>0.75174271202571374</v>
      </c>
      <c r="N223" s="101">
        <f t="shared" si="93"/>
        <v>1.0111247751770123</v>
      </c>
      <c r="O223" s="104">
        <f t="shared" si="94"/>
        <v>0.14847633481240272</v>
      </c>
      <c r="P223" s="105">
        <f t="shared" ca="1" si="95"/>
        <v>1.2310437913055061</v>
      </c>
      <c r="Q223" s="106">
        <f t="shared" ca="1" si="96"/>
        <v>0.64543413827536722</v>
      </c>
      <c r="R223" s="107">
        <f t="shared" ca="1" si="97"/>
        <v>8.1763473732664878</v>
      </c>
      <c r="S223" s="108">
        <f t="shared" ca="1" si="98"/>
        <v>-92.37696878135371</v>
      </c>
      <c r="T223" s="116">
        <f t="shared" ca="1" si="99"/>
        <v>87.62303121864629</v>
      </c>
      <c r="V223" s="72">
        <f t="shared" ca="1" si="100"/>
        <v>1000000000</v>
      </c>
      <c r="W223" s="72">
        <f t="shared" si="101"/>
        <v>165945924</v>
      </c>
      <c r="Y223" s="110">
        <f t="shared" si="102"/>
        <v>21.692839576437866</v>
      </c>
      <c r="Z223" s="111">
        <f t="shared" si="103"/>
        <v>-53.003786738248671</v>
      </c>
      <c r="AA223" s="72">
        <f t="shared" si="104"/>
        <v>126.99621326175134</v>
      </c>
      <c r="AB223" s="110">
        <f t="shared" ca="1" si="105"/>
        <v>2.4011081437101272</v>
      </c>
      <c r="AC223" s="111">
        <f t="shared" ca="1" si="106"/>
        <v>-39.373182043105082</v>
      </c>
      <c r="AD223" s="72">
        <f t="shared" ca="1" si="107"/>
        <v>140.62681795689491</v>
      </c>
    </row>
    <row r="224" spans="1:30">
      <c r="A224" s="118">
        <v>12957.25</v>
      </c>
      <c r="B224" s="101">
        <f t="shared" ca="1" si="81"/>
        <v>212.06328806107882</v>
      </c>
      <c r="C224" s="102">
        <f t="shared" ca="1" si="82"/>
        <v>1.566080735919712</v>
      </c>
      <c r="D224" s="102">
        <f t="shared" si="83"/>
        <v>21.638218738091663</v>
      </c>
      <c r="E224" s="103">
        <f t="shared" si="84"/>
        <v>1.5245653353079873</v>
      </c>
      <c r="F224" s="101">
        <f t="shared" si="85"/>
        <v>1758.5168232645212</v>
      </c>
      <c r="G224" s="104">
        <f t="shared" si="86"/>
        <v>1.5702276657274186</v>
      </c>
      <c r="H224" s="113">
        <f t="shared" si="87"/>
        <v>211.68379040099455</v>
      </c>
      <c r="I224" s="114">
        <f t="shared" si="88"/>
        <v>1.5660722819469248</v>
      </c>
      <c r="J224" s="101">
        <f t="shared" si="89"/>
        <v>21.583323961543631</v>
      </c>
      <c r="K224" s="104">
        <f t="shared" si="90"/>
        <v>1.524447667776192</v>
      </c>
      <c r="L224" s="102">
        <f t="shared" si="91"/>
        <v>1.372660810064642</v>
      </c>
      <c r="M224" s="103">
        <f t="shared" si="92"/>
        <v>0.75464891450636284</v>
      </c>
      <c r="N224" s="101">
        <f t="shared" si="93"/>
        <v>1.011254399796053</v>
      </c>
      <c r="O224" s="104">
        <f t="shared" si="94"/>
        <v>0.14933085674857435</v>
      </c>
      <c r="P224" s="105">
        <f t="shared" ca="1" si="95"/>
        <v>1.2334957948126763</v>
      </c>
      <c r="Q224" s="106">
        <f t="shared" ca="1" si="96"/>
        <v>0.64833043923214473</v>
      </c>
      <c r="R224" s="107">
        <f t="shared" ca="1" si="97"/>
        <v>8.1310276159358015</v>
      </c>
      <c r="S224" s="108">
        <f t="shared" ca="1" si="98"/>
        <v>-92.425588675762242</v>
      </c>
      <c r="T224" s="116">
        <f t="shared" ca="1" si="99"/>
        <v>87.574411324237758</v>
      </c>
      <c r="V224" s="72">
        <f t="shared" ca="1" si="100"/>
        <v>1000000000</v>
      </c>
      <c r="W224" s="72">
        <f t="shared" si="101"/>
        <v>167890327.5625</v>
      </c>
      <c r="Y224" s="110">
        <f t="shared" si="102"/>
        <v>21.664910791098983</v>
      </c>
      <c r="Z224" s="111">
        <f t="shared" si="103"/>
        <v>-52.900333492886631</v>
      </c>
      <c r="AA224" s="72">
        <f t="shared" si="104"/>
        <v>127.09966650711337</v>
      </c>
      <c r="AB224" s="110">
        <f t="shared" ca="1" si="105"/>
        <v>2.383717171718323</v>
      </c>
      <c r="AC224" s="111">
        <f t="shared" ca="1" si="106"/>
        <v>-39.525255182875625</v>
      </c>
      <c r="AD224" s="72">
        <f t="shared" ca="1" si="107"/>
        <v>140.47474481712436</v>
      </c>
    </row>
    <row r="225" spans="1:30">
      <c r="A225" s="118">
        <v>13032.5</v>
      </c>
      <c r="B225" s="101">
        <f t="shared" ca="1" si="81"/>
        <v>213.29483091192472</v>
      </c>
      <c r="C225" s="102">
        <f t="shared" ca="1" si="82"/>
        <v>1.566107963466107</v>
      </c>
      <c r="D225" s="102">
        <f t="shared" si="83"/>
        <v>21.763616359941942</v>
      </c>
      <c r="E225" s="103">
        <f t="shared" si="84"/>
        <v>1.5248318973669199</v>
      </c>
      <c r="F225" s="101">
        <f t="shared" si="85"/>
        <v>1768.7295110094096</v>
      </c>
      <c r="G225" s="104">
        <f t="shared" si="86"/>
        <v>1.570230949190774</v>
      </c>
      <c r="H225" s="113">
        <f t="shared" si="87"/>
        <v>212.91312924765444</v>
      </c>
      <c r="I225" s="114">
        <f t="shared" si="88"/>
        <v>1.5660995583046267</v>
      </c>
      <c r="J225" s="101">
        <f t="shared" si="89"/>
        <v>21.708402098043258</v>
      </c>
      <c r="K225" s="104">
        <f t="shared" si="90"/>
        <v>1.5247149063660936</v>
      </c>
      <c r="L225" s="102">
        <f t="shared" si="91"/>
        <v>1.3764074916017839</v>
      </c>
      <c r="M225" s="103">
        <f t="shared" si="92"/>
        <v>0.75753931949887965</v>
      </c>
      <c r="N225" s="101">
        <f t="shared" si="93"/>
        <v>1.0113847626512871</v>
      </c>
      <c r="O225" s="104">
        <f t="shared" si="94"/>
        <v>0.15018515902051716</v>
      </c>
      <c r="P225" s="105">
        <f t="shared" ca="1" si="95"/>
        <v>1.2359572037251643</v>
      </c>
      <c r="Q225" s="106">
        <f t="shared" ca="1" si="96"/>
        <v>0.65121577954823084</v>
      </c>
      <c r="R225" s="107">
        <f t="shared" ca="1" si="97"/>
        <v>8.085971286695262</v>
      </c>
      <c r="S225" s="108">
        <f t="shared" ca="1" si="98"/>
        <v>-92.474470500124625</v>
      </c>
      <c r="T225" s="116">
        <f t="shared" ca="1" si="99"/>
        <v>87.525529499875375</v>
      </c>
      <c r="V225" s="72">
        <f t="shared" ca="1" si="100"/>
        <v>1000000000</v>
      </c>
      <c r="W225" s="72">
        <f t="shared" si="101"/>
        <v>169846056.25</v>
      </c>
      <c r="Y225" s="110">
        <f t="shared" si="102"/>
        <v>21.637275354413301</v>
      </c>
      <c r="Z225" s="111">
        <f t="shared" si="103"/>
        <v>-52.797610351965311</v>
      </c>
      <c r="AA225" s="72">
        <f t="shared" si="104"/>
        <v>127.20238964803468</v>
      </c>
      <c r="AB225" s="110">
        <f t="shared" ca="1" si="105"/>
        <v>2.3662962791634654</v>
      </c>
      <c r="AC225" s="111">
        <f t="shared" ca="1" si="106"/>
        <v>-39.676860148159321</v>
      </c>
      <c r="AD225" s="72">
        <f t="shared" ca="1" si="107"/>
        <v>140.32313985184066</v>
      </c>
    </row>
    <row r="226" spans="1:30">
      <c r="A226" s="118">
        <v>13107.75</v>
      </c>
      <c r="B226" s="101">
        <f t="shared" ca="1" si="81"/>
        <v>214.52637391907894</v>
      </c>
      <c r="C226" s="102">
        <f t="shared" ca="1" si="82"/>
        <v>1.5661348783992637</v>
      </c>
      <c r="D226" s="102">
        <f t="shared" si="83"/>
        <v>21.889015510494875</v>
      </c>
      <c r="E226" s="103">
        <f t="shared" si="84"/>
        <v>1.525095405249864</v>
      </c>
      <c r="F226" s="101">
        <f t="shared" si="85"/>
        <v>1778.9421987731478</v>
      </c>
      <c r="G226" s="104">
        <f t="shared" si="86"/>
        <v>1.5702341949542133</v>
      </c>
      <c r="H226" s="113">
        <f t="shared" si="87"/>
        <v>214.14246825090288</v>
      </c>
      <c r="I226" s="114">
        <f t="shared" si="88"/>
        <v>1.5661265214886873</v>
      </c>
      <c r="J226" s="101">
        <f t="shared" si="89"/>
        <v>21.83348176711721</v>
      </c>
      <c r="K226" s="104">
        <f t="shared" si="90"/>
        <v>1.5249790830613561</v>
      </c>
      <c r="L226" s="102">
        <f t="shared" si="91"/>
        <v>1.380165609765875</v>
      </c>
      <c r="M226" s="103">
        <f t="shared" si="92"/>
        <v>0.76041400755837973</v>
      </c>
      <c r="N226" s="101">
        <f t="shared" si="93"/>
        <v>1.0115158634572858</v>
      </c>
      <c r="O226" s="104">
        <f t="shared" si="94"/>
        <v>0.15103924046640849</v>
      </c>
      <c r="P226" s="105">
        <f t="shared" ca="1" si="95"/>
        <v>1.2384279624990229</v>
      </c>
      <c r="Q226" s="106">
        <f t="shared" ca="1" si="96"/>
        <v>0.65409018298116872</v>
      </c>
      <c r="R226" s="107">
        <f t="shared" ca="1" si="97"/>
        <v>8.0411748298702204</v>
      </c>
      <c r="S226" s="108">
        <f t="shared" ca="1" si="98"/>
        <v>-92.523610978586404</v>
      </c>
      <c r="T226" s="116">
        <f t="shared" ca="1" si="99"/>
        <v>87.476389021413596</v>
      </c>
      <c r="V226" s="72">
        <f t="shared" ca="1" si="100"/>
        <v>1000000000</v>
      </c>
      <c r="W226" s="72">
        <f t="shared" si="101"/>
        <v>171813110.0625</v>
      </c>
      <c r="Y226" s="110">
        <f t="shared" si="102"/>
        <v>21.609929105470243</v>
      </c>
      <c r="Z226" s="111">
        <f t="shared" si="103"/>
        <v>-52.695615422414463</v>
      </c>
      <c r="AA226" s="72">
        <f t="shared" si="104"/>
        <v>127.30438457758554</v>
      </c>
      <c r="AB226" s="110">
        <f t="shared" ca="1" si="105"/>
        <v>2.3488460712814843</v>
      </c>
      <c r="AC226" s="111">
        <f t="shared" ca="1" si="106"/>
        <v>-39.827995556171899</v>
      </c>
      <c r="AD226" s="72">
        <f t="shared" ca="1" si="107"/>
        <v>140.17200444382809</v>
      </c>
    </row>
    <row r="227" spans="1:30">
      <c r="A227" s="118">
        <v>13183</v>
      </c>
      <c r="B227" s="101">
        <f t="shared" ca="1" si="81"/>
        <v>215.75791707986488</v>
      </c>
      <c r="C227" s="102">
        <f t="shared" ca="1" si="82"/>
        <v>1.5661614860723185</v>
      </c>
      <c r="D227" s="102">
        <f t="shared" si="83"/>
        <v>22.014416163626951</v>
      </c>
      <c r="E227" s="103">
        <f t="shared" si="84"/>
        <v>1.5253559111123902</v>
      </c>
      <c r="F227" s="101">
        <f t="shared" si="85"/>
        <v>1789.1548865554132</v>
      </c>
      <c r="G227" s="104">
        <f t="shared" si="86"/>
        <v>1.5702374036633218</v>
      </c>
      <c r="H227" s="113">
        <f t="shared" si="87"/>
        <v>215.37180740805843</v>
      </c>
      <c r="I227" s="114">
        <f t="shared" si="88"/>
        <v>1.5661531768618389</v>
      </c>
      <c r="J227" s="101">
        <f t="shared" si="89"/>
        <v>21.95856294257608</v>
      </c>
      <c r="K227" s="104">
        <f t="shared" si="90"/>
        <v>1.5252402501486182</v>
      </c>
      <c r="L227" s="102">
        <f t="shared" si="91"/>
        <v>1.3839350713873837</v>
      </c>
      <c r="M227" s="103">
        <f t="shared" si="92"/>
        <v>0.76327305940538914</v>
      </c>
      <c r="N227" s="101">
        <f t="shared" si="93"/>
        <v>1.011647701927153</v>
      </c>
      <c r="O227" s="104">
        <f t="shared" si="94"/>
        <v>0.15189309992631489</v>
      </c>
      <c r="P227" s="105">
        <f t="shared" ca="1" si="95"/>
        <v>1.2409080158235926</v>
      </c>
      <c r="Q227" s="106">
        <f t="shared" ca="1" si="96"/>
        <v>0.65695367375642355</v>
      </c>
      <c r="R227" s="107">
        <f t="shared" ca="1" si="97"/>
        <v>7.9966347550004429</v>
      </c>
      <c r="S227" s="108">
        <f t="shared" ca="1" si="98"/>
        <v>-92.573006851708868</v>
      </c>
      <c r="T227" s="116">
        <f t="shared" ca="1" si="99"/>
        <v>87.426993148291132</v>
      </c>
      <c r="V227" s="72">
        <f t="shared" ca="1" si="100"/>
        <v>1000000000</v>
      </c>
      <c r="W227" s="72">
        <f t="shared" si="101"/>
        <v>173791489</v>
      </c>
      <c r="Y227" s="110">
        <f t="shared" si="102"/>
        <v>21.582867952939662</v>
      </c>
      <c r="Z227" s="111">
        <f t="shared" si="103"/>
        <v>-52.594346738360521</v>
      </c>
      <c r="AA227" s="72">
        <f t="shared" si="104"/>
        <v>127.40565326163949</v>
      </c>
      <c r="AB227" s="110">
        <f t="shared" ca="1" si="105"/>
        <v>2.3313671489422823</v>
      </c>
      <c r="AC227" s="111">
        <f t="shared" ca="1" si="106"/>
        <v>-39.978660113348347</v>
      </c>
      <c r="AD227" s="72">
        <f t="shared" ca="1" si="107"/>
        <v>140.02133988665165</v>
      </c>
    </row>
    <row r="228" spans="1:30">
      <c r="A228" s="118">
        <v>13259.75</v>
      </c>
      <c r="B228" s="101">
        <f t="shared" ca="1" si="81"/>
        <v>217.0140094292999</v>
      </c>
      <c r="C228" s="102">
        <f t="shared" ca="1" si="82"/>
        <v>1.5661883130468273</v>
      </c>
      <c r="D228" s="102">
        <f t="shared" si="83"/>
        <v>22.142318018885405</v>
      </c>
      <c r="E228" s="103">
        <f t="shared" si="84"/>
        <v>1.5256185702573815</v>
      </c>
      <c r="F228" s="101">
        <f t="shared" si="85"/>
        <v>1799.5711495281757</v>
      </c>
      <c r="G228" s="104">
        <f t="shared" si="86"/>
        <v>1.5702406388179433</v>
      </c>
      <c r="H228" s="113">
        <f t="shared" si="87"/>
        <v>216.62565182051469</v>
      </c>
      <c r="I228" s="114">
        <f t="shared" si="88"/>
        <v>1.5661800519296143</v>
      </c>
      <c r="J228" s="101">
        <f t="shared" si="89"/>
        <v>22.086138955689172</v>
      </c>
      <c r="K228" s="104">
        <f t="shared" si="90"/>
        <v>1.5255035760157873</v>
      </c>
      <c r="L228" s="102">
        <f t="shared" si="91"/>
        <v>1.387791260814869</v>
      </c>
      <c r="M228" s="103">
        <f t="shared" si="92"/>
        <v>0.76617307932771161</v>
      </c>
      <c r="N228" s="101">
        <f t="shared" si="93"/>
        <v>1.0117829279741823</v>
      </c>
      <c r="O228" s="104">
        <f t="shared" si="94"/>
        <v>0.15276374997222145</v>
      </c>
      <c r="P228" s="105">
        <f t="shared" ca="1" si="95"/>
        <v>1.2434470226254972</v>
      </c>
      <c r="Q228" s="106">
        <f t="shared" ca="1" si="96"/>
        <v>0.65986302856104273</v>
      </c>
      <c r="R228" s="107">
        <f t="shared" ca="1" si="97"/>
        <v>7.9514673839455918</v>
      </c>
      <c r="S228" s="108">
        <f t="shared" ca="1" si="98"/>
        <v>-92.623647079719461</v>
      </c>
      <c r="T228" s="116">
        <f t="shared" ca="1" si="99"/>
        <v>87.376352920280539</v>
      </c>
      <c r="V228" s="72">
        <f t="shared" ca="1" si="100"/>
        <v>1000000000</v>
      </c>
      <c r="W228" s="72">
        <f t="shared" si="101"/>
        <v>175820970.0625</v>
      </c>
      <c r="Y228" s="110">
        <f t="shared" si="102"/>
        <v>21.555556881538443</v>
      </c>
      <c r="Z228" s="111">
        <f t="shared" si="103"/>
        <v>-52.491805402827353</v>
      </c>
      <c r="AA228" s="72">
        <f t="shared" si="104"/>
        <v>127.50819459717265</v>
      </c>
      <c r="AB228" s="110">
        <f t="shared" ca="1" si="105"/>
        <v>2.3135108492886554</v>
      </c>
      <c r="AC228" s="111">
        <f t="shared" ca="1" si="106"/>
        <v>-40.131841676892108</v>
      </c>
      <c r="AD228" s="72">
        <f t="shared" ca="1" si="107"/>
        <v>139.86815832310788</v>
      </c>
    </row>
    <row r="229" spans="1:30">
      <c r="A229" s="118">
        <v>13336.5</v>
      </c>
      <c r="B229" s="101">
        <f t="shared" ca="1" si="81"/>
        <v>218.27010193311941</v>
      </c>
      <c r="C229" s="102">
        <f t="shared" ca="1" si="82"/>
        <v>1.5662148312556441</v>
      </c>
      <c r="D229" s="102">
        <f t="shared" si="83"/>
        <v>22.270221384191977</v>
      </c>
      <c r="E229" s="103">
        <f t="shared" si="84"/>
        <v>1.525878212387819</v>
      </c>
      <c r="F229" s="101">
        <f t="shared" si="85"/>
        <v>1809.9874125195561</v>
      </c>
      <c r="G229" s="104">
        <f t="shared" si="86"/>
        <v>1.5702438367367022</v>
      </c>
      <c r="H229" s="113">
        <f t="shared" si="87"/>
        <v>217.87949638763226</v>
      </c>
      <c r="I229" s="114">
        <f t="shared" si="88"/>
        <v>1.5662066176781908</v>
      </c>
      <c r="J229" s="101">
        <f t="shared" si="89"/>
        <v>22.213716482675636</v>
      </c>
      <c r="K229" s="104">
        <f t="shared" si="90"/>
        <v>1.5257638772414566</v>
      </c>
      <c r="L229" s="102">
        <f t="shared" si="91"/>
        <v>1.3916590569884126</v>
      </c>
      <c r="M229" s="103">
        <f t="shared" si="92"/>
        <v>0.76905700351574957</v>
      </c>
      <c r="N229" s="101">
        <f t="shared" si="93"/>
        <v>1.0119189207792221</v>
      </c>
      <c r="O229" s="104">
        <f t="shared" si="94"/>
        <v>0.1536341666627071</v>
      </c>
      <c r="P229" s="105">
        <f t="shared" ca="1" si="95"/>
        <v>1.2459955827445028</v>
      </c>
      <c r="Q229" s="106">
        <f t="shared" ca="1" si="96"/>
        <v>0.66276108366059616</v>
      </c>
      <c r="R229" s="107">
        <f t="shared" ca="1" si="97"/>
        <v>7.9065595845812089</v>
      </c>
      <c r="S229" s="108">
        <f t="shared" ca="1" si="98"/>
        <v>-92.674546190946316</v>
      </c>
      <c r="T229" s="116">
        <f t="shared" ca="1" si="99"/>
        <v>87.325453809053684</v>
      </c>
      <c r="V229" s="72">
        <f t="shared" ca="1" si="100"/>
        <v>1000000000</v>
      </c>
      <c r="W229" s="72">
        <f t="shared" si="101"/>
        <v>177862232.25</v>
      </c>
      <c r="Y229" s="110">
        <f t="shared" si="102"/>
        <v>21.528534003906987</v>
      </c>
      <c r="Z229" s="111">
        <f t="shared" si="103"/>
        <v>-52.390015204691338</v>
      </c>
      <c r="AA229" s="72">
        <f t="shared" si="104"/>
        <v>127.60998479530866</v>
      </c>
      <c r="AB229" s="110">
        <f t="shared" ca="1" si="105"/>
        <v>2.2956259275557223</v>
      </c>
      <c r="AC229" s="111">
        <f t="shared" ca="1" si="106"/>
        <v>-40.284530986254957</v>
      </c>
      <c r="AD229" s="72">
        <f t="shared" ca="1" si="107"/>
        <v>139.71546901374504</v>
      </c>
    </row>
    <row r="230" spans="1:30">
      <c r="A230" s="118">
        <v>13413.25</v>
      </c>
      <c r="B230" s="101">
        <f t="shared" ca="1" si="81"/>
        <v>219.52619458867329</v>
      </c>
      <c r="C230" s="102">
        <f t="shared" ca="1" si="82"/>
        <v>1.5662410459988503</v>
      </c>
      <c r="D230" s="102">
        <f t="shared" si="83"/>
        <v>22.398126233677505</v>
      </c>
      <c r="E230" s="103">
        <f t="shared" si="84"/>
        <v>1.5261348891545179</v>
      </c>
      <c r="F230" s="101">
        <f t="shared" si="85"/>
        <v>1820.403675529235</v>
      </c>
      <c r="G230" s="104">
        <f t="shared" si="86"/>
        <v>1.5702469980587836</v>
      </c>
      <c r="H230" s="113">
        <f t="shared" si="87"/>
        <v>219.13334110675621</v>
      </c>
      <c r="I230" s="114">
        <f t="shared" si="88"/>
        <v>1.5662328794171503</v>
      </c>
      <c r="J230" s="101">
        <f t="shared" si="89"/>
        <v>22.341295497601045</v>
      </c>
      <c r="K230" s="104">
        <f t="shared" si="90"/>
        <v>1.5260212056063052</v>
      </c>
      <c r="L230" s="102">
        <f t="shared" si="91"/>
        <v>1.3955383634021912</v>
      </c>
      <c r="M230" s="103">
        <f t="shared" si="92"/>
        <v>0.77192491802712815</v>
      </c>
      <c r="N230" s="101">
        <f t="shared" si="93"/>
        <v>1.0120556800331779</v>
      </c>
      <c r="O230" s="104">
        <f t="shared" si="94"/>
        <v>0.15450434877320954</v>
      </c>
      <c r="P230" s="105">
        <f t="shared" ca="1" si="95"/>
        <v>1.2485536382574616</v>
      </c>
      <c r="Q230" s="106">
        <f t="shared" ca="1" si="96"/>
        <v>0.66564786619356531</v>
      </c>
      <c r="R230" s="107">
        <f t="shared" ca="1" si="97"/>
        <v>7.8619078539894875</v>
      </c>
      <c r="S230" s="108">
        <f t="shared" ca="1" si="98"/>
        <v>-92.72570078292776</v>
      </c>
      <c r="T230" s="116">
        <f t="shared" ca="1" si="99"/>
        <v>87.27429921707224</v>
      </c>
      <c r="V230" s="72">
        <f t="shared" ca="1" si="100"/>
        <v>1000000000</v>
      </c>
      <c r="W230" s="72">
        <f t="shared" si="101"/>
        <v>179915275.5625</v>
      </c>
      <c r="Y230" s="110">
        <f t="shared" si="102"/>
        <v>21.501795193889173</v>
      </c>
      <c r="Z230" s="111">
        <f t="shared" si="103"/>
        <v>-52.288973842271865</v>
      </c>
      <c r="AA230" s="72">
        <f t="shared" si="104"/>
        <v>127.71102615772813</v>
      </c>
      <c r="AB230" s="110">
        <f t="shared" ca="1" si="105"/>
        <v>2.2777130069818163</v>
      </c>
      <c r="AC230" s="111">
        <f t="shared" ca="1" si="106"/>
        <v>-40.436726940655895</v>
      </c>
      <c r="AD230" s="72">
        <f t="shared" ca="1" si="107"/>
        <v>139.56327305934411</v>
      </c>
    </row>
    <row r="231" spans="1:30">
      <c r="A231" s="118">
        <v>13490</v>
      </c>
      <c r="B231" s="101">
        <f t="shared" ca="1" si="81"/>
        <v>220.78228739337183</v>
      </c>
      <c r="C231" s="102">
        <f t="shared" ca="1" si="82"/>
        <v>1.5662669624559147</v>
      </c>
      <c r="D231" s="102">
        <f t="shared" si="83"/>
        <v>22.52603254206009</v>
      </c>
      <c r="E231" s="103">
        <f t="shared" si="84"/>
        <v>1.5263886510367526</v>
      </c>
      <c r="F231" s="101">
        <f t="shared" si="85"/>
        <v>1830.8199385568998</v>
      </c>
      <c r="G231" s="104">
        <f t="shared" si="86"/>
        <v>1.5702501234088273</v>
      </c>
      <c r="H231" s="113">
        <f t="shared" si="87"/>
        <v>220.38718597529211</v>
      </c>
      <c r="I231" s="114">
        <f t="shared" si="88"/>
        <v>1.5662588423352455</v>
      </c>
      <c r="J231" s="101">
        <f t="shared" si="89"/>
        <v>22.46887597511969</v>
      </c>
      <c r="K231" s="104">
        <f t="shared" si="90"/>
        <v>1.5262756117165441</v>
      </c>
      <c r="L231" s="102">
        <f t="shared" si="91"/>
        <v>1.3994290843348536</v>
      </c>
      <c r="M231" s="103">
        <f t="shared" si="92"/>
        <v>0.77477690902011143</v>
      </c>
      <c r="N231" s="101">
        <f t="shared" si="93"/>
        <v>1.0121932054253804</v>
      </c>
      <c r="O231" s="104">
        <f t="shared" si="94"/>
        <v>0.15537429508124739</v>
      </c>
      <c r="P231" s="105">
        <f t="shared" ca="1" si="95"/>
        <v>1.2511211315011976</v>
      </c>
      <c r="Q231" s="106">
        <f t="shared" ca="1" si="96"/>
        <v>0.6685234037586697</v>
      </c>
      <c r="R231" s="107">
        <f t="shared" ca="1" si="97"/>
        <v>7.8175087537667496</v>
      </c>
      <c r="S231" s="108">
        <f t="shared" ca="1" si="98"/>
        <v>-92.777107472936379</v>
      </c>
      <c r="T231" s="116">
        <f t="shared" ca="1" si="99"/>
        <v>87.222892527063621</v>
      </c>
      <c r="V231" s="72">
        <f t="shared" ca="1" si="100"/>
        <v>1000000000</v>
      </c>
      <c r="W231" s="72">
        <f t="shared" si="101"/>
        <v>181980100</v>
      </c>
      <c r="Y231" s="110">
        <f t="shared" si="102"/>
        <v>21.475336394725723</v>
      </c>
      <c r="Z231" s="111">
        <f t="shared" si="103"/>
        <v>-52.188678947038909</v>
      </c>
      <c r="AA231" s="72">
        <f t="shared" si="104"/>
        <v>127.81132105296109</v>
      </c>
      <c r="AB231" s="110">
        <f t="shared" ca="1" si="105"/>
        <v>2.259772705922531</v>
      </c>
      <c r="AC231" s="111">
        <f t="shared" ca="1" si="106"/>
        <v>-40.588428525897427</v>
      </c>
      <c r="AD231" s="72">
        <f t="shared" ca="1" si="107"/>
        <v>139.41157147410257</v>
      </c>
    </row>
    <row r="232" spans="1:30">
      <c r="A232" s="118">
        <v>13568.5</v>
      </c>
      <c r="B232" s="101">
        <f t="shared" ca="1" si="81"/>
        <v>222.06702090226696</v>
      </c>
      <c r="C232" s="102">
        <f t="shared" ca="1" si="82"/>
        <v>1.5662931665521602</v>
      </c>
      <c r="D232" s="102">
        <f t="shared" si="83"/>
        <v>22.6568567643466</v>
      </c>
      <c r="E232" s="103">
        <f t="shared" si="84"/>
        <v>1.5266452351060411</v>
      </c>
      <c r="F232" s="101">
        <f t="shared" si="85"/>
        <v>1841.4737059715615</v>
      </c>
      <c r="G232" s="104">
        <f t="shared" si="86"/>
        <v>1.5702532834454823</v>
      </c>
      <c r="H232" s="113">
        <f t="shared" si="87"/>
        <v>221.66962029242308</v>
      </c>
      <c r="I232" s="114">
        <f t="shared" si="88"/>
        <v>1.5662850934082018</v>
      </c>
      <c r="J232" s="101">
        <f t="shared" si="89"/>
        <v>22.599366940932619</v>
      </c>
      <c r="K232" s="104">
        <f t="shared" si="90"/>
        <v>1.5265328472082698</v>
      </c>
      <c r="L232" s="102">
        <f t="shared" si="91"/>
        <v>1.4034202277055292</v>
      </c>
      <c r="M232" s="103">
        <f t="shared" si="92"/>
        <v>0.77767754674134026</v>
      </c>
      <c r="N232" s="101">
        <f t="shared" si="93"/>
        <v>1.0123346587910769</v>
      </c>
      <c r="O232" s="104">
        <f t="shared" si="94"/>
        <v>0.15626383209789155</v>
      </c>
      <c r="P232" s="105">
        <f t="shared" ca="1" si="95"/>
        <v>1.2537568700796926</v>
      </c>
      <c r="Q232" s="106">
        <f t="shared" ca="1" si="96"/>
        <v>0.67145290407334646</v>
      </c>
      <c r="R232" s="107">
        <f t="shared" ca="1" si="97"/>
        <v>7.7723551148930392</v>
      </c>
      <c r="S232" s="108">
        <f t="shared" ca="1" si="98"/>
        <v>-92.829943583513995</v>
      </c>
      <c r="T232" s="116">
        <f t="shared" ca="1" si="99"/>
        <v>87.170056416486005</v>
      </c>
      <c r="V232" s="72">
        <f t="shared" ca="1" si="100"/>
        <v>1000000000</v>
      </c>
      <c r="W232" s="72">
        <f t="shared" si="101"/>
        <v>184104192.25</v>
      </c>
      <c r="Y232" s="110">
        <f t="shared" si="102"/>
        <v>21.448559803845022</v>
      </c>
      <c r="Z232" s="111">
        <f t="shared" si="103"/>
        <v>-52.086866853466262</v>
      </c>
      <c r="AA232" s="72">
        <f t="shared" si="104"/>
        <v>127.91313314653374</v>
      </c>
      <c r="AB232" s="110">
        <f t="shared" ca="1" si="105"/>
        <v>2.2413956579295209</v>
      </c>
      <c r="AC232" s="111">
        <f t="shared" ca="1" si="106"/>
        <v>-40.743076730047676</v>
      </c>
      <c r="AD232" s="72">
        <f t="shared" ca="1" si="107"/>
        <v>139.25692326995232</v>
      </c>
    </row>
    <row r="233" spans="1:30">
      <c r="A233" s="118">
        <v>13647</v>
      </c>
      <c r="B233" s="101">
        <f t="shared" ca="1" si="81"/>
        <v>223.35175456189123</v>
      </c>
      <c r="C233" s="102">
        <f t="shared" ca="1" si="82"/>
        <v>1.5663190691931288</v>
      </c>
      <c r="D233" s="102">
        <f t="shared" si="83"/>
        <v>22.787682461129101</v>
      </c>
      <c r="E233" s="103">
        <f t="shared" si="84"/>
        <v>1.5268988730572886</v>
      </c>
      <c r="F233" s="101">
        <f t="shared" si="85"/>
        <v>1852.1274734044002</v>
      </c>
      <c r="G233" s="104">
        <f t="shared" si="86"/>
        <v>1.5702564071279488</v>
      </c>
      <c r="H233" s="113">
        <f t="shared" si="87"/>
        <v>222.95205476055341</v>
      </c>
      <c r="I233" s="114">
        <f t="shared" si="88"/>
        <v>1.5663110424854767</v>
      </c>
      <c r="J233" s="101">
        <f t="shared" si="89"/>
        <v>22.729859384977757</v>
      </c>
      <c r="K233" s="104">
        <f t="shared" si="90"/>
        <v>1.5267871291314721</v>
      </c>
      <c r="L233" s="102">
        <f t="shared" si="91"/>
        <v>1.4074231120045277</v>
      </c>
      <c r="M233" s="103">
        <f t="shared" si="92"/>
        <v>0.78056170907397826</v>
      </c>
      <c r="N233" s="101">
        <f t="shared" si="93"/>
        <v>1.0124769129688023</v>
      </c>
      <c r="O233" s="104">
        <f t="shared" si="94"/>
        <v>0.15715311985608338</v>
      </c>
      <c r="P233" s="105">
        <f t="shared" ca="1" si="95"/>
        <v>1.2564023604995613</v>
      </c>
      <c r="Q233" s="106">
        <f t="shared" ca="1" si="96"/>
        <v>0.67437070060085746</v>
      </c>
      <c r="R233" s="107">
        <f t="shared" ca="1" si="97"/>
        <v>7.7274586828189404</v>
      </c>
      <c r="S233" s="108">
        <f t="shared" ca="1" si="98"/>
        <v>-92.883036326397814</v>
      </c>
      <c r="T233" s="116">
        <f t="shared" ca="1" si="99"/>
        <v>87.116963673602186</v>
      </c>
      <c r="V233" s="72">
        <f t="shared" ca="1" si="100"/>
        <v>1000000000</v>
      </c>
      <c r="W233" s="72">
        <f t="shared" si="101"/>
        <v>186240609</v>
      </c>
      <c r="Y233" s="110">
        <f t="shared" si="102"/>
        <v>21.422067770377417</v>
      </c>
      <c r="Z233" s="111">
        <f t="shared" si="103"/>
        <v>-51.985830441794832</v>
      </c>
      <c r="AA233" s="72">
        <f t="shared" si="104"/>
        <v>128.01416955820517</v>
      </c>
      <c r="AB233" s="110">
        <f t="shared" ca="1" si="105"/>
        <v>2.2229912593230292</v>
      </c>
      <c r="AC233" s="111">
        <f t="shared" ca="1" si="106"/>
        <v>-40.897205884603025</v>
      </c>
      <c r="AD233" s="72">
        <f t="shared" ca="1" si="107"/>
        <v>139.10279411539699</v>
      </c>
    </row>
    <row r="234" spans="1:30">
      <c r="A234" s="118">
        <v>13725.5</v>
      </c>
      <c r="B234" s="101">
        <f t="shared" ca="1" si="81"/>
        <v>224.63648836965851</v>
      </c>
      <c r="C234" s="102">
        <f t="shared" ca="1" si="82"/>
        <v>1.5663446755510055</v>
      </c>
      <c r="D234" s="102">
        <f t="shared" si="83"/>
        <v>22.918509607157002</v>
      </c>
      <c r="E234" s="103">
        <f t="shared" si="84"/>
        <v>1.5271496153101016</v>
      </c>
      <c r="F234" s="101">
        <f t="shared" si="85"/>
        <v>1862.781240855104</v>
      </c>
      <c r="G234" s="104">
        <f t="shared" si="86"/>
        <v>1.5702594950799862</v>
      </c>
      <c r="H234" s="113">
        <f t="shared" si="87"/>
        <v>224.23448937709233</v>
      </c>
      <c r="I234" s="114">
        <f t="shared" si="88"/>
        <v>1.5663366947485273</v>
      </c>
      <c r="J234" s="101">
        <f t="shared" si="89"/>
        <v>22.860353281940792</v>
      </c>
      <c r="K234" s="104">
        <f t="shared" si="90"/>
        <v>1.5270385080326034</v>
      </c>
      <c r="L234" s="102">
        <f t="shared" si="91"/>
        <v>1.4114376373388575</v>
      </c>
      <c r="M234" s="103">
        <f t="shared" si="92"/>
        <v>0.783429488412547</v>
      </c>
      <c r="N234" s="101">
        <f t="shared" si="93"/>
        <v>1.0126199676210594</v>
      </c>
      <c r="O234" s="104">
        <f t="shared" si="94"/>
        <v>0.15804215705461336</v>
      </c>
      <c r="P234" s="105">
        <f t="shared" ca="1" si="95"/>
        <v>1.2590575419174377</v>
      </c>
      <c r="Q234" s="106">
        <f t="shared" ca="1" si="96"/>
        <v>0.67727682429157343</v>
      </c>
      <c r="R234" s="107">
        <f t="shared" ca="1" si="97"/>
        <v>7.6828159787754977</v>
      </c>
      <c r="S234" s="108">
        <f t="shared" ca="1" si="98"/>
        <v>-92.936382149018954</v>
      </c>
      <c r="T234" s="116">
        <f t="shared" ca="1" si="99"/>
        <v>87.063617850981046</v>
      </c>
      <c r="V234" s="72">
        <f t="shared" ca="1" si="100"/>
        <v>1000000000</v>
      </c>
      <c r="W234" s="72">
        <f t="shared" si="101"/>
        <v>188389350.25</v>
      </c>
      <c r="Y234" s="110">
        <f t="shared" si="102"/>
        <v>21.395856169981151</v>
      </c>
      <c r="Z234" s="111">
        <f t="shared" si="103"/>
        <v>-51.885566978616112</v>
      </c>
      <c r="AA234" s="72">
        <f t="shared" si="104"/>
        <v>128.11443302138389</v>
      </c>
      <c r="AB234" s="110">
        <f t="shared" ca="1" si="105"/>
        <v>2.2045601556758503</v>
      </c>
      <c r="AC234" s="111">
        <f t="shared" ca="1" si="106"/>
        <v>-41.050815170402792</v>
      </c>
      <c r="AD234" s="72">
        <f t="shared" ca="1" si="107"/>
        <v>138.94918482959721</v>
      </c>
    </row>
    <row r="235" spans="1:30">
      <c r="A235" s="118">
        <v>13804</v>
      </c>
      <c r="B235" s="101">
        <f t="shared" ca="1" si="81"/>
        <v>225.92122232304155</v>
      </c>
      <c r="C235" s="102">
        <f t="shared" ca="1" si="82"/>
        <v>1.5663699906803277</v>
      </c>
      <c r="D235" s="102">
        <f t="shared" si="83"/>
        <v>23.049338177752727</v>
      </c>
      <c r="E235" s="103">
        <f t="shared" si="84"/>
        <v>1.5273975111408313</v>
      </c>
      <c r="F235" s="101">
        <f t="shared" si="85"/>
        <v>1873.435008323368</v>
      </c>
      <c r="G235" s="104">
        <f t="shared" si="86"/>
        <v>1.5702625479111649</v>
      </c>
      <c r="H235" s="113">
        <f t="shared" si="87"/>
        <v>225.51692413950806</v>
      </c>
      <c r="I235" s="114">
        <f t="shared" si="88"/>
        <v>1.5663620552609507</v>
      </c>
      <c r="J235" s="101">
        <f t="shared" si="89"/>
        <v>22.990848607081837</v>
      </c>
      <c r="K235" s="104">
        <f t="shared" si="90"/>
        <v>1.527287033312003</v>
      </c>
      <c r="L235" s="102">
        <f t="shared" si="91"/>
        <v>1.415463704659925</v>
      </c>
      <c r="M235" s="103">
        <f t="shared" si="92"/>
        <v>0.78628097718281198</v>
      </c>
      <c r="N235" s="101">
        <f t="shared" si="93"/>
        <v>1.012763822408643</v>
      </c>
      <c r="O235" s="104">
        <f t="shared" si="94"/>
        <v>0.15893094239458941</v>
      </c>
      <c r="P235" s="105">
        <f t="shared" ca="1" si="95"/>
        <v>1.2617223537814846</v>
      </c>
      <c r="Q235" s="106">
        <f t="shared" ca="1" si="96"/>
        <v>0.6801713065501932</v>
      </c>
      <c r="R235" s="107">
        <f t="shared" ca="1" si="97"/>
        <v>7.6384235885125502</v>
      </c>
      <c r="S235" s="108">
        <f t="shared" ca="1" si="98"/>
        <v>-92.989977522217345</v>
      </c>
      <c r="T235" s="116">
        <f t="shared" ca="1" si="99"/>
        <v>87.010022477782655</v>
      </c>
      <c r="V235" s="72">
        <f t="shared" ca="1" si="100"/>
        <v>1000000000</v>
      </c>
      <c r="W235" s="72">
        <f t="shared" si="101"/>
        <v>190550416</v>
      </c>
      <c r="Y235" s="110">
        <f t="shared" si="102"/>
        <v>21.369920948302305</v>
      </c>
      <c r="Z235" s="111">
        <f t="shared" si="103"/>
        <v>-51.786073669136897</v>
      </c>
      <c r="AA235" s="72">
        <f t="shared" si="104"/>
        <v>128.2139263308631</v>
      </c>
      <c r="AB235" s="110">
        <f t="shared" ca="1" si="105"/>
        <v>2.1861029870917497</v>
      </c>
      <c r="AC235" s="111">
        <f t="shared" ca="1" si="106"/>
        <v>-41.203903853080405</v>
      </c>
      <c r="AD235" s="72">
        <f t="shared" ca="1" si="107"/>
        <v>138.79609614691958</v>
      </c>
    </row>
    <row r="236" spans="1:30">
      <c r="A236" s="118">
        <v>13884.25</v>
      </c>
      <c r="B236" s="101">
        <f t="shared" ca="1" si="81"/>
        <v>227.23459699021353</v>
      </c>
      <c r="C236" s="102">
        <f t="shared" ca="1" si="82"/>
        <v>1.5663955742641504</v>
      </c>
      <c r="D236" s="102">
        <f t="shared" si="83"/>
        <v>23.183084756282639</v>
      </c>
      <c r="E236" s="103">
        <f t="shared" si="84"/>
        <v>1.5276480411510041</v>
      </c>
      <c r="F236" s="101">
        <f t="shared" si="85"/>
        <v>1884.326280179786</v>
      </c>
      <c r="G236" s="104">
        <f t="shared" si="86"/>
        <v>1.5702656331154325</v>
      </c>
      <c r="H236" s="113">
        <f t="shared" si="87"/>
        <v>226.82794836012835</v>
      </c>
      <c r="I236" s="114">
        <f t="shared" si="88"/>
        <v>1.5663876847091611</v>
      </c>
      <c r="J236" s="101">
        <f t="shared" si="89"/>
        <v>23.124254514786681</v>
      </c>
      <c r="K236" s="104">
        <f t="shared" si="90"/>
        <v>1.5275381994871602</v>
      </c>
      <c r="L236" s="102">
        <f t="shared" si="91"/>
        <v>1.4195913536210982</v>
      </c>
      <c r="M236" s="103">
        <f t="shared" si="92"/>
        <v>0.78917929107193163</v>
      </c>
      <c r="N236" s="101">
        <f t="shared" si="93"/>
        <v>1.0129117108853367</v>
      </c>
      <c r="O236" s="104">
        <f t="shared" si="94"/>
        <v>0.15983927972713971</v>
      </c>
      <c r="P236" s="105">
        <f t="shared" ca="1" si="95"/>
        <v>1.2644564644059861</v>
      </c>
      <c r="Q236" s="106">
        <f t="shared" ca="1" si="96"/>
        <v>0.68311831504185616</v>
      </c>
      <c r="R236" s="107">
        <f t="shared" ca="1" si="97"/>
        <v>7.5932968158763403</v>
      </c>
      <c r="S236" s="108">
        <f t="shared" ca="1" si="98"/>
        <v>-93.045022003936609</v>
      </c>
      <c r="T236" s="116">
        <f t="shared" ca="1" si="99"/>
        <v>86.954977996063391</v>
      </c>
      <c r="V236" s="72">
        <f t="shared" ca="1" si="100"/>
        <v>1000000000</v>
      </c>
      <c r="W236" s="72">
        <f t="shared" si="101"/>
        <v>192772398.0625</v>
      </c>
      <c r="Y236" s="110">
        <f t="shared" si="102"/>
        <v>21.343689091972156</v>
      </c>
      <c r="Z236" s="111">
        <f t="shared" si="103"/>
        <v>-51.685155482762895</v>
      </c>
      <c r="AA236" s="72">
        <f t="shared" si="104"/>
        <v>128.31484451723711</v>
      </c>
      <c r="AB236" s="110">
        <f t="shared" ca="1" si="105"/>
        <v>2.1672080707856911</v>
      </c>
      <c r="AC236" s="111">
        <f t="shared" ca="1" si="106"/>
        <v>-41.359866521173721</v>
      </c>
      <c r="AD236" s="72">
        <f t="shared" ca="1" si="107"/>
        <v>138.64013347882627</v>
      </c>
    </row>
    <row r="237" spans="1:30">
      <c r="A237" s="118">
        <v>13964.5</v>
      </c>
      <c r="B237" s="101">
        <f t="shared" ca="1" si="81"/>
        <v>228.54797180440565</v>
      </c>
      <c r="C237" s="102">
        <f t="shared" ca="1" si="82"/>
        <v>1.5664208638105113</v>
      </c>
      <c r="D237" s="102">
        <f t="shared" si="83"/>
        <v>23.316832773212461</v>
      </c>
      <c r="E237" s="103">
        <f t="shared" si="84"/>
        <v>1.5278956970390456</v>
      </c>
      <c r="F237" s="101">
        <f t="shared" si="85"/>
        <v>1895.2175520539336</v>
      </c>
      <c r="G237" s="104">
        <f t="shared" si="86"/>
        <v>1.5702686828601315</v>
      </c>
      <c r="H237" s="113">
        <f t="shared" si="87"/>
        <v>228.13897272803237</v>
      </c>
      <c r="I237" s="114">
        <f t="shared" si="88"/>
        <v>1.5664130195928008</v>
      </c>
      <c r="J237" s="101">
        <f t="shared" si="89"/>
        <v>23.25766186453717</v>
      </c>
      <c r="K237" s="104">
        <f t="shared" si="90"/>
        <v>1.5277864842692033</v>
      </c>
      <c r="L237" s="102">
        <f t="shared" si="91"/>
        <v>1.4237308582638193</v>
      </c>
      <c r="M237" s="103">
        <f t="shared" si="92"/>
        <v>0.79206077532468877</v>
      </c>
      <c r="N237" s="101">
        <f t="shared" si="93"/>
        <v>1.013060434847487</v>
      </c>
      <c r="O237" s="104">
        <f t="shared" si="94"/>
        <v>0.16074735110889746</v>
      </c>
      <c r="P237" s="105">
        <f t="shared" ca="1" si="95"/>
        <v>1.2672005126104455</v>
      </c>
      <c r="Q237" s="106">
        <f t="shared" ca="1" si="96"/>
        <v>0.68605322504478683</v>
      </c>
      <c r="R237" s="107">
        <f t="shared" ca="1" si="97"/>
        <v>7.5484246261891732</v>
      </c>
      <c r="S237" s="108">
        <f t="shared" ca="1" si="98"/>
        <v>-93.100319904510556</v>
      </c>
      <c r="T237" s="116">
        <f t="shared" ca="1" si="99"/>
        <v>86.899680095489444</v>
      </c>
      <c r="V237" s="72">
        <f t="shared" ca="1" si="100"/>
        <v>1000000000</v>
      </c>
      <c r="W237" s="72">
        <f t="shared" si="101"/>
        <v>195007260.25</v>
      </c>
      <c r="Y237" s="110">
        <f t="shared" si="102"/>
        <v>21.317737723366438</v>
      </c>
      <c r="Z237" s="111">
        <f t="shared" si="103"/>
        <v>-51.585036079624651</v>
      </c>
      <c r="AA237" s="72">
        <f t="shared" si="104"/>
        <v>128.41496392037536</v>
      </c>
      <c r="AB237" s="110">
        <f t="shared" ca="1" si="105"/>
        <v>2.1482872497042362</v>
      </c>
      <c r="AC237" s="111">
        <f t="shared" ca="1" si="106"/>
        <v>-41.515283824885898</v>
      </c>
      <c r="AD237" s="72">
        <f t="shared" ca="1" si="107"/>
        <v>138.4847161751141</v>
      </c>
    </row>
    <row r="238" spans="1:30">
      <c r="A238" s="118">
        <v>14044.75</v>
      </c>
      <c r="B238" s="101">
        <f t="shared" ca="1" si="81"/>
        <v>229.86134676309783</v>
      </c>
      <c r="C238" s="102">
        <f t="shared" ca="1" si="82"/>
        <v>1.5664458643595653</v>
      </c>
      <c r="D238" s="102">
        <f t="shared" si="83"/>
        <v>23.450582203930896</v>
      </c>
      <c r="E238" s="103">
        <f t="shared" si="84"/>
        <v>1.5281405279516262</v>
      </c>
      <c r="F238" s="101">
        <f t="shared" si="85"/>
        <v>1906.1088239455071</v>
      </c>
      <c r="G238" s="104">
        <f t="shared" si="86"/>
        <v>1.5702716977530968</v>
      </c>
      <c r="H238" s="113">
        <f t="shared" si="87"/>
        <v>229.44999724069547</v>
      </c>
      <c r="I238" s="114">
        <f t="shared" si="88"/>
        <v>1.5664380649610599</v>
      </c>
      <c r="J238" s="101">
        <f t="shared" si="89"/>
        <v>23.39107063165984</v>
      </c>
      <c r="K238" s="104">
        <f t="shared" si="90"/>
        <v>1.5280319369285187</v>
      </c>
      <c r="L238" s="102">
        <f t="shared" si="91"/>
        <v>1.4278821154773758</v>
      </c>
      <c r="M238" s="103">
        <f t="shared" si="92"/>
        <v>0.79492552866876853</v>
      </c>
      <c r="N238" s="101">
        <f t="shared" si="93"/>
        <v>1.0132099939271837</v>
      </c>
      <c r="O238" s="104">
        <f t="shared" si="94"/>
        <v>0.16165515515972678</v>
      </c>
      <c r="P238" s="105">
        <f t="shared" ca="1" si="95"/>
        <v>1.2699544346571157</v>
      </c>
      <c r="Q238" s="106">
        <f t="shared" ca="1" si="96"/>
        <v>0.68897607150498963</v>
      </c>
      <c r="R238" s="107">
        <f t="shared" ca="1" si="97"/>
        <v>7.5038035715847107</v>
      </c>
      <c r="S238" s="108">
        <f t="shared" ca="1" si="98"/>
        <v>-93.155867531839192</v>
      </c>
      <c r="T238" s="116">
        <f t="shared" ca="1" si="99"/>
        <v>86.844132468160808</v>
      </c>
      <c r="V238" s="72">
        <f t="shared" ca="1" si="100"/>
        <v>1000000000</v>
      </c>
      <c r="W238" s="72">
        <f t="shared" si="101"/>
        <v>197255002.5625</v>
      </c>
      <c r="Y238" s="110">
        <f t="shared" si="102"/>
        <v>21.292062728616262</v>
      </c>
      <c r="Z238" s="111">
        <f t="shared" si="103"/>
        <v>-51.485712292480848</v>
      </c>
      <c r="AA238" s="72">
        <f t="shared" si="104"/>
        <v>128.51428770751914</v>
      </c>
      <c r="AB238" s="110">
        <f t="shared" ca="1" si="105"/>
        <v>2.1293411898499524</v>
      </c>
      <c r="AC238" s="111">
        <f t="shared" ca="1" si="106"/>
        <v>-41.670155239358337</v>
      </c>
      <c r="AD238" s="72">
        <f t="shared" ca="1" si="107"/>
        <v>138.32984476064166</v>
      </c>
    </row>
    <row r="239" spans="1:30">
      <c r="A239" s="118">
        <v>14125</v>
      </c>
      <c r="B239" s="101">
        <f t="shared" ca="1" si="81"/>
        <v>231.17472186382719</v>
      </c>
      <c r="C239" s="102">
        <f t="shared" ca="1" si="82"/>
        <v>1.5664705808369301</v>
      </c>
      <c r="D239" s="102">
        <f t="shared" si="83"/>
        <v>23.584333024384673</v>
      </c>
      <c r="E239" s="103">
        <f t="shared" si="84"/>
        <v>1.5283825819219108</v>
      </c>
      <c r="F239" s="101">
        <f t="shared" si="85"/>
        <v>1917.0000958542091</v>
      </c>
      <c r="G239" s="104">
        <f t="shared" si="86"/>
        <v>1.5702746783883497</v>
      </c>
      <c r="H239" s="113">
        <f t="shared" si="87"/>
        <v>230.76102189565037</v>
      </c>
      <c r="I239" s="114">
        <f t="shared" si="88"/>
        <v>1.5664628257483857</v>
      </c>
      <c r="J239" s="101">
        <f t="shared" si="89"/>
        <v>23.524480792040684</v>
      </c>
      <c r="K239" s="104">
        <f t="shared" si="90"/>
        <v>1.5282746056192025</v>
      </c>
      <c r="L239" s="102">
        <f t="shared" si="91"/>
        <v>1.4320450230556039</v>
      </c>
      <c r="M239" s="103">
        <f t="shared" si="92"/>
        <v>0.79777364978718668</v>
      </c>
      <c r="N239" s="101">
        <f t="shared" si="93"/>
        <v>1.0133603877546689</v>
      </c>
      <c r="O239" s="104">
        <f t="shared" si="94"/>
        <v>0.16256269050206673</v>
      </c>
      <c r="P239" s="105">
        <f t="shared" ca="1" si="95"/>
        <v>1.2727181671330281</v>
      </c>
      <c r="Q239" s="106">
        <f t="shared" ca="1" si="96"/>
        <v>0.69188688981216462</v>
      </c>
      <c r="R239" s="107">
        <f t="shared" ca="1" si="97"/>
        <v>7.4594302685585756</v>
      </c>
      <c r="S239" s="108">
        <f t="shared" ca="1" si="98"/>
        <v>-93.211661221012037</v>
      </c>
      <c r="T239" s="116">
        <f t="shared" ca="1" si="99"/>
        <v>86.788338778987963</v>
      </c>
      <c r="V239" s="72">
        <f t="shared" ca="1" si="100"/>
        <v>1000000000</v>
      </c>
      <c r="W239" s="72">
        <f t="shared" si="101"/>
        <v>199515625</v>
      </c>
      <c r="Y239" s="110">
        <f t="shared" si="102"/>
        <v>21.26666006427785</v>
      </c>
      <c r="Z239" s="111">
        <f t="shared" si="103"/>
        <v>-51.387180898621054</v>
      </c>
      <c r="AA239" s="72">
        <f t="shared" si="104"/>
        <v>128.61281910137893</v>
      </c>
      <c r="AB239" s="110">
        <f t="shared" ca="1" si="105"/>
        <v>2.1103705511622293</v>
      </c>
      <c r="AC239" s="111">
        <f t="shared" ca="1" si="106"/>
        <v>-41.824480322390983</v>
      </c>
      <c r="AD239" s="72">
        <f t="shared" ca="1" si="107"/>
        <v>138.17551967760903</v>
      </c>
    </row>
    <row r="240" spans="1:30">
      <c r="A240" s="118">
        <v>14207.25</v>
      </c>
      <c r="B240" s="101">
        <f t="shared" ca="1" si="81"/>
        <v>232.52082919916714</v>
      </c>
      <c r="C240" s="102">
        <f t="shared" ca="1" si="82"/>
        <v>1.566495623558436</v>
      </c>
      <c r="D240" s="102">
        <f t="shared" si="83"/>
        <v>23.721418616142493</v>
      </c>
      <c r="E240" s="103">
        <f t="shared" si="84"/>
        <v>1.5286278358928831</v>
      </c>
      <c r="F240" s="101">
        <f t="shared" si="85"/>
        <v>1928.1628013482004</v>
      </c>
      <c r="G240" s="104">
        <f t="shared" si="86"/>
        <v>1.5702776983657361</v>
      </c>
      <c r="H240" s="113">
        <f t="shared" si="87"/>
        <v>232.10472020738774</v>
      </c>
      <c r="I240" s="114">
        <f t="shared" si="88"/>
        <v>1.5664879133647394</v>
      </c>
      <c r="J240" s="101">
        <f t="shared" si="89"/>
        <v>23.661217237348414</v>
      </c>
      <c r="K240" s="104">
        <f t="shared" si="90"/>
        <v>1.5285204824632048</v>
      </c>
      <c r="L240" s="102">
        <f t="shared" si="91"/>
        <v>1.436323662627268</v>
      </c>
      <c r="M240" s="103">
        <f t="shared" si="92"/>
        <v>0.80067559614777806</v>
      </c>
      <c r="N240" s="101">
        <f t="shared" si="93"/>
        <v>1.0135153955386516</v>
      </c>
      <c r="O240" s="104">
        <f t="shared" si="94"/>
        <v>0.16349256327188796</v>
      </c>
      <c r="P240" s="105">
        <f t="shared" ca="1" si="95"/>
        <v>1.2755608918913366</v>
      </c>
      <c r="Q240" s="106">
        <f t="shared" ca="1" si="96"/>
        <v>0.6948578078210339</v>
      </c>
      <c r="R240" s="107">
        <f t="shared" ca="1" si="97"/>
        <v>7.4142047051086237</v>
      </c>
      <c r="S240" s="108">
        <f t="shared" ca="1" si="98"/>
        <v>-93.26909693829387</v>
      </c>
      <c r="T240" s="116">
        <f t="shared" ca="1" si="99"/>
        <v>86.73090306170613</v>
      </c>
      <c r="V240" s="72">
        <f t="shared" ca="1" si="100"/>
        <v>1000000000</v>
      </c>
      <c r="W240" s="72">
        <f t="shared" si="101"/>
        <v>201845952.5625</v>
      </c>
      <c r="Y240" s="110">
        <f t="shared" si="102"/>
        <v>21.240902749216161</v>
      </c>
      <c r="Z240" s="111">
        <f t="shared" si="103"/>
        <v>-51.287012727730961</v>
      </c>
      <c r="AA240" s="72">
        <f t="shared" si="104"/>
        <v>128.71298727226903</v>
      </c>
      <c r="AB240" s="110">
        <f t="shared" ca="1" si="105"/>
        <v>2.0909023027739675</v>
      </c>
      <c r="AC240" s="111">
        <f t="shared" ca="1" si="106"/>
        <v>-41.982084210562931</v>
      </c>
      <c r="AD240" s="72">
        <f t="shared" ca="1" si="107"/>
        <v>138.01791578943707</v>
      </c>
    </row>
    <row r="241" spans="1:30">
      <c r="A241" s="118">
        <v>14289.5</v>
      </c>
      <c r="B241" s="101">
        <f t="shared" ca="1" si="81"/>
        <v>233.86693667865103</v>
      </c>
      <c r="C241" s="102">
        <f t="shared" ca="1" si="82"/>
        <v>1.5665203779947023</v>
      </c>
      <c r="D241" s="102">
        <f t="shared" si="83"/>
        <v>23.858505618335471</v>
      </c>
      <c r="E241" s="103">
        <f t="shared" si="84"/>
        <v>1.5288702715013061</v>
      </c>
      <c r="F241" s="101">
        <f t="shared" si="85"/>
        <v>1939.3255068595745</v>
      </c>
      <c r="G241" s="104">
        <f t="shared" si="86"/>
        <v>1.5702806835773049</v>
      </c>
      <c r="H241" s="113">
        <f t="shared" si="87"/>
        <v>233.44841866352746</v>
      </c>
      <c r="I241" s="114">
        <f t="shared" si="88"/>
        <v>1.5665127121790547</v>
      </c>
      <c r="J241" s="101">
        <f t="shared" si="89"/>
        <v>23.797955096667049</v>
      </c>
      <c r="K241" s="104">
        <f t="shared" si="90"/>
        <v>1.5287635338123275</v>
      </c>
      <c r="L241" s="102">
        <f t="shared" si="91"/>
        <v>1.4406143259929409</v>
      </c>
      <c r="M241" s="103">
        <f t="shared" si="92"/>
        <v>0.80356028061793305</v>
      </c>
      <c r="N241" s="101">
        <f t="shared" si="93"/>
        <v>1.0136712794038096</v>
      </c>
      <c r="O241" s="104">
        <f t="shared" si="94"/>
        <v>0.1644221508508707</v>
      </c>
      <c r="P241" s="105">
        <f t="shared" ca="1" si="95"/>
        <v>1.2784137883314384</v>
      </c>
      <c r="Q241" s="106">
        <f t="shared" ca="1" si="96"/>
        <v>0.69781616732367679</v>
      </c>
      <c r="R241" s="107">
        <f t="shared" ca="1" si="97"/>
        <v>7.3692324001609464</v>
      </c>
      <c r="S241" s="108">
        <f t="shared" ca="1" si="98"/>
        <v>-93.326783428432663</v>
      </c>
      <c r="T241" s="116">
        <f t="shared" ca="1" si="99"/>
        <v>86.673216571567337</v>
      </c>
      <c r="V241" s="72">
        <f t="shared" ca="1" si="100"/>
        <v>1000000000</v>
      </c>
      <c r="W241" s="72">
        <f t="shared" si="101"/>
        <v>204189810.25</v>
      </c>
      <c r="Y241" s="110">
        <f t="shared" si="102"/>
        <v>21.215423127702955</v>
      </c>
      <c r="Z241" s="111">
        <f t="shared" si="103"/>
        <v>-51.187669916350472</v>
      </c>
      <c r="AA241" s="72">
        <f t="shared" si="104"/>
        <v>128.81233008364953</v>
      </c>
      <c r="AB241" s="110">
        <f t="shared" ca="1" si="105"/>
        <v>2.0714096193394944</v>
      </c>
      <c r="AC241" s="111">
        <f t="shared" ca="1" si="106"/>
        <v>-42.139113512082197</v>
      </c>
      <c r="AD241" s="72">
        <f t="shared" ca="1" si="107"/>
        <v>137.86088648791781</v>
      </c>
    </row>
    <row r="242" spans="1:30">
      <c r="A242" s="118">
        <v>14371.75</v>
      </c>
      <c r="B242" s="101">
        <f t="shared" ca="1" si="81"/>
        <v>235.2130442998041</v>
      </c>
      <c r="C242" s="102">
        <f t="shared" ca="1" si="82"/>
        <v>1.5665448490952067</v>
      </c>
      <c r="D242" s="102">
        <f t="shared" si="83"/>
        <v>23.995594006790132</v>
      </c>
      <c r="E242" s="103">
        <f t="shared" si="84"/>
        <v>1.5291099370228993</v>
      </c>
      <c r="F242" s="101">
        <f t="shared" si="85"/>
        <v>1950.4882123880334</v>
      </c>
      <c r="G242" s="104">
        <f t="shared" si="86"/>
        <v>1.5702836346199542</v>
      </c>
      <c r="H242" s="113">
        <f t="shared" si="87"/>
        <v>234.79211726159033</v>
      </c>
      <c r="I242" s="114">
        <f t="shared" si="88"/>
        <v>1.566537227149682</v>
      </c>
      <c r="J242" s="101">
        <f t="shared" si="89"/>
        <v>23.934694345762043</v>
      </c>
      <c r="K242" s="104">
        <f t="shared" si="90"/>
        <v>1.529003808063883</v>
      </c>
      <c r="L242" s="102">
        <f t="shared" si="91"/>
        <v>1.4449169060390916</v>
      </c>
      <c r="M242" s="103">
        <f t="shared" si="92"/>
        <v>0.80642780917838686</v>
      </c>
      <c r="N242" s="101">
        <f t="shared" si="93"/>
        <v>1.0138280389460306</v>
      </c>
      <c r="O242" s="104">
        <f t="shared" si="94"/>
        <v>0.16535145176436311</v>
      </c>
      <c r="P242" s="105">
        <f t="shared" ca="1" si="95"/>
        <v>1.2812767892509282</v>
      </c>
      <c r="Q242" s="106">
        <f t="shared" ca="1" si="96"/>
        <v>0.70076200778902265</v>
      </c>
      <c r="R242" s="107">
        <f t="shared" ca="1" si="97"/>
        <v>7.3245099119898427</v>
      </c>
      <c r="S242" s="108">
        <f t="shared" ca="1" si="98"/>
        <v>-93.384716836749348</v>
      </c>
      <c r="T242" s="116">
        <f t="shared" ca="1" si="99"/>
        <v>86.615283163250652</v>
      </c>
      <c r="V242" s="72">
        <f t="shared" ca="1" si="100"/>
        <v>1000000000</v>
      </c>
      <c r="W242" s="72">
        <f t="shared" si="101"/>
        <v>206547198.0625</v>
      </c>
      <c r="Y242" s="110">
        <f t="shared" si="102"/>
        <v>21.19021706741048</v>
      </c>
      <c r="Z242" s="111">
        <f t="shared" si="103"/>
        <v>-51.089148830808377</v>
      </c>
      <c r="AA242" s="72">
        <f t="shared" si="104"/>
        <v>128.91085116919163</v>
      </c>
      <c r="AB242" s="110">
        <f t="shared" ca="1" si="105"/>
        <v>2.0518931914608665</v>
      </c>
      <c r="AC242" s="111">
        <f t="shared" ca="1" si="106"/>
        <v>-42.295568005941</v>
      </c>
      <c r="AD242" s="72">
        <f t="shared" ca="1" si="107"/>
        <v>137.70443199405901</v>
      </c>
    </row>
    <row r="243" spans="1:30">
      <c r="A243" s="118">
        <v>14454</v>
      </c>
      <c r="B243" s="101">
        <f t="shared" ca="1" si="81"/>
        <v>236.55915206020791</v>
      </c>
      <c r="C243" s="102">
        <f t="shared" ca="1" si="82"/>
        <v>1.5665690416967706</v>
      </c>
      <c r="D243" s="102">
        <f t="shared" si="83"/>
        <v>24.132683757882024</v>
      </c>
      <c r="E243" s="103">
        <f t="shared" si="84"/>
        <v>1.5293468796377192</v>
      </c>
      <c r="F243" s="101">
        <f t="shared" si="85"/>
        <v>1961.6509179332845</v>
      </c>
      <c r="G243" s="104">
        <f t="shared" si="86"/>
        <v>1.5702865520769946</v>
      </c>
      <c r="H243" s="113">
        <f t="shared" si="87"/>
        <v>236.13581599915358</v>
      </c>
      <c r="I243" s="114">
        <f t="shared" si="88"/>
        <v>1.5665614631221128</v>
      </c>
      <c r="J243" s="101">
        <f t="shared" si="89"/>
        <v>24.071434960949276</v>
      </c>
      <c r="K243" s="104">
        <f t="shared" si="90"/>
        <v>1.5292413525167765</v>
      </c>
      <c r="L243" s="102">
        <f t="shared" si="91"/>
        <v>1.4492312966284808</v>
      </c>
      <c r="M243" s="103">
        <f t="shared" si="92"/>
        <v>0.80927828768162557</v>
      </c>
      <c r="N243" s="101">
        <f t="shared" si="93"/>
        <v>1.0139856737591824</v>
      </c>
      <c r="O243" s="104">
        <f t="shared" si="94"/>
        <v>0.16628046454060347</v>
      </c>
      <c r="P243" s="105">
        <f t="shared" ca="1" si="95"/>
        <v>1.2841498278114012</v>
      </c>
      <c r="Q243" s="106">
        <f t="shared" ca="1" si="96"/>
        <v>0.70369536911932085</v>
      </c>
      <c r="R243" s="107">
        <f t="shared" ca="1" si="97"/>
        <v>7.2800338636952509</v>
      </c>
      <c r="S243" s="108">
        <f t="shared" ca="1" si="98"/>
        <v>-93.442893339982035</v>
      </c>
      <c r="T243" s="116">
        <f t="shared" ca="1" si="99"/>
        <v>86.557106660017965</v>
      </c>
      <c r="V243" s="72">
        <f t="shared" ca="1" si="100"/>
        <v>1000000000</v>
      </c>
      <c r="W243" s="72">
        <f t="shared" si="101"/>
        <v>208918116</v>
      </c>
      <c r="Y243" s="110">
        <f t="shared" si="102"/>
        <v>21.16528050757886</v>
      </c>
      <c r="Z243" s="111">
        <f t="shared" si="103"/>
        <v>-50.991445787700862</v>
      </c>
      <c r="AA243" s="72">
        <f t="shared" si="104"/>
        <v>129.00855421229915</v>
      </c>
      <c r="AB243" s="110">
        <f t="shared" ca="1" si="105"/>
        <v>2.0323537029978973</v>
      </c>
      <c r="AC243" s="111">
        <f t="shared" ca="1" si="106"/>
        <v>-42.451447552281159</v>
      </c>
      <c r="AD243" s="72">
        <f t="shared" ca="1" si="107"/>
        <v>137.54855244771883</v>
      </c>
    </row>
    <row r="244" spans="1:30">
      <c r="A244" s="118">
        <v>14622.5</v>
      </c>
      <c r="B244" s="101">
        <f t="shared" ca="1" si="81"/>
        <v>239.31683221315276</v>
      </c>
      <c r="C244" s="102">
        <f t="shared" ca="1" si="82"/>
        <v>1.5666177535585841</v>
      </c>
      <c r="D244" s="102">
        <f t="shared" si="83"/>
        <v>24.413534397296271</v>
      </c>
      <c r="E244" s="103">
        <f t="shared" si="84"/>
        <v>1.5298239781205316</v>
      </c>
      <c r="F244" s="101">
        <f t="shared" si="85"/>
        <v>1984.5191962140118</v>
      </c>
      <c r="G244" s="104">
        <f t="shared" si="86"/>
        <v>1.5702924263820273</v>
      </c>
      <c r="H244" s="113">
        <f t="shared" si="87"/>
        <v>238.88856095105314</v>
      </c>
      <c r="I244" s="114">
        <f t="shared" si="88"/>
        <v>1.5666102623113256</v>
      </c>
      <c r="J244" s="101">
        <f t="shared" si="89"/>
        <v>24.351570359845159</v>
      </c>
      <c r="K244" s="104">
        <f t="shared" si="90"/>
        <v>1.5297196629094851</v>
      </c>
      <c r="L244" s="102">
        <f t="shared" si="91"/>
        <v>1.4581063355839485</v>
      </c>
      <c r="M244" s="103">
        <f t="shared" si="92"/>
        <v>0.81506507178758902</v>
      </c>
      <c r="N244" s="101">
        <f t="shared" si="93"/>
        <v>1.0143113410577018</v>
      </c>
      <c r="O244" s="104">
        <f t="shared" si="94"/>
        <v>0.16818276407434524</v>
      </c>
      <c r="P244" s="105">
        <f t="shared" ca="1" si="95"/>
        <v>1.2900666926133142</v>
      </c>
      <c r="Q244" s="106">
        <f t="shared" ca="1" si="96"/>
        <v>0.70966594864461197</v>
      </c>
      <c r="R244" s="107">
        <f t="shared" ca="1" si="97"/>
        <v>7.1896744756754183</v>
      </c>
      <c r="S244" s="108">
        <f t="shared" ca="1" si="98"/>
        <v>-93.562818783310234</v>
      </c>
      <c r="T244" s="116">
        <f t="shared" ca="1" si="99"/>
        <v>86.437181216689766</v>
      </c>
      <c r="V244" s="72">
        <f t="shared" ca="1" si="100"/>
        <v>1000000000</v>
      </c>
      <c r="W244" s="72">
        <f t="shared" si="101"/>
        <v>213817506.25</v>
      </c>
      <c r="Y244" s="110">
        <f t="shared" si="102"/>
        <v>21.115019511809102</v>
      </c>
      <c r="Z244" s="111">
        <f t="shared" si="103"/>
        <v>-50.793826968002911</v>
      </c>
      <c r="AA244" s="72">
        <f t="shared" si="104"/>
        <v>129.20617303199708</v>
      </c>
      <c r="AB244" s="110">
        <f t="shared" ca="1" si="105"/>
        <v>1.9922553107478196</v>
      </c>
      <c r="AC244" s="111">
        <f t="shared" ca="1" si="106"/>
        <v>-42.768991815307317</v>
      </c>
      <c r="AD244" s="72">
        <f t="shared" ca="1" si="107"/>
        <v>137.23100818469268</v>
      </c>
    </row>
    <row r="245" spans="1:30">
      <c r="A245" s="118">
        <v>14706.75</v>
      </c>
      <c r="B245" s="101">
        <f t="shared" ca="1" si="81"/>
        <v>240.69567249891375</v>
      </c>
      <c r="C245" s="102">
        <f t="shared" ca="1" si="82"/>
        <v>1.5666416909160836</v>
      </c>
      <c r="D245" s="102">
        <f t="shared" si="83"/>
        <v>24.553961765154771</v>
      </c>
      <c r="E245" s="103">
        <f t="shared" si="84"/>
        <v>1.5300584345106221</v>
      </c>
      <c r="F245" s="101">
        <f t="shared" si="85"/>
        <v>1995.9533353796144</v>
      </c>
      <c r="G245" s="104">
        <f t="shared" si="86"/>
        <v>1.5702953130566943</v>
      </c>
      <c r="H245" s="113">
        <f t="shared" si="87"/>
        <v>240.26493363666663</v>
      </c>
      <c r="I245" s="114">
        <f t="shared" si="88"/>
        <v>1.5666342425821602</v>
      </c>
      <c r="J245" s="101">
        <f t="shared" si="89"/>
        <v>24.491640112638439</v>
      </c>
      <c r="K245" s="104">
        <f t="shared" si="90"/>
        <v>1.5299547148930046</v>
      </c>
      <c r="L245" s="102">
        <f t="shared" si="91"/>
        <v>1.4625619985139147</v>
      </c>
      <c r="M245" s="103">
        <f t="shared" si="92"/>
        <v>0.81793207958796599</v>
      </c>
      <c r="N245" s="101">
        <f t="shared" si="93"/>
        <v>1.0144755504925309</v>
      </c>
      <c r="O245" s="104">
        <f t="shared" si="94"/>
        <v>0.16913345411348371</v>
      </c>
      <c r="P245" s="105">
        <f t="shared" ca="1" si="95"/>
        <v>1.293040640789261</v>
      </c>
      <c r="Q245" s="106">
        <f t="shared" ca="1" si="96"/>
        <v>0.71263177164119507</v>
      </c>
      <c r="R245" s="107">
        <f t="shared" ca="1" si="97"/>
        <v>7.1448687548913545</v>
      </c>
      <c r="S245" s="108">
        <f t="shared" ca="1" si="98"/>
        <v>-93.623148064453389</v>
      </c>
      <c r="T245" s="116">
        <f t="shared" ca="1" si="99"/>
        <v>86.376851935546611</v>
      </c>
      <c r="V245" s="72">
        <f t="shared" ca="1" si="100"/>
        <v>1000000000</v>
      </c>
      <c r="W245" s="72">
        <f t="shared" si="101"/>
        <v>216288495.5625</v>
      </c>
      <c r="Y245" s="110">
        <f t="shared" si="102"/>
        <v>21.090296421594587</v>
      </c>
      <c r="Z245" s="111">
        <f t="shared" si="103"/>
        <v>-50.696288960553225</v>
      </c>
      <c r="AA245" s="72">
        <f t="shared" si="104"/>
        <v>129.30371103944677</v>
      </c>
      <c r="AB245" s="110">
        <f t="shared" ca="1" si="105"/>
        <v>1.9721726801782757</v>
      </c>
      <c r="AC245" s="111">
        <f t="shared" ca="1" si="106"/>
        <v>-42.926859103900107</v>
      </c>
      <c r="AD245" s="72">
        <f t="shared" ca="1" si="107"/>
        <v>137.07314089609989</v>
      </c>
    </row>
    <row r="246" spans="1:30">
      <c r="A246" s="118">
        <v>14791</v>
      </c>
      <c r="B246" s="101">
        <f t="shared" ca="1" si="81"/>
        <v>242.07451292102149</v>
      </c>
      <c r="C246" s="102">
        <f t="shared" ca="1" si="82"/>
        <v>1.5666653555823851</v>
      </c>
      <c r="D246" s="102">
        <f t="shared" si="83"/>
        <v>24.694390467388839</v>
      </c>
      <c r="E246" s="103">
        <f t="shared" si="84"/>
        <v>1.5302902243638894</v>
      </c>
      <c r="F246" s="101">
        <f t="shared" si="85"/>
        <v>2007.3874745616597</v>
      </c>
      <c r="G246" s="104">
        <f t="shared" si="86"/>
        <v>1.5702981668461906</v>
      </c>
      <c r="H246" s="113">
        <f t="shared" si="87"/>
        <v>241.64130645887136</v>
      </c>
      <c r="I246" s="114">
        <f t="shared" si="88"/>
        <v>1.5666579496729505</v>
      </c>
      <c r="J246" s="101">
        <f t="shared" si="89"/>
        <v>24.631711203191415</v>
      </c>
      <c r="K246" s="104">
        <f t="shared" si="90"/>
        <v>1.5301870935883572</v>
      </c>
      <c r="L246" s="102">
        <f t="shared" si="91"/>
        <v>1.4670296102309694</v>
      </c>
      <c r="M246" s="103">
        <f t="shared" si="92"/>
        <v>0.82078164863503011</v>
      </c>
      <c r="N246" s="101">
        <f t="shared" si="93"/>
        <v>1.0146406765248166</v>
      </c>
      <c r="O246" s="104">
        <f t="shared" si="94"/>
        <v>0.17008383557437415</v>
      </c>
      <c r="P246" s="105">
        <f t="shared" ca="1" si="95"/>
        <v>1.2960248390360019</v>
      </c>
      <c r="Q246" s="106">
        <f t="shared" ca="1" si="96"/>
        <v>0.71558467615573362</v>
      </c>
      <c r="R246" s="107">
        <f t="shared" ca="1" si="97"/>
        <v>7.1003078450506205</v>
      </c>
      <c r="S246" s="108">
        <f t="shared" ca="1" si="98"/>
        <v>-93.683716414835246</v>
      </c>
      <c r="T246" s="116">
        <f t="shared" ca="1" si="99"/>
        <v>86.316283585164754</v>
      </c>
      <c r="V246" s="72">
        <f t="shared" ca="1" si="100"/>
        <v>1000000000</v>
      </c>
      <c r="W246" s="72">
        <f t="shared" si="101"/>
        <v>218773681</v>
      </c>
      <c r="Y246" s="110">
        <f t="shared" si="102"/>
        <v>21.065839488799263</v>
      </c>
      <c r="Z246" s="111">
        <f t="shared" si="103"/>
        <v>-50.599593039590729</v>
      </c>
      <c r="AA246" s="72">
        <f t="shared" si="104"/>
        <v>129.40040696040927</v>
      </c>
      <c r="AB246" s="110">
        <f t="shared" ca="1" si="105"/>
        <v>1.9520687031328618</v>
      </c>
      <c r="AC246" s="111">
        <f t="shared" ca="1" si="106"/>
        <v>-43.084123375244481</v>
      </c>
      <c r="AD246" s="72">
        <f t="shared" ca="1" si="107"/>
        <v>136.91587662475553</v>
      </c>
    </row>
    <row r="247" spans="1:30">
      <c r="A247" s="118">
        <v>14877.25</v>
      </c>
      <c r="B247" s="101">
        <f t="shared" ca="1" si="81"/>
        <v>243.48608559879631</v>
      </c>
      <c r="C247" s="102">
        <f t="shared" ca="1" si="82"/>
        <v>1.566689304379967</v>
      </c>
      <c r="D247" s="102">
        <f t="shared" si="83"/>
        <v>24.838154147302951</v>
      </c>
      <c r="E247" s="103">
        <f t="shared" si="84"/>
        <v>1.5305248016038526</v>
      </c>
      <c r="F247" s="101">
        <f t="shared" si="85"/>
        <v>2019.0930473315327</v>
      </c>
      <c r="G247" s="104">
        <f t="shared" si="86"/>
        <v>1.5703010548993275</v>
      </c>
      <c r="H247" s="113">
        <f t="shared" si="87"/>
        <v>243.05035295895277</v>
      </c>
      <c r="I247" s="114">
        <f t="shared" si="88"/>
        <v>1.5666819414044106</v>
      </c>
      <c r="J247" s="101">
        <f t="shared" si="89"/>
        <v>24.77510878557224</v>
      </c>
      <c r="K247" s="104">
        <f t="shared" si="90"/>
        <v>1.5304222667741714</v>
      </c>
      <c r="L247" s="102">
        <f t="shared" si="91"/>
        <v>1.4716155420185808</v>
      </c>
      <c r="M247" s="103">
        <f t="shared" si="92"/>
        <v>0.82368091634545904</v>
      </c>
      <c r="N247" s="101">
        <f t="shared" si="93"/>
        <v>1.0148106714899447</v>
      </c>
      <c r="O247" s="104">
        <f t="shared" si="94"/>
        <v>0.17105645673158185</v>
      </c>
      <c r="P247" s="105">
        <f t="shared" ca="1" si="95"/>
        <v>1.2990904238280467</v>
      </c>
      <c r="Q247" s="106">
        <f t="shared" ca="1" si="96"/>
        <v>0.7185943441822219</v>
      </c>
      <c r="R247" s="107">
        <f t="shared" ca="1" si="97"/>
        <v>7.054939263115811</v>
      </c>
      <c r="S247" s="108">
        <f t="shared" ca="1" si="98"/>
        <v>-93.745966132954365</v>
      </c>
      <c r="T247" s="116">
        <f t="shared" ca="1" si="99"/>
        <v>86.254033867045635</v>
      </c>
      <c r="V247" s="72">
        <f t="shared" ca="1" si="100"/>
        <v>1000000000</v>
      </c>
      <c r="W247" s="72">
        <f t="shared" si="101"/>
        <v>221332567.5625</v>
      </c>
      <c r="Y247" s="110">
        <f t="shared" si="102"/>
        <v>21.041073513447088</v>
      </c>
      <c r="Z247" s="111">
        <f t="shared" si="103"/>
        <v>-50.501469602667278</v>
      </c>
      <c r="AA247" s="72">
        <f t="shared" si="104"/>
        <v>129.49853039733273</v>
      </c>
      <c r="AB247" s="110">
        <f t="shared" ca="1" si="105"/>
        <v>1.9314660965502275</v>
      </c>
      <c r="AC247" s="111">
        <f t="shared" ca="1" si="106"/>
        <v>-43.244496530287122</v>
      </c>
      <c r="AD247" s="72">
        <f t="shared" ca="1" si="107"/>
        <v>136.75550346971289</v>
      </c>
    </row>
    <row r="248" spans="1:30">
      <c r="A248" s="118">
        <v>14963.5</v>
      </c>
      <c r="B248" s="101">
        <f t="shared" ca="1" si="81"/>
        <v>244.8976584146115</v>
      </c>
      <c r="C248" s="102">
        <f t="shared" ca="1" si="82"/>
        <v>1.5667129770992052</v>
      </c>
      <c r="D248" s="102">
        <f t="shared" si="83"/>
        <v>24.981919178242681</v>
      </c>
      <c r="E248" s="103">
        <f t="shared" si="84"/>
        <v>1.5307566789834837</v>
      </c>
      <c r="F248" s="101">
        <f t="shared" si="85"/>
        <v>2030.7986201180529</v>
      </c>
      <c r="G248" s="104">
        <f t="shared" si="86"/>
        <v>1.5703039096588467</v>
      </c>
      <c r="H248" s="113">
        <f t="shared" si="87"/>
        <v>244.459399597322</v>
      </c>
      <c r="I248" s="114">
        <f t="shared" si="88"/>
        <v>1.5667056565626079</v>
      </c>
      <c r="J248" s="101">
        <f t="shared" si="89"/>
        <v>24.918507722405433</v>
      </c>
      <c r="K248" s="104">
        <f t="shared" si="90"/>
        <v>1.5306547332628964</v>
      </c>
      <c r="L248" s="102">
        <f t="shared" si="91"/>
        <v>1.4762137669266138</v>
      </c>
      <c r="M248" s="103">
        <f t="shared" si="92"/>
        <v>0.82656214642240622</v>
      </c>
      <c r="N248" s="101">
        <f t="shared" si="93"/>
        <v>1.0149816261356606</v>
      </c>
      <c r="O248" s="104">
        <f t="shared" si="94"/>
        <v>0.17202875116867858</v>
      </c>
      <c r="P248" s="105">
        <f t="shared" ca="1" si="95"/>
        <v>1.3021666034611517</v>
      </c>
      <c r="Q248" s="106">
        <f t="shared" ca="1" si="96"/>
        <v>0.72159056903216523</v>
      </c>
      <c r="R248" s="107">
        <f t="shared" ca="1" si="97"/>
        <v>7.0098203248168369</v>
      </c>
      <c r="S248" s="108">
        <f t="shared" ca="1" si="98"/>
        <v>-93.808458103437715</v>
      </c>
      <c r="T248" s="116">
        <f t="shared" ca="1" si="99"/>
        <v>86.191541896562285</v>
      </c>
      <c r="V248" s="72">
        <f t="shared" ca="1" si="100"/>
        <v>1000000000</v>
      </c>
      <c r="W248" s="72">
        <f t="shared" si="101"/>
        <v>223906332.25</v>
      </c>
      <c r="Y248" s="110">
        <f t="shared" si="102"/>
        <v>21.016578081201672</v>
      </c>
      <c r="Z248" s="111">
        <f t="shared" si="103"/>
        <v>-50.40421978290955</v>
      </c>
      <c r="AA248" s="72">
        <f t="shared" si="104"/>
        <v>129.59578021709046</v>
      </c>
      <c r="AB248" s="110">
        <f t="shared" ca="1" si="105"/>
        <v>1.9108425904966695</v>
      </c>
      <c r="AC248" s="111">
        <f t="shared" ca="1" si="106"/>
        <v>-43.404238320528151</v>
      </c>
      <c r="AD248" s="72">
        <f t="shared" ca="1" si="107"/>
        <v>136.59576167947185</v>
      </c>
    </row>
    <row r="249" spans="1:30">
      <c r="A249" s="118">
        <v>15049.75</v>
      </c>
      <c r="B249" s="101">
        <f t="shared" ca="1" si="81"/>
        <v>246.30923136609368</v>
      </c>
      <c r="C249" s="102">
        <f t="shared" ca="1" si="82"/>
        <v>1.5667363784866024</v>
      </c>
      <c r="D249" s="102">
        <f t="shared" si="83"/>
        <v>25.125685537016995</v>
      </c>
      <c r="E249" s="103">
        <f t="shared" si="84"/>
        <v>1.5309859028225261</v>
      </c>
      <c r="F249" s="101">
        <f t="shared" si="85"/>
        <v>2042.5041929209337</v>
      </c>
      <c r="G249" s="104">
        <f t="shared" si="86"/>
        <v>1.5703067316971648</v>
      </c>
      <c r="H249" s="113">
        <f t="shared" si="87"/>
        <v>245.86844637160149</v>
      </c>
      <c r="I249" s="114">
        <f t="shared" si="88"/>
        <v>1.566729099902554</v>
      </c>
      <c r="J249" s="101">
        <f t="shared" si="89"/>
        <v>25.061907990441334</v>
      </c>
      <c r="K249" s="104">
        <f t="shared" si="90"/>
        <v>1.5308845394910642</v>
      </c>
      <c r="L249" s="102">
        <f t="shared" si="91"/>
        <v>1.4808241704380356</v>
      </c>
      <c r="M249" s="103">
        <f t="shared" si="92"/>
        <v>0.82942545928106726</v>
      </c>
      <c r="N249" s="101">
        <f t="shared" si="93"/>
        <v>1.0151535399771257</v>
      </c>
      <c r="O249" s="104">
        <f t="shared" si="94"/>
        <v>0.17300071721286267</v>
      </c>
      <c r="P249" s="105">
        <f t="shared" ca="1" si="95"/>
        <v>1.3052533039066847</v>
      </c>
      <c r="Q249" s="106">
        <f t="shared" ca="1" si="96"/>
        <v>0.72457339984875013</v>
      </c>
      <c r="R249" s="107">
        <f t="shared" ca="1" si="97"/>
        <v>6.9649476252422442</v>
      </c>
      <c r="S249" s="108">
        <f t="shared" ca="1" si="98"/>
        <v>-93.871188185856369</v>
      </c>
      <c r="T249" s="116">
        <f t="shared" ca="1" si="99"/>
        <v>86.128811814143631</v>
      </c>
      <c r="V249" s="72">
        <f t="shared" ca="1" si="100"/>
        <v>1000000000</v>
      </c>
      <c r="W249" s="72">
        <f t="shared" si="101"/>
        <v>226494975.0625</v>
      </c>
      <c r="Y249" s="110">
        <f t="shared" si="102"/>
        <v>20.992349054359313</v>
      </c>
      <c r="Z249" s="111">
        <f t="shared" si="103"/>
        <v>-50.307839006162894</v>
      </c>
      <c r="AA249" s="72">
        <f t="shared" si="104"/>
        <v>129.69216099383709</v>
      </c>
      <c r="AB249" s="110">
        <f t="shared" ca="1" si="105"/>
        <v>1.8901989177644376</v>
      </c>
      <c r="AC249" s="111">
        <f t="shared" ca="1" si="106"/>
        <v>-43.563349179693539</v>
      </c>
      <c r="AD249" s="72">
        <f t="shared" ca="1" si="107"/>
        <v>136.43665082030645</v>
      </c>
    </row>
    <row r="250" spans="1:30">
      <c r="A250" s="118">
        <v>15136</v>
      </c>
      <c r="B250" s="101">
        <f t="shared" ca="1" si="81"/>
        <v>247.72080445092377</v>
      </c>
      <c r="C250" s="102">
        <f t="shared" ca="1" si="82"/>
        <v>1.5667595131804768</v>
      </c>
      <c r="D250" s="102">
        <f t="shared" si="83"/>
        <v>25.269453200962399</v>
      </c>
      <c r="E250" s="103">
        <f t="shared" si="84"/>
        <v>1.531212518387731</v>
      </c>
      <c r="F250" s="101">
        <f t="shared" si="85"/>
        <v>2054.2097657398954</v>
      </c>
      <c r="G250" s="104">
        <f t="shared" si="86"/>
        <v>1.5703095215736507</v>
      </c>
      <c r="H250" s="113">
        <f t="shared" si="87"/>
        <v>247.27749327946788</v>
      </c>
      <c r="I250" s="114">
        <f t="shared" si="88"/>
        <v>1.5667522760708812</v>
      </c>
      <c r="J250" s="101">
        <f t="shared" si="89"/>
        <v>25.205309566959148</v>
      </c>
      <c r="K250" s="104">
        <f t="shared" si="90"/>
        <v>1.5311117308395739</v>
      </c>
      <c r="L250" s="102">
        <f t="shared" si="91"/>
        <v>1.4854466391560959</v>
      </c>
      <c r="M250" s="103">
        <f t="shared" si="92"/>
        <v>0.83227097501887892</v>
      </c>
      <c r="N250" s="101">
        <f t="shared" si="93"/>
        <v>1.0153264125271102</v>
      </c>
      <c r="O250" s="104">
        <f t="shared" si="94"/>
        <v>0.17397235319494422</v>
      </c>
      <c r="P250" s="105">
        <f t="shared" ca="1" si="95"/>
        <v>1.3083504515846949</v>
      </c>
      <c r="Q250" s="106">
        <f t="shared" ca="1" si="96"/>
        <v>0.72754288616985996</v>
      </c>
      <c r="R250" s="107">
        <f t="shared" ca="1" si="97"/>
        <v>6.920317824630466</v>
      </c>
      <c r="S250" s="108">
        <f t="shared" ca="1" si="98"/>
        <v>-93.934152279921634</v>
      </c>
      <c r="T250" s="116">
        <f t="shared" ca="1" si="99"/>
        <v>86.065847720078366</v>
      </c>
      <c r="V250" s="72">
        <f t="shared" ca="1" si="100"/>
        <v>1000000000</v>
      </c>
      <c r="W250" s="72">
        <f t="shared" si="101"/>
        <v>229098496</v>
      </c>
      <c r="Y250" s="110">
        <f t="shared" si="102"/>
        <v>20.968382368490751</v>
      </c>
      <c r="Z250" s="111">
        <f t="shared" si="103"/>
        <v>-50.212322661664487</v>
      </c>
      <c r="AA250" s="72">
        <f t="shared" si="104"/>
        <v>129.78767733833553</v>
      </c>
      <c r="AB250" s="110">
        <f t="shared" ca="1" si="105"/>
        <v>1.8695358030212237</v>
      </c>
      <c r="AC250" s="111">
        <f t="shared" ca="1" si="106"/>
        <v>-43.721829618257175</v>
      </c>
      <c r="AD250" s="72">
        <f t="shared" ca="1" si="107"/>
        <v>136.27817038174283</v>
      </c>
    </row>
    <row r="251" spans="1:30">
      <c r="A251" s="118">
        <v>15224</v>
      </c>
      <c r="B251" s="101">
        <f t="shared" ca="1" si="81"/>
        <v>249.16101828415134</v>
      </c>
      <c r="C251" s="102">
        <f t="shared" ca="1" si="82"/>
        <v>1.5667828471119132</v>
      </c>
      <c r="D251" s="102">
        <f t="shared" si="83"/>
        <v>25.416139212154398</v>
      </c>
      <c r="E251" s="103">
        <f t="shared" si="84"/>
        <v>1.531441089659221</v>
      </c>
      <c r="F251" s="101">
        <f t="shared" si="85"/>
        <v>2066.1528429511841</v>
      </c>
      <c r="G251" s="104">
        <f t="shared" si="86"/>
        <v>1.570312335476223</v>
      </c>
      <c r="H251" s="113">
        <f t="shared" si="87"/>
        <v>248.71512968020946</v>
      </c>
      <c r="I251" s="114">
        <f t="shared" si="88"/>
        <v>1.5667756518339668</v>
      </c>
      <c r="J251" s="101">
        <f t="shared" si="89"/>
        <v>25.351622066216851</v>
      </c>
      <c r="K251" s="104">
        <f t="shared" si="90"/>
        <v>1.5313408828844661</v>
      </c>
      <c r="L251" s="102">
        <f t="shared" si="91"/>
        <v>1.4901752154846903</v>
      </c>
      <c r="M251" s="103">
        <f t="shared" si="92"/>
        <v>0.83515600768746501</v>
      </c>
      <c r="N251" s="101">
        <f t="shared" si="93"/>
        <v>1.0155037802119833</v>
      </c>
      <c r="O251" s="104">
        <f t="shared" si="94"/>
        <v>0.17496336162668669</v>
      </c>
      <c r="P251" s="105">
        <f t="shared" ca="1" si="95"/>
        <v>1.3115211314035768</v>
      </c>
      <c r="Q251" s="106">
        <f t="shared" ca="1" si="96"/>
        <v>0.7305589213555137</v>
      </c>
      <c r="R251" s="107">
        <f t="shared" ca="1" si="97"/>
        <v>6.8750294343705693</v>
      </c>
      <c r="S251" s="108">
        <f t="shared" ca="1" si="98"/>
        <v>-93.998630875758849</v>
      </c>
      <c r="T251" s="116">
        <f t="shared" ca="1" si="99"/>
        <v>86.001369124241151</v>
      </c>
      <c r="V251" s="72">
        <f t="shared" ca="1" si="100"/>
        <v>1000000000</v>
      </c>
      <c r="W251" s="72">
        <f t="shared" si="101"/>
        <v>231770176</v>
      </c>
      <c r="Y251" s="110">
        <f t="shared" si="102"/>
        <v>20.944195638836234</v>
      </c>
      <c r="Z251" s="111">
        <f t="shared" si="103"/>
        <v>-50.115754403700279</v>
      </c>
      <c r="AA251" s="72">
        <f t="shared" si="104"/>
        <v>129.88424559629971</v>
      </c>
      <c r="AB251" s="110">
        <f t="shared" ca="1" si="105"/>
        <v>1.8484341424158377</v>
      </c>
      <c r="AC251" s="111">
        <f t="shared" ca="1" si="106"/>
        <v>-43.882876472058541</v>
      </c>
      <c r="AD251" s="72">
        <f t="shared" ca="1" si="107"/>
        <v>136.11712352794146</v>
      </c>
    </row>
    <row r="252" spans="1:30">
      <c r="A252" s="118">
        <v>15312</v>
      </c>
      <c r="B252" s="101">
        <f t="shared" ca="1" si="81"/>
        <v>250.60123225148092</v>
      </c>
      <c r="C252" s="102">
        <f t="shared" ca="1" si="82"/>
        <v>1.5668059128415366</v>
      </c>
      <c r="D252" s="102">
        <f t="shared" si="83"/>
        <v>25.56282653596891</v>
      </c>
      <c r="E252" s="103">
        <f t="shared" si="84"/>
        <v>1.5316670377185533</v>
      </c>
      <c r="F252" s="101">
        <f t="shared" si="85"/>
        <v>2078.0959201786445</v>
      </c>
      <c r="G252" s="104">
        <f t="shared" si="86"/>
        <v>1.5703151170350951</v>
      </c>
      <c r="H252" s="113">
        <f t="shared" si="87"/>
        <v>250.15276621529344</v>
      </c>
      <c r="I252" s="114">
        <f t="shared" si="88"/>
        <v>1.5667987589144394</v>
      </c>
      <c r="J252" s="101">
        <f t="shared" si="89"/>
        <v>25.497935881427157</v>
      </c>
      <c r="K252" s="104">
        <f t="shared" si="90"/>
        <v>1.5315674050725805</v>
      </c>
      <c r="L252" s="102">
        <f t="shared" si="91"/>
        <v>1.4949161166316298</v>
      </c>
      <c r="M252" s="103">
        <f t="shared" si="92"/>
        <v>0.83802276519890573</v>
      </c>
      <c r="N252" s="101">
        <f t="shared" si="93"/>
        <v>1.0156821448719002</v>
      </c>
      <c r="O252" s="104">
        <f t="shared" si="94"/>
        <v>0.17595402296768792</v>
      </c>
      <c r="P252" s="105">
        <f t="shared" ca="1" si="95"/>
        <v>1.3147025333842446</v>
      </c>
      <c r="Q252" s="106">
        <f t="shared" ca="1" si="96"/>
        <v>0.73356117040919622</v>
      </c>
      <c r="R252" s="107">
        <f t="shared" ca="1" si="97"/>
        <v>6.8299870767680018</v>
      </c>
      <c r="S252" s="108">
        <f t="shared" ca="1" si="98"/>
        <v>-94.063344580639892</v>
      </c>
      <c r="T252" s="116">
        <f t="shared" ca="1" si="99"/>
        <v>85.936655419360108</v>
      </c>
      <c r="V252" s="72">
        <f t="shared" ca="1" si="100"/>
        <v>1000000000</v>
      </c>
      <c r="W252" s="72">
        <f t="shared" si="101"/>
        <v>234457344</v>
      </c>
      <c r="Y252" s="110">
        <f t="shared" si="102"/>
        <v>20.920273682512885</v>
      </c>
      <c r="Z252" s="111">
        <f t="shared" si="103"/>
        <v>-50.020076209804991</v>
      </c>
      <c r="AA252" s="72">
        <f t="shared" si="104"/>
        <v>129.97992379019502</v>
      </c>
      <c r="AB252" s="110">
        <f t="shared" ca="1" si="105"/>
        <v>1.8273137411366216</v>
      </c>
      <c r="AC252" s="111">
        <f t="shared" ca="1" si="106"/>
        <v>-44.04326837083488</v>
      </c>
      <c r="AD252" s="72">
        <f t="shared" ca="1" si="107"/>
        <v>135.95673162916512</v>
      </c>
    </row>
    <row r="253" spans="1:30">
      <c r="A253" s="118">
        <v>15400</v>
      </c>
      <c r="B253" s="101">
        <f t="shared" ca="1" si="81"/>
        <v>252.04144635061363</v>
      </c>
      <c r="C253" s="102">
        <f t="shared" ca="1" si="82"/>
        <v>1.5668287149669951</v>
      </c>
      <c r="D253" s="102">
        <f t="shared" si="83"/>
        <v>25.709515149938174</v>
      </c>
      <c r="E253" s="103">
        <f t="shared" si="84"/>
        <v>1.5318904074435797</v>
      </c>
      <c r="F253" s="101">
        <f t="shared" si="85"/>
        <v>2090.0389974219997</v>
      </c>
      <c r="G253" s="104">
        <f t="shared" si="86"/>
        <v>1.5703178668047302</v>
      </c>
      <c r="H253" s="113">
        <f t="shared" si="87"/>
        <v>251.59040288241684</v>
      </c>
      <c r="I253" s="114">
        <f t="shared" si="88"/>
        <v>1.5668216019181882</v>
      </c>
      <c r="J253" s="101">
        <f t="shared" si="89"/>
        <v>25.644250990065476</v>
      </c>
      <c r="K253" s="104">
        <f t="shared" si="90"/>
        <v>1.5317913423949767</v>
      </c>
      <c r="L253" s="102">
        <f t="shared" si="91"/>
        <v>1.4996692257096529</v>
      </c>
      <c r="M253" s="103">
        <f t="shared" si="92"/>
        <v>0.84087137397560374</v>
      </c>
      <c r="N253" s="101">
        <f t="shared" si="93"/>
        <v>1.0158615059817155</v>
      </c>
      <c r="O253" s="104">
        <f t="shared" si="94"/>
        <v>0.17694433545679886</v>
      </c>
      <c r="P253" s="105">
        <f t="shared" ca="1" si="95"/>
        <v>1.3178945808240898</v>
      </c>
      <c r="Q253" s="106">
        <f t="shared" ca="1" si="96"/>
        <v>0.73654968711734314</v>
      </c>
      <c r="R253" s="107">
        <f t="shared" ca="1" si="97"/>
        <v>6.785187404758739</v>
      </c>
      <c r="S253" s="108">
        <f t="shared" ca="1" si="98"/>
        <v>-94.128289169706662</v>
      </c>
      <c r="T253" s="116">
        <f t="shared" ca="1" si="99"/>
        <v>85.871710830293338</v>
      </c>
      <c r="V253" s="72">
        <f t="shared" ca="1" si="100"/>
        <v>1000000000</v>
      </c>
      <c r="W253" s="72">
        <f t="shared" si="101"/>
        <v>237160000</v>
      </c>
      <c r="Y253" s="110">
        <f t="shared" si="102"/>
        <v>20.896612408810441</v>
      </c>
      <c r="Z253" s="111">
        <f t="shared" si="103"/>
        <v>-49.925283081270415</v>
      </c>
      <c r="AA253" s="72">
        <f t="shared" si="104"/>
        <v>130.07471691872959</v>
      </c>
      <c r="AB253" s="110">
        <f t="shared" ca="1" si="105"/>
        <v>1.8061753428298037</v>
      </c>
      <c r="AC253" s="111">
        <f t="shared" ca="1" si="106"/>
        <v>-44.203006088436226</v>
      </c>
      <c r="AD253" s="72">
        <f t="shared" ca="1" si="107"/>
        <v>135.79699391156379</v>
      </c>
    </row>
    <row r="254" spans="1:30">
      <c r="A254" s="118">
        <v>15488</v>
      </c>
      <c r="B254" s="101">
        <f t="shared" ca="1" si="81"/>
        <v>253.48166057930285</v>
      </c>
      <c r="C254" s="102">
        <f t="shared" ca="1" si="82"/>
        <v>1.5668512579814475</v>
      </c>
      <c r="D254" s="102">
        <f t="shared" si="83"/>
        <v>25.8562050321041</v>
      </c>
      <c r="E254" s="103">
        <f t="shared" si="84"/>
        <v>1.5321112426947727</v>
      </c>
      <c r="F254" s="101">
        <f t="shared" si="85"/>
        <v>2101.9820746809787</v>
      </c>
      <c r="G254" s="104">
        <f t="shared" si="86"/>
        <v>1.5703205853269901</v>
      </c>
      <c r="H254" s="113">
        <f t="shared" si="87"/>
        <v>253.02803967932903</v>
      </c>
      <c r="I254" s="114">
        <f t="shared" si="88"/>
        <v>1.5668441853464268</v>
      </c>
      <c r="J254" s="101">
        <f t="shared" si="89"/>
        <v>25.790567370118172</v>
      </c>
      <c r="K254" s="104">
        <f t="shared" si="90"/>
        <v>1.5320127388227829</v>
      </c>
      <c r="L254" s="102">
        <f t="shared" si="91"/>
        <v>1.5044344270095771</v>
      </c>
      <c r="M254" s="103">
        <f t="shared" si="92"/>
        <v>0.84370196002253695</v>
      </c>
      <c r="N254" s="101">
        <f t="shared" si="93"/>
        <v>1.0160418630137213</v>
      </c>
      <c r="O254" s="104">
        <f t="shared" si="94"/>
        <v>0.1779342973368476</v>
      </c>
      <c r="P254" s="105">
        <f t="shared" ca="1" si="95"/>
        <v>1.3210971975086849</v>
      </c>
      <c r="Q254" s="106">
        <f t="shared" ca="1" si="96"/>
        <v>0.73952452562842452</v>
      </c>
      <c r="R254" s="107">
        <f t="shared" ca="1" si="97"/>
        <v>6.7406271355763847</v>
      </c>
      <c r="S254" s="108">
        <f t="shared" ca="1" si="98"/>
        <v>-94.193460462130872</v>
      </c>
      <c r="T254" s="116">
        <f t="shared" ca="1" si="99"/>
        <v>85.806539537869128</v>
      </c>
      <c r="V254" s="72">
        <f t="shared" ca="1" si="100"/>
        <v>1000000000</v>
      </c>
      <c r="W254" s="72">
        <f t="shared" si="101"/>
        <v>239878144</v>
      </c>
      <c r="Y254" s="110">
        <f t="shared" si="102"/>
        <v>20.873207800032478</v>
      </c>
      <c r="Z254" s="111">
        <f t="shared" si="103"/>
        <v>-49.831369990370412</v>
      </c>
      <c r="AA254" s="72">
        <f t="shared" si="104"/>
        <v>130.1686300096296</v>
      </c>
      <c r="AB254" s="110">
        <f t="shared" ca="1" si="105"/>
        <v>1.7850196824254152</v>
      </c>
      <c r="AC254" s="111">
        <f t="shared" ca="1" si="106"/>
        <v>-44.362090471760517</v>
      </c>
      <c r="AD254" s="72">
        <f t="shared" ca="1" si="107"/>
        <v>135.63790952823948</v>
      </c>
    </row>
    <row r="255" spans="1:30">
      <c r="A255" s="118">
        <v>15578.25</v>
      </c>
      <c r="B255" s="101">
        <f t="shared" ca="1" si="81"/>
        <v>254.95869859951611</v>
      </c>
      <c r="C255" s="102">
        <f t="shared" ca="1" si="82"/>
        <v>1.5668741128462924</v>
      </c>
      <c r="D255" s="102">
        <f t="shared" si="83"/>
        <v>26.00664680261783</v>
      </c>
      <c r="E255" s="103">
        <f t="shared" si="84"/>
        <v>1.5323351366997584</v>
      </c>
      <c r="F255" s="101">
        <f t="shared" si="85"/>
        <v>2114.2305147267343</v>
      </c>
      <c r="G255" s="104">
        <f t="shared" si="86"/>
        <v>1.5703233414556348</v>
      </c>
      <c r="H255" s="113">
        <f t="shared" si="87"/>
        <v>254.50243436775804</v>
      </c>
      <c r="I255" s="114">
        <f t="shared" si="88"/>
        <v>1.5668670811841396</v>
      </c>
      <c r="J255" s="101">
        <f t="shared" si="89"/>
        <v>25.940626092034044</v>
      </c>
      <c r="K255" s="104">
        <f t="shared" si="90"/>
        <v>1.5322372017968402</v>
      </c>
      <c r="L255" s="102">
        <f t="shared" si="91"/>
        <v>1.5093339058045292</v>
      </c>
      <c r="M255" s="103">
        <f t="shared" si="92"/>
        <v>0.84658633071118017</v>
      </c>
      <c r="N255" s="101">
        <f t="shared" si="93"/>
        <v>1.0162278653352335</v>
      </c>
      <c r="O255" s="104">
        <f t="shared" si="94"/>
        <v>0.17894920473543607</v>
      </c>
      <c r="P255" s="105">
        <f t="shared" ca="1" si="95"/>
        <v>1.3243925980108704</v>
      </c>
      <c r="Q255" s="106">
        <f t="shared" ca="1" si="96"/>
        <v>0.74256127518057014</v>
      </c>
      <c r="R255" s="107">
        <f t="shared" ca="1" si="97"/>
        <v>6.6951728314592174</v>
      </c>
      <c r="S255" s="108">
        <f t="shared" ca="1" si="98"/>
        <v>-94.260529205002143</v>
      </c>
      <c r="T255" s="116">
        <f t="shared" ca="1" si="99"/>
        <v>85.739470794997857</v>
      </c>
      <c r="V255" s="72">
        <f t="shared" ca="1" si="100"/>
        <v>1000000000</v>
      </c>
      <c r="W255" s="72">
        <f t="shared" si="101"/>
        <v>242681873.0625</v>
      </c>
      <c r="Y255" s="110">
        <f t="shared" si="102"/>
        <v>20.849467237168152</v>
      </c>
      <c r="Z255" s="111">
        <f t="shared" si="103"/>
        <v>-49.735964494526812</v>
      </c>
      <c r="AA255" s="72">
        <f t="shared" si="104"/>
        <v>130.2640355054732</v>
      </c>
      <c r="AB255" s="110">
        <f t="shared" ca="1" si="105"/>
        <v>1.7633059411725713</v>
      </c>
      <c r="AC255" s="111">
        <f t="shared" ca="1" si="106"/>
        <v>-44.52456471047536</v>
      </c>
      <c r="AD255" s="72">
        <f t="shared" ca="1" si="107"/>
        <v>135.47543528952463</v>
      </c>
    </row>
    <row r="256" spans="1:30">
      <c r="A256" s="118">
        <v>15668.5</v>
      </c>
      <c r="B256" s="101">
        <f t="shared" ca="1" si="81"/>
        <v>256.43573675137156</v>
      </c>
      <c r="C256" s="102">
        <f t="shared" ca="1" si="82"/>
        <v>1.5668967044287552</v>
      </c>
      <c r="D256" s="102">
        <f t="shared" si="83"/>
        <v>26.157089861810277</v>
      </c>
      <c r="E256" s="103">
        <f t="shared" si="84"/>
        <v>1.5325564552534601</v>
      </c>
      <c r="F256" s="101">
        <f t="shared" si="85"/>
        <v>2126.4789547883647</v>
      </c>
      <c r="G256" s="104">
        <f t="shared" si="86"/>
        <v>1.5703260658338813</v>
      </c>
      <c r="H256" s="113">
        <f t="shared" si="87"/>
        <v>255.9768291880653</v>
      </c>
      <c r="I256" s="114">
        <f t="shared" si="88"/>
        <v>1.5668897132674875</v>
      </c>
      <c r="J256" s="101">
        <f t="shared" si="89"/>
        <v>26.090686105898666</v>
      </c>
      <c r="K256" s="104">
        <f t="shared" si="90"/>
        <v>1.53245908279414</v>
      </c>
      <c r="L256" s="102">
        <f t="shared" si="91"/>
        <v>1.5142458603255784</v>
      </c>
      <c r="M256" s="103">
        <f t="shared" si="92"/>
        <v>0.84945201230241063</v>
      </c>
      <c r="N256" s="101">
        <f t="shared" si="93"/>
        <v>1.0164149140253387</v>
      </c>
      <c r="O256" s="104">
        <f t="shared" si="94"/>
        <v>0.17996373963618292</v>
      </c>
      <c r="P256" s="105">
        <f t="shared" ca="1" si="95"/>
        <v>1.3276989543436906</v>
      </c>
      <c r="Q256" s="106">
        <f t="shared" ca="1" si="96"/>
        <v>0.74558375460227055</v>
      </c>
      <c r="R256" s="107">
        <f t="shared" ca="1" si="97"/>
        <v>6.6499635361326987</v>
      </c>
      <c r="S256" s="108">
        <f t="shared" ca="1" si="98"/>
        <v>-94.327827627473226</v>
      </c>
      <c r="T256" s="116">
        <f t="shared" ca="1" si="99"/>
        <v>85.672172372526774</v>
      </c>
      <c r="V256" s="72">
        <f t="shared" ca="1" si="100"/>
        <v>1000000000</v>
      </c>
      <c r="W256" s="72">
        <f t="shared" si="101"/>
        <v>245501892.25</v>
      </c>
      <c r="Y256" s="110">
        <f t="shared" si="102"/>
        <v>20.825988301453911</v>
      </c>
      <c r="Z256" s="111">
        <f t="shared" si="103"/>
        <v>-49.641473819011864</v>
      </c>
      <c r="AA256" s="72">
        <f t="shared" si="104"/>
        <v>130.35852618098812</v>
      </c>
      <c r="AB256" s="110">
        <f t="shared" ca="1" si="105"/>
        <v>1.7415755815602925</v>
      </c>
      <c r="AC256" s="111">
        <f t="shared" ca="1" si="106"/>
        <v>-44.686353808461377</v>
      </c>
      <c r="AD256" s="72">
        <f t="shared" ca="1" si="107"/>
        <v>135.31364619153862</v>
      </c>
    </row>
    <row r="257" spans="1:30">
      <c r="A257" s="118">
        <v>15758.75</v>
      </c>
      <c r="B257" s="101">
        <f t="shared" ca="1" si="81"/>
        <v>257.91277503260756</v>
      </c>
      <c r="C257" s="102">
        <f t="shared" ca="1" si="82"/>
        <v>1.5669190372521808</v>
      </c>
      <c r="D257" s="102">
        <f t="shared" si="83"/>
        <v>26.307534187573015</v>
      </c>
      <c r="E257" s="103">
        <f t="shared" si="84"/>
        <v>1.5327752425185408</v>
      </c>
      <c r="F257" s="101">
        <f t="shared" si="85"/>
        <v>2138.7273948655984</v>
      </c>
      <c r="G257" s="104">
        <f t="shared" si="86"/>
        <v>1.5703287590072312</v>
      </c>
      <c r="H257" s="113">
        <f t="shared" si="87"/>
        <v>257.45122413798498</v>
      </c>
      <c r="I257" s="114">
        <f t="shared" si="88"/>
        <v>1.5669120861279238</v>
      </c>
      <c r="J257" s="101">
        <f t="shared" si="89"/>
        <v>26.240747389547668</v>
      </c>
      <c r="K257" s="104">
        <f t="shared" si="90"/>
        <v>1.5326784260888016</v>
      </c>
      <c r="L257" s="102">
        <f t="shared" si="91"/>
        <v>1.5191701695589017</v>
      </c>
      <c r="M257" s="103">
        <f t="shared" si="92"/>
        <v>0.85229913923995937</v>
      </c>
      <c r="N257" s="101">
        <f t="shared" si="93"/>
        <v>1.0166030085064608</v>
      </c>
      <c r="O257" s="104">
        <f t="shared" si="94"/>
        <v>0.18097790015679585</v>
      </c>
      <c r="P257" s="105">
        <f t="shared" ca="1" si="95"/>
        <v>1.3310161858969438</v>
      </c>
      <c r="Q257" s="106">
        <f t="shared" ca="1" si="96"/>
        <v>0.74859202338521214</v>
      </c>
      <c r="R257" s="107">
        <f t="shared" ca="1" si="97"/>
        <v>6.6049959095900137</v>
      </c>
      <c r="S257" s="108">
        <f t="shared" ca="1" si="98"/>
        <v>-94.395351364437218</v>
      </c>
      <c r="T257" s="116">
        <f t="shared" ca="1" si="99"/>
        <v>85.604648635562782</v>
      </c>
      <c r="V257" s="72">
        <f t="shared" ca="1" si="100"/>
        <v>1000000000</v>
      </c>
      <c r="W257" s="72">
        <f t="shared" si="101"/>
        <v>248338201.5625</v>
      </c>
      <c r="Y257" s="110">
        <f t="shared" si="102"/>
        <v>20.802766888493089</v>
      </c>
      <c r="Z257" s="111">
        <f t="shared" si="103"/>
        <v>-49.547892461261675</v>
      </c>
      <c r="AA257" s="72">
        <f t="shared" si="104"/>
        <v>130.45210753873832</v>
      </c>
      <c r="AB257" s="110">
        <f t="shared" ca="1" si="105"/>
        <v>1.7198293679784282</v>
      </c>
      <c r="AC257" s="111">
        <f t="shared" ca="1" si="106"/>
        <v>-44.847458903175536</v>
      </c>
      <c r="AD257" s="72">
        <f t="shared" ca="1" si="107"/>
        <v>135.15254109682445</v>
      </c>
    </row>
    <row r="258" spans="1:30">
      <c r="A258" s="118">
        <v>15849</v>
      </c>
      <c r="B258" s="101">
        <f t="shared" ca="1" si="81"/>
        <v>259.38981344101381</v>
      </c>
      <c r="C258" s="102">
        <f t="shared" ca="1" si="82"/>
        <v>1.5669411157368864</v>
      </c>
      <c r="D258" s="102">
        <f t="shared" si="83"/>
        <v>26.457979758300276</v>
      </c>
      <c r="E258" s="103">
        <f t="shared" si="84"/>
        <v>1.5329915416541735</v>
      </c>
      <c r="F258" s="101">
        <f t="shared" si="85"/>
        <v>2150.9758349581671</v>
      </c>
      <c r="G258" s="104">
        <f t="shared" si="86"/>
        <v>1.5703314215087607</v>
      </c>
      <c r="H258" s="113">
        <f t="shared" si="87"/>
        <v>258.9256192153029</v>
      </c>
      <c r="I258" s="114">
        <f t="shared" si="88"/>
        <v>1.56693420419369</v>
      </c>
      <c r="J258" s="101">
        <f t="shared" si="89"/>
        <v>26.39080992132061</v>
      </c>
      <c r="K258" s="104">
        <f t="shared" si="90"/>
        <v>1.5328952749489342</v>
      </c>
      <c r="L258" s="102">
        <f t="shared" si="91"/>
        <v>1.5241067137522131</v>
      </c>
      <c r="M258" s="103">
        <f t="shared" si="92"/>
        <v>0.85512784543551501</v>
      </c>
      <c r="N258" s="101">
        <f t="shared" si="93"/>
        <v>1.0167921481982229</v>
      </c>
      <c r="O258" s="104">
        <f t="shared" si="94"/>
        <v>0.18199168441945188</v>
      </c>
      <c r="P258" s="105">
        <f t="shared" ca="1" si="95"/>
        <v>1.3343442126007699</v>
      </c>
      <c r="Q258" s="106">
        <f t="shared" ca="1" si="96"/>
        <v>0.75158614135240021</v>
      </c>
      <c r="R258" s="107">
        <f t="shared" ca="1" si="97"/>
        <v>6.5602666765547921</v>
      </c>
      <c r="S258" s="108">
        <f t="shared" ca="1" si="98"/>
        <v>-94.463096099664583</v>
      </c>
      <c r="T258" s="116">
        <f t="shared" ca="1" si="99"/>
        <v>85.536903900335417</v>
      </c>
      <c r="V258" s="72">
        <f t="shared" ca="1" si="100"/>
        <v>1000000000</v>
      </c>
      <c r="W258" s="72">
        <f t="shared" si="101"/>
        <v>251190801</v>
      </c>
      <c r="Y258" s="110">
        <f t="shared" si="102"/>
        <v>20.779798968117827</v>
      </c>
      <c r="Z258" s="111">
        <f t="shared" si="103"/>
        <v>-49.455214897013924</v>
      </c>
      <c r="AA258" s="72">
        <f t="shared" si="104"/>
        <v>130.54478510298608</v>
      </c>
      <c r="AB258" s="110">
        <f t="shared" ca="1" si="105"/>
        <v>1.698068055318471</v>
      </c>
      <c r="AC258" s="111">
        <f t="shared" ca="1" si="106"/>
        <v>-45.007881202650623</v>
      </c>
      <c r="AD258" s="72">
        <f t="shared" ca="1" si="107"/>
        <v>134.99211879734938</v>
      </c>
    </row>
    <row r="259" spans="1:30">
      <c r="A259" s="118">
        <v>15941.25</v>
      </c>
      <c r="B259" s="101">
        <f t="shared" ca="1" si="81"/>
        <v>260.89958413169512</v>
      </c>
      <c r="C259" s="102">
        <f t="shared" ca="1" si="82"/>
        <v>1.5669634251371387</v>
      </c>
      <c r="D259" s="102">
        <f t="shared" si="83"/>
        <v>26.611760567565241</v>
      </c>
      <c r="E259" s="103">
        <f t="shared" si="84"/>
        <v>1.5332101065872989</v>
      </c>
      <c r="F259" s="101">
        <f t="shared" si="85"/>
        <v>2163.495708641773</v>
      </c>
      <c r="G259" s="104">
        <f t="shared" si="86"/>
        <v>1.5703341118565388</v>
      </c>
      <c r="H259" s="113">
        <f t="shared" si="87"/>
        <v>260.43268799715321</v>
      </c>
      <c r="I259" s="114">
        <f t="shared" si="88"/>
        <v>1.5669565535889891</v>
      </c>
      <c r="J259" s="101">
        <f t="shared" si="89"/>
        <v>26.544199206442975</v>
      </c>
      <c r="K259" s="104">
        <f t="shared" si="90"/>
        <v>1.5331143953834554</v>
      </c>
      <c r="L259" s="102">
        <f t="shared" si="91"/>
        <v>1.5291651763461414</v>
      </c>
      <c r="M259" s="103">
        <f t="shared" si="92"/>
        <v>0.85800033889644844</v>
      </c>
      <c r="N259" s="101">
        <f t="shared" si="93"/>
        <v>1.016986558955266</v>
      </c>
      <c r="O259" s="104">
        <f t="shared" si="94"/>
        <v>0.18302754400747323</v>
      </c>
      <c r="P259" s="105">
        <f t="shared" ca="1" si="95"/>
        <v>1.3377570644348113</v>
      </c>
      <c r="Q259" s="106">
        <f t="shared" ca="1" si="96"/>
        <v>0.75463204889887536</v>
      </c>
      <c r="R259" s="107">
        <f t="shared" ca="1" si="97"/>
        <v>6.5147892466770427</v>
      </c>
      <c r="S259" s="108">
        <f t="shared" ca="1" si="98"/>
        <v>-94.532566059426543</v>
      </c>
      <c r="T259" s="116">
        <f t="shared" ca="1" si="99"/>
        <v>85.467433940573457</v>
      </c>
      <c r="V259" s="72">
        <f t="shared" ca="1" si="100"/>
        <v>1000000000</v>
      </c>
      <c r="W259" s="72">
        <f t="shared" si="101"/>
        <v>254123451.5625</v>
      </c>
      <c r="Y259" s="110">
        <f t="shared" si="102"/>
        <v>20.756579924715677</v>
      </c>
      <c r="Z259" s="111">
        <f t="shared" si="103"/>
        <v>-49.361411823129075</v>
      </c>
      <c r="AA259" s="72">
        <f t="shared" si="104"/>
        <v>130.63858817687094</v>
      </c>
      <c r="AB259" s="110">
        <f t="shared" ca="1" si="105"/>
        <v>1.6758096688428712</v>
      </c>
      <c r="AC259" s="111">
        <f t="shared" ca="1" si="106"/>
        <v>-45.171154236297546</v>
      </c>
      <c r="AD259" s="72">
        <f t="shared" ca="1" si="107"/>
        <v>134.82884576370245</v>
      </c>
    </row>
    <row r="260" spans="1:30">
      <c r="A260" s="118">
        <v>16033.5</v>
      </c>
      <c r="B260" s="101">
        <f t="shared" ca="1" si="81"/>
        <v>262.40935495073433</v>
      </c>
      <c r="C260" s="102">
        <f t="shared" ca="1" si="82"/>
        <v>1.5669854778233721</v>
      </c>
      <c r="D260" s="102">
        <f t="shared" si="83"/>
        <v>26.765542633482738</v>
      </c>
      <c r="E260" s="103">
        <f t="shared" si="84"/>
        <v>1.5334261599905361</v>
      </c>
      <c r="F260" s="101">
        <f t="shared" si="85"/>
        <v>2176.0155823408586</v>
      </c>
      <c r="G260" s="104">
        <f t="shared" si="86"/>
        <v>1.5703367712460696</v>
      </c>
      <c r="H260" s="113">
        <f t="shared" si="87"/>
        <v>261.93975690759163</v>
      </c>
      <c r="I260" s="114">
        <f t="shared" si="88"/>
        <v>1.5669786458100601</v>
      </c>
      <c r="J260" s="101">
        <f t="shared" si="89"/>
        <v>26.697589751407282</v>
      </c>
      <c r="K260" s="104">
        <f t="shared" si="90"/>
        <v>1.5333309979228649</v>
      </c>
      <c r="L260" s="102">
        <f t="shared" si="91"/>
        <v>1.5342361731547915</v>
      </c>
      <c r="M260" s="103">
        <f t="shared" si="92"/>
        <v>0.86085386729473823</v>
      </c>
      <c r="N260" s="101">
        <f t="shared" si="93"/>
        <v>1.0171820605262494</v>
      </c>
      <c r="O260" s="104">
        <f t="shared" si="94"/>
        <v>0.18406300652344276</v>
      </c>
      <c r="P260" s="105">
        <f t="shared" ca="1" si="95"/>
        <v>1.3411810277325609</v>
      </c>
      <c r="Q260" s="106">
        <f t="shared" ca="1" si="96"/>
        <v>0.75766329887770334</v>
      </c>
      <c r="R260" s="107">
        <f t="shared" ca="1" si="97"/>
        <v>6.469554173823143</v>
      </c>
      <c r="S260" s="108">
        <f t="shared" ca="1" si="98"/>
        <v>-94.602257957810409</v>
      </c>
      <c r="T260" s="116">
        <f t="shared" ca="1" si="99"/>
        <v>85.397742042189591</v>
      </c>
      <c r="V260" s="72">
        <f t="shared" ca="1" si="100"/>
        <v>1000000000</v>
      </c>
      <c r="W260" s="72">
        <f t="shared" si="101"/>
        <v>257073122.25</v>
      </c>
      <c r="Y260" s="110">
        <f t="shared" si="102"/>
        <v>20.733617449299132</v>
      </c>
      <c r="Z260" s="111">
        <f t="shared" si="103"/>
        <v>-49.268541313198007</v>
      </c>
      <c r="AA260" s="72">
        <f t="shared" si="104"/>
        <v>130.731458686802</v>
      </c>
      <c r="AB260" s="110">
        <f t="shared" ca="1" si="105"/>
        <v>1.653537071405514</v>
      </c>
      <c r="AC260" s="111">
        <f t="shared" ca="1" si="106"/>
        <v>-45.333716644612416</v>
      </c>
      <c r="AD260" s="72">
        <f t="shared" ca="1" si="107"/>
        <v>134.66628335538758</v>
      </c>
    </row>
    <row r="261" spans="1:30">
      <c r="A261" s="118">
        <v>16125.75</v>
      </c>
      <c r="B261" s="101">
        <f t="shared" ca="1" si="81"/>
        <v>263.91912589592869</v>
      </c>
      <c r="C261" s="102">
        <f t="shared" ca="1" si="82"/>
        <v>1.5670072782012254</v>
      </c>
      <c r="D261" s="102">
        <f t="shared" si="83"/>
        <v>26.919325934516134</v>
      </c>
      <c r="E261" s="103">
        <f t="shared" si="84"/>
        <v>1.5336397448867451</v>
      </c>
      <c r="F261" s="101">
        <f t="shared" si="85"/>
        <v>2188.5354560551568</v>
      </c>
      <c r="G261" s="104">
        <f t="shared" si="86"/>
        <v>1.5703394002086581</v>
      </c>
      <c r="H261" s="113">
        <f t="shared" si="87"/>
        <v>263.44682594441122</v>
      </c>
      <c r="I261" s="114">
        <f t="shared" si="88"/>
        <v>1.5670004852704396</v>
      </c>
      <c r="J261" s="101">
        <f t="shared" si="89"/>
        <v>26.850981534622374</v>
      </c>
      <c r="K261" s="104">
        <f t="shared" si="90"/>
        <v>1.5335451256986512</v>
      </c>
      <c r="L261" s="102">
        <f t="shared" si="91"/>
        <v>1.5393195803033792</v>
      </c>
      <c r="M261" s="103">
        <f t="shared" si="92"/>
        <v>0.86368857181895997</v>
      </c>
      <c r="N261" s="101">
        <f t="shared" si="93"/>
        <v>1.0173786522823336</v>
      </c>
      <c r="O261" s="104">
        <f t="shared" si="94"/>
        <v>0.18509806997649994</v>
      </c>
      <c r="P261" s="105">
        <f t="shared" ca="1" si="95"/>
        <v>1.3446160187306135</v>
      </c>
      <c r="Q261" s="106">
        <f t="shared" ca="1" si="96"/>
        <v>0.76067995614330131</v>
      </c>
      <c r="R261" s="107">
        <f t="shared" ca="1" si="97"/>
        <v>6.4245581600804673</v>
      </c>
      <c r="S261" s="108">
        <f t="shared" ca="1" si="98"/>
        <v>-94.672167343336042</v>
      </c>
      <c r="T261" s="116">
        <f t="shared" ca="1" si="99"/>
        <v>85.327832656663958</v>
      </c>
      <c r="V261" s="72">
        <f t="shared" ca="1" si="100"/>
        <v>1000000000</v>
      </c>
      <c r="W261" s="72">
        <f t="shared" si="101"/>
        <v>260039813.0625</v>
      </c>
      <c r="Y261" s="110">
        <f t="shared" si="102"/>
        <v>20.710907468237451</v>
      </c>
      <c r="Z261" s="111">
        <f t="shared" si="103"/>
        <v>-49.176597412460147</v>
      </c>
      <c r="AA261" s="72">
        <f t="shared" si="104"/>
        <v>130.82340258753985</v>
      </c>
      <c r="AB261" s="110">
        <f t="shared" ca="1" si="105"/>
        <v>1.6312510387245183</v>
      </c>
      <c r="AC261" s="111">
        <f t="shared" ca="1" si="106"/>
        <v>-45.495569930875888</v>
      </c>
      <c r="AD261" s="72">
        <f t="shared" ca="1" si="107"/>
        <v>134.50443006912411</v>
      </c>
    </row>
    <row r="262" spans="1:30">
      <c r="A262" s="118">
        <v>16218</v>
      </c>
      <c r="B262" s="101">
        <f t="shared" ca="1" si="81"/>
        <v>265.42889696512543</v>
      </c>
      <c r="C262" s="102">
        <f t="shared" ca="1" si="82"/>
        <v>1.5670288305761009</v>
      </c>
      <c r="D262" s="102">
        <f t="shared" si="83"/>
        <v>27.07311044961795</v>
      </c>
      <c r="E262" s="103">
        <f t="shared" si="84"/>
        <v>1.5338509033221606</v>
      </c>
      <c r="F262" s="101">
        <f t="shared" si="85"/>
        <v>2201.0553297844094</v>
      </c>
      <c r="G262" s="104">
        <f t="shared" si="86"/>
        <v>1.570341999263521</v>
      </c>
      <c r="H262" s="113">
        <f t="shared" si="87"/>
        <v>264.95389510545556</v>
      </c>
      <c r="I262" s="114">
        <f t="shared" si="88"/>
        <v>1.5670220762832479</v>
      </c>
      <c r="J262" s="101">
        <f t="shared" si="89"/>
        <v>27.004374534987505</v>
      </c>
      <c r="K262" s="104">
        <f t="shared" si="90"/>
        <v>1.5337568208632226</v>
      </c>
      <c r="L262" s="102">
        <f t="shared" si="91"/>
        <v>1.5444152752468687</v>
      </c>
      <c r="M262" s="103">
        <f t="shared" si="92"/>
        <v>0.86650459301121707</v>
      </c>
      <c r="N262" s="101">
        <f t="shared" si="93"/>
        <v>1.0175763335916603</v>
      </c>
      <c r="O262" s="104">
        <f t="shared" si="94"/>
        <v>0.18613273238073874</v>
      </c>
      <c r="P262" s="105">
        <f t="shared" ca="1" si="95"/>
        <v>1.3480619542537515</v>
      </c>
      <c r="Q262" s="106">
        <f t="shared" ca="1" si="96"/>
        <v>0.76368208584016817</v>
      </c>
      <c r="R262" s="107">
        <f t="shared" ca="1" si="97"/>
        <v>6.3797979717843667</v>
      </c>
      <c r="S262" s="108">
        <f t="shared" ca="1" si="98"/>
        <v>-94.742289817644803</v>
      </c>
      <c r="T262" s="116">
        <f t="shared" ca="1" si="99"/>
        <v>85.257710182355197</v>
      </c>
      <c r="V262" s="72">
        <f t="shared" ca="1" si="100"/>
        <v>1000000000</v>
      </c>
      <c r="W262" s="72">
        <f t="shared" si="101"/>
        <v>263023524</v>
      </c>
      <c r="Y262" s="110">
        <f t="shared" si="102"/>
        <v>20.68844598231383</v>
      </c>
      <c r="Z262" s="111">
        <f t="shared" si="103"/>
        <v>-49.085574152442462</v>
      </c>
      <c r="AA262" s="72">
        <f t="shared" si="104"/>
        <v>130.91442584755754</v>
      </c>
      <c r="AB262" s="110">
        <f t="shared" ca="1" si="105"/>
        <v>1.6089523363520433</v>
      </c>
      <c r="AC262" s="111">
        <f t="shared" ca="1" si="106"/>
        <v>-45.656715665202327</v>
      </c>
      <c r="AD262" s="72">
        <f t="shared" ca="1" si="107"/>
        <v>134.34328433479766</v>
      </c>
    </row>
    <row r="263" spans="1:30">
      <c r="A263" s="118">
        <v>16312.5</v>
      </c>
      <c r="B263" s="101">
        <f t="shared" ca="1" si="81"/>
        <v>266.97549184531357</v>
      </c>
      <c r="C263" s="102">
        <f t="shared" ca="1" si="82"/>
        <v>1.5670506558667014</v>
      </c>
      <c r="D263" s="102">
        <f t="shared" si="83"/>
        <v>27.230647043896859</v>
      </c>
      <c r="E263" s="103">
        <f t="shared" si="84"/>
        <v>1.534064738961302</v>
      </c>
      <c r="F263" s="101">
        <f t="shared" si="85"/>
        <v>2213.8805663027865</v>
      </c>
      <c r="G263" s="104">
        <f t="shared" si="86"/>
        <v>1.5703446312295506</v>
      </c>
      <c r="H263" s="113">
        <f t="shared" si="87"/>
        <v>266.49772217751905</v>
      </c>
      <c r="I263" s="114">
        <f t="shared" si="88"/>
        <v>1.5670439407010623</v>
      </c>
      <c r="J263" s="101">
        <f t="shared" si="89"/>
        <v>27.161510068530664</v>
      </c>
      <c r="K263" s="104">
        <f t="shared" si="90"/>
        <v>1.533971200053686</v>
      </c>
      <c r="L263" s="102">
        <f t="shared" si="91"/>
        <v>1.5496478697240239</v>
      </c>
      <c r="M263" s="103">
        <f t="shared" si="92"/>
        <v>0.86937007143651168</v>
      </c>
      <c r="N263" s="101">
        <f t="shared" si="93"/>
        <v>1.017779965471707</v>
      </c>
      <c r="O263" s="104">
        <f t="shared" si="94"/>
        <v>0.18719221254208629</v>
      </c>
      <c r="P263" s="105">
        <f t="shared" ca="1" si="95"/>
        <v>1.3516031988483896</v>
      </c>
      <c r="Q263" s="106">
        <f t="shared" ca="1" si="96"/>
        <v>0.76674244320958496</v>
      </c>
      <c r="R263" s="107">
        <f t="shared" ca="1" si="97"/>
        <v>6.3341872807083588</v>
      </c>
      <c r="S263" s="108">
        <f t="shared" ca="1" si="98"/>
        <v>-94.814339002382127</v>
      </c>
      <c r="T263" s="116">
        <f t="shared" ca="1" si="99"/>
        <v>85.185660997617873</v>
      </c>
      <c r="V263" s="72">
        <f t="shared" ca="1" si="100"/>
        <v>1000000000</v>
      </c>
      <c r="W263" s="72">
        <f t="shared" si="101"/>
        <v>266097656.25</v>
      </c>
      <c r="Y263" s="110">
        <f t="shared" si="102"/>
        <v>20.665690211774873</v>
      </c>
      <c r="Z263" s="111">
        <f t="shared" si="103"/>
        <v>-48.993279158516856</v>
      </c>
      <c r="AA263" s="72">
        <f t="shared" si="104"/>
        <v>131.00672084148314</v>
      </c>
      <c r="AB263" s="110">
        <f t="shared" ca="1" si="105"/>
        <v>1.586097415814993</v>
      </c>
      <c r="AC263" s="111">
        <f t="shared" ca="1" si="106"/>
        <v>-45.821059843865228</v>
      </c>
      <c r="AD263" s="72">
        <f t="shared" ca="1" si="107"/>
        <v>134.17894015613479</v>
      </c>
    </row>
    <row r="264" spans="1:30">
      <c r="A264" s="118">
        <v>16407</v>
      </c>
      <c r="B264" s="101">
        <f t="shared" ca="1" si="81"/>
        <v>268.52208685120877</v>
      </c>
      <c r="C264" s="102">
        <f t="shared" ca="1" si="82"/>
        <v>1.5670722297449546</v>
      </c>
      <c r="D264" s="102">
        <f t="shared" si="83"/>
        <v>27.388184868991537</v>
      </c>
      <c r="E264" s="103">
        <f t="shared" si="84"/>
        <v>1.5342761146294313</v>
      </c>
      <c r="F264" s="101">
        <f t="shared" si="85"/>
        <v>2226.7058028363226</v>
      </c>
      <c r="G264" s="104">
        <f t="shared" si="86"/>
        <v>1.5703472328767236</v>
      </c>
      <c r="H264" s="113">
        <f t="shared" si="87"/>
        <v>268.04154937551493</v>
      </c>
      <c r="I264" s="114">
        <f t="shared" si="88"/>
        <v>1.5670655532558235</v>
      </c>
      <c r="J264" s="101">
        <f t="shared" si="89"/>
        <v>27.318646836014022</v>
      </c>
      <c r="K264" s="104">
        <f t="shared" si="90"/>
        <v>1.534183113036987</v>
      </c>
      <c r="L264" s="102">
        <f t="shared" si="91"/>
        <v>1.5548931026079353</v>
      </c>
      <c r="M264" s="103">
        <f t="shared" si="92"/>
        <v>0.87221624045105417</v>
      </c>
      <c r="N264" s="101">
        <f t="shared" si="93"/>
        <v>1.0179847393501367</v>
      </c>
      <c r="O264" s="104">
        <f t="shared" si="94"/>
        <v>0.18825126764994926</v>
      </c>
      <c r="P264" s="105">
        <f t="shared" ca="1" si="95"/>
        <v>1.3551557535540648</v>
      </c>
      <c r="Q264" s="106">
        <f t="shared" ca="1" si="96"/>
        <v>0.76978769495473842</v>
      </c>
      <c r="R264" s="107">
        <f t="shared" ca="1" si="97"/>
        <v>6.2888173898005464</v>
      </c>
      <c r="S264" s="108">
        <f t="shared" ca="1" si="98"/>
        <v>-94.886602623948704</v>
      </c>
      <c r="T264" s="116">
        <f t="shared" ca="1" si="99"/>
        <v>85.113397376051296</v>
      </c>
      <c r="V264" s="72">
        <f t="shared" ca="1" si="100"/>
        <v>1000000000</v>
      </c>
      <c r="W264" s="72">
        <f t="shared" si="101"/>
        <v>269189649</v>
      </c>
      <c r="Y264" s="110">
        <f t="shared" si="102"/>
        <v>20.643186942821853</v>
      </c>
      <c r="Z264" s="111">
        <f t="shared" si="103"/>
        <v>-48.901937548848281</v>
      </c>
      <c r="AA264" s="72">
        <f t="shared" si="104"/>
        <v>131.09806245115172</v>
      </c>
      <c r="AB264" s="110">
        <f t="shared" ca="1" si="105"/>
        <v>1.5632307938601988</v>
      </c>
      <c r="AC264" s="111">
        <f t="shared" ca="1" si="106"/>
        <v>-45.984665075100409</v>
      </c>
      <c r="AD264" s="72">
        <f t="shared" ca="1" si="107"/>
        <v>134.01533492489961</v>
      </c>
    </row>
    <row r="265" spans="1:30">
      <c r="A265" s="118">
        <v>16501.5</v>
      </c>
      <c r="B265" s="101">
        <f t="shared" ca="1" si="81"/>
        <v>270.06868198065143</v>
      </c>
      <c r="C265" s="102">
        <f t="shared" ca="1" si="82"/>
        <v>1.5670935565301094</v>
      </c>
      <c r="D265" s="102">
        <f t="shared" si="83"/>
        <v>27.54572390378436</v>
      </c>
      <c r="E265" s="103">
        <f t="shared" si="84"/>
        <v>1.5344850725145689</v>
      </c>
      <c r="F265" s="101">
        <f t="shared" si="85"/>
        <v>2239.5310393847581</v>
      </c>
      <c r="G265" s="104">
        <f t="shared" si="86"/>
        <v>1.5703498047259259</v>
      </c>
      <c r="H265" s="113">
        <f t="shared" si="87"/>
        <v>269.58537669727974</v>
      </c>
      <c r="I265" s="114">
        <f t="shared" si="88"/>
        <v>1.5670869182745233</v>
      </c>
      <c r="J265" s="101">
        <f t="shared" si="89"/>
        <v>27.475784816266493</v>
      </c>
      <c r="K265" s="104">
        <f t="shared" si="90"/>
        <v>1.5343926021077121</v>
      </c>
      <c r="L265" s="102">
        <f t="shared" si="91"/>
        <v>1.5601508464274976</v>
      </c>
      <c r="M265" s="103">
        <f t="shared" si="92"/>
        <v>0.87504324892940366</v>
      </c>
      <c r="N265" s="101">
        <f t="shared" si="93"/>
        <v>1.0181906545379289</v>
      </c>
      <c r="O265" s="104">
        <f t="shared" si="94"/>
        <v>0.1893098955858343</v>
      </c>
      <c r="P265" s="105">
        <f t="shared" ca="1" si="95"/>
        <v>1.3587195308747031</v>
      </c>
      <c r="Q265" s="106">
        <f t="shared" ca="1" si="96"/>
        <v>0.77281791193905658</v>
      </c>
      <c r="R265" s="107">
        <f t="shared" ca="1" si="97"/>
        <v>6.2436850228897747</v>
      </c>
      <c r="S265" s="108">
        <f t="shared" ca="1" si="98"/>
        <v>-94.959076126761857</v>
      </c>
      <c r="T265" s="116">
        <f t="shared" ca="1" si="99"/>
        <v>85.040923873238143</v>
      </c>
      <c r="V265" s="72">
        <f t="shared" ca="1" si="100"/>
        <v>1000000000</v>
      </c>
      <c r="W265" s="72">
        <f t="shared" si="101"/>
        <v>272299502.25</v>
      </c>
      <c r="Y265" s="110">
        <f t="shared" si="102"/>
        <v>20.620932109137257</v>
      </c>
      <c r="Z265" s="111">
        <f t="shared" si="103"/>
        <v>-48.811542877399489</v>
      </c>
      <c r="AA265" s="72">
        <f t="shared" si="104"/>
        <v>131.18845712260051</v>
      </c>
      <c r="AB265" s="110">
        <f t="shared" ca="1" si="105"/>
        <v>1.5403532606340256</v>
      </c>
      <c r="AC265" s="111">
        <f t="shared" ca="1" si="106"/>
        <v>-46.147533249362375</v>
      </c>
      <c r="AD265" s="72">
        <f t="shared" ca="1" si="107"/>
        <v>133.85246675063763</v>
      </c>
    </row>
    <row r="266" spans="1:30">
      <c r="A266" s="118">
        <v>16596</v>
      </c>
      <c r="B266" s="101">
        <f t="shared" ca="1" si="81"/>
        <v>271.61527723153102</v>
      </c>
      <c r="C266" s="102">
        <f t="shared" ca="1" si="82"/>
        <v>1.5671146404430392</v>
      </c>
      <c r="D266" s="102">
        <f t="shared" si="83"/>
        <v>27.703264127637908</v>
      </c>
      <c r="E266" s="103">
        <f t="shared" si="84"/>
        <v>1.5346916538459483</v>
      </c>
      <c r="F266" s="101">
        <f t="shared" si="85"/>
        <v>2252.3562759478377</v>
      </c>
      <c r="G266" s="104">
        <f t="shared" si="86"/>
        <v>1.5703523472861787</v>
      </c>
      <c r="H266" s="113">
        <f t="shared" si="87"/>
        <v>271.12920414069913</v>
      </c>
      <c r="I266" s="114">
        <f t="shared" si="88"/>
        <v>1.5671080399856014</v>
      </c>
      <c r="J266" s="101">
        <f t="shared" si="89"/>
        <v>27.632923988598396</v>
      </c>
      <c r="K266" s="104">
        <f t="shared" si="90"/>
        <v>1.5345997085992495</v>
      </c>
      <c r="L266" s="102">
        <f t="shared" si="91"/>
        <v>1.5654209751221309</v>
      </c>
      <c r="M266" s="103">
        <f t="shared" si="92"/>
        <v>0.87785124497351441</v>
      </c>
      <c r="N266" s="101">
        <f t="shared" si="93"/>
        <v>1.0183977103427813</v>
      </c>
      <c r="O266" s="104">
        <f t="shared" si="94"/>
        <v>0.19036809423678647</v>
      </c>
      <c r="P266" s="105">
        <f t="shared" ca="1" si="95"/>
        <v>1.362294443958014</v>
      </c>
      <c r="Q266" s="106">
        <f t="shared" ca="1" si="96"/>
        <v>0.77583316527111568</v>
      </c>
      <c r="R266" s="107">
        <f t="shared" ca="1" si="97"/>
        <v>6.1987869680776653</v>
      </c>
      <c r="S266" s="108">
        <f t="shared" ca="1" si="98"/>
        <v>-95.031755013061598</v>
      </c>
      <c r="T266" s="116">
        <f t="shared" ca="1" si="99"/>
        <v>84.968244986938402</v>
      </c>
      <c r="V266" s="72">
        <f t="shared" ca="1" si="100"/>
        <v>1000000000</v>
      </c>
      <c r="W266" s="72">
        <f t="shared" si="101"/>
        <v>275427216</v>
      </c>
      <c r="Y266" s="110">
        <f t="shared" si="102"/>
        <v>20.598921719603382</v>
      </c>
      <c r="Z266" s="111">
        <f t="shared" si="103"/>
        <v>-48.722088692611933</v>
      </c>
      <c r="AA266" s="72">
        <f t="shared" si="104"/>
        <v>131.27791130738808</v>
      </c>
      <c r="AB266" s="110">
        <f t="shared" ca="1" si="105"/>
        <v>1.5174655953557894</v>
      </c>
      <c r="AC266" s="111">
        <f t="shared" ca="1" si="106"/>
        <v>-46.309666320449637</v>
      </c>
      <c r="AD266" s="72">
        <f t="shared" ca="1" si="107"/>
        <v>133.69033367955035</v>
      </c>
    </row>
    <row r="267" spans="1:30">
      <c r="A267" s="118">
        <v>16692.5</v>
      </c>
      <c r="B267" s="101">
        <f t="shared" ca="1" si="81"/>
        <v>273.19460478020829</v>
      </c>
      <c r="C267" s="102">
        <f t="shared" ca="1" si="82"/>
        <v>1.5671359242261886</v>
      </c>
      <c r="D267" s="102">
        <f t="shared" si="83"/>
        <v>27.864139742238265</v>
      </c>
      <c r="E267" s="103">
        <f t="shared" si="84"/>
        <v>1.5349001966110365</v>
      </c>
      <c r="F267" s="101">
        <f t="shared" si="85"/>
        <v>2265.4529461038269</v>
      </c>
      <c r="G267" s="104">
        <f t="shared" si="86"/>
        <v>1.5703549139488722</v>
      </c>
      <c r="H267" s="113">
        <f t="shared" si="87"/>
        <v>272.70570530420139</v>
      </c>
      <c r="I267" s="114">
        <f t="shared" si="88"/>
        <v>1.5671293619252278</v>
      </c>
      <c r="J267" s="101">
        <f t="shared" si="89"/>
        <v>27.793390066876363</v>
      </c>
      <c r="K267" s="104">
        <f t="shared" si="90"/>
        <v>1.5348087815267291</v>
      </c>
      <c r="L267" s="102">
        <f t="shared" si="91"/>
        <v>1.5708152922022685</v>
      </c>
      <c r="M267" s="103">
        <f t="shared" si="92"/>
        <v>0.8806992023375082</v>
      </c>
      <c r="N267" s="101">
        <f t="shared" si="93"/>
        <v>1.0186103246407541</v>
      </c>
      <c r="O267" s="104">
        <f t="shared" si="94"/>
        <v>0.19144824342713432</v>
      </c>
      <c r="P267" s="105">
        <f t="shared" ca="1" si="95"/>
        <v>1.3659564187603486</v>
      </c>
      <c r="Q267" s="106">
        <f t="shared" ca="1" si="96"/>
        <v>0.77889686558548676</v>
      </c>
      <c r="R267" s="107">
        <f t="shared" ca="1" si="97"/>
        <v>6.1531772205159472</v>
      </c>
      <c r="S267" s="108">
        <f t="shared" ca="1" si="98"/>
        <v>-95.106179412316521</v>
      </c>
      <c r="T267" s="116">
        <f t="shared" ca="1" si="99"/>
        <v>84.893820587683479</v>
      </c>
      <c r="V267" s="72">
        <f t="shared" ca="1" si="100"/>
        <v>1000000000</v>
      </c>
      <c r="W267" s="72">
        <f t="shared" si="101"/>
        <v>278639556.25</v>
      </c>
      <c r="Y267" s="110">
        <f t="shared" si="102"/>
        <v>20.576693689861514</v>
      </c>
      <c r="Z267" s="111">
        <f t="shared" si="103"/>
        <v>-48.631705143313184</v>
      </c>
      <c r="AA267" s="72">
        <f t="shared" si="104"/>
        <v>131.36829485668682</v>
      </c>
      <c r="AB267" s="110">
        <f t="shared" ca="1" si="105"/>
        <v>1.4940838775359384</v>
      </c>
      <c r="AC267" s="111">
        <f t="shared" ca="1" si="106"/>
        <v>-46.474474269003323</v>
      </c>
      <c r="AD267" s="72">
        <f t="shared" ca="1" si="107"/>
        <v>133.52552573099666</v>
      </c>
    </row>
    <row r="268" spans="1:30">
      <c r="A268" s="118">
        <v>16789</v>
      </c>
      <c r="B268" s="101">
        <f t="shared" ca="1" si="81"/>
        <v>274.77393245121988</v>
      </c>
      <c r="C268" s="102">
        <f t="shared" ca="1" si="82"/>
        <v>1.5671569633422688</v>
      </c>
      <c r="D268" s="102">
        <f t="shared" si="83"/>
        <v>28.025016554739732</v>
      </c>
      <c r="E268" s="103">
        <f t="shared" si="84"/>
        <v>1.5351063451173508</v>
      </c>
      <c r="F268" s="101">
        <f t="shared" si="85"/>
        <v>2278.5496162745681</v>
      </c>
      <c r="G268" s="104">
        <f t="shared" si="86"/>
        <v>1.5703574511061869</v>
      </c>
      <c r="H268" s="113">
        <f t="shared" si="87"/>
        <v>274.28220659025732</v>
      </c>
      <c r="I268" s="114">
        <f t="shared" si="88"/>
        <v>1.5671504387591704</v>
      </c>
      <c r="J268" s="101">
        <f t="shared" si="89"/>
        <v>27.953857346096871</v>
      </c>
      <c r="K268" s="104">
        <f t="shared" si="90"/>
        <v>1.5350154541243826</v>
      </c>
      <c r="L268" s="102">
        <f t="shared" si="91"/>
        <v>1.5762222626821456</v>
      </c>
      <c r="M268" s="103">
        <f t="shared" si="92"/>
        <v>0.88352764361580116</v>
      </c>
      <c r="N268" s="101">
        <f t="shared" si="93"/>
        <v>1.0188241268772522</v>
      </c>
      <c r="O268" s="104">
        <f t="shared" si="94"/>
        <v>0.19252794053390723</v>
      </c>
      <c r="P268" s="105">
        <f t="shared" ca="1" si="95"/>
        <v>1.3696298246629288</v>
      </c>
      <c r="Q268" s="106">
        <f t="shared" ca="1" si="96"/>
        <v>0.78194511273864487</v>
      </c>
      <c r="R268" s="107">
        <f t="shared" ca="1" si="97"/>
        <v>6.1078052368812052</v>
      </c>
      <c r="S268" s="108">
        <f t="shared" ca="1" si="98"/>
        <v>-95.180808684267888</v>
      </c>
      <c r="T268" s="116">
        <f t="shared" ca="1" si="99"/>
        <v>84.819191315732112</v>
      </c>
      <c r="V268" s="72">
        <f t="shared" ca="1" si="100"/>
        <v>1000000000</v>
      </c>
      <c r="W268" s="72">
        <f t="shared" si="101"/>
        <v>281870521</v>
      </c>
      <c r="Y268" s="110">
        <f t="shared" si="102"/>
        <v>20.554712381722865</v>
      </c>
      <c r="Z268" s="111">
        <f t="shared" si="103"/>
        <v>-48.542288705097057</v>
      </c>
      <c r="AA268" s="72">
        <f t="shared" si="104"/>
        <v>131.45771129490294</v>
      </c>
      <c r="AB268" s="110">
        <f t="shared" ca="1" si="105"/>
        <v>1.4706932020398475</v>
      </c>
      <c r="AC268" s="111">
        <f t="shared" ca="1" si="106"/>
        <v>-46.638519979170859</v>
      </c>
      <c r="AD268" s="72">
        <f t="shared" ca="1" si="107"/>
        <v>133.36148002082913</v>
      </c>
    </row>
    <row r="269" spans="1:30">
      <c r="A269" s="118">
        <v>16885.5</v>
      </c>
      <c r="B269" s="101">
        <f t="shared" ca="1" si="81"/>
        <v>276.35326024246848</v>
      </c>
      <c r="C269" s="102">
        <f t="shared" ca="1" si="82"/>
        <v>1.5671777619859952</v>
      </c>
      <c r="D269" s="102">
        <f t="shared" si="83"/>
        <v>28.185894544630504</v>
      </c>
      <c r="E269" s="103">
        <f t="shared" si="84"/>
        <v>1.5353101403446965</v>
      </c>
      <c r="F269" s="101">
        <f t="shared" si="85"/>
        <v>2291.6462864598093</v>
      </c>
      <c r="G269" s="104">
        <f t="shared" si="86"/>
        <v>1.570359959263989</v>
      </c>
      <c r="H269" s="113">
        <f t="shared" si="87"/>
        <v>275.85870799676582</v>
      </c>
      <c r="I269" s="114">
        <f t="shared" si="88"/>
        <v>1.5671712746896638</v>
      </c>
      <c r="J269" s="101">
        <f t="shared" si="89"/>
        <v>28.114325805696168</v>
      </c>
      <c r="K269" s="104">
        <f t="shared" si="90"/>
        <v>1.5352197674755719</v>
      </c>
      <c r="L269" s="102">
        <f t="shared" si="91"/>
        <v>1.5816417567917507</v>
      </c>
      <c r="M269" s="103">
        <f t="shared" si="92"/>
        <v>0.88633672393575147</v>
      </c>
      <c r="N269" s="101">
        <f t="shared" si="93"/>
        <v>1.0190391163045602</v>
      </c>
      <c r="O269" s="104">
        <f t="shared" si="94"/>
        <v>0.19360718332514784</v>
      </c>
      <c r="P269" s="105">
        <f t="shared" ca="1" si="95"/>
        <v>1.3733145712509587</v>
      </c>
      <c r="Q269" s="106">
        <f t="shared" ca="1" si="96"/>
        <v>0.78497798312742606</v>
      </c>
      <c r="R269" s="107">
        <f t="shared" ca="1" si="97"/>
        <v>6.0626677947145025</v>
      </c>
      <c r="S269" s="108">
        <f t="shared" ca="1" si="98"/>
        <v>-95.255638224593909</v>
      </c>
      <c r="T269" s="116">
        <f t="shared" ca="1" si="99"/>
        <v>84.744361775406091</v>
      </c>
      <c r="V269" s="72">
        <f t="shared" ca="1" si="100"/>
        <v>1000000000</v>
      </c>
      <c r="W269" s="72">
        <f t="shared" si="101"/>
        <v>285120110.25</v>
      </c>
      <c r="Y269" s="110">
        <f t="shared" si="102"/>
        <v>20.532973777773165</v>
      </c>
      <c r="Z269" s="111">
        <f t="shared" si="103"/>
        <v>-48.453832504055796</v>
      </c>
      <c r="AA269" s="72">
        <f t="shared" si="104"/>
        <v>131.54616749594419</v>
      </c>
      <c r="AB269" s="110">
        <f t="shared" ca="1" si="105"/>
        <v>1.4472943638228377</v>
      </c>
      <c r="AC269" s="111">
        <f t="shared" ca="1" si="106"/>
        <v>-46.801805720538106</v>
      </c>
      <c r="AD269" s="72">
        <f t="shared" ca="1" si="107"/>
        <v>133.19819427946189</v>
      </c>
    </row>
    <row r="270" spans="1:30">
      <c r="A270" s="118">
        <v>16982</v>
      </c>
      <c r="B270" s="101">
        <f t="shared" ref="B270:B333" ca="1" si="108">SQRT(1+(A270/Pole1)^2)</f>
        <v>277.93258815190433</v>
      </c>
      <c r="C270" s="102">
        <f t="shared" ref="C270:C333" ca="1" si="109">ATAN(A270/Pole1)</f>
        <v>1.56719832425674</v>
      </c>
      <c r="D270" s="102">
        <f t="shared" ref="D270:D333" si="110">SQRT(1+(A270/Zero1)^2)</f>
        <v>28.346773691864275</v>
      </c>
      <c r="E270" s="103">
        <f t="shared" ref="E270:E333" si="111">ATAN(A270/Zero1)</f>
        <v>1.5355116223433654</v>
      </c>
      <c r="F270" s="101">
        <f t="shared" ref="F270:F333" si="112">SQRT(1+(A270/Pole2)^2)</f>
        <v>2304.7429566593028</v>
      </c>
      <c r="G270" s="104">
        <f t="shared" ref="G270:G333" si="113">ATAN(A270/Pole2)</f>
        <v>1.5703624389166466</v>
      </c>
      <c r="H270" s="113">
        <f t="shared" ref="H270:H333" si="114">SQRT(1+(A270/Zero2)^2)</f>
        <v>277.43520952167341</v>
      </c>
      <c r="I270" s="114">
        <f t="shared" ref="I270:I333" si="115">ATAN(A270/Zero2)</f>
        <v>1.5671918738234289</v>
      </c>
      <c r="J270" s="101">
        <f t="shared" ref="J270:J333" si="116">SQRT(1+(A270/pole4)^2)</f>
        <v>28.274795425577185</v>
      </c>
      <c r="K270" s="104">
        <f t="shared" ref="K270:K333" si="117">ATAN(A270/pole4)</f>
        <v>1.5354217617318056</v>
      </c>
      <c r="L270" s="102">
        <f t="shared" ref="L270:L333" si="118">SQRT(1+(A270/Zerofeed)^2)</f>
        <v>1.5870736462350821</v>
      </c>
      <c r="M270" s="103">
        <f t="shared" ref="M270:M333" si="119">ATAN(A270/Zerofeed)</f>
        <v>0.88912659753053624</v>
      </c>
      <c r="N270" s="101">
        <f t="shared" ref="N270:N333" si="120">SQRT(1+(A270/Polefeed)^2)</f>
        <v>1.0192552921714424</v>
      </c>
      <c r="O270" s="104">
        <f t="shared" ref="O270:O333" si="121">ATAN(A270/Polefeed)</f>
        <v>0.19468596957500992</v>
      </c>
      <c r="P270" s="105">
        <f t="shared" ref="P270:P333" ca="1" si="122">SQRT((1-(W270/pterm2))^2+(A270/pterm1)^2)</f>
        <v>1.3770105688032737</v>
      </c>
      <c r="Q270" s="106">
        <f t="shared" ref="Q270:Q333" ca="1" si="123">IF((ATAN((A270/pterm1)/(1-A270^2/pterm2))&gt;0),ATAN((A270/pterm1)/(1-A270^2/pterm2)),PI()+ATAN((A270/pterm1)/(1-A270^2/pterm2)))</f>
        <v>0.78799555333960147</v>
      </c>
      <c r="R270" s="107">
        <f t="shared" ref="R270:R333" ca="1" si="124">20*LOG10(((D270*H270*L270)/(B270*F270*P270*J270*N270))*Adc)</f>
        <v>6.0177617349962933</v>
      </c>
      <c r="S270" s="108">
        <f t="shared" ref="S270:S333" ca="1" si="125">((E270+I270+M270)-(C270+G270+Q270+K270+O270))*radconv</f>
        <v>-95.330663490712269</v>
      </c>
      <c r="T270" s="116">
        <f t="shared" ref="T270:T333" ca="1" si="126">IF(S270&gt;0,S270,S270+180)</f>
        <v>84.669336509287731</v>
      </c>
      <c r="V270" s="72">
        <f t="shared" ref="V270:V333" ca="1" si="127">IF(R270&lt;0,A270,1000000000)</f>
        <v>1000000000</v>
      </c>
      <c r="W270" s="72">
        <f t="shared" ref="W270:W333" si="128">A270^2</f>
        <v>288388324</v>
      </c>
      <c r="Y270" s="110">
        <f t="shared" ref="Y270:Y333" si="129">20*LOG10(((H270*L270)/(F270*J270*N270))*Aea)</f>
        <v>20.511473935586579</v>
      </c>
      <c r="Z270" s="111">
        <f t="shared" ref="Z270:Z333" si="130">(I270+M270-(G270+K270+O270))*radconv</f>
        <v>-48.366329669287154</v>
      </c>
      <c r="AA270" s="72">
        <f t="shared" ref="AA270:AA333" si="131">IF(Z270&gt;0,Z270,Z270+180)</f>
        <v>131.63367033071285</v>
      </c>
      <c r="AB270" s="110">
        <f t="shared" ref="AB270:AB333" ca="1" si="132">20*LOG10((D270/(B270*P270))*Acs*Am)</f>
        <v>1.4238881462912194</v>
      </c>
      <c r="AC270" s="111">
        <f t="shared" ref="AC270:AC333" ca="1" si="133">(E270-(C270+Q270))*radconv</f>
        <v>-46.964333821425143</v>
      </c>
      <c r="AD270" s="72">
        <f t="shared" ref="AD270:AD333" ca="1" si="134">IF(AC270&gt;0,AC270,AC270+180)</f>
        <v>133.03566617857484</v>
      </c>
    </row>
    <row r="271" spans="1:30">
      <c r="A271" s="118">
        <v>17081</v>
      </c>
      <c r="B271" s="101">
        <f t="shared" ca="1" si="108"/>
        <v>279.55283141287475</v>
      </c>
      <c r="C271" s="102">
        <f t="shared" ca="1" si="109"/>
        <v>1.5672191777901272</v>
      </c>
      <c r="D271" s="102">
        <f t="shared" si="110"/>
        <v>28.511821874824413</v>
      </c>
      <c r="E271" s="103">
        <f t="shared" si="111"/>
        <v>1.5357159612123557</v>
      </c>
      <c r="F271" s="101">
        <f t="shared" si="112"/>
        <v>2318.1789188474345</v>
      </c>
      <c r="G271" s="104">
        <f t="shared" si="113"/>
        <v>1.5703649536929831</v>
      </c>
      <c r="H271" s="113">
        <f t="shared" si="114"/>
        <v>279.05255317593492</v>
      </c>
      <c r="I271" s="114">
        <f t="shared" si="115"/>
        <v>1.5672127647420089</v>
      </c>
      <c r="J271" s="101">
        <f t="shared" si="116"/>
        <v>28.439423474669539</v>
      </c>
      <c r="K271" s="104">
        <f t="shared" si="117"/>
        <v>1.5356266201367657</v>
      </c>
      <c r="L271" s="102">
        <f t="shared" si="118"/>
        <v>1.5926590064432293</v>
      </c>
      <c r="M271" s="103">
        <f t="shared" si="119"/>
        <v>0.8919689488042688</v>
      </c>
      <c r="N271" s="101">
        <f t="shared" si="120"/>
        <v>1.0194783006011463</v>
      </c>
      <c r="O271" s="104">
        <f t="shared" si="121"/>
        <v>0.19579222689275544</v>
      </c>
      <c r="P271" s="105">
        <f t="shared" ca="1" si="122"/>
        <v>1.3808139162277382</v>
      </c>
      <c r="Q271" s="106">
        <f t="shared" ca="1" si="123"/>
        <v>0.79107547952769153</v>
      </c>
      <c r="R271" s="107">
        <f t="shared" ca="1" si="124"/>
        <v>5.9719295116227293</v>
      </c>
      <c r="S271" s="108">
        <f t="shared" ca="1" si="125"/>
        <v>-95.407831117348721</v>
      </c>
      <c r="T271" s="116">
        <f t="shared" ca="1" si="126"/>
        <v>84.592168882651279</v>
      </c>
      <c r="V271" s="72">
        <f t="shared" ca="1" si="127"/>
        <v>1000000000</v>
      </c>
      <c r="W271" s="72">
        <f t="shared" si="128"/>
        <v>291760561</v>
      </c>
      <c r="Y271" s="110">
        <f t="shared" si="129"/>
        <v>20.4896611679359</v>
      </c>
      <c r="Z271" s="111">
        <f t="shared" si="130"/>
        <v>-48.277543459277155</v>
      </c>
      <c r="AA271" s="72">
        <f t="shared" si="131"/>
        <v>131.72245654072285</v>
      </c>
      <c r="AB271" s="110">
        <f t="shared" ca="1" si="132"/>
        <v>1.3998686905683329</v>
      </c>
      <c r="AC271" s="111">
        <f t="shared" ca="1" si="133"/>
        <v>-47.130287658071566</v>
      </c>
      <c r="AD271" s="72">
        <f t="shared" ca="1" si="134"/>
        <v>132.86971234192845</v>
      </c>
    </row>
    <row r="272" spans="1:30">
      <c r="A272" s="118">
        <v>17180</v>
      </c>
      <c r="B272" s="101">
        <f t="shared" ca="1" si="108"/>
        <v>281.17307479401313</v>
      </c>
      <c r="C272" s="102">
        <f t="shared" ca="1" si="109"/>
        <v>1.567239790988993</v>
      </c>
      <c r="D272" s="102">
        <f t="shared" si="110"/>
        <v>28.676871234574136</v>
      </c>
      <c r="E272" s="103">
        <f t="shared" si="111"/>
        <v>1.5359179479502887</v>
      </c>
      <c r="F272" s="101">
        <f t="shared" si="112"/>
        <v>2331.6148810500576</v>
      </c>
      <c r="G272" s="104">
        <f t="shared" si="113"/>
        <v>1.5703674394864544</v>
      </c>
      <c r="H272" s="113">
        <f t="shared" si="114"/>
        <v>280.66989695057981</v>
      </c>
      <c r="I272" s="114">
        <f t="shared" si="115"/>
        <v>1.5672334148952185</v>
      </c>
      <c r="J272" s="101">
        <f t="shared" si="116"/>
        <v>28.604052703539832</v>
      </c>
      <c r="K272" s="104">
        <f t="shared" si="117"/>
        <v>1.5358291204450458</v>
      </c>
      <c r="L272" s="102">
        <f t="shared" si="118"/>
        <v>1.5982571436888997</v>
      </c>
      <c r="M272" s="103">
        <f t="shared" si="119"/>
        <v>0.89479141121777306</v>
      </c>
      <c r="N272" s="101">
        <f t="shared" si="120"/>
        <v>1.0197025561271418</v>
      </c>
      <c r="O272" s="104">
        <f t="shared" si="121"/>
        <v>0.19689799898152641</v>
      </c>
      <c r="P272" s="105">
        <f t="shared" ca="1" si="122"/>
        <v>1.3846289160449019</v>
      </c>
      <c r="Q272" s="106">
        <f t="shared" ca="1" si="123"/>
        <v>0.79413946635725008</v>
      </c>
      <c r="R272" s="107">
        <f t="shared" ca="1" si="124"/>
        <v>5.9263342773374381</v>
      </c>
      <c r="S272" s="108">
        <f t="shared" ca="1" si="125"/>
        <v>-95.485195254476466</v>
      </c>
      <c r="T272" s="116">
        <f t="shared" ca="1" si="126"/>
        <v>84.514804745523534</v>
      </c>
      <c r="V272" s="72">
        <f t="shared" ca="1" si="127"/>
        <v>1000000000</v>
      </c>
      <c r="W272" s="72">
        <f t="shared" si="128"/>
        <v>295152400</v>
      </c>
      <c r="Y272" s="110">
        <f t="shared" si="129"/>
        <v>20.468091522504579</v>
      </c>
      <c r="Z272" s="111">
        <f t="shared" si="130"/>
        <v>-48.18974602070265</v>
      </c>
      <c r="AA272" s="72">
        <f t="shared" si="131"/>
        <v>131.81025397929736</v>
      </c>
      <c r="AB272" s="110">
        <f t="shared" ca="1" si="132"/>
        <v>1.3758431017143629</v>
      </c>
      <c r="AC272" s="111">
        <f t="shared" ca="1" si="133"/>
        <v>-47.295449233773773</v>
      </c>
      <c r="AD272" s="72">
        <f t="shared" ca="1" si="134"/>
        <v>132.70455076622622</v>
      </c>
    </row>
    <row r="273" spans="1:30">
      <c r="A273" s="118">
        <v>17279</v>
      </c>
      <c r="B273" s="101">
        <f t="shared" ca="1" si="108"/>
        <v>282.79331829325406</v>
      </c>
      <c r="C273" s="102">
        <f t="shared" ca="1" si="109"/>
        <v>1.5672601679842564</v>
      </c>
      <c r="D273" s="102">
        <f t="shared" si="110"/>
        <v>28.841921750910732</v>
      </c>
      <c r="E273" s="103">
        <f t="shared" si="111"/>
        <v>1.5361176229213904</v>
      </c>
      <c r="F273" s="101">
        <f t="shared" si="112"/>
        <v>2345.050843266923</v>
      </c>
      <c r="G273" s="104">
        <f t="shared" si="113"/>
        <v>1.5703698967952324</v>
      </c>
      <c r="H273" s="113">
        <f t="shared" si="114"/>
        <v>282.287240843539</v>
      </c>
      <c r="I273" s="114">
        <f t="shared" si="115"/>
        <v>1.5672538284213819</v>
      </c>
      <c r="J273" s="101">
        <f t="shared" si="116"/>
        <v>28.768683091934175</v>
      </c>
      <c r="K273" s="104">
        <f t="shared" si="117"/>
        <v>1.5360293031229124</v>
      </c>
      <c r="L273" s="102">
        <f t="shared" si="118"/>
        <v>1.6038679241812643</v>
      </c>
      <c r="M273" s="103">
        <f t="shared" si="119"/>
        <v>0.89759414829625095</v>
      </c>
      <c r="N273" s="101">
        <f t="shared" si="120"/>
        <v>1.0199280579268171</v>
      </c>
      <c r="O273" s="104">
        <f t="shared" si="121"/>
        <v>0.19800328345816029</v>
      </c>
      <c r="P273" s="105">
        <f t="shared" ca="1" si="122"/>
        <v>1.3884554736409858</v>
      </c>
      <c r="Q273" s="106">
        <f t="shared" ca="1" si="123"/>
        <v>0.79718759703283404</v>
      </c>
      <c r="R273" s="107">
        <f t="shared" ca="1" si="124"/>
        <v>5.8809728194486492</v>
      </c>
      <c r="S273" s="108">
        <f t="shared" ca="1" si="125"/>
        <v>-95.56275119748166</v>
      </c>
      <c r="T273" s="116">
        <f t="shared" ca="1" si="126"/>
        <v>84.43724880251834</v>
      </c>
      <c r="V273" s="72">
        <f t="shared" ca="1" si="127"/>
        <v>1000000000</v>
      </c>
      <c r="W273" s="72">
        <f t="shared" si="128"/>
        <v>298563841</v>
      </c>
      <c r="Y273" s="110">
        <f t="shared" si="129"/>
        <v>20.446760978015973</v>
      </c>
      <c r="Z273" s="111">
        <f t="shared" si="130"/>
        <v>-48.102929957695508</v>
      </c>
      <c r="AA273" s="72">
        <f t="shared" si="131"/>
        <v>131.89707004230451</v>
      </c>
      <c r="AB273" s="110">
        <f t="shared" ca="1" si="132"/>
        <v>1.3518121883141792</v>
      </c>
      <c r="AC273" s="111">
        <f t="shared" ca="1" si="133"/>
        <v>-47.459821239786116</v>
      </c>
      <c r="AD273" s="72">
        <f t="shared" ca="1" si="134"/>
        <v>132.54017876021388</v>
      </c>
    </row>
    <row r="274" spans="1:30">
      <c r="A274" s="118">
        <v>17378</v>
      </c>
      <c r="B274" s="101">
        <f t="shared" ca="1" si="108"/>
        <v>284.4135619085792</v>
      </c>
      <c r="C274" s="102">
        <f t="shared" ca="1" si="109"/>
        <v>1.5672803128127055</v>
      </c>
      <c r="D274" s="102">
        <f t="shared" si="110"/>
        <v>29.006973404091166</v>
      </c>
      <c r="E274" s="103">
        <f t="shared" si="111"/>
        <v>1.5363150255719331</v>
      </c>
      <c r="F274" s="101">
        <f t="shared" si="112"/>
        <v>2358.4868054977874</v>
      </c>
      <c r="G274" s="104">
        <f t="shared" si="113"/>
        <v>1.5703723261061364</v>
      </c>
      <c r="H274" s="113">
        <f t="shared" si="114"/>
        <v>283.90458485279044</v>
      </c>
      <c r="I274" s="114">
        <f t="shared" si="115"/>
        <v>1.5672740093645241</v>
      </c>
      <c r="J274" s="101">
        <f t="shared" si="116"/>
        <v>28.933314620059509</v>
      </c>
      <c r="K274" s="104">
        <f t="shared" si="117"/>
        <v>1.5362272077163666</v>
      </c>
      <c r="L274" s="102">
        <f t="shared" si="118"/>
        <v>1.6094912156950365</v>
      </c>
      <c r="M274" s="103">
        <f t="shared" si="119"/>
        <v>0.90037732252689817</v>
      </c>
      <c r="N274" s="101">
        <f t="shared" si="120"/>
        <v>1.0201548051737181</v>
      </c>
      <c r="O274" s="104">
        <f t="shared" si="121"/>
        <v>0.19910807794636137</v>
      </c>
      <c r="P274" s="105">
        <f t="shared" ca="1" si="122"/>
        <v>1.3922934951612214</v>
      </c>
      <c r="Q274" s="106">
        <f t="shared" ca="1" si="123"/>
        <v>0.80021995489247688</v>
      </c>
      <c r="R274" s="107">
        <f t="shared" ca="1" si="124"/>
        <v>5.8358419889950417</v>
      </c>
      <c r="S274" s="108">
        <f t="shared" ca="1" si="125"/>
        <v>-95.640494308491753</v>
      </c>
      <c r="T274" s="116">
        <f t="shared" ca="1" si="126"/>
        <v>84.359505691508247</v>
      </c>
      <c r="V274" s="72">
        <f t="shared" ca="1" si="127"/>
        <v>1000000000</v>
      </c>
      <c r="W274" s="72">
        <f t="shared" si="128"/>
        <v>301994884</v>
      </c>
      <c r="Y274" s="110">
        <f t="shared" si="129"/>
        <v>20.425665589308075</v>
      </c>
      <c r="Z274" s="111">
        <f t="shared" si="130"/>
        <v>-48.01708788627942</v>
      </c>
      <c r="AA274" s="72">
        <f t="shared" si="131"/>
        <v>131.98291211372057</v>
      </c>
      <c r="AB274" s="110">
        <f t="shared" ca="1" si="132"/>
        <v>1.3277767465684731</v>
      </c>
      <c r="AC274" s="111">
        <f t="shared" ca="1" si="133"/>
        <v>-47.623406422212256</v>
      </c>
      <c r="AD274" s="72">
        <f t="shared" ca="1" si="134"/>
        <v>132.37659357778773</v>
      </c>
    </row>
    <row r="275" spans="1:30">
      <c r="A275" s="118">
        <v>17479.25</v>
      </c>
      <c r="B275" s="101">
        <f t="shared" ca="1" si="108"/>
        <v>286.07062936045031</v>
      </c>
      <c r="C275" s="102">
        <f t="shared" ca="1" si="109"/>
        <v>1.5673006794478401</v>
      </c>
      <c r="D275" s="102">
        <f t="shared" si="110"/>
        <v>29.175777386993207</v>
      </c>
      <c r="E275" s="103">
        <f t="shared" si="111"/>
        <v>1.5365146044489704</v>
      </c>
      <c r="F275" s="101">
        <f t="shared" si="112"/>
        <v>2372.228130520858</v>
      </c>
      <c r="G275" s="104">
        <f t="shared" si="113"/>
        <v>1.570374782164871</v>
      </c>
      <c r="H275" s="113">
        <f t="shared" si="114"/>
        <v>285.55868679866143</v>
      </c>
      <c r="I275" s="114">
        <f t="shared" si="115"/>
        <v>1.5672944125120067</v>
      </c>
      <c r="J275" s="101">
        <f t="shared" si="116"/>
        <v>29.101688932545134</v>
      </c>
      <c r="K275" s="104">
        <f t="shared" si="117"/>
        <v>1.5364272940838539</v>
      </c>
      <c r="L275" s="102">
        <f t="shared" si="118"/>
        <v>1.6152551138731575</v>
      </c>
      <c r="M275" s="103">
        <f t="shared" si="119"/>
        <v>0.90320368414510011</v>
      </c>
      <c r="N275" s="101">
        <f t="shared" si="120"/>
        <v>1.0203879931291189</v>
      </c>
      <c r="O275" s="104">
        <f t="shared" si="121"/>
        <v>0.20023747211175541</v>
      </c>
      <c r="P275" s="105">
        <f t="shared" ca="1" si="122"/>
        <v>1.3962305051224255</v>
      </c>
      <c r="Q275" s="106">
        <f t="shared" ca="1" si="123"/>
        <v>0.80330500235108326</v>
      </c>
      <c r="R275" s="107">
        <f t="shared" ca="1" si="124"/>
        <v>5.7899207905159935</v>
      </c>
      <c r="S275" s="108">
        <f t="shared" ca="1" si="125"/>
        <v>-95.720193141398767</v>
      </c>
      <c r="T275" s="116">
        <f t="shared" ca="1" si="126"/>
        <v>84.279806858601233</v>
      </c>
      <c r="V275" s="72">
        <f t="shared" ca="1" si="127"/>
        <v>1000000000</v>
      </c>
      <c r="W275" s="72">
        <f t="shared" si="128"/>
        <v>305524180.5625</v>
      </c>
      <c r="Y275" s="110">
        <f t="shared" si="129"/>
        <v>20.404329959582984</v>
      </c>
      <c r="Z275" s="111">
        <f t="shared" si="130"/>
        <v>-47.930294625118627</v>
      </c>
      <c r="AA275" s="72">
        <f t="shared" si="131"/>
        <v>132.06970537488138</v>
      </c>
      <c r="AB275" s="110">
        <f t="shared" ca="1" si="132"/>
        <v>1.3031911778145107</v>
      </c>
      <c r="AC275" s="111">
        <f t="shared" ca="1" si="133"/>
        <v>-47.789898516280118</v>
      </c>
      <c r="AD275" s="72">
        <f t="shared" ca="1" si="134"/>
        <v>132.21010148371988</v>
      </c>
    </row>
    <row r="276" spans="1:30">
      <c r="A276" s="118">
        <v>17580.5</v>
      </c>
      <c r="B276" s="101">
        <f t="shared" ca="1" si="108"/>
        <v>287.72769692961668</v>
      </c>
      <c r="C276" s="102">
        <f t="shared" ca="1" si="109"/>
        <v>1.5673208114938841</v>
      </c>
      <c r="D276" s="102">
        <f t="shared" si="110"/>
        <v>29.344582518646703</v>
      </c>
      <c r="E276" s="103">
        <f t="shared" si="111"/>
        <v>1.5367118871730876</v>
      </c>
      <c r="F276" s="101">
        <f t="shared" si="112"/>
        <v>2385.9694555580736</v>
      </c>
      <c r="G276" s="104">
        <f t="shared" si="113"/>
        <v>1.5703772099336364</v>
      </c>
      <c r="H276" s="113">
        <f t="shared" si="114"/>
        <v>287.21278886203788</v>
      </c>
      <c r="I276" s="114">
        <f t="shared" si="115"/>
        <v>1.5673145806498485</v>
      </c>
      <c r="J276" s="101">
        <f t="shared" si="116"/>
        <v>29.270064396699848</v>
      </c>
      <c r="K276" s="104">
        <f t="shared" si="117"/>
        <v>1.5366250784734732</v>
      </c>
      <c r="L276" s="102">
        <f t="shared" si="118"/>
        <v>1.6210318234065628</v>
      </c>
      <c r="M276" s="103">
        <f t="shared" si="119"/>
        <v>0.90600992400125857</v>
      </c>
      <c r="N276" s="101">
        <f t="shared" si="120"/>
        <v>1.0206224820255128</v>
      </c>
      <c r="O276" s="104">
        <f t="shared" si="121"/>
        <v>0.20136634875794773</v>
      </c>
      <c r="P276" s="105">
        <f t="shared" ca="1" si="122"/>
        <v>1.4001793098653099</v>
      </c>
      <c r="Q276" s="106">
        <f t="shared" ca="1" si="123"/>
        <v>0.8063737285679512</v>
      </c>
      <c r="R276" s="107">
        <f t="shared" ca="1" si="124"/>
        <v>5.7442343568082075</v>
      </c>
      <c r="S276" s="108">
        <f t="shared" ca="1" si="125"/>
        <v>-95.800078145868355</v>
      </c>
      <c r="T276" s="116">
        <f t="shared" ca="1" si="126"/>
        <v>84.199921854131645</v>
      </c>
      <c r="V276" s="72">
        <f t="shared" ca="1" si="127"/>
        <v>1000000000</v>
      </c>
      <c r="W276" s="72">
        <f t="shared" si="128"/>
        <v>309073980.25</v>
      </c>
      <c r="Y276" s="110">
        <f t="shared" si="129"/>
        <v>20.383232185799784</v>
      </c>
      <c r="Z276" s="111">
        <f t="shared" si="130"/>
        <v>-47.84450455488269</v>
      </c>
      <c r="AA276" s="72">
        <f t="shared" si="131"/>
        <v>132.15549544511731</v>
      </c>
      <c r="AB276" s="110">
        <f t="shared" ca="1" si="132"/>
        <v>1.2786025178899294</v>
      </c>
      <c r="AC276" s="111">
        <f t="shared" ca="1" si="133"/>
        <v>-47.95557359098563</v>
      </c>
      <c r="AD276" s="72">
        <f t="shared" ca="1" si="134"/>
        <v>132.04442640901436</v>
      </c>
    </row>
    <row r="277" spans="1:30">
      <c r="A277" s="118">
        <v>17681.75</v>
      </c>
      <c r="B277" s="101">
        <f t="shared" ca="1" si="108"/>
        <v>289.38476461406327</v>
      </c>
      <c r="C277" s="102">
        <f t="shared" ca="1" si="109"/>
        <v>1.5673407129807155</v>
      </c>
      <c r="D277" s="102">
        <f t="shared" si="110"/>
        <v>29.513388779340421</v>
      </c>
      <c r="E277" s="103">
        <f t="shared" si="111"/>
        <v>1.5369069131283692</v>
      </c>
      <c r="F277" s="101">
        <f t="shared" si="112"/>
        <v>2399.7107806091913</v>
      </c>
      <c r="G277" s="104">
        <f t="shared" si="113"/>
        <v>1.5703796098984177</v>
      </c>
      <c r="H277" s="113">
        <f t="shared" si="114"/>
        <v>288.86689104090135</v>
      </c>
      <c r="I277" s="114">
        <f t="shared" si="115"/>
        <v>1.5673345178151519</v>
      </c>
      <c r="J277" s="101">
        <f t="shared" si="116"/>
        <v>29.438440992762473</v>
      </c>
      <c r="K277" s="104">
        <f t="shared" si="117"/>
        <v>1.5368206003689082</v>
      </c>
      <c r="L277" s="102">
        <f t="shared" si="118"/>
        <v>1.6268212078190225</v>
      </c>
      <c r="M277" s="103">
        <f t="shared" si="119"/>
        <v>0.90879621248356668</v>
      </c>
      <c r="N277" s="101">
        <f t="shared" si="120"/>
        <v>1.0208582709664302</v>
      </c>
      <c r="O277" s="104">
        <f t="shared" si="121"/>
        <v>0.20249470536535677</v>
      </c>
      <c r="P277" s="105">
        <f t="shared" ca="1" si="122"/>
        <v>1.4041398114349533</v>
      </c>
      <c r="Q277" s="106">
        <f t="shared" ca="1" si="123"/>
        <v>0.80942622300702416</v>
      </c>
      <c r="R277" s="107">
        <f t="shared" ca="1" si="124"/>
        <v>5.6987795162098553</v>
      </c>
      <c r="S277" s="108">
        <f t="shared" ca="1" si="125"/>
        <v>-95.880144574058733</v>
      </c>
      <c r="T277" s="116">
        <f t="shared" ca="1" si="126"/>
        <v>84.119855425941267</v>
      </c>
      <c r="V277" s="72">
        <f t="shared" ca="1" si="127"/>
        <v>1000000000</v>
      </c>
      <c r="W277" s="72">
        <f t="shared" si="128"/>
        <v>312644283.0625</v>
      </c>
      <c r="Y277" s="110">
        <f t="shared" si="129"/>
        <v>20.362368284050653</v>
      </c>
      <c r="Z277" s="111">
        <f t="shared" si="130"/>
        <v>-47.759709827470324</v>
      </c>
      <c r="AA277" s="72">
        <f t="shared" si="131"/>
        <v>132.24029017252968</v>
      </c>
      <c r="AB277" s="110">
        <f t="shared" ca="1" si="132"/>
        <v>1.2540115790407083</v>
      </c>
      <c r="AC277" s="111">
        <f t="shared" ca="1" si="133"/>
        <v>-48.12043474658838</v>
      </c>
      <c r="AD277" s="72">
        <f t="shared" ca="1" si="134"/>
        <v>131.87956525341161</v>
      </c>
    </row>
    <row r="278" spans="1:30">
      <c r="A278" s="118">
        <v>17783</v>
      </c>
      <c r="B278" s="101">
        <f t="shared" ca="1" si="108"/>
        <v>291.04183241182125</v>
      </c>
      <c r="C278" s="102">
        <f t="shared" ca="1" si="109"/>
        <v>1.5673603878464348</v>
      </c>
      <c r="D278" s="102">
        <f t="shared" si="110"/>
        <v>29.682196149811382</v>
      </c>
      <c r="E278" s="103">
        <f t="shared" si="111"/>
        <v>1.5370997208036619</v>
      </c>
      <c r="F278" s="101">
        <f t="shared" si="112"/>
        <v>2413.4521056739732</v>
      </c>
      <c r="G278" s="104">
        <f t="shared" si="113"/>
        <v>1.5703819825341332</v>
      </c>
      <c r="H278" s="113">
        <f t="shared" si="114"/>
        <v>290.52099333327919</v>
      </c>
      <c r="I278" s="114">
        <f t="shared" si="115"/>
        <v>1.5673542279530768</v>
      </c>
      <c r="J278" s="101">
        <f t="shared" si="116"/>
        <v>29.606818701421233</v>
      </c>
      <c r="K278" s="104">
        <f t="shared" si="117"/>
        <v>1.5370138983563493</v>
      </c>
      <c r="L278" s="102">
        <f t="shared" si="118"/>
        <v>1.6326231322727849</v>
      </c>
      <c r="M278" s="103">
        <f t="shared" si="119"/>
        <v>0.91156271880522788</v>
      </c>
      <c r="N278" s="101">
        <f t="shared" si="120"/>
        <v>1.0210953590512613</v>
      </c>
      <c r="O278" s="104">
        <f t="shared" si="121"/>
        <v>0.20362253942201869</v>
      </c>
      <c r="P278" s="105">
        <f t="shared" ca="1" si="122"/>
        <v>1.4081119126943136</v>
      </c>
      <c r="Q278" s="106">
        <f t="shared" ca="1" si="123"/>
        <v>0.81246257519924181</v>
      </c>
      <c r="R278" s="107">
        <f t="shared" ca="1" si="124"/>
        <v>5.6535531602297473</v>
      </c>
      <c r="S278" s="108">
        <f t="shared" ca="1" si="125"/>
        <v>-95.960387748971229</v>
      </c>
      <c r="T278" s="116">
        <f t="shared" ca="1" si="126"/>
        <v>84.039612251028771</v>
      </c>
      <c r="V278" s="72">
        <f t="shared" ca="1" si="127"/>
        <v>1000000000</v>
      </c>
      <c r="W278" s="72">
        <f t="shared" si="128"/>
        <v>316235089</v>
      </c>
      <c r="Y278" s="110">
        <f t="shared" si="129"/>
        <v>20.341734346662406</v>
      </c>
      <c r="Z278" s="111">
        <f t="shared" si="130"/>
        <v>-47.675902615749827</v>
      </c>
      <c r="AA278" s="72">
        <f t="shared" si="131"/>
        <v>132.32409738425017</v>
      </c>
      <c r="AB278" s="110">
        <f t="shared" ca="1" si="132"/>
        <v>1.2294191604488469</v>
      </c>
      <c r="AC278" s="111">
        <f t="shared" ca="1" si="133"/>
        <v>-48.284485133221416</v>
      </c>
      <c r="AD278" s="72">
        <f t="shared" ca="1" si="134"/>
        <v>131.71551486677859</v>
      </c>
    </row>
    <row r="279" spans="1:30">
      <c r="A279" s="118">
        <v>17886.5</v>
      </c>
      <c r="B279" s="101">
        <f t="shared" ca="1" si="108"/>
        <v>292.73572405353087</v>
      </c>
      <c r="C279" s="102">
        <f t="shared" ca="1" si="109"/>
        <v>1.5673802697074213</v>
      </c>
      <c r="D279" s="102">
        <f t="shared" si="110"/>
        <v>29.854755922624275</v>
      </c>
      <c r="E279" s="103">
        <f t="shared" si="111"/>
        <v>1.537294559488823</v>
      </c>
      <c r="F279" s="101">
        <f t="shared" si="112"/>
        <v>2427.498793531855</v>
      </c>
      <c r="G279" s="104">
        <f t="shared" si="113"/>
        <v>1.5703843801315458</v>
      </c>
      <c r="H279" s="113">
        <f t="shared" si="114"/>
        <v>292.21185356969556</v>
      </c>
      <c r="I279" s="114">
        <f t="shared" si="115"/>
        <v>1.5673741454573702</v>
      </c>
      <c r="J279" s="101">
        <f t="shared" si="116"/>
        <v>29.778939267245502</v>
      </c>
      <c r="K279" s="104">
        <f t="shared" si="117"/>
        <v>1.5372092325315541</v>
      </c>
      <c r="L279" s="102">
        <f t="shared" si="118"/>
        <v>1.6385668108180769</v>
      </c>
      <c r="M279" s="103">
        <f t="shared" si="119"/>
        <v>0.91437043154701447</v>
      </c>
      <c r="N279" s="101">
        <f t="shared" si="120"/>
        <v>1.021339057587622</v>
      </c>
      <c r="O279" s="104">
        <f t="shared" si="121"/>
        <v>0.20477489375204214</v>
      </c>
      <c r="P279" s="105">
        <f t="shared" ca="1" si="122"/>
        <v>1.4121841717907868</v>
      </c>
      <c r="Q279" s="106">
        <f t="shared" ca="1" si="123"/>
        <v>0.8155498108504905</v>
      </c>
      <c r="R279" s="107">
        <f t="shared" ca="1" si="124"/>
        <v>5.6075547591485098</v>
      </c>
      <c r="S279" s="108">
        <f t="shared" ca="1" si="125"/>
        <v>-96.04259199115846</v>
      </c>
      <c r="T279" s="116">
        <f t="shared" ca="1" si="126"/>
        <v>83.95740800884154</v>
      </c>
      <c r="V279" s="72">
        <f t="shared" ca="1" si="127"/>
        <v>1000000000</v>
      </c>
      <c r="W279" s="72">
        <f t="shared" si="128"/>
        <v>319926882.25</v>
      </c>
      <c r="Y279" s="110">
        <f t="shared" si="129"/>
        <v>20.320875573205139</v>
      </c>
      <c r="Z279" s="111">
        <f t="shared" si="130"/>
        <v>-47.591245572189735</v>
      </c>
      <c r="AA279" s="72">
        <f t="shared" si="131"/>
        <v>132.40875442781027</v>
      </c>
      <c r="AB279" s="110">
        <f t="shared" ca="1" si="132"/>
        <v>1.2042795328248763</v>
      </c>
      <c r="AC279" s="111">
        <f t="shared" ca="1" si="133"/>
        <v>-48.451346418968733</v>
      </c>
      <c r="AD279" s="72">
        <f t="shared" ca="1" si="134"/>
        <v>131.54865358103126</v>
      </c>
    </row>
    <row r="280" spans="1:30">
      <c r="A280" s="118">
        <v>17990</v>
      </c>
      <c r="B280" s="101">
        <f t="shared" ca="1" si="108"/>
        <v>294.42961580962407</v>
      </c>
      <c r="C280" s="102">
        <f t="shared" ca="1" si="109"/>
        <v>1.5673999228025668</v>
      </c>
      <c r="D280" s="102">
        <f t="shared" si="110"/>
        <v>30.027316815760589</v>
      </c>
      <c r="E280" s="103">
        <f t="shared" si="111"/>
        <v>1.5374871587844967</v>
      </c>
      <c r="F280" s="101">
        <f t="shared" si="112"/>
        <v>2441.5454814035297</v>
      </c>
      <c r="G280" s="104">
        <f t="shared" si="113"/>
        <v>1.5703867501412665</v>
      </c>
      <c r="H280" s="113">
        <f t="shared" si="114"/>
        <v>293.90271392070065</v>
      </c>
      <c r="I280" s="114">
        <f t="shared" si="115"/>
        <v>1.5673938337857114</v>
      </c>
      <c r="J280" s="101">
        <f t="shared" si="116"/>
        <v>29.95106095623909</v>
      </c>
      <c r="K280" s="104">
        <f t="shared" si="117"/>
        <v>1.5374023216351116</v>
      </c>
      <c r="L280" s="102">
        <f t="shared" si="118"/>
        <v>1.6445233131658108</v>
      </c>
      <c r="M280" s="103">
        <f t="shared" si="119"/>
        <v>0.91715782692625358</v>
      </c>
      <c r="N280" s="101">
        <f t="shared" si="120"/>
        <v>1.021584111732937</v>
      </c>
      <c r="O280" s="104">
        <f t="shared" si="121"/>
        <v>0.20592669676523159</v>
      </c>
      <c r="P280" s="105">
        <f t="shared" ca="1" si="122"/>
        <v>1.4162683491867858</v>
      </c>
      <c r="Q280" s="106">
        <f t="shared" ca="1" si="123"/>
        <v>0.81862036817230199</v>
      </c>
      <c r="R280" s="107">
        <f t="shared" ca="1" si="124"/>
        <v>5.5617887372243437</v>
      </c>
      <c r="S280" s="108">
        <f t="shared" ca="1" si="125"/>
        <v>-96.124971263732462</v>
      </c>
      <c r="T280" s="116">
        <f t="shared" ca="1" si="126"/>
        <v>83.875028736267538</v>
      </c>
      <c r="V280" s="72">
        <f t="shared" ca="1" si="127"/>
        <v>1000000000</v>
      </c>
      <c r="W280" s="72">
        <f t="shared" si="128"/>
        <v>323640100</v>
      </c>
      <c r="Y280" s="110">
        <f t="shared" si="129"/>
        <v>20.300249077619551</v>
      </c>
      <c r="Z280" s="111">
        <f t="shared" si="130"/>
        <v>-47.507603956654293</v>
      </c>
      <c r="AA280" s="72">
        <f t="shared" si="131"/>
        <v>132.49239604334571</v>
      </c>
      <c r="AB280" s="110">
        <f t="shared" ca="1" si="132"/>
        <v>1.1791400064863014</v>
      </c>
      <c r="AC280" s="111">
        <f t="shared" ca="1" si="133"/>
        <v>-48.61736730707814</v>
      </c>
      <c r="AD280" s="72">
        <f t="shared" ca="1" si="134"/>
        <v>131.38263269292185</v>
      </c>
    </row>
    <row r="281" spans="1:30">
      <c r="A281" s="118">
        <v>18093.5</v>
      </c>
      <c r="B281" s="101">
        <f t="shared" ca="1" si="108"/>
        <v>296.12350767813797</v>
      </c>
      <c r="C281" s="102">
        <f t="shared" ca="1" si="109"/>
        <v>1.56741935105763</v>
      </c>
      <c r="D281" s="102">
        <f t="shared" si="110"/>
        <v>30.199878810015878</v>
      </c>
      <c r="E281" s="103">
        <f t="shared" si="111"/>
        <v>1.5376775570638599</v>
      </c>
      <c r="F281" s="101">
        <f t="shared" si="112"/>
        <v>2455.5921692887623</v>
      </c>
      <c r="G281" s="104">
        <f t="shared" si="113"/>
        <v>1.5703890930367235</v>
      </c>
      <c r="H281" s="113">
        <f t="shared" si="114"/>
        <v>295.59357438432784</v>
      </c>
      <c r="I281" s="114">
        <f t="shared" si="115"/>
        <v>1.567413296870896</v>
      </c>
      <c r="J281" s="101">
        <f t="shared" si="116"/>
        <v>30.123183749148868</v>
      </c>
      <c r="K281" s="104">
        <f t="shared" si="117"/>
        <v>1.537593204137276</v>
      </c>
      <c r="L281" s="102">
        <f t="shared" si="118"/>
        <v>1.6504925004755993</v>
      </c>
      <c r="M281" s="103">
        <f t="shared" si="119"/>
        <v>0.91992508183384758</v>
      </c>
      <c r="N281" s="101">
        <f t="shared" si="120"/>
        <v>1.0218305205119049</v>
      </c>
      <c r="O281" s="104">
        <f t="shared" si="121"/>
        <v>0.20707794580325992</v>
      </c>
      <c r="P281" s="105">
        <f t="shared" ca="1" si="122"/>
        <v>1.4203643437514073</v>
      </c>
      <c r="Q281" s="106">
        <f t="shared" ca="1" si="123"/>
        <v>0.82167434289501584</v>
      </c>
      <c r="R281" s="107">
        <f t="shared" ca="1" si="124"/>
        <v>5.516251968865812</v>
      </c>
      <c r="S281" s="108">
        <f t="shared" ca="1" si="125"/>
        <v>-96.207520796508803</v>
      </c>
      <c r="T281" s="116">
        <f t="shared" ca="1" si="126"/>
        <v>83.792479203491197</v>
      </c>
      <c r="V281" s="72">
        <f t="shared" ca="1" si="127"/>
        <v>1000000000</v>
      </c>
      <c r="W281" s="72">
        <f t="shared" si="128"/>
        <v>327374742.25</v>
      </c>
      <c r="Y281" s="110">
        <f t="shared" si="129"/>
        <v>20.279850922160922</v>
      </c>
      <c r="Z281" s="111">
        <f t="shared" si="130"/>
        <v>-47.424969487706463</v>
      </c>
      <c r="AA281" s="72">
        <f t="shared" si="131"/>
        <v>132.57503051229355</v>
      </c>
      <c r="AB281" s="110">
        <f t="shared" ca="1" si="132"/>
        <v>1.1540013935863904</v>
      </c>
      <c r="AC281" s="111">
        <f t="shared" ca="1" si="133"/>
        <v>-48.78255130880239</v>
      </c>
      <c r="AD281" s="72">
        <f t="shared" ca="1" si="134"/>
        <v>131.2174486911976</v>
      </c>
    </row>
    <row r="282" spans="1:30">
      <c r="A282" s="118">
        <v>18197</v>
      </c>
      <c r="B282" s="101">
        <f t="shared" ca="1" si="108"/>
        <v>297.81739965715428</v>
      </c>
      <c r="C282" s="102">
        <f t="shared" ca="1" si="109"/>
        <v>1.5674385583090553</v>
      </c>
      <c r="D282" s="102">
        <f t="shared" si="110"/>
        <v>30.372441886622013</v>
      </c>
      <c r="E282" s="103">
        <f t="shared" si="111"/>
        <v>1.5378657918286565</v>
      </c>
      <c r="F282" s="101">
        <f t="shared" si="112"/>
        <v>2469.6388571873199</v>
      </c>
      <c r="G282" s="104">
        <f t="shared" si="113"/>
        <v>1.5703914092805742</v>
      </c>
      <c r="H282" s="113">
        <f t="shared" si="114"/>
        <v>297.28443495865565</v>
      </c>
      <c r="I282" s="114">
        <f t="shared" si="115"/>
        <v>1.5674325385562464</v>
      </c>
      <c r="J282" s="101">
        <f t="shared" si="116"/>
        <v>30.29530762715914</v>
      </c>
      <c r="K282" s="104">
        <f t="shared" si="117"/>
        <v>1.5377819176346723</v>
      </c>
      <c r="L282" s="102">
        <f t="shared" si="118"/>
        <v>1.6564742356147724</v>
      </c>
      <c r="M282" s="103">
        <f t="shared" si="119"/>
        <v>0.92267237184757755</v>
      </c>
      <c r="N282" s="101">
        <f t="shared" si="120"/>
        <v>1.0220782829447761</v>
      </c>
      <c r="O282" s="104">
        <f t="shared" si="121"/>
        <v>0.20822863821623039</v>
      </c>
      <c r="P282" s="105">
        <f t="shared" ca="1" si="122"/>
        <v>1.4244720552308172</v>
      </c>
      <c r="Q282" s="106">
        <f t="shared" ca="1" si="123"/>
        <v>0.82471183074293175</v>
      </c>
      <c r="R282" s="107">
        <f t="shared" ca="1" si="124"/>
        <v>5.4709413909231692</v>
      </c>
      <c r="S282" s="108">
        <f t="shared" ca="1" si="125"/>
        <v>-96.290235893942864</v>
      </c>
      <c r="T282" s="116">
        <f t="shared" ca="1" si="126"/>
        <v>83.709764106057136</v>
      </c>
      <c r="V282" s="72">
        <f t="shared" ca="1" si="127"/>
        <v>1000000000</v>
      </c>
      <c r="W282" s="72">
        <f t="shared" si="128"/>
        <v>331130809</v>
      </c>
      <c r="Y282" s="110">
        <f t="shared" si="129"/>
        <v>20.259677245228069</v>
      </c>
      <c r="Z282" s="111">
        <f t="shared" si="130"/>
        <v>-47.343333914082564</v>
      </c>
      <c r="AA282" s="72">
        <f t="shared" si="131"/>
        <v>132.65666608591744</v>
      </c>
      <c r="AB282" s="110">
        <f t="shared" ca="1" si="132"/>
        <v>1.1288644925766069</v>
      </c>
      <c r="AC282" s="111">
        <f t="shared" ca="1" si="133"/>
        <v>-48.946901979860279</v>
      </c>
      <c r="AD282" s="72">
        <f t="shared" ca="1" si="134"/>
        <v>131.05309802013971</v>
      </c>
    </row>
    <row r="283" spans="1:30">
      <c r="A283" s="118">
        <v>18303</v>
      </c>
      <c r="B283" s="101">
        <f t="shared" ca="1" si="108"/>
        <v>299.55220701394398</v>
      </c>
      <c r="C283" s="102">
        <f t="shared" ca="1" si="109"/>
        <v>1.5674580043456305</v>
      </c>
      <c r="D283" s="102">
        <f t="shared" si="110"/>
        <v>30.549174256201944</v>
      </c>
      <c r="E283" s="103">
        <f t="shared" si="111"/>
        <v>1.538056369087337</v>
      </c>
      <c r="F283" s="101">
        <f t="shared" si="112"/>
        <v>2484.0248370776803</v>
      </c>
      <c r="G283" s="104">
        <f t="shared" si="113"/>
        <v>1.5703937543197408</v>
      </c>
      <c r="H283" s="113">
        <f t="shared" si="114"/>
        <v>299.01613768862319</v>
      </c>
      <c r="I283" s="114">
        <f t="shared" si="115"/>
        <v>1.5674520194548391</v>
      </c>
      <c r="J283" s="101">
        <f t="shared" si="116"/>
        <v>30.471590192282957</v>
      </c>
      <c r="K283" s="104">
        <f t="shared" si="117"/>
        <v>1.5379729795957127</v>
      </c>
      <c r="L283" s="102">
        <f t="shared" si="118"/>
        <v>1.6626133217193508</v>
      </c>
      <c r="M283" s="103">
        <f t="shared" si="119"/>
        <v>0.92546550950921747</v>
      </c>
      <c r="N283" s="101">
        <f t="shared" si="120"/>
        <v>1.0223334320433337</v>
      </c>
      <c r="O283" s="104">
        <f t="shared" si="121"/>
        <v>0.20940654541701273</v>
      </c>
      <c r="P283" s="105">
        <f t="shared" ca="1" si="122"/>
        <v>1.4286910278182938</v>
      </c>
      <c r="Q283" s="106">
        <f t="shared" ca="1" si="123"/>
        <v>0.82780569882095434</v>
      </c>
      <c r="R283" s="107">
        <f t="shared" ca="1" si="124"/>
        <v>5.424767669704206</v>
      </c>
      <c r="S283" s="108">
        <f t="shared" ca="1" si="125"/>
        <v>-96.375115723732762</v>
      </c>
      <c r="T283" s="116">
        <f t="shared" ca="1" si="126"/>
        <v>83.624884276267238</v>
      </c>
      <c r="V283" s="72">
        <f t="shared" ca="1" si="127"/>
        <v>1000000000</v>
      </c>
      <c r="W283" s="72">
        <f t="shared" si="128"/>
        <v>334999809</v>
      </c>
      <c r="Y283" s="110">
        <f t="shared" si="129"/>
        <v>20.239245002099299</v>
      </c>
      <c r="Z283" s="111">
        <f t="shared" si="130"/>
        <v>-47.260753257209743</v>
      </c>
      <c r="AA283" s="72">
        <f t="shared" si="131"/>
        <v>132.73924674279027</v>
      </c>
      <c r="AB283" s="110">
        <f t="shared" ca="1" si="132"/>
        <v>1.1031230144864104</v>
      </c>
      <c r="AC283" s="111">
        <f t="shared" ca="1" si="133"/>
        <v>-49.114362466523019</v>
      </c>
      <c r="AD283" s="72">
        <f t="shared" ca="1" si="134"/>
        <v>130.885637533477</v>
      </c>
    </row>
    <row r="284" spans="1:30">
      <c r="A284" s="118">
        <v>18409</v>
      </c>
      <c r="B284" s="101">
        <f t="shared" ca="1" si="108"/>
        <v>301.28701448270436</v>
      </c>
      <c r="C284" s="102">
        <f t="shared" ca="1" si="109"/>
        <v>1.5674772264420636</v>
      </c>
      <c r="D284" s="102">
        <f t="shared" si="110"/>
        <v>30.725907722554552</v>
      </c>
      <c r="E284" s="103">
        <f t="shared" si="111"/>
        <v>1.5382447539762605</v>
      </c>
      <c r="F284" s="101">
        <f t="shared" si="112"/>
        <v>2498.4108169815436</v>
      </c>
      <c r="G284" s="104">
        <f t="shared" si="113"/>
        <v>1.5703960723531916</v>
      </c>
      <c r="H284" s="113">
        <f t="shared" si="114"/>
        <v>300.74784053076206</v>
      </c>
      <c r="I284" s="114">
        <f t="shared" si="115"/>
        <v>1.5674712760118286</v>
      </c>
      <c r="J284" s="101">
        <f t="shared" si="116"/>
        <v>30.647873856965944</v>
      </c>
      <c r="K284" s="104">
        <f t="shared" si="117"/>
        <v>1.5381618436230111</v>
      </c>
      <c r="L284" s="102">
        <f t="shared" si="118"/>
        <v>1.6687652834026854</v>
      </c>
      <c r="M284" s="103">
        <f t="shared" si="119"/>
        <v>0.92823807466907216</v>
      </c>
      <c r="N284" s="101">
        <f t="shared" si="120"/>
        <v>1.0225899988851372</v>
      </c>
      <c r="O284" s="104">
        <f t="shared" si="121"/>
        <v>0.21058386317904632</v>
      </c>
      <c r="P284" s="105">
        <f t="shared" ca="1" si="122"/>
        <v>1.4329220801409221</v>
      </c>
      <c r="Q284" s="106">
        <f t="shared" ca="1" si="123"/>
        <v>0.83088247707255658</v>
      </c>
      <c r="R284" s="107">
        <f t="shared" ca="1" si="124"/>
        <v>5.3788248886382108</v>
      </c>
      <c r="S284" s="108">
        <f t="shared" ca="1" si="125"/>
        <v>-96.46015948066578</v>
      </c>
      <c r="T284" s="116">
        <f t="shared" ca="1" si="126"/>
        <v>83.53984051933422</v>
      </c>
      <c r="V284" s="72">
        <f t="shared" ca="1" si="127"/>
        <v>1000000000</v>
      </c>
      <c r="W284" s="72">
        <f t="shared" si="128"/>
        <v>338891281</v>
      </c>
      <c r="Y284" s="110">
        <f t="shared" si="129"/>
        <v>20.219040251746051</v>
      </c>
      <c r="Z284" s="111">
        <f t="shared" si="130"/>
        <v>-47.179202919698263</v>
      </c>
      <c r="AA284" s="72">
        <f t="shared" si="131"/>
        <v>132.82079708030173</v>
      </c>
      <c r="AB284" s="110">
        <f t="shared" ca="1" si="132"/>
        <v>1.0773849837736618</v>
      </c>
      <c r="AC284" s="111">
        <f t="shared" ca="1" si="133"/>
        <v>-49.280956560967475</v>
      </c>
      <c r="AD284" s="72">
        <f t="shared" ca="1" si="134"/>
        <v>130.71904343903253</v>
      </c>
    </row>
    <row r="285" spans="1:30">
      <c r="A285" s="118">
        <v>18515</v>
      </c>
      <c r="B285" s="101">
        <f t="shared" ca="1" si="108"/>
        <v>303.02182206151235</v>
      </c>
      <c r="C285" s="102">
        <f t="shared" ca="1" si="109"/>
        <v>1.5674962284445293</v>
      </c>
      <c r="D285" s="102">
        <f t="shared" si="110"/>
        <v>30.902642266862369</v>
      </c>
      <c r="E285" s="103">
        <f t="shared" si="111"/>
        <v>1.5384309840969241</v>
      </c>
      <c r="F285" s="101">
        <f t="shared" si="112"/>
        <v>2512.7967968986777</v>
      </c>
      <c r="G285" s="104">
        <f t="shared" si="113"/>
        <v>1.5703983638447567</v>
      </c>
      <c r="H285" s="113">
        <f t="shared" si="114"/>
        <v>302.4795434831459</v>
      </c>
      <c r="I285" s="114">
        <f t="shared" si="115"/>
        <v>1.5674903120802841</v>
      </c>
      <c r="J285" s="101">
        <f t="shared" si="116"/>
        <v>30.824158602342926</v>
      </c>
      <c r="K285" s="104">
        <f t="shared" si="117"/>
        <v>1.5383485474132221</v>
      </c>
      <c r="L285" s="102">
        <f t="shared" si="118"/>
        <v>1.6749299787900738</v>
      </c>
      <c r="M285" s="103">
        <f t="shared" si="119"/>
        <v>0.93099025162091109</v>
      </c>
      <c r="N285" s="101">
        <f t="shared" si="120"/>
        <v>1.022847982403325</v>
      </c>
      <c r="O285" s="104">
        <f t="shared" si="121"/>
        <v>0.21176058868341463</v>
      </c>
      <c r="P285" s="105">
        <f t="shared" ca="1" si="122"/>
        <v>1.4371651073349723</v>
      </c>
      <c r="Q285" s="106">
        <f t="shared" ca="1" si="123"/>
        <v>0.83394226818737327</v>
      </c>
      <c r="R285" s="107">
        <f t="shared" ca="1" si="124"/>
        <v>5.3331099509238777</v>
      </c>
      <c r="S285" s="108">
        <f t="shared" ca="1" si="125"/>
        <v>-96.545362359289896</v>
      </c>
      <c r="T285" s="116">
        <f t="shared" ca="1" si="126"/>
        <v>83.454637640710104</v>
      </c>
      <c r="V285" s="72">
        <f t="shared" ca="1" si="127"/>
        <v>1000000000</v>
      </c>
      <c r="W285" s="72">
        <f t="shared" si="128"/>
        <v>342805225</v>
      </c>
      <c r="Y285" s="110">
        <f t="shared" si="129"/>
        <v>20.199059083381947</v>
      </c>
      <c r="Z285" s="111">
        <f t="shared" si="130"/>
        <v>-47.098674146451039</v>
      </c>
      <c r="AA285" s="72">
        <f t="shared" si="131"/>
        <v>132.90132585354897</v>
      </c>
      <c r="AB285" s="110">
        <f t="shared" ca="1" si="132"/>
        <v>1.0516512144234362</v>
      </c>
      <c r="AC285" s="111">
        <f t="shared" ca="1" si="133"/>
        <v>-49.446688212838822</v>
      </c>
      <c r="AD285" s="72">
        <f t="shared" ca="1" si="134"/>
        <v>130.55331178716119</v>
      </c>
    </row>
    <row r="286" spans="1:30">
      <c r="A286" s="118">
        <v>18621</v>
      </c>
      <c r="B286" s="101">
        <f t="shared" ca="1" si="108"/>
        <v>304.75662974848859</v>
      </c>
      <c r="C286" s="102">
        <f t="shared" ca="1" si="109"/>
        <v>1.5675150141116263</v>
      </c>
      <c r="D286" s="102">
        <f t="shared" si="110"/>
        <v>31.079377870735843</v>
      </c>
      <c r="E286" s="103">
        <f t="shared" si="111"/>
        <v>1.5386150961961342</v>
      </c>
      <c r="F286" s="101">
        <f t="shared" si="112"/>
        <v>2527.1827768288563</v>
      </c>
      <c r="G286" s="104">
        <f t="shared" si="113"/>
        <v>1.5704006292477051</v>
      </c>
      <c r="H286" s="113">
        <f t="shared" si="114"/>
        <v>304.21124654389189</v>
      </c>
      <c r="I286" s="114">
        <f t="shared" si="115"/>
        <v>1.5675091314255425</v>
      </c>
      <c r="J286" s="101">
        <f t="shared" si="116"/>
        <v>31.000444409977728</v>
      </c>
      <c r="K286" s="104">
        <f t="shared" si="117"/>
        <v>1.5385331278061538</v>
      </c>
      <c r="L286" s="102">
        <f t="shared" si="118"/>
        <v>1.6811072677963383</v>
      </c>
      <c r="M286" s="103">
        <f t="shared" si="119"/>
        <v>0.93372222319355824</v>
      </c>
      <c r="N286" s="101">
        <f t="shared" si="120"/>
        <v>1.023107381526223</v>
      </c>
      <c r="O286" s="104">
        <f t="shared" si="121"/>
        <v>0.21293671912059736</v>
      </c>
      <c r="P286" s="105">
        <f t="shared" ca="1" si="122"/>
        <v>1.4414200054817492</v>
      </c>
      <c r="Q286" s="106">
        <f t="shared" ca="1" si="123"/>
        <v>0.83698517476899092</v>
      </c>
      <c r="R286" s="107">
        <f t="shared" ca="1" si="124"/>
        <v>5.2876198218949311</v>
      </c>
      <c r="S286" s="108">
        <f t="shared" ca="1" si="125"/>
        <v>-96.630719632976948</v>
      </c>
      <c r="T286" s="116">
        <f t="shared" ca="1" si="126"/>
        <v>83.369280367023052</v>
      </c>
      <c r="V286" s="72">
        <f t="shared" ca="1" si="127"/>
        <v>1000000000</v>
      </c>
      <c r="W286" s="72">
        <f t="shared" si="128"/>
        <v>346741641</v>
      </c>
      <c r="Y286" s="110">
        <f t="shared" si="129"/>
        <v>20.179297662781575</v>
      </c>
      <c r="Z286" s="111">
        <f t="shared" si="130"/>
        <v>-47.019158222172429</v>
      </c>
      <c r="AA286" s="72">
        <f t="shared" si="131"/>
        <v>132.98084177782758</v>
      </c>
      <c r="AB286" s="110">
        <f t="shared" ca="1" si="132"/>
        <v>1.0259225059948609</v>
      </c>
      <c r="AC286" s="111">
        <f t="shared" ca="1" si="133"/>
        <v>-49.61156141080447</v>
      </c>
      <c r="AD286" s="72">
        <f t="shared" ca="1" si="134"/>
        <v>130.38843858919552</v>
      </c>
    </row>
    <row r="287" spans="1:30">
      <c r="A287" s="118">
        <v>18729.5</v>
      </c>
      <c r="B287" s="101">
        <f t="shared" ca="1" si="108"/>
        <v>306.53235282120914</v>
      </c>
      <c r="C287" s="102">
        <f t="shared" ca="1" si="109"/>
        <v>1.5675340226218788</v>
      </c>
      <c r="D287" s="102">
        <f t="shared" si="110"/>
        <v>31.260282845740065</v>
      </c>
      <c r="E287" s="103">
        <f t="shared" si="111"/>
        <v>1.5388013945056027</v>
      </c>
      <c r="F287" s="101">
        <f t="shared" si="112"/>
        <v>2541.9080487517986</v>
      </c>
      <c r="G287" s="104">
        <f t="shared" si="113"/>
        <v>1.570402921523496</v>
      </c>
      <c r="H287" s="113">
        <f t="shared" si="114"/>
        <v>305.98379176826285</v>
      </c>
      <c r="I287" s="114">
        <f t="shared" si="115"/>
        <v>1.5675281740134688</v>
      </c>
      <c r="J287" s="101">
        <f t="shared" si="116"/>
        <v>31.180888983081999</v>
      </c>
      <c r="K287" s="104">
        <f t="shared" si="117"/>
        <v>1.53871989998138</v>
      </c>
      <c r="L287" s="102">
        <f t="shared" si="118"/>
        <v>1.687443145866458</v>
      </c>
      <c r="M287" s="103">
        <f t="shared" si="119"/>
        <v>0.93649789154105456</v>
      </c>
      <c r="N287" s="101">
        <f t="shared" si="120"/>
        <v>1.0233743635081012</v>
      </c>
      <c r="O287" s="104">
        <f t="shared" si="121"/>
        <v>0.21413996927591908</v>
      </c>
      <c r="P287" s="105">
        <f t="shared" ca="1" si="122"/>
        <v>1.4457874417337726</v>
      </c>
      <c r="Q287" s="106">
        <f t="shared" ca="1" si="123"/>
        <v>0.84008246844327983</v>
      </c>
      <c r="R287" s="107">
        <f t="shared" ca="1" si="124"/>
        <v>5.2412865328446321</v>
      </c>
      <c r="S287" s="108">
        <f t="shared" ca="1" si="125"/>
        <v>-96.718245098214467</v>
      </c>
      <c r="T287" s="116">
        <f t="shared" ca="1" si="126"/>
        <v>83.281754901785533</v>
      </c>
      <c r="V287" s="72">
        <f t="shared" ca="1" si="127"/>
        <v>1000000000</v>
      </c>
      <c r="W287" s="72">
        <f t="shared" si="128"/>
        <v>350794170.25</v>
      </c>
      <c r="Y287" s="110">
        <f t="shared" si="129"/>
        <v>20.159293830343881</v>
      </c>
      <c r="Z287" s="111">
        <f t="shared" si="130"/>
        <v>-46.938806831219466</v>
      </c>
      <c r="AA287" s="72">
        <f t="shared" si="131"/>
        <v>133.06119316878053</v>
      </c>
      <c r="AB287" s="110">
        <f t="shared" ca="1" si="132"/>
        <v>0.99959304938225824</v>
      </c>
      <c r="AC287" s="111">
        <f t="shared" ca="1" si="133"/>
        <v>-49.779438266994944</v>
      </c>
      <c r="AD287" s="72">
        <f t="shared" ca="1" si="134"/>
        <v>130.22056173300507</v>
      </c>
    </row>
    <row r="288" spans="1:30">
      <c r="A288" s="118">
        <v>18838</v>
      </c>
      <c r="B288" s="101">
        <f t="shared" ca="1" si="108"/>
        <v>308.3080760034112</v>
      </c>
      <c r="C288" s="102">
        <f t="shared" ca="1" si="109"/>
        <v>1.5675528121702944</v>
      </c>
      <c r="D288" s="102">
        <f t="shared" si="110"/>
        <v>31.441188893211667</v>
      </c>
      <c r="E288" s="103">
        <f t="shared" si="111"/>
        <v>1.5389855489781179</v>
      </c>
      <c r="F288" s="101">
        <f t="shared" si="112"/>
        <v>2556.6333206879431</v>
      </c>
      <c r="G288" s="104">
        <f t="shared" si="113"/>
        <v>1.5704051873939484</v>
      </c>
      <c r="H288" s="113">
        <f t="shared" si="114"/>
        <v>307.75633710231159</v>
      </c>
      <c r="I288" s="114">
        <f t="shared" si="115"/>
        <v>1.5675469972470208</v>
      </c>
      <c r="J288" s="101">
        <f t="shared" si="116"/>
        <v>31.361334631378803</v>
      </c>
      <c r="K288" s="104">
        <f t="shared" si="117"/>
        <v>1.5389045228777816</v>
      </c>
      <c r="L288" s="102">
        <f t="shared" si="118"/>
        <v>1.6937919272437956</v>
      </c>
      <c r="M288" s="103">
        <f t="shared" si="119"/>
        <v>0.93925277309852861</v>
      </c>
      <c r="N288" s="101">
        <f t="shared" si="120"/>
        <v>1.0236428263684476</v>
      </c>
      <c r="O288" s="104">
        <f t="shared" si="121"/>
        <v>0.21534259003748771</v>
      </c>
      <c r="P288" s="105">
        <f t="shared" ca="1" si="122"/>
        <v>1.4501670981778434</v>
      </c>
      <c r="Q288" s="106">
        <f t="shared" ca="1" si="123"/>
        <v>0.84316228893267831</v>
      </c>
      <c r="R288" s="107">
        <f t="shared" ca="1" si="124"/>
        <v>5.1951825405325529</v>
      </c>
      <c r="S288" s="108">
        <f t="shared" ca="1" si="125"/>
        <v>-96.805922555215474</v>
      </c>
      <c r="T288" s="116">
        <f t="shared" ca="1" si="126"/>
        <v>83.194077444784526</v>
      </c>
      <c r="V288" s="72">
        <f t="shared" ca="1" si="127"/>
        <v>1000000000</v>
      </c>
      <c r="W288" s="72">
        <f t="shared" si="128"/>
        <v>354870244</v>
      </c>
      <c r="Y288" s="110">
        <f t="shared" si="129"/>
        <v>20.139512342574555</v>
      </c>
      <c r="Z288" s="111">
        <f t="shared" si="130"/>
        <v>-46.85949828455967</v>
      </c>
      <c r="AA288" s="72">
        <f t="shared" si="131"/>
        <v>133.14050171544034</v>
      </c>
      <c r="AB288" s="110">
        <f t="shared" ca="1" si="132"/>
        <v>0.97327054483949937</v>
      </c>
      <c r="AC288" s="111">
        <f t="shared" ca="1" si="133"/>
        <v>-49.946424270655797</v>
      </c>
      <c r="AD288" s="72">
        <f t="shared" ca="1" si="134"/>
        <v>130.0535757293442</v>
      </c>
    </row>
    <row r="289" spans="1:30">
      <c r="A289" s="118">
        <v>18946.5</v>
      </c>
      <c r="B289" s="101">
        <f t="shared" ca="1" si="108"/>
        <v>310.08379929321399</v>
      </c>
      <c r="C289" s="102">
        <f t="shared" ca="1" si="109"/>
        <v>1.5675713865185754</v>
      </c>
      <c r="D289" s="102">
        <f t="shared" si="110"/>
        <v>31.622095994744306</v>
      </c>
      <c r="E289" s="103">
        <f t="shared" si="111"/>
        <v>1.539167596395163</v>
      </c>
      <c r="F289" s="101">
        <f t="shared" si="112"/>
        <v>2571.3585926370638</v>
      </c>
      <c r="G289" s="104">
        <f t="shared" si="113"/>
        <v>1.5704074273127044</v>
      </c>
      <c r="H289" s="113">
        <f t="shared" si="114"/>
        <v>309.52888254415387</v>
      </c>
      <c r="I289" s="114">
        <f t="shared" si="115"/>
        <v>1.567565604894644</v>
      </c>
      <c r="J289" s="101">
        <f t="shared" si="116"/>
        <v>31.541781336415092</v>
      </c>
      <c r="K289" s="104">
        <f t="shared" si="117"/>
        <v>1.5390870333699536</v>
      </c>
      <c r="L289" s="102">
        <f t="shared" si="118"/>
        <v>1.7001534673762126</v>
      </c>
      <c r="M289" s="103">
        <f t="shared" si="119"/>
        <v>0.94198705915178493</v>
      </c>
      <c r="N289" s="101">
        <f t="shared" si="120"/>
        <v>1.0239127689424343</v>
      </c>
      <c r="O289" s="104">
        <f t="shared" si="121"/>
        <v>0.21654457842305225</v>
      </c>
      <c r="P289" s="105">
        <f t="shared" ca="1" si="122"/>
        <v>1.4545588664088274</v>
      </c>
      <c r="Q289" s="106">
        <f t="shared" ca="1" si="123"/>
        <v>0.84622474587314223</v>
      </c>
      <c r="R289" s="107">
        <f t="shared" ca="1" si="124"/>
        <v>5.1493047827760314</v>
      </c>
      <c r="S289" s="108">
        <f t="shared" ca="1" si="125"/>
        <v>-96.893747185858231</v>
      </c>
      <c r="T289" s="116">
        <f t="shared" ca="1" si="126"/>
        <v>83.106252814141769</v>
      </c>
      <c r="V289" s="72">
        <f t="shared" ca="1" si="127"/>
        <v>1000000000</v>
      </c>
      <c r="W289" s="72">
        <f t="shared" si="128"/>
        <v>358969862.25</v>
      </c>
      <c r="Y289" s="110">
        <f t="shared" si="129"/>
        <v>20.119949325685319</v>
      </c>
      <c r="Z289" s="111">
        <f t="shared" si="130"/>
        <v>-46.781223374287777</v>
      </c>
      <c r="AA289" s="72">
        <f t="shared" si="131"/>
        <v>133.21877662571222</v>
      </c>
      <c r="AB289" s="110">
        <f t="shared" ca="1" si="132"/>
        <v>0.94695580397222201</v>
      </c>
      <c r="AC289" s="111">
        <f t="shared" ca="1" si="133"/>
        <v>-50.112523811570483</v>
      </c>
      <c r="AD289" s="72">
        <f t="shared" ca="1" si="134"/>
        <v>129.8874761884295</v>
      </c>
    </row>
    <row r="290" spans="1:30">
      <c r="A290" s="118">
        <v>19055</v>
      </c>
      <c r="B290" s="101">
        <f t="shared" ca="1" si="108"/>
        <v>311.85952268877929</v>
      </c>
      <c r="C290" s="102">
        <f t="shared" ca="1" si="109"/>
        <v>1.5675897493427473</v>
      </c>
      <c r="D290" s="102">
        <f t="shared" si="110"/>
        <v>31.803004132350321</v>
      </c>
      <c r="E290" s="103">
        <f t="shared" si="111"/>
        <v>1.5393475727018762</v>
      </c>
      <c r="F290" s="101">
        <f t="shared" si="112"/>
        <v>2586.0838645989384</v>
      </c>
      <c r="G290" s="104">
        <f t="shared" si="113"/>
        <v>1.5704096417230744</v>
      </c>
      <c r="H290" s="113">
        <f t="shared" si="114"/>
        <v>311.30142809194831</v>
      </c>
      <c r="I290" s="114">
        <f t="shared" si="115"/>
        <v>1.5675840006389543</v>
      </c>
      <c r="J290" s="101">
        <f t="shared" si="116"/>
        <v>31.722229080157611</v>
      </c>
      <c r="K290" s="104">
        <f t="shared" si="117"/>
        <v>1.5392674674940359</v>
      </c>
      <c r="L290" s="102">
        <f t="shared" si="118"/>
        <v>1.7065276235786542</v>
      </c>
      <c r="M290" s="103">
        <f t="shared" si="119"/>
        <v>0.9447009393691207</v>
      </c>
      <c r="N290" s="101">
        <f t="shared" si="120"/>
        <v>1.0241841900600435</v>
      </c>
      <c r="O290" s="104">
        <f t="shared" si="121"/>
        <v>0.2177459314608062</v>
      </c>
      <c r="P290" s="105">
        <f t="shared" ca="1" si="122"/>
        <v>1.4589626390348225</v>
      </c>
      <c r="Q290" s="106">
        <f t="shared" ca="1" si="123"/>
        <v>0.84926994872734995</v>
      </c>
      <c r="R290" s="107">
        <f t="shared" ca="1" si="124"/>
        <v>5.1036502590279733</v>
      </c>
      <c r="S290" s="108">
        <f t="shared" ca="1" si="125"/>
        <v>-96.981714254663586</v>
      </c>
      <c r="T290" s="116">
        <f t="shared" ca="1" si="126"/>
        <v>83.018285745336414</v>
      </c>
      <c r="V290" s="72">
        <f t="shared" ca="1" si="127"/>
        <v>1000000000</v>
      </c>
      <c r="W290" s="72">
        <f t="shared" si="128"/>
        <v>363093025</v>
      </c>
      <c r="Y290" s="110">
        <f t="shared" si="129"/>
        <v>20.100600982622328</v>
      </c>
      <c r="Z290" s="111">
        <f t="shared" si="130"/>
        <v>-46.703972942059004</v>
      </c>
      <c r="AA290" s="72">
        <f t="shared" si="131"/>
        <v>133.29602705794099</v>
      </c>
      <c r="AB290" s="110">
        <f t="shared" ca="1" si="132"/>
        <v>0.92064962328715405</v>
      </c>
      <c r="AC290" s="111">
        <f t="shared" ca="1" si="133"/>
        <v>-50.277741312604547</v>
      </c>
      <c r="AD290" s="72">
        <f t="shared" ca="1" si="134"/>
        <v>129.72225868739545</v>
      </c>
    </row>
    <row r="291" spans="1:30">
      <c r="A291" s="118">
        <v>19165.75</v>
      </c>
      <c r="B291" s="101">
        <f t="shared" ca="1" si="108"/>
        <v>313.67206994860544</v>
      </c>
      <c r="C291" s="102">
        <f t="shared" ca="1" si="109"/>
        <v>1.5676082785440344</v>
      </c>
      <c r="D291" s="102">
        <f t="shared" si="110"/>
        <v>31.987664871466635</v>
      </c>
      <c r="E291" s="103">
        <f t="shared" si="111"/>
        <v>1.5395291817355368</v>
      </c>
      <c r="F291" s="101">
        <f t="shared" si="112"/>
        <v>2601.1144993563616</v>
      </c>
      <c r="G291" s="104">
        <f t="shared" si="113"/>
        <v>1.570411876196939</v>
      </c>
      <c r="H291" s="113">
        <f t="shared" si="114"/>
        <v>313.1107316041269</v>
      </c>
      <c r="I291" s="114">
        <f t="shared" si="115"/>
        <v>1.5676025630586621</v>
      </c>
      <c r="J291" s="101">
        <f t="shared" si="116"/>
        <v>31.906419880741254</v>
      </c>
      <c r="K291" s="104">
        <f t="shared" si="117"/>
        <v>1.5394495385088995</v>
      </c>
      <c r="L291" s="102">
        <f t="shared" si="118"/>
        <v>1.7130468277142636</v>
      </c>
      <c r="M291" s="103">
        <f t="shared" si="119"/>
        <v>0.94745024851329973</v>
      </c>
      <c r="N291" s="101">
        <f t="shared" si="120"/>
        <v>1.0244627633588801</v>
      </c>
      <c r="O291" s="104">
        <f t="shared" si="121"/>
        <v>0.2189715390268919</v>
      </c>
      <c r="P291" s="105">
        <f t="shared" ca="1" si="122"/>
        <v>1.4634700040492734</v>
      </c>
      <c r="Q291" s="106">
        <f t="shared" ca="1" si="123"/>
        <v>0.85236061991925238</v>
      </c>
      <c r="R291" s="107">
        <f t="shared" ca="1" si="124"/>
        <v>5.057276155205801</v>
      </c>
      <c r="S291" s="108">
        <f t="shared" ca="1" si="125"/>
        <v>-97.071647592482549</v>
      </c>
      <c r="T291" s="116">
        <f t="shared" ca="1" si="126"/>
        <v>82.928352407517451</v>
      </c>
      <c r="V291" s="72">
        <f t="shared" ca="1" si="127"/>
        <v>1000000000</v>
      </c>
      <c r="W291" s="72">
        <f t="shared" si="128"/>
        <v>367325973.0625</v>
      </c>
      <c r="Y291" s="110">
        <f t="shared" si="129"/>
        <v>20.081068939498099</v>
      </c>
      <c r="Z291" s="111">
        <f t="shared" si="130"/>
        <v>-46.626167650646337</v>
      </c>
      <c r="AA291" s="72">
        <f t="shared" si="131"/>
        <v>133.37383234935368</v>
      </c>
      <c r="AB291" s="110">
        <f t="shared" ca="1" si="132"/>
        <v>0.8938075625892048</v>
      </c>
      <c r="AC291" s="111">
        <f t="shared" ca="1" si="133"/>
        <v>-50.445479941836183</v>
      </c>
      <c r="AD291" s="72">
        <f t="shared" ca="1" si="134"/>
        <v>129.5545200581638</v>
      </c>
    </row>
    <row r="292" spans="1:30">
      <c r="A292" s="118">
        <v>19276.5</v>
      </c>
      <c r="B292" s="101">
        <f t="shared" ca="1" si="108"/>
        <v>315.48461731488754</v>
      </c>
      <c r="C292" s="102">
        <f t="shared" ca="1" si="109"/>
        <v>1.5676265948344401</v>
      </c>
      <c r="D292" s="102">
        <f t="shared" si="110"/>
        <v>32.172326653484021</v>
      </c>
      <c r="E292" s="103">
        <f t="shared" si="111"/>
        <v>1.5397087059865944</v>
      </c>
      <c r="F292" s="101">
        <f t="shared" si="112"/>
        <v>2616.1451341266225</v>
      </c>
      <c r="G292" s="104">
        <f t="shared" si="113"/>
        <v>1.5704140849951942</v>
      </c>
      <c r="H292" s="113">
        <f t="shared" si="114"/>
        <v>314.92003522295227</v>
      </c>
      <c r="I292" s="114">
        <f t="shared" si="115"/>
        <v>1.5676209121857976</v>
      </c>
      <c r="J292" s="101">
        <f t="shared" si="116"/>
        <v>32.090611726876354</v>
      </c>
      <c r="K292" s="104">
        <f t="shared" si="117"/>
        <v>1.5396295194482092</v>
      </c>
      <c r="L292" s="102">
        <f t="shared" si="118"/>
        <v>1.7195788820223492</v>
      </c>
      <c r="M292" s="103">
        <f t="shared" si="119"/>
        <v>0.95017869090112472</v>
      </c>
      <c r="N292" s="101">
        <f t="shared" si="120"/>
        <v>1.0247428746794627</v>
      </c>
      <c r="O292" s="104">
        <f t="shared" si="121"/>
        <v>0.22019647839761258</v>
      </c>
      <c r="P292" s="105">
        <f t="shared" ca="1" si="122"/>
        <v>1.4679896535930708</v>
      </c>
      <c r="Q292" s="106">
        <f t="shared" ca="1" si="123"/>
        <v>0.85543354383276426</v>
      </c>
      <c r="R292" s="107">
        <f t="shared" ca="1" si="124"/>
        <v>5.0111285122130447</v>
      </c>
      <c r="S292" s="108">
        <f t="shared" ca="1" si="125"/>
        <v>-97.161719625950482</v>
      </c>
      <c r="T292" s="116">
        <f t="shared" ca="1" si="126"/>
        <v>82.838280374049518</v>
      </c>
      <c r="V292" s="72">
        <f t="shared" ca="1" si="127"/>
        <v>1000000000</v>
      </c>
      <c r="W292" s="72">
        <f t="shared" si="128"/>
        <v>371583452.25</v>
      </c>
      <c r="Y292" s="110">
        <f t="shared" si="129"/>
        <v>20.061752808602634</v>
      </c>
      <c r="Z292" s="111">
        <f t="shared" si="130"/>
        <v>-46.549410648683839</v>
      </c>
      <c r="AA292" s="72">
        <f t="shared" si="131"/>
        <v>133.45058935131615</v>
      </c>
      <c r="AB292" s="110">
        <f t="shared" ca="1" si="132"/>
        <v>0.86697605049191329</v>
      </c>
      <c r="AC292" s="111">
        <f t="shared" ca="1" si="133"/>
        <v>-50.612308977266608</v>
      </c>
      <c r="AD292" s="72">
        <f t="shared" ca="1" si="134"/>
        <v>129.38769102273341</v>
      </c>
    </row>
    <row r="293" spans="1:30">
      <c r="A293" s="118">
        <v>19387.25</v>
      </c>
      <c r="B293" s="101">
        <f t="shared" ca="1" si="108"/>
        <v>317.29716478580127</v>
      </c>
      <c r="C293" s="102">
        <f t="shared" ca="1" si="109"/>
        <v>1.5676447018626865</v>
      </c>
      <c r="D293" s="102">
        <f t="shared" si="110"/>
        <v>32.356989460546934</v>
      </c>
      <c r="E293" s="103">
        <f t="shared" si="111"/>
        <v>1.5398861811372242</v>
      </c>
      <c r="F293" s="101">
        <f t="shared" si="112"/>
        <v>2631.1757689095011</v>
      </c>
      <c r="G293" s="104">
        <f t="shared" si="113"/>
        <v>1.5704162685578567</v>
      </c>
      <c r="H293" s="113">
        <f t="shared" si="114"/>
        <v>316.72933894659684</v>
      </c>
      <c r="I293" s="114">
        <f t="shared" si="115"/>
        <v>1.5676390516756245</v>
      </c>
      <c r="J293" s="101">
        <f t="shared" si="116"/>
        <v>32.274804600662051</v>
      </c>
      <c r="K293" s="104">
        <f t="shared" si="117"/>
        <v>1.5398074460844973</v>
      </c>
      <c r="L293" s="102">
        <f t="shared" si="118"/>
        <v>1.7261236406187703</v>
      </c>
      <c r="M293" s="103">
        <f t="shared" si="119"/>
        <v>0.95288646303258984</v>
      </c>
      <c r="N293" s="101">
        <f t="shared" si="120"/>
        <v>1.0250245227608932</v>
      </c>
      <c r="O293" s="104">
        <f t="shared" si="121"/>
        <v>0.22142074644629461</v>
      </c>
      <c r="P293" s="105">
        <f t="shared" ca="1" si="122"/>
        <v>1.4725214766783097</v>
      </c>
      <c r="Q293" s="106">
        <f t="shared" ca="1" si="123"/>
        <v>0.85848883620736238</v>
      </c>
      <c r="R293" s="107">
        <f t="shared" ca="1" si="124"/>
        <v>4.9652043277682241</v>
      </c>
      <c r="S293" s="108">
        <f t="shared" ca="1" si="125"/>
        <v>-97.251925578698604</v>
      </c>
      <c r="T293" s="116">
        <f t="shared" ca="1" si="126"/>
        <v>82.748074421301396</v>
      </c>
      <c r="V293" s="72">
        <f t="shared" ca="1" si="127"/>
        <v>1000000000</v>
      </c>
      <c r="W293" s="72">
        <f t="shared" si="128"/>
        <v>375865462.5625</v>
      </c>
      <c r="Y293" s="110">
        <f t="shared" si="129"/>
        <v>20.042648788020294</v>
      </c>
      <c r="Z293" s="111">
        <f t="shared" si="130"/>
        <v>-46.473692363800922</v>
      </c>
      <c r="AA293" s="72">
        <f t="shared" si="131"/>
        <v>133.52630763619908</v>
      </c>
      <c r="AB293" s="110">
        <f t="shared" ca="1" si="132"/>
        <v>0.84015588662943574</v>
      </c>
      <c r="AC293" s="111">
        <f t="shared" ca="1" si="133"/>
        <v>-50.778233214897689</v>
      </c>
      <c r="AD293" s="72">
        <f t="shared" ca="1" si="134"/>
        <v>129.22176678510232</v>
      </c>
    </row>
    <row r="294" spans="1:30">
      <c r="A294" s="118">
        <v>19498</v>
      </c>
      <c r="B294" s="101">
        <f t="shared" ca="1" si="108"/>
        <v>319.10971235956373</v>
      </c>
      <c r="C294" s="102">
        <f t="shared" ca="1" si="109"/>
        <v>1.5676626031945975</v>
      </c>
      <c r="D294" s="102">
        <f t="shared" si="110"/>
        <v>32.541653275205007</v>
      </c>
      <c r="E294" s="103">
        <f t="shared" si="111"/>
        <v>1.5400616420601827</v>
      </c>
      <c r="F294" s="101">
        <f t="shared" si="112"/>
        <v>2646.2064037047821</v>
      </c>
      <c r="G294" s="104">
        <f t="shared" si="113"/>
        <v>1.5704184273149462</v>
      </c>
      <c r="H294" s="113">
        <f t="shared" si="114"/>
        <v>318.53864277327443</v>
      </c>
      <c r="I294" s="114">
        <f t="shared" si="115"/>
        <v>1.5676569851003588</v>
      </c>
      <c r="J294" s="101">
        <f t="shared" si="116"/>
        <v>32.458998484603754</v>
      </c>
      <c r="K294" s="104">
        <f t="shared" si="117"/>
        <v>1.5399833533788339</v>
      </c>
      <c r="L294" s="102">
        <f t="shared" si="118"/>
        <v>1.7326809595419468</v>
      </c>
      <c r="M294" s="103">
        <f t="shared" si="119"/>
        <v>0.95557375965417957</v>
      </c>
      <c r="N294" s="101">
        <f t="shared" si="120"/>
        <v>1.0253077063367444</v>
      </c>
      <c r="O294" s="104">
        <f t="shared" si="121"/>
        <v>0.22264434005774011</v>
      </c>
      <c r="P294" s="105">
        <f t="shared" ca="1" si="122"/>
        <v>1.4770653633885773</v>
      </c>
      <c r="Q294" s="106">
        <f t="shared" ca="1" si="123"/>
        <v>0.86152661251789342</v>
      </c>
      <c r="R294" s="107">
        <f t="shared" ca="1" si="124"/>
        <v>4.9195006600082181</v>
      </c>
      <c r="S294" s="108">
        <f t="shared" ca="1" si="125"/>
        <v>-97.342260759641164</v>
      </c>
      <c r="T294" s="116">
        <f t="shared" ca="1" si="126"/>
        <v>82.657739240358836</v>
      </c>
      <c r="V294" s="72">
        <f t="shared" ca="1" si="127"/>
        <v>1000000000</v>
      </c>
      <c r="W294" s="72">
        <f t="shared" si="128"/>
        <v>380172004</v>
      </c>
      <c r="Y294" s="110">
        <f t="shared" si="129"/>
        <v>20.023753151826689</v>
      </c>
      <c r="Z294" s="111">
        <f t="shared" si="130"/>
        <v>-46.399003282445527</v>
      </c>
      <c r="AA294" s="72">
        <f t="shared" si="131"/>
        <v>133.60099671755447</v>
      </c>
      <c r="AB294" s="110">
        <f t="shared" ca="1" si="132"/>
        <v>0.81334785506302998</v>
      </c>
      <c r="AC294" s="111">
        <f t="shared" ca="1" si="133"/>
        <v>-50.943257477195679</v>
      </c>
      <c r="AD294" s="72">
        <f t="shared" ca="1" si="134"/>
        <v>129.05674252280431</v>
      </c>
    </row>
    <row r="295" spans="1:30">
      <c r="A295" s="118">
        <v>19611.75</v>
      </c>
      <c r="B295" s="101">
        <f t="shared" ca="1" si="108"/>
        <v>320.97135839270385</v>
      </c>
      <c r="C295" s="102">
        <f t="shared" ca="1" si="109"/>
        <v>1.5676807789691265</v>
      </c>
      <c r="D295" s="102">
        <f t="shared" si="110"/>
        <v>32.73132030093614</v>
      </c>
      <c r="E295" s="103">
        <f t="shared" si="111"/>
        <v>1.5402397948646736</v>
      </c>
      <c r="F295" s="101">
        <f t="shared" si="112"/>
        <v>2661.6441888909562</v>
      </c>
      <c r="G295" s="104">
        <f t="shared" si="113"/>
        <v>1.5704206191673709</v>
      </c>
      <c r="H295" s="113">
        <f t="shared" si="114"/>
        <v>320.39695719278023</v>
      </c>
      <c r="I295" s="114">
        <f t="shared" si="115"/>
        <v>1.5676751934597288</v>
      </c>
      <c r="J295" s="101">
        <f t="shared" si="116"/>
        <v>32.648182852738664</v>
      </c>
      <c r="K295" s="104">
        <f t="shared" si="117"/>
        <v>1.5401619594127325</v>
      </c>
      <c r="L295" s="102">
        <f t="shared" si="118"/>
        <v>1.7394288294324853</v>
      </c>
      <c r="M295" s="103">
        <f t="shared" si="119"/>
        <v>0.95831273758933877</v>
      </c>
      <c r="N295" s="101">
        <f t="shared" si="120"/>
        <v>1.0256001579115119</v>
      </c>
      <c r="O295" s="104">
        <f t="shared" si="121"/>
        <v>0.22390037306865268</v>
      </c>
      <c r="P295" s="105">
        <f t="shared" ca="1" si="122"/>
        <v>1.4817447789561917</v>
      </c>
      <c r="Q295" s="106">
        <f t="shared" ca="1" si="123"/>
        <v>0.86462856301475011</v>
      </c>
      <c r="R295" s="107">
        <f t="shared" ca="1" si="124"/>
        <v>4.8727854994245101</v>
      </c>
      <c r="S295" s="108">
        <f t="shared" ca="1" si="125"/>
        <v>-97.435172631117709</v>
      </c>
      <c r="T295" s="116">
        <f t="shared" ca="1" si="126"/>
        <v>82.564827368882291</v>
      </c>
      <c r="V295" s="72">
        <f t="shared" ca="1" si="127"/>
        <v>1000000000</v>
      </c>
      <c r="W295" s="72">
        <f t="shared" si="128"/>
        <v>384620738.0625</v>
      </c>
      <c r="Y295" s="110">
        <f t="shared" si="129"/>
        <v>20.004558762702441</v>
      </c>
      <c r="Z295" s="111">
        <f t="shared" si="130"/>
        <v>-46.323352490636836</v>
      </c>
      <c r="AA295" s="72">
        <f t="shared" si="131"/>
        <v>133.67664750936316</v>
      </c>
      <c r="AB295" s="110">
        <f t="shared" ca="1" si="132"/>
        <v>0.78582708360357634</v>
      </c>
      <c r="AC295" s="111">
        <f t="shared" ca="1" si="133"/>
        <v>-51.111820140480837</v>
      </c>
      <c r="AD295" s="72">
        <f t="shared" ca="1" si="134"/>
        <v>128.88817985951917</v>
      </c>
    </row>
    <row r="296" spans="1:30">
      <c r="A296" s="118">
        <v>19725.5</v>
      </c>
      <c r="B296" s="101">
        <f t="shared" ca="1" si="108"/>
        <v>322.83300453065675</v>
      </c>
      <c r="C296" s="102">
        <f t="shared" ca="1" si="109"/>
        <v>1.5676987451191187</v>
      </c>
      <c r="D296" s="102">
        <f t="shared" si="110"/>
        <v>32.920988353537602</v>
      </c>
      <c r="E296" s="103">
        <f t="shared" si="111"/>
        <v>1.5404158948872728</v>
      </c>
      <c r="F296" s="101">
        <f t="shared" si="112"/>
        <v>2677.0819740897696</v>
      </c>
      <c r="G296" s="104">
        <f t="shared" si="113"/>
        <v>1.5704227857405195</v>
      </c>
      <c r="H296" s="113">
        <f t="shared" si="114"/>
        <v>322.25527171728669</v>
      </c>
      <c r="I296" s="114">
        <f t="shared" si="115"/>
        <v>1.5676931918187622</v>
      </c>
      <c r="J296" s="101">
        <f t="shared" si="116"/>
        <v>32.83736825035389</v>
      </c>
      <c r="K296" s="104">
        <f t="shared" si="117"/>
        <v>1.5403385074521108</v>
      </c>
      <c r="L296" s="102">
        <f t="shared" si="118"/>
        <v>1.7461896476084318</v>
      </c>
      <c r="M296" s="103">
        <f t="shared" si="119"/>
        <v>0.96103052648008236</v>
      </c>
      <c r="N296" s="101">
        <f t="shared" si="120"/>
        <v>1.0258942265685194</v>
      </c>
      <c r="O296" s="104">
        <f t="shared" si="121"/>
        <v>0.22515568798491117</v>
      </c>
      <c r="P296" s="105">
        <f t="shared" ca="1" si="122"/>
        <v>1.4864366889565521</v>
      </c>
      <c r="Q296" s="106">
        <f t="shared" ca="1" si="123"/>
        <v>0.86771228164005809</v>
      </c>
      <c r="R296" s="107">
        <f t="shared" ca="1" si="124"/>
        <v>4.8262968624427893</v>
      </c>
      <c r="S296" s="108">
        <f t="shared" ca="1" si="125"/>
        <v>-97.528211066800125</v>
      </c>
      <c r="T296" s="116">
        <f t="shared" ca="1" si="126"/>
        <v>82.471788933199875</v>
      </c>
      <c r="V296" s="72">
        <f t="shared" ca="1" si="127"/>
        <v>1000000000</v>
      </c>
      <c r="W296" s="72">
        <f t="shared" si="128"/>
        <v>389095350.25</v>
      </c>
      <c r="Y296" s="110">
        <f t="shared" si="129"/>
        <v>19.985576471650536</v>
      </c>
      <c r="Z296" s="111">
        <f t="shared" si="130"/>
        <v>-46.248767267190232</v>
      </c>
      <c r="AA296" s="72">
        <f t="shared" si="131"/>
        <v>133.75123273280977</v>
      </c>
      <c r="AB296" s="110">
        <f t="shared" ca="1" si="132"/>
        <v>0.75832073767375974</v>
      </c>
      <c r="AC296" s="111">
        <f t="shared" ca="1" si="133"/>
        <v>-51.279443799609957</v>
      </c>
      <c r="AD296" s="72">
        <f t="shared" ca="1" si="134"/>
        <v>128.72055620039004</v>
      </c>
    </row>
    <row r="297" spans="1:30">
      <c r="A297" s="118">
        <v>19839.25</v>
      </c>
      <c r="B297" s="101">
        <f t="shared" ca="1" si="108"/>
        <v>324.69465077161959</v>
      </c>
      <c r="C297" s="102">
        <f t="shared" ca="1" si="109"/>
        <v>1.5677165052502275</v>
      </c>
      <c r="D297" s="102">
        <f t="shared" si="110"/>
        <v>33.110657415362709</v>
      </c>
      <c r="E297" s="103">
        <f t="shared" si="111"/>
        <v>1.5405899773940532</v>
      </c>
      <c r="F297" s="101">
        <f t="shared" si="112"/>
        <v>2692.5197593010053</v>
      </c>
      <c r="G297" s="104">
        <f t="shared" si="113"/>
        <v>1.5704249274692148</v>
      </c>
      <c r="H297" s="113">
        <f t="shared" si="114"/>
        <v>324.11358634498777</v>
      </c>
      <c r="I297" s="114">
        <f t="shared" si="115"/>
        <v>1.5677109837895766</v>
      </c>
      <c r="J297" s="101">
        <f t="shared" si="116"/>
        <v>33.02655465975797</v>
      </c>
      <c r="K297" s="104">
        <f t="shared" si="117"/>
        <v>1.5405130328523717</v>
      </c>
      <c r="L297" s="102">
        <f t="shared" si="118"/>
        <v>1.7529632642531845</v>
      </c>
      <c r="M297" s="103">
        <f t="shared" si="119"/>
        <v>0.96372733157335078</v>
      </c>
      <c r="N297" s="101">
        <f t="shared" si="120"/>
        <v>1.0261899109175758</v>
      </c>
      <c r="O297" s="104">
        <f t="shared" si="121"/>
        <v>0.22641028146927286</v>
      </c>
      <c r="P297" s="105">
        <f t="shared" ca="1" si="122"/>
        <v>1.4911409777772373</v>
      </c>
      <c r="Q297" s="106">
        <f t="shared" ca="1" si="123"/>
        <v>0.87077789252229598</v>
      </c>
      <c r="R297" s="107">
        <f t="shared" ca="1" si="124"/>
        <v>4.7800317506928369</v>
      </c>
      <c r="S297" s="108">
        <f t="shared" ca="1" si="125"/>
        <v>-97.621371257394699</v>
      </c>
      <c r="T297" s="116">
        <f t="shared" ca="1" si="126"/>
        <v>82.378628742605301</v>
      </c>
      <c r="V297" s="72">
        <f t="shared" ca="1" si="127"/>
        <v>1000000000</v>
      </c>
      <c r="W297" s="72">
        <f t="shared" si="128"/>
        <v>393595840.5625</v>
      </c>
      <c r="Y297" s="110">
        <f t="shared" si="129"/>
        <v>19.966802480718457</v>
      </c>
      <c r="Z297" s="111">
        <f t="shared" si="130"/>
        <v>-46.175237504782082</v>
      </c>
      <c r="AA297" s="72">
        <f t="shared" si="131"/>
        <v>133.82476249521793</v>
      </c>
      <c r="AB297" s="110">
        <f t="shared" ca="1" si="132"/>
        <v>0.73082961685588477</v>
      </c>
      <c r="AC297" s="111">
        <f t="shared" ca="1" si="133"/>
        <v>-51.446133752612603</v>
      </c>
      <c r="AD297" s="72">
        <f t="shared" ca="1" si="134"/>
        <v>128.55386624738739</v>
      </c>
    </row>
    <row r="298" spans="1:30">
      <c r="A298" s="118">
        <v>19953</v>
      </c>
      <c r="B298" s="101">
        <f t="shared" ca="1" si="108"/>
        <v>326.55629711383068</v>
      </c>
      <c r="C298" s="102">
        <f t="shared" ca="1" si="109"/>
        <v>1.5677340628858862</v>
      </c>
      <c r="D298" s="102">
        <f t="shared" si="110"/>
        <v>33.30032746916671</v>
      </c>
      <c r="E298" s="103">
        <f t="shared" si="111"/>
        <v>1.5407620768481181</v>
      </c>
      <c r="F298" s="101">
        <f t="shared" si="112"/>
        <v>2707.9575445244504</v>
      </c>
      <c r="G298" s="104">
        <f t="shared" si="113"/>
        <v>1.5704270447783635</v>
      </c>
      <c r="H298" s="113">
        <f t="shared" si="114"/>
        <v>325.97190107411859</v>
      </c>
      <c r="I298" s="114">
        <f t="shared" si="115"/>
        <v>1.5677285729019212</v>
      </c>
      <c r="J298" s="101">
        <f t="shared" si="116"/>
        <v>33.215742063662411</v>
      </c>
      <c r="K298" s="104">
        <f t="shared" si="117"/>
        <v>1.5406855701639202</v>
      </c>
      <c r="L298" s="102">
        <f t="shared" si="118"/>
        <v>1.7597495315753968</v>
      </c>
      <c r="M298" s="103">
        <f t="shared" si="119"/>
        <v>0.96640335617989692</v>
      </c>
      <c r="N298" s="101">
        <f t="shared" si="120"/>
        <v>1.0264872095624589</v>
      </c>
      <c r="O298" s="104">
        <f t="shared" si="121"/>
        <v>0.22766415019741387</v>
      </c>
      <c r="P298" s="105">
        <f t="shared" ca="1" si="122"/>
        <v>1.495857530964364</v>
      </c>
      <c r="Q298" s="106">
        <f t="shared" ca="1" si="123"/>
        <v>0.87382551941995368</v>
      </c>
      <c r="R298" s="107">
        <f t="shared" ca="1" si="124"/>
        <v>4.7339872264639986</v>
      </c>
      <c r="S298" s="108">
        <f t="shared" ca="1" si="125"/>
        <v>-97.714648483407984</v>
      </c>
      <c r="T298" s="116">
        <f t="shared" ca="1" si="126"/>
        <v>82.285351516592016</v>
      </c>
      <c r="V298" s="72">
        <f t="shared" ca="1" si="127"/>
        <v>1000000000</v>
      </c>
      <c r="W298" s="72">
        <f t="shared" si="128"/>
        <v>398122209</v>
      </c>
      <c r="Y298" s="110">
        <f t="shared" si="129"/>
        <v>19.948233069019583</v>
      </c>
      <c r="Z298" s="111">
        <f t="shared" si="130"/>
        <v>-46.102753165792606</v>
      </c>
      <c r="AA298" s="72">
        <f t="shared" si="131"/>
        <v>133.89724683420741</v>
      </c>
      <c r="AB298" s="110">
        <f t="shared" ca="1" si="132"/>
        <v>0.70335450432591917</v>
      </c>
      <c r="AC298" s="111">
        <f t="shared" ca="1" si="133"/>
        <v>-51.611895317615378</v>
      </c>
      <c r="AD298" s="72">
        <f t="shared" ca="1" si="134"/>
        <v>128.38810468238461</v>
      </c>
    </row>
    <row r="299" spans="1:30">
      <c r="A299" s="118">
        <v>20069</v>
      </c>
      <c r="B299" s="101">
        <f t="shared" ca="1" si="108"/>
        <v>328.45476733233107</v>
      </c>
      <c r="C299" s="102">
        <f t="shared" ca="1" si="109"/>
        <v>1.567751762841636</v>
      </c>
      <c r="D299" s="102">
        <f t="shared" si="110"/>
        <v>33.493750242455953</v>
      </c>
      <c r="E299" s="103">
        <f t="shared" si="111"/>
        <v>1.5409355731023522</v>
      </c>
      <c r="F299" s="101">
        <f t="shared" si="112"/>
        <v>2723.7006925448945</v>
      </c>
      <c r="G299" s="104">
        <f t="shared" si="113"/>
        <v>1.5704291792499394</v>
      </c>
      <c r="H299" s="113">
        <f t="shared" si="114"/>
        <v>327.86697377968352</v>
      </c>
      <c r="I299" s="114">
        <f t="shared" si="115"/>
        <v>1.5677463045895101</v>
      </c>
      <c r="J299" s="101">
        <f t="shared" si="116"/>
        <v>33.408672642683442</v>
      </c>
      <c r="K299" s="104">
        <f t="shared" si="117"/>
        <v>1.5408595078386034</v>
      </c>
      <c r="L299" s="102">
        <f t="shared" si="118"/>
        <v>1.7666829101303667</v>
      </c>
      <c r="M299" s="103">
        <f t="shared" si="119"/>
        <v>0.96911112077753692</v>
      </c>
      <c r="N299" s="101">
        <f t="shared" si="120"/>
        <v>1.026792049894542</v>
      </c>
      <c r="O299" s="104">
        <f t="shared" si="121"/>
        <v>0.22894207089012902</v>
      </c>
      <c r="P299" s="105">
        <f t="shared" ca="1" si="122"/>
        <v>1.5006798918120754</v>
      </c>
      <c r="Q299" s="106">
        <f t="shared" ca="1" si="123"/>
        <v>0.87691503584534092</v>
      </c>
      <c r="R299" s="107">
        <f t="shared" ca="1" si="124"/>
        <v>4.6872561231854037</v>
      </c>
      <c r="S299" s="108">
        <f t="shared" ca="1" si="125"/>
        <v>-97.809886483954244</v>
      </c>
      <c r="T299" s="116">
        <f t="shared" ca="1" si="126"/>
        <v>82.190113516045756</v>
      </c>
      <c r="V299" s="72">
        <f t="shared" ca="1" si="127"/>
        <v>1000000000</v>
      </c>
      <c r="W299" s="72">
        <f t="shared" si="128"/>
        <v>402764761</v>
      </c>
      <c r="Y299" s="110">
        <f t="shared" si="129"/>
        <v>19.929503260609618</v>
      </c>
      <c r="Z299" s="111">
        <f t="shared" si="130"/>
        <v>-46.029901384602617</v>
      </c>
      <c r="AA299" s="72">
        <f t="shared" si="131"/>
        <v>133.97009861539738</v>
      </c>
      <c r="AB299" s="110">
        <f t="shared" ca="1" si="132"/>
        <v>0.6753532094572906</v>
      </c>
      <c r="AC299" s="111">
        <f t="shared" ca="1" si="133"/>
        <v>-51.77998509935157</v>
      </c>
      <c r="AD299" s="72">
        <f t="shared" ca="1" si="134"/>
        <v>128.22001490064844</v>
      </c>
    </row>
    <row r="300" spans="1:30">
      <c r="A300" s="118">
        <v>20185</v>
      </c>
      <c r="B300" s="101">
        <f t="shared" ca="1" si="108"/>
        <v>330.35323765254986</v>
      </c>
      <c r="C300" s="102">
        <f t="shared" ca="1" si="109"/>
        <v>1.5677692593615726</v>
      </c>
      <c r="D300" s="102">
        <f t="shared" si="110"/>
        <v>33.687174012361325</v>
      </c>
      <c r="E300" s="103">
        <f t="shared" si="111"/>
        <v>1.5411070770129469</v>
      </c>
      <c r="F300" s="101">
        <f t="shared" si="112"/>
        <v>2739.443840577605</v>
      </c>
      <c r="G300" s="104">
        <f t="shared" si="113"/>
        <v>1.5704312891885781</v>
      </c>
      <c r="H300" s="113">
        <f t="shared" si="114"/>
        <v>329.76204658714926</v>
      </c>
      <c r="I300" s="114">
        <f t="shared" si="115"/>
        <v>1.5677638324765801</v>
      </c>
      <c r="J300" s="101">
        <f t="shared" si="116"/>
        <v>33.601604220854021</v>
      </c>
      <c r="K300" s="104">
        <f t="shared" si="117"/>
        <v>1.5410314481096328</v>
      </c>
      <c r="L300" s="102">
        <f t="shared" si="118"/>
        <v>1.7736291406573264</v>
      </c>
      <c r="M300" s="103">
        <f t="shared" si="119"/>
        <v>0.97179769559879325</v>
      </c>
      <c r="N300" s="101">
        <f t="shared" si="120"/>
        <v>1.0270985660645597</v>
      </c>
      <c r="O300" s="104">
        <f t="shared" si="121"/>
        <v>0.23021923092989871</v>
      </c>
      <c r="P300" s="105">
        <f t="shared" ca="1" si="122"/>
        <v>1.5055147702419851</v>
      </c>
      <c r="Q300" s="106">
        <f t="shared" ca="1" si="123"/>
        <v>0.87998610849895664</v>
      </c>
      <c r="R300" s="107">
        <f t="shared" ca="1" si="124"/>
        <v>4.6407484357406767</v>
      </c>
      <c r="S300" s="108">
        <f t="shared" ca="1" si="125"/>
        <v>-97.905236562116798</v>
      </c>
      <c r="T300" s="116">
        <f t="shared" ca="1" si="126"/>
        <v>82.094763437883202</v>
      </c>
      <c r="V300" s="72">
        <f t="shared" ca="1" si="127"/>
        <v>1000000000</v>
      </c>
      <c r="W300" s="72">
        <f t="shared" si="128"/>
        <v>407434225</v>
      </c>
      <c r="Y300" s="110">
        <f t="shared" si="129"/>
        <v>19.91097862624968</v>
      </c>
      <c r="Z300" s="111">
        <f t="shared" si="130"/>
        <v>-45.958115934442503</v>
      </c>
      <c r="AA300" s="72">
        <f t="shared" si="131"/>
        <v>134.0418840655575</v>
      </c>
      <c r="AB300" s="110">
        <f t="shared" ca="1" si="132"/>
        <v>0.64737015637250139</v>
      </c>
      <c r="AC300" s="111">
        <f t="shared" ca="1" si="133"/>
        <v>-51.947120627674259</v>
      </c>
      <c r="AD300" s="72">
        <f t="shared" ca="1" si="134"/>
        <v>128.05287937232575</v>
      </c>
    </row>
    <row r="301" spans="1:30">
      <c r="A301" s="118">
        <v>20301</v>
      </c>
      <c r="B301" s="101">
        <f t="shared" ca="1" si="108"/>
        <v>332.25170807274344</v>
      </c>
      <c r="C301" s="102">
        <f t="shared" ca="1" si="109"/>
        <v>1.5677865559329529</v>
      </c>
      <c r="D301" s="102">
        <f t="shared" si="110"/>
        <v>33.880598761813843</v>
      </c>
      <c r="E301" s="103">
        <f t="shared" si="111"/>
        <v>1.541276622692668</v>
      </c>
      <c r="F301" s="101">
        <f t="shared" si="112"/>
        <v>2755.1869886223722</v>
      </c>
      <c r="G301" s="104">
        <f t="shared" si="113"/>
        <v>1.5704333750148232</v>
      </c>
      <c r="H301" s="113">
        <f t="shared" si="114"/>
        <v>331.65711949476884</v>
      </c>
      <c r="I301" s="114">
        <f t="shared" si="115"/>
        <v>1.5677811600566398</v>
      </c>
      <c r="J301" s="101">
        <f t="shared" si="116"/>
        <v>33.794536781061829</v>
      </c>
      <c r="K301" s="104">
        <f t="shared" si="117"/>
        <v>1.541201425176207</v>
      </c>
      <c r="L301" s="102">
        <f t="shared" si="118"/>
        <v>1.7805880727462657</v>
      </c>
      <c r="M301" s="103">
        <f t="shared" si="119"/>
        <v>0.9744632900769995</v>
      </c>
      <c r="N301" s="101">
        <f t="shared" si="120"/>
        <v>1.0274067565726053</v>
      </c>
      <c r="O301" s="104">
        <f t="shared" si="121"/>
        <v>0.23149562683294567</v>
      </c>
      <c r="P301" s="105">
        <f t="shared" ca="1" si="122"/>
        <v>1.510362048538596</v>
      </c>
      <c r="Q301" s="106">
        <f t="shared" ca="1" si="123"/>
        <v>0.88303886733102865</v>
      </c>
      <c r="R301" s="107">
        <f t="shared" ca="1" si="124"/>
        <v>4.5944612336997581</v>
      </c>
      <c r="S301" s="108">
        <f t="shared" ca="1" si="125"/>
        <v>-98.000693992932781</v>
      </c>
      <c r="T301" s="116">
        <f t="shared" ca="1" si="126"/>
        <v>81.999306007067219</v>
      </c>
      <c r="V301" s="72">
        <f t="shared" ca="1" si="127"/>
        <v>1000000000</v>
      </c>
      <c r="W301" s="72">
        <f t="shared" si="128"/>
        <v>412130601</v>
      </c>
      <c r="Y301" s="110">
        <f t="shared" si="129"/>
        <v>19.89265545615147</v>
      </c>
      <c r="Z301" s="111">
        <f t="shared" si="130"/>
        <v>-45.887386399462258</v>
      </c>
      <c r="AA301" s="72">
        <f t="shared" si="131"/>
        <v>134.11261360053774</v>
      </c>
      <c r="AB301" s="110">
        <f t="shared" ca="1" si="132"/>
        <v>0.61940612442978915</v>
      </c>
      <c r="AC301" s="111">
        <f t="shared" ca="1" si="133"/>
        <v>-52.113307593470608</v>
      </c>
      <c r="AD301" s="72">
        <f t="shared" ca="1" si="134"/>
        <v>127.88669240652939</v>
      </c>
    </row>
    <row r="302" spans="1:30">
      <c r="A302" s="118">
        <v>20417</v>
      </c>
      <c r="B302" s="101">
        <f t="shared" ca="1" si="108"/>
        <v>334.15017859120763</v>
      </c>
      <c r="C302" s="102">
        <f t="shared" ca="1" si="109"/>
        <v>1.5678036559637829</v>
      </c>
      <c r="D302" s="102">
        <f t="shared" si="110"/>
        <v>34.074024474131988</v>
      </c>
      <c r="E302" s="103">
        <f t="shared" si="111"/>
        <v>1.5414442434801545</v>
      </c>
      <c r="F302" s="101">
        <f t="shared" si="112"/>
        <v>2770.9301366789896</v>
      </c>
      <c r="G302" s="104">
        <f t="shared" si="113"/>
        <v>1.5704354371396614</v>
      </c>
      <c r="H302" s="113">
        <f t="shared" si="114"/>
        <v>333.55219250083542</v>
      </c>
      <c r="I302" s="114">
        <f t="shared" si="115"/>
        <v>1.5677982907438046</v>
      </c>
      <c r="J302" s="101">
        <f t="shared" si="116"/>
        <v>33.987470306583035</v>
      </c>
      <c r="K302" s="104">
        <f t="shared" si="117"/>
        <v>1.5413694724614417</v>
      </c>
      <c r="L302" s="102">
        <f t="shared" si="118"/>
        <v>1.7875595580564438</v>
      </c>
      <c r="M302" s="103">
        <f t="shared" si="119"/>
        <v>0.97710811157986421</v>
      </c>
      <c r="N302" s="101">
        <f t="shared" si="120"/>
        <v>1.0277166199123828</v>
      </c>
      <c r="O302" s="104">
        <f t="shared" si="121"/>
        <v>0.23277125512961946</v>
      </c>
      <c r="P302" s="105">
        <f t="shared" ca="1" si="122"/>
        <v>1.5152216102007048</v>
      </c>
      <c r="Q302" s="106">
        <f t="shared" ca="1" si="123"/>
        <v>0.8860734418201669</v>
      </c>
      <c r="R302" s="107">
        <f t="shared" ca="1" si="124"/>
        <v>4.5483916457726545</v>
      </c>
      <c r="S302" s="108">
        <f t="shared" ca="1" si="125"/>
        <v>-98.096254142927421</v>
      </c>
      <c r="T302" s="116">
        <f t="shared" ca="1" si="126"/>
        <v>81.903745857072579</v>
      </c>
      <c r="V302" s="72">
        <f t="shared" ca="1" si="127"/>
        <v>1000000000</v>
      </c>
      <c r="W302" s="72">
        <f t="shared" si="128"/>
        <v>416853889</v>
      </c>
      <c r="Y302" s="110">
        <f t="shared" si="129"/>
        <v>19.874530116405353</v>
      </c>
      <c r="Z302" s="111">
        <f t="shared" si="130"/>
        <v>-45.81770244250783</v>
      </c>
      <c r="AA302" s="72">
        <f t="shared" si="131"/>
        <v>134.18229755749218</v>
      </c>
      <c r="AB302" s="110">
        <f t="shared" ca="1" si="132"/>
        <v>0.59146187624880919</v>
      </c>
      <c r="AC302" s="111">
        <f t="shared" ca="1" si="133"/>
        <v>-52.278551700419563</v>
      </c>
      <c r="AD302" s="72">
        <f t="shared" ca="1" si="134"/>
        <v>127.72144829958043</v>
      </c>
    </row>
    <row r="303" spans="1:30">
      <c r="A303" s="118">
        <v>20536</v>
      </c>
      <c r="B303" s="101">
        <f t="shared" ca="1" si="108"/>
        <v>336.09774758551987</v>
      </c>
      <c r="C303" s="102">
        <f t="shared" ca="1" si="109"/>
        <v>1.5678209974967501</v>
      </c>
      <c r="D303" s="102">
        <f t="shared" si="110"/>
        <v>34.272453559015517</v>
      </c>
      <c r="E303" s="103">
        <f t="shared" si="111"/>
        <v>1.5416142332277913</v>
      </c>
      <c r="F303" s="101">
        <f t="shared" si="112"/>
        <v>2787.0804351284855</v>
      </c>
      <c r="G303" s="104">
        <f t="shared" si="113"/>
        <v>1.5704375283874836</v>
      </c>
      <c r="H303" s="113">
        <f t="shared" si="114"/>
        <v>335.49627611622992</v>
      </c>
      <c r="I303" s="114">
        <f t="shared" si="115"/>
        <v>1.5678156633660696</v>
      </c>
      <c r="J303" s="101">
        <f t="shared" si="116"/>
        <v>34.185394478200919</v>
      </c>
      <c r="K303" s="104">
        <f t="shared" si="117"/>
        <v>1.5415398947430723</v>
      </c>
      <c r="L303" s="102">
        <f t="shared" si="118"/>
        <v>1.794724231475781</v>
      </c>
      <c r="M303" s="103">
        <f t="shared" si="119"/>
        <v>0.97979996303775463</v>
      </c>
      <c r="N303" s="101">
        <f t="shared" si="120"/>
        <v>1.0280362336592939</v>
      </c>
      <c r="O303" s="104">
        <f t="shared" si="121"/>
        <v>0.23407907255081545</v>
      </c>
      <c r="P303" s="105">
        <f t="shared" ca="1" si="122"/>
        <v>1.5202194933320587</v>
      </c>
      <c r="Q303" s="106">
        <f t="shared" ca="1" si="123"/>
        <v>0.88916773602266519</v>
      </c>
      <c r="R303" s="107">
        <f t="shared" ca="1" si="124"/>
        <v>4.501353783223613</v>
      </c>
      <c r="S303" s="108">
        <f t="shared" ca="1" si="125"/>
        <v>-98.194387653170367</v>
      </c>
      <c r="T303" s="116">
        <f t="shared" ca="1" si="126"/>
        <v>81.805612346829633</v>
      </c>
      <c r="V303" s="72">
        <f t="shared" ca="1" si="127"/>
        <v>1000000000</v>
      </c>
      <c r="W303" s="72">
        <f t="shared" si="128"/>
        <v>421727296</v>
      </c>
      <c r="Y303" s="110">
        <f t="shared" si="129"/>
        <v>19.856137858360658</v>
      </c>
      <c r="Z303" s="111">
        <f t="shared" si="130"/>
        <v>-45.747292052634023</v>
      </c>
      <c r="AA303" s="72">
        <f t="shared" si="131"/>
        <v>134.25270794736599</v>
      </c>
      <c r="AB303" s="110">
        <f t="shared" ca="1" si="132"/>
        <v>0.56281627174446025</v>
      </c>
      <c r="AC303" s="111">
        <f t="shared" ca="1" si="133"/>
        <v>-52.447095600536343</v>
      </c>
      <c r="AD303" s="72">
        <f t="shared" ca="1" si="134"/>
        <v>127.55290439946366</v>
      </c>
    </row>
    <row r="304" spans="1:30">
      <c r="A304" s="118">
        <v>20655</v>
      </c>
      <c r="B304" s="101">
        <f t="shared" ca="1" si="108"/>
        <v>338.04531667974175</v>
      </c>
      <c r="C304" s="102">
        <f t="shared" ca="1" si="109"/>
        <v>1.567838139211343</v>
      </c>
      <c r="D304" s="102">
        <f t="shared" si="110"/>
        <v>34.470883622851666</v>
      </c>
      <c r="E304" s="103">
        <f t="shared" si="111"/>
        <v>1.5417822659038336</v>
      </c>
      <c r="F304" s="101">
        <f t="shared" si="112"/>
        <v>2803.2307335900305</v>
      </c>
      <c r="G304" s="104">
        <f t="shared" si="113"/>
        <v>1.5704395955386261</v>
      </c>
      <c r="H304" s="113">
        <f t="shared" si="114"/>
        <v>337.44035983171324</v>
      </c>
      <c r="I304" s="114">
        <f t="shared" si="115"/>
        <v>1.5678328358117393</v>
      </c>
      <c r="J304" s="101">
        <f t="shared" si="116"/>
        <v>34.383319631260235</v>
      </c>
      <c r="K304" s="104">
        <f t="shared" si="117"/>
        <v>1.5417083549818735</v>
      </c>
      <c r="L304" s="102">
        <f t="shared" si="118"/>
        <v>1.8019018061097591</v>
      </c>
      <c r="M304" s="103">
        <f t="shared" si="119"/>
        <v>0.98247038863695446</v>
      </c>
      <c r="N304" s="101">
        <f t="shared" si="120"/>
        <v>1.0283576046506668</v>
      </c>
      <c r="O304" s="104">
        <f t="shared" si="121"/>
        <v>0.23538607479693899</v>
      </c>
      <c r="P304" s="105">
        <f t="shared" ca="1" si="122"/>
        <v>1.5252300588894945</v>
      </c>
      <c r="Q304" s="106">
        <f t="shared" ca="1" si="123"/>
        <v>0.89224316760583045</v>
      </c>
      <c r="R304" s="107">
        <f t="shared" ca="1" si="124"/>
        <v>4.4545389991517066</v>
      </c>
      <c r="S304" s="108">
        <f t="shared" ca="1" si="125"/>
        <v>-98.292619675175033</v>
      </c>
      <c r="T304" s="116">
        <f t="shared" ca="1" si="126"/>
        <v>81.707380324824967</v>
      </c>
      <c r="V304" s="72">
        <f t="shared" ca="1" si="127"/>
        <v>1000000000</v>
      </c>
      <c r="W304" s="72">
        <f t="shared" si="128"/>
        <v>426629025</v>
      </c>
      <c r="Y304" s="110">
        <f t="shared" si="129"/>
        <v>19.837946285577978</v>
      </c>
      <c r="Z304" s="111">
        <f t="shared" si="130"/>
        <v>-45.677960239808328</v>
      </c>
      <c r="AA304" s="72">
        <f t="shared" si="131"/>
        <v>134.32203976019167</v>
      </c>
      <c r="AB304" s="110">
        <f t="shared" ca="1" si="132"/>
        <v>0.53419306045523518</v>
      </c>
      <c r="AC304" s="111">
        <f t="shared" ca="1" si="133"/>
        <v>-52.614659435366676</v>
      </c>
      <c r="AD304" s="72">
        <f t="shared" ca="1" si="134"/>
        <v>127.38534056463332</v>
      </c>
    </row>
    <row r="305" spans="1:30">
      <c r="A305" s="118">
        <v>20774</v>
      </c>
      <c r="B305" s="101">
        <f t="shared" ca="1" si="108"/>
        <v>339.99288587215631</v>
      </c>
      <c r="C305" s="102">
        <f t="shared" ca="1" si="109"/>
        <v>1.5678550845413892</v>
      </c>
      <c r="D305" s="102">
        <f t="shared" si="110"/>
        <v>34.669314648831318</v>
      </c>
      <c r="E305" s="103">
        <f t="shared" si="111"/>
        <v>1.5419483751028118</v>
      </c>
      <c r="F305" s="101">
        <f t="shared" si="112"/>
        <v>2819.3810320634157</v>
      </c>
      <c r="G305" s="104">
        <f t="shared" si="113"/>
        <v>1.5704416390071891</v>
      </c>
      <c r="H305" s="113">
        <f t="shared" si="114"/>
        <v>339.38444364556523</v>
      </c>
      <c r="I305" s="114">
        <f t="shared" si="115"/>
        <v>1.5678498115207968</v>
      </c>
      <c r="J305" s="101">
        <f t="shared" si="116"/>
        <v>34.58124574890919</v>
      </c>
      <c r="K305" s="104">
        <f t="shared" si="117"/>
        <v>1.5418748868575178</v>
      </c>
      <c r="L305" s="102">
        <f t="shared" si="118"/>
        <v>1.8090921284016437</v>
      </c>
      <c r="M305" s="103">
        <f t="shared" si="119"/>
        <v>0.98511960553745093</v>
      </c>
      <c r="N305" s="101">
        <f t="shared" si="120"/>
        <v>1.0286807312395554</v>
      </c>
      <c r="O305" s="104">
        <f t="shared" si="121"/>
        <v>0.23669225816871337</v>
      </c>
      <c r="P305" s="105">
        <f t="shared" ca="1" si="122"/>
        <v>1.5302531850150265</v>
      </c>
      <c r="Q305" s="106">
        <f t="shared" ca="1" si="123"/>
        <v>0.89529987470416139</v>
      </c>
      <c r="R305" s="107">
        <f t="shared" ca="1" si="124"/>
        <v>4.4079443778659062</v>
      </c>
      <c r="S305" s="108">
        <f t="shared" ca="1" si="125"/>
        <v>-98.390945497413298</v>
      </c>
      <c r="T305" s="116">
        <f t="shared" ca="1" si="126"/>
        <v>81.609054502586702</v>
      </c>
      <c r="V305" s="72">
        <f t="shared" ca="1" si="127"/>
        <v>1000000000</v>
      </c>
      <c r="W305" s="72">
        <f t="shared" si="128"/>
        <v>431559076</v>
      </c>
      <c r="Y305" s="110">
        <f t="shared" si="129"/>
        <v>19.819951712297943</v>
      </c>
      <c r="Z305" s="111">
        <f t="shared" si="130"/>
        <v>-45.609696106059801</v>
      </c>
      <c r="AA305" s="72">
        <f t="shared" si="131"/>
        <v>134.3903038939402</v>
      </c>
      <c r="AB305" s="110">
        <f t="shared" ca="1" si="132"/>
        <v>0.50559301244946375</v>
      </c>
      <c r="AC305" s="111">
        <f t="shared" ca="1" si="133"/>
        <v>-52.781249391353462</v>
      </c>
      <c r="AD305" s="72">
        <f t="shared" ca="1" si="134"/>
        <v>127.21875060864653</v>
      </c>
    </row>
    <row r="306" spans="1:30">
      <c r="A306" s="118">
        <v>20893</v>
      </c>
      <c r="B306" s="101">
        <f t="shared" ca="1" si="108"/>
        <v>341.94045516108577</v>
      </c>
      <c r="C306" s="102">
        <f t="shared" ca="1" si="109"/>
        <v>1.5678718368424849</v>
      </c>
      <c r="D306" s="102">
        <f t="shared" si="110"/>
        <v>34.867746620527896</v>
      </c>
      <c r="E306" s="103">
        <f t="shared" si="111"/>
        <v>1.542112593654942</v>
      </c>
      <c r="F306" s="101">
        <f t="shared" si="112"/>
        <v>2835.5313305484406</v>
      </c>
      <c r="G306" s="104">
        <f t="shared" si="113"/>
        <v>1.5704436591978379</v>
      </c>
      <c r="H306" s="113">
        <f t="shared" si="114"/>
        <v>341.32852755610514</v>
      </c>
      <c r="I306" s="114">
        <f t="shared" si="115"/>
        <v>1.5678665938548542</v>
      </c>
      <c r="J306" s="101">
        <f t="shared" si="116"/>
        <v>34.779172814679526</v>
      </c>
      <c r="K306" s="104">
        <f t="shared" si="117"/>
        <v>1.5420395232834325</v>
      </c>
      <c r="L306" s="102">
        <f t="shared" si="118"/>
        <v>1.8162950469557149</v>
      </c>
      <c r="M306" s="103">
        <f t="shared" si="119"/>
        <v>0.98774782865441324</v>
      </c>
      <c r="N306" s="101">
        <f t="shared" si="120"/>
        <v>1.0290056117720905</v>
      </c>
      <c r="O306" s="104">
        <f t="shared" si="121"/>
        <v>0.23799761898267274</v>
      </c>
      <c r="P306" s="105">
        <f t="shared" ca="1" si="122"/>
        <v>1.5352887511508253</v>
      </c>
      <c r="Q306" s="106">
        <f t="shared" ca="1" si="123"/>
        <v>0.89833799486155219</v>
      </c>
      <c r="R306" s="107">
        <f t="shared" ca="1" si="124"/>
        <v>4.361567062680856</v>
      </c>
      <c r="S306" s="108">
        <f t="shared" ca="1" si="125"/>
        <v>-98.489360503399055</v>
      </c>
      <c r="T306" s="116">
        <f t="shared" ca="1" si="126"/>
        <v>81.510639496600945</v>
      </c>
      <c r="V306" s="72">
        <f t="shared" ca="1" si="127"/>
        <v>1000000000</v>
      </c>
      <c r="W306" s="72">
        <f t="shared" si="128"/>
        <v>436517449</v>
      </c>
      <c r="Y306" s="110">
        <f t="shared" si="129"/>
        <v>19.802150529194879</v>
      </c>
      <c r="Z306" s="111">
        <f t="shared" si="130"/>
        <v>-45.542488842989101</v>
      </c>
      <c r="AA306" s="72">
        <f t="shared" si="131"/>
        <v>134.45751115701091</v>
      </c>
      <c r="AB306" s="110">
        <f t="shared" ca="1" si="132"/>
        <v>0.47701688036748185</v>
      </c>
      <c r="AC306" s="111">
        <f t="shared" ca="1" si="133"/>
        <v>-52.946871660409926</v>
      </c>
      <c r="AD306" s="72">
        <f t="shared" ca="1" si="134"/>
        <v>127.05312833959007</v>
      </c>
    </row>
    <row r="307" spans="1:30">
      <c r="A307" s="118">
        <v>21014.75</v>
      </c>
      <c r="B307" s="101">
        <f t="shared" ca="1" si="108"/>
        <v>343.93303140150715</v>
      </c>
      <c r="C307" s="102">
        <f t="shared" ca="1" si="109"/>
        <v>1.5678887799248042</v>
      </c>
      <c r="D307" s="102">
        <f t="shared" si="110"/>
        <v>35.070765167026003</v>
      </c>
      <c r="E307" s="103">
        <f t="shared" si="111"/>
        <v>1.542278683944587</v>
      </c>
      <c r="F307" s="101">
        <f t="shared" si="112"/>
        <v>2852.054850228782</v>
      </c>
      <c r="G307" s="104">
        <f t="shared" si="113"/>
        <v>1.5704457023949454</v>
      </c>
      <c r="H307" s="113">
        <f t="shared" si="114"/>
        <v>343.31753787385441</v>
      </c>
      <c r="I307" s="114">
        <f t="shared" si="115"/>
        <v>1.5678835673121672</v>
      </c>
      <c r="J307" s="101">
        <f t="shared" si="116"/>
        <v>34.981674789703249</v>
      </c>
      <c r="K307" s="104">
        <f t="shared" si="117"/>
        <v>1.5422060362177703</v>
      </c>
      <c r="L307" s="102">
        <f t="shared" si="118"/>
        <v>1.8236773001126341</v>
      </c>
      <c r="M307" s="103">
        <f t="shared" si="119"/>
        <v>0.99041528269893697</v>
      </c>
      <c r="N307" s="101">
        <f t="shared" si="120"/>
        <v>1.0293398135264273</v>
      </c>
      <c r="O307" s="104">
        <f t="shared" si="121"/>
        <v>0.23933229058243671</v>
      </c>
      <c r="P307" s="105">
        <f t="shared" ca="1" si="122"/>
        <v>1.5404534355840505</v>
      </c>
      <c r="Q307" s="106">
        <f t="shared" ca="1" si="123"/>
        <v>0.90142723028803573</v>
      </c>
      <c r="R307" s="107">
        <f t="shared" ca="1" si="124"/>
        <v>4.3143399806531821</v>
      </c>
      <c r="S307" s="108">
        <f t="shared" ca="1" si="125"/>
        <v>-98.590137388249317</v>
      </c>
      <c r="T307" s="116">
        <f t="shared" ca="1" si="126"/>
        <v>81.409862611750683</v>
      </c>
      <c r="V307" s="72">
        <f t="shared" ca="1" si="127"/>
        <v>1000000000</v>
      </c>
      <c r="W307" s="72">
        <f t="shared" si="128"/>
        <v>441619717.5625</v>
      </c>
      <c r="Y307" s="110">
        <f t="shared" si="129"/>
        <v>19.784134433780313</v>
      </c>
      <c r="Z307" s="111">
        <f t="shared" si="130"/>
        <v>-45.474811081293019</v>
      </c>
      <c r="AA307" s="72">
        <f t="shared" si="131"/>
        <v>134.52518891870699</v>
      </c>
      <c r="AB307" s="110">
        <f t="shared" ca="1" si="132"/>
        <v>0.44780589375437352</v>
      </c>
      <c r="AC307" s="111">
        <f t="shared" ca="1" si="133"/>
        <v>-53.115326306956284</v>
      </c>
      <c r="AD307" s="72">
        <f t="shared" ca="1" si="134"/>
        <v>126.88467369304371</v>
      </c>
    </row>
    <row r="308" spans="1:30">
      <c r="A308" s="118">
        <v>21136.5</v>
      </c>
      <c r="B308" s="101">
        <f t="shared" ca="1" si="108"/>
        <v>345.92560773952329</v>
      </c>
      <c r="C308" s="102">
        <f t="shared" ca="1" si="109"/>
        <v>1.5679055278184277</v>
      </c>
      <c r="D308" s="102">
        <f t="shared" si="110"/>
        <v>35.273784669849206</v>
      </c>
      <c r="E308" s="103">
        <f t="shared" si="111"/>
        <v>1.5424428623617619</v>
      </c>
      <c r="F308" s="101">
        <f t="shared" si="112"/>
        <v>2868.5783699208923</v>
      </c>
      <c r="G308" s="104">
        <f t="shared" si="113"/>
        <v>1.5704477220536981</v>
      </c>
      <c r="H308" s="113">
        <f t="shared" si="114"/>
        <v>345.30654828937344</v>
      </c>
      <c r="I308" s="114">
        <f t="shared" si="115"/>
        <v>1.5679003452308626</v>
      </c>
      <c r="J308" s="101">
        <f t="shared" si="116"/>
        <v>35.184177723483636</v>
      </c>
      <c r="K308" s="104">
        <f t="shared" si="117"/>
        <v>1.5423706324224653</v>
      </c>
      <c r="L308" s="102">
        <f t="shared" si="118"/>
        <v>1.8310724246174706</v>
      </c>
      <c r="M308" s="103">
        <f t="shared" si="119"/>
        <v>0.99306120943102716</v>
      </c>
      <c r="N308" s="101">
        <f t="shared" si="120"/>
        <v>1.0296758477012944</v>
      </c>
      <c r="O308" s="104">
        <f t="shared" si="121"/>
        <v>0.24066609341812076</v>
      </c>
      <c r="P308" s="105">
        <f t="shared" ca="1" si="122"/>
        <v>1.5456308904426994</v>
      </c>
      <c r="Q308" s="106">
        <f t="shared" ca="1" si="123"/>
        <v>0.90449729910468546</v>
      </c>
      <c r="R308" s="107">
        <f t="shared" ca="1" si="124"/>
        <v>4.2673344973553089</v>
      </c>
      <c r="S308" s="108">
        <f t="shared" ca="1" si="125"/>
        <v>-98.690998147985283</v>
      </c>
      <c r="T308" s="116">
        <f t="shared" ca="1" si="126"/>
        <v>81.309001852014717</v>
      </c>
      <c r="V308" s="72">
        <f t="shared" ca="1" si="127"/>
        <v>1000000000</v>
      </c>
      <c r="W308" s="72">
        <f t="shared" si="128"/>
        <v>446751632.25</v>
      </c>
      <c r="Y308" s="110">
        <f t="shared" si="129"/>
        <v>19.766313363852397</v>
      </c>
      <c r="Z308" s="111">
        <f t="shared" si="130"/>
        <v>-45.408217001599816</v>
      </c>
      <c r="AA308" s="72">
        <f t="shared" si="131"/>
        <v>134.59178299840019</v>
      </c>
      <c r="AB308" s="110">
        <f t="shared" ca="1" si="132"/>
        <v>0.41862148038441738</v>
      </c>
      <c r="AC308" s="111">
        <f t="shared" ca="1" si="133"/>
        <v>-53.282781146385496</v>
      </c>
      <c r="AD308" s="72">
        <f t="shared" ca="1" si="134"/>
        <v>126.7172188536145</v>
      </c>
    </row>
    <row r="309" spans="1:30">
      <c r="A309" s="118">
        <v>21258.25</v>
      </c>
      <c r="B309" s="101">
        <f t="shared" ca="1" si="108"/>
        <v>347.91818417345735</v>
      </c>
      <c r="C309" s="102">
        <f t="shared" ca="1" si="109"/>
        <v>1.5679220838769654</v>
      </c>
      <c r="D309" s="102">
        <f t="shared" si="110"/>
        <v>35.476805112579513</v>
      </c>
      <c r="E309" s="103">
        <f t="shared" si="111"/>
        <v>1.5426051617203251</v>
      </c>
      <c r="F309" s="101">
        <f t="shared" si="112"/>
        <v>2885.10188962457</v>
      </c>
      <c r="G309" s="104">
        <f t="shared" si="113"/>
        <v>1.5704497185785216</v>
      </c>
      <c r="H309" s="113">
        <f t="shared" si="114"/>
        <v>347.29555880098235</v>
      </c>
      <c r="I309" s="114">
        <f t="shared" si="115"/>
        <v>1.5679169309705623</v>
      </c>
      <c r="J309" s="101">
        <f t="shared" si="116"/>
        <v>35.386681599561008</v>
      </c>
      <c r="K309" s="104">
        <f t="shared" si="117"/>
        <v>1.5425333447945613</v>
      </c>
      <c r="L309" s="102">
        <f t="shared" si="118"/>
        <v>1.8384802651486498</v>
      </c>
      <c r="M309" s="103">
        <f t="shared" si="119"/>
        <v>0.99568583179997139</v>
      </c>
      <c r="N309" s="101">
        <f t="shared" si="120"/>
        <v>1.0300137125032516</v>
      </c>
      <c r="O309" s="104">
        <f t="shared" si="121"/>
        <v>0.24199902359658884</v>
      </c>
      <c r="P309" s="105">
        <f t="shared" ca="1" si="122"/>
        <v>1.5508209907667314</v>
      </c>
      <c r="Q309" s="106">
        <f t="shared" ca="1" si="123"/>
        <v>0.90754834659572803</v>
      </c>
      <c r="R309" s="107">
        <f t="shared" ca="1" si="124"/>
        <v>4.2205477354070968</v>
      </c>
      <c r="S309" s="108">
        <f t="shared" ca="1" si="125"/>
        <v>-98.791938137260175</v>
      </c>
      <c r="T309" s="116">
        <f t="shared" ca="1" si="126"/>
        <v>81.208061862739825</v>
      </c>
      <c r="V309" s="72">
        <f t="shared" ca="1" si="127"/>
        <v>1000000000</v>
      </c>
      <c r="W309" s="72">
        <f t="shared" si="128"/>
        <v>451913193.0625</v>
      </c>
      <c r="Y309" s="110">
        <f t="shared" si="129"/>
        <v>19.748683690836199</v>
      </c>
      <c r="Z309" s="111">
        <f t="shared" si="130"/>
        <v>-45.342695322337477</v>
      </c>
      <c r="AA309" s="72">
        <f t="shared" si="131"/>
        <v>134.65730467766252</v>
      </c>
      <c r="AB309" s="110">
        <f t="shared" ca="1" si="132"/>
        <v>0.38946439145240269</v>
      </c>
      <c r="AC309" s="111">
        <f t="shared" ca="1" si="133"/>
        <v>-53.449242814922648</v>
      </c>
      <c r="AD309" s="72">
        <f t="shared" ca="1" si="134"/>
        <v>126.55075718507734</v>
      </c>
    </row>
    <row r="310" spans="1:30">
      <c r="A310" s="118">
        <v>21380</v>
      </c>
      <c r="B310" s="101">
        <f t="shared" ca="1" si="108"/>
        <v>349.91076070167077</v>
      </c>
      <c r="C310" s="102">
        <f t="shared" ca="1" si="109"/>
        <v>1.5679384513776389</v>
      </c>
      <c r="D310" s="102">
        <f t="shared" si="110"/>
        <v>35.679826479172547</v>
      </c>
      <c r="E310" s="103">
        <f t="shared" si="111"/>
        <v>1.5427656140876813</v>
      </c>
      <c r="F310" s="101">
        <f t="shared" si="112"/>
        <v>2901.6254093396169</v>
      </c>
      <c r="G310" s="104">
        <f t="shared" si="113"/>
        <v>1.5704516923646299</v>
      </c>
      <c r="H310" s="113">
        <f t="shared" si="114"/>
        <v>349.28456940703956</v>
      </c>
      <c r="I310" s="114">
        <f t="shared" si="115"/>
        <v>1.567933327814363</v>
      </c>
      <c r="J310" s="101">
        <f t="shared" si="116"/>
        <v>35.589186401850256</v>
      </c>
      <c r="K310" s="104">
        <f t="shared" si="117"/>
        <v>1.5426942054827608</v>
      </c>
      <c r="L310" s="102">
        <f t="shared" si="118"/>
        <v>1.8459006686129538</v>
      </c>
      <c r="M310" s="103">
        <f t="shared" si="119"/>
        <v>0.99828937035339071</v>
      </c>
      <c r="N310" s="101">
        <f t="shared" si="120"/>
        <v>1.0303534061314474</v>
      </c>
      <c r="O310" s="104">
        <f t="shared" si="121"/>
        <v>0.24333107724220113</v>
      </c>
      <c r="P310" s="105">
        <f t="shared" ca="1" si="122"/>
        <v>1.5560236129699201</v>
      </c>
      <c r="Q310" s="106">
        <f t="shared" ca="1" si="123"/>
        <v>0.91058051733475776</v>
      </c>
      <c r="R310" s="107">
        <f t="shared" ca="1" si="124"/>
        <v>4.1739768756236444</v>
      </c>
      <c r="S310" s="108">
        <f t="shared" ca="1" si="125"/>
        <v>-98.89295280799044</v>
      </c>
      <c r="T310" s="116">
        <f t="shared" ca="1" si="126"/>
        <v>81.10704719200956</v>
      </c>
      <c r="V310" s="72">
        <f t="shared" ca="1" si="127"/>
        <v>1000000000</v>
      </c>
      <c r="W310" s="72">
        <f t="shared" si="128"/>
        <v>457104400</v>
      </c>
      <c r="Y310" s="110">
        <f t="shared" si="129"/>
        <v>19.731241862240083</v>
      </c>
      <c r="Z310" s="111">
        <f t="shared" si="130"/>
        <v>-45.278234861521845</v>
      </c>
      <c r="AA310" s="72">
        <f t="shared" si="131"/>
        <v>134.72176513847816</v>
      </c>
      <c r="AB310" s="110">
        <f t="shared" ca="1" si="132"/>
        <v>0.36033536026506408</v>
      </c>
      <c r="AC310" s="111">
        <f t="shared" ca="1" si="133"/>
        <v>-53.614717946468573</v>
      </c>
      <c r="AD310" s="72">
        <f t="shared" ca="1" si="134"/>
        <v>126.38528205353143</v>
      </c>
    </row>
    <row r="311" spans="1:30">
      <c r="A311" s="118">
        <v>21504.5</v>
      </c>
      <c r="B311" s="101">
        <f t="shared" ca="1" si="108"/>
        <v>351.94834418774695</v>
      </c>
      <c r="C311" s="102">
        <f t="shared" ca="1" si="109"/>
        <v>1.5679549969178233</v>
      </c>
      <c r="D311" s="102">
        <f t="shared" si="110"/>
        <v>35.887434483047322</v>
      </c>
      <c r="E311" s="103">
        <f t="shared" si="111"/>
        <v>1.5429278132475337</v>
      </c>
      <c r="F311" s="101">
        <f t="shared" si="112"/>
        <v>2918.5221502507488</v>
      </c>
      <c r="G311" s="104">
        <f t="shared" si="113"/>
        <v>1.5704536876206554</v>
      </c>
      <c r="H311" s="113">
        <f t="shared" si="114"/>
        <v>351.31850642668837</v>
      </c>
      <c r="I311" s="114">
        <f t="shared" si="115"/>
        <v>1.5679499030168635</v>
      </c>
      <c r="J311" s="101">
        <f t="shared" si="116"/>
        <v>35.796266176032255</v>
      </c>
      <c r="K311" s="104">
        <f t="shared" si="117"/>
        <v>1.5428568174162143</v>
      </c>
      <c r="L311" s="102">
        <f t="shared" si="118"/>
        <v>1.8535015132955008</v>
      </c>
      <c r="M311" s="103">
        <f t="shared" si="119"/>
        <v>1.0009301394936279</v>
      </c>
      <c r="N311" s="101">
        <f t="shared" si="120"/>
        <v>1.0307026618819761</v>
      </c>
      <c r="O311" s="104">
        <f t="shared" si="121"/>
        <v>0.24469230786790494</v>
      </c>
      <c r="P311" s="105">
        <f t="shared" ca="1" si="122"/>
        <v>1.5613565701849781</v>
      </c>
      <c r="Q311" s="106">
        <f t="shared" ca="1" si="123"/>
        <v>0.91366180527611807</v>
      </c>
      <c r="R311" s="107">
        <f t="shared" ca="1" si="124"/>
        <v>4.1265745015180251</v>
      </c>
      <c r="S311" s="108">
        <f t="shared" ca="1" si="125"/>
        <v>-98.996321716414855</v>
      </c>
      <c r="T311" s="116">
        <f t="shared" ca="1" si="126"/>
        <v>81.003678283585145</v>
      </c>
      <c r="V311" s="72">
        <f t="shared" ca="1" si="127"/>
        <v>1000000000</v>
      </c>
      <c r="W311" s="72">
        <f t="shared" si="128"/>
        <v>462443520.25</v>
      </c>
      <c r="Y311" s="110">
        <f t="shared" si="129"/>
        <v>19.713596703441599</v>
      </c>
      <c r="Z311" s="111">
        <f t="shared" si="130"/>
        <v>-45.213404312927388</v>
      </c>
      <c r="AA311" s="72">
        <f t="shared" si="131"/>
        <v>134.78659568707261</v>
      </c>
      <c r="AB311" s="110">
        <f t="shared" ca="1" si="132"/>
        <v>0.33057814495793225</v>
      </c>
      <c r="AC311" s="111">
        <f t="shared" ca="1" si="133"/>
        <v>-53.782917403487481</v>
      </c>
      <c r="AD311" s="72">
        <f t="shared" ca="1" si="134"/>
        <v>126.21708259651251</v>
      </c>
    </row>
    <row r="312" spans="1:30">
      <c r="A312" s="118">
        <v>21629</v>
      </c>
      <c r="B312" s="101">
        <f t="shared" ca="1" si="108"/>
        <v>353.9859277690615</v>
      </c>
      <c r="C312" s="102">
        <f t="shared" ca="1" si="109"/>
        <v>1.5679713519819598</v>
      </c>
      <c r="D312" s="102">
        <f t="shared" si="110"/>
        <v>36.095043420208171</v>
      </c>
      <c r="E312" s="103">
        <f t="shared" si="111"/>
        <v>1.5430881465600785</v>
      </c>
      <c r="F312" s="101">
        <f t="shared" si="112"/>
        <v>2935.4188911733663</v>
      </c>
      <c r="G312" s="104">
        <f t="shared" si="113"/>
        <v>1.5704556599066548</v>
      </c>
      <c r="H312" s="113">
        <f t="shared" si="114"/>
        <v>353.35244354174637</v>
      </c>
      <c r="I312" s="114">
        <f t="shared" si="115"/>
        <v>1.5679662874018425</v>
      </c>
      <c r="J312" s="101">
        <f t="shared" si="116"/>
        <v>36.003346885873562</v>
      </c>
      <c r="K312" s="104">
        <f t="shared" si="117"/>
        <v>1.5430175587614177</v>
      </c>
      <c r="L312" s="102">
        <f t="shared" si="118"/>
        <v>1.8611151780403865</v>
      </c>
      <c r="M312" s="103">
        <f t="shared" si="119"/>
        <v>1.0035493204486154</v>
      </c>
      <c r="N312" s="101">
        <f t="shared" si="120"/>
        <v>1.0310538261758533</v>
      </c>
      <c r="O312" s="104">
        <f t="shared" si="121"/>
        <v>0.24605261377583029</v>
      </c>
      <c r="P312" s="105">
        <f t="shared" ca="1" si="122"/>
        <v>1.5667023642956643</v>
      </c>
      <c r="Q312" s="106">
        <f t="shared" ca="1" si="123"/>
        <v>0.91672365752362461</v>
      </c>
      <c r="R312" s="107">
        <f t="shared" ca="1" si="124"/>
        <v>4.0793921102603399</v>
      </c>
      <c r="S312" s="108">
        <f t="shared" ca="1" si="125"/>
        <v>-99.099759402929237</v>
      </c>
      <c r="T312" s="116">
        <f t="shared" ca="1" si="126"/>
        <v>80.900240597070763</v>
      </c>
      <c r="V312" s="72">
        <f t="shared" ca="1" si="127"/>
        <v>1000000000</v>
      </c>
      <c r="W312" s="72">
        <f t="shared" si="128"/>
        <v>467813641</v>
      </c>
      <c r="Y312" s="110">
        <f t="shared" si="129"/>
        <v>19.696140692969117</v>
      </c>
      <c r="Z312" s="111">
        <f t="shared" si="130"/>
        <v>-45.149660133951514</v>
      </c>
      <c r="AA312" s="72">
        <f t="shared" si="131"/>
        <v>134.8503398660485</v>
      </c>
      <c r="AB312" s="110">
        <f t="shared" ca="1" si="132"/>
        <v>0.30085176417272386</v>
      </c>
      <c r="AC312" s="111">
        <f t="shared" ca="1" si="133"/>
        <v>-53.950099268977787</v>
      </c>
      <c r="AD312" s="72">
        <f t="shared" ca="1" si="134"/>
        <v>126.04990073102221</v>
      </c>
    </row>
    <row r="313" spans="1:30">
      <c r="A313" s="118">
        <v>21753.5</v>
      </c>
      <c r="B313" s="101">
        <f t="shared" ca="1" si="108"/>
        <v>356.02351144397926</v>
      </c>
      <c r="C313" s="102">
        <f t="shared" ca="1" si="109"/>
        <v>1.5679875198404212</v>
      </c>
      <c r="D313" s="102">
        <f t="shared" si="110"/>
        <v>36.302653274643163</v>
      </c>
      <c r="E313" s="103">
        <f t="shared" si="111"/>
        <v>1.5432466460285694</v>
      </c>
      <c r="F313" s="101">
        <f t="shared" si="112"/>
        <v>2952.3156321072706</v>
      </c>
      <c r="G313" s="104">
        <f t="shared" si="113"/>
        <v>1.5704576096170155</v>
      </c>
      <c r="H313" s="113">
        <f t="shared" si="114"/>
        <v>355.38638075057543</v>
      </c>
      <c r="I313" s="114">
        <f t="shared" si="115"/>
        <v>1.5679824842455352</v>
      </c>
      <c r="J313" s="101">
        <f t="shared" si="116"/>
        <v>36.210428515321595</v>
      </c>
      <c r="K313" s="104">
        <f t="shared" si="117"/>
        <v>1.5431764616027746</v>
      </c>
      <c r="L313" s="102">
        <f t="shared" si="118"/>
        <v>1.8687415061523389</v>
      </c>
      <c r="M313" s="103">
        <f t="shared" si="119"/>
        <v>1.0061471413658041</v>
      </c>
      <c r="N313" s="101">
        <f t="shared" si="120"/>
        <v>1.0314068970636674</v>
      </c>
      <c r="O313" s="104">
        <f t="shared" si="121"/>
        <v>0.24741199087876972</v>
      </c>
      <c r="P313" s="105">
        <f t="shared" ca="1" si="122"/>
        <v>1.5720608675232735</v>
      </c>
      <c r="Q313" s="106">
        <f t="shared" ca="1" si="123"/>
        <v>0.91976622627574012</v>
      </c>
      <c r="R313" s="107">
        <f t="shared" ca="1" si="124"/>
        <v>4.0324268663763876</v>
      </c>
      <c r="S313" s="108">
        <f t="shared" ca="1" si="125"/>
        <v>-99.203261308707937</v>
      </c>
      <c r="T313" s="116">
        <f t="shared" ca="1" si="126"/>
        <v>80.796738691292063</v>
      </c>
      <c r="V313" s="72">
        <f t="shared" ca="1" si="127"/>
        <v>1000000000</v>
      </c>
      <c r="W313" s="72">
        <f t="shared" si="128"/>
        <v>473214762.25</v>
      </c>
      <c r="Y313" s="110">
        <f t="shared" si="129"/>
        <v>19.678870267310316</v>
      </c>
      <c r="Z313" s="111">
        <f t="shared" si="130"/>
        <v>-45.086990691711648</v>
      </c>
      <c r="AA313" s="72">
        <f t="shared" si="131"/>
        <v>134.91300930828834</v>
      </c>
      <c r="AB313" s="110">
        <f t="shared" ca="1" si="132"/>
        <v>0.27115694594757439</v>
      </c>
      <c r="AC313" s="111">
        <f t="shared" ca="1" si="133"/>
        <v>-54.116270616996296</v>
      </c>
      <c r="AD313" s="72">
        <f t="shared" ca="1" si="134"/>
        <v>125.8837293830037</v>
      </c>
    </row>
    <row r="314" spans="1:30">
      <c r="A314" s="118">
        <v>21878</v>
      </c>
      <c r="B314" s="101">
        <f t="shared" ca="1" si="108"/>
        <v>358.06109521090229</v>
      </c>
      <c r="C314" s="102">
        <f t="shared" ca="1" si="109"/>
        <v>1.5680035036891387</v>
      </c>
      <c r="D314" s="102">
        <f t="shared" si="110"/>
        <v>36.510264030704484</v>
      </c>
      <c r="E314" s="103">
        <f t="shared" si="111"/>
        <v>1.5434033429287044</v>
      </c>
      <c r="F314" s="101">
        <f t="shared" si="112"/>
        <v>2969.2123730522703</v>
      </c>
      <c r="G314" s="104">
        <f t="shared" si="113"/>
        <v>1.5704595371371475</v>
      </c>
      <c r="H314" s="113">
        <f t="shared" si="114"/>
        <v>357.42031805157455</v>
      </c>
      <c r="I314" s="114">
        <f t="shared" si="115"/>
        <v>1.5679984967496023</v>
      </c>
      <c r="J314" s="101">
        <f t="shared" si="116"/>
        <v>36.41751104868883</v>
      </c>
      <c r="K314" s="104">
        <f t="shared" si="117"/>
        <v>1.5433335572952924</v>
      </c>
      <c r="L314" s="102">
        <f t="shared" si="118"/>
        <v>1.8763803432250483</v>
      </c>
      <c r="M314" s="103">
        <f t="shared" si="119"/>
        <v>1.0087238278399213</v>
      </c>
      <c r="N314" s="101">
        <f t="shared" si="120"/>
        <v>1.0317618725880979</v>
      </c>
      <c r="O314" s="104">
        <f t="shared" si="121"/>
        <v>0.24877043510882596</v>
      </c>
      <c r="P314" s="105">
        <f t="shared" ca="1" si="122"/>
        <v>1.5774319535343684</v>
      </c>
      <c r="Q314" s="106">
        <f t="shared" ca="1" si="123"/>
        <v>0.9227896628962744</v>
      </c>
      <c r="R314" s="107">
        <f t="shared" ca="1" si="124"/>
        <v>3.9856759916374545</v>
      </c>
      <c r="S314" s="108">
        <f t="shared" ca="1" si="125"/>
        <v>-99.306822973857251</v>
      </c>
      <c r="T314" s="116">
        <f t="shared" ca="1" si="126"/>
        <v>80.693177026142749</v>
      </c>
      <c r="V314" s="72">
        <f t="shared" ca="1" si="127"/>
        <v>1000000000</v>
      </c>
      <c r="W314" s="72">
        <f t="shared" si="128"/>
        <v>478646884</v>
      </c>
      <c r="Y314" s="110">
        <f t="shared" si="129"/>
        <v>19.661781938457899</v>
      </c>
      <c r="Z314" s="111">
        <f t="shared" si="130"/>
        <v>-45.025384462658963</v>
      </c>
      <c r="AA314" s="72">
        <f t="shared" si="131"/>
        <v>134.97461553734104</v>
      </c>
      <c r="AB314" s="110">
        <f t="shared" ca="1" si="132"/>
        <v>0.24149440006106004</v>
      </c>
      <c r="AC314" s="111">
        <f t="shared" ca="1" si="133"/>
        <v>-54.281438511198303</v>
      </c>
      <c r="AD314" s="72">
        <f t="shared" ca="1" si="134"/>
        <v>125.7185614888017</v>
      </c>
    </row>
    <row r="315" spans="1:30">
      <c r="A315" s="118">
        <v>22005.25</v>
      </c>
      <c r="B315" s="101">
        <f t="shared" ca="1" si="108"/>
        <v>360.14368594162949</v>
      </c>
      <c r="C315" s="102">
        <f t="shared" ca="1" si="109"/>
        <v>1.5680196536946251</v>
      </c>
      <c r="D315" s="102">
        <f t="shared" si="110"/>
        <v>36.722461482318806</v>
      </c>
      <c r="E315" s="103">
        <f t="shared" si="111"/>
        <v>1.5435616700911916</v>
      </c>
      <c r="F315" s="101">
        <f t="shared" si="112"/>
        <v>2986.4823351940722</v>
      </c>
      <c r="G315" s="104">
        <f t="shared" si="113"/>
        <v>1.5704614846942413</v>
      </c>
      <c r="H315" s="113">
        <f t="shared" si="114"/>
        <v>359.49918177211742</v>
      </c>
      <c r="I315" s="114">
        <f t="shared" si="115"/>
        <v>1.5680146757083242</v>
      </c>
      <c r="J315" s="101">
        <f t="shared" si="116"/>
        <v>36.629168612368481</v>
      </c>
      <c r="K315" s="104">
        <f t="shared" si="117"/>
        <v>1.5434922874061552</v>
      </c>
      <c r="L315" s="102">
        <f t="shared" si="118"/>
        <v>1.8842006777199172</v>
      </c>
      <c r="M315" s="103">
        <f t="shared" si="119"/>
        <v>1.0113358214285404</v>
      </c>
      <c r="N315" s="101">
        <f t="shared" si="120"/>
        <v>1.0321266550982766</v>
      </c>
      <c r="O315" s="104">
        <f t="shared" si="121"/>
        <v>0.25015791691187178</v>
      </c>
      <c r="P315" s="105">
        <f t="shared" ca="1" si="122"/>
        <v>1.5829345507304595</v>
      </c>
      <c r="Q315" s="106">
        <f t="shared" ca="1" si="123"/>
        <v>0.92586026823921674</v>
      </c>
      <c r="R315" s="107">
        <f t="shared" ca="1" si="124"/>
        <v>3.9381111573420475</v>
      </c>
      <c r="S315" s="108">
        <f t="shared" ca="1" si="125"/>
        <v>-99.412729358546756</v>
      </c>
      <c r="T315" s="116">
        <f t="shared" ca="1" si="126"/>
        <v>80.587270641453244</v>
      </c>
      <c r="V315" s="72">
        <f t="shared" ca="1" si="127"/>
        <v>1000000000</v>
      </c>
      <c r="W315" s="72">
        <f t="shared" si="128"/>
        <v>484231027.5625</v>
      </c>
      <c r="Y315" s="110">
        <f t="shared" si="129"/>
        <v>19.644500777277592</v>
      </c>
      <c r="Z315" s="111">
        <f t="shared" si="130"/>
        <v>-44.963504271495104</v>
      </c>
      <c r="AA315" s="72">
        <f t="shared" si="131"/>
        <v>135.03649572850489</v>
      </c>
      <c r="AB315" s="110">
        <f t="shared" ca="1" si="132"/>
        <v>0.21121072694595514</v>
      </c>
      <c r="AC315" s="111">
        <f t="shared" ca="1" si="133"/>
        <v>-54.449225087051637</v>
      </c>
      <c r="AD315" s="72">
        <f t="shared" ca="1" si="134"/>
        <v>125.55077491294836</v>
      </c>
    </row>
    <row r="316" spans="1:30">
      <c r="A316" s="118">
        <v>22132.5</v>
      </c>
      <c r="B316" s="101">
        <f t="shared" ca="1" si="108"/>
        <v>362.22627676521017</v>
      </c>
      <c r="C316" s="102">
        <f t="shared" ca="1" si="109"/>
        <v>1.5680356179938024</v>
      </c>
      <c r="D316" s="102">
        <f t="shared" si="110"/>
        <v>36.934659843895666</v>
      </c>
      <c r="E316" s="103">
        <f t="shared" si="111"/>
        <v>1.5437181780035296</v>
      </c>
      <c r="F316" s="101">
        <f t="shared" si="112"/>
        <v>3003.7522973470709</v>
      </c>
      <c r="G316" s="104">
        <f t="shared" si="113"/>
        <v>1.5704634098565207</v>
      </c>
      <c r="H316" s="113">
        <f t="shared" si="114"/>
        <v>361.57804558568023</v>
      </c>
      <c r="I316" s="114">
        <f t="shared" si="115"/>
        <v>1.5680306686278136</v>
      </c>
      <c r="J316" s="101">
        <f t="shared" si="116"/>
        <v>36.840827088324865</v>
      </c>
      <c r="K316" s="104">
        <f t="shared" si="117"/>
        <v>1.5436491936436751</v>
      </c>
      <c r="L316" s="102">
        <f t="shared" si="118"/>
        <v>1.8920337608759408</v>
      </c>
      <c r="M316" s="103">
        <f t="shared" si="119"/>
        <v>1.0139262050865006</v>
      </c>
      <c r="N316" s="101">
        <f t="shared" si="120"/>
        <v>1.0324934231551963</v>
      </c>
      <c r="O316" s="104">
        <f t="shared" si="121"/>
        <v>0.25154441564449048</v>
      </c>
      <c r="P316" s="105">
        <f t="shared" ca="1" si="122"/>
        <v>1.5884500304049638</v>
      </c>
      <c r="Q316" s="106">
        <f t="shared" ca="1" si="123"/>
        <v>0.92891120394243099</v>
      </c>
      <c r="R316" s="107">
        <f t="shared" ca="1" si="124"/>
        <v>3.8907645747454289</v>
      </c>
      <c r="S316" s="108">
        <f t="shared" ca="1" si="125"/>
        <v>-99.518689058988542</v>
      </c>
      <c r="T316" s="116">
        <f t="shared" ca="1" si="126"/>
        <v>80.481310941011458</v>
      </c>
      <c r="V316" s="72">
        <f t="shared" ca="1" si="127"/>
        <v>1000000000</v>
      </c>
      <c r="W316" s="72">
        <f t="shared" si="128"/>
        <v>489847556.25</v>
      </c>
      <c r="Y316" s="110">
        <f t="shared" si="129"/>
        <v>19.62740271167187</v>
      </c>
      <c r="Z316" s="111">
        <f t="shared" si="130"/>
        <v>-44.902710788257984</v>
      </c>
      <c r="AA316" s="72">
        <f t="shared" si="131"/>
        <v>135.09728921174201</v>
      </c>
      <c r="AB316" s="110">
        <f t="shared" ca="1" si="132"/>
        <v>0.18096220995505941</v>
      </c>
      <c r="AC316" s="111">
        <f t="shared" ca="1" si="133"/>
        <v>-54.615978270730494</v>
      </c>
      <c r="AD316" s="72">
        <f t="shared" ca="1" si="134"/>
        <v>125.38402172926951</v>
      </c>
    </row>
    <row r="317" spans="1:30">
      <c r="A317" s="118">
        <v>22259.75</v>
      </c>
      <c r="B317" s="101">
        <f t="shared" ca="1" si="108"/>
        <v>364.30886768005195</v>
      </c>
      <c r="C317" s="102">
        <f t="shared" ca="1" si="109"/>
        <v>1.568051399771462</v>
      </c>
      <c r="D317" s="102">
        <f t="shared" si="110"/>
        <v>37.146859099840817</v>
      </c>
      <c r="E317" s="103">
        <f t="shared" si="111"/>
        <v>1.5438728978350644</v>
      </c>
      <c r="F317" s="101">
        <f t="shared" si="112"/>
        <v>3021.0222595110749</v>
      </c>
      <c r="G317" s="104">
        <f t="shared" si="113"/>
        <v>1.5704653130080524</v>
      </c>
      <c r="H317" s="113">
        <f t="shared" si="114"/>
        <v>363.65690949066777</v>
      </c>
      <c r="I317" s="114">
        <f t="shared" si="115"/>
        <v>1.5680464786985711</v>
      </c>
      <c r="J317" s="101">
        <f t="shared" si="116"/>
        <v>37.052486460924108</v>
      </c>
      <c r="K317" s="104">
        <f t="shared" si="117"/>
        <v>1.5438043072562522</v>
      </c>
      <c r="L317" s="102">
        <f t="shared" si="118"/>
        <v>1.8998794350073462</v>
      </c>
      <c r="M317" s="103">
        <f t="shared" si="119"/>
        <v>1.0164952115530315</v>
      </c>
      <c r="N317" s="101">
        <f t="shared" si="120"/>
        <v>1.0328621746436619</v>
      </c>
      <c r="O317" s="104">
        <f t="shared" si="121"/>
        <v>0.25292992702604211</v>
      </c>
      <c r="P317" s="105">
        <f t="shared" ca="1" si="122"/>
        <v>1.5939782622534846</v>
      </c>
      <c r="Q317" s="106">
        <f t="shared" ca="1" si="123"/>
        <v>0.93194262884087786</v>
      </c>
      <c r="R317" s="107">
        <f t="shared" ca="1" si="124"/>
        <v>3.843633453247822</v>
      </c>
      <c r="S317" s="108">
        <f t="shared" ca="1" si="125"/>
        <v>-99.624697621724891</v>
      </c>
      <c r="T317" s="116">
        <f t="shared" ca="1" si="126"/>
        <v>80.375302378275109</v>
      </c>
      <c r="V317" s="72">
        <f t="shared" ca="1" si="127"/>
        <v>1000000000</v>
      </c>
      <c r="W317" s="72">
        <f t="shared" si="128"/>
        <v>495496470.0625</v>
      </c>
      <c r="Y317" s="110">
        <f t="shared" si="129"/>
        <v>19.610484250241367</v>
      </c>
      <c r="Z317" s="111">
        <f t="shared" si="130"/>
        <v>-44.842992062313989</v>
      </c>
      <c r="AA317" s="72">
        <f t="shared" si="131"/>
        <v>135.15700793768602</v>
      </c>
      <c r="AB317" s="110">
        <f t="shared" ca="1" si="132"/>
        <v>0.15074954988796202</v>
      </c>
      <c r="AC317" s="111">
        <f t="shared" ca="1" si="133"/>
        <v>-54.781705559410959</v>
      </c>
      <c r="AD317" s="72">
        <f t="shared" ca="1" si="134"/>
        <v>125.21829444058903</v>
      </c>
    </row>
    <row r="318" spans="1:30">
      <c r="A318" s="118">
        <v>22387</v>
      </c>
      <c r="B318" s="101">
        <f t="shared" ca="1" si="108"/>
        <v>366.39145868459866</v>
      </c>
      <c r="C318" s="102">
        <f t="shared" ca="1" si="109"/>
        <v>1.5680670021399858</v>
      </c>
      <c r="D318" s="102">
        <f t="shared" si="110"/>
        <v>37.359059234914234</v>
      </c>
      <c r="E318" s="103">
        <f t="shared" si="111"/>
        <v>1.5440258600473193</v>
      </c>
      <c r="F318" s="101">
        <f t="shared" si="112"/>
        <v>3038.2922216858969</v>
      </c>
      <c r="G318" s="104">
        <f t="shared" si="113"/>
        <v>1.5704671945241699</v>
      </c>
      <c r="H318" s="113">
        <f t="shared" si="114"/>
        <v>365.73577348552107</v>
      </c>
      <c r="I318" s="114">
        <f t="shared" si="115"/>
        <v>1.5680621090385585</v>
      </c>
      <c r="J318" s="101">
        <f t="shared" si="116"/>
        <v>37.264146714887495</v>
      </c>
      <c r="K318" s="104">
        <f t="shared" si="117"/>
        <v>1.5439576587826727</v>
      </c>
      <c r="L318" s="102">
        <f t="shared" si="118"/>
        <v>1.9077375447709326</v>
      </c>
      <c r="M318" s="103">
        <f t="shared" si="119"/>
        <v>1.0190430708706031</v>
      </c>
      <c r="N318" s="101">
        <f t="shared" si="120"/>
        <v>1.0332329074400664</v>
      </c>
      <c r="O318" s="104">
        <f t="shared" si="121"/>
        <v>0.25431444679714399</v>
      </c>
      <c r="P318" s="105">
        <f t="shared" ca="1" si="122"/>
        <v>1.5995191174856316</v>
      </c>
      <c r="Q318" s="106">
        <f t="shared" ca="1" si="123"/>
        <v>0.93495470080795484</v>
      </c>
      <c r="R318" s="107">
        <f t="shared" ca="1" si="124"/>
        <v>3.7967150584246174</v>
      </c>
      <c r="S318" s="108">
        <f t="shared" ca="1" si="125"/>
        <v>-99.730750693340354</v>
      </c>
      <c r="T318" s="116">
        <f t="shared" ca="1" si="126"/>
        <v>80.269249306659646</v>
      </c>
      <c r="V318" s="72">
        <f t="shared" ca="1" si="127"/>
        <v>1000000000</v>
      </c>
      <c r="W318" s="72">
        <f t="shared" si="128"/>
        <v>501177769</v>
      </c>
      <c r="Y318" s="110">
        <f t="shared" si="129"/>
        <v>19.593741976300684</v>
      </c>
      <c r="Z318" s="111">
        <f t="shared" si="130"/>
        <v>-44.784336261758348</v>
      </c>
      <c r="AA318" s="72">
        <f t="shared" si="131"/>
        <v>135.21566373824166</v>
      </c>
      <c r="AB318" s="110">
        <f t="shared" ca="1" si="132"/>
        <v>0.12057342900543852</v>
      </c>
      <c r="AC318" s="111">
        <f t="shared" ca="1" si="133"/>
        <v>-54.946414431581964</v>
      </c>
      <c r="AD318" s="72">
        <f t="shared" ca="1" si="134"/>
        <v>125.05358556841804</v>
      </c>
    </row>
    <row r="319" spans="1:30">
      <c r="A319" s="118">
        <v>22517.5</v>
      </c>
      <c r="B319" s="101">
        <f t="shared" ca="1" si="108"/>
        <v>368.5272397277941</v>
      </c>
      <c r="C319" s="102">
        <f t="shared" ca="1" si="109"/>
        <v>1.5680828198423946</v>
      </c>
      <c r="D319" s="102">
        <f t="shared" si="110"/>
        <v>37.576679917296872</v>
      </c>
      <c r="E319" s="103">
        <f t="shared" si="111"/>
        <v>1.5441809346116953</v>
      </c>
      <c r="F319" s="101">
        <f t="shared" si="112"/>
        <v>3056.0032634557951</v>
      </c>
      <c r="G319" s="104">
        <f t="shared" si="113"/>
        <v>1.5704691020076054</v>
      </c>
      <c r="H319" s="113">
        <f t="shared" si="114"/>
        <v>367.86773233033455</v>
      </c>
      <c r="I319" s="114">
        <f t="shared" si="115"/>
        <v>1.5680779550984798</v>
      </c>
      <c r="J319" s="101">
        <f t="shared" si="116"/>
        <v>37.481213729730705</v>
      </c>
      <c r="K319" s="104">
        <f t="shared" si="117"/>
        <v>1.5441131280440406</v>
      </c>
      <c r="L319" s="102">
        <f t="shared" si="118"/>
        <v>1.9158091086322036</v>
      </c>
      <c r="M319" s="103">
        <f t="shared" si="119"/>
        <v>1.0216342771603617</v>
      </c>
      <c r="N319" s="101">
        <f t="shared" si="120"/>
        <v>1.0336151644796936</v>
      </c>
      <c r="O319" s="104">
        <f t="shared" si="121"/>
        <v>0.25573329322198057</v>
      </c>
      <c r="P319" s="105">
        <f t="shared" ca="1" si="122"/>
        <v>1.6052144654661862</v>
      </c>
      <c r="Q319" s="106">
        <f t="shared" ca="1" si="123"/>
        <v>0.93802376560330125</v>
      </c>
      <c r="R319" s="107">
        <f t="shared" ca="1" si="124"/>
        <v>3.7488164940014834</v>
      </c>
      <c r="S319" s="108">
        <f t="shared" ca="1" si="125"/>
        <v>-99.83955416141599</v>
      </c>
      <c r="T319" s="116">
        <f t="shared" ca="1" si="126"/>
        <v>80.16044583858401</v>
      </c>
      <c r="V319" s="72">
        <f t="shared" ca="1" si="127"/>
        <v>1000000000</v>
      </c>
      <c r="W319" s="72">
        <f t="shared" si="128"/>
        <v>507037806.25</v>
      </c>
      <c r="Y319" s="110">
        <f t="shared" si="129"/>
        <v>19.576751592782657</v>
      </c>
      <c r="Z319" s="111">
        <f t="shared" si="130"/>
        <v>-44.72527410027562</v>
      </c>
      <c r="AA319" s="72">
        <f t="shared" si="131"/>
        <v>135.27472589972439</v>
      </c>
      <c r="AB319" s="110">
        <f t="shared" ca="1" si="132"/>
        <v>8.9665248100333134E-2</v>
      </c>
      <c r="AC319" s="111">
        <f t="shared" ca="1" si="133"/>
        <v>-55.114280061140356</v>
      </c>
      <c r="AD319" s="72">
        <f t="shared" ca="1" si="134"/>
        <v>124.88571993885964</v>
      </c>
    </row>
    <row r="320" spans="1:30">
      <c r="A320" s="118">
        <v>22648</v>
      </c>
      <c r="B320" s="101">
        <f t="shared" ca="1" si="108"/>
        <v>370.66302086213238</v>
      </c>
      <c r="C320" s="102">
        <f t="shared" ca="1" si="109"/>
        <v>1.5680984552598289</v>
      </c>
      <c r="D320" s="102">
        <f t="shared" si="110"/>
        <v>37.794301492921555</v>
      </c>
      <c r="E320" s="103">
        <f t="shared" si="111"/>
        <v>1.5443342233247279</v>
      </c>
      <c r="F320" s="101">
        <f t="shared" si="112"/>
        <v>3073.7143052366846</v>
      </c>
      <c r="G320" s="104">
        <f t="shared" si="113"/>
        <v>1.5704709875088292</v>
      </c>
      <c r="H320" s="113">
        <f t="shared" si="114"/>
        <v>369.99969126645425</v>
      </c>
      <c r="I320" s="114">
        <f t="shared" si="115"/>
        <v>1.5680936185466361</v>
      </c>
      <c r="J320" s="101">
        <f t="shared" si="116"/>
        <v>37.698281640087842</v>
      </c>
      <c r="K320" s="104">
        <f t="shared" si="117"/>
        <v>1.5442668069151371</v>
      </c>
      <c r="L320" s="102">
        <f t="shared" si="118"/>
        <v>1.9238934279211486</v>
      </c>
      <c r="M320" s="103">
        <f t="shared" si="119"/>
        <v>1.0242037237632551</v>
      </c>
      <c r="N320" s="101">
        <f t="shared" si="120"/>
        <v>1.0339995007750988</v>
      </c>
      <c r="O320" s="104">
        <f t="shared" si="121"/>
        <v>0.257151087732439</v>
      </c>
      <c r="P320" s="105">
        <f t="shared" ca="1" si="122"/>
        <v>1.6109228203255326</v>
      </c>
      <c r="Q320" s="106">
        <f t="shared" ca="1" si="123"/>
        <v>0.94107280945752458</v>
      </c>
      <c r="R320" s="107">
        <f t="shared" ca="1" si="124"/>
        <v>3.7011360109462417</v>
      </c>
      <c r="S320" s="108">
        <f t="shared" ca="1" si="125"/>
        <v>-99.948395481204443</v>
      </c>
      <c r="T320" s="116">
        <f t="shared" ca="1" si="126"/>
        <v>80.051604518795557</v>
      </c>
      <c r="V320" s="72">
        <f t="shared" ca="1" si="127"/>
        <v>1000000000</v>
      </c>
      <c r="W320" s="72">
        <f t="shared" si="128"/>
        <v>512931904</v>
      </c>
      <c r="Y320" s="110">
        <f t="shared" si="129"/>
        <v>19.559939466089666</v>
      </c>
      <c r="Z320" s="111">
        <f t="shared" si="130"/>
        <v>-44.667305028350064</v>
      </c>
      <c r="AA320" s="72">
        <f t="shared" si="131"/>
        <v>135.33269497164994</v>
      </c>
      <c r="AB320" s="110">
        <f t="shared" ca="1" si="132"/>
        <v>5.8796891738080503E-2</v>
      </c>
      <c r="AC320" s="111">
        <f t="shared" ca="1" si="133"/>
        <v>-55.281090452854414</v>
      </c>
      <c r="AD320" s="72">
        <f t="shared" ca="1" si="134"/>
        <v>124.71890954714559</v>
      </c>
    </row>
    <row r="321" spans="1:30">
      <c r="A321" s="118">
        <v>22778.5</v>
      </c>
      <c r="B321" s="101">
        <f t="shared" ca="1" si="108"/>
        <v>372.79880208604698</v>
      </c>
      <c r="C321" s="102">
        <f t="shared" ca="1" si="109"/>
        <v>1.5681139115252374</v>
      </c>
      <c r="D321" s="102">
        <f t="shared" si="110"/>
        <v>38.011923946446615</v>
      </c>
      <c r="E321" s="103">
        <f t="shared" si="111"/>
        <v>1.5444857568517381</v>
      </c>
      <c r="F321" s="101">
        <f t="shared" si="112"/>
        <v>3091.4253470283761</v>
      </c>
      <c r="G321" s="104">
        <f t="shared" si="113"/>
        <v>1.5704728514056556</v>
      </c>
      <c r="H321" s="113">
        <f t="shared" si="114"/>
        <v>372.13165029231089</v>
      </c>
      <c r="I321" s="114">
        <f t="shared" si="115"/>
        <v>1.568109102521593</v>
      </c>
      <c r="J321" s="101">
        <f t="shared" si="116"/>
        <v>37.915350430578293</v>
      </c>
      <c r="K321" s="104">
        <f t="shared" si="117"/>
        <v>1.5444187261390765</v>
      </c>
      <c r="L321" s="102">
        <f t="shared" si="118"/>
        <v>1.9319903425143812</v>
      </c>
      <c r="M321" s="103">
        <f t="shared" si="119"/>
        <v>1.0267516501204901</v>
      </c>
      <c r="N321" s="101">
        <f t="shared" si="120"/>
        <v>1.0343859140085785</v>
      </c>
      <c r="O321" s="104">
        <f t="shared" si="121"/>
        <v>0.25856782580432119</v>
      </c>
      <c r="P321" s="105">
        <f t="shared" ca="1" si="122"/>
        <v>1.6166440480075974</v>
      </c>
      <c r="Q321" s="106">
        <f t="shared" ca="1" si="123"/>
        <v>0.94410199943242445</v>
      </c>
      <c r="R321" s="107">
        <f t="shared" ca="1" si="124"/>
        <v>3.6536708344660997</v>
      </c>
      <c r="S321" s="108">
        <f t="shared" ca="1" si="125"/>
        <v>-100.05727027223622</v>
      </c>
      <c r="T321" s="116">
        <f t="shared" ca="1" si="126"/>
        <v>79.942729727763776</v>
      </c>
      <c r="V321" s="72">
        <f t="shared" ca="1" si="127"/>
        <v>1000000000</v>
      </c>
      <c r="W321" s="72">
        <f t="shared" si="128"/>
        <v>518860062.25</v>
      </c>
      <c r="Y321" s="110">
        <f t="shared" si="129"/>
        <v>19.543302144064022</v>
      </c>
      <c r="Z321" s="111">
        <f t="shared" si="130"/>
        <v>-44.61041667106479</v>
      </c>
      <c r="AA321" s="72">
        <f t="shared" si="131"/>
        <v>135.3895833289352</v>
      </c>
      <c r="AB321" s="110">
        <f t="shared" ca="1" si="132"/>
        <v>2.796903728358615E-2</v>
      </c>
      <c r="AC321" s="111">
        <f t="shared" ca="1" si="133"/>
        <v>-55.446853601171441</v>
      </c>
      <c r="AD321" s="72">
        <f t="shared" ca="1" si="134"/>
        <v>124.55314639882856</v>
      </c>
    </row>
    <row r="322" spans="1:30">
      <c r="A322" s="118">
        <v>22909</v>
      </c>
      <c r="B322" s="101">
        <f t="shared" ca="1" si="108"/>
        <v>374.93458339800708</v>
      </c>
      <c r="C322" s="102">
        <f t="shared" ca="1" si="109"/>
        <v>1.5681291917001832</v>
      </c>
      <c r="D322" s="102">
        <f t="shared" si="110"/>
        <v>38.229547262879663</v>
      </c>
      <c r="E322" s="103">
        <f t="shared" si="111"/>
        <v>1.5446355651601189</v>
      </c>
      <c r="F322" s="101">
        <f t="shared" si="112"/>
        <v>3109.1363888306855</v>
      </c>
      <c r="G322" s="104">
        <f t="shared" si="113"/>
        <v>1.5704746940672898</v>
      </c>
      <c r="H322" s="113">
        <f t="shared" si="114"/>
        <v>374.26360940637085</v>
      </c>
      <c r="I322" s="114">
        <f t="shared" si="115"/>
        <v>1.5681244100904017</v>
      </c>
      <c r="J322" s="101">
        <f t="shared" si="116"/>
        <v>38.132420086171564</v>
      </c>
      <c r="K322" s="104">
        <f t="shared" si="117"/>
        <v>1.5445689157592781</v>
      </c>
      <c r="L322" s="102">
        <f t="shared" si="118"/>
        <v>1.940099694714182</v>
      </c>
      <c r="M322" s="103">
        <f t="shared" si="119"/>
        <v>1.0292782927969604</v>
      </c>
      <c r="N322" s="101">
        <f t="shared" si="120"/>
        <v>1.0347744018533749</v>
      </c>
      <c r="O322" s="104">
        <f t="shared" si="121"/>
        <v>0.25998350293713174</v>
      </c>
      <c r="P322" s="105">
        <f t="shared" ca="1" si="122"/>
        <v>1.6223780160601675</v>
      </c>
      <c r="Q322" s="106">
        <f t="shared" ca="1" si="123"/>
        <v>0.94711150148262557</v>
      </c>
      <c r="R322" s="107">
        <f t="shared" ca="1" si="124"/>
        <v>3.6064182456106799</v>
      </c>
      <c r="S322" s="108">
        <f t="shared" ca="1" si="125"/>
        <v>-100.16617425617697</v>
      </c>
      <c r="T322" s="116">
        <f t="shared" ca="1" si="126"/>
        <v>79.833825743823027</v>
      </c>
      <c r="V322" s="72">
        <f t="shared" ca="1" si="127"/>
        <v>1000000000</v>
      </c>
      <c r="W322" s="72">
        <f t="shared" si="128"/>
        <v>524822281</v>
      </c>
      <c r="Y322" s="110">
        <f t="shared" si="129"/>
        <v>19.526836249400766</v>
      </c>
      <c r="Z322" s="111">
        <f t="shared" si="130"/>
        <v>-44.554596783176414</v>
      </c>
      <c r="AA322" s="72">
        <f t="shared" si="131"/>
        <v>135.44540321682359</v>
      </c>
      <c r="AB322" s="110">
        <f t="shared" ca="1" si="132"/>
        <v>-2.8176569085834624E-3</v>
      </c>
      <c r="AC322" s="111">
        <f t="shared" ca="1" si="133"/>
        <v>-55.611577473000573</v>
      </c>
      <c r="AD322" s="72">
        <f t="shared" ca="1" si="134"/>
        <v>124.38842252699942</v>
      </c>
    </row>
    <row r="323" spans="1:30">
      <c r="A323" s="118">
        <v>23042.25</v>
      </c>
      <c r="B323" s="101">
        <f t="shared" ca="1" si="108"/>
        <v>377.11537168514525</v>
      </c>
      <c r="C323" s="102">
        <f t="shared" ca="1" si="109"/>
        <v>1.5681446152842746</v>
      </c>
      <c r="D323" s="102">
        <f t="shared" si="110"/>
        <v>38.451757386419786</v>
      </c>
      <c r="E323" s="103">
        <f t="shared" si="111"/>
        <v>1.5447867806442774</v>
      </c>
      <c r="F323" s="101">
        <f t="shared" si="112"/>
        <v>3127.2206518311673</v>
      </c>
      <c r="G323" s="104">
        <f t="shared" si="113"/>
        <v>1.5704765540227206</v>
      </c>
      <c r="H323" s="113">
        <f t="shared" si="114"/>
        <v>376.44049495136881</v>
      </c>
      <c r="I323" s="114">
        <f t="shared" si="115"/>
        <v>1.5681398613254605</v>
      </c>
      <c r="J323" s="101">
        <f t="shared" si="116"/>
        <v>38.354064883915491</v>
      </c>
      <c r="K323" s="104">
        <f t="shared" si="117"/>
        <v>1.5447205161430775</v>
      </c>
      <c r="L323" s="102">
        <f t="shared" si="118"/>
        <v>1.9483926057881003</v>
      </c>
      <c r="M323" s="103">
        <f t="shared" si="119"/>
        <v>1.0318364605692429</v>
      </c>
      <c r="N323" s="101">
        <f t="shared" si="120"/>
        <v>1.0351732144453012</v>
      </c>
      <c r="O323" s="104">
        <f t="shared" si="121"/>
        <v>0.26142791298505935</v>
      </c>
      <c r="P323" s="105">
        <f t="shared" ca="1" si="122"/>
        <v>1.6282458247976308</v>
      </c>
      <c r="Q323" s="106">
        <f t="shared" ca="1" si="123"/>
        <v>0.95016427881693288</v>
      </c>
      <c r="R323" s="107">
        <f t="shared" ca="1" si="124"/>
        <v>3.5583864986765734</v>
      </c>
      <c r="S323" s="108">
        <f t="shared" ca="1" si="125"/>
        <v>-100.27739893278495</v>
      </c>
      <c r="T323" s="116">
        <f t="shared" ca="1" si="126"/>
        <v>79.722601067215052</v>
      </c>
      <c r="V323" s="72">
        <f t="shared" ca="1" si="127"/>
        <v>1000000000</v>
      </c>
      <c r="W323" s="72">
        <f t="shared" si="128"/>
        <v>530945285.0625</v>
      </c>
      <c r="Y323" s="110">
        <f t="shared" si="129"/>
        <v>19.510196823360502</v>
      </c>
      <c r="Z323" s="111">
        <f t="shared" si="130"/>
        <v>-44.4986905053103</v>
      </c>
      <c r="AA323" s="72">
        <f t="shared" si="131"/>
        <v>135.50130949468971</v>
      </c>
      <c r="AB323" s="110">
        <f t="shared" ca="1" si="132"/>
        <v>-3.4209977802421201E-2</v>
      </c>
      <c r="AC323" s="111">
        <f t="shared" ca="1" si="133"/>
        <v>-55.778708427474641</v>
      </c>
      <c r="AD323" s="72">
        <f t="shared" ca="1" si="134"/>
        <v>124.22129157252536</v>
      </c>
    </row>
    <row r="324" spans="1:30">
      <c r="A324" s="118">
        <v>23175.5</v>
      </c>
      <c r="B324" s="101">
        <f t="shared" ca="1" si="108"/>
        <v>379.29616006096256</v>
      </c>
      <c r="C324" s="102">
        <f t="shared" ca="1" si="109"/>
        <v>1.5681598615105348</v>
      </c>
      <c r="D324" s="102">
        <f t="shared" si="110"/>
        <v>38.673968379098717</v>
      </c>
      <c r="E324" s="103">
        <f t="shared" si="111"/>
        <v>1.5449362584387814</v>
      </c>
      <c r="F324" s="101">
        <f t="shared" si="112"/>
        <v>3145.3049148423438</v>
      </c>
      <c r="G324" s="104">
        <f t="shared" si="113"/>
        <v>1.5704783925901307</v>
      </c>
      <c r="H324" s="113">
        <f t="shared" si="114"/>
        <v>378.61738058520484</v>
      </c>
      <c r="I324" s="114">
        <f t="shared" si="115"/>
        <v>1.5681551348847302</v>
      </c>
      <c r="J324" s="101">
        <f t="shared" si="116"/>
        <v>38.575710553009031</v>
      </c>
      <c r="K324" s="104">
        <f t="shared" si="117"/>
        <v>1.5448703744201351</v>
      </c>
      <c r="L324" s="102">
        <f t="shared" si="118"/>
        <v>1.9566981594474369</v>
      </c>
      <c r="M324" s="103">
        <f t="shared" si="119"/>
        <v>1.0343729276265756</v>
      </c>
      <c r="N324" s="101">
        <f t="shared" si="120"/>
        <v>1.0355741850741238</v>
      </c>
      <c r="O324" s="104">
        <f t="shared" si="121"/>
        <v>0.2628712075013917</v>
      </c>
      <c r="P324" s="105">
        <f t="shared" ca="1" si="122"/>
        <v>1.6341266424519987</v>
      </c>
      <c r="Q324" s="106">
        <f t="shared" ca="1" si="123"/>
        <v>0.95319687584992308</v>
      </c>
      <c r="R324" s="107">
        <f t="shared" ca="1" si="124"/>
        <v>3.5105708358656695</v>
      </c>
      <c r="S324" s="108">
        <f t="shared" ca="1" si="125"/>
        <v>-100.38864534711878</v>
      </c>
      <c r="T324" s="116">
        <f t="shared" ca="1" si="126"/>
        <v>79.611354652881218</v>
      </c>
      <c r="V324" s="72">
        <f t="shared" ca="1" si="127"/>
        <v>1000000000</v>
      </c>
      <c r="W324" s="72">
        <f t="shared" si="128"/>
        <v>537103800.25</v>
      </c>
      <c r="Y324" s="110">
        <f t="shared" si="129"/>
        <v>19.493729239945708</v>
      </c>
      <c r="Z324" s="111">
        <f t="shared" si="130"/>
        <v>-44.443872810837938</v>
      </c>
      <c r="AA324" s="72">
        <f t="shared" si="131"/>
        <v>135.55612718916205</v>
      </c>
      <c r="AB324" s="110">
        <f t="shared" ca="1" si="132"/>
        <v>-6.5558057198537731E-2</v>
      </c>
      <c r="AC324" s="111">
        <f t="shared" ca="1" si="133"/>
        <v>-55.944772536280844</v>
      </c>
      <c r="AD324" s="72">
        <f t="shared" ca="1" si="134"/>
        <v>124.05522746371915</v>
      </c>
    </row>
    <row r="325" spans="1:30">
      <c r="A325" s="118">
        <v>23308.75</v>
      </c>
      <c r="B325" s="101">
        <f t="shared" ca="1" si="108"/>
        <v>381.47694852393829</v>
      </c>
      <c r="C325" s="102">
        <f t="shared" ca="1" si="109"/>
        <v>1.5681749334206596</v>
      </c>
      <c r="D325" s="102">
        <f t="shared" si="110"/>
        <v>38.896180226020476</v>
      </c>
      <c r="E325" s="103">
        <f t="shared" si="111"/>
        <v>1.5450840283188834</v>
      </c>
      <c r="F325" s="101">
        <f t="shared" si="112"/>
        <v>3163.3891778640309</v>
      </c>
      <c r="G325" s="104">
        <f t="shared" si="113"/>
        <v>1.5704802101363291</v>
      </c>
      <c r="H325" s="113">
        <f t="shared" si="114"/>
        <v>380.79426630635555</v>
      </c>
      <c r="I325" s="114">
        <f t="shared" si="115"/>
        <v>1.5681702338153598</v>
      </c>
      <c r="J325" s="101">
        <f t="shared" si="116"/>
        <v>38.79735707851836</v>
      </c>
      <c r="K325" s="104">
        <f t="shared" si="117"/>
        <v>1.5450185204412556</v>
      </c>
      <c r="L325" s="102">
        <f t="shared" si="118"/>
        <v>1.9650161953825704</v>
      </c>
      <c r="M325" s="103">
        <f t="shared" si="119"/>
        <v>1.0368879367047008</v>
      </c>
      <c r="N325" s="101">
        <f t="shared" si="120"/>
        <v>1.0359773112340658</v>
      </c>
      <c r="O325" s="104">
        <f t="shared" si="121"/>
        <v>0.26431338177186714</v>
      </c>
      <c r="P325" s="105">
        <f t="shared" ca="1" si="122"/>
        <v>1.6400203330808583</v>
      </c>
      <c r="Q325" s="106">
        <f t="shared" ca="1" si="123"/>
        <v>0.956209465621633</v>
      </c>
      <c r="R325" s="107">
        <f t="shared" ca="1" si="124"/>
        <v>3.4629685335248963</v>
      </c>
      <c r="S325" s="108">
        <f t="shared" ca="1" si="125"/>
        <v>-100.49990926083427</v>
      </c>
      <c r="T325" s="116">
        <f t="shared" ca="1" si="126"/>
        <v>79.500090739165728</v>
      </c>
      <c r="V325" s="72">
        <f t="shared" ca="1" si="127"/>
        <v>1000000000</v>
      </c>
      <c r="W325" s="72">
        <f t="shared" si="128"/>
        <v>543297826.5625</v>
      </c>
      <c r="Y325" s="110">
        <f t="shared" si="129"/>
        <v>19.477430133635462</v>
      </c>
      <c r="Z325" s="111">
        <f t="shared" si="130"/>
        <v>-44.39013107867131</v>
      </c>
      <c r="AA325" s="72">
        <f t="shared" si="131"/>
        <v>135.60986892132868</v>
      </c>
      <c r="AB325" s="110">
        <f t="shared" ca="1" si="132"/>
        <v>-9.6861253229058225E-2</v>
      </c>
      <c r="AC325" s="111">
        <f t="shared" ca="1" si="133"/>
        <v>-56.109778182162991</v>
      </c>
      <c r="AD325" s="72">
        <f t="shared" ca="1" si="134"/>
        <v>123.89022181783702</v>
      </c>
    </row>
    <row r="326" spans="1:30">
      <c r="A326" s="118">
        <v>23442</v>
      </c>
      <c r="B326" s="101">
        <f t="shared" ca="1" si="108"/>
        <v>383.65773707258614</v>
      </c>
      <c r="C326" s="102">
        <f t="shared" ca="1" si="109"/>
        <v>1.5681898339871874</v>
      </c>
      <c r="D326" s="102">
        <f t="shared" si="110"/>
        <v>39.118392912627506</v>
      </c>
      <c r="E326" s="103">
        <f t="shared" si="111"/>
        <v>1.545230119383584</v>
      </c>
      <c r="F326" s="101">
        <f t="shared" si="112"/>
        <v>3181.4734408960494</v>
      </c>
      <c r="G326" s="104">
        <f t="shared" si="113"/>
        <v>1.5704820070197849</v>
      </c>
      <c r="H326" s="113">
        <f t="shared" si="114"/>
        <v>382.97115211333198</v>
      </c>
      <c r="I326" s="114">
        <f t="shared" si="115"/>
        <v>1.5681851610952167</v>
      </c>
      <c r="J326" s="101">
        <f t="shared" si="116"/>
        <v>39.019004445848921</v>
      </c>
      <c r="K326" s="104">
        <f t="shared" si="117"/>
        <v>1.5451649833792782</v>
      </c>
      <c r="L326" s="102">
        <f t="shared" si="118"/>
        <v>1.9733465557479153</v>
      </c>
      <c r="M326" s="103">
        <f t="shared" si="119"/>
        <v>1.0393817275356421</v>
      </c>
      <c r="N326" s="101">
        <f t="shared" si="120"/>
        <v>1.0363825904097885</v>
      </c>
      <c r="O326" s="104">
        <f t="shared" si="121"/>
        <v>0.26575443110817898</v>
      </c>
      <c r="P326" s="105">
        <f t="shared" ca="1" si="122"/>
        <v>1.645926762407717</v>
      </c>
      <c r="Q326" s="106">
        <f t="shared" ca="1" si="123"/>
        <v>0.95920221993393628</v>
      </c>
      <c r="R326" s="107">
        <f t="shared" ca="1" si="124"/>
        <v>3.4155769225288739</v>
      </c>
      <c r="S326" s="108">
        <f t="shared" ca="1" si="125"/>
        <v>-100.61118653766458</v>
      </c>
      <c r="T326" s="116">
        <f t="shared" ca="1" si="126"/>
        <v>79.38881346233542</v>
      </c>
      <c r="V326" s="72">
        <f t="shared" ca="1" si="127"/>
        <v>1000000000</v>
      </c>
      <c r="W326" s="72">
        <f t="shared" si="128"/>
        <v>549527364</v>
      </c>
      <c r="Y326" s="110">
        <f t="shared" si="129"/>
        <v>19.461296212525212</v>
      </c>
      <c r="Z326" s="111">
        <f t="shared" si="130"/>
        <v>-44.337452825957214</v>
      </c>
      <c r="AA326" s="72">
        <f t="shared" si="131"/>
        <v>135.6625471740428</v>
      </c>
      <c r="AB326" s="110">
        <f t="shared" ca="1" si="132"/>
        <v>-0.1281189431148371</v>
      </c>
      <c r="AC326" s="111">
        <f t="shared" ca="1" si="133"/>
        <v>-56.273733711707365</v>
      </c>
      <c r="AD326" s="72">
        <f t="shared" ca="1" si="134"/>
        <v>123.72626628829263</v>
      </c>
    </row>
    <row r="327" spans="1:30">
      <c r="A327" s="118">
        <v>23578.5</v>
      </c>
      <c r="B327" s="101">
        <f t="shared" ca="1" si="108"/>
        <v>385.89171567314867</v>
      </c>
      <c r="C327" s="102">
        <f t="shared" ca="1" si="109"/>
        <v>1.5682049233555013</v>
      </c>
      <c r="D327" s="102">
        <f t="shared" si="110"/>
        <v>39.34602627664291</v>
      </c>
      <c r="E327" s="103">
        <f t="shared" si="111"/>
        <v>1.5453780626366747</v>
      </c>
      <c r="F327" s="101">
        <f t="shared" si="112"/>
        <v>3199.9987835247434</v>
      </c>
      <c r="G327" s="104">
        <f t="shared" si="113"/>
        <v>1.5704838266710139</v>
      </c>
      <c r="H327" s="113">
        <f t="shared" si="114"/>
        <v>385.20113278355848</v>
      </c>
      <c r="I327" s="114">
        <f t="shared" si="115"/>
        <v>1.5682002775153425</v>
      </c>
      <c r="J327" s="101">
        <f t="shared" si="116"/>
        <v>39.246058704489798</v>
      </c>
      <c r="K327" s="104">
        <f t="shared" si="117"/>
        <v>1.5453133032261059</v>
      </c>
      <c r="L327" s="102">
        <f t="shared" si="118"/>
        <v>1.9818927121733509</v>
      </c>
      <c r="M327" s="103">
        <f t="shared" si="119"/>
        <v>1.0419145891666637</v>
      </c>
      <c r="N327" s="101">
        <f t="shared" si="120"/>
        <v>1.0367999842292079</v>
      </c>
      <c r="O327" s="104">
        <f t="shared" si="121"/>
        <v>0.26722945669098147</v>
      </c>
      <c r="P327" s="105">
        <f t="shared" ca="1" si="122"/>
        <v>1.6519903208940898</v>
      </c>
      <c r="Q327" s="106">
        <f t="shared" ca="1" si="123"/>
        <v>0.96224757948437833</v>
      </c>
      <c r="R327" s="107">
        <f t="shared" ca="1" si="124"/>
        <v>3.3672451465685804</v>
      </c>
      <c r="S327" s="108">
        <f t="shared" ca="1" si="125"/>
        <v>-100.72518753176799</v>
      </c>
      <c r="T327" s="116">
        <f t="shared" ca="1" si="126"/>
        <v>79.274812468232014</v>
      </c>
      <c r="V327" s="72">
        <f t="shared" ca="1" si="127"/>
        <v>1000000000</v>
      </c>
      <c r="W327" s="72">
        <f t="shared" si="128"/>
        <v>555945662.25</v>
      </c>
      <c r="Y327" s="110">
        <f t="shared" si="129"/>
        <v>19.444936693262697</v>
      </c>
      <c r="Z327" s="111">
        <f t="shared" si="130"/>
        <v>-44.284579537419361</v>
      </c>
      <c r="AA327" s="72">
        <f t="shared" si="131"/>
        <v>135.71542046258065</v>
      </c>
      <c r="AB327" s="110">
        <f t="shared" ca="1" si="132"/>
        <v>-0.16009119981261172</v>
      </c>
      <c r="AC327" s="111">
        <f t="shared" ca="1" si="133"/>
        <v>-56.440607994348611</v>
      </c>
      <c r="AD327" s="72">
        <f t="shared" ca="1" si="134"/>
        <v>123.55939200565139</v>
      </c>
    </row>
    <row r="328" spans="1:30">
      <c r="A328" s="118">
        <v>23715</v>
      </c>
      <c r="B328" s="101">
        <f t="shared" ca="1" si="108"/>
        <v>388.12569436056316</v>
      </c>
      <c r="C328" s="102">
        <f t="shared" ca="1" si="109"/>
        <v>1.5682198390206721</v>
      </c>
      <c r="D328" s="102">
        <f t="shared" si="110"/>
        <v>39.573660491925693</v>
      </c>
      <c r="E328" s="103">
        <f t="shared" si="111"/>
        <v>1.545524303905002</v>
      </c>
      <c r="F328" s="101">
        <f t="shared" si="112"/>
        <v>3218.5241261639117</v>
      </c>
      <c r="G328" s="104">
        <f t="shared" si="113"/>
        <v>1.5704856253749631</v>
      </c>
      <c r="H328" s="113">
        <f t="shared" si="114"/>
        <v>387.43111354079247</v>
      </c>
      <c r="I328" s="114">
        <f t="shared" si="115"/>
        <v>1.5682152199209189</v>
      </c>
      <c r="J328" s="101">
        <f t="shared" si="116"/>
        <v>39.473113816563583</v>
      </c>
      <c r="K328" s="104">
        <f t="shared" si="117"/>
        <v>1.5454599167613134</v>
      </c>
      <c r="L328" s="102">
        <f t="shared" si="118"/>
        <v>1.9904514739799295</v>
      </c>
      <c r="M328" s="103">
        <f t="shared" si="119"/>
        <v>1.0444256846390447</v>
      </c>
      <c r="N328" s="101">
        <f t="shared" si="120"/>
        <v>1.0372196319964655</v>
      </c>
      <c r="O328" s="104">
        <f t="shared" si="121"/>
        <v>0.26870329191967718</v>
      </c>
      <c r="P328" s="105">
        <f t="shared" ca="1" si="122"/>
        <v>1.6580669670822823</v>
      </c>
      <c r="Q328" s="106">
        <f t="shared" ca="1" si="123"/>
        <v>0.9652724851473915</v>
      </c>
      <c r="R328" s="107">
        <f t="shared" ca="1" si="124"/>
        <v>3.3191289640004156</v>
      </c>
      <c r="S328" s="108">
        <f t="shared" ca="1" si="125"/>
        <v>-100.83919408094785</v>
      </c>
      <c r="T328" s="116">
        <f t="shared" ca="1" si="126"/>
        <v>79.160805919052152</v>
      </c>
      <c r="V328" s="72">
        <f t="shared" ca="1" si="127"/>
        <v>1000000000</v>
      </c>
      <c r="W328" s="72">
        <f t="shared" si="128"/>
        <v>562401225</v>
      </c>
      <c r="Y328" s="110">
        <f t="shared" si="129"/>
        <v>19.428743751118652</v>
      </c>
      <c r="Z328" s="111">
        <f t="shared" si="130"/>
        <v>-44.232796161296775</v>
      </c>
      <c r="AA328" s="72">
        <f t="shared" si="131"/>
        <v>135.76720383870321</v>
      </c>
      <c r="AB328" s="110">
        <f t="shared" ca="1" si="132"/>
        <v>-0.19201444023673217</v>
      </c>
      <c r="AC328" s="111">
        <f t="shared" ca="1" si="133"/>
        <v>-56.606397919651073</v>
      </c>
      <c r="AD328" s="72">
        <f t="shared" ca="1" si="134"/>
        <v>123.39360208034893</v>
      </c>
    </row>
    <row r="329" spans="1:30">
      <c r="A329" s="118">
        <v>23851.5</v>
      </c>
      <c r="B329" s="101">
        <f t="shared" ca="1" si="108"/>
        <v>390.35967313333833</v>
      </c>
      <c r="C329" s="102">
        <f t="shared" ca="1" si="109"/>
        <v>1.5682345839649356</v>
      </c>
      <c r="D329" s="102">
        <f t="shared" si="110"/>
        <v>39.801295543869976</v>
      </c>
      <c r="E329" s="103">
        <f t="shared" si="111"/>
        <v>1.545668872384677</v>
      </c>
      <c r="F329" s="101">
        <f t="shared" si="112"/>
        <v>3237.0494688133731</v>
      </c>
      <c r="G329" s="104">
        <f t="shared" si="113"/>
        <v>1.570487403491271</v>
      </c>
      <c r="H329" s="113">
        <f t="shared" si="114"/>
        <v>389.66109438354033</v>
      </c>
      <c r="I329" s="114">
        <f t="shared" si="115"/>
        <v>1.5682299912995283</v>
      </c>
      <c r="J329" s="101">
        <f t="shared" si="116"/>
        <v>39.700169767427305</v>
      </c>
      <c r="K329" s="104">
        <f t="shared" si="117"/>
        <v>1.5456048532551085</v>
      </c>
      <c r="L329" s="102">
        <f t="shared" si="118"/>
        <v>1.9990226792588572</v>
      </c>
      <c r="M329" s="103">
        <f t="shared" si="119"/>
        <v>1.0469152620603854</v>
      </c>
      <c r="N329" s="101">
        <f t="shared" si="120"/>
        <v>1.0376415309769054</v>
      </c>
      <c r="O329" s="104">
        <f t="shared" si="121"/>
        <v>0.27017593183948901</v>
      </c>
      <c r="P329" s="105">
        <f t="shared" ca="1" si="122"/>
        <v>1.6641565619402483</v>
      </c>
      <c r="Q329" s="106">
        <f t="shared" ca="1" si="123"/>
        <v>0.96827711752173196</v>
      </c>
      <c r="R329" s="107">
        <f t="shared" ca="1" si="124"/>
        <v>3.2712256742902683</v>
      </c>
      <c r="S329" s="108">
        <f t="shared" ca="1" si="125"/>
        <v>-100.9532020578894</v>
      </c>
      <c r="T329" s="116">
        <f t="shared" ca="1" si="126"/>
        <v>79.046797942110601</v>
      </c>
      <c r="V329" s="72">
        <f t="shared" ca="1" si="127"/>
        <v>1000000000</v>
      </c>
      <c r="W329" s="72">
        <f t="shared" si="128"/>
        <v>568894052.25</v>
      </c>
      <c r="Y329" s="110">
        <f t="shared" si="129"/>
        <v>19.412714075896371</v>
      </c>
      <c r="Z329" s="111">
        <f t="shared" si="130"/>
        <v>-44.182089724672601</v>
      </c>
      <c r="AA329" s="72">
        <f t="shared" si="131"/>
        <v>135.81791027532739</v>
      </c>
      <c r="AB329" s="110">
        <f t="shared" ca="1" si="132"/>
        <v>-0.22388805472460141</v>
      </c>
      <c r="AC329" s="111">
        <f t="shared" ca="1" si="133"/>
        <v>-56.771112333216827</v>
      </c>
      <c r="AD329" s="72">
        <f t="shared" ca="1" si="134"/>
        <v>123.22888766678318</v>
      </c>
    </row>
    <row r="330" spans="1:30">
      <c r="A330" s="118">
        <v>23988</v>
      </c>
      <c r="B330" s="101">
        <f t="shared" ca="1" si="108"/>
        <v>392.59365199001707</v>
      </c>
      <c r="C330" s="102">
        <f t="shared" ca="1" si="109"/>
        <v>1.5682491611026494</v>
      </c>
      <c r="D330" s="102">
        <f t="shared" si="110"/>
        <v>40.028931418202077</v>
      </c>
      <c r="E330" s="103">
        <f t="shared" si="111"/>
        <v>1.5458117966079661</v>
      </c>
      <c r="F330" s="101">
        <f t="shared" si="112"/>
        <v>3255.5748114729527</v>
      </c>
      <c r="G330" s="104">
        <f t="shared" si="113"/>
        <v>1.5704891613713896</v>
      </c>
      <c r="H330" s="113">
        <f t="shared" si="114"/>
        <v>391.8910753103421</v>
      </c>
      <c r="I330" s="114">
        <f t="shared" si="115"/>
        <v>1.568244594570753</v>
      </c>
      <c r="J330" s="101">
        <f t="shared" si="116"/>
        <v>39.927226542771002</v>
      </c>
      <c r="K330" s="104">
        <f t="shared" si="117"/>
        <v>1.5457481413121732</v>
      </c>
      <c r="L330" s="102">
        <f t="shared" si="118"/>
        <v>2.0076061686329312</v>
      </c>
      <c r="M330" s="103">
        <f t="shared" si="119"/>
        <v>1.0493835663713658</v>
      </c>
      <c r="N330" s="101">
        <f t="shared" si="120"/>
        <v>1.0380656784256594</v>
      </c>
      <c r="O330" s="104">
        <f t="shared" si="121"/>
        <v>0.27164737152441087</v>
      </c>
      <c r="P330" s="105">
        <f t="shared" ca="1" si="122"/>
        <v>1.6702589681851507</v>
      </c>
      <c r="Q330" s="106">
        <f t="shared" ca="1" si="123"/>
        <v>0.97126165581738244</v>
      </c>
      <c r="R330" s="107">
        <f t="shared" ca="1" si="124"/>
        <v>3.2235326308278704</v>
      </c>
      <c r="S330" s="108">
        <f t="shared" ca="1" si="125"/>
        <v>-101.06720743824813</v>
      </c>
      <c r="T330" s="116">
        <f t="shared" ca="1" si="126"/>
        <v>78.932792561751867</v>
      </c>
      <c r="V330" s="72">
        <f t="shared" ca="1" si="127"/>
        <v>1000000000</v>
      </c>
      <c r="W330" s="72">
        <f t="shared" si="128"/>
        <v>575424144</v>
      </c>
      <c r="Y330" s="110">
        <f t="shared" si="129"/>
        <v>19.39684443067225</v>
      </c>
      <c r="Z330" s="111">
        <f t="shared" si="130"/>
        <v>-44.132447403024642</v>
      </c>
      <c r="AA330" s="72">
        <f t="shared" si="131"/>
        <v>135.86755259697537</v>
      </c>
      <c r="AB330" s="110">
        <f t="shared" ca="1" si="132"/>
        <v>-0.25571145296287529</v>
      </c>
      <c r="AC330" s="111">
        <f t="shared" ca="1" si="133"/>
        <v>-56.934760035223483</v>
      </c>
      <c r="AD330" s="72">
        <f t="shared" ca="1" si="134"/>
        <v>123.06523996477651</v>
      </c>
    </row>
    <row r="331" spans="1:30">
      <c r="A331" s="118">
        <v>24127.75</v>
      </c>
      <c r="B331" s="101">
        <f t="shared" ca="1" si="108"/>
        <v>394.88082090491082</v>
      </c>
      <c r="C331" s="102">
        <f t="shared" ca="1" si="109"/>
        <v>1.5682639144418193</v>
      </c>
      <c r="D331" s="102">
        <f t="shared" si="110"/>
        <v>40.261988031730063</v>
      </c>
      <c r="E331" s="103">
        <f t="shared" si="111"/>
        <v>1.5459564494594953</v>
      </c>
      <c r="F331" s="101">
        <f t="shared" si="112"/>
        <v>3274.541233729969</v>
      </c>
      <c r="G331" s="104">
        <f t="shared" si="113"/>
        <v>1.5704909404997898</v>
      </c>
      <c r="H331" s="113">
        <f t="shared" si="114"/>
        <v>394.17415110670538</v>
      </c>
      <c r="I331" s="114">
        <f t="shared" si="115"/>
        <v>1.5682593743593269</v>
      </c>
      <c r="J331" s="101">
        <f t="shared" si="116"/>
        <v>40.159690271369897</v>
      </c>
      <c r="K331" s="104">
        <f t="shared" si="117"/>
        <v>1.545893162403261</v>
      </c>
      <c r="L331" s="102">
        <f t="shared" si="118"/>
        <v>2.0164065892842888</v>
      </c>
      <c r="M331" s="103">
        <f t="shared" si="119"/>
        <v>1.0518888534215503</v>
      </c>
      <c r="N331" s="101">
        <f t="shared" si="120"/>
        <v>1.0385022511543791</v>
      </c>
      <c r="O331" s="104">
        <f t="shared" si="121"/>
        <v>0.27315259693335647</v>
      </c>
      <c r="P331" s="105">
        <f t="shared" ca="1" si="122"/>
        <v>1.6765198008462079</v>
      </c>
      <c r="Q331" s="106">
        <f t="shared" ca="1" si="123"/>
        <v>0.97429662279981499</v>
      </c>
      <c r="R331" s="107">
        <f t="shared" ca="1" si="124"/>
        <v>3.1749191448395546</v>
      </c>
      <c r="S331" s="108">
        <f t="shared" ca="1" si="125"/>
        <v>-101.18392044582237</v>
      </c>
      <c r="T331" s="116">
        <f t="shared" ca="1" si="126"/>
        <v>78.816079554177634</v>
      </c>
      <c r="V331" s="72">
        <f t="shared" ca="1" si="127"/>
        <v>1000000000</v>
      </c>
      <c r="W331" s="72">
        <f t="shared" si="128"/>
        <v>582148320.0625</v>
      </c>
      <c r="Y331" s="110">
        <f t="shared" si="129"/>
        <v>19.380759422438921</v>
      </c>
      <c r="Z331" s="111">
        <f t="shared" si="130"/>
        <v>-44.082712305172784</v>
      </c>
      <c r="AA331" s="72">
        <f t="shared" si="131"/>
        <v>135.91728769482722</v>
      </c>
      <c r="AB331" s="110">
        <f t="shared" ca="1" si="132"/>
        <v>-0.28823993071786358</v>
      </c>
      <c r="AC331" s="111">
        <f t="shared" ca="1" si="133"/>
        <v>-57.101208140649611</v>
      </c>
      <c r="AD331" s="72">
        <f t="shared" ca="1" si="134"/>
        <v>122.89879185935038</v>
      </c>
    </row>
    <row r="332" spans="1:30">
      <c r="A332" s="118">
        <v>24267.5</v>
      </c>
      <c r="B332" s="101">
        <f t="shared" ca="1" si="108"/>
        <v>397.1679899047648</v>
      </c>
      <c r="C332" s="102">
        <f t="shared" ca="1" si="109"/>
        <v>1.5682784978610551</v>
      </c>
      <c r="D332" s="102">
        <f t="shared" si="110"/>
        <v>40.495045478020863</v>
      </c>
      <c r="E332" s="103">
        <f t="shared" si="111"/>
        <v>1.5460994372992296</v>
      </c>
      <c r="F332" s="101">
        <f t="shared" si="112"/>
        <v>3293.5076559972304</v>
      </c>
      <c r="G332" s="104">
        <f t="shared" si="113"/>
        <v>1.5704926991371488</v>
      </c>
      <c r="H332" s="113">
        <f t="shared" si="114"/>
        <v>396.45722698818128</v>
      </c>
      <c r="I332" s="114">
        <f t="shared" si="115"/>
        <v>1.5682739839233426</v>
      </c>
      <c r="J332" s="101">
        <f t="shared" si="116"/>
        <v>40.392154834850253</v>
      </c>
      <c r="K332" s="104">
        <f t="shared" si="117"/>
        <v>1.5460365142491963</v>
      </c>
      <c r="L332" s="102">
        <f t="shared" si="118"/>
        <v>2.0252195558009993</v>
      </c>
      <c r="M332" s="103">
        <f t="shared" si="119"/>
        <v>1.0543723518800856</v>
      </c>
      <c r="N332" s="101">
        <f t="shared" si="120"/>
        <v>1.0389411748407555</v>
      </c>
      <c r="O332" s="104">
        <f t="shared" si="121"/>
        <v>0.27465655391587396</v>
      </c>
      <c r="P332" s="105">
        <f t="shared" ca="1" si="122"/>
        <v>1.6827937765270273</v>
      </c>
      <c r="Q332" s="106">
        <f t="shared" ca="1" si="123"/>
        <v>0.9773109031363868</v>
      </c>
      <c r="R332" s="107">
        <f t="shared" ca="1" si="124"/>
        <v>3.1265205887396124</v>
      </c>
      <c r="S332" s="108">
        <f t="shared" ca="1" si="125"/>
        <v>-101.30062251560862</v>
      </c>
      <c r="T332" s="116">
        <f t="shared" ca="1" si="126"/>
        <v>78.699377484391377</v>
      </c>
      <c r="V332" s="72">
        <f t="shared" ca="1" si="127"/>
        <v>1000000000</v>
      </c>
      <c r="W332" s="72">
        <f t="shared" si="128"/>
        <v>588911556.25</v>
      </c>
      <c r="Y332" s="110">
        <f t="shared" si="129"/>
        <v>19.36483551627208</v>
      </c>
      <c r="Z332" s="111">
        <f t="shared" si="130"/>
        <v>-44.03406586458059</v>
      </c>
      <c r="AA332" s="72">
        <f t="shared" si="131"/>
        <v>135.96593413541942</v>
      </c>
      <c r="AB332" s="110">
        <f t="shared" ca="1" si="132"/>
        <v>-0.32071458065096559</v>
      </c>
      <c r="AC332" s="111">
        <f t="shared" ca="1" si="133"/>
        <v>-57.266556651028012</v>
      </c>
      <c r="AD332" s="72">
        <f t="shared" ca="1" si="134"/>
        <v>122.73344334897199</v>
      </c>
    </row>
    <row r="333" spans="1:30">
      <c r="A333" s="118">
        <v>24407.25</v>
      </c>
      <c r="B333" s="101">
        <f t="shared" ca="1" si="108"/>
        <v>399.45515898811965</v>
      </c>
      <c r="C333" s="102">
        <f t="shared" ca="1" si="109"/>
        <v>1.5682929142790931</v>
      </c>
      <c r="D333" s="102">
        <f t="shared" si="110"/>
        <v>40.728103742778579</v>
      </c>
      <c r="E333" s="103">
        <f t="shared" si="111"/>
        <v>1.5462407887043423</v>
      </c>
      <c r="F333" s="101">
        <f t="shared" si="112"/>
        <v>3312.4740782745612</v>
      </c>
      <c r="G333" s="104">
        <f t="shared" si="113"/>
        <v>1.5704944376354468</v>
      </c>
      <c r="H333" s="113">
        <f t="shared" si="114"/>
        <v>398.74030295330772</v>
      </c>
      <c r="I333" s="114">
        <f t="shared" si="115"/>
        <v>1.5682884261867687</v>
      </c>
      <c r="J333" s="101">
        <f t="shared" si="116"/>
        <v>40.624620218879848</v>
      </c>
      <c r="K333" s="104">
        <f t="shared" si="117"/>
        <v>1.5461782254996923</v>
      </c>
      <c r="L333" s="102">
        <f t="shared" si="118"/>
        <v>2.0340449051095426</v>
      </c>
      <c r="M333" s="103">
        <f t="shared" si="119"/>
        <v>1.0568343145215187</v>
      </c>
      <c r="N333" s="101">
        <f t="shared" si="120"/>
        <v>1.0393824465064114</v>
      </c>
      <c r="O333" s="104">
        <f t="shared" si="121"/>
        <v>0.27615923727967012</v>
      </c>
      <c r="P333" s="105">
        <f t="shared" ca="1" si="122"/>
        <v>1.6890807534630643</v>
      </c>
      <c r="Q333" s="106">
        <f t="shared" ca="1" si="123"/>
        <v>0.98030468459468822</v>
      </c>
      <c r="R333" s="107">
        <f t="shared" ca="1" si="124"/>
        <v>3.0783342888030192</v>
      </c>
      <c r="S333" s="108">
        <f t="shared" ca="1" si="125"/>
        <v>-101.41730964950942</v>
      </c>
      <c r="T333" s="116">
        <f t="shared" ca="1" si="126"/>
        <v>78.58269035049058</v>
      </c>
      <c r="V333" s="72">
        <f t="shared" ca="1" si="127"/>
        <v>1000000000</v>
      </c>
      <c r="W333" s="72">
        <f t="shared" si="128"/>
        <v>595713852.5625</v>
      </c>
      <c r="Y333" s="110">
        <f t="shared" si="129"/>
        <v>19.349069465347284</v>
      </c>
      <c r="Z333" s="111">
        <f t="shared" si="130"/>
        <v>-43.986494794980473</v>
      </c>
      <c r="AA333" s="72">
        <f t="shared" si="131"/>
        <v>136.01350520501953</v>
      </c>
      <c r="AB333" s="110">
        <f t="shared" ca="1" si="132"/>
        <v>-0.35313482966276</v>
      </c>
      <c r="AC333" s="111">
        <f t="shared" ca="1" si="133"/>
        <v>-57.430814854528954</v>
      </c>
      <c r="AD333" s="72">
        <f t="shared" ca="1" si="134"/>
        <v>122.56918514547104</v>
      </c>
    </row>
    <row r="334" spans="1:30">
      <c r="A334" s="118">
        <v>24547</v>
      </c>
      <c r="B334" s="101">
        <f t="shared" ref="B334:B397" ca="1" si="135">SQRT(1+(A334/Pole1)^2)</f>
        <v>401.74232815354912</v>
      </c>
      <c r="C334" s="102">
        <f t="shared" ref="C334:C397" ca="1" si="136">ATAN(A334/Pole1)</f>
        <v>1.5683071665482031</v>
      </c>
      <c r="D334" s="102">
        <f t="shared" ref="D334:D397" si="137">SQRT(1+(A334/Zero1)^2)</f>
        <v>40.961162812032626</v>
      </c>
      <c r="E334" s="103">
        <f t="shared" ref="E334:E397" si="138">ATAN(A334/Zero1)</f>
        <v>1.5463805316018833</v>
      </c>
      <c r="F334" s="101">
        <f t="shared" ref="F334:F397" si="139">SQRT(1+(A334/Pole2)^2)</f>
        <v>3331.4405005617896</v>
      </c>
      <c r="G334" s="104">
        <f t="shared" ref="G334:G397" si="140">ATAN(A334/Pole2)</f>
        <v>1.5704961563386486</v>
      </c>
      <c r="H334" s="113">
        <f t="shared" ref="H334:H397" si="141">SQRT(1+(A334/Zero2)^2)</f>
        <v>401.02337900065595</v>
      </c>
      <c r="I334" s="114">
        <f t="shared" ref="I334:I397" si="142">ATAN(A334/Zero2)</f>
        <v>1.5683027040069888</v>
      </c>
      <c r="J334" s="101">
        <f t="shared" ref="J334:J397" si="143">SQRT(1+(A334/pole4)^2)</f>
        <v>40.857086409452585</v>
      </c>
      <c r="K334" s="104">
        <f t="shared" ref="K334:K397" si="144">ATAN(A334/pole4)</f>
        <v>1.5463183241526917</v>
      </c>
      <c r="L334" s="102">
        <f t="shared" ref="L334:L397" si="145">SQRT(1+(A334/Zerofeed)^2)</f>
        <v>2.04288247672718</v>
      </c>
      <c r="M334" s="103">
        <f t="shared" ref="M334:M397" si="146">ATAN(A334/Zerofeed)</f>
        <v>1.0592749907998462</v>
      </c>
      <c r="N334" s="101">
        <f t="shared" ref="N334:N397" si="147">SQRT(1+(A334/Polefeed)^2)</f>
        <v>1.0398260631621068</v>
      </c>
      <c r="O334" s="104">
        <f t="shared" ref="O334:O397" si="148">ATAN(A334/Polefeed)</f>
        <v>0.27766064186424916</v>
      </c>
      <c r="P334" s="105">
        <f t="shared" ref="P334:P397" ca="1" si="149">SQRT((1-(W334/pterm2))^2+(A334/pterm1)^2)</f>
        <v>1.6953805917183009</v>
      </c>
      <c r="Q334" s="106">
        <f t="shared" ref="Q334:Q397" ca="1" si="150">IF((ATAN((A334/pterm1)/(1-A334^2/pterm2))&gt;0),ATAN((A334/pterm1)/(1-A334^2/pterm2)),PI()+ATAN((A334/pterm1)/(1-A334^2/pterm2)))</f>
        <v>0.98327815340152525</v>
      </c>
      <c r="R334" s="107">
        <f t="shared" ref="R334:R397" ca="1" si="151">20*LOG10(((D334*H334*L334)/(B334*F334*P334*J334*N334))*Adc)</f>
        <v>3.0303576244924253</v>
      </c>
      <c r="S334" s="108">
        <f t="shared" ref="S334:S397" ca="1" si="152">((E334+I334+M334)-(C334+G334+Q334+K334+O334))*radconv</f>
        <v>-101.53397795267566</v>
      </c>
      <c r="T334" s="116">
        <f t="shared" ref="T334:T397" ca="1" si="153">IF(S334&gt;0,S334,S334+180)</f>
        <v>78.466022047324344</v>
      </c>
      <c r="V334" s="72">
        <f t="shared" ref="V334:V397" ca="1" si="154">IF(R334&lt;0,A334,1000000000)</f>
        <v>1000000000</v>
      </c>
      <c r="W334" s="72">
        <f t="shared" ref="W334:W397" si="155">A334^2</f>
        <v>602555209</v>
      </c>
      <c r="Y334" s="110">
        <f t="shared" ref="Y334:Y397" si="156">20*LOG10(((H334*L334)/(F334*J334*N334))*Aea)</f>
        <v>19.333458095524428</v>
      </c>
      <c r="Z334" s="111">
        <f t="shared" ref="Z334:Z397" si="157">(I334+M334-(G334+K334+O334))*radconv</f>
        <v>-43.939985968192232</v>
      </c>
      <c r="AA334" s="72">
        <f t="shared" ref="AA334:AA397" si="158">IF(Z334&gt;0,Z334,Z334+180)</f>
        <v>136.06001403180778</v>
      </c>
      <c r="AB334" s="110">
        <f t="shared" ref="AB334:AB397" ca="1" si="159">20*LOG10((D334/(B334*P334))*Acs*Am)</f>
        <v>-0.38550012415049861</v>
      </c>
      <c r="AC334" s="111">
        <f t="shared" ref="AC334:AC397" ca="1" si="160">(E334-(C334+Q334))*radconv</f>
        <v>-57.593991984483438</v>
      </c>
      <c r="AD334" s="72">
        <f t="shared" ref="AD334:AD397" ca="1" si="161">IF(AC334&gt;0,AC334,AC334+180)</f>
        <v>122.40600801551656</v>
      </c>
    </row>
    <row r="335" spans="1:30">
      <c r="A335" s="118">
        <v>24690</v>
      </c>
      <c r="B335" s="101">
        <f t="shared" ca="1" si="135"/>
        <v>404.08268738307618</v>
      </c>
      <c r="C335" s="102">
        <f t="shared" ca="1" si="136"/>
        <v>1.5683215832536603</v>
      </c>
      <c r="D335" s="102">
        <f t="shared" si="137"/>
        <v>41.199642678176943</v>
      </c>
      <c r="E335" s="103">
        <f t="shared" si="138"/>
        <v>1.546521887751116</v>
      </c>
      <c r="F335" s="101">
        <f t="shared" si="139"/>
        <v>3350.8480024471628</v>
      </c>
      <c r="G335" s="104">
        <f t="shared" si="140"/>
        <v>1.5704978948713617</v>
      </c>
      <c r="H335" s="113">
        <f t="shared" si="141"/>
        <v>403.35954992345893</v>
      </c>
      <c r="I335" s="114">
        <f t="shared" si="142"/>
        <v>1.5683171465583567</v>
      </c>
      <c r="J335" s="101">
        <f t="shared" si="143"/>
        <v>41.094959611121865</v>
      </c>
      <c r="K335" s="104">
        <f t="shared" si="144"/>
        <v>1.5464600401693387</v>
      </c>
      <c r="L335" s="102">
        <f t="shared" si="145"/>
        <v>2.0519380604975961</v>
      </c>
      <c r="M335" s="103">
        <f t="shared" si="146"/>
        <v>1.0617506491080204</v>
      </c>
      <c r="N335" s="101">
        <f t="shared" si="147"/>
        <v>1.0402824207807402</v>
      </c>
      <c r="O335" s="104">
        <f t="shared" si="148"/>
        <v>0.27919563375100881</v>
      </c>
      <c r="P335" s="105">
        <f t="shared" ca="1" si="149"/>
        <v>1.7018401072036364</v>
      </c>
      <c r="Q335" s="106">
        <f t="shared" ca="1" si="150"/>
        <v>0.98629993856972487</v>
      </c>
      <c r="R335" s="107">
        <f t="shared" ca="1" si="151"/>
        <v>2.9814795496170903</v>
      </c>
      <c r="S335" s="108">
        <f t="shared" ca="1" si="152"/>
        <v>-101.6533360222778</v>
      </c>
      <c r="T335" s="116">
        <f t="shared" ca="1" si="153"/>
        <v>78.346663977722201</v>
      </c>
      <c r="V335" s="72">
        <f t="shared" ca="1" si="154"/>
        <v>1000000000</v>
      </c>
      <c r="W335" s="72">
        <f t="shared" si="155"/>
        <v>609596100</v>
      </c>
      <c r="Y335" s="110">
        <f t="shared" si="156"/>
        <v>19.317640552501089</v>
      </c>
      <c r="Z335" s="111">
        <f t="shared" si="157"/>
        <v>-43.893481595253824</v>
      </c>
      <c r="AA335" s="72">
        <f t="shared" si="158"/>
        <v>136.10651840474617</v>
      </c>
      <c r="AB335" s="110">
        <f t="shared" ca="1" si="159"/>
        <v>-0.41856065600249615</v>
      </c>
      <c r="AC335" s="111">
        <f t="shared" ca="1" si="160"/>
        <v>-57.759854427023974</v>
      </c>
      <c r="AD335" s="72">
        <f t="shared" ca="1" si="161"/>
        <v>122.24014557297602</v>
      </c>
    </row>
    <row r="336" spans="1:30">
      <c r="A336" s="118">
        <v>24833</v>
      </c>
      <c r="B336" s="101">
        <f t="shared" ca="1" si="135"/>
        <v>406.42304669562117</v>
      </c>
      <c r="C336" s="102">
        <f t="shared" ca="1" si="136"/>
        <v>1.568335833923896</v>
      </c>
      <c r="D336" s="102">
        <f t="shared" si="137"/>
        <v>41.438123358078869</v>
      </c>
      <c r="E336" s="103">
        <f t="shared" si="138"/>
        <v>1.5466616168646365</v>
      </c>
      <c r="F336" s="101">
        <f t="shared" si="139"/>
        <v>3370.2555043425482</v>
      </c>
      <c r="G336" s="104">
        <f t="shared" si="140"/>
        <v>1.5704996133815117</v>
      </c>
      <c r="H336" s="113">
        <f t="shared" si="141"/>
        <v>405.6957209294286</v>
      </c>
      <c r="I336" s="114">
        <f t="shared" si="142"/>
        <v>1.5683314227768432</v>
      </c>
      <c r="J336" s="101">
        <f t="shared" si="143"/>
        <v>41.332833628619227</v>
      </c>
      <c r="K336" s="104">
        <f t="shared" si="144"/>
        <v>1.5466001250130086</v>
      </c>
      <c r="L336" s="102">
        <f t="shared" si="145"/>
        <v>2.0610061098008878</v>
      </c>
      <c r="M336" s="103">
        <f t="shared" si="146"/>
        <v>1.0642045374597455</v>
      </c>
      <c r="N336" s="101">
        <f t="shared" si="147"/>
        <v>1.0407412273599508</v>
      </c>
      <c r="O336" s="104">
        <f t="shared" si="148"/>
        <v>0.28072927585870361</v>
      </c>
      <c r="P336" s="105">
        <f t="shared" ca="1" si="149"/>
        <v>1.7083127984802995</v>
      </c>
      <c r="Q336" s="106">
        <f t="shared" ca="1" si="150"/>
        <v>0.98930084489169656</v>
      </c>
      <c r="R336" s="107">
        <f t="shared" ca="1" si="151"/>
        <v>2.9328155872551296</v>
      </c>
      <c r="S336" s="108">
        <f t="shared" ca="1" si="152"/>
        <v>-101.77266644488951</v>
      </c>
      <c r="T336" s="116">
        <f t="shared" ca="1" si="153"/>
        <v>78.227333555110491</v>
      </c>
      <c r="V336" s="72">
        <f t="shared" ca="1" si="154"/>
        <v>1000000000</v>
      </c>
      <c r="W336" s="72">
        <f t="shared" si="155"/>
        <v>616677889</v>
      </c>
      <c r="Y336" s="110">
        <f t="shared" si="156"/>
        <v>19.301978469622295</v>
      </c>
      <c r="Z336" s="111">
        <f t="shared" si="157"/>
        <v>-43.848062135934228</v>
      </c>
      <c r="AA336" s="72">
        <f t="shared" si="158"/>
        <v>136.15193786406576</v>
      </c>
      <c r="AB336" s="110">
        <f t="shared" ca="1" si="159"/>
        <v>-0.4515625354856615</v>
      </c>
      <c r="AC336" s="111">
        <f t="shared" ca="1" si="160"/>
        <v>-57.924604308955232</v>
      </c>
      <c r="AD336" s="72">
        <f t="shared" ca="1" si="161"/>
        <v>122.07539569104478</v>
      </c>
    </row>
    <row r="337" spans="1:30">
      <c r="A337" s="118">
        <v>24976</v>
      </c>
      <c r="B337" s="101">
        <f t="shared" ca="1" si="135"/>
        <v>408.76340608975801</v>
      </c>
      <c r="C337" s="102">
        <f t="shared" ca="1" si="136"/>
        <v>1.5683499214107897</v>
      </c>
      <c r="D337" s="102">
        <f t="shared" si="137"/>
        <v>41.67660483776902</v>
      </c>
      <c r="E337" s="103">
        <f t="shared" si="138"/>
        <v>1.5467997468675663</v>
      </c>
      <c r="F337" s="101">
        <f t="shared" si="139"/>
        <v>3389.6630062477725</v>
      </c>
      <c r="G337" s="104">
        <f t="shared" si="140"/>
        <v>1.5705013122130156</v>
      </c>
      <c r="H337" s="113">
        <f t="shared" si="141"/>
        <v>408.03189201713644</v>
      </c>
      <c r="I337" s="114">
        <f t="shared" si="142"/>
        <v>1.56834553551944</v>
      </c>
      <c r="J337" s="101">
        <f t="shared" si="143"/>
        <v>41.570708447939779</v>
      </c>
      <c r="K337" s="104">
        <f t="shared" si="144"/>
        <v>1.5467386066797217</v>
      </c>
      <c r="L337" s="102">
        <f t="shared" si="145"/>
        <v>2.0700864608206184</v>
      </c>
      <c r="M337" s="103">
        <f t="shared" si="146"/>
        <v>1.0666369125861952</v>
      </c>
      <c r="N337" s="101">
        <f t="shared" si="147"/>
        <v>1.0412024796623298</v>
      </c>
      <c r="O337" s="104">
        <f t="shared" si="148"/>
        <v>0.28226156276203157</v>
      </c>
      <c r="P337" s="105">
        <f t="shared" ca="1" si="149"/>
        <v>1.7147985214150019</v>
      </c>
      <c r="Q337" s="106">
        <f t="shared" ca="1" si="150"/>
        <v>0.99228106687224482</v>
      </c>
      <c r="R337" s="107">
        <f t="shared" ca="1" si="151"/>
        <v>2.8843630936202667</v>
      </c>
      <c r="S337" s="108">
        <f t="shared" ca="1" si="152"/>
        <v>-101.89196536782974</v>
      </c>
      <c r="T337" s="116">
        <f t="shared" ca="1" si="153"/>
        <v>78.108034632170259</v>
      </c>
      <c r="V337" s="72">
        <f t="shared" ca="1" si="154"/>
        <v>1000000000</v>
      </c>
      <c r="W337" s="72">
        <f t="shared" si="155"/>
        <v>623800576</v>
      </c>
      <c r="Y337" s="110">
        <f t="shared" si="156"/>
        <v>19.286468670594189</v>
      </c>
      <c r="Z337" s="111">
        <f t="shared" si="157"/>
        <v>-43.803714029839014</v>
      </c>
      <c r="AA337" s="72">
        <f t="shared" si="158"/>
        <v>136.196285970161</v>
      </c>
      <c r="AB337" s="110">
        <f t="shared" ca="1" si="159"/>
        <v>-0.48450523009241964</v>
      </c>
      <c r="AC337" s="111">
        <f t="shared" ca="1" si="160"/>
        <v>-58.088251337990712</v>
      </c>
      <c r="AD337" s="72">
        <f t="shared" ca="1" si="161"/>
        <v>121.91174866200929</v>
      </c>
    </row>
    <row r="338" spans="1:30">
      <c r="A338" s="118">
        <v>25119</v>
      </c>
      <c r="B338" s="101">
        <f t="shared" ca="1" si="135"/>
        <v>411.10376556409329</v>
      </c>
      <c r="C338" s="102">
        <f t="shared" ca="1" si="136"/>
        <v>1.568363848501279</v>
      </c>
      <c r="D338" s="102">
        <f t="shared" si="137"/>
        <v>41.915087103595894</v>
      </c>
      <c r="E338" s="103">
        <f t="shared" si="138"/>
        <v>1.5469363050497384</v>
      </c>
      <c r="F338" s="101">
        <f t="shared" si="139"/>
        <v>3409.0705081626679</v>
      </c>
      <c r="G338" s="104">
        <f t="shared" si="140"/>
        <v>1.5705029917019595</v>
      </c>
      <c r="H338" s="113">
        <f t="shared" si="141"/>
        <v>410.36806318518649</v>
      </c>
      <c r="I338" s="114">
        <f t="shared" si="142"/>
        <v>1.5683594875780813</v>
      </c>
      <c r="J338" s="101">
        <f t="shared" si="143"/>
        <v>41.80858405539734</v>
      </c>
      <c r="K338" s="104">
        <f t="shared" si="144"/>
        <v>1.5468755125285989</v>
      </c>
      <c r="L338" s="102">
        <f t="shared" si="145"/>
        <v>2.0791789523817727</v>
      </c>
      <c r="M338" s="103">
        <f t="shared" si="146"/>
        <v>1.0690480277550756</v>
      </c>
      <c r="N338" s="101">
        <f t="shared" si="147"/>
        <v>1.0416661744389613</v>
      </c>
      <c r="O338" s="104">
        <f t="shared" si="148"/>
        <v>0.28379248907072957</v>
      </c>
      <c r="P338" s="105">
        <f t="shared" ca="1" si="149"/>
        <v>1.7212971337777681</v>
      </c>
      <c r="Q338" s="106">
        <f t="shared" ca="1" si="150"/>
        <v>0.99524079732340398</v>
      </c>
      <c r="R338" s="107">
        <f t="shared" ca="1" si="151"/>
        <v>2.8361194772640932</v>
      </c>
      <c r="S338" s="108">
        <f t="shared" ca="1" si="152"/>
        <v>-102.01122904134421</v>
      </c>
      <c r="T338" s="116">
        <f t="shared" ca="1" si="153"/>
        <v>77.988770958655792</v>
      </c>
      <c r="V338" s="72">
        <f t="shared" ca="1" si="154"/>
        <v>1000000000</v>
      </c>
      <c r="W338" s="72">
        <f t="shared" si="155"/>
        <v>630964161</v>
      </c>
      <c r="Y338" s="110">
        <f t="shared" si="156"/>
        <v>19.271108050990733</v>
      </c>
      <c r="Z338" s="111">
        <f t="shared" si="157"/>
        <v>-43.760423883810503</v>
      </c>
      <c r="AA338" s="72">
        <f t="shared" si="158"/>
        <v>136.23957611618948</v>
      </c>
      <c r="AB338" s="110">
        <f t="shared" ca="1" si="159"/>
        <v>-0.51738822684513375</v>
      </c>
      <c r="AC338" s="111">
        <f t="shared" ca="1" si="160"/>
        <v>-58.250805157533698</v>
      </c>
      <c r="AD338" s="72">
        <f t="shared" ca="1" si="161"/>
        <v>121.7491948424663</v>
      </c>
    </row>
    <row r="339" spans="1:30">
      <c r="A339" s="118">
        <v>25265.25</v>
      </c>
      <c r="B339" s="101">
        <f t="shared" ca="1" si="135"/>
        <v>413.4973151080157</v>
      </c>
      <c r="C339" s="102">
        <f t="shared" ca="1" si="136"/>
        <v>1.5683779290490394</v>
      </c>
      <c r="D339" s="102">
        <f t="shared" si="137"/>
        <v>42.158990220155012</v>
      </c>
      <c r="E339" s="103">
        <f t="shared" si="138"/>
        <v>1.5470743688095723</v>
      </c>
      <c r="F339" s="101">
        <f t="shared" si="139"/>
        <v>3428.9190896763703</v>
      </c>
      <c r="G339" s="104">
        <f t="shared" si="140"/>
        <v>1.5705046896964343</v>
      </c>
      <c r="H339" s="113">
        <f t="shared" si="141"/>
        <v>412.75732923419059</v>
      </c>
      <c r="I339" s="114">
        <f t="shared" si="142"/>
        <v>1.5683735933691114</v>
      </c>
      <c r="J339" s="101">
        <f t="shared" si="143"/>
        <v>42.051866727930559</v>
      </c>
      <c r="K339" s="104">
        <f t="shared" si="144"/>
        <v>1.5470139277928512</v>
      </c>
      <c r="L339" s="102">
        <f t="shared" si="145"/>
        <v>2.0884904837811544</v>
      </c>
      <c r="M339" s="103">
        <f t="shared" si="146"/>
        <v>1.0714922111448422</v>
      </c>
      <c r="N339" s="101">
        <f t="shared" si="147"/>
        <v>1.0421429307065406</v>
      </c>
      <c r="O339" s="104">
        <f t="shared" si="148"/>
        <v>0.28535679624835419</v>
      </c>
      <c r="P339" s="105">
        <f t="shared" ca="1" si="149"/>
        <v>1.7279566277838434</v>
      </c>
      <c r="Q339" s="106">
        <f t="shared" ca="1" si="150"/>
        <v>0.99824679815187178</v>
      </c>
      <c r="R339" s="107">
        <f t="shared" ca="1" si="151"/>
        <v>2.7869928197436518</v>
      </c>
      <c r="S339" s="108">
        <f t="shared" ca="1" si="152"/>
        <v>-102.13316299002182</v>
      </c>
      <c r="T339" s="116">
        <f t="shared" ca="1" si="153"/>
        <v>77.866837009978184</v>
      </c>
      <c r="V339" s="72">
        <f t="shared" ca="1" si="154"/>
        <v>1000000000</v>
      </c>
      <c r="W339" s="72">
        <f t="shared" si="155"/>
        <v>638332857.5625</v>
      </c>
      <c r="Y339" s="110">
        <f t="shared" si="156"/>
        <v>19.25554946801487</v>
      </c>
      <c r="Z339" s="111">
        <f t="shared" si="157"/>
        <v>-43.717230386397631</v>
      </c>
      <c r="AA339" s="72">
        <f t="shared" si="158"/>
        <v>136.28276961360237</v>
      </c>
      <c r="AB339" s="110">
        <f t="shared" ca="1" si="159"/>
        <v>-0.55095630138971186</v>
      </c>
      <c r="AC339" s="111">
        <f t="shared" ca="1" si="160"/>
        <v>-58.415932603624142</v>
      </c>
      <c r="AD339" s="72">
        <f t="shared" ca="1" si="161"/>
        <v>121.58406739637586</v>
      </c>
    </row>
    <row r="340" spans="1:30">
      <c r="A340" s="118">
        <v>25411.5</v>
      </c>
      <c r="B340" s="101">
        <f t="shared" ca="1" si="135"/>
        <v>415.89086473297516</v>
      </c>
      <c r="C340" s="102">
        <f t="shared" ca="1" si="136"/>
        <v>1.5683918475230822</v>
      </c>
      <c r="D340" s="102">
        <f t="shared" si="137"/>
        <v>42.402894131087116</v>
      </c>
      <c r="E340" s="103">
        <f t="shared" si="138"/>
        <v>1.5472108442704449</v>
      </c>
      <c r="F340" s="101">
        <f t="shared" si="139"/>
        <v>3448.7676711998456</v>
      </c>
      <c r="G340" s="104">
        <f t="shared" si="140"/>
        <v>1.5705063681460831</v>
      </c>
      <c r="H340" s="113">
        <f t="shared" si="141"/>
        <v>415.14659536437699</v>
      </c>
      <c r="I340" s="114">
        <f t="shared" si="142"/>
        <v>1.5683875367958655</v>
      </c>
      <c r="J340" s="101">
        <f t="shared" si="143"/>
        <v>42.295150196858089</v>
      </c>
      <c r="K340" s="104">
        <f t="shared" si="144"/>
        <v>1.5471507507189475</v>
      </c>
      <c r="L340" s="102">
        <f t="shared" si="145"/>
        <v>2.0978143810868861</v>
      </c>
      <c r="M340" s="103">
        <f t="shared" si="146"/>
        <v>1.0739146821775905</v>
      </c>
      <c r="N340" s="101">
        <f t="shared" si="147"/>
        <v>1.0426222348213521</v>
      </c>
      <c r="O340" s="104">
        <f t="shared" si="148"/>
        <v>0.28691966899144766</v>
      </c>
      <c r="P340" s="105">
        <f t="shared" ca="1" si="149"/>
        <v>1.7346293088270761</v>
      </c>
      <c r="Q340" s="106">
        <f t="shared" ca="1" si="150"/>
        <v>1.0012317679537086</v>
      </c>
      <c r="R340" s="107">
        <f t="shared" ca="1" si="151"/>
        <v>2.7380793206812082</v>
      </c>
      <c r="S340" s="108">
        <f t="shared" ca="1" si="152"/>
        <v>-102.25505245439322</v>
      </c>
      <c r="T340" s="116">
        <f t="shared" ca="1" si="153"/>
        <v>77.744947545606777</v>
      </c>
      <c r="V340" s="72">
        <f t="shared" ca="1" si="154"/>
        <v>1000000000</v>
      </c>
      <c r="W340" s="72">
        <f t="shared" si="155"/>
        <v>645744332.25</v>
      </c>
      <c r="Y340" s="110">
        <f t="shared" si="156"/>
        <v>19.240140576574664</v>
      </c>
      <c r="Z340" s="111">
        <f t="shared" si="157"/>
        <v>-43.675115677057612</v>
      </c>
      <c r="AA340" s="72">
        <f t="shared" si="158"/>
        <v>136.32488432294238</v>
      </c>
      <c r="AB340" s="110">
        <f t="shared" ca="1" si="159"/>
        <v>-0.58446090901195302</v>
      </c>
      <c r="AC340" s="111">
        <f t="shared" ca="1" si="160"/>
        <v>-58.579936777335618</v>
      </c>
      <c r="AD340" s="72">
        <f t="shared" ca="1" si="161"/>
        <v>121.42006322266438</v>
      </c>
    </row>
    <row r="341" spans="1:30">
      <c r="A341" s="118">
        <v>25557.75</v>
      </c>
      <c r="B341" s="101">
        <f t="shared" ca="1" si="135"/>
        <v>418.28441443758061</v>
      </c>
      <c r="C341" s="102">
        <f t="shared" ca="1" si="136"/>
        <v>1.5684056067057064</v>
      </c>
      <c r="D341" s="102">
        <f t="shared" si="137"/>
        <v>42.646798822762776</v>
      </c>
      <c r="E341" s="103">
        <f t="shared" si="138"/>
        <v>1.547345758678528</v>
      </c>
      <c r="F341" s="101">
        <f t="shared" si="139"/>
        <v>3468.6162527329252</v>
      </c>
      <c r="G341" s="104">
        <f t="shared" si="140"/>
        <v>1.5705080273864322</v>
      </c>
      <c r="H341" s="113">
        <f t="shared" si="141"/>
        <v>417.53586157435223</v>
      </c>
      <c r="I341" s="114">
        <f t="shared" si="142"/>
        <v>1.5684013206456304</v>
      </c>
      <c r="J341" s="101">
        <f t="shared" si="143"/>
        <v>42.538434448515829</v>
      </c>
      <c r="K341" s="104">
        <f t="shared" si="144"/>
        <v>1.5472860086222464</v>
      </c>
      <c r="L341" s="102">
        <f t="shared" si="145"/>
        <v>2.1071504801458558</v>
      </c>
      <c r="M341" s="103">
        <f t="shared" si="146"/>
        <v>1.0763157008326645</v>
      </c>
      <c r="N341" s="101">
        <f t="shared" si="147"/>
        <v>1.0431040832712046</v>
      </c>
      <c r="O341" s="104">
        <f t="shared" si="148"/>
        <v>0.2884811016477935</v>
      </c>
      <c r="P341" s="105">
        <f t="shared" ca="1" si="149"/>
        <v>1.7413150307723939</v>
      </c>
      <c r="Q341" s="106">
        <f t="shared" ca="1" si="150"/>
        <v>1.0041959075032543</v>
      </c>
      <c r="R341" s="107">
        <f t="shared" ca="1" si="151"/>
        <v>2.6893763688412409</v>
      </c>
      <c r="S341" s="108">
        <f t="shared" ca="1" si="152"/>
        <v>-102.37689374131611</v>
      </c>
      <c r="T341" s="116">
        <f t="shared" ca="1" si="153"/>
        <v>77.62310625868389</v>
      </c>
      <c r="V341" s="72">
        <f t="shared" ca="1" si="154"/>
        <v>1000000000</v>
      </c>
      <c r="W341" s="72">
        <f t="shared" si="155"/>
        <v>653198585.0625</v>
      </c>
      <c r="Y341" s="110">
        <f t="shared" si="156"/>
        <v>19.22487827718485</v>
      </c>
      <c r="Z341" s="111">
        <f t="shared" si="157"/>
        <v>-43.63406596080236</v>
      </c>
      <c r="AA341" s="72">
        <f t="shared" si="158"/>
        <v>136.36593403919764</v>
      </c>
      <c r="AB341" s="110">
        <f t="shared" ca="1" si="159"/>
        <v>-0.61790156146210395</v>
      </c>
      <c r="AC341" s="111">
        <f t="shared" ca="1" si="160"/>
        <v>-58.742827780513757</v>
      </c>
      <c r="AD341" s="72">
        <f t="shared" ca="1" si="161"/>
        <v>121.25717221948625</v>
      </c>
    </row>
    <row r="342" spans="1:30">
      <c r="A342" s="118">
        <v>25704</v>
      </c>
      <c r="B342" s="101">
        <f t="shared" ca="1" si="135"/>
        <v>420.6779642204724</v>
      </c>
      <c r="C342" s="102">
        <f t="shared" ca="1" si="136"/>
        <v>1.5684192093158889</v>
      </c>
      <c r="D342" s="102">
        <f t="shared" si="137"/>
        <v>42.890704281862526</v>
      </c>
      <c r="E342" s="103">
        <f t="shared" si="138"/>
        <v>1.5474791386604634</v>
      </c>
      <c r="F342" s="101">
        <f t="shared" si="139"/>
        <v>3488.4648342754458</v>
      </c>
      <c r="G342" s="104">
        <f t="shared" si="140"/>
        <v>1.5705096677453714</v>
      </c>
      <c r="H342" s="113">
        <f t="shared" si="141"/>
        <v>419.92512786275421</v>
      </c>
      <c r="I342" s="114">
        <f t="shared" si="142"/>
        <v>1.5684149476422573</v>
      </c>
      <c r="J342" s="101">
        <f t="shared" si="143"/>
        <v>42.781719469550467</v>
      </c>
      <c r="K342" s="104">
        <f t="shared" si="144"/>
        <v>1.5474197281970057</v>
      </c>
      <c r="L342" s="102">
        <f t="shared" si="145"/>
        <v>2.1164986194884001</v>
      </c>
      <c r="M342" s="103">
        <f t="shared" si="146"/>
        <v>1.0786955234946896</v>
      </c>
      <c r="N342" s="101">
        <f t="shared" si="147"/>
        <v>1.0435884725317666</v>
      </c>
      <c r="O342" s="104">
        <f t="shared" si="148"/>
        <v>0.29004108860367511</v>
      </c>
      <c r="P342" s="105">
        <f t="shared" ca="1" si="149"/>
        <v>1.7480136494577894</v>
      </c>
      <c r="Q342" s="106">
        <f t="shared" ca="1" si="150"/>
        <v>1.0071394157315161</v>
      </c>
      <c r="R342" s="107">
        <f t="shared" ca="1" si="151"/>
        <v>2.6408814043812399</v>
      </c>
      <c r="S342" s="108">
        <f t="shared" ca="1" si="152"/>
        <v>-102.49868325967992</v>
      </c>
      <c r="T342" s="116">
        <f t="shared" ca="1" si="153"/>
        <v>77.501316740320078</v>
      </c>
      <c r="V342" s="72">
        <f t="shared" ca="1" si="154"/>
        <v>1000000000</v>
      </c>
      <c r="W342" s="72">
        <f t="shared" si="155"/>
        <v>660695616</v>
      </c>
      <c r="Y342" s="110">
        <f t="shared" si="156"/>
        <v>19.2097595412028</v>
      </c>
      <c r="Z342" s="111">
        <f t="shared" si="157"/>
        <v>-43.594067618422422</v>
      </c>
      <c r="AA342" s="72">
        <f t="shared" si="158"/>
        <v>136.40593238157757</v>
      </c>
      <c r="AB342" s="110">
        <f t="shared" ca="1" si="159"/>
        <v>-0.65127778994005736</v>
      </c>
      <c r="AC342" s="111">
        <f t="shared" ca="1" si="160"/>
        <v>-58.904615641257458</v>
      </c>
      <c r="AD342" s="72">
        <f t="shared" ca="1" si="161"/>
        <v>121.09538435874254</v>
      </c>
    </row>
    <row r="343" spans="1:30">
      <c r="A343" s="118">
        <v>25853.75</v>
      </c>
      <c r="B343" s="101">
        <f t="shared" ca="1" si="135"/>
        <v>423.12879561636157</v>
      </c>
      <c r="C343" s="102">
        <f t="shared" ca="1" si="136"/>
        <v>1.568432977995988</v>
      </c>
      <c r="D343" s="102">
        <f t="shared" si="137"/>
        <v>43.140447576281659</v>
      </c>
      <c r="E343" s="103">
        <f t="shared" si="138"/>
        <v>1.547614147872181</v>
      </c>
      <c r="F343" s="101">
        <f t="shared" si="139"/>
        <v>3508.7884246166332</v>
      </c>
      <c r="G343" s="104">
        <f t="shared" si="140"/>
        <v>1.5705113281308216</v>
      </c>
      <c r="H343" s="113">
        <f t="shared" si="141"/>
        <v>422.37157325331719</v>
      </c>
      <c r="I343" s="114">
        <f t="shared" si="142"/>
        <v>1.5684287410065305</v>
      </c>
      <c r="J343" s="101">
        <f t="shared" si="143"/>
        <v>43.03082747980298</v>
      </c>
      <c r="K343" s="104">
        <f t="shared" si="144"/>
        <v>1.5475550811539782</v>
      </c>
      <c r="L343" s="102">
        <f t="shared" si="145"/>
        <v>2.1260827850529864</v>
      </c>
      <c r="M343" s="103">
        <f t="shared" si="146"/>
        <v>1.0811106002881206</v>
      </c>
      <c r="N343" s="101">
        <f t="shared" si="147"/>
        <v>1.0440870830672151</v>
      </c>
      <c r="O343" s="104">
        <f t="shared" si="148"/>
        <v>0.29163690474657161</v>
      </c>
      <c r="P343" s="105">
        <f t="shared" ca="1" si="149"/>
        <v>1.754885791834236</v>
      </c>
      <c r="Q343" s="106">
        <f t="shared" ca="1" si="150"/>
        <v>1.0101321948917106</v>
      </c>
      <c r="R343" s="107">
        <f t="shared" ca="1" si="151"/>
        <v>2.5914387687520151</v>
      </c>
      <c r="S343" s="108">
        <f t="shared" ca="1" si="152"/>
        <v>-102.62333011105144</v>
      </c>
      <c r="T343" s="116">
        <f t="shared" ca="1" si="153"/>
        <v>77.376669888948555</v>
      </c>
      <c r="V343" s="72">
        <f t="shared" ca="1" si="154"/>
        <v>1000000000</v>
      </c>
      <c r="W343" s="72">
        <f t="shared" si="155"/>
        <v>668416389.0625</v>
      </c>
      <c r="Y343" s="110">
        <f t="shared" si="156"/>
        <v>19.194424656633707</v>
      </c>
      <c r="Z343" s="111">
        <f t="shared" si="157"/>
        <v>-43.554187425479739</v>
      </c>
      <c r="AA343" s="72">
        <f t="shared" si="158"/>
        <v>136.44581257452026</v>
      </c>
      <c r="AB343" s="110">
        <f t="shared" ca="1" si="159"/>
        <v>-0.68538554100018878</v>
      </c>
      <c r="AC343" s="111">
        <f t="shared" ca="1" si="160"/>
        <v>-59.069142685571649</v>
      </c>
      <c r="AD343" s="72">
        <f t="shared" ca="1" si="161"/>
        <v>120.93085731442835</v>
      </c>
    </row>
    <row r="344" spans="1:30">
      <c r="A344" s="118">
        <v>26003.5</v>
      </c>
      <c r="B344" s="101">
        <f t="shared" ca="1" si="135"/>
        <v>425.57962709154219</v>
      </c>
      <c r="C344" s="102">
        <f t="shared" ca="1" si="136"/>
        <v>1.5684465880937124</v>
      </c>
      <c r="D344" s="102">
        <f t="shared" si="137"/>
        <v>43.390191647990775</v>
      </c>
      <c r="E344" s="103">
        <f t="shared" si="138"/>
        <v>1.5477476029216926</v>
      </c>
      <c r="F344" s="101">
        <f t="shared" si="139"/>
        <v>3529.1120149673825</v>
      </c>
      <c r="G344" s="104">
        <f t="shared" si="140"/>
        <v>1.5705129693924846</v>
      </c>
      <c r="H344" s="113">
        <f t="shared" si="141"/>
        <v>424.81801872331374</v>
      </c>
      <c r="I344" s="114">
        <f t="shared" si="142"/>
        <v>1.568442375504129</v>
      </c>
      <c r="J344" s="101">
        <f t="shared" si="143"/>
        <v>43.279936269323443</v>
      </c>
      <c r="K344" s="104">
        <f t="shared" si="144"/>
        <v>1.5476888759959608</v>
      </c>
      <c r="L344" s="102">
        <f t="shared" si="145"/>
        <v>2.1356792398586117</v>
      </c>
      <c r="M344" s="103">
        <f t="shared" si="146"/>
        <v>1.0835039871390142</v>
      </c>
      <c r="N344" s="101">
        <f t="shared" si="147"/>
        <v>1.044588349962996</v>
      </c>
      <c r="O344" s="104">
        <f t="shared" si="148"/>
        <v>0.29323119337683773</v>
      </c>
      <c r="P344" s="105">
        <f t="shared" ca="1" si="149"/>
        <v>1.7617711559331517</v>
      </c>
      <c r="Q344" s="106">
        <f t="shared" ca="1" si="150"/>
        <v>1.0131037596526522</v>
      </c>
      <c r="R344" s="107">
        <f t="shared" ca="1" si="151"/>
        <v>2.5422089219381676</v>
      </c>
      <c r="S344" s="108">
        <f t="shared" ca="1" si="152"/>
        <v>-102.74791538311823</v>
      </c>
      <c r="T344" s="116">
        <f t="shared" ca="1" si="153"/>
        <v>77.252084616881774</v>
      </c>
      <c r="V344" s="72">
        <f t="shared" ca="1" si="154"/>
        <v>1000000000</v>
      </c>
      <c r="W344" s="72">
        <f t="shared" si="155"/>
        <v>676182012.25</v>
      </c>
      <c r="Y344" s="110">
        <f t="shared" si="156"/>
        <v>19.179234082194061</v>
      </c>
      <c r="Z344" s="111">
        <f t="shared" si="157"/>
        <v>-43.515381187941465</v>
      </c>
      <c r="AA344" s="72">
        <f t="shared" si="158"/>
        <v>136.48461881205853</v>
      </c>
      <c r="AB344" s="110">
        <f t="shared" ca="1" si="159"/>
        <v>-0.7194248133743909</v>
      </c>
      <c r="AC344" s="111">
        <f t="shared" ca="1" si="160"/>
        <v>-59.232534195176754</v>
      </c>
      <c r="AD344" s="72">
        <f t="shared" ca="1" si="161"/>
        <v>120.76746580482325</v>
      </c>
    </row>
    <row r="345" spans="1:30">
      <c r="A345" s="118">
        <v>26153.25</v>
      </c>
      <c r="B345" s="101">
        <f t="shared" ca="1" si="135"/>
        <v>428.03045864465219</v>
      </c>
      <c r="C345" s="102">
        <f t="shared" ca="1" si="136"/>
        <v>1.5684600423331057</v>
      </c>
      <c r="D345" s="102">
        <f t="shared" si="137"/>
        <v>43.639936483644945</v>
      </c>
      <c r="E345" s="103">
        <f t="shared" si="138"/>
        <v>1.5478795304869175</v>
      </c>
      <c r="F345" s="101">
        <f t="shared" si="139"/>
        <v>3549.4356053275292</v>
      </c>
      <c r="G345" s="104">
        <f t="shared" si="140"/>
        <v>1.5705145918588612</v>
      </c>
      <c r="H345" s="113">
        <f t="shared" si="141"/>
        <v>427.26446427137944</v>
      </c>
      <c r="I345" s="114">
        <f t="shared" si="142"/>
        <v>1.5684558538639806</v>
      </c>
      <c r="J345" s="101">
        <f t="shared" si="143"/>
        <v>43.529045824733046</v>
      </c>
      <c r="K345" s="104">
        <f t="shared" si="144"/>
        <v>1.5478211394686276</v>
      </c>
      <c r="L345" s="102">
        <f t="shared" si="145"/>
        <v>2.1452878189859481</v>
      </c>
      <c r="M345" s="103">
        <f t="shared" si="146"/>
        <v>1.0858759478848081</v>
      </c>
      <c r="N345" s="101">
        <f t="shared" si="147"/>
        <v>1.0450922693968274</v>
      </c>
      <c r="O345" s="104">
        <f t="shared" si="148"/>
        <v>0.29482394859370153</v>
      </c>
      <c r="P345" s="105">
        <f t="shared" ca="1" si="149"/>
        <v>1.7686695932471863</v>
      </c>
      <c r="Q345" s="106">
        <f t="shared" ca="1" si="150"/>
        <v>1.0160543175932824</v>
      </c>
      <c r="R345" s="107">
        <f t="shared" ca="1" si="151"/>
        <v>2.4931892745764852</v>
      </c>
      <c r="S345" s="108">
        <f t="shared" ca="1" si="152"/>
        <v>-102.87243553684054</v>
      </c>
      <c r="T345" s="116">
        <f t="shared" ca="1" si="153"/>
        <v>77.127564463159459</v>
      </c>
      <c r="V345" s="72">
        <f t="shared" ca="1" si="154"/>
        <v>1000000000</v>
      </c>
      <c r="W345" s="72">
        <f t="shared" si="155"/>
        <v>683992485.5625</v>
      </c>
      <c r="Y345" s="110">
        <f t="shared" si="156"/>
        <v>19.164184785640249</v>
      </c>
      <c r="Z345" s="111">
        <f t="shared" si="157"/>
        <v>-43.477634845826451</v>
      </c>
      <c r="AA345" s="72">
        <f t="shared" si="158"/>
        <v>136.52236515417354</v>
      </c>
      <c r="AB345" s="110">
        <f t="shared" ca="1" si="159"/>
        <v>-0.75339516418225849</v>
      </c>
      <c r="AC345" s="111">
        <f t="shared" ca="1" si="160"/>
        <v>-59.394800691014041</v>
      </c>
      <c r="AD345" s="72">
        <f t="shared" ca="1" si="161"/>
        <v>120.60519930898596</v>
      </c>
    </row>
    <row r="346" spans="1:30">
      <c r="A346" s="118">
        <v>26303</v>
      </c>
      <c r="B346" s="101">
        <f t="shared" ca="1" si="135"/>
        <v>430.4812902743605</v>
      </c>
      <c r="C346" s="102">
        <f t="shared" ca="1" si="136"/>
        <v>1.5684733433761782</v>
      </c>
      <c r="D346" s="102">
        <f t="shared" si="137"/>
        <v>43.88968207020298</v>
      </c>
      <c r="E346" s="103">
        <f t="shared" si="138"/>
        <v>1.5480099566387684</v>
      </c>
      <c r="F346" s="101">
        <f t="shared" si="139"/>
        <v>3569.7591956969131</v>
      </c>
      <c r="G346" s="104">
        <f t="shared" si="140"/>
        <v>1.5705161958509706</v>
      </c>
      <c r="H346" s="113">
        <f t="shared" si="141"/>
        <v>429.71090989618079</v>
      </c>
      <c r="I346" s="114">
        <f t="shared" si="142"/>
        <v>1.5684691787528673</v>
      </c>
      <c r="J346" s="101">
        <f t="shared" si="143"/>
        <v>43.77815613295742</v>
      </c>
      <c r="K346" s="104">
        <f t="shared" si="144"/>
        <v>1.5479518977091073</v>
      </c>
      <c r="L346" s="102">
        <f t="shared" si="145"/>
        <v>2.1549083602506047</v>
      </c>
      <c r="M346" s="103">
        <f t="shared" si="146"/>
        <v>1.088226742624667</v>
      </c>
      <c r="N346" s="101">
        <f t="shared" si="147"/>
        <v>1.0455988375335905</v>
      </c>
      <c r="O346" s="104">
        <f t="shared" si="148"/>
        <v>0.2964151645388573</v>
      </c>
      <c r="P346" s="105">
        <f t="shared" ca="1" si="149"/>
        <v>1.7755809573199186</v>
      </c>
      <c r="Q346" s="106">
        <f t="shared" ca="1" si="150"/>
        <v>1.0189840742880933</v>
      </c>
      <c r="R346" s="107">
        <f t="shared" ca="1" si="151"/>
        <v>2.4443772880074204</v>
      </c>
      <c r="S346" s="108">
        <f t="shared" ca="1" si="152"/>
        <v>-102.99688713444208</v>
      </c>
      <c r="T346" s="116">
        <f t="shared" ca="1" si="153"/>
        <v>77.003112865557924</v>
      </c>
      <c r="V346" s="72">
        <f t="shared" ca="1" si="154"/>
        <v>1000000000</v>
      </c>
      <c r="W346" s="72">
        <f t="shared" si="155"/>
        <v>691847809</v>
      </c>
      <c r="Y346" s="110">
        <f t="shared" si="156"/>
        <v>19.149273804817881</v>
      </c>
      <c r="Z346" s="111">
        <f t="shared" si="157"/>
        <v>-43.440934524038994</v>
      </c>
      <c r="AA346" s="72">
        <f t="shared" si="158"/>
        <v>136.55906547596101</v>
      </c>
      <c r="AB346" s="110">
        <f t="shared" ca="1" si="159"/>
        <v>-0.78729616992895535</v>
      </c>
      <c r="AC346" s="111">
        <f t="shared" ca="1" si="160"/>
        <v>-59.555952610403061</v>
      </c>
      <c r="AD346" s="72">
        <f t="shared" ca="1" si="161"/>
        <v>120.44404738959693</v>
      </c>
    </row>
    <row r="347" spans="1:30">
      <c r="A347" s="118">
        <v>26456</v>
      </c>
      <c r="B347" s="101">
        <f t="shared" ca="1" si="135"/>
        <v>432.98531198380607</v>
      </c>
      <c r="C347" s="102">
        <f t="shared" ca="1" si="136"/>
        <v>1.5684867775761904</v>
      </c>
      <c r="D347" s="102">
        <f t="shared" si="137"/>
        <v>44.144848607051351</v>
      </c>
      <c r="E347" s="103">
        <f t="shared" si="138"/>
        <v>1.5481416892676254</v>
      </c>
      <c r="F347" s="101">
        <f t="shared" si="139"/>
        <v>3590.5238656663282</v>
      </c>
      <c r="G347" s="104">
        <f t="shared" si="140"/>
        <v>1.5705178159005699</v>
      </c>
      <c r="H347" s="113">
        <f t="shared" si="141"/>
        <v>432.21045041210454</v>
      </c>
      <c r="I347" s="114">
        <f t="shared" si="142"/>
        <v>1.5684826370374174</v>
      </c>
      <c r="J347" s="101">
        <f t="shared" si="143"/>
        <v>44.03267360606921</v>
      </c>
      <c r="K347" s="104">
        <f t="shared" si="144"/>
        <v>1.5480839657571459</v>
      </c>
      <c r="L347" s="102">
        <f t="shared" si="145"/>
        <v>2.1647498830294531</v>
      </c>
      <c r="M347" s="103">
        <f t="shared" si="146"/>
        <v>1.0906069629645216</v>
      </c>
      <c r="N347" s="101">
        <f t="shared" si="147"/>
        <v>1.046119131187049</v>
      </c>
      <c r="O347" s="104">
        <f t="shared" si="148"/>
        <v>0.29803931859220983</v>
      </c>
      <c r="P347" s="105">
        <f t="shared" ca="1" si="149"/>
        <v>1.7826555179936496</v>
      </c>
      <c r="Q347" s="106">
        <f t="shared" ca="1" si="150"/>
        <v>1.0219561434665021</v>
      </c>
      <c r="R347" s="107">
        <f t="shared" ca="1" si="151"/>
        <v>2.3947178234855553</v>
      </c>
      <c r="S347" s="108">
        <f t="shared" ca="1" si="152"/>
        <v>-103.123965407848</v>
      </c>
      <c r="T347" s="116">
        <f t="shared" ca="1" si="153"/>
        <v>76.876034592151996</v>
      </c>
      <c r="V347" s="72">
        <f t="shared" ca="1" si="154"/>
        <v>1000000000</v>
      </c>
      <c r="W347" s="72">
        <f t="shared" si="155"/>
        <v>699919936</v>
      </c>
      <c r="Y347" s="110">
        <f t="shared" si="156"/>
        <v>19.134179054438132</v>
      </c>
      <c r="Z347" s="111">
        <f t="shared" si="157"/>
        <v>-43.40450377761023</v>
      </c>
      <c r="AA347" s="72">
        <f t="shared" si="158"/>
        <v>136.59549622238978</v>
      </c>
      <c r="AB347" s="110">
        <f t="shared" ca="1" si="159"/>
        <v>-0.8218608840710715</v>
      </c>
      <c r="AC347" s="111">
        <f t="shared" ca="1" si="160"/>
        <v>-59.719461630237774</v>
      </c>
      <c r="AD347" s="72">
        <f t="shared" ca="1" si="161"/>
        <v>120.28053836976223</v>
      </c>
    </row>
    <row r="348" spans="1:30">
      <c r="A348" s="118">
        <v>26609</v>
      </c>
      <c r="B348" s="101">
        <f t="shared" ca="1" si="135"/>
        <v>435.48933377049724</v>
      </c>
      <c r="C348" s="102">
        <f t="shared" ca="1" si="136"/>
        <v>1.5685000572854888</v>
      </c>
      <c r="D348" s="102">
        <f t="shared" si="137"/>
        <v>44.400015901161545</v>
      </c>
      <c r="E348" s="103">
        <f t="shared" si="138"/>
        <v>1.5482719077614948</v>
      </c>
      <c r="F348" s="101">
        <f t="shared" si="139"/>
        <v>3611.2885356450588</v>
      </c>
      <c r="G348" s="104">
        <f t="shared" si="140"/>
        <v>1.5705194173198134</v>
      </c>
      <c r="H348" s="113">
        <f t="shared" si="141"/>
        <v>434.70999100541241</v>
      </c>
      <c r="I348" s="114">
        <f t="shared" si="142"/>
        <v>1.5684959405542893</v>
      </c>
      <c r="J348" s="101">
        <f t="shared" si="143"/>
        <v>44.287191838369978</v>
      </c>
      <c r="K348" s="104">
        <f t="shared" si="144"/>
        <v>1.5482145158188412</v>
      </c>
      <c r="L348" s="102">
        <f t="shared" si="145"/>
        <v>2.1746035590397592</v>
      </c>
      <c r="M348" s="103">
        <f t="shared" si="146"/>
        <v>1.092965625811797</v>
      </c>
      <c r="N348" s="101">
        <f t="shared" si="147"/>
        <v>1.0466421816256513</v>
      </c>
      <c r="O348" s="104">
        <f t="shared" si="148"/>
        <v>0.29966185360798325</v>
      </c>
      <c r="P348" s="105">
        <f t="shared" ca="1" si="149"/>
        <v>1.7897432699498794</v>
      </c>
      <c r="Q348" s="106">
        <f t="shared" ca="1" si="150"/>
        <v>1.0249069261879289</v>
      </c>
      <c r="R348" s="107">
        <f t="shared" ca="1" si="151"/>
        <v>2.3452699297496036</v>
      </c>
      <c r="S348" s="108">
        <f t="shared" ca="1" si="152"/>
        <v>-103.25096517419119</v>
      </c>
      <c r="T348" s="116">
        <f t="shared" ca="1" si="153"/>
        <v>76.749034825808806</v>
      </c>
      <c r="V348" s="72">
        <f t="shared" ca="1" si="154"/>
        <v>1000000000</v>
      </c>
      <c r="W348" s="72">
        <f t="shared" si="155"/>
        <v>708038881</v>
      </c>
      <c r="Y348" s="110">
        <f t="shared" si="156"/>
        <v>19.119222653246485</v>
      </c>
      <c r="Z348" s="111">
        <f t="shared" si="157"/>
        <v>-43.369136246387392</v>
      </c>
      <c r="AA348" s="72">
        <f t="shared" si="158"/>
        <v>136.6308637536126</v>
      </c>
      <c r="AB348" s="110">
        <f t="shared" ca="1" si="159"/>
        <v>-0.85635237661537789</v>
      </c>
      <c r="AC348" s="111">
        <f t="shared" ca="1" si="160"/>
        <v>-59.881828927803895</v>
      </c>
      <c r="AD348" s="72">
        <f t="shared" ca="1" si="161"/>
        <v>120.11817107219611</v>
      </c>
    </row>
    <row r="349" spans="1:30">
      <c r="A349" s="118">
        <v>26762</v>
      </c>
      <c r="B349" s="101">
        <f t="shared" ca="1" si="135"/>
        <v>437.9933556331091</v>
      </c>
      <c r="C349" s="102">
        <f t="shared" ca="1" si="136"/>
        <v>1.5685131851537537</v>
      </c>
      <c r="D349" s="102">
        <f t="shared" si="137"/>
        <v>44.655183939552181</v>
      </c>
      <c r="E349" s="103">
        <f t="shared" si="138"/>
        <v>1.5484006380720698</v>
      </c>
      <c r="F349" s="101">
        <f t="shared" si="139"/>
        <v>3632.0532056329439</v>
      </c>
      <c r="G349" s="104">
        <f t="shared" si="140"/>
        <v>1.5705210004282335</v>
      </c>
      <c r="H349" s="113">
        <f t="shared" si="141"/>
        <v>437.209531674777</v>
      </c>
      <c r="I349" s="114">
        <f t="shared" si="142"/>
        <v>1.5685090919579132</v>
      </c>
      <c r="J349" s="101">
        <f t="shared" si="143"/>
        <v>44.541710816845359</v>
      </c>
      <c r="K349" s="104">
        <f t="shared" si="144"/>
        <v>1.5483435739118083</v>
      </c>
      <c r="L349" s="102">
        <f t="shared" si="145"/>
        <v>2.1844692238196042</v>
      </c>
      <c r="M349" s="103">
        <f t="shared" si="146"/>
        <v>1.0953029968225592</v>
      </c>
      <c r="N349" s="101">
        <f t="shared" si="147"/>
        <v>1.0471679847184332</v>
      </c>
      <c r="O349" s="104">
        <f t="shared" si="148"/>
        <v>0.30128276347564575</v>
      </c>
      <c r="P349" s="105">
        <f t="shared" ca="1" si="149"/>
        <v>1.7968440634336982</v>
      </c>
      <c r="Q349" s="106">
        <f t="shared" ca="1" si="150"/>
        <v>1.0278366352704456</v>
      </c>
      <c r="R349" s="107">
        <f t="shared" ca="1" si="151"/>
        <v>2.2960310546236409</v>
      </c>
      <c r="S349" s="108">
        <f t="shared" ca="1" si="152"/>
        <v>-103.37788307778285</v>
      </c>
      <c r="T349" s="116">
        <f t="shared" ca="1" si="153"/>
        <v>76.622116922217145</v>
      </c>
      <c r="V349" s="72">
        <f t="shared" ca="1" si="154"/>
        <v>1000000000</v>
      </c>
      <c r="W349" s="72">
        <f t="shared" si="155"/>
        <v>716204644</v>
      </c>
      <c r="Y349" s="110">
        <f t="shared" si="156"/>
        <v>19.104401657011159</v>
      </c>
      <c r="Z349" s="111">
        <f t="shared" si="157"/>
        <v>-43.334817716211141</v>
      </c>
      <c r="AA349" s="72">
        <f t="shared" si="158"/>
        <v>136.66518228378885</v>
      </c>
      <c r="AB349" s="110">
        <f t="shared" ca="1" si="159"/>
        <v>-0.8907702555060103</v>
      </c>
      <c r="AC349" s="111">
        <f t="shared" ca="1" si="160"/>
        <v>-60.043065361571706</v>
      </c>
      <c r="AD349" s="72">
        <f t="shared" ca="1" si="161"/>
        <v>119.95693463842829</v>
      </c>
    </row>
    <row r="350" spans="1:30">
      <c r="A350" s="118">
        <v>26915</v>
      </c>
      <c r="B350" s="101">
        <f t="shared" ca="1" si="135"/>
        <v>440.497377570347</v>
      </c>
      <c r="C350" s="102">
        <f t="shared" ca="1" si="136"/>
        <v>1.5685261637704169</v>
      </c>
      <c r="D350" s="102">
        <f t="shared" si="137"/>
        <v>44.910352709536902</v>
      </c>
      <c r="E350" s="103">
        <f t="shared" si="138"/>
        <v>1.5485279055614416</v>
      </c>
      <c r="F350" s="101">
        <f t="shared" si="139"/>
        <v>3652.8178756298294</v>
      </c>
      <c r="G350" s="104">
        <f t="shared" si="140"/>
        <v>1.5705225655380974</v>
      </c>
      <c r="H350" s="113">
        <f t="shared" si="141"/>
        <v>439.70907241890143</v>
      </c>
      <c r="I350" s="114">
        <f t="shared" si="142"/>
        <v>1.568522093842363</v>
      </c>
      <c r="J350" s="101">
        <f t="shared" si="143"/>
        <v>44.796230528776732</v>
      </c>
      <c r="K350" s="104">
        <f t="shared" si="144"/>
        <v>1.548471165462564</v>
      </c>
      <c r="L350" s="102">
        <f t="shared" si="145"/>
        <v>2.1943467156664052</v>
      </c>
      <c r="M350" s="103">
        <f t="shared" si="146"/>
        <v>1.0976193378089689</v>
      </c>
      <c r="N350" s="101">
        <f t="shared" si="147"/>
        <v>1.0476965363210056</v>
      </c>
      <c r="O350" s="104">
        <f t="shared" si="148"/>
        <v>0.30290204213105831</v>
      </c>
      <c r="P350" s="105">
        <f t="shared" ca="1" si="149"/>
        <v>1.8039577507995028</v>
      </c>
      <c r="Q350" s="106">
        <f t="shared" ca="1" si="150"/>
        <v>1.030745481383349</v>
      </c>
      <c r="R350" s="107">
        <f t="shared" ca="1" si="151"/>
        <v>2.2469986955289141</v>
      </c>
      <c r="S350" s="108">
        <f t="shared" ca="1" si="152"/>
        <v>-103.50471586221977</v>
      </c>
      <c r="T350" s="116">
        <f t="shared" ca="1" si="153"/>
        <v>76.495284137780232</v>
      </c>
      <c r="V350" s="72">
        <f t="shared" ca="1" si="154"/>
        <v>1000000000</v>
      </c>
      <c r="W350" s="72">
        <f t="shared" si="155"/>
        <v>724417225</v>
      </c>
      <c r="Y350" s="110">
        <f t="shared" si="156"/>
        <v>19.089713190175864</v>
      </c>
      <c r="Z350" s="111">
        <f t="shared" si="157"/>
        <v>-43.301534164994223</v>
      </c>
      <c r="AA350" s="72">
        <f t="shared" si="158"/>
        <v>136.69846583500578</v>
      </c>
      <c r="AB350" s="110">
        <f t="shared" ca="1" si="159"/>
        <v>-0.92511414776543899</v>
      </c>
      <c r="AC350" s="111">
        <f t="shared" ca="1" si="160"/>
        <v>-60.20318169722556</v>
      </c>
      <c r="AD350" s="72">
        <f t="shared" ca="1" si="161"/>
        <v>119.79681830277444</v>
      </c>
    </row>
    <row r="351" spans="1:30">
      <c r="A351" s="118">
        <v>27071.75</v>
      </c>
      <c r="B351" s="101">
        <f t="shared" ca="1" si="135"/>
        <v>443.06277267035091</v>
      </c>
      <c r="C351" s="102">
        <f t="shared" ca="1" si="136"/>
        <v>1.5685393083525763</v>
      </c>
      <c r="D351" s="102">
        <f t="shared" si="137"/>
        <v>45.171776361788929</v>
      </c>
      <c r="E351" s="103">
        <f t="shared" si="138"/>
        <v>1.548656801225639</v>
      </c>
      <c r="F351" s="101">
        <f t="shared" si="139"/>
        <v>3674.0914836260076</v>
      </c>
      <c r="G351" s="104">
        <f t="shared" si="140"/>
        <v>1.5705241506618843</v>
      </c>
      <c r="H351" s="113">
        <f t="shared" si="141"/>
        <v>442.26987649276379</v>
      </c>
      <c r="I351" s="114">
        <f t="shared" si="142"/>
        <v>1.5685352619898514</v>
      </c>
      <c r="J351" s="101">
        <f t="shared" si="143"/>
        <v>45.056989216587766</v>
      </c>
      <c r="K351" s="104">
        <f t="shared" si="144"/>
        <v>1.54860038933773</v>
      </c>
      <c r="L351" s="102">
        <f t="shared" si="145"/>
        <v>2.2044784021201074</v>
      </c>
      <c r="M351" s="103">
        <f t="shared" si="146"/>
        <v>1.0999709121058727</v>
      </c>
      <c r="N351" s="101">
        <f t="shared" si="147"/>
        <v>1.0482408886561327</v>
      </c>
      <c r="O351" s="104">
        <f t="shared" si="148"/>
        <v>0.30455931102410222</v>
      </c>
      <c r="P351" s="105">
        <f t="shared" ca="1" si="149"/>
        <v>1.8112590128597172</v>
      </c>
      <c r="Q351" s="106">
        <f t="shared" ca="1" si="150"/>
        <v>1.0337042045004405</v>
      </c>
      <c r="R351" s="107">
        <f t="shared" ca="1" si="151"/>
        <v>2.1969761677328599</v>
      </c>
      <c r="S351" s="108">
        <f t="shared" ca="1" si="152"/>
        <v>-103.63456571620335</v>
      </c>
      <c r="T351" s="116">
        <f t="shared" ca="1" si="153"/>
        <v>76.365434283796645</v>
      </c>
      <c r="V351" s="72">
        <f t="shared" ca="1" si="154"/>
        <v>1000000000</v>
      </c>
      <c r="W351" s="72">
        <f t="shared" si="155"/>
        <v>732879648.0625</v>
      </c>
      <c r="Y351" s="110">
        <f t="shared" si="156"/>
        <v>19.0747992173429</v>
      </c>
      <c r="Z351" s="111">
        <f t="shared" si="157"/>
        <v>-43.268493719909408</v>
      </c>
      <c r="AA351" s="72">
        <f t="shared" si="158"/>
        <v>136.7315062800906</v>
      </c>
      <c r="AB351" s="110">
        <f t="shared" ca="1" si="159"/>
        <v>-0.96022270272853461</v>
      </c>
      <c r="AC351" s="111">
        <f t="shared" ca="1" si="160"/>
        <v>-60.366071996293961</v>
      </c>
      <c r="AD351" s="72">
        <f t="shared" ca="1" si="161"/>
        <v>119.63392800370605</v>
      </c>
    </row>
    <row r="352" spans="1:30">
      <c r="A352" s="118">
        <v>27228.5</v>
      </c>
      <c r="B352" s="101">
        <f t="shared" ca="1" si="135"/>
        <v>445.62816784602592</v>
      </c>
      <c r="C352" s="102">
        <f t="shared" ca="1" si="136"/>
        <v>1.5685523015931035</v>
      </c>
      <c r="D352" s="102">
        <f t="shared" si="137"/>
        <v>45.433200755892358</v>
      </c>
      <c r="E352" s="103">
        <f t="shared" si="138"/>
        <v>1.5487842135506602</v>
      </c>
      <c r="F352" s="101">
        <f t="shared" si="139"/>
        <v>3695.3650916313104</v>
      </c>
      <c r="G352" s="104">
        <f t="shared" si="140"/>
        <v>1.5705257175350782</v>
      </c>
      <c r="H352" s="113">
        <f t="shared" si="141"/>
        <v>444.83068064243281</v>
      </c>
      <c r="I352" s="114">
        <f t="shared" si="142"/>
        <v>1.5685482785243881</v>
      </c>
      <c r="J352" s="101">
        <f t="shared" si="143"/>
        <v>45.31774864813827</v>
      </c>
      <c r="K352" s="104">
        <f t="shared" si="144"/>
        <v>1.5487281261003469</v>
      </c>
      <c r="L352" s="102">
        <f t="shared" si="145"/>
        <v>2.2146221675422906</v>
      </c>
      <c r="M352" s="103">
        <f t="shared" si="146"/>
        <v>1.1023009570787807</v>
      </c>
      <c r="N352" s="101">
        <f t="shared" si="147"/>
        <v>1.0487881170337623</v>
      </c>
      <c r="O352" s="104">
        <f t="shared" si="148"/>
        <v>0.30621485502688112</v>
      </c>
      <c r="P352" s="105">
        <f t="shared" ca="1" si="149"/>
        <v>1.8185735015134543</v>
      </c>
      <c r="Q352" s="106">
        <f t="shared" ca="1" si="150"/>
        <v>1.0366414702169873</v>
      </c>
      <c r="R352" s="107">
        <f t="shared" ca="1" si="151"/>
        <v>2.147165239425707</v>
      </c>
      <c r="S352" s="108">
        <f t="shared" ca="1" si="152"/>
        <v>-103.76431961582993</v>
      </c>
      <c r="T352" s="116">
        <f t="shared" ca="1" si="153"/>
        <v>76.235680384170067</v>
      </c>
      <c r="V352" s="72">
        <f t="shared" ca="1" si="154"/>
        <v>1000000000</v>
      </c>
      <c r="W352" s="72">
        <f t="shared" si="155"/>
        <v>741391212.25</v>
      </c>
      <c r="Y352" s="110">
        <f t="shared" si="156"/>
        <v>19.060018452845647</v>
      </c>
      <c r="Z352" s="111">
        <f t="shared" si="157"/>
        <v>-43.236510421121835</v>
      </c>
      <c r="AA352" s="72">
        <f t="shared" si="158"/>
        <v>136.76348957887816</v>
      </c>
      <c r="AB352" s="110">
        <f t="shared" ca="1" si="159"/>
        <v>-0.99525286653843581</v>
      </c>
      <c r="AC352" s="111">
        <f t="shared" ca="1" si="160"/>
        <v>-60.527809194708134</v>
      </c>
      <c r="AD352" s="72">
        <f t="shared" ca="1" si="161"/>
        <v>119.47219080529186</v>
      </c>
    </row>
    <row r="353" spans="1:30">
      <c r="A353" s="118">
        <v>27385.25</v>
      </c>
      <c r="B353" s="101">
        <f t="shared" ca="1" si="135"/>
        <v>448.19356309607258</v>
      </c>
      <c r="C353" s="102">
        <f t="shared" ca="1" si="136"/>
        <v>1.568565146090767</v>
      </c>
      <c r="D353" s="102">
        <f t="shared" si="137"/>
        <v>45.694625879114533</v>
      </c>
      <c r="E353" s="103">
        <f t="shared" si="138"/>
        <v>1.5489101679914836</v>
      </c>
      <c r="F353" s="101">
        <f t="shared" si="139"/>
        <v>3716.6386996455831</v>
      </c>
      <c r="G353" s="104">
        <f t="shared" si="140"/>
        <v>1.5705272664710721</v>
      </c>
      <c r="H353" s="113">
        <f t="shared" si="141"/>
        <v>447.39148486660679</v>
      </c>
      <c r="I353" s="114">
        <f t="shared" si="142"/>
        <v>1.5685611460494007</v>
      </c>
      <c r="J353" s="101">
        <f t="shared" si="143"/>
        <v>45.578508810663223</v>
      </c>
      <c r="K353" s="104">
        <f t="shared" si="144"/>
        <v>1.548854401270062</v>
      </c>
      <c r="L353" s="102">
        <f t="shared" si="145"/>
        <v>2.2247778467125681</v>
      </c>
      <c r="M353" s="103">
        <f t="shared" si="146"/>
        <v>1.1046097420848455</v>
      </c>
      <c r="N353" s="101">
        <f t="shared" si="147"/>
        <v>1.0493382169543379</v>
      </c>
      <c r="O353" s="104">
        <f t="shared" si="148"/>
        <v>0.30786866776998512</v>
      </c>
      <c r="P353" s="105">
        <f t="shared" ca="1" si="149"/>
        <v>1.8259010646773053</v>
      </c>
      <c r="Q353" s="106">
        <f t="shared" ca="1" si="150"/>
        <v>1.0395574981298792</v>
      </c>
      <c r="R353" s="107">
        <f t="shared" ca="1" si="151"/>
        <v>2.0975633729484597</v>
      </c>
      <c r="S353" s="108">
        <f t="shared" ca="1" si="152"/>
        <v>-103.89397436650054</v>
      </c>
      <c r="T353" s="116">
        <f t="shared" ca="1" si="153"/>
        <v>76.106025633499456</v>
      </c>
      <c r="V353" s="72">
        <f t="shared" ca="1" si="154"/>
        <v>1000000000</v>
      </c>
      <c r="W353" s="72">
        <f t="shared" si="155"/>
        <v>749951917.5625</v>
      </c>
      <c r="Y353" s="110">
        <f t="shared" si="156"/>
        <v>19.04536801706216</v>
      </c>
      <c r="Z353" s="111">
        <f t="shared" si="157"/>
        <v>-43.205569801621856</v>
      </c>
      <c r="AA353" s="72">
        <f t="shared" si="158"/>
        <v>136.79443019837814</v>
      </c>
      <c r="AB353" s="110">
        <f t="shared" ca="1" si="159"/>
        <v>-1.030204297232195</v>
      </c>
      <c r="AC353" s="111">
        <f t="shared" ca="1" si="160"/>
        <v>-60.688404564878674</v>
      </c>
      <c r="AD353" s="72">
        <f t="shared" ca="1" si="161"/>
        <v>119.31159543512132</v>
      </c>
    </row>
    <row r="354" spans="1:30">
      <c r="A354" s="118">
        <v>27542</v>
      </c>
      <c r="B354" s="101">
        <f t="shared" ca="1" si="135"/>
        <v>450.75895841922096</v>
      </c>
      <c r="C354" s="102">
        <f t="shared" ca="1" si="136"/>
        <v>1.5685778443851741</v>
      </c>
      <c r="D354" s="102">
        <f t="shared" si="137"/>
        <v>45.956051719012471</v>
      </c>
      <c r="E354" s="103">
        <f t="shared" si="138"/>
        <v>1.5490346894240616</v>
      </c>
      <c r="F354" s="101">
        <f t="shared" si="139"/>
        <v>3737.9123076686706</v>
      </c>
      <c r="G354" s="104">
        <f t="shared" si="140"/>
        <v>1.570528797776124</v>
      </c>
      <c r="H354" s="113">
        <f t="shared" si="141"/>
        <v>449.95228916401362</v>
      </c>
      <c r="I354" s="114">
        <f t="shared" si="142"/>
        <v>1.5685738671090494</v>
      </c>
      <c r="J354" s="101">
        <f t="shared" si="143"/>
        <v>45.83926969168801</v>
      </c>
      <c r="K354" s="104">
        <f t="shared" si="144"/>
        <v>1.5489792397860287</v>
      </c>
      <c r="L354" s="102">
        <f t="shared" si="145"/>
        <v>2.2349452772213265</v>
      </c>
      <c r="M354" s="103">
        <f t="shared" si="146"/>
        <v>1.1068975324949264</v>
      </c>
      <c r="N354" s="101">
        <f t="shared" si="147"/>
        <v>1.0498911839041474</v>
      </c>
      <c r="O354" s="104">
        <f t="shared" si="148"/>
        <v>0.30952074293519982</v>
      </c>
      <c r="P354" s="105">
        <f t="shared" ca="1" si="149"/>
        <v>1.8332415524570003</v>
      </c>
      <c r="Q354" s="106">
        <f t="shared" ca="1" si="150"/>
        <v>1.0424525055188962</v>
      </c>
      <c r="R354" s="107">
        <f t="shared" ca="1" si="151"/>
        <v>2.0481680797027835</v>
      </c>
      <c r="S354" s="108">
        <f t="shared" ca="1" si="152"/>
        <v>-104.0235268716997</v>
      </c>
      <c r="T354" s="116">
        <f t="shared" ca="1" si="153"/>
        <v>75.976473128300299</v>
      </c>
      <c r="V354" s="72">
        <f t="shared" ca="1" si="154"/>
        <v>1000000000</v>
      </c>
      <c r="W354" s="72">
        <f t="shared" si="155"/>
        <v>758561764</v>
      </c>
      <c r="Y354" s="110">
        <f t="shared" si="156"/>
        <v>19.030845098335952</v>
      </c>
      <c r="Z354" s="111">
        <f t="shared" si="157"/>
        <v>-43.175657595458105</v>
      </c>
      <c r="AA354" s="72">
        <f t="shared" si="158"/>
        <v>136.82434240454188</v>
      </c>
      <c r="AB354" s="110">
        <f t="shared" ca="1" si="159"/>
        <v>-1.0650766717516642</v>
      </c>
      <c r="AC354" s="111">
        <f t="shared" ca="1" si="160"/>
        <v>-60.847869276241646</v>
      </c>
      <c r="AD354" s="72">
        <f t="shared" ca="1" si="161"/>
        <v>119.15213072375835</v>
      </c>
    </row>
    <row r="355" spans="1:30">
      <c r="A355" s="118">
        <v>27702.5</v>
      </c>
      <c r="B355" s="101">
        <f t="shared" ca="1" si="135"/>
        <v>453.38572691067458</v>
      </c>
      <c r="C355" s="102">
        <f t="shared" ca="1" si="136"/>
        <v>1.5685906975669666</v>
      </c>
      <c r="D355" s="102">
        <f t="shared" si="137"/>
        <v>46.223732495505281</v>
      </c>
      <c r="E355" s="103">
        <f t="shared" si="138"/>
        <v>1.5491607303864201</v>
      </c>
      <c r="F355" s="101">
        <f t="shared" si="139"/>
        <v>3759.6948536917184</v>
      </c>
      <c r="G355" s="104">
        <f t="shared" si="140"/>
        <v>1.5705303477591754</v>
      </c>
      <c r="H355" s="113">
        <f t="shared" si="141"/>
        <v>452.57435679670743</v>
      </c>
      <c r="I355" s="114">
        <f t="shared" si="142"/>
        <v>1.568586743333765</v>
      </c>
      <c r="J355" s="101">
        <f t="shared" si="143"/>
        <v>46.106269603058415</v>
      </c>
      <c r="K355" s="104">
        <f t="shared" si="144"/>
        <v>1.5491056017046465</v>
      </c>
      <c r="L355" s="102">
        <f t="shared" si="145"/>
        <v>2.2453679573634608</v>
      </c>
      <c r="M355" s="103">
        <f t="shared" si="146"/>
        <v>1.1092185737731348</v>
      </c>
      <c r="N355" s="101">
        <f t="shared" si="147"/>
        <v>1.0504603457328776</v>
      </c>
      <c r="O355" s="104">
        <f t="shared" si="148"/>
        <v>0.31121053445617269</v>
      </c>
      <c r="P355" s="105">
        <f t="shared" ca="1" si="149"/>
        <v>1.8407708878191693</v>
      </c>
      <c r="Q355" s="106">
        <f t="shared" ca="1" si="150"/>
        <v>1.0453952151083998</v>
      </c>
      <c r="R355" s="107">
        <f t="shared" ca="1" si="151"/>
        <v>1.9978025771364438</v>
      </c>
      <c r="S355" s="108">
        <f t="shared" ca="1" si="152"/>
        <v>-104.15606964141809</v>
      </c>
      <c r="T355" s="116">
        <f t="shared" ca="1" si="153"/>
        <v>75.843930358581915</v>
      </c>
      <c r="V355" s="72">
        <f t="shared" ca="1" si="154"/>
        <v>1000000000</v>
      </c>
      <c r="W355" s="72">
        <f t="shared" si="155"/>
        <v>767428506.25</v>
      </c>
      <c r="Y355" s="110">
        <f t="shared" si="156"/>
        <v>19.016104003796844</v>
      </c>
      <c r="Z355" s="111">
        <f t="shared" si="157"/>
        <v>-43.146080707298893</v>
      </c>
      <c r="AA355" s="72">
        <f t="shared" si="158"/>
        <v>136.85391929270111</v>
      </c>
      <c r="AB355" s="110">
        <f t="shared" ca="1" si="159"/>
        <v>-1.1007010797788939</v>
      </c>
      <c r="AC355" s="111">
        <f t="shared" ca="1" si="160"/>
        <v>-61.009988934119228</v>
      </c>
      <c r="AD355" s="72">
        <f t="shared" ca="1" si="161"/>
        <v>118.99001106588076</v>
      </c>
    </row>
    <row r="356" spans="1:30">
      <c r="A356" s="118">
        <v>27863</v>
      </c>
      <c r="B356" s="101">
        <f t="shared" ca="1" si="135"/>
        <v>456.01249547616658</v>
      </c>
      <c r="C356" s="102">
        <f t="shared" ca="1" si="136"/>
        <v>1.5686034026724067</v>
      </c>
      <c r="D356" s="102">
        <f t="shared" si="137"/>
        <v>46.491413997867333</v>
      </c>
      <c r="E356" s="103">
        <f t="shared" si="138"/>
        <v>1.5492853199500922</v>
      </c>
      <c r="F356" s="101">
        <f t="shared" si="139"/>
        <v>3781.4773997236953</v>
      </c>
      <c r="G356" s="104">
        <f t="shared" si="140"/>
        <v>1.5705318798854087</v>
      </c>
      <c r="H356" s="113">
        <f t="shared" si="141"/>
        <v>455.19642450357236</v>
      </c>
      <c r="I356" s="114">
        <f t="shared" si="142"/>
        <v>1.5685994712166627</v>
      </c>
      <c r="J356" s="101">
        <f t="shared" si="143"/>
        <v>46.373270242145566</v>
      </c>
      <c r="K356" s="104">
        <f t="shared" si="144"/>
        <v>1.5492305085321287</v>
      </c>
      <c r="L356" s="102">
        <f t="shared" si="145"/>
        <v>2.2558026220079341</v>
      </c>
      <c r="M356" s="103">
        <f t="shared" si="146"/>
        <v>1.1115181544663335</v>
      </c>
      <c r="N356" s="101">
        <f t="shared" si="147"/>
        <v>1.0510325037876429</v>
      </c>
      <c r="O356" s="104">
        <f t="shared" si="148"/>
        <v>0.31289849102486045</v>
      </c>
      <c r="P356" s="105">
        <f t="shared" ca="1" si="149"/>
        <v>1.8483134624240323</v>
      </c>
      <c r="Q356" s="106">
        <f t="shared" ca="1" si="150"/>
        <v>1.0483163400445479</v>
      </c>
      <c r="R356" s="107">
        <f t="shared" ca="1" si="151"/>
        <v>1.947648521357598</v>
      </c>
      <c r="S356" s="108">
        <f t="shared" ca="1" si="152"/>
        <v>-104.2884989480503</v>
      </c>
      <c r="T356" s="116">
        <f t="shared" ca="1" si="153"/>
        <v>75.711501051949696</v>
      </c>
      <c r="V356" s="72">
        <f t="shared" ca="1" si="154"/>
        <v>1000000000</v>
      </c>
      <c r="W356" s="72">
        <f t="shared" si="155"/>
        <v>776346769</v>
      </c>
      <c r="Y356" s="110">
        <f t="shared" si="156"/>
        <v>19.001490845091269</v>
      </c>
      <c r="Z356" s="111">
        <f t="shared" si="157"/>
        <v>-43.117552390725223</v>
      </c>
      <c r="AA356" s="72">
        <f t="shared" si="158"/>
        <v>136.88244760927478</v>
      </c>
      <c r="AB356" s="110">
        <f t="shared" ca="1" si="159"/>
        <v>-1.1362419768521701</v>
      </c>
      <c r="AC356" s="111">
        <f t="shared" ca="1" si="160"/>
        <v>-61.170946557325067</v>
      </c>
      <c r="AD356" s="72">
        <f t="shared" ca="1" si="161"/>
        <v>118.82905344267493</v>
      </c>
    </row>
    <row r="357" spans="1:30">
      <c r="A357" s="118">
        <v>28023.5</v>
      </c>
      <c r="B357" s="101">
        <f t="shared" ca="1" si="135"/>
        <v>458.6392641144248</v>
      </c>
      <c r="C357" s="102">
        <f t="shared" ca="1" si="136"/>
        <v>1.5686159622457276</v>
      </c>
      <c r="D357" s="102">
        <f t="shared" si="137"/>
        <v>46.759096213632468</v>
      </c>
      <c r="E357" s="103">
        <f t="shared" si="138"/>
        <v>1.549408483037682</v>
      </c>
      <c r="F357" s="101">
        <f t="shared" si="139"/>
        <v>3803.2599457644474</v>
      </c>
      <c r="G357" s="104">
        <f t="shared" si="140"/>
        <v>1.5705333944616398</v>
      </c>
      <c r="H357" s="113">
        <f t="shared" si="141"/>
        <v>457.81849228333391</v>
      </c>
      <c r="I357" s="114">
        <f t="shared" si="142"/>
        <v>1.5686120533065364</v>
      </c>
      <c r="J357" s="101">
        <f t="shared" si="143"/>
        <v>46.640271596451647</v>
      </c>
      <c r="K357" s="104">
        <f t="shared" si="144"/>
        <v>1.5493539852544054</v>
      </c>
      <c r="L357" s="102">
        <f t="shared" si="145"/>
        <v>2.2662491056112612</v>
      </c>
      <c r="M357" s="103">
        <f t="shared" si="146"/>
        <v>1.1137965468582471</v>
      </c>
      <c r="N357" s="101">
        <f t="shared" si="147"/>
        <v>1.0516076531778886</v>
      </c>
      <c r="O357" s="104">
        <f t="shared" si="148"/>
        <v>0.31458460602557514</v>
      </c>
      <c r="P357" s="105">
        <f t="shared" ca="1" si="149"/>
        <v>1.8558691222792028</v>
      </c>
      <c r="Q357" s="106">
        <f t="shared" ca="1" si="150"/>
        <v>1.05121610612061</v>
      </c>
      <c r="R357" s="107">
        <f t="shared" ca="1" si="151"/>
        <v>1.897703392380923</v>
      </c>
      <c r="S357" s="108">
        <f t="shared" ca="1" si="152"/>
        <v>-104.42081176978454</v>
      </c>
      <c r="T357" s="116">
        <f t="shared" ca="1" si="153"/>
        <v>75.579188230215465</v>
      </c>
      <c r="V357" s="72">
        <f t="shared" ca="1" si="154"/>
        <v>1000000000</v>
      </c>
      <c r="W357" s="72">
        <f t="shared" si="155"/>
        <v>785316552.25</v>
      </c>
      <c r="Y357" s="110">
        <f t="shared" si="156"/>
        <v>18.987002813765017</v>
      </c>
      <c r="Z357" s="111">
        <f t="shared" si="157"/>
        <v>-43.090057969110227</v>
      </c>
      <c r="AA357" s="72">
        <f t="shared" si="158"/>
        <v>136.90994203088977</v>
      </c>
      <c r="AB357" s="110">
        <f t="shared" ca="1" si="159"/>
        <v>-1.1716990745025855</v>
      </c>
      <c r="AC357" s="111">
        <f t="shared" ca="1" si="160"/>
        <v>-61.330753800674316</v>
      </c>
      <c r="AD357" s="72">
        <f t="shared" ca="1" si="161"/>
        <v>118.66924619932568</v>
      </c>
    </row>
    <row r="358" spans="1:30">
      <c r="A358" s="118">
        <v>28184</v>
      </c>
      <c r="B358" s="101">
        <f t="shared" ca="1" si="135"/>
        <v>461.26603282420609</v>
      </c>
      <c r="C358" s="102">
        <f t="shared" ca="1" si="136"/>
        <v>1.5686283787732076</v>
      </c>
      <c r="D358" s="102">
        <f t="shared" si="137"/>
        <v>47.026779130618372</v>
      </c>
      <c r="E358" s="103">
        <f t="shared" si="138"/>
        <v>1.5495302440045167</v>
      </c>
      <c r="F358" s="101">
        <f t="shared" si="139"/>
        <v>3825.0424918138247</v>
      </c>
      <c r="G358" s="104">
        <f t="shared" si="140"/>
        <v>1.5705348917876956</v>
      </c>
      <c r="H358" s="113">
        <f t="shared" si="141"/>
        <v>460.44056013474682</v>
      </c>
      <c r="I358" s="114">
        <f t="shared" si="142"/>
        <v>1.5686244920941219</v>
      </c>
      <c r="J358" s="101">
        <f t="shared" si="143"/>
        <v>46.90727365376334</v>
      </c>
      <c r="K358" s="104">
        <f t="shared" si="144"/>
        <v>1.5494760562886907</v>
      </c>
      <c r="L358" s="102">
        <f t="shared" si="145"/>
        <v>2.2767072454824917</v>
      </c>
      <c r="M358" s="103">
        <f t="shared" si="146"/>
        <v>1.116054019118045</v>
      </c>
      <c r="N358" s="101">
        <f t="shared" si="147"/>
        <v>1.0521857889982127</v>
      </c>
      <c r="O358" s="104">
        <f t="shared" si="148"/>
        <v>0.31626887289894035</v>
      </c>
      <c r="P358" s="105">
        <f t="shared" ca="1" si="149"/>
        <v>1.8634377156547592</v>
      </c>
      <c r="Q358" s="106">
        <f t="shared" ca="1" si="150"/>
        <v>1.0540947366486431</v>
      </c>
      <c r="R358" s="107">
        <f t="shared" ca="1" si="151"/>
        <v>1.8479647186491901</v>
      </c>
      <c r="S358" s="108">
        <f t="shared" ca="1" si="152"/>
        <v>-104.55300518114242</v>
      </c>
      <c r="T358" s="116">
        <f t="shared" ca="1" si="153"/>
        <v>75.446994818857576</v>
      </c>
      <c r="V358" s="72">
        <f t="shared" ca="1" si="154"/>
        <v>1000000000</v>
      </c>
      <c r="W358" s="72">
        <f t="shared" si="155"/>
        <v>794337856</v>
      </c>
      <c r="Y358" s="110">
        <f t="shared" si="156"/>
        <v>18.972637168399256</v>
      </c>
      <c r="Z358" s="111">
        <f t="shared" si="157"/>
        <v>-43.063582975141188</v>
      </c>
      <c r="AA358" s="72">
        <f t="shared" si="158"/>
        <v>136.93641702485883</v>
      </c>
      <c r="AB358" s="110">
        <f t="shared" ca="1" si="159"/>
        <v>-1.2070721028685625</v>
      </c>
      <c r="AC358" s="111">
        <f t="shared" ca="1" si="160"/>
        <v>-61.489422206001166</v>
      </c>
      <c r="AD358" s="72">
        <f t="shared" ca="1" si="161"/>
        <v>118.51057779399883</v>
      </c>
    </row>
    <row r="359" spans="1:30">
      <c r="A359" s="118">
        <v>28348</v>
      </c>
      <c r="B359" s="101">
        <f t="shared" ca="1" si="135"/>
        <v>463.9500831672525</v>
      </c>
      <c r="C359" s="102">
        <f t="shared" ca="1" si="136"/>
        <v>1.5686409208351229</v>
      </c>
      <c r="D359" s="102">
        <f t="shared" si="137"/>
        <v>47.300300081719421</v>
      </c>
      <c r="E359" s="103">
        <f t="shared" si="138"/>
        <v>1.5496532366411</v>
      </c>
      <c r="F359" s="101">
        <f t="shared" si="139"/>
        <v>3847.3000466643125</v>
      </c>
      <c r="G359" s="104">
        <f t="shared" si="140"/>
        <v>1.5705364042520404</v>
      </c>
      <c r="H359" s="113">
        <f t="shared" si="141"/>
        <v>463.11980710862485</v>
      </c>
      <c r="I359" s="114">
        <f t="shared" si="142"/>
        <v>1.5686370566412009</v>
      </c>
      <c r="J359" s="101">
        <f t="shared" si="143"/>
        <v>47.180098899595109</v>
      </c>
      <c r="K359" s="104">
        <f t="shared" si="144"/>
        <v>1.5495993621324782</v>
      </c>
      <c r="L359" s="102">
        <f t="shared" si="145"/>
        <v>2.2874053184494318</v>
      </c>
      <c r="M359" s="103">
        <f t="shared" si="146"/>
        <v>1.1183393851179906</v>
      </c>
      <c r="N359" s="101">
        <f t="shared" si="147"/>
        <v>1.052779611849646</v>
      </c>
      <c r="O359" s="104">
        <f t="shared" si="148"/>
        <v>0.31798795254802981</v>
      </c>
      <c r="P359" s="105">
        <f t="shared" ca="1" si="149"/>
        <v>1.8711845603540784</v>
      </c>
      <c r="Q359" s="106">
        <f t="shared" ca="1" si="150"/>
        <v>1.0570145388975345</v>
      </c>
      <c r="R359" s="107">
        <f t="shared" ca="1" si="151"/>
        <v>1.79735213625526</v>
      </c>
      <c r="S359" s="108">
        <f t="shared" ca="1" si="152"/>
        <v>-104.68795502424051</v>
      </c>
      <c r="T359" s="116">
        <f t="shared" ca="1" si="153"/>
        <v>75.312044975759491</v>
      </c>
      <c r="V359" s="72">
        <f t="shared" ca="1" si="154"/>
        <v>1000000000</v>
      </c>
      <c r="W359" s="72">
        <f t="shared" si="155"/>
        <v>803609104</v>
      </c>
      <c r="Y359" s="110">
        <f t="shared" si="156"/>
        <v>18.958081887760404</v>
      </c>
      <c r="Z359" s="111">
        <f t="shared" si="157"/>
        <v>-43.037568823954395</v>
      </c>
      <c r="AA359" s="72">
        <f t="shared" si="158"/>
        <v>136.96243117604561</v>
      </c>
      <c r="AB359" s="110">
        <f t="shared" ca="1" si="159"/>
        <v>-1.2431294046236392</v>
      </c>
      <c r="AC359" s="111">
        <f t="shared" ca="1" si="160"/>
        <v>-61.650386200286121</v>
      </c>
      <c r="AD359" s="72">
        <f t="shared" ca="1" si="161"/>
        <v>118.34961379971388</v>
      </c>
    </row>
    <row r="360" spans="1:30">
      <c r="A360" s="118">
        <v>28512</v>
      </c>
      <c r="B360" s="101">
        <f t="shared" ca="1" si="135"/>
        <v>466.6341335824402</v>
      </c>
      <c r="C360" s="102">
        <f t="shared" ca="1" si="136"/>
        <v>1.5686533186147251</v>
      </c>
      <c r="D360" s="102">
        <f t="shared" si="137"/>
        <v>47.573821740113409</v>
      </c>
      <c r="E360" s="103">
        <f t="shared" si="138"/>
        <v>1.5497748150080128</v>
      </c>
      <c r="F360" s="101">
        <f t="shared" si="139"/>
        <v>3869.5576015234997</v>
      </c>
      <c r="G360" s="104">
        <f t="shared" si="140"/>
        <v>1.5705378993171051</v>
      </c>
      <c r="H360" s="113">
        <f t="shared" si="141"/>
        <v>465.7990541547735</v>
      </c>
      <c r="I360" s="114">
        <f t="shared" si="142"/>
        <v>1.5686494766473025</v>
      </c>
      <c r="J360" s="101">
        <f t="shared" si="143"/>
        <v>47.452924854520163</v>
      </c>
      <c r="K360" s="104">
        <f t="shared" si="144"/>
        <v>1.5497212501082993</v>
      </c>
      <c r="L360" s="102">
        <f t="shared" si="145"/>
        <v>2.2981152270351757</v>
      </c>
      <c r="M360" s="103">
        <f t="shared" si="146"/>
        <v>1.1206034618646457</v>
      </c>
      <c r="N360" s="101">
        <f t="shared" si="147"/>
        <v>1.0533765423989241</v>
      </c>
      <c r="O360" s="104">
        <f t="shared" si="148"/>
        <v>0.31970508892055205</v>
      </c>
      <c r="P360" s="105">
        <f t="shared" ca="1" si="149"/>
        <v>1.8789445955837512</v>
      </c>
      <c r="Q360" s="106">
        <f t="shared" ca="1" si="150"/>
        <v>1.0599127373015422</v>
      </c>
      <c r="R360" s="107">
        <f t="shared" ca="1" si="151"/>
        <v>1.7469500434437264</v>
      </c>
      <c r="S360" s="108">
        <f t="shared" ca="1" si="152"/>
        <v>-104.82277431277004</v>
      </c>
      <c r="T360" s="116">
        <f t="shared" ca="1" si="153"/>
        <v>75.177225687229964</v>
      </c>
      <c r="V360" s="72">
        <f t="shared" ca="1" si="154"/>
        <v>1000000000</v>
      </c>
      <c r="W360" s="72">
        <f t="shared" si="155"/>
        <v>812934144</v>
      </c>
      <c r="Y360" s="110">
        <f t="shared" si="156"/>
        <v>18.943648808415421</v>
      </c>
      <c r="Z360" s="111">
        <f t="shared" si="157"/>
        <v>-43.012589162417839</v>
      </c>
      <c r="AA360" s="72">
        <f t="shared" si="158"/>
        <v>136.98741083758216</v>
      </c>
      <c r="AB360" s="110">
        <f t="shared" ca="1" si="159"/>
        <v>-1.2790984180901912</v>
      </c>
      <c r="AC360" s="111">
        <f t="shared" ca="1" si="160"/>
        <v>-61.810185150352254</v>
      </c>
      <c r="AD360" s="72">
        <f t="shared" ca="1" si="161"/>
        <v>118.18981484964775</v>
      </c>
    </row>
    <row r="361" spans="1:30">
      <c r="A361" s="118">
        <v>28676</v>
      </c>
      <c r="B361" s="101">
        <f t="shared" ca="1" si="135"/>
        <v>469.31818406853154</v>
      </c>
      <c r="C361" s="102">
        <f t="shared" ca="1" si="136"/>
        <v>1.5686655745874805</v>
      </c>
      <c r="D361" s="102">
        <f t="shared" si="137"/>
        <v>47.8473440936705</v>
      </c>
      <c r="E361" s="103">
        <f t="shared" si="138"/>
        <v>1.5498950033559142</v>
      </c>
      <c r="F361" s="101">
        <f t="shared" si="139"/>
        <v>3891.8151563912375</v>
      </c>
      <c r="G361" s="104">
        <f t="shared" si="140"/>
        <v>1.5705393772814127</v>
      </c>
      <c r="H361" s="113">
        <f t="shared" si="141"/>
        <v>468.47830127195283</v>
      </c>
      <c r="I361" s="114">
        <f t="shared" si="142"/>
        <v>1.5686617545923311</v>
      </c>
      <c r="J361" s="101">
        <f t="shared" si="143"/>
        <v>47.725751506377833</v>
      </c>
      <c r="K361" s="104">
        <f t="shared" si="144"/>
        <v>1.5498417445284411</v>
      </c>
      <c r="L361" s="102">
        <f t="shared" si="145"/>
        <v>2.3088368065354992</v>
      </c>
      <c r="M361" s="103">
        <f t="shared" si="146"/>
        <v>1.1228465225674458</v>
      </c>
      <c r="N361" s="101">
        <f t="shared" si="147"/>
        <v>1.0539765753658161</v>
      </c>
      <c r="O361" s="104">
        <f t="shared" si="148"/>
        <v>0.3214202752007716</v>
      </c>
      <c r="P361" s="105">
        <f t="shared" ca="1" si="149"/>
        <v>1.8867176665625092</v>
      </c>
      <c r="Q361" s="106">
        <f t="shared" ca="1" si="150"/>
        <v>1.0627895621930659</v>
      </c>
      <c r="R361" s="107">
        <f t="shared" ca="1" si="151"/>
        <v>1.6967559519360065</v>
      </c>
      <c r="S361" s="108">
        <f t="shared" ca="1" si="152"/>
        <v>-104.95746021992589</v>
      </c>
      <c r="T361" s="116">
        <f t="shared" ca="1" si="153"/>
        <v>75.042539780074108</v>
      </c>
      <c r="V361" s="72">
        <f t="shared" ca="1" si="154"/>
        <v>1000000000</v>
      </c>
      <c r="W361" s="72">
        <f t="shared" si="155"/>
        <v>822312976</v>
      </c>
      <c r="Y361" s="110">
        <f t="shared" si="156"/>
        <v>18.929335211056685</v>
      </c>
      <c r="Z361" s="111">
        <f t="shared" si="157"/>
        <v>-42.988629214278554</v>
      </c>
      <c r="AA361" s="72">
        <f t="shared" si="158"/>
        <v>137.01137078572145</v>
      </c>
      <c r="AB361" s="110">
        <f t="shared" ca="1" si="159"/>
        <v>-1.3149789122391751</v>
      </c>
      <c r="AC361" s="111">
        <f t="shared" ca="1" si="160"/>
        <v>-61.968831005647324</v>
      </c>
      <c r="AD361" s="72">
        <f t="shared" ca="1" si="161"/>
        <v>118.03116899435267</v>
      </c>
    </row>
    <row r="362" spans="1:30">
      <c r="A362" s="118">
        <v>28840</v>
      </c>
      <c r="B362" s="101">
        <f t="shared" ca="1" si="135"/>
        <v>472.00223462431683</v>
      </c>
      <c r="C362" s="102">
        <f t="shared" ca="1" si="136"/>
        <v>1.568677691172548</v>
      </c>
      <c r="D362" s="102">
        <f t="shared" si="137"/>
        <v>48.120867130536631</v>
      </c>
      <c r="E362" s="103">
        <f t="shared" si="138"/>
        <v>1.5500138253842557</v>
      </c>
      <c r="F362" s="101">
        <f t="shared" si="139"/>
        <v>3914.0727112673799</v>
      </c>
      <c r="G362" s="104">
        <f t="shared" si="140"/>
        <v>1.5705408384366961</v>
      </c>
      <c r="H362" s="113">
        <f t="shared" si="141"/>
        <v>471.15754845895123</v>
      </c>
      <c r="I362" s="114">
        <f t="shared" si="142"/>
        <v>1.5686738928997828</v>
      </c>
      <c r="J362" s="101">
        <f t="shared" si="143"/>
        <v>47.998578843283909</v>
      </c>
      <c r="K362" s="104">
        <f t="shared" si="144"/>
        <v>1.5499608691525835</v>
      </c>
      <c r="L362" s="102">
        <f t="shared" si="145"/>
        <v>2.3195698951135455</v>
      </c>
      <c r="M362" s="103">
        <f t="shared" si="146"/>
        <v>1.1250688362332399</v>
      </c>
      <c r="N362" s="101">
        <f t="shared" si="147"/>
        <v>1.0545797054546977</v>
      </c>
      <c r="O362" s="104">
        <f t="shared" si="148"/>
        <v>0.32313350463431978</v>
      </c>
      <c r="P362" s="105">
        <f t="shared" ca="1" si="149"/>
        <v>1.8945036208239183</v>
      </c>
      <c r="Q362" s="106">
        <f t="shared" ca="1" si="150"/>
        <v>1.065645241280851</v>
      </c>
      <c r="R362" s="107">
        <f t="shared" ca="1" si="151"/>
        <v>1.6467674208829783</v>
      </c>
      <c r="S362" s="108">
        <f t="shared" ca="1" si="152"/>
        <v>-105.0920100124214</v>
      </c>
      <c r="T362" s="116">
        <f t="shared" ca="1" si="153"/>
        <v>74.907989987578603</v>
      </c>
      <c r="V362" s="72">
        <f t="shared" ca="1" si="154"/>
        <v>1000000000</v>
      </c>
      <c r="W362" s="72">
        <f t="shared" si="155"/>
        <v>831745600</v>
      </c>
      <c r="Y362" s="110">
        <f t="shared" si="156"/>
        <v>18.91513844188793</v>
      </c>
      <c r="Z362" s="111">
        <f t="shared" si="157"/>
        <v>-42.965674418770917</v>
      </c>
      <c r="AA362" s="72">
        <f t="shared" si="158"/>
        <v>137.0343255812291</v>
      </c>
      <c r="AB362" s="110">
        <f t="shared" ca="1" si="159"/>
        <v>-1.3507706741234462</v>
      </c>
      <c r="AC362" s="111">
        <f t="shared" ca="1" si="160"/>
        <v>-62.126335593650488</v>
      </c>
      <c r="AD362" s="72">
        <f t="shared" ca="1" si="161"/>
        <v>117.87366440634952</v>
      </c>
    </row>
    <row r="363" spans="1:30">
      <c r="A363" s="118">
        <v>29008</v>
      </c>
      <c r="B363" s="101">
        <f t="shared" ca="1" si="135"/>
        <v>474.75174989883311</v>
      </c>
      <c r="C363" s="102">
        <f t="shared" ca="1" si="136"/>
        <v>1.5686899612266263</v>
      </c>
      <c r="D363" s="102">
        <f t="shared" si="137"/>
        <v>48.401062157386818</v>
      </c>
      <c r="E363" s="103">
        <f t="shared" si="138"/>
        <v>1.5501341530076798</v>
      </c>
      <c r="F363" s="101">
        <f t="shared" si="139"/>
        <v>3936.8731333441888</v>
      </c>
      <c r="G363" s="104">
        <f t="shared" si="140"/>
        <v>1.5705423180989384</v>
      </c>
      <c r="H363" s="113">
        <f t="shared" si="141"/>
        <v>473.9021432094716</v>
      </c>
      <c r="I363" s="114">
        <f t="shared" si="142"/>
        <v>1.5686861849513836</v>
      </c>
      <c r="J363" s="101">
        <f t="shared" si="143"/>
        <v>48.278061203655056</v>
      </c>
      <c r="K363" s="104">
        <f t="shared" si="144"/>
        <v>1.550081503209062</v>
      </c>
      <c r="L363" s="102">
        <f t="shared" si="145"/>
        <v>2.3305765336889035</v>
      </c>
      <c r="M363" s="103">
        <f t="shared" si="146"/>
        <v>1.1273241172748081</v>
      </c>
      <c r="N363" s="101">
        <f t="shared" si="147"/>
        <v>1.055200751834533</v>
      </c>
      <c r="O363" s="104">
        <f t="shared" si="148"/>
        <v>0.32488648413503718</v>
      </c>
      <c r="P363" s="105">
        <f t="shared" ca="1" si="149"/>
        <v>1.902492677883435</v>
      </c>
      <c r="Q363" s="106">
        <f t="shared" ca="1" si="150"/>
        <v>1.0685488806480541</v>
      </c>
      <c r="R363" s="107">
        <f t="shared" ca="1" si="151"/>
        <v>1.5957702965804557</v>
      </c>
      <c r="S363" s="108">
        <f t="shared" ca="1" si="152"/>
        <v>-105.22969761057102</v>
      </c>
      <c r="T363" s="116">
        <f t="shared" ca="1" si="153"/>
        <v>74.770302389428977</v>
      </c>
      <c r="V363" s="72">
        <f t="shared" ca="1" si="154"/>
        <v>1000000000</v>
      </c>
      <c r="W363" s="72">
        <f t="shared" si="155"/>
        <v>841464064</v>
      </c>
      <c r="Y363" s="110">
        <f t="shared" si="156"/>
        <v>18.90071384017909</v>
      </c>
      <c r="Z363" s="111">
        <f t="shared" si="157"/>
        <v>-42.943186978436628</v>
      </c>
      <c r="AA363" s="72">
        <f t="shared" si="158"/>
        <v>137.05681302156336</v>
      </c>
      <c r="AB363" s="110">
        <f t="shared" ca="1" si="159"/>
        <v>-1.3873431967171324</v>
      </c>
      <c r="AC363" s="111">
        <f t="shared" ca="1" si="160"/>
        <v>-62.286510632134323</v>
      </c>
      <c r="AD363" s="72">
        <f t="shared" ca="1" si="161"/>
        <v>117.71348936786568</v>
      </c>
    </row>
    <row r="364" spans="1:30">
      <c r="A364" s="118">
        <v>29176</v>
      </c>
      <c r="B364" s="101">
        <f t="shared" ca="1" si="135"/>
        <v>477.50126524400207</v>
      </c>
      <c r="C364" s="102">
        <f t="shared" ca="1" si="136"/>
        <v>1.5687020899755226</v>
      </c>
      <c r="D364" s="102">
        <f t="shared" si="137"/>
        <v>48.681257876956217</v>
      </c>
      <c r="E364" s="103">
        <f t="shared" si="138"/>
        <v>1.5502530954884439</v>
      </c>
      <c r="F364" s="101">
        <f t="shared" si="139"/>
        <v>3959.6735554295178</v>
      </c>
      <c r="G364" s="104">
        <f t="shared" si="140"/>
        <v>1.5705437807209257</v>
      </c>
      <c r="H364" s="113">
        <f t="shared" si="141"/>
        <v>476.64673803077136</v>
      </c>
      <c r="I364" s="114">
        <f t="shared" si="142"/>
        <v>1.5686983354444755</v>
      </c>
      <c r="J364" s="101">
        <f t="shared" si="143"/>
        <v>48.557544258508777</v>
      </c>
      <c r="K364" s="104">
        <f t="shared" si="144"/>
        <v>1.5502007485984073</v>
      </c>
      <c r="L364" s="102">
        <f t="shared" si="145"/>
        <v>2.3415949147842925</v>
      </c>
      <c r="M364" s="103">
        <f t="shared" si="146"/>
        <v>1.1295581851287229</v>
      </c>
      <c r="N364" s="101">
        <f t="shared" si="147"/>
        <v>1.0558250369595132</v>
      </c>
      <c r="O364" s="104">
        <f t="shared" si="148"/>
        <v>0.32663739601777314</v>
      </c>
      <c r="P364" s="105">
        <f t="shared" ca="1" si="149"/>
        <v>1.9104949377384377</v>
      </c>
      <c r="Q364" s="106">
        <f t="shared" ca="1" si="150"/>
        <v>1.0714308055152726</v>
      </c>
      <c r="R364" s="107">
        <f t="shared" ca="1" si="151"/>
        <v>1.544983844379165</v>
      </c>
      <c r="S364" s="108">
        <f t="shared" ca="1" si="152"/>
        <v>-105.36723685609796</v>
      </c>
      <c r="T364" s="116">
        <f t="shared" ca="1" si="153"/>
        <v>74.632763143902039</v>
      </c>
      <c r="V364" s="72">
        <f t="shared" ca="1" si="154"/>
        <v>1000000000</v>
      </c>
      <c r="W364" s="72">
        <f t="shared" si="155"/>
        <v>851238976</v>
      </c>
      <c r="Y364" s="110">
        <f t="shared" si="156"/>
        <v>18.886406400662178</v>
      </c>
      <c r="Z364" s="111">
        <f t="shared" si="157"/>
        <v>-42.921724068046615</v>
      </c>
      <c r="AA364" s="72">
        <f t="shared" si="158"/>
        <v>137.07827593195339</v>
      </c>
      <c r="AB364" s="110">
        <f t="shared" ca="1" si="159"/>
        <v>-1.4238222094015065</v>
      </c>
      <c r="AC364" s="111">
        <f t="shared" ca="1" si="160"/>
        <v>-62.445512788051374</v>
      </c>
      <c r="AD364" s="72">
        <f t="shared" ca="1" si="161"/>
        <v>117.55448721194863</v>
      </c>
    </row>
    <row r="365" spans="1:30">
      <c r="A365" s="118">
        <v>29344</v>
      </c>
      <c r="B365" s="101">
        <f t="shared" ca="1" si="135"/>
        <v>480.25078065861038</v>
      </c>
      <c r="C365" s="102">
        <f t="shared" ca="1" si="136"/>
        <v>1.5687140798462205</v>
      </c>
      <c r="D365" s="102">
        <f t="shared" si="137"/>
        <v>48.961454277351969</v>
      </c>
      <c r="E365" s="103">
        <f t="shared" si="138"/>
        <v>1.5503706766038188</v>
      </c>
      <c r="F365" s="101">
        <f t="shared" si="139"/>
        <v>3982.4739775232206</v>
      </c>
      <c r="G365" s="104">
        <f t="shared" si="140"/>
        <v>1.5705452265953341</v>
      </c>
      <c r="H365" s="113">
        <f t="shared" si="141"/>
        <v>479.3913329216349</v>
      </c>
      <c r="I365" s="114">
        <f t="shared" si="142"/>
        <v>1.5687103468103929</v>
      </c>
      <c r="J365" s="101">
        <f t="shared" si="143"/>
        <v>48.837027995921979</v>
      </c>
      <c r="K365" s="104">
        <f t="shared" si="144"/>
        <v>1.5503186291583224</v>
      </c>
      <c r="L365" s="102">
        <f t="shared" si="145"/>
        <v>2.3526248734135002</v>
      </c>
      <c r="M365" s="103">
        <f t="shared" si="146"/>
        <v>1.1317713157017439</v>
      </c>
      <c r="N365" s="101">
        <f t="shared" si="147"/>
        <v>1.0564525550880643</v>
      </c>
      <c r="O365" s="104">
        <f t="shared" si="148"/>
        <v>0.32838623322198546</v>
      </c>
      <c r="P365" s="105">
        <f t="shared" ca="1" si="149"/>
        <v>1.9185102438073482</v>
      </c>
      <c r="Q365" s="106">
        <f t="shared" ca="1" si="150"/>
        <v>1.0742912522415662</v>
      </c>
      <c r="R365" s="107">
        <f t="shared" ca="1" si="151"/>
        <v>1.4944055872265214</v>
      </c>
      <c r="S365" s="108">
        <f t="shared" ca="1" si="152"/>
        <v>-105.50462509852935</v>
      </c>
      <c r="T365" s="116">
        <f t="shared" ca="1" si="153"/>
        <v>74.495374901470655</v>
      </c>
      <c r="V365" s="72">
        <f t="shared" ca="1" si="154"/>
        <v>1000000000</v>
      </c>
      <c r="W365" s="72">
        <f t="shared" si="155"/>
        <v>861070336</v>
      </c>
      <c r="Y365" s="110">
        <f t="shared" si="156"/>
        <v>18.872213473002837</v>
      </c>
      <c r="Z365" s="111">
        <f t="shared" si="157"/>
        <v>-42.901270718032428</v>
      </c>
      <c r="AA365" s="72">
        <f t="shared" si="158"/>
        <v>137.09872928196756</v>
      </c>
      <c r="AB365" s="110">
        <f t="shared" ca="1" si="159"/>
        <v>-1.4602075388948099</v>
      </c>
      <c r="AC365" s="111">
        <f t="shared" ca="1" si="160"/>
        <v>-62.603354380496846</v>
      </c>
      <c r="AD365" s="72">
        <f t="shared" ca="1" si="161"/>
        <v>117.39664561950315</v>
      </c>
    </row>
    <row r="366" spans="1:30">
      <c r="A366" s="118">
        <v>29512</v>
      </c>
      <c r="B366" s="101">
        <f t="shared" ca="1" si="135"/>
        <v>483.00029614147201</v>
      </c>
      <c r="C366" s="102">
        <f t="shared" ca="1" si="136"/>
        <v>1.56872593321044</v>
      </c>
      <c r="D366" s="102">
        <f t="shared" si="137"/>
        <v>49.241651346951905</v>
      </c>
      <c r="E366" s="103">
        <f t="shared" si="138"/>
        <v>1.5504869195900339</v>
      </c>
      <c r="F366" s="101">
        <f t="shared" si="139"/>
        <v>4005.2743996251543</v>
      </c>
      <c r="G366" s="104">
        <f t="shared" si="140"/>
        <v>1.5705466560081753</v>
      </c>
      <c r="H366" s="113">
        <f t="shared" si="141"/>
        <v>482.13592788087414</v>
      </c>
      <c r="I366" s="114">
        <f t="shared" si="142"/>
        <v>1.5687222214251078</v>
      </c>
      <c r="J366" s="101">
        <f t="shared" si="143"/>
        <v>49.116512404242926</v>
      </c>
      <c r="K366" s="104">
        <f t="shared" si="144"/>
        <v>1.5504351681840962</v>
      </c>
      <c r="L366" s="102">
        <f t="shared" si="145"/>
        <v>2.3636662474981676</v>
      </c>
      <c r="M366" s="103">
        <f t="shared" si="146"/>
        <v>1.1339637805737999</v>
      </c>
      <c r="N366" s="101">
        <f t="shared" si="147"/>
        <v>1.0570833004625459</v>
      </c>
      <c r="O366" s="104">
        <f t="shared" si="148"/>
        <v>0.330132988754616</v>
      </c>
      <c r="P366" s="105">
        <f t="shared" ca="1" si="149"/>
        <v>1.9265384418968445</v>
      </c>
      <c r="Q366" s="106">
        <f t="shared" ca="1" si="150"/>
        <v>1.0771304543948355</v>
      </c>
      <c r="R366" s="107">
        <f t="shared" ca="1" si="151"/>
        <v>1.4440330950151949</v>
      </c>
      <c r="S366" s="108">
        <f t="shared" ca="1" si="152"/>
        <v>-105.64185977879077</v>
      </c>
      <c r="T366" s="116">
        <f t="shared" ca="1" si="153"/>
        <v>74.358140221209226</v>
      </c>
      <c r="V366" s="72">
        <f t="shared" ca="1" si="154"/>
        <v>1000000000</v>
      </c>
      <c r="W366" s="72">
        <f t="shared" si="155"/>
        <v>870958144</v>
      </c>
      <c r="Y366" s="110">
        <f t="shared" si="156"/>
        <v>18.858132471476779</v>
      </c>
      <c r="Z366" s="111">
        <f t="shared" si="157"/>
        <v>-42.881812182313418</v>
      </c>
      <c r="AA366" s="72">
        <f t="shared" si="158"/>
        <v>137.11818781768659</v>
      </c>
      <c r="AB366" s="110">
        <f t="shared" ca="1" si="159"/>
        <v>-1.4964990295800851</v>
      </c>
      <c r="AC366" s="111">
        <f t="shared" ca="1" si="160"/>
        <v>-62.760047596477349</v>
      </c>
      <c r="AD366" s="72">
        <f t="shared" ca="1" si="161"/>
        <v>117.23995240352265</v>
      </c>
    </row>
    <row r="367" spans="1:30">
      <c r="A367" s="118">
        <v>29684</v>
      </c>
      <c r="B367" s="101">
        <f t="shared" ca="1" si="135"/>
        <v>485.81527634818775</v>
      </c>
      <c r="C367" s="102">
        <f t="shared" ca="1" si="136"/>
        <v>1.5687379297974131</v>
      </c>
      <c r="D367" s="102">
        <f t="shared" si="137"/>
        <v>49.528520456785969</v>
      </c>
      <c r="E367" s="103">
        <f t="shared" si="138"/>
        <v>1.550604567679172</v>
      </c>
      <c r="F367" s="101">
        <f t="shared" si="139"/>
        <v>4028.6176889283724</v>
      </c>
      <c r="G367" s="104">
        <f t="shared" si="140"/>
        <v>1.5705481026923669</v>
      </c>
      <c r="H367" s="113">
        <f t="shared" si="141"/>
        <v>484.94587040876775</v>
      </c>
      <c r="I367" s="114">
        <f t="shared" si="142"/>
        <v>1.5687342395193455</v>
      </c>
      <c r="J367" s="101">
        <f t="shared" si="143"/>
        <v>49.402651886407028</v>
      </c>
      <c r="K367" s="104">
        <f t="shared" si="144"/>
        <v>1.5505531158940706</v>
      </c>
      <c r="L367" s="102">
        <f t="shared" si="145"/>
        <v>2.37498217157404</v>
      </c>
      <c r="M367" s="103">
        <f t="shared" si="146"/>
        <v>1.1361873164926151</v>
      </c>
      <c r="N367" s="101">
        <f t="shared" si="147"/>
        <v>1.057732400974623</v>
      </c>
      <c r="O367" s="104">
        <f t="shared" si="148"/>
        <v>0.33191916986621223</v>
      </c>
      <c r="P367" s="105">
        <f t="shared" ca="1" si="149"/>
        <v>1.9347709851196577</v>
      </c>
      <c r="Q367" s="106">
        <f t="shared" ca="1" si="150"/>
        <v>1.080015488261203</v>
      </c>
      <c r="R367" s="107">
        <f t="shared" ca="1" si="151"/>
        <v>1.3926719402136545</v>
      </c>
      <c r="S367" s="108">
        <f t="shared" ca="1" si="152"/>
        <v>-105.78220028227526</v>
      </c>
      <c r="T367" s="116">
        <f t="shared" ca="1" si="153"/>
        <v>74.217799717724745</v>
      </c>
      <c r="V367" s="72">
        <f t="shared" ca="1" si="154"/>
        <v>1000000000</v>
      </c>
      <c r="W367" s="72">
        <f t="shared" si="155"/>
        <v>881139856</v>
      </c>
      <c r="Y367" s="110">
        <f t="shared" si="156"/>
        <v>18.843829529174467</v>
      </c>
      <c r="Z367" s="111">
        <f t="shared" si="157"/>
        <v>-42.862905806494041</v>
      </c>
      <c r="AA367" s="72">
        <f t="shared" si="158"/>
        <v>137.13709419350596</v>
      </c>
      <c r="AB367" s="110">
        <f t="shared" ca="1" si="159"/>
        <v>-1.5335572420793084</v>
      </c>
      <c r="AC367" s="111">
        <f t="shared" ca="1" si="160"/>
        <v>-62.919294475781243</v>
      </c>
      <c r="AD367" s="72">
        <f t="shared" ca="1" si="161"/>
        <v>117.08070552421876</v>
      </c>
    </row>
    <row r="368" spans="1:30">
      <c r="A368" s="118">
        <v>29856</v>
      </c>
      <c r="B368" s="101">
        <f t="shared" ca="1" si="135"/>
        <v>488.63025662401549</v>
      </c>
      <c r="C368" s="102">
        <f t="shared" ca="1" si="136"/>
        <v>1.5687497881606278</v>
      </c>
      <c r="D368" s="102">
        <f t="shared" si="137"/>
        <v>49.81539024425247</v>
      </c>
      <c r="E368" s="103">
        <f t="shared" si="138"/>
        <v>1.5507208607797232</v>
      </c>
      <c r="F368" s="101">
        <f t="shared" si="139"/>
        <v>4051.9609782399239</v>
      </c>
      <c r="G368" s="104">
        <f t="shared" si="140"/>
        <v>1.5705495327079049</v>
      </c>
      <c r="H368" s="113">
        <f t="shared" si="141"/>
        <v>487.75581300589732</v>
      </c>
      <c r="I368" s="114">
        <f t="shared" si="142"/>
        <v>1.5687461191420218</v>
      </c>
      <c r="J368" s="101">
        <f t="shared" si="143"/>
        <v>49.688792047928636</v>
      </c>
      <c r="K368" s="104">
        <f t="shared" si="144"/>
        <v>1.5506697051674445</v>
      </c>
      <c r="L368" s="102">
        <f t="shared" si="145"/>
        <v>2.3863097264308046</v>
      </c>
      <c r="M368" s="103">
        <f t="shared" si="146"/>
        <v>1.1383897534442782</v>
      </c>
      <c r="N368" s="101">
        <f t="shared" si="147"/>
        <v>1.0583848719760367</v>
      </c>
      <c r="O368" s="104">
        <f t="shared" si="148"/>
        <v>0.33370315438091608</v>
      </c>
      <c r="P368" s="105">
        <f t="shared" ca="1" si="149"/>
        <v>1.9430167219840897</v>
      </c>
      <c r="Q368" s="106">
        <f t="shared" ca="1" si="150"/>
        <v>1.0828787404859903</v>
      </c>
      <c r="R368" s="107">
        <f t="shared" ca="1" si="151"/>
        <v>1.3415214557808222</v>
      </c>
      <c r="S368" s="108">
        <f t="shared" ca="1" si="152"/>
        <v>-105.92237467726279</v>
      </c>
      <c r="T368" s="116">
        <f t="shared" ca="1" si="153"/>
        <v>74.077625322737205</v>
      </c>
      <c r="V368" s="72">
        <f t="shared" ca="1" si="154"/>
        <v>1000000000</v>
      </c>
      <c r="W368" s="72">
        <f t="shared" si="155"/>
        <v>891380736</v>
      </c>
      <c r="Y368" s="110">
        <f t="shared" si="156"/>
        <v>18.829638621051373</v>
      </c>
      <c r="Z368" s="111">
        <f t="shared" si="157"/>
        <v>-42.845011602823092</v>
      </c>
      <c r="AA368" s="72">
        <f t="shared" si="158"/>
        <v>137.15498839717691</v>
      </c>
      <c r="AB368" s="110">
        <f t="shared" ca="1" si="159"/>
        <v>-1.5705168183890486</v>
      </c>
      <c r="AC368" s="111">
        <f t="shared" ca="1" si="160"/>
        <v>-63.077363074439674</v>
      </c>
      <c r="AD368" s="72">
        <f t="shared" ca="1" si="161"/>
        <v>116.92263692556033</v>
      </c>
    </row>
    <row r="369" spans="1:30">
      <c r="A369" s="118">
        <v>30028</v>
      </c>
      <c r="B369" s="101">
        <f t="shared" ca="1" si="135"/>
        <v>491.44523696776776</v>
      </c>
      <c r="C369" s="102">
        <f t="shared" ca="1" si="136"/>
        <v>1.5687615106753026</v>
      </c>
      <c r="D369" s="102">
        <f t="shared" si="137"/>
        <v>50.102260697711685</v>
      </c>
      <c r="E369" s="103">
        <f t="shared" si="138"/>
        <v>1.5508358221632841</v>
      </c>
      <c r="F369" s="101">
        <f t="shared" si="139"/>
        <v>4075.3042675596676</v>
      </c>
      <c r="G369" s="104">
        <f t="shared" si="140"/>
        <v>1.5705509463412222</v>
      </c>
      <c r="H369" s="113">
        <f t="shared" si="141"/>
        <v>490.56575567107302</v>
      </c>
      <c r="I369" s="114">
        <f t="shared" si="142"/>
        <v>1.5687578626726133</v>
      </c>
      <c r="J369" s="101">
        <f t="shared" si="143"/>
        <v>49.9749328771384</v>
      </c>
      <c r="K369" s="104">
        <f t="shared" si="144"/>
        <v>1.5507849593349698</v>
      </c>
      <c r="L369" s="102">
        <f t="shared" si="145"/>
        <v>2.3976487472215835</v>
      </c>
      <c r="M369" s="103">
        <f t="shared" si="146"/>
        <v>1.140571369254642</v>
      </c>
      <c r="N369" s="101">
        <f t="shared" si="147"/>
        <v>1.0590407072371499</v>
      </c>
      <c r="O369" s="104">
        <f t="shared" si="148"/>
        <v>0.3354849350137783</v>
      </c>
      <c r="P369" s="105">
        <f t="shared" ca="1" si="149"/>
        <v>1.9512754945442696</v>
      </c>
      <c r="Q369" s="106">
        <f t="shared" ca="1" si="150"/>
        <v>1.0857204527972959</v>
      </c>
      <c r="R369" s="107">
        <f t="shared" ca="1" si="151"/>
        <v>1.2905791788951215</v>
      </c>
      <c r="S369" s="108">
        <f t="shared" ca="1" si="152"/>
        <v>-106.06238049766425</v>
      </c>
      <c r="T369" s="116">
        <f t="shared" ca="1" si="153"/>
        <v>73.93761950233575</v>
      </c>
      <c r="V369" s="72">
        <f t="shared" ca="1" si="154"/>
        <v>1000000000</v>
      </c>
      <c r="W369" s="72">
        <f t="shared" si="155"/>
        <v>901680784</v>
      </c>
      <c r="Y369" s="110">
        <f t="shared" si="156"/>
        <v>18.815557171386732</v>
      </c>
      <c r="Z369" s="111">
        <f t="shared" si="157"/>
        <v>-42.82811445248597</v>
      </c>
      <c r="AA369" s="72">
        <f t="shared" si="158"/>
        <v>137.17188554751402</v>
      </c>
      <c r="AB369" s="110">
        <f t="shared" ca="1" si="159"/>
        <v>-1.6073776456101074</v>
      </c>
      <c r="AC369" s="111">
        <f t="shared" ca="1" si="160"/>
        <v>-63.234266045178238</v>
      </c>
      <c r="AD369" s="72">
        <f t="shared" ca="1" si="161"/>
        <v>116.76573395482177</v>
      </c>
    </row>
    <row r="370" spans="1:30">
      <c r="A370" s="118">
        <v>30200</v>
      </c>
      <c r="B370" s="101">
        <f t="shared" ca="1" si="135"/>
        <v>494.26021737828381</v>
      </c>
      <c r="C370" s="102">
        <f t="shared" ca="1" si="136"/>
        <v>1.5687730996625451</v>
      </c>
      <c r="D370" s="102">
        <f t="shared" si="137"/>
        <v>50.389131805788907</v>
      </c>
      <c r="E370" s="103">
        <f t="shared" si="138"/>
        <v>1.5509494745716426</v>
      </c>
      <c r="F370" s="101">
        <f t="shared" si="139"/>
        <v>4098.6475568874621</v>
      </c>
      <c r="G370" s="104">
        <f t="shared" si="140"/>
        <v>1.5705523438722273</v>
      </c>
      <c r="H370" s="113">
        <f t="shared" si="141"/>
        <v>493.37569840313233</v>
      </c>
      <c r="I370" s="114">
        <f t="shared" si="142"/>
        <v>1.568769472436389</v>
      </c>
      <c r="J370" s="101">
        <f t="shared" si="143"/>
        <v>50.261074362632698</v>
      </c>
      <c r="K370" s="104">
        <f t="shared" si="144"/>
        <v>1.5508989011962444</v>
      </c>
      <c r="L370" s="102">
        <f t="shared" si="145"/>
        <v>2.4089990720378944</v>
      </c>
      <c r="M370" s="103">
        <f t="shared" si="146"/>
        <v>1.14273243731424</v>
      </c>
      <c r="N370" s="101">
        <f t="shared" si="147"/>
        <v>1.0596999005116654</v>
      </c>
      <c r="O370" s="104">
        <f t="shared" si="148"/>
        <v>0.33726450455381102</v>
      </c>
      <c r="P370" s="105">
        <f t="shared" ca="1" si="149"/>
        <v>1.9595471473083899</v>
      </c>
      <c r="Q370" s="106">
        <f t="shared" ca="1" si="150"/>
        <v>1.0885408639718388</v>
      </c>
      <c r="R370" s="107">
        <f t="shared" ca="1" si="151"/>
        <v>1.2398426931165196</v>
      </c>
      <c r="S370" s="108">
        <f t="shared" ca="1" si="152"/>
        <v>-106.20221536620639</v>
      </c>
      <c r="T370" s="116">
        <f t="shared" ca="1" si="153"/>
        <v>73.797784633793611</v>
      </c>
      <c r="V370" s="72">
        <f t="shared" ca="1" si="154"/>
        <v>1000000000</v>
      </c>
      <c r="W370" s="72">
        <f t="shared" si="155"/>
        <v>912040000</v>
      </c>
      <c r="Y370" s="110">
        <f t="shared" si="156"/>
        <v>18.801582667969686</v>
      </c>
      <c r="Z370" s="111">
        <f t="shared" si="157"/>
        <v>-42.812199467329947</v>
      </c>
      <c r="AA370" s="72">
        <f t="shared" si="158"/>
        <v>137.18780053267005</v>
      </c>
      <c r="AB370" s="110">
        <f t="shared" ca="1" si="159"/>
        <v>-1.6441396279716647</v>
      </c>
      <c r="AC370" s="111">
        <f t="shared" ca="1" si="160"/>
        <v>-63.39001589887647</v>
      </c>
      <c r="AD370" s="72">
        <f t="shared" ca="1" si="161"/>
        <v>116.60998410112353</v>
      </c>
    </row>
    <row r="371" spans="1:30">
      <c r="A371" s="118">
        <v>30375.75</v>
      </c>
      <c r="B371" s="101">
        <f t="shared" ca="1" si="135"/>
        <v>497.13657097599827</v>
      </c>
      <c r="C371" s="102">
        <f t="shared" ca="1" si="136"/>
        <v>1.5687848057506761</v>
      </c>
      <c r="D371" s="102">
        <f t="shared" si="137"/>
        <v>50.682258035780805</v>
      </c>
      <c r="E371" s="103">
        <f t="shared" si="138"/>
        <v>1.5510642758956006</v>
      </c>
      <c r="F371" s="101">
        <f t="shared" si="139"/>
        <v>4122.4997842174962</v>
      </c>
      <c r="G371" s="104">
        <f t="shared" si="140"/>
        <v>1.5705537555245148</v>
      </c>
      <c r="H371" s="113">
        <f t="shared" si="141"/>
        <v>496.24690448940567</v>
      </c>
      <c r="I371" s="114">
        <f t="shared" si="142"/>
        <v>1.5687811995109917</v>
      </c>
      <c r="J371" s="101">
        <f t="shared" si="143"/>
        <v>50.55345506426459</v>
      </c>
      <c r="K371" s="104">
        <f t="shared" si="144"/>
        <v>1.5510139949018695</v>
      </c>
      <c r="L371" s="102">
        <f t="shared" si="145"/>
        <v>2.4206083712767921</v>
      </c>
      <c r="M371" s="103">
        <f t="shared" si="146"/>
        <v>1.1449196769558525</v>
      </c>
      <c r="N371" s="101">
        <f t="shared" si="147"/>
        <v>1.0603769278467159</v>
      </c>
      <c r="O371" s="104">
        <f t="shared" si="148"/>
        <v>0.33908058149421361</v>
      </c>
      <c r="P371" s="105">
        <f t="shared" ca="1" si="149"/>
        <v>1.9680122865747107</v>
      </c>
      <c r="Q371" s="106">
        <f t="shared" ca="1" si="150"/>
        <v>1.0914010092266462</v>
      </c>
      <c r="R371" s="107">
        <f t="shared" ca="1" si="151"/>
        <v>1.1882101371321414</v>
      </c>
      <c r="S371" s="108">
        <f t="shared" ca="1" si="152"/>
        <v>-106.3449199934898</v>
      </c>
      <c r="T371" s="116">
        <f t="shared" ca="1" si="153"/>
        <v>73.655080006510204</v>
      </c>
      <c r="V371" s="72">
        <f t="shared" ca="1" si="154"/>
        <v>1000000000</v>
      </c>
      <c r="W371" s="72">
        <f t="shared" si="155"/>
        <v>922686188.0625</v>
      </c>
      <c r="Y371" s="110">
        <f t="shared" si="156"/>
        <v>18.787411407838562</v>
      </c>
      <c r="Z371" s="111">
        <f t="shared" si="157"/>
        <v>-42.79693676443879</v>
      </c>
      <c r="AA371" s="72">
        <f t="shared" si="158"/>
        <v>137.20306323556122</v>
      </c>
      <c r="AB371" s="110">
        <f t="shared" ca="1" si="159"/>
        <v>-1.6816009238249165</v>
      </c>
      <c r="AC371" s="111">
        <f t="shared" ca="1" si="160"/>
        <v>-63.547983229050999</v>
      </c>
      <c r="AD371" s="72">
        <f t="shared" ca="1" si="161"/>
        <v>116.452016770949</v>
      </c>
    </row>
    <row r="372" spans="1:30">
      <c r="A372" s="118">
        <v>30551.5</v>
      </c>
      <c r="B372" s="101">
        <f t="shared" ca="1" si="135"/>
        <v>500.0129246410529</v>
      </c>
      <c r="C372" s="102">
        <f t="shared" ca="1" si="136"/>
        <v>1.5687963771588922</v>
      </c>
      <c r="D372" s="102">
        <f t="shared" si="137"/>
        <v>50.975384926049621</v>
      </c>
      <c r="E372" s="103">
        <f t="shared" si="138"/>
        <v>1.5511777569228162</v>
      </c>
      <c r="F372" s="101">
        <f t="shared" si="139"/>
        <v>4146.3520115556503</v>
      </c>
      <c r="G372" s="104">
        <f t="shared" si="140"/>
        <v>1.5705551509355129</v>
      </c>
      <c r="H372" s="113">
        <f t="shared" si="141"/>
        <v>499.1181106431398</v>
      </c>
      <c r="I372" s="114">
        <f t="shared" si="142"/>
        <v>1.5687927916642292</v>
      </c>
      <c r="J372" s="101">
        <f t="shared" si="143"/>
        <v>50.845836427854358</v>
      </c>
      <c r="K372" s="104">
        <f t="shared" si="144"/>
        <v>1.5511277649507704</v>
      </c>
      <c r="L372" s="102">
        <f t="shared" si="145"/>
        <v>2.4322291401682916</v>
      </c>
      <c r="M372" s="103">
        <f t="shared" si="146"/>
        <v>1.1470860263758484</v>
      </c>
      <c r="N372" s="101">
        <f t="shared" si="147"/>
        <v>1.0610574479787911</v>
      </c>
      <c r="O372" s="104">
        <f t="shared" si="148"/>
        <v>0.34089433489090948</v>
      </c>
      <c r="P372" s="105">
        <f t="shared" ca="1" si="149"/>
        <v>1.9764905532332315</v>
      </c>
      <c r="Q372" s="106">
        <f t="shared" ca="1" si="150"/>
        <v>1.0942394091331225</v>
      </c>
      <c r="R372" s="107">
        <f t="shared" ca="1" si="151"/>
        <v>1.1367874855774254</v>
      </c>
      <c r="S372" s="108">
        <f t="shared" ca="1" si="152"/>
        <v>-106.48744138713731</v>
      </c>
      <c r="T372" s="116">
        <f t="shared" ca="1" si="153"/>
        <v>73.512558612862691</v>
      </c>
      <c r="V372" s="72">
        <f t="shared" ca="1" si="154"/>
        <v>1000000000</v>
      </c>
      <c r="W372" s="72">
        <f t="shared" si="155"/>
        <v>933394152.25</v>
      </c>
      <c r="Y372" s="110">
        <f t="shared" si="156"/>
        <v>18.773346700429801</v>
      </c>
      <c r="Z372" s="111">
        <f t="shared" si="157"/>
        <v>-42.782668813756189</v>
      </c>
      <c r="AA372" s="72">
        <f t="shared" si="158"/>
        <v>137.21733118624383</v>
      </c>
      <c r="AB372" s="110">
        <f t="shared" ca="1" si="159"/>
        <v>-1.7189588679708732</v>
      </c>
      <c r="AC372" s="111">
        <f t="shared" ca="1" si="160"/>
        <v>-63.704772573381099</v>
      </c>
      <c r="AD372" s="72">
        <f t="shared" ca="1" si="161"/>
        <v>116.29522742661891</v>
      </c>
    </row>
    <row r="373" spans="1:30">
      <c r="A373" s="118">
        <v>30727.25</v>
      </c>
      <c r="B373" s="101">
        <f t="shared" ca="1" si="135"/>
        <v>502.88927837229204</v>
      </c>
      <c r="C373" s="102">
        <f t="shared" ca="1" si="136"/>
        <v>1.5688078161981582</v>
      </c>
      <c r="D373" s="102">
        <f t="shared" si="137"/>
        <v>51.268512465269993</v>
      </c>
      <c r="E373" s="103">
        <f t="shared" si="138"/>
        <v>1.5512899402967169</v>
      </c>
      <c r="F373" s="101">
        <f t="shared" si="139"/>
        <v>4170.2042389017861</v>
      </c>
      <c r="G373" s="104">
        <f t="shared" si="140"/>
        <v>1.5705565303839066</v>
      </c>
      <c r="H373" s="113">
        <f t="shared" si="141"/>
        <v>501.98931686317724</v>
      </c>
      <c r="I373" s="114">
        <f t="shared" si="142"/>
        <v>1.5688042512112104</v>
      </c>
      <c r="J373" s="101">
        <f t="shared" si="143"/>
        <v>51.138218442047837</v>
      </c>
      <c r="K373" s="104">
        <f t="shared" si="144"/>
        <v>1.5512402340439402</v>
      </c>
      <c r="L373" s="102">
        <f t="shared" si="145"/>
        <v>2.4438612150948642</v>
      </c>
      <c r="M373" s="103">
        <f t="shared" si="146"/>
        <v>1.1492317633886877</v>
      </c>
      <c r="N373" s="101">
        <f t="shared" si="147"/>
        <v>1.0617414541917964</v>
      </c>
      <c r="O373" s="104">
        <f t="shared" si="148"/>
        <v>0.34270575728979769</v>
      </c>
      <c r="P373" s="105">
        <f t="shared" ca="1" si="149"/>
        <v>1.98498178907208</v>
      </c>
      <c r="Q373" s="106">
        <f t="shared" ca="1" si="150"/>
        <v>1.0970563090742105</v>
      </c>
      <c r="R373" s="107">
        <f t="shared" ca="1" si="151"/>
        <v>1.0855723028400239</v>
      </c>
      <c r="S373" s="108">
        <f t="shared" ca="1" si="152"/>
        <v>-106.62977728089967</v>
      </c>
      <c r="T373" s="116">
        <f t="shared" ca="1" si="153"/>
        <v>73.370222719100326</v>
      </c>
      <c r="V373" s="72">
        <f t="shared" ca="1" si="154"/>
        <v>1000000000</v>
      </c>
      <c r="W373" s="72">
        <f t="shared" si="155"/>
        <v>944163892.5625</v>
      </c>
      <c r="Y373" s="110">
        <f t="shared" si="156"/>
        <v>18.759386059916729</v>
      </c>
      <c r="Z373" s="111">
        <f t="shared" si="157"/>
        <v>-42.769380454590255</v>
      </c>
      <c r="AA373" s="72">
        <f t="shared" si="158"/>
        <v>137.23061954540975</v>
      </c>
      <c r="AB373" s="110">
        <f t="shared" ca="1" si="159"/>
        <v>-1.7562134101952007</v>
      </c>
      <c r="AC373" s="111">
        <f t="shared" ca="1" si="160"/>
        <v>-63.860396826309504</v>
      </c>
      <c r="AD373" s="72">
        <f t="shared" ca="1" si="161"/>
        <v>116.13960317369049</v>
      </c>
    </row>
    <row r="374" spans="1:30">
      <c r="A374" s="118">
        <v>30903</v>
      </c>
      <c r="B374" s="101">
        <f t="shared" ca="1" si="135"/>
        <v>505.76563216858665</v>
      </c>
      <c r="C374" s="102">
        <f t="shared" ca="1" si="136"/>
        <v>1.5688191251268691</v>
      </c>
      <c r="D374" s="102">
        <f t="shared" si="137"/>
        <v>51.561640642374051</v>
      </c>
      <c r="E374" s="103">
        <f t="shared" si="138"/>
        <v>1.5514008481459507</v>
      </c>
      <c r="F374" s="101">
        <f t="shared" si="139"/>
        <v>4194.0564662557672</v>
      </c>
      <c r="G374" s="104">
        <f t="shared" si="140"/>
        <v>1.5705578941420411</v>
      </c>
      <c r="H374" s="113">
        <f t="shared" si="141"/>
        <v>504.86052314838673</v>
      </c>
      <c r="I374" s="114">
        <f t="shared" si="142"/>
        <v>1.5688155804143777</v>
      </c>
      <c r="J374" s="101">
        <f t="shared" si="143"/>
        <v>51.430601095749026</v>
      </c>
      <c r="K374" s="104">
        <f t="shared" si="144"/>
        <v>1.5513514243662849</v>
      </c>
      <c r="L374" s="102">
        <f t="shared" si="145"/>
        <v>2.4555044353816107</v>
      </c>
      <c r="M374" s="103">
        <f t="shared" si="146"/>
        <v>1.1513571613065263</v>
      </c>
      <c r="N374" s="101">
        <f t="shared" si="147"/>
        <v>1.062428939752573</v>
      </c>
      <c r="O374" s="104">
        <f t="shared" si="148"/>
        <v>0.34451484131711307</v>
      </c>
      <c r="P374" s="105">
        <f t="shared" ca="1" si="149"/>
        <v>1.9934858383772283</v>
      </c>
      <c r="Q374" s="106">
        <f t="shared" ca="1" si="150"/>
        <v>1.099851951347345</v>
      </c>
      <c r="R374" s="107">
        <f t="shared" ca="1" si="151"/>
        <v>1.0345621988036371</v>
      </c>
      <c r="S374" s="108">
        <f t="shared" ca="1" si="152"/>
        <v>-106.77192549387442</v>
      </c>
      <c r="T374" s="116">
        <f t="shared" ca="1" si="153"/>
        <v>73.22807450612558</v>
      </c>
      <c r="V374" s="72">
        <f t="shared" ca="1" si="154"/>
        <v>1000000000</v>
      </c>
      <c r="W374" s="72">
        <f t="shared" si="155"/>
        <v>954995409</v>
      </c>
      <c r="Y374" s="110">
        <f t="shared" si="156"/>
        <v>18.74552706235723</v>
      </c>
      <c r="Z374" s="111">
        <f t="shared" si="157"/>
        <v>-42.757056761899506</v>
      </c>
      <c r="AA374" s="72">
        <f t="shared" si="158"/>
        <v>137.24294323810051</v>
      </c>
      <c r="AB374" s="110">
        <f t="shared" ca="1" si="159"/>
        <v>-1.7933645166720891</v>
      </c>
      <c r="AC374" s="111">
        <f t="shared" ca="1" si="160"/>
        <v>-64.014868731974985</v>
      </c>
      <c r="AD374" s="72">
        <f t="shared" ca="1" si="161"/>
        <v>115.98513126802501</v>
      </c>
    </row>
    <row r="375" spans="1:30">
      <c r="A375" s="118">
        <v>31083</v>
      </c>
      <c r="B375" s="101">
        <f t="shared" ca="1" si="135"/>
        <v>508.71154223960764</v>
      </c>
      <c r="C375" s="102">
        <f t="shared" ca="1" si="136"/>
        <v>1.5688305749669986</v>
      </c>
      <c r="D375" s="102">
        <f t="shared" si="137"/>
        <v>51.861857917479298</v>
      </c>
      <c r="E375" s="103">
        <f t="shared" si="138"/>
        <v>1.5515131384093412</v>
      </c>
      <c r="F375" s="101">
        <f t="shared" si="139"/>
        <v>4218.4854900117916</v>
      </c>
      <c r="G375" s="104">
        <f t="shared" si="140"/>
        <v>1.5705592748928021</v>
      </c>
      <c r="H375" s="113">
        <f t="shared" si="141"/>
        <v>507.80116123093291</v>
      </c>
      <c r="I375" s="114">
        <f t="shared" si="142"/>
        <v>1.5688270507815893</v>
      </c>
      <c r="J375" s="101">
        <f t="shared" si="143"/>
        <v>51.730054820801854</v>
      </c>
      <c r="K375" s="104">
        <f t="shared" si="144"/>
        <v>1.5514640006261677</v>
      </c>
      <c r="L375" s="102">
        <f t="shared" si="145"/>
        <v>2.4674406009468401</v>
      </c>
      <c r="M375" s="103">
        <f t="shared" si="146"/>
        <v>1.1535131538975349</v>
      </c>
      <c r="N375" s="101">
        <f t="shared" si="147"/>
        <v>1.0631366496605896</v>
      </c>
      <c r="O375" s="104">
        <f t="shared" si="148"/>
        <v>0.34636524125739515</v>
      </c>
      <c r="P375" s="105">
        <f t="shared" ca="1" si="149"/>
        <v>2.0022086551246452</v>
      </c>
      <c r="Q375" s="106">
        <f t="shared" ca="1" si="150"/>
        <v>1.1026934130649642</v>
      </c>
      <c r="R375" s="107">
        <f t="shared" ca="1" si="151"/>
        <v>0.98252869112214525</v>
      </c>
      <c r="S375" s="108">
        <f t="shared" ca="1" si="152"/>
        <v>-106.91731441043929</v>
      </c>
      <c r="T375" s="116">
        <f t="shared" ca="1" si="153"/>
        <v>73.082685589560711</v>
      </c>
      <c r="V375" s="72">
        <f t="shared" ca="1" si="154"/>
        <v>1000000000</v>
      </c>
      <c r="W375" s="72">
        <f t="shared" si="155"/>
        <v>966152889</v>
      </c>
      <c r="Y375" s="110">
        <f t="shared" si="156"/>
        <v>18.731435815450006</v>
      </c>
      <c r="Z375" s="111">
        <f t="shared" si="157"/>
        <v>-42.745419644874481</v>
      </c>
      <c r="AA375" s="72">
        <f t="shared" si="158"/>
        <v>137.25458035512551</v>
      </c>
      <c r="AB375" s="110">
        <f t="shared" ca="1" si="159"/>
        <v>-1.8313067774463534</v>
      </c>
      <c r="AC375" s="111">
        <f t="shared" ca="1" si="160"/>
        <v>-64.171894765564787</v>
      </c>
      <c r="AD375" s="72">
        <f t="shared" ca="1" si="161"/>
        <v>115.82810523443521</v>
      </c>
    </row>
    <row r="376" spans="1:30">
      <c r="A376" s="118">
        <v>31263</v>
      </c>
      <c r="B376" s="101">
        <f t="shared" ca="1" si="135"/>
        <v>511.65745237655216</v>
      </c>
      <c r="C376" s="102">
        <f t="shared" ca="1" si="136"/>
        <v>1.5688418929603247</v>
      </c>
      <c r="D376" s="102">
        <f t="shared" si="137"/>
        <v>52.162075838988706</v>
      </c>
      <c r="E376" s="103">
        <f t="shared" si="138"/>
        <v>1.5516241361047967</v>
      </c>
      <c r="F376" s="101">
        <f t="shared" si="139"/>
        <v>4242.914513775766</v>
      </c>
      <c r="G376" s="104">
        <f t="shared" si="140"/>
        <v>1.5705606397439293</v>
      </c>
      <c r="H376" s="113">
        <f t="shared" si="141"/>
        <v>510.74179937952084</v>
      </c>
      <c r="I376" s="114">
        <f t="shared" si="142"/>
        <v>1.5688383890656268</v>
      </c>
      <c r="J376" s="101">
        <f t="shared" si="143"/>
        <v>52.029509193904573</v>
      </c>
      <c r="K376" s="104">
        <f t="shared" si="144"/>
        <v>1.5515752810284682</v>
      </c>
      <c r="L376" s="102">
        <f t="shared" si="145"/>
        <v>2.4793881254641503</v>
      </c>
      <c r="M376" s="103">
        <f t="shared" si="146"/>
        <v>1.1556483780025728</v>
      </c>
      <c r="N376" s="101">
        <f t="shared" si="147"/>
        <v>1.0638479948767734</v>
      </c>
      <c r="O376" s="104">
        <f t="shared" si="148"/>
        <v>0.34821317296676396</v>
      </c>
      <c r="P376" s="105">
        <f t="shared" ca="1" si="149"/>
        <v>2.010944589767361</v>
      </c>
      <c r="Q376" s="106">
        <f t="shared" ca="1" si="150"/>
        <v>1.1055130812616405</v>
      </c>
      <c r="R376" s="107">
        <f t="shared" ca="1" si="151"/>
        <v>0.93070536690238748</v>
      </c>
      <c r="S376" s="108">
        <f t="shared" ca="1" si="152"/>
        <v>-107.06250209169021</v>
      </c>
      <c r="T376" s="116">
        <f t="shared" ca="1" si="153"/>
        <v>72.937497908309794</v>
      </c>
      <c r="V376" s="72">
        <f t="shared" ca="1" si="154"/>
        <v>1000000000</v>
      </c>
      <c r="W376" s="72">
        <f t="shared" si="155"/>
        <v>977375169</v>
      </c>
      <c r="Y376" s="110">
        <f t="shared" si="156"/>
        <v>18.717446231744614</v>
      </c>
      <c r="Z376" s="111">
        <f t="shared" si="157"/>
        <v>-42.734763464885582</v>
      </c>
      <c r="AA376" s="72">
        <f t="shared" si="158"/>
        <v>137.26523653511441</v>
      </c>
      <c r="AB376" s="110">
        <f t="shared" ca="1" si="159"/>
        <v>-1.8691405179607201</v>
      </c>
      <c r="AC376" s="111">
        <f t="shared" ca="1" si="160"/>
        <v>-64.327738626804575</v>
      </c>
      <c r="AD376" s="72">
        <f t="shared" ca="1" si="161"/>
        <v>115.67226137319543</v>
      </c>
    </row>
    <row r="377" spans="1:30">
      <c r="A377" s="118">
        <v>31443</v>
      </c>
      <c r="B377" s="101">
        <f t="shared" ca="1" si="135"/>
        <v>514.60336257828794</v>
      </c>
      <c r="C377" s="102">
        <f t="shared" ca="1" si="136"/>
        <v>1.5688530813711645</v>
      </c>
      <c r="D377" s="102">
        <f t="shared" si="137"/>
        <v>52.462294395805031</v>
      </c>
      <c r="E377" s="103">
        <f t="shared" si="138"/>
        <v>1.5517338634199458</v>
      </c>
      <c r="F377" s="101">
        <f t="shared" si="139"/>
        <v>4267.3435375475538</v>
      </c>
      <c r="G377" s="104">
        <f t="shared" si="140"/>
        <v>1.5705619889684823</v>
      </c>
      <c r="H377" s="113">
        <f t="shared" si="141"/>
        <v>513.68243759301629</v>
      </c>
      <c r="I377" s="114">
        <f t="shared" si="142"/>
        <v>1.5688495975348662</v>
      </c>
      <c r="J377" s="101">
        <f t="shared" si="143"/>
        <v>52.328964203931719</v>
      </c>
      <c r="K377" s="104">
        <f t="shared" si="144"/>
        <v>1.5516852878172285</v>
      </c>
      <c r="L377" s="102">
        <f t="shared" si="145"/>
        <v>2.49134684551428</v>
      </c>
      <c r="M377" s="103">
        <f t="shared" si="146"/>
        <v>1.1577631130832842</v>
      </c>
      <c r="N377" s="101">
        <f t="shared" si="147"/>
        <v>1.0645629681137425</v>
      </c>
      <c r="O377" s="104">
        <f t="shared" si="148"/>
        <v>0.35005862878492627</v>
      </c>
      <c r="P377" s="105">
        <f t="shared" ca="1" si="149"/>
        <v>2.0196934828875701</v>
      </c>
      <c r="Q377" s="106">
        <f t="shared" ca="1" si="150"/>
        <v>1.1083112063979512</v>
      </c>
      <c r="R377" s="107">
        <f t="shared" ca="1" si="151"/>
        <v>0.87908979923288855</v>
      </c>
      <c r="S377" s="108">
        <f t="shared" ca="1" si="152"/>
        <v>-107.20748645573073</v>
      </c>
      <c r="T377" s="116">
        <f t="shared" ca="1" si="153"/>
        <v>72.792513544269269</v>
      </c>
      <c r="V377" s="72">
        <f t="shared" ca="1" si="154"/>
        <v>1000000000</v>
      </c>
      <c r="W377" s="72">
        <f t="shared" si="155"/>
        <v>988662249</v>
      </c>
      <c r="Y377" s="110">
        <f t="shared" si="156"/>
        <v>18.703555897966243</v>
      </c>
      <c r="Z377" s="111">
        <f t="shared" si="157"/>
        <v>-42.725072931224076</v>
      </c>
      <c r="AA377" s="72">
        <f t="shared" si="158"/>
        <v>137.27492706877592</v>
      </c>
      <c r="AB377" s="110">
        <f t="shared" ca="1" si="159"/>
        <v>-1.9068657518518519</v>
      </c>
      <c r="AC377" s="111">
        <f t="shared" ca="1" si="160"/>
        <v>-64.482413524506597</v>
      </c>
      <c r="AD377" s="72">
        <f t="shared" ca="1" si="161"/>
        <v>115.5175864754934</v>
      </c>
    </row>
    <row r="378" spans="1:30">
      <c r="A378" s="118">
        <v>31623</v>
      </c>
      <c r="B378" s="101">
        <f t="shared" ca="1" si="135"/>
        <v>517.54927284370888</v>
      </c>
      <c r="C378" s="102">
        <f t="shared" ca="1" si="136"/>
        <v>1.5688641424122804</v>
      </c>
      <c r="D378" s="102">
        <f t="shared" si="137"/>
        <v>52.762513577083588</v>
      </c>
      <c r="E378" s="103">
        <f t="shared" si="138"/>
        <v>1.5518423420375498</v>
      </c>
      <c r="F378" s="101">
        <f t="shared" si="139"/>
        <v>4291.7725613270213</v>
      </c>
      <c r="G378" s="104">
        <f t="shared" si="140"/>
        <v>1.5705633228333029</v>
      </c>
      <c r="H378" s="113">
        <f t="shared" si="141"/>
        <v>516.6230758703108</v>
      </c>
      <c r="I378" s="114">
        <f t="shared" si="142"/>
        <v>1.568860678406037</v>
      </c>
      <c r="J378" s="101">
        <f t="shared" si="143"/>
        <v>52.62841984001102</v>
      </c>
      <c r="K378" s="104">
        <f t="shared" si="144"/>
        <v>1.5517940427303405</v>
      </c>
      <c r="L378" s="102">
        <f t="shared" si="145"/>
        <v>2.5033166006489993</v>
      </c>
      <c r="M378" s="103">
        <f t="shared" si="146"/>
        <v>1.159857633996821</v>
      </c>
      <c r="N378" s="101">
        <f t="shared" si="147"/>
        <v>1.0652815620665612</v>
      </c>
      <c r="O378" s="104">
        <f t="shared" si="148"/>
        <v>0.35190160113955876</v>
      </c>
      <c r="P378" s="105">
        <f t="shared" ca="1" si="149"/>
        <v>2.0284551776294983</v>
      </c>
      <c r="Q378" s="106">
        <f t="shared" ca="1" si="150"/>
        <v>1.111088035689372</v>
      </c>
      <c r="R378" s="107">
        <f t="shared" ca="1" si="151"/>
        <v>0.82767960627811066</v>
      </c>
      <c r="S378" s="108">
        <f t="shared" ca="1" si="152"/>
        <v>-107.35226550316774</v>
      </c>
      <c r="T378" s="116">
        <f t="shared" ca="1" si="153"/>
        <v>72.647734496832257</v>
      </c>
      <c r="V378" s="72">
        <f t="shared" ca="1" si="154"/>
        <v>1000000000</v>
      </c>
      <c r="W378" s="72">
        <f t="shared" si="155"/>
        <v>1000014129</v>
      </c>
      <c r="Y378" s="110">
        <f t="shared" si="156"/>
        <v>18.689762461649082</v>
      </c>
      <c r="Z378" s="111">
        <f t="shared" si="157"/>
        <v>-42.716332995642176</v>
      </c>
      <c r="AA378" s="72">
        <f t="shared" si="158"/>
        <v>137.28366700435782</v>
      </c>
      <c r="AB378" s="110">
        <f t="shared" ca="1" si="159"/>
        <v>-1.9444825084894646</v>
      </c>
      <c r="AC378" s="111">
        <f t="shared" ca="1" si="160"/>
        <v>-64.635932507525595</v>
      </c>
      <c r="AD378" s="72">
        <f t="shared" ca="1" si="161"/>
        <v>115.3640674924744</v>
      </c>
    </row>
    <row r="379" spans="1:30">
      <c r="A379" s="118">
        <v>31807</v>
      </c>
      <c r="B379" s="101">
        <f t="shared" ca="1" si="135"/>
        <v>520.56064784639227</v>
      </c>
      <c r="C379" s="102">
        <f t="shared" ca="1" si="136"/>
        <v>1.5688753198590439</v>
      </c>
      <c r="D379" s="102">
        <f t="shared" si="137"/>
        <v>53.069404930120747</v>
      </c>
      <c r="E379" s="103">
        <f t="shared" si="138"/>
        <v>1.55195196272527</v>
      </c>
      <c r="F379" s="101">
        <f t="shared" si="139"/>
        <v>4316.74445230939</v>
      </c>
      <c r="G379" s="104">
        <f t="shared" si="140"/>
        <v>1.5705646707355696</v>
      </c>
      <c r="H379" s="113">
        <f t="shared" si="141"/>
        <v>519.62906172969235</v>
      </c>
      <c r="I379" s="114">
        <f t="shared" si="142"/>
        <v>1.5688718758915474</v>
      </c>
      <c r="J379" s="101">
        <f t="shared" si="143"/>
        <v>52.934530681793078</v>
      </c>
      <c r="K379" s="104">
        <f t="shared" si="144"/>
        <v>1.5519039426247447</v>
      </c>
      <c r="L379" s="102">
        <f t="shared" si="145"/>
        <v>2.515563591967108</v>
      </c>
      <c r="M379" s="103">
        <f t="shared" si="146"/>
        <v>1.1619780883147717</v>
      </c>
      <c r="N379" s="101">
        <f t="shared" si="147"/>
        <v>1.0660198594500478</v>
      </c>
      <c r="O379" s="104">
        <f t="shared" si="148"/>
        <v>0.35378295378395591</v>
      </c>
      <c r="P379" s="105">
        <f t="shared" ca="1" si="149"/>
        <v>2.0374246475134981</v>
      </c>
      <c r="Q379" s="106">
        <f t="shared" ca="1" si="150"/>
        <v>1.1139048153857058</v>
      </c>
      <c r="R379" s="107">
        <f t="shared" ca="1" si="151"/>
        <v>0.77533680176264186</v>
      </c>
      <c r="S379" s="108">
        <f t="shared" ca="1" si="152"/>
        <v>-107.50004765332558</v>
      </c>
      <c r="T379" s="116">
        <f t="shared" ca="1" si="153"/>
        <v>72.499952346674419</v>
      </c>
      <c r="V379" s="72">
        <f t="shared" ca="1" si="154"/>
        <v>1000000000</v>
      </c>
      <c r="W379" s="72">
        <f t="shared" si="155"/>
        <v>1011685249</v>
      </c>
      <c r="Y379" s="110">
        <f t="shared" si="156"/>
        <v>18.675760268234342</v>
      </c>
      <c r="Z379" s="111">
        <f t="shared" si="157"/>
        <v>-42.70836593943239</v>
      </c>
      <c r="AA379" s="72">
        <f t="shared" si="158"/>
        <v>137.29163406056762</v>
      </c>
      <c r="AB379" s="110">
        <f t="shared" ca="1" si="159"/>
        <v>-1.9828231195901975</v>
      </c>
      <c r="AC379" s="111">
        <f t="shared" ca="1" si="160"/>
        <v>-64.791681713893212</v>
      </c>
      <c r="AD379" s="72">
        <f t="shared" ca="1" si="161"/>
        <v>115.20831828610679</v>
      </c>
    </row>
    <row r="380" spans="1:30">
      <c r="A380" s="118">
        <v>31991</v>
      </c>
      <c r="B380" s="101">
        <f t="shared" ca="1" si="135"/>
        <v>523.57202291336421</v>
      </c>
      <c r="C380" s="102">
        <f t="shared" ca="1" si="136"/>
        <v>1.5688863687294794</v>
      </c>
      <c r="D380" s="102">
        <f t="shared" si="137"/>
        <v>53.376296913543534</v>
      </c>
      <c r="E380" s="103">
        <f t="shared" si="138"/>
        <v>1.5520603228656014</v>
      </c>
      <c r="F380" s="101">
        <f t="shared" si="139"/>
        <v>4341.7163432995121</v>
      </c>
      <c r="G380" s="104">
        <f t="shared" si="140"/>
        <v>1.5705660031326001</v>
      </c>
      <c r="H380" s="113">
        <f t="shared" si="141"/>
        <v>522.6350476534775</v>
      </c>
      <c r="I380" s="114">
        <f t="shared" si="142"/>
        <v>1.5688829445702219</v>
      </c>
      <c r="J380" s="101">
        <f t="shared" si="143"/>
        <v>53.240642155565794</v>
      </c>
      <c r="K380" s="104">
        <f t="shared" si="144"/>
        <v>1.5520125787633907</v>
      </c>
      <c r="L380" s="102">
        <f t="shared" si="145"/>
        <v>2.5278217844521191</v>
      </c>
      <c r="M380" s="103">
        <f t="shared" si="146"/>
        <v>1.164077986516038</v>
      </c>
      <c r="N380" s="101">
        <f t="shared" si="147"/>
        <v>1.0667619247672546</v>
      </c>
      <c r="O380" s="104">
        <f t="shared" si="148"/>
        <v>0.35566169564191985</v>
      </c>
      <c r="P380" s="105">
        <f t="shared" ca="1" si="149"/>
        <v>2.046407170848648</v>
      </c>
      <c r="Q380" s="106">
        <f t="shared" ca="1" si="150"/>
        <v>1.116699854417101</v>
      </c>
      <c r="R380" s="107">
        <f t="shared" ca="1" si="151"/>
        <v>0.72320370727375849</v>
      </c>
      <c r="S380" s="108">
        <f t="shared" ca="1" si="152"/>
        <v>-107.64761128782031</v>
      </c>
      <c r="T380" s="116">
        <f t="shared" ca="1" si="153"/>
        <v>72.352388712179689</v>
      </c>
      <c r="V380" s="72">
        <f t="shared" ca="1" si="154"/>
        <v>1000000000</v>
      </c>
      <c r="W380" s="72">
        <f t="shared" si="155"/>
        <v>1023424081</v>
      </c>
      <c r="Y380" s="110">
        <f t="shared" si="156"/>
        <v>18.661854542865441</v>
      </c>
      <c r="Z380" s="111">
        <f t="shared" si="157"/>
        <v>-42.701361158741278</v>
      </c>
      <c r="AA380" s="72">
        <f t="shared" si="158"/>
        <v>137.29863884125871</v>
      </c>
      <c r="AB380" s="110">
        <f t="shared" ca="1" si="159"/>
        <v>-2.0210504887101783</v>
      </c>
      <c r="AC380" s="111">
        <f t="shared" ca="1" si="160"/>
        <v>-64.946250129079004</v>
      </c>
      <c r="AD380" s="72">
        <f t="shared" ca="1" si="161"/>
        <v>115.053749870921</v>
      </c>
    </row>
    <row r="381" spans="1:30">
      <c r="A381" s="118">
        <v>32175</v>
      </c>
      <c r="B381" s="101">
        <f t="shared" ca="1" si="135"/>
        <v>526.58339804352124</v>
      </c>
      <c r="C381" s="102">
        <f t="shared" ca="1" si="136"/>
        <v>1.5688972912294541</v>
      </c>
      <c r="D381" s="102">
        <f t="shared" si="137"/>
        <v>53.683189516540722</v>
      </c>
      <c r="E381" s="103">
        <f t="shared" si="138"/>
        <v>1.5521674440746251</v>
      </c>
      <c r="F381" s="101">
        <f t="shared" si="139"/>
        <v>4366.6882342972531</v>
      </c>
      <c r="G381" s="104">
        <f t="shared" si="140"/>
        <v>1.5705673202904051</v>
      </c>
      <c r="H381" s="113">
        <f t="shared" si="141"/>
        <v>525.6410336405612</v>
      </c>
      <c r="I381" s="114">
        <f t="shared" si="142"/>
        <v>1.5688938866518822</v>
      </c>
      <c r="J381" s="101">
        <f t="shared" si="143"/>
        <v>53.546754250490444</v>
      </c>
      <c r="K381" s="104">
        <f t="shared" si="144"/>
        <v>1.5521199728173263</v>
      </c>
      <c r="L381" s="102">
        <f t="shared" si="145"/>
        <v>2.540091015937338</v>
      </c>
      <c r="M381" s="103">
        <f t="shared" si="146"/>
        <v>1.1661576078186555</v>
      </c>
      <c r="N381" s="101">
        <f t="shared" si="147"/>
        <v>1.0675077501604786</v>
      </c>
      <c r="O381" s="104">
        <f t="shared" si="148"/>
        <v>0.35753781890920899</v>
      </c>
      <c r="P381" s="105">
        <f t="shared" ca="1" si="149"/>
        <v>2.0554025880978402</v>
      </c>
      <c r="Q381" s="106">
        <f t="shared" ca="1" si="150"/>
        <v>1.1194734065823961</v>
      </c>
      <c r="R381" s="107">
        <f t="shared" ca="1" si="151"/>
        <v>0.67127791727183694</v>
      </c>
      <c r="S381" s="108">
        <f t="shared" ca="1" si="152"/>
        <v>-107.79495452125309</v>
      </c>
      <c r="T381" s="116">
        <f t="shared" ca="1" si="153"/>
        <v>72.205045478746911</v>
      </c>
      <c r="V381" s="72">
        <f t="shared" ca="1" si="154"/>
        <v>1000000000</v>
      </c>
      <c r="W381" s="72">
        <f t="shared" si="155"/>
        <v>1035230625</v>
      </c>
      <c r="Y381" s="110">
        <f t="shared" si="156"/>
        <v>18.648042958877987</v>
      </c>
      <c r="Z381" s="111">
        <f t="shared" si="157"/>
        <v>-42.695303338691119</v>
      </c>
      <c r="AA381" s="72">
        <f t="shared" si="158"/>
        <v>137.30469666130887</v>
      </c>
      <c r="AB381" s="110">
        <f t="shared" ca="1" si="159"/>
        <v>-2.0591646947246462</v>
      </c>
      <c r="AC381" s="111">
        <f t="shared" ca="1" si="160"/>
        <v>-65.099651182561956</v>
      </c>
      <c r="AD381" s="72">
        <f t="shared" ca="1" si="161"/>
        <v>114.90034881743804</v>
      </c>
    </row>
    <row r="382" spans="1:30">
      <c r="A382" s="118">
        <v>32359</v>
      </c>
      <c r="B382" s="101">
        <f t="shared" ca="1" si="135"/>
        <v>529.59477323578585</v>
      </c>
      <c r="C382" s="102">
        <f t="shared" ca="1" si="136"/>
        <v>1.5689080895146639</v>
      </c>
      <c r="D382" s="102">
        <f t="shared" si="137"/>
        <v>53.990082728546881</v>
      </c>
      <c r="E382" s="103">
        <f t="shared" si="138"/>
        <v>1.5522733474770534</v>
      </c>
      <c r="F382" s="101">
        <f t="shared" si="139"/>
        <v>4391.6601253024837</v>
      </c>
      <c r="G382" s="104">
        <f t="shared" si="140"/>
        <v>1.5705686224689448</v>
      </c>
      <c r="H382" s="113">
        <f t="shared" si="141"/>
        <v>528.64701968986378</v>
      </c>
      <c r="I382" s="114">
        <f t="shared" si="142"/>
        <v>1.5689047042960891</v>
      </c>
      <c r="J382" s="101">
        <f t="shared" si="143"/>
        <v>53.852866955974726</v>
      </c>
      <c r="K382" s="104">
        <f t="shared" si="144"/>
        <v>1.5522261459649815</v>
      </c>
      <c r="L382" s="102">
        <f t="shared" si="145"/>
        <v>2.5523711272295615</v>
      </c>
      <c r="M382" s="103">
        <f t="shared" si="146"/>
        <v>1.1682172267759239</v>
      </c>
      <c r="N382" s="101">
        <f t="shared" si="147"/>
        <v>1.0682573277542011</v>
      </c>
      <c r="O382" s="104">
        <f t="shared" si="148"/>
        <v>0.35941131587705727</v>
      </c>
      <c r="P382" s="105">
        <f t="shared" ca="1" si="149"/>
        <v>2.0644107423276465</v>
      </c>
      <c r="Q382" s="106">
        <f t="shared" ca="1" si="150"/>
        <v>1.1222257223041354</v>
      </c>
      <c r="R382" s="107">
        <f t="shared" ca="1" si="151"/>
        <v>0.61955707056831055</v>
      </c>
      <c r="S382" s="108">
        <f t="shared" ca="1" si="152"/>
        <v>-107.94207554710475</v>
      </c>
      <c r="T382" s="116">
        <f t="shared" ca="1" si="153"/>
        <v>72.05792445289525</v>
      </c>
      <c r="V382" s="72">
        <f t="shared" ca="1" si="154"/>
        <v>1000000000</v>
      </c>
      <c r="W382" s="72">
        <f t="shared" si="155"/>
        <v>1047104881</v>
      </c>
      <c r="Y382" s="110">
        <f t="shared" si="156"/>
        <v>18.634323248848766</v>
      </c>
      <c r="Z382" s="111">
        <f t="shared" si="157"/>
        <v>-42.690177411452318</v>
      </c>
      <c r="AA382" s="72">
        <f t="shared" si="158"/>
        <v>137.30982258854769</v>
      </c>
      <c r="AB382" s="110">
        <f t="shared" ca="1" si="159"/>
        <v>-2.0971658313989505</v>
      </c>
      <c r="AC382" s="111">
        <f t="shared" ca="1" si="160"/>
        <v>-65.251898135652397</v>
      </c>
      <c r="AD382" s="72">
        <f t="shared" ca="1" si="161"/>
        <v>114.7481018643476</v>
      </c>
    </row>
    <row r="383" spans="1:30">
      <c r="A383" s="118">
        <v>32547.5</v>
      </c>
      <c r="B383" s="101">
        <f t="shared" ca="1" si="135"/>
        <v>532.6797962542081</v>
      </c>
      <c r="C383" s="102">
        <f t="shared" ca="1" si="136"/>
        <v>1.5689190252820384</v>
      </c>
      <c r="D383" s="102">
        <f t="shared" si="137"/>
        <v>54.304482101802229</v>
      </c>
      <c r="E383" s="103">
        <f t="shared" si="138"/>
        <v>1.5523805996449815</v>
      </c>
      <c r="F383" s="101">
        <f t="shared" si="139"/>
        <v>4417.2427419105852</v>
      </c>
      <c r="G383" s="104">
        <f t="shared" si="140"/>
        <v>1.570569941226575</v>
      </c>
      <c r="H383" s="113">
        <f t="shared" si="141"/>
        <v>531.72652176574547</v>
      </c>
      <c r="I383" s="114">
        <f t="shared" si="142"/>
        <v>1.5689156596689382</v>
      </c>
      <c r="J383" s="101">
        <f t="shared" si="143"/>
        <v>54.166466735814012</v>
      </c>
      <c r="K383" s="104">
        <f t="shared" si="144"/>
        <v>1.5523336713157265</v>
      </c>
      <c r="L383" s="102">
        <f t="shared" si="145"/>
        <v>2.5649626861477262</v>
      </c>
      <c r="M383" s="103">
        <f t="shared" si="146"/>
        <v>1.1703067569543273</v>
      </c>
      <c r="N383" s="101">
        <f t="shared" si="147"/>
        <v>1.0690291201281901</v>
      </c>
      <c r="O383" s="104">
        <f t="shared" si="148"/>
        <v>0.36132790067535858</v>
      </c>
      <c r="P383" s="105">
        <f t="shared" ca="1" si="149"/>
        <v>2.0736522513454037</v>
      </c>
      <c r="Q383" s="106">
        <f t="shared" ca="1" si="150"/>
        <v>1.1250235865404585</v>
      </c>
      <c r="R383" s="107">
        <f t="shared" ca="1" si="151"/>
        <v>0.56678141172187479</v>
      </c>
      <c r="S383" s="108">
        <f t="shared" ca="1" si="152"/>
        <v>-108.09256240746033</v>
      </c>
      <c r="T383" s="116">
        <f t="shared" ca="1" si="153"/>
        <v>71.907437592539665</v>
      </c>
      <c r="V383" s="72">
        <f t="shared" ca="1" si="154"/>
        <v>1000000000</v>
      </c>
      <c r="W383" s="72">
        <f t="shared" si="155"/>
        <v>1059339756.25</v>
      </c>
      <c r="Y383" s="110">
        <f t="shared" si="156"/>
        <v>18.620360964342936</v>
      </c>
      <c r="Z383" s="111">
        <f t="shared" si="157"/>
        <v>-42.685876982488786</v>
      </c>
      <c r="AA383" s="72">
        <f t="shared" si="158"/>
        <v>137.31412301751121</v>
      </c>
      <c r="AB383" s="110">
        <f t="shared" ca="1" si="159"/>
        <v>-2.1359792057395595</v>
      </c>
      <c r="AC383" s="111">
        <f t="shared" ca="1" si="160"/>
        <v>-65.406685424971556</v>
      </c>
      <c r="AD383" s="72">
        <f t="shared" ca="1" si="161"/>
        <v>114.59331457502844</v>
      </c>
    </row>
    <row r="384" spans="1:30">
      <c r="A384" s="118">
        <v>32736</v>
      </c>
      <c r="B384" s="101">
        <f t="shared" ca="1" si="135"/>
        <v>535.76481933560035</v>
      </c>
      <c r="C384" s="102">
        <f t="shared" ca="1" si="136"/>
        <v>1.5689298351094736</v>
      </c>
      <c r="D384" s="102">
        <f t="shared" si="137"/>
        <v>54.618882092532068</v>
      </c>
      <c r="E384" s="103">
        <f t="shared" si="138"/>
        <v>1.5524866170733354</v>
      </c>
      <c r="F384" s="101">
        <f t="shared" si="139"/>
        <v>4442.8253585262801</v>
      </c>
      <c r="G384" s="104">
        <f t="shared" si="140"/>
        <v>1.5705712447969007</v>
      </c>
      <c r="H384" s="113">
        <f t="shared" si="141"/>
        <v>534.80602390470995</v>
      </c>
      <c r="I384" s="114">
        <f t="shared" si="142"/>
        <v>1.5689264888760663</v>
      </c>
      <c r="J384" s="101">
        <f t="shared" si="143"/>
        <v>54.480067134700029</v>
      </c>
      <c r="K384" s="104">
        <f t="shared" si="144"/>
        <v>1.5524399587840128</v>
      </c>
      <c r="L384" s="102">
        <f t="shared" si="145"/>
        <v>2.5775653345990652</v>
      </c>
      <c r="M384" s="103">
        <f t="shared" si="146"/>
        <v>1.1723758631568917</v>
      </c>
      <c r="N384" s="101">
        <f t="shared" si="147"/>
        <v>1.0698048336896062</v>
      </c>
      <c r="O384" s="104">
        <f t="shared" si="148"/>
        <v>0.36324171307080533</v>
      </c>
      <c r="P384" s="105">
        <f t="shared" ca="1" si="149"/>
        <v>2.0829068027073356</v>
      </c>
      <c r="Q384" s="106">
        <f t="shared" ca="1" si="150"/>
        <v>1.12779968428078</v>
      </c>
      <c r="R384" s="107">
        <f t="shared" ca="1" si="151"/>
        <v>0.5142159642075852</v>
      </c>
      <c r="S384" s="108">
        <f t="shared" ca="1" si="152"/>
        <v>-108.24281246278768</v>
      </c>
      <c r="T384" s="116">
        <f t="shared" ca="1" si="153"/>
        <v>71.757187537212317</v>
      </c>
      <c r="V384" s="72">
        <f t="shared" ca="1" si="154"/>
        <v>1000000000</v>
      </c>
      <c r="W384" s="72">
        <f t="shared" si="155"/>
        <v>1071645696</v>
      </c>
      <c r="Y384" s="110">
        <f t="shared" si="156"/>
        <v>18.606490468458933</v>
      </c>
      <c r="Z384" s="111">
        <f t="shared" si="157"/>
        <v>-42.6825233473146</v>
      </c>
      <c r="AA384" s="72">
        <f t="shared" si="158"/>
        <v>137.3174766526854</v>
      </c>
      <c r="AB384" s="110">
        <f t="shared" ca="1" si="159"/>
        <v>-2.1746741573698434</v>
      </c>
      <c r="AC384" s="111">
        <f t="shared" ca="1" si="160"/>
        <v>-65.560289115473097</v>
      </c>
      <c r="AD384" s="72">
        <f t="shared" ca="1" si="161"/>
        <v>114.4397108845269</v>
      </c>
    </row>
    <row r="385" spans="1:30">
      <c r="A385" s="118">
        <v>32924.5</v>
      </c>
      <c r="B385" s="101">
        <f t="shared" ca="1" si="135"/>
        <v>538.84984247888121</v>
      </c>
      <c r="C385" s="102">
        <f t="shared" ca="1" si="136"/>
        <v>1.5689405211600609</v>
      </c>
      <c r="D385" s="102">
        <f t="shared" si="137"/>
        <v>54.933282690134419</v>
      </c>
      <c r="E385" s="103">
        <f t="shared" si="138"/>
        <v>1.552591420960129</v>
      </c>
      <c r="F385" s="101">
        <f t="shared" si="139"/>
        <v>4468.4079751494373</v>
      </c>
      <c r="G385" s="104">
        <f t="shared" si="140"/>
        <v>1.5705725334407739</v>
      </c>
      <c r="H385" s="113">
        <f t="shared" si="141"/>
        <v>537.88552610567399</v>
      </c>
      <c r="I385" s="114">
        <f t="shared" si="142"/>
        <v>1.568937194084443</v>
      </c>
      <c r="J385" s="101">
        <f t="shared" si="143"/>
        <v>54.793668142003824</v>
      </c>
      <c r="K385" s="104">
        <f t="shared" si="144"/>
        <v>1.5525450296217633</v>
      </c>
      <c r="L385" s="102">
        <f t="shared" si="145"/>
        <v>2.5901789107135049</v>
      </c>
      <c r="M385" s="103">
        <f t="shared" si="146"/>
        <v>1.1744248259169272</v>
      </c>
      <c r="N385" s="101">
        <f t="shared" si="147"/>
        <v>1.0705844599149232</v>
      </c>
      <c r="O385" s="104">
        <f t="shared" si="148"/>
        <v>0.36515274508572104</v>
      </c>
      <c r="P385" s="105">
        <f t="shared" ca="1" si="149"/>
        <v>2.09217423587822</v>
      </c>
      <c r="Q385" s="106">
        <f t="shared" ca="1" si="150"/>
        <v>1.1305542740263876</v>
      </c>
      <c r="R385" s="107">
        <f t="shared" ca="1" si="151"/>
        <v>0.46185832683691863</v>
      </c>
      <c r="S385" s="108">
        <f t="shared" ca="1" si="152"/>
        <v>-108.39282401146988</v>
      </c>
      <c r="T385" s="116">
        <f t="shared" ca="1" si="153"/>
        <v>71.607175988530116</v>
      </c>
      <c r="V385" s="72">
        <f t="shared" ca="1" si="154"/>
        <v>1000000000</v>
      </c>
      <c r="W385" s="72">
        <f t="shared" si="155"/>
        <v>1084022700.25</v>
      </c>
      <c r="Y385" s="110">
        <f t="shared" si="156"/>
        <v>18.592709505966411</v>
      </c>
      <c r="Z385" s="111">
        <f t="shared" si="157"/>
        <v>-42.680101083900801</v>
      </c>
      <c r="AA385" s="72">
        <f t="shared" si="158"/>
        <v>137.31989891609919</v>
      </c>
      <c r="AB385" s="110">
        <f t="shared" ca="1" si="159"/>
        <v>-2.2132508322479887</v>
      </c>
      <c r="AC385" s="111">
        <f t="shared" ca="1" si="160"/>
        <v>-65.712722927569089</v>
      </c>
      <c r="AD385" s="72">
        <f t="shared" ca="1" si="161"/>
        <v>114.28727707243091</v>
      </c>
    </row>
    <row r="386" spans="1:30">
      <c r="A386" s="118">
        <v>33113</v>
      </c>
      <c r="B386" s="101">
        <f t="shared" ca="1" si="135"/>
        <v>541.93486568299363</v>
      </c>
      <c r="C386" s="102">
        <f t="shared" ca="1" si="136"/>
        <v>1.5689510855476374</v>
      </c>
      <c r="D386" s="102">
        <f t="shared" si="137"/>
        <v>55.247683884248595</v>
      </c>
      <c r="E386" s="103">
        <f t="shared" si="138"/>
        <v>1.5526950320209545</v>
      </c>
      <c r="F386" s="101">
        <f t="shared" si="139"/>
        <v>4493.9905917799315</v>
      </c>
      <c r="G386" s="104">
        <f t="shared" si="140"/>
        <v>1.5705738074131068</v>
      </c>
      <c r="H386" s="113">
        <f t="shared" si="141"/>
        <v>540.96502836757873</v>
      </c>
      <c r="I386" s="114">
        <f t="shared" si="142"/>
        <v>1.5689477774116947</v>
      </c>
      <c r="J386" s="101">
        <f t="shared" si="143"/>
        <v>55.107269747338357</v>
      </c>
      <c r="K386" s="104">
        <f t="shared" si="144"/>
        <v>1.5526489045972531</v>
      </c>
      <c r="L386" s="102">
        <f t="shared" si="145"/>
        <v>2.6028032556197531</v>
      </c>
      <c r="M386" s="103">
        <f t="shared" si="146"/>
        <v>1.1764539210087024</v>
      </c>
      <c r="N386" s="101">
        <f t="shared" si="147"/>
        <v>1.0713679902624955</v>
      </c>
      <c r="O386" s="104">
        <f t="shared" si="148"/>
        <v>0.36706098884682392</v>
      </c>
      <c r="P386" s="105">
        <f t="shared" ca="1" si="149"/>
        <v>2.101454392987903</v>
      </c>
      <c r="Q386" s="106">
        <f t="shared" ca="1" si="150"/>
        <v>1.1332876107454841</v>
      </c>
      <c r="R386" s="107">
        <f t="shared" ca="1" si="151"/>
        <v>0.40970614247526044</v>
      </c>
      <c r="S386" s="108">
        <f t="shared" ca="1" si="152"/>
        <v>-108.54259542770819</v>
      </c>
      <c r="T386" s="116">
        <f t="shared" ca="1" si="153"/>
        <v>71.457404572291807</v>
      </c>
      <c r="V386" s="72">
        <f t="shared" ca="1" si="154"/>
        <v>1000000000</v>
      </c>
      <c r="W386" s="72">
        <f t="shared" si="155"/>
        <v>1096470769</v>
      </c>
      <c r="Y386" s="110">
        <f t="shared" si="156"/>
        <v>18.579015879800622</v>
      </c>
      <c r="Z386" s="111">
        <f t="shared" si="157"/>
        <v>-42.678595023648789</v>
      </c>
      <c r="AA386" s="72">
        <f t="shared" si="158"/>
        <v>137.3214049763512</v>
      </c>
      <c r="AB386" s="110">
        <f t="shared" ca="1" si="159"/>
        <v>-2.2517093904438577</v>
      </c>
      <c r="AC386" s="111">
        <f t="shared" ca="1" si="160"/>
        <v>-65.864000404059382</v>
      </c>
      <c r="AD386" s="72">
        <f t="shared" ca="1" si="161"/>
        <v>114.13599959594062</v>
      </c>
    </row>
    <row r="387" spans="1:30">
      <c r="A387" s="118">
        <v>33305.75</v>
      </c>
      <c r="B387" s="101">
        <f t="shared" ca="1" si="135"/>
        <v>545.08944517502175</v>
      </c>
      <c r="C387" s="102">
        <f t="shared" ca="1" si="136"/>
        <v>1.5689617644679457</v>
      </c>
      <c r="D387" s="102">
        <f t="shared" si="137"/>
        <v>55.569174305738919</v>
      </c>
      <c r="E387" s="103">
        <f t="shared" si="138"/>
        <v>1.5527997667614573</v>
      </c>
      <c r="F387" s="101">
        <f t="shared" si="139"/>
        <v>4520.1500048140597</v>
      </c>
      <c r="G387" s="104">
        <f t="shared" si="140"/>
        <v>1.570575095197031</v>
      </c>
      <c r="H387" s="113">
        <f t="shared" si="141"/>
        <v>544.11396244003322</v>
      </c>
      <c r="I387" s="114">
        <f t="shared" si="142"/>
        <v>1.5689584754770121</v>
      </c>
      <c r="J387" s="101">
        <f t="shared" si="143"/>
        <v>55.42794255372911</v>
      </c>
      <c r="K387" s="104">
        <f t="shared" si="144"/>
        <v>1.5527539061166409</v>
      </c>
      <c r="L387" s="102">
        <f t="shared" si="145"/>
        <v>2.6157232075759502</v>
      </c>
      <c r="M387" s="103">
        <f t="shared" si="146"/>
        <v>1.1785085027177056</v>
      </c>
      <c r="N387" s="101">
        <f t="shared" si="147"/>
        <v>1.072173214646531</v>
      </c>
      <c r="O387" s="104">
        <f t="shared" si="148"/>
        <v>0.36900936531770367</v>
      </c>
      <c r="P387" s="105">
        <f t="shared" ca="1" si="149"/>
        <v>2.1109567801652704</v>
      </c>
      <c r="Q387" s="106">
        <f t="shared" ca="1" si="150"/>
        <v>1.1360608592065411</v>
      </c>
      <c r="R387" s="107">
        <f t="shared" ca="1" si="151"/>
        <v>0.35658815589358017</v>
      </c>
      <c r="S387" s="108">
        <f t="shared" ca="1" si="152"/>
        <v>-108.69549372129569</v>
      </c>
      <c r="T387" s="116">
        <f t="shared" ca="1" si="153"/>
        <v>71.304506278704309</v>
      </c>
      <c r="V387" s="72">
        <f t="shared" ca="1" si="154"/>
        <v>1000000000</v>
      </c>
      <c r="W387" s="72">
        <f t="shared" si="155"/>
        <v>1109272983.0625</v>
      </c>
      <c r="Y387" s="110">
        <f t="shared" si="156"/>
        <v>18.565101593808045</v>
      </c>
      <c r="Z387" s="111">
        <f t="shared" si="157"/>
        <v>-42.677986886236972</v>
      </c>
      <c r="AA387" s="72">
        <f t="shared" si="158"/>
        <v>137.32201311376303</v>
      </c>
      <c r="AB387" s="110">
        <f t="shared" ca="1" si="159"/>
        <v>-2.2909130910329618</v>
      </c>
      <c r="AC387" s="111">
        <f t="shared" ca="1" si="160"/>
        <v>-66.01750683505874</v>
      </c>
      <c r="AD387" s="72">
        <f t="shared" ca="1" si="161"/>
        <v>113.98249316494126</v>
      </c>
    </row>
    <row r="388" spans="1:30">
      <c r="A388" s="118">
        <v>33498.5</v>
      </c>
      <c r="B388" s="101">
        <f t="shared" ca="1" si="135"/>
        <v>548.24402472849624</v>
      </c>
      <c r="C388" s="102">
        <f t="shared" ca="1" si="136"/>
        <v>1.5689723204958854</v>
      </c>
      <c r="D388" s="102">
        <f t="shared" si="137"/>
        <v>55.890665329775317</v>
      </c>
      <c r="E388" s="103">
        <f t="shared" si="138"/>
        <v>1.5529032966049583</v>
      </c>
      <c r="F388" s="101">
        <f t="shared" si="139"/>
        <v>4546.3094178555975</v>
      </c>
      <c r="G388" s="104">
        <f t="shared" si="140"/>
        <v>1.5705763681611671</v>
      </c>
      <c r="H388" s="113">
        <f t="shared" si="141"/>
        <v>547.26289657404413</v>
      </c>
      <c r="I388" s="114">
        <f t="shared" si="142"/>
        <v>1.568969050429643</v>
      </c>
      <c r="J388" s="101">
        <f t="shared" si="143"/>
        <v>55.748615964200241</v>
      </c>
      <c r="K388" s="104">
        <f t="shared" si="144"/>
        <v>1.5528576996719152</v>
      </c>
      <c r="L388" s="102">
        <f t="shared" si="145"/>
        <v>2.6286540927316171</v>
      </c>
      <c r="M388" s="103">
        <f t="shared" si="146"/>
        <v>1.1805428791319628</v>
      </c>
      <c r="N388" s="101">
        <f t="shared" si="147"/>
        <v>1.0729825030653612</v>
      </c>
      <c r="O388" s="104">
        <f t="shared" si="148"/>
        <v>0.37095481007001424</v>
      </c>
      <c r="P388" s="105">
        <f t="shared" ca="1" si="149"/>
        <v>2.1204721459668159</v>
      </c>
      <c r="Q388" s="106">
        <f t="shared" ca="1" si="150"/>
        <v>1.1388124135722979</v>
      </c>
      <c r="R388" s="107">
        <f t="shared" ca="1" si="151"/>
        <v>0.30368014262232812</v>
      </c>
      <c r="S388" s="108">
        <f t="shared" ca="1" si="152"/>
        <v>-108.8481377255733</v>
      </c>
      <c r="T388" s="116">
        <f t="shared" ca="1" si="153"/>
        <v>71.151862274426705</v>
      </c>
      <c r="V388" s="72">
        <f t="shared" ca="1" si="154"/>
        <v>1000000000</v>
      </c>
      <c r="W388" s="72">
        <f t="shared" si="155"/>
        <v>1122149502.25</v>
      </c>
      <c r="Y388" s="110">
        <f t="shared" si="156"/>
        <v>18.551274159565793</v>
      </c>
      <c r="Z388" s="111">
        <f t="shared" si="157"/>
        <v>-42.678305445318763</v>
      </c>
      <c r="AA388" s="72">
        <f t="shared" si="158"/>
        <v>137.32169455468124</v>
      </c>
      <c r="AB388" s="110">
        <f t="shared" ca="1" si="159"/>
        <v>-2.3299936700619583</v>
      </c>
      <c r="AC388" s="111">
        <f t="shared" ca="1" si="160"/>
        <v>-66.169832280254568</v>
      </c>
      <c r="AD388" s="72">
        <f t="shared" ca="1" si="161"/>
        <v>113.83016771974543</v>
      </c>
    </row>
    <row r="389" spans="1:30">
      <c r="A389" s="118">
        <v>33691.25</v>
      </c>
      <c r="B389" s="101">
        <f t="shared" ca="1" si="135"/>
        <v>551.39860434236232</v>
      </c>
      <c r="C389" s="102">
        <f t="shared" ca="1" si="136"/>
        <v>1.568982755740675</v>
      </c>
      <c r="D389" s="102">
        <f t="shared" si="137"/>
        <v>56.212156946019469</v>
      </c>
      <c r="E389" s="103">
        <f t="shared" si="138"/>
        <v>1.5530056422225558</v>
      </c>
      <c r="F389" s="101">
        <f t="shared" si="139"/>
        <v>4572.4688309044177</v>
      </c>
      <c r="G389" s="104">
        <f t="shared" si="140"/>
        <v>1.5705776265598699</v>
      </c>
      <c r="H389" s="113">
        <f t="shared" si="141"/>
        <v>550.41183076855498</v>
      </c>
      <c r="I389" s="114">
        <f t="shared" si="142"/>
        <v>1.5689795043825867</v>
      </c>
      <c r="J389" s="101">
        <f t="shared" si="143"/>
        <v>56.069289968387125</v>
      </c>
      <c r="K389" s="104">
        <f t="shared" si="144"/>
        <v>1.5529603059867481</v>
      </c>
      <c r="L389" s="102">
        <f t="shared" si="145"/>
        <v>2.6415957505293224</v>
      </c>
      <c r="M389" s="103">
        <f t="shared" si="146"/>
        <v>1.1825573302557209</v>
      </c>
      <c r="N389" s="101">
        <f t="shared" si="147"/>
        <v>1.0737958463301547</v>
      </c>
      <c r="O389" s="104">
        <f t="shared" si="148"/>
        <v>0.37289731502303419</v>
      </c>
      <c r="P389" s="105">
        <f t="shared" ca="1" si="149"/>
        <v>2.1300003299299739</v>
      </c>
      <c r="Q389" s="106">
        <f t="shared" ca="1" si="150"/>
        <v>1.1415425352911079</v>
      </c>
      <c r="R389" s="107">
        <f t="shared" ca="1" si="151"/>
        <v>0.25097971821982007</v>
      </c>
      <c r="S389" s="108">
        <f t="shared" ca="1" si="152"/>
        <v>-109.00052593174448</v>
      </c>
      <c r="T389" s="116">
        <f t="shared" ca="1" si="153"/>
        <v>70.999474068255523</v>
      </c>
      <c r="V389" s="72">
        <f t="shared" ca="1" si="154"/>
        <v>1000000000</v>
      </c>
      <c r="W389" s="72">
        <f t="shared" si="155"/>
        <v>1135100326.5625</v>
      </c>
      <c r="Y389" s="110">
        <f t="shared" si="156"/>
        <v>18.537531406108769</v>
      </c>
      <c r="Z389" s="111">
        <f t="shared" si="157"/>
        <v>-42.679535275727751</v>
      </c>
      <c r="AA389" s="72">
        <f t="shared" si="158"/>
        <v>137.32046472427226</v>
      </c>
      <c r="AB389" s="110">
        <f t="shared" ca="1" si="159"/>
        <v>-2.3689513410074454</v>
      </c>
      <c r="AC389" s="111">
        <f t="shared" ca="1" si="160"/>
        <v>-66.320990656016747</v>
      </c>
      <c r="AD389" s="72">
        <f t="shared" ca="1" si="161"/>
        <v>113.67900934398325</v>
      </c>
    </row>
    <row r="390" spans="1:30">
      <c r="A390" s="118">
        <v>33884</v>
      </c>
      <c r="B390" s="101">
        <f t="shared" ca="1" si="135"/>
        <v>554.55318401558952</v>
      </c>
      <c r="C390" s="102">
        <f t="shared" ca="1" si="136"/>
        <v>1.5689930722635395</v>
      </c>
      <c r="D390" s="102">
        <f t="shared" si="137"/>
        <v>56.533649144368205</v>
      </c>
      <c r="E390" s="103">
        <f t="shared" si="138"/>
        <v>1.5531068238152435</v>
      </c>
      <c r="F390" s="101">
        <f t="shared" si="139"/>
        <v>4598.6282439603974</v>
      </c>
      <c r="G390" s="104">
        <f t="shared" si="140"/>
        <v>1.570578870641707</v>
      </c>
      <c r="H390" s="113">
        <f t="shared" si="141"/>
        <v>553.56076502253336</v>
      </c>
      <c r="I390" s="114">
        <f t="shared" si="142"/>
        <v>1.568989839400764</v>
      </c>
      <c r="J390" s="101">
        <f t="shared" si="143"/>
        <v>56.389964556160876</v>
      </c>
      <c r="K390" s="104">
        <f t="shared" si="144"/>
        <v>1.5530617453135132</v>
      </c>
      <c r="L390" s="102">
        <f t="shared" si="145"/>
        <v>2.6545480234102188</v>
      </c>
      <c r="M390" s="103">
        <f t="shared" si="146"/>
        <v>1.1845521312820526</v>
      </c>
      <c r="N390" s="101">
        <f t="shared" si="147"/>
        <v>1.0746132352339293</v>
      </c>
      <c r="O390" s="104">
        <f t="shared" si="148"/>
        <v>0.37483687220918716</v>
      </c>
      <c r="P390" s="105">
        <f t="shared" ca="1" si="149"/>
        <v>2.1395411742956805</v>
      </c>
      <c r="Q390" s="106">
        <f t="shared" ca="1" si="150"/>
        <v>1.1442514821520142</v>
      </c>
      <c r="R390" s="107">
        <f t="shared" ca="1" si="151"/>
        <v>0.19848454171131463</v>
      </c>
      <c r="S390" s="108">
        <f t="shared" ca="1" si="152"/>
        <v>-109.15265690309724</v>
      </c>
      <c r="T390" s="116">
        <f t="shared" ca="1" si="153"/>
        <v>70.847343096902762</v>
      </c>
      <c r="V390" s="72">
        <f t="shared" ca="1" si="154"/>
        <v>1000000000</v>
      </c>
      <c r="W390" s="72">
        <f t="shared" si="155"/>
        <v>1148125456</v>
      </c>
      <c r="Y390" s="110">
        <f t="shared" si="156"/>
        <v>18.523871219103047</v>
      </c>
      <c r="Z390" s="111">
        <f t="shared" si="157"/>
        <v>-42.681661209860017</v>
      </c>
      <c r="AA390" s="72">
        <f t="shared" si="158"/>
        <v>137.31833879013999</v>
      </c>
      <c r="AB390" s="110">
        <f t="shared" ca="1" si="159"/>
        <v>-2.4077863305102323</v>
      </c>
      <c r="AC390" s="111">
        <f t="shared" ca="1" si="160"/>
        <v>-66.470995693237271</v>
      </c>
      <c r="AD390" s="72">
        <f t="shared" ca="1" si="161"/>
        <v>113.52900430676273</v>
      </c>
    </row>
    <row r="391" spans="1:30">
      <c r="A391" s="118">
        <v>34081.5</v>
      </c>
      <c r="B391" s="101">
        <f t="shared" ca="1" si="135"/>
        <v>557.78550306683519</v>
      </c>
      <c r="C391" s="102">
        <f t="shared" ca="1" si="136"/>
        <v>1.5690035219797958</v>
      </c>
      <c r="D391" s="102">
        <f t="shared" si="137"/>
        <v>56.863064571428517</v>
      </c>
      <c r="E391" s="103">
        <f t="shared" si="138"/>
        <v>1.5532093120971855</v>
      </c>
      <c r="F391" s="101">
        <f t="shared" si="139"/>
        <v>4625.4323118201246</v>
      </c>
      <c r="G391" s="104">
        <f t="shared" si="140"/>
        <v>1.5705801307854481</v>
      </c>
      <c r="H391" s="113">
        <f t="shared" si="141"/>
        <v>556.78729953276354</v>
      </c>
      <c r="I391" s="114">
        <f t="shared" si="142"/>
        <v>1.5690003078511214</v>
      </c>
      <c r="J391" s="101">
        <f t="shared" si="143"/>
        <v>56.718542225518128</v>
      </c>
      <c r="K391" s="104">
        <f t="shared" si="144"/>
        <v>1.5531644946598764</v>
      </c>
      <c r="L391" s="102">
        <f t="shared" si="145"/>
        <v>2.6678303323055528</v>
      </c>
      <c r="M391" s="103">
        <f t="shared" si="146"/>
        <v>1.186575991230542</v>
      </c>
      <c r="N391" s="101">
        <f t="shared" si="147"/>
        <v>1.0754549540814904</v>
      </c>
      <c r="O391" s="104">
        <f t="shared" si="148"/>
        <v>0.37682116068471433</v>
      </c>
      <c r="P391" s="105">
        <f t="shared" ca="1" si="149"/>
        <v>2.1493301067925006</v>
      </c>
      <c r="Q391" s="106">
        <f t="shared" ca="1" si="150"/>
        <v>1.1470054882384277</v>
      </c>
      <c r="R391" s="107">
        <f t="shared" ca="1" si="151"/>
        <v>0.14490620336866619</v>
      </c>
      <c r="S391" s="108">
        <f t="shared" ca="1" si="152"/>
        <v>-109.3082686358126</v>
      </c>
      <c r="T391" s="116">
        <f t="shared" ca="1" si="153"/>
        <v>70.691731364187405</v>
      </c>
      <c r="V391" s="72">
        <f t="shared" ca="1" si="154"/>
        <v>1000000000</v>
      </c>
      <c r="W391" s="72">
        <f t="shared" si="155"/>
        <v>1161548642.25</v>
      </c>
      <c r="Y391" s="110">
        <f t="shared" si="156"/>
        <v>18.509957890050678</v>
      </c>
      <c r="Z391" s="111">
        <f t="shared" si="157"/>
        <v>-42.684753438262447</v>
      </c>
      <c r="AA391" s="72">
        <f t="shared" si="158"/>
        <v>137.31524656173755</v>
      </c>
      <c r="AB391" s="110">
        <f t="shared" ca="1" si="159"/>
        <v>-2.4474513398005078</v>
      </c>
      <c r="AC391" s="111">
        <f t="shared" ca="1" si="160"/>
        <v>-66.62351519755012</v>
      </c>
      <c r="AD391" s="72">
        <f t="shared" ca="1" si="161"/>
        <v>113.37648480244988</v>
      </c>
    </row>
    <row r="392" spans="1:30">
      <c r="A392" s="118">
        <v>34279</v>
      </c>
      <c r="B392" s="101">
        <f t="shared" ca="1" si="135"/>
        <v>561.01782217828725</v>
      </c>
      <c r="C392" s="102">
        <f t="shared" ca="1" si="136"/>
        <v>1.5690138512834166</v>
      </c>
      <c r="D392" s="102">
        <f t="shared" si="137"/>
        <v>57.192480588889417</v>
      </c>
      <c r="E392" s="103">
        <f t="shared" si="138"/>
        <v>1.553310619760585</v>
      </c>
      <c r="F392" s="101">
        <f t="shared" si="139"/>
        <v>4652.2363796871141</v>
      </c>
      <c r="G392" s="104">
        <f t="shared" si="140"/>
        <v>1.5705813764084402</v>
      </c>
      <c r="H392" s="113">
        <f t="shared" si="141"/>
        <v>560.01383410330823</v>
      </c>
      <c r="I392" s="114">
        <f t="shared" si="142"/>
        <v>1.569010655672971</v>
      </c>
      <c r="J392" s="101">
        <f t="shared" si="143"/>
        <v>57.047120486779413</v>
      </c>
      <c r="K392" s="104">
        <f t="shared" si="144"/>
        <v>1.5532660603822113</v>
      </c>
      <c r="L392" s="102">
        <f t="shared" si="145"/>
        <v>2.6811234603627856</v>
      </c>
      <c r="M392" s="103">
        <f t="shared" si="146"/>
        <v>1.1885797905456428</v>
      </c>
      <c r="N392" s="101">
        <f t="shared" si="147"/>
        <v>1.0763009007933226</v>
      </c>
      <c r="O392" s="104">
        <f t="shared" si="148"/>
        <v>0.37880233774437033</v>
      </c>
      <c r="P392" s="105">
        <f t="shared" ca="1" si="149"/>
        <v>2.1591320045119193</v>
      </c>
      <c r="Q392" s="106">
        <f t="shared" ca="1" si="150"/>
        <v>1.1497377993805451</v>
      </c>
      <c r="R392" s="107">
        <f t="shared" ca="1" si="151"/>
        <v>9.1538512665514854E-2</v>
      </c>
      <c r="S392" s="108">
        <f t="shared" ca="1" si="152"/>
        <v>-109.46360746660174</v>
      </c>
      <c r="T392" s="116">
        <f t="shared" ca="1" si="153"/>
        <v>70.536392533398256</v>
      </c>
      <c r="V392" s="72">
        <f t="shared" ca="1" si="154"/>
        <v>1000000000</v>
      </c>
      <c r="W392" s="72">
        <f t="shared" si="155"/>
        <v>1175049841</v>
      </c>
      <c r="Y392" s="110">
        <f t="shared" si="156"/>
        <v>18.496126928005332</v>
      </c>
      <c r="Z392" s="111">
        <f t="shared" si="157"/>
        <v>-42.688755048161148</v>
      </c>
      <c r="AA392" s="72">
        <f t="shared" si="158"/>
        <v>137.31124495183886</v>
      </c>
      <c r="AB392" s="110">
        <f t="shared" ca="1" si="159"/>
        <v>-2.4869880684583157</v>
      </c>
      <c r="AC392" s="111">
        <f t="shared" ca="1" si="160"/>
        <v>-66.774852418440631</v>
      </c>
      <c r="AD392" s="72">
        <f t="shared" ca="1" si="161"/>
        <v>113.22514758155937</v>
      </c>
    </row>
    <row r="393" spans="1:30">
      <c r="A393" s="118">
        <v>34476.5</v>
      </c>
      <c r="B393" s="101">
        <f t="shared" ca="1" si="135"/>
        <v>564.25014134891114</v>
      </c>
      <c r="C393" s="102">
        <f t="shared" ca="1" si="136"/>
        <v>1.5690240622437588</v>
      </c>
      <c r="D393" s="102">
        <f t="shared" si="137"/>
        <v>57.521897186607589</v>
      </c>
      <c r="E393" s="103">
        <f t="shared" si="138"/>
        <v>1.5534107670868558</v>
      </c>
      <c r="F393" s="101">
        <f t="shared" si="139"/>
        <v>4679.0404475612377</v>
      </c>
      <c r="G393" s="104">
        <f t="shared" si="140"/>
        <v>1.5705826077602314</v>
      </c>
      <c r="H393" s="113">
        <f t="shared" si="141"/>
        <v>563.24036873313048</v>
      </c>
      <c r="I393" s="114">
        <f t="shared" si="142"/>
        <v>1.5690208849393792</v>
      </c>
      <c r="J393" s="101">
        <f t="shared" si="143"/>
        <v>57.375699329775586</v>
      </c>
      <c r="K393" s="104">
        <f t="shared" si="144"/>
        <v>1.5533664628135191</v>
      </c>
      <c r="L393" s="102">
        <f t="shared" si="145"/>
        <v>2.6944272474508528</v>
      </c>
      <c r="M393" s="103">
        <f t="shared" si="146"/>
        <v>1.1905638101651959</v>
      </c>
      <c r="N393" s="101">
        <f t="shared" si="147"/>
        <v>1.0771510654082941</v>
      </c>
      <c r="O393" s="104">
        <f t="shared" si="148"/>
        <v>0.38078039518474055</v>
      </c>
      <c r="P393" s="105">
        <f t="shared" ca="1" si="149"/>
        <v>2.1689467062450531</v>
      </c>
      <c r="Q393" s="106">
        <f t="shared" ca="1" si="150"/>
        <v>1.1524486812756083</v>
      </c>
      <c r="R393" s="107">
        <f t="shared" ca="1" si="151"/>
        <v>3.8379086218872198E-2</v>
      </c>
      <c r="S393" s="108">
        <f t="shared" ca="1" si="152"/>
        <v>-109.61867206926303</v>
      </c>
      <c r="T393" s="116">
        <f t="shared" ca="1" si="153"/>
        <v>70.381327930736973</v>
      </c>
      <c r="V393" s="72">
        <f t="shared" ca="1" si="154"/>
        <v>1000000000</v>
      </c>
      <c r="W393" s="72">
        <f t="shared" si="155"/>
        <v>1188629052.25</v>
      </c>
      <c r="Y393" s="110">
        <f t="shared" si="156"/>
        <v>18.482376232990624</v>
      </c>
      <c r="Z393" s="111">
        <f t="shared" si="157"/>
        <v>-42.693650533497674</v>
      </c>
      <c r="AA393" s="72">
        <f t="shared" si="158"/>
        <v>137.30634946650233</v>
      </c>
      <c r="AB393" s="110">
        <f t="shared" ca="1" si="159"/>
        <v>-2.5263967998902452</v>
      </c>
      <c r="AC393" s="111">
        <f t="shared" ca="1" si="160"/>
        <v>-66.925021535765325</v>
      </c>
      <c r="AD393" s="72">
        <f t="shared" ca="1" si="161"/>
        <v>113.07497846423468</v>
      </c>
    </row>
    <row r="394" spans="1:30">
      <c r="A394" s="118">
        <v>34674</v>
      </c>
      <c r="B394" s="101">
        <f t="shared" ca="1" si="135"/>
        <v>567.48246057769563</v>
      </c>
      <c r="C394" s="102">
        <f t="shared" ca="1" si="136"/>
        <v>1.5690341568830324</v>
      </c>
      <c r="D394" s="102">
        <f t="shared" si="137"/>
        <v>57.851314354670741</v>
      </c>
      <c r="E394" s="103">
        <f t="shared" si="138"/>
        <v>1.553509773895559</v>
      </c>
      <c r="F394" s="101">
        <f t="shared" si="139"/>
        <v>4705.8445154423753</v>
      </c>
      <c r="G394" s="104">
        <f t="shared" si="140"/>
        <v>1.570583825084684</v>
      </c>
      <c r="H394" s="113">
        <f t="shared" si="141"/>
        <v>566.46690342121792</v>
      </c>
      <c r="I394" s="114">
        <f t="shared" si="142"/>
        <v>1.5690309976761811</v>
      </c>
      <c r="J394" s="101">
        <f t="shared" si="143"/>
        <v>57.704278744569152</v>
      </c>
      <c r="K394" s="104">
        <f t="shared" si="144"/>
        <v>1.5534657218237755</v>
      </c>
      <c r="L394" s="102">
        <f t="shared" si="145"/>
        <v>2.7077415364585944</v>
      </c>
      <c r="M394" s="103">
        <f t="shared" si="146"/>
        <v>1.1925283261309576</v>
      </c>
      <c r="N394" s="101">
        <f t="shared" si="147"/>
        <v>1.0780054379471082</v>
      </c>
      <c r="O394" s="104">
        <f t="shared" si="148"/>
        <v>0.38275532492587305</v>
      </c>
      <c r="P394" s="105">
        <f t="shared" ca="1" si="149"/>
        <v>2.1787740535439593</v>
      </c>
      <c r="Q394" s="106">
        <f t="shared" ca="1" si="150"/>
        <v>1.1551383958098915</v>
      </c>
      <c r="R394" s="107">
        <f t="shared" ca="1" si="151"/>
        <v>-1.4574416079450264E-2</v>
      </c>
      <c r="S394" s="108">
        <f t="shared" ca="1" si="152"/>
        <v>-109.77346118645282</v>
      </c>
      <c r="T394" s="116">
        <f t="shared" ca="1" si="153"/>
        <v>70.22653881354718</v>
      </c>
      <c r="V394" s="72">
        <f t="shared" ca="1" si="154"/>
        <v>34674</v>
      </c>
      <c r="W394" s="72">
        <f t="shared" si="155"/>
        <v>1202286276</v>
      </c>
      <c r="Y394" s="110">
        <f t="shared" si="156"/>
        <v>18.468703760567927</v>
      </c>
      <c r="Z394" s="111">
        <f t="shared" si="157"/>
        <v>-42.699424651663513</v>
      </c>
      <c r="AA394" s="72">
        <f t="shared" si="158"/>
        <v>137.30057534833648</v>
      </c>
      <c r="AB394" s="110">
        <f t="shared" ca="1" si="159"/>
        <v>-2.5656778297658702</v>
      </c>
      <c r="AC394" s="111">
        <f t="shared" ca="1" si="160"/>
        <v>-67.074036534789329</v>
      </c>
      <c r="AD394" s="72">
        <f t="shared" ca="1" si="161"/>
        <v>112.92596346521067</v>
      </c>
    </row>
    <row r="395" spans="1:30">
      <c r="A395" s="118">
        <v>34875.75</v>
      </c>
      <c r="B395" s="101">
        <f t="shared" ca="1" si="135"/>
        <v>570.78433610207287</v>
      </c>
      <c r="C395" s="102">
        <f t="shared" ca="1" si="136"/>
        <v>1.5690443507010898</v>
      </c>
      <c r="D395" s="102">
        <f t="shared" si="137"/>
        <v>58.187820825417219</v>
      </c>
      <c r="E395" s="103">
        <f t="shared" si="138"/>
        <v>1.553609753776251</v>
      </c>
      <c r="F395" s="101">
        <f t="shared" si="139"/>
        <v>4733.2253797280737</v>
      </c>
      <c r="G395" s="104">
        <f t="shared" si="140"/>
        <v>1.5705850543691799</v>
      </c>
      <c r="H395" s="113">
        <f t="shared" si="141"/>
        <v>569.76286992754569</v>
      </c>
      <c r="I395" s="114">
        <f t="shared" si="142"/>
        <v>1.5690412097695747</v>
      </c>
      <c r="J395" s="101">
        <f t="shared" si="143"/>
        <v>58.039929435918019</v>
      </c>
      <c r="K395" s="104">
        <f t="shared" si="144"/>
        <v>1.5535659563865016</v>
      </c>
      <c r="L395" s="102">
        <f t="shared" si="145"/>
        <v>2.7213530185239945</v>
      </c>
      <c r="M395" s="103">
        <f t="shared" si="146"/>
        <v>1.1945152608170604</v>
      </c>
      <c r="N395" s="101">
        <f t="shared" si="147"/>
        <v>1.0788825300451386</v>
      </c>
      <c r="O395" s="104">
        <f t="shared" si="148"/>
        <v>0.38476951550057364</v>
      </c>
      <c r="P395" s="105">
        <f t="shared" ca="1" si="149"/>
        <v>2.1888257701369751</v>
      </c>
      <c r="Q395" s="106">
        <f t="shared" ca="1" si="150"/>
        <v>1.1578644031784242</v>
      </c>
      <c r="R395" s="107">
        <f t="shared" ca="1" si="151"/>
        <v>-6.8457194783867387E-2</v>
      </c>
      <c r="S395" s="108">
        <f t="shared" ca="1" si="152"/>
        <v>-109.93129552907467</v>
      </c>
      <c r="T395" s="116">
        <f t="shared" ca="1" si="153"/>
        <v>70.068704470925326</v>
      </c>
      <c r="V395" s="72">
        <f t="shared" ca="1" si="154"/>
        <v>34875.75</v>
      </c>
      <c r="W395" s="72">
        <f t="shared" si="155"/>
        <v>1216317938.0625</v>
      </c>
      <c r="Y395" s="110">
        <f t="shared" si="156"/>
        <v>18.454815766330796</v>
      </c>
      <c r="Z395" s="111">
        <f t="shared" si="157"/>
        <v>-42.706214639422349</v>
      </c>
      <c r="AA395" s="72">
        <f t="shared" si="158"/>
        <v>137.29378536057766</v>
      </c>
      <c r="AB395" s="110">
        <f t="shared" ca="1" si="159"/>
        <v>-2.6056726142331552</v>
      </c>
      <c r="AC395" s="111">
        <f t="shared" ca="1" si="160"/>
        <v>-67.225080889652375</v>
      </c>
      <c r="AD395" s="72">
        <f t="shared" ca="1" si="161"/>
        <v>112.77491911034762</v>
      </c>
    </row>
    <row r="396" spans="1:30">
      <c r="A396" s="118">
        <v>35077.5</v>
      </c>
      <c r="B396" s="101">
        <f t="shared" ca="1" si="135"/>
        <v>574.08621168508023</v>
      </c>
      <c r="C396" s="102">
        <f t="shared" ca="1" si="136"/>
        <v>1.5690544272589937</v>
      </c>
      <c r="D396" s="102">
        <f t="shared" si="137"/>
        <v>58.524327871119056</v>
      </c>
      <c r="E396" s="103">
        <f t="shared" si="138"/>
        <v>1.5537085839160789</v>
      </c>
      <c r="F396" s="101">
        <f t="shared" si="139"/>
        <v>4760.6062440208416</v>
      </c>
      <c r="G396" s="104">
        <f t="shared" si="140"/>
        <v>1.5705862695130934</v>
      </c>
      <c r="H396" s="113">
        <f t="shared" si="141"/>
        <v>573.05883649260875</v>
      </c>
      <c r="I396" s="114">
        <f t="shared" si="142"/>
        <v>1.5690513043925935</v>
      </c>
      <c r="J396" s="101">
        <f t="shared" si="143"/>
        <v>58.375580703686417</v>
      </c>
      <c r="K396" s="104">
        <f t="shared" si="144"/>
        <v>1.5536650382813186</v>
      </c>
      <c r="L396" s="102">
        <f t="shared" si="145"/>
        <v>2.7349751372815838</v>
      </c>
      <c r="M396" s="103">
        <f t="shared" si="146"/>
        <v>1.1964824105129765</v>
      </c>
      <c r="N396" s="101">
        <f t="shared" si="147"/>
        <v>1.0797639920091979</v>
      </c>
      <c r="O396" s="104">
        <f t="shared" si="148"/>
        <v>0.38678042566601678</v>
      </c>
      <c r="P396" s="105">
        <f t="shared" ca="1" si="149"/>
        <v>2.1988903567365967</v>
      </c>
      <c r="Q396" s="106">
        <f t="shared" ca="1" si="150"/>
        <v>1.16056886289769</v>
      </c>
      <c r="R396" s="107">
        <f t="shared" ca="1" si="151"/>
        <v>-0.12212989429414334</v>
      </c>
      <c r="S396" s="108">
        <f t="shared" ca="1" si="152"/>
        <v>-110.08883995930645</v>
      </c>
      <c r="T396" s="116">
        <f t="shared" ca="1" si="153"/>
        <v>69.911160040693545</v>
      </c>
      <c r="V396" s="72">
        <f t="shared" ca="1" si="154"/>
        <v>35077.5</v>
      </c>
      <c r="W396" s="72">
        <f t="shared" si="155"/>
        <v>1230431006.25</v>
      </c>
      <c r="Y396" s="110">
        <f t="shared" si="156"/>
        <v>18.441005255185352</v>
      </c>
      <c r="Z396" s="111">
        <f t="shared" si="157"/>
        <v>-42.713890147366712</v>
      </c>
      <c r="AA396" s="72">
        <f t="shared" si="158"/>
        <v>137.28610985263327</v>
      </c>
      <c r="AB396" s="110">
        <f t="shared" ca="1" si="159"/>
        <v>-2.6455348025979926</v>
      </c>
      <c r="AC396" s="111">
        <f t="shared" ca="1" si="160"/>
        <v>-67.374949811939757</v>
      </c>
      <c r="AD396" s="72">
        <f t="shared" ca="1" si="161"/>
        <v>112.62505018806024</v>
      </c>
    </row>
    <row r="397" spans="1:30">
      <c r="A397" s="118">
        <v>35279.25</v>
      </c>
      <c r="B397" s="101">
        <f t="shared" ca="1" si="135"/>
        <v>577.38808732571181</v>
      </c>
      <c r="C397" s="102">
        <f t="shared" ca="1" si="136"/>
        <v>1.5690643885684485</v>
      </c>
      <c r="D397" s="102">
        <f t="shared" si="137"/>
        <v>58.860835481915188</v>
      </c>
      <c r="E397" s="103">
        <f t="shared" si="138"/>
        <v>1.5538062840323135</v>
      </c>
      <c r="F397" s="101">
        <f t="shared" si="139"/>
        <v>4787.987108320558</v>
      </c>
      <c r="G397" s="104">
        <f t="shared" si="140"/>
        <v>1.5705874707590204</v>
      </c>
      <c r="H397" s="113">
        <f t="shared" si="141"/>
        <v>576.35480311539948</v>
      </c>
      <c r="I397" s="114">
        <f t="shared" si="142"/>
        <v>1.5690612835605486</v>
      </c>
      <c r="J397" s="101">
        <f t="shared" si="143"/>
        <v>58.711232537988188</v>
      </c>
      <c r="K397" s="104">
        <f t="shared" si="144"/>
        <v>1.5537629872756549</v>
      </c>
      <c r="L397" s="102">
        <f t="shared" si="145"/>
        <v>2.7486077345848097</v>
      </c>
      <c r="M397" s="103">
        <f t="shared" si="146"/>
        <v>1.1984300542699884</v>
      </c>
      <c r="N397" s="101">
        <f t="shared" si="147"/>
        <v>1.08064981314608</v>
      </c>
      <c r="O397" s="104">
        <f t="shared" si="148"/>
        <v>0.38878804720614557</v>
      </c>
      <c r="P397" s="105">
        <f t="shared" ca="1" si="149"/>
        <v>2.2089676530293989</v>
      </c>
      <c r="Q397" s="106">
        <f t="shared" ca="1" si="150"/>
        <v>1.163252042165833</v>
      </c>
      <c r="R397" s="107">
        <f t="shared" ca="1" si="151"/>
        <v>-0.17559487607595958</v>
      </c>
      <c r="S397" s="108">
        <f t="shared" ca="1" si="152"/>
        <v>-110.24609334383479</v>
      </c>
      <c r="T397" s="116">
        <f t="shared" ca="1" si="153"/>
        <v>69.753906656165213</v>
      </c>
      <c r="V397" s="72">
        <f t="shared" ca="1" si="154"/>
        <v>35279.25</v>
      </c>
      <c r="W397" s="72">
        <f t="shared" si="155"/>
        <v>1244625480.5625</v>
      </c>
      <c r="Y397" s="110">
        <f t="shared" si="156"/>
        <v>18.427270217132779</v>
      </c>
      <c r="Z397" s="111">
        <f t="shared" si="157"/>
        <v>-42.722435747311501</v>
      </c>
      <c r="AA397" s="72">
        <f t="shared" si="158"/>
        <v>137.27756425268851</v>
      </c>
      <c r="AB397" s="110">
        <f t="shared" ca="1" si="159"/>
        <v>-2.6852647463272366</v>
      </c>
      <c r="AC397" s="111">
        <f t="shared" ca="1" si="160"/>
        <v>-67.523657596523293</v>
      </c>
      <c r="AD397" s="72">
        <f t="shared" ca="1" si="161"/>
        <v>112.47634240347671</v>
      </c>
    </row>
    <row r="398" spans="1:30">
      <c r="A398" s="118">
        <v>35481</v>
      </c>
      <c r="B398" s="101">
        <f t="shared" ref="B398:B461" ca="1" si="162">SQRT(1+(A398/Pole1)^2)</f>
        <v>580.6899630229849</v>
      </c>
      <c r="C398" s="102">
        <f t="shared" ref="C398:C461" ca="1" si="163">ATAN(A398/Pole1)</f>
        <v>1.5690742365954033</v>
      </c>
      <c r="D398" s="102">
        <f t="shared" ref="D398:D461" si="164">SQRT(1+(A398/Zero1)^2)</f>
        <v>59.197343648168768</v>
      </c>
      <c r="E398" s="103">
        <f t="shared" ref="E398:E461" si="165">ATAN(A398/Zero1)</f>
        <v>1.5539028733939804</v>
      </c>
      <c r="F398" s="101">
        <f t="shared" ref="F398:F461" si="166">SQRT(1+(A398/Pole2)^2)</f>
        <v>4815.3679726271066</v>
      </c>
      <c r="G398" s="104">
        <f t="shared" ref="G398:G461" si="167">ATAN(A398/Pole2)</f>
        <v>1.5705886583440385</v>
      </c>
      <c r="H398" s="113">
        <f t="shared" ref="H398:H461" si="168">SQRT(1+(A398/Zero2)^2)</f>
        <v>579.6507697949329</v>
      </c>
      <c r="I398" s="114">
        <f t="shared" ref="I398:I461" si="169">ATAN(A398/Zero2)</f>
        <v>1.5690711492429139</v>
      </c>
      <c r="J398" s="101">
        <f t="shared" ref="J398:J461" si="170">SQRT(1+(A398/pole4)^2)</f>
        <v>59.046884929161962</v>
      </c>
      <c r="K398" s="104">
        <f t="shared" ref="K398:K461" si="171">ATAN(A398/pole4)</f>
        <v>1.5538598226875546</v>
      </c>
      <c r="L398" s="102">
        <f t="shared" ref="L398:L461" si="172">SQRT(1+(A398/Zerofeed)^2)</f>
        <v>2.7622506552886747</v>
      </c>
      <c r="M398" s="103">
        <f t="shared" ref="M398:M461" si="173">ATAN(A398/Zerofeed)</f>
        <v>1.2003584662246858</v>
      </c>
      <c r="N398" s="101">
        <f t="shared" ref="N398:N461" si="174">SQRT(1+(A398/Polefeed)^2)</f>
        <v>1.0815399827448144</v>
      </c>
      <c r="O398" s="104">
        <f t="shared" ref="O398:O461" si="175">ATAN(A398/Polefeed)</f>
        <v>0.39079237203779255</v>
      </c>
      <c r="P398" s="105">
        <f t="shared" ref="P398:P461" ca="1" si="176">SQRT((1-(W398/pterm2))^2+(A398/pterm1)^2)</f>
        <v>2.2190575014834089</v>
      </c>
      <c r="Q398" s="106">
        <f t="shared" ref="Q398:Q461" ca="1" si="177">IF((ATAN((A398/pterm1)/(1-A398^2/pterm2))&gt;0),ATAN((A398/pterm1)/(1-A398^2/pterm2)),PI()+ATAN((A398/pterm1)/(1-A398^2/pterm2)))</f>
        <v>1.1659142042701707</v>
      </c>
      <c r="R398" s="107">
        <f t="shared" ref="R398:R461" ca="1" si="178">20*LOG10(((D398*H398*L398)/(B398*F398*P398*J398*N398))*Adc)</f>
        <v>-0.22885445899835474</v>
      </c>
      <c r="S398" s="108">
        <f t="shared" ref="S398:S461" ca="1" si="179">((E398+I398+M398)-(C398+G398+Q398+K398+O398))*radconv</f>
        <v>-110.40305461410101</v>
      </c>
      <c r="T398" s="116">
        <f t="shared" ref="T398:T461" ca="1" si="180">IF(S398&gt;0,S398,S398+180)</f>
        <v>69.596945385898991</v>
      </c>
      <c r="V398" s="72">
        <f t="shared" ref="V398:V461" ca="1" si="181">IF(R398&lt;0,A398,1000000000)</f>
        <v>35481</v>
      </c>
      <c r="W398" s="72">
        <f t="shared" ref="W398:W461" si="182">A398^2</f>
        <v>1258901361</v>
      </c>
      <c r="Y398" s="110">
        <f t="shared" ref="Y398:Y461" si="183">20*LOG10(((H398*L398)/(F398*J398*N398))*Aea)</f>
        <v>18.413608695930321</v>
      </c>
      <c r="Z398" s="111">
        <f t="shared" ref="Z398:Z461" si="184">(I398+M398-(G398+K398+O398))*radconv</f>
        <v>-42.731836276839225</v>
      </c>
      <c r="AA398" s="72">
        <f t="shared" ref="AA398:AA461" si="185">IF(Z398&gt;0,Z398,Z398+180)</f>
        <v>137.26816372316077</v>
      </c>
      <c r="AB398" s="110">
        <f t="shared" ref="AB398:AB461" ca="1" si="186">20*LOG10((D398/(B398*P398))*Acs*Am)</f>
        <v>-2.7248628080471669</v>
      </c>
      <c r="AC398" s="111">
        <f t="shared" ref="AC398:AC461" ca="1" si="187">(E398-(C398+Q398))*radconv</f>
        <v>-67.671218337261763</v>
      </c>
      <c r="AD398" s="72">
        <f t="shared" ref="AD398:AD461" ca="1" si="188">IF(AC398&gt;0,AC398,AC398+180)</f>
        <v>112.32878166273824</v>
      </c>
    </row>
    <row r="399" spans="1:30">
      <c r="A399" s="118">
        <v>35687.75</v>
      </c>
      <c r="B399" s="101">
        <f t="shared" ca="1" si="162"/>
        <v>584.07366965031645</v>
      </c>
      <c r="C399" s="102">
        <f t="shared" ca="1" si="163"/>
        <v>1.5690842131686233</v>
      </c>
      <c r="D399" s="102">
        <f t="shared" si="164"/>
        <v>59.542192112353668</v>
      </c>
      <c r="E399" s="103">
        <f t="shared" si="165"/>
        <v>1.55400072385438</v>
      </c>
      <c r="F399" s="101">
        <f t="shared" si="166"/>
        <v>4843.4274209383029</v>
      </c>
      <c r="G399" s="104">
        <f t="shared" si="167"/>
        <v>1.5705898614305593</v>
      </c>
      <c r="H399" s="113">
        <f t="shared" si="168"/>
        <v>583.02842096057077</v>
      </c>
      <c r="I399" s="114">
        <f t="shared" si="169"/>
        <v>1.5690811437020014</v>
      </c>
      <c r="J399" s="101">
        <f t="shared" si="170"/>
        <v>59.390856410909549</v>
      </c>
      <c r="K399" s="104">
        <f t="shared" si="171"/>
        <v>1.553957922412335</v>
      </c>
      <c r="L399" s="102">
        <f t="shared" si="172"/>
        <v>2.7762422416462695</v>
      </c>
      <c r="M399" s="103">
        <f t="shared" si="173"/>
        <v>1.2023149993457176</v>
      </c>
      <c r="N399" s="101">
        <f t="shared" si="174"/>
        <v>1.0824567137757095</v>
      </c>
      <c r="O399" s="104">
        <f t="shared" si="175"/>
        <v>0.39284294175618767</v>
      </c>
      <c r="P399" s="105">
        <f t="shared" ca="1" si="176"/>
        <v>2.2294102688624018</v>
      </c>
      <c r="Q399" s="106">
        <f t="shared" ca="1" si="177"/>
        <v>1.1686208095633515</v>
      </c>
      <c r="R399" s="107">
        <f t="shared" ca="1" si="178"/>
        <v>-0.28322326637207046</v>
      </c>
      <c r="S399" s="108">
        <f t="shared" ca="1" si="179"/>
        <v>-110.56360176333247</v>
      </c>
      <c r="T399" s="116">
        <f t="shared" ca="1" si="180"/>
        <v>69.436398236667529</v>
      </c>
      <c r="V399" s="72">
        <f t="shared" ca="1" si="181"/>
        <v>35687.75</v>
      </c>
      <c r="W399" s="72">
        <f t="shared" si="182"/>
        <v>1273615500.0625</v>
      </c>
      <c r="Y399" s="110">
        <f t="shared" si="183"/>
        <v>18.399682880225189</v>
      </c>
      <c r="Z399" s="111">
        <f t="shared" si="184"/>
        <v>-42.742341168657035</v>
      </c>
      <c r="AA399" s="72">
        <f t="shared" si="185"/>
        <v>137.25765883134295</v>
      </c>
      <c r="AB399" s="110">
        <f t="shared" ca="1" si="186"/>
        <v>-2.7653057997157577</v>
      </c>
      <c r="AC399" s="111">
        <f t="shared" ca="1" si="187"/>
        <v>-67.821260594675437</v>
      </c>
      <c r="AD399" s="72">
        <f t="shared" ca="1" si="188"/>
        <v>112.17873940532456</v>
      </c>
    </row>
    <row r="400" spans="1:30">
      <c r="A400" s="118">
        <v>35894.5</v>
      </c>
      <c r="B400" s="101">
        <f t="shared" ca="1" si="162"/>
        <v>587.45737633511249</v>
      </c>
      <c r="C400" s="102">
        <f t="shared" ca="1" si="163"/>
        <v>1.5690940748133446</v>
      </c>
      <c r="D400" s="102">
        <f t="shared" si="164"/>
        <v>59.88704114007232</v>
      </c>
      <c r="E400" s="103">
        <f t="shared" si="165"/>
        <v>1.5540974474062526</v>
      </c>
      <c r="F400" s="101">
        <f t="shared" si="166"/>
        <v>4871.4868692564287</v>
      </c>
      <c r="G400" s="104">
        <f t="shared" si="167"/>
        <v>1.5705910506576799</v>
      </c>
      <c r="H400" s="113">
        <f t="shared" si="168"/>
        <v>586.4060721837759</v>
      </c>
      <c r="I400" s="114">
        <f t="shared" si="169"/>
        <v>1.5690910230265489</v>
      </c>
      <c r="J400" s="101">
        <f t="shared" si="170"/>
        <v>59.73482845762603</v>
      </c>
      <c r="K400" s="104">
        <f t="shared" si="171"/>
        <v>1.5540548923595172</v>
      </c>
      <c r="L400" s="102">
        <f t="shared" si="172"/>
        <v>2.7902443489136006</v>
      </c>
      <c r="M400" s="103">
        <f t="shared" si="173"/>
        <v>1.2042519031258214</v>
      </c>
      <c r="N400" s="101">
        <f t="shared" si="174"/>
        <v>1.0833779886457422</v>
      </c>
      <c r="O400" s="104">
        <f t="shared" si="175"/>
        <v>0.39489003257381927</v>
      </c>
      <c r="P400" s="105">
        <f t="shared" ca="1" si="176"/>
        <v>2.2397758920272319</v>
      </c>
      <c r="Q400" s="106">
        <f t="shared" ca="1" si="177"/>
        <v>1.1713058905515055</v>
      </c>
      <c r="R400" s="107">
        <f t="shared" ca="1" si="178"/>
        <v>-0.33738116602538204</v>
      </c>
      <c r="S400" s="108">
        <f t="shared" ca="1" si="179"/>
        <v>-110.7238400661218</v>
      </c>
      <c r="T400" s="116">
        <f t="shared" ca="1" si="180"/>
        <v>69.276159933878205</v>
      </c>
      <c r="V400" s="72">
        <f t="shared" ca="1" si="181"/>
        <v>35894.5</v>
      </c>
      <c r="W400" s="72">
        <f t="shared" si="182"/>
        <v>1288415130.25</v>
      </c>
      <c r="Y400" s="110">
        <f t="shared" si="183"/>
        <v>18.385830277163283</v>
      </c>
      <c r="Z400" s="111">
        <f t="shared" si="184"/>
        <v>-42.753712483684431</v>
      </c>
      <c r="AA400" s="72">
        <f t="shared" si="185"/>
        <v>137.24628751631556</v>
      </c>
      <c r="AB400" s="110">
        <f t="shared" ca="1" si="186"/>
        <v>-2.8056110963071612</v>
      </c>
      <c r="AC400" s="111">
        <f t="shared" ca="1" si="187"/>
        <v>-67.970127582437385</v>
      </c>
      <c r="AD400" s="72">
        <f t="shared" ca="1" si="188"/>
        <v>112.02987241756261</v>
      </c>
    </row>
    <row r="401" spans="1:30">
      <c r="A401" s="118">
        <v>36101.25</v>
      </c>
      <c r="B401" s="101">
        <f t="shared" ca="1" si="162"/>
        <v>590.84108307638564</v>
      </c>
      <c r="C401" s="102">
        <f t="shared" ca="1" si="163"/>
        <v>1.5691038235041281</v>
      </c>
      <c r="D401" s="102">
        <f t="shared" si="164"/>
        <v>60.231890721645428</v>
      </c>
      <c r="E401" s="103">
        <f t="shared" si="165"/>
        <v>1.5541930634036616</v>
      </c>
      <c r="F401" s="101">
        <f t="shared" si="166"/>
        <v>4899.5463175813657</v>
      </c>
      <c r="G401" s="104">
        <f t="shared" si="167"/>
        <v>1.5705922262635159</v>
      </c>
      <c r="H401" s="113">
        <f t="shared" si="168"/>
        <v>589.78372346355957</v>
      </c>
      <c r="I401" s="114">
        <f t="shared" si="169"/>
        <v>1.5691007891946576</v>
      </c>
      <c r="J401" s="101">
        <f t="shared" si="170"/>
        <v>60.078801059607471</v>
      </c>
      <c r="K401" s="104">
        <f t="shared" si="171"/>
        <v>1.5541507519324029</v>
      </c>
      <c r="L401" s="102">
        <f t="shared" si="172"/>
        <v>2.8042568194928679</v>
      </c>
      <c r="M401" s="103">
        <f t="shared" si="173"/>
        <v>1.2061694571772577</v>
      </c>
      <c r="N401" s="101">
        <f t="shared" si="174"/>
        <v>1.084303795772942</v>
      </c>
      <c r="O401" s="104">
        <f t="shared" si="175"/>
        <v>0.39693363622311401</v>
      </c>
      <c r="P401" s="105">
        <f t="shared" ca="1" si="176"/>
        <v>2.2501542101811105</v>
      </c>
      <c r="Q401" s="106">
        <f t="shared" ca="1" si="177"/>
        <v>1.173969718188721</v>
      </c>
      <c r="R401" s="107">
        <f t="shared" ca="1" si="178"/>
        <v>-0.39133052110923572</v>
      </c>
      <c r="S401" s="108">
        <f t="shared" ca="1" si="179"/>
        <v>-110.88376856895651</v>
      </c>
      <c r="T401" s="116">
        <f t="shared" ca="1" si="180"/>
        <v>69.116231431043488</v>
      </c>
      <c r="V401" s="72">
        <f t="shared" ca="1" si="181"/>
        <v>36101.25</v>
      </c>
      <c r="W401" s="72">
        <f t="shared" si="182"/>
        <v>1303300251.5625</v>
      </c>
      <c r="Y401" s="110">
        <f t="shared" si="183"/>
        <v>18.372048947045172</v>
      </c>
      <c r="Z401" s="111">
        <f t="shared" si="184"/>
        <v>-42.765934739655428</v>
      </c>
      <c r="AA401" s="72">
        <f t="shared" si="185"/>
        <v>137.23406526034458</v>
      </c>
      <c r="AB401" s="110">
        <f t="shared" ca="1" si="186"/>
        <v>-2.8457791212729</v>
      </c>
      <c r="AC401" s="111">
        <f t="shared" ca="1" si="187"/>
        <v>-68.117833829301105</v>
      </c>
      <c r="AD401" s="72">
        <f t="shared" ca="1" si="188"/>
        <v>111.88216617069889</v>
      </c>
    </row>
    <row r="402" spans="1:30">
      <c r="A402" s="118">
        <v>36308</v>
      </c>
      <c r="B402" s="101">
        <f t="shared" ca="1" si="162"/>
        <v>594.22478987317095</v>
      </c>
      <c r="C402" s="102">
        <f t="shared" ca="1" si="163"/>
        <v>1.5691134611705599</v>
      </c>
      <c r="D402" s="102">
        <f t="shared" si="164"/>
        <v>60.576740847614083</v>
      </c>
      <c r="E402" s="103">
        <f t="shared" si="165"/>
        <v>1.5542875907600391</v>
      </c>
      <c r="F402" s="101">
        <f t="shared" si="166"/>
        <v>4927.6057659129974</v>
      </c>
      <c r="G402" s="104">
        <f t="shared" si="167"/>
        <v>1.5705933884807601</v>
      </c>
      <c r="H402" s="113">
        <f t="shared" si="168"/>
        <v>593.16137479895485</v>
      </c>
      <c r="I402" s="114">
        <f t="shared" si="169"/>
        <v>1.5691104441393728</v>
      </c>
      <c r="J402" s="101">
        <f t="shared" si="170"/>
        <v>60.422774207370907</v>
      </c>
      <c r="K402" s="104">
        <f t="shared" si="171"/>
        <v>1.5542455200925425</v>
      </c>
      <c r="L402" s="102">
        <f t="shared" si="172"/>
        <v>2.8182794988050808</v>
      </c>
      <c r="M402" s="103">
        <f t="shared" si="173"/>
        <v>1.2080679361226974</v>
      </c>
      <c r="N402" s="101">
        <f t="shared" si="174"/>
        <v>1.0852341235579797</v>
      </c>
      <c r="O402" s="104">
        <f t="shared" si="175"/>
        <v>0.39897374458114854</v>
      </c>
      <c r="P402" s="105">
        <f t="shared" ca="1" si="176"/>
        <v>2.2605450653614625</v>
      </c>
      <c r="Q402" s="106">
        <f t="shared" ca="1" si="177"/>
        <v>1.1766125593740244</v>
      </c>
      <c r="R402" s="107">
        <f t="shared" ca="1" si="178"/>
        <v>-0.44507365227106355</v>
      </c>
      <c r="S402" s="108">
        <f t="shared" ca="1" si="179"/>
        <v>-111.04338637978628</v>
      </c>
      <c r="T402" s="116">
        <f t="shared" ca="1" si="180"/>
        <v>68.956613620213716</v>
      </c>
      <c r="V402" s="72">
        <f t="shared" ca="1" si="181"/>
        <v>36308</v>
      </c>
      <c r="W402" s="72">
        <f t="shared" si="182"/>
        <v>1318270864</v>
      </c>
      <c r="Y402" s="110">
        <f t="shared" si="183"/>
        <v>18.358337002823411</v>
      </c>
      <c r="Z402" s="111">
        <f t="shared" si="184"/>
        <v>-42.77899272543452</v>
      </c>
      <c r="AA402" s="72">
        <f t="shared" si="185"/>
        <v>137.22100727456547</v>
      </c>
      <c r="AB402" s="110">
        <f t="shared" ca="1" si="186"/>
        <v>-2.8858103082129754</v>
      </c>
      <c r="AC402" s="111">
        <f t="shared" ca="1" si="187"/>
        <v>-68.26439365435175</v>
      </c>
      <c r="AD402" s="72">
        <f t="shared" ca="1" si="188"/>
        <v>111.73560634564825</v>
      </c>
    </row>
    <row r="403" spans="1:30">
      <c r="A403" s="118">
        <v>36519.5</v>
      </c>
      <c r="B403" s="101">
        <f t="shared" ca="1" si="162"/>
        <v>597.68623606031758</v>
      </c>
      <c r="C403" s="102">
        <f t="shared" ca="1" si="163"/>
        <v>1.569123207344888</v>
      </c>
      <c r="D403" s="102">
        <f t="shared" si="164"/>
        <v>60.929514323367719</v>
      </c>
      <c r="E403" s="103">
        <f t="shared" si="165"/>
        <v>1.554383182671448</v>
      </c>
      <c r="F403" s="101">
        <f t="shared" si="166"/>
        <v>4956.3098690498664</v>
      </c>
      <c r="G403" s="104">
        <f t="shared" si="167"/>
        <v>1.5705945637830581</v>
      </c>
      <c r="H403" s="113">
        <f t="shared" si="168"/>
        <v>596.61662640296686</v>
      </c>
      <c r="I403" s="114">
        <f t="shared" si="169"/>
        <v>1.569120207786517</v>
      </c>
      <c r="J403" s="101">
        <f t="shared" si="170"/>
        <v>60.774650558099736</v>
      </c>
      <c r="K403" s="104">
        <f t="shared" si="171"/>
        <v>1.5543413555211498</v>
      </c>
      <c r="L403" s="102">
        <f t="shared" si="172"/>
        <v>2.8326347488245203</v>
      </c>
      <c r="M403" s="103">
        <f t="shared" si="173"/>
        <v>1.2099905755826179</v>
      </c>
      <c r="N403" s="101">
        <f t="shared" si="174"/>
        <v>1.0861904907880353</v>
      </c>
      <c r="O403" s="104">
        <f t="shared" si="175"/>
        <v>0.40105709864061895</v>
      </c>
      <c r="P403" s="105">
        <f t="shared" ca="1" si="176"/>
        <v>2.2711874569546158</v>
      </c>
      <c r="Q403" s="106">
        <f t="shared" ca="1" si="177"/>
        <v>1.1792946776698967</v>
      </c>
      <c r="R403" s="107">
        <f t="shared" ca="1" si="178"/>
        <v>-0.4998405016835844</v>
      </c>
      <c r="S403" s="108">
        <f t="shared" ca="1" si="179"/>
        <v>-111.20634899799147</v>
      </c>
      <c r="T403" s="116">
        <f t="shared" ca="1" si="180"/>
        <v>68.793651002008531</v>
      </c>
      <c r="V403" s="72">
        <f t="shared" ca="1" si="181"/>
        <v>36519.5</v>
      </c>
      <c r="W403" s="72">
        <f t="shared" si="182"/>
        <v>1333673880.25</v>
      </c>
      <c r="Y403" s="110">
        <f t="shared" si="183"/>
        <v>18.34437991350806</v>
      </c>
      <c r="Z403" s="111">
        <f t="shared" si="184"/>
        <v>-42.793199883385412</v>
      </c>
      <c r="AA403" s="72">
        <f t="shared" si="185"/>
        <v>137.2068001166146</v>
      </c>
      <c r="AB403" s="110">
        <f t="shared" ca="1" si="186"/>
        <v>-2.9266200683101387</v>
      </c>
      <c r="AC403" s="111">
        <f t="shared" ca="1" si="187"/>
        <v>-68.413149114606128</v>
      </c>
      <c r="AD403" s="72">
        <f t="shared" ca="1" si="188"/>
        <v>111.58685088539387</v>
      </c>
    </row>
    <row r="404" spans="1:30">
      <c r="A404" s="118">
        <v>36731</v>
      </c>
      <c r="B404" s="101">
        <f t="shared" ca="1" si="162"/>
        <v>601.14768230358345</v>
      </c>
      <c r="C404" s="102">
        <f t="shared" ca="1" si="163"/>
        <v>1.569132841281045</v>
      </c>
      <c r="D404" s="102">
        <f t="shared" si="164"/>
        <v>61.282288349473852</v>
      </c>
      <c r="E404" s="103">
        <f t="shared" si="165"/>
        <v>1.5544776740261332</v>
      </c>
      <c r="F404" s="101">
        <f t="shared" si="166"/>
        <v>4985.0139721935029</v>
      </c>
      <c r="G404" s="104">
        <f t="shared" si="167"/>
        <v>1.5705957255503895</v>
      </c>
      <c r="H404" s="113">
        <f t="shared" si="168"/>
        <v>600.0718780631986</v>
      </c>
      <c r="I404" s="114">
        <f t="shared" si="169"/>
        <v>1.5691298589942719</v>
      </c>
      <c r="J404" s="101">
        <f t="shared" si="170"/>
        <v>61.126527460582693</v>
      </c>
      <c r="K404" s="104">
        <f t="shared" si="171"/>
        <v>1.55443608759091</v>
      </c>
      <c r="L404" s="102">
        <f t="shared" si="172"/>
        <v>2.8470003641821626</v>
      </c>
      <c r="M404" s="103">
        <f t="shared" si="173"/>
        <v>1.211893819212174</v>
      </c>
      <c r="N404" s="101">
        <f t="shared" si="174"/>
        <v>1.0871515641737937</v>
      </c>
      <c r="O404" s="104">
        <f t="shared" si="175"/>
        <v>0.40313677822305533</v>
      </c>
      <c r="P404" s="105">
        <f t="shared" ca="1" si="176"/>
        <v>2.2818426426928324</v>
      </c>
      <c r="Q404" s="106">
        <f t="shared" ca="1" si="177"/>
        <v>1.181955386429888</v>
      </c>
      <c r="R404" s="107">
        <f t="shared" ca="1" si="178"/>
        <v>-0.55439632357351021</v>
      </c>
      <c r="S404" s="108">
        <f t="shared" ca="1" si="179"/>
        <v>-111.36898478282581</v>
      </c>
      <c r="T404" s="116">
        <f t="shared" ca="1" si="180"/>
        <v>68.631015217174195</v>
      </c>
      <c r="V404" s="72">
        <f t="shared" ca="1" si="181"/>
        <v>36731</v>
      </c>
      <c r="W404" s="72">
        <f t="shared" si="182"/>
        <v>1349166361</v>
      </c>
      <c r="Y404" s="110">
        <f t="shared" si="183"/>
        <v>18.330491602172774</v>
      </c>
      <c r="Z404" s="111">
        <f t="shared" si="184"/>
        <v>-42.808250257532144</v>
      </c>
      <c r="AA404" s="72">
        <f t="shared" si="185"/>
        <v>137.19174974246786</v>
      </c>
      <c r="AB404" s="110">
        <f t="shared" ca="1" si="186"/>
        <v>-2.9672875788647808</v>
      </c>
      <c r="AC404" s="111">
        <f t="shared" ca="1" si="187"/>
        <v>-68.560734525293697</v>
      </c>
      <c r="AD404" s="72">
        <f t="shared" ca="1" si="188"/>
        <v>111.4392654747063</v>
      </c>
    </row>
    <row r="405" spans="1:30">
      <c r="A405" s="118">
        <v>36942.5</v>
      </c>
      <c r="B405" s="101">
        <f t="shared" ca="1" si="162"/>
        <v>604.60912860200449</v>
      </c>
      <c r="C405" s="102">
        <f t="shared" ca="1" si="163"/>
        <v>1.5691423649067524</v>
      </c>
      <c r="D405" s="102">
        <f t="shared" si="164"/>
        <v>61.635062916482497</v>
      </c>
      <c r="E405" s="103">
        <f t="shared" si="165"/>
        <v>1.5545710837198383</v>
      </c>
      <c r="F405" s="101">
        <f t="shared" si="166"/>
        <v>5013.7180753437906</v>
      </c>
      <c r="G405" s="104">
        <f t="shared" si="167"/>
        <v>1.5705968740152223</v>
      </c>
      <c r="H405" s="113">
        <f t="shared" si="168"/>
        <v>603.52712977868464</v>
      </c>
      <c r="I405" s="114">
        <f t="shared" si="169"/>
        <v>1.5691393996938154</v>
      </c>
      <c r="J405" s="101">
        <f t="shared" si="170"/>
        <v>61.478404905345734</v>
      </c>
      <c r="K405" s="104">
        <f t="shared" si="171"/>
        <v>1.5545297352456433</v>
      </c>
      <c r="L405" s="102">
        <f t="shared" si="172"/>
        <v>2.8613761887596425</v>
      </c>
      <c r="M405" s="103">
        <f t="shared" si="173"/>
        <v>1.2137779454576776</v>
      </c>
      <c r="N405" s="101">
        <f t="shared" si="174"/>
        <v>1.0881173312452002</v>
      </c>
      <c r="O405" s="104">
        <f t="shared" si="175"/>
        <v>0.40521277509922093</v>
      </c>
      <c r="P405" s="105">
        <f t="shared" ca="1" si="176"/>
        <v>2.2925104623189814</v>
      </c>
      <c r="Q405" s="106">
        <f t="shared" ca="1" si="177"/>
        <v>1.1845949586141793</v>
      </c>
      <c r="R405" s="107">
        <f t="shared" ca="1" si="178"/>
        <v>-0.60874347086250835</v>
      </c>
      <c r="S405" s="108">
        <f t="shared" ca="1" si="179"/>
        <v>-111.53129296433245</v>
      </c>
      <c r="T405" s="116">
        <f t="shared" ca="1" si="180"/>
        <v>68.468707035667549</v>
      </c>
      <c r="V405" s="72">
        <f t="shared" ca="1" si="181"/>
        <v>36942.5</v>
      </c>
      <c r="W405" s="72">
        <f t="shared" si="182"/>
        <v>1364748306.25</v>
      </c>
      <c r="Y405" s="110">
        <f t="shared" si="183"/>
        <v>18.316670209835554</v>
      </c>
      <c r="Z405" s="111">
        <f t="shared" si="184"/>
        <v>-42.824128410647646</v>
      </c>
      <c r="AA405" s="72">
        <f t="shared" si="185"/>
        <v>137.17587158935237</v>
      </c>
      <c r="AB405" s="110">
        <f t="shared" ca="1" si="186"/>
        <v>-3.0078133338165536</v>
      </c>
      <c r="AC405" s="111">
        <f t="shared" ca="1" si="187"/>
        <v>-68.707164553684834</v>
      </c>
      <c r="AD405" s="72">
        <f t="shared" ca="1" si="188"/>
        <v>111.29283544631517</v>
      </c>
    </row>
    <row r="406" spans="1:30">
      <c r="A406" s="118">
        <v>37154</v>
      </c>
      <c r="B406" s="101">
        <f t="shared" ca="1" si="162"/>
        <v>608.07057495463903</v>
      </c>
      <c r="C406" s="102">
        <f t="shared" ca="1" si="163"/>
        <v>1.5691517801058377</v>
      </c>
      <c r="D406" s="102">
        <f t="shared" si="164"/>
        <v>61.987838015158779</v>
      </c>
      <c r="E406" s="103">
        <f t="shared" si="165"/>
        <v>1.5546634302182383</v>
      </c>
      <c r="F406" s="101">
        <f t="shared" si="166"/>
        <v>5042.4221785006148</v>
      </c>
      <c r="G406" s="104">
        <f t="shared" si="167"/>
        <v>1.5705980094047307</v>
      </c>
      <c r="H406" s="113">
        <f t="shared" si="168"/>
        <v>606.98238154848138</v>
      </c>
      <c r="I406" s="114">
        <f t="shared" si="169"/>
        <v>1.5691488317723519</v>
      </c>
      <c r="J406" s="101">
        <f t="shared" si="170"/>
        <v>61.830282883130486</v>
      </c>
      <c r="K406" s="104">
        <f t="shared" si="171"/>
        <v>1.5546223169980076</v>
      </c>
      <c r="L406" s="102">
        <f t="shared" si="172"/>
        <v>2.8757620694504653</v>
      </c>
      <c r="M406" s="103">
        <f t="shared" si="173"/>
        <v>1.2156432277426523</v>
      </c>
      <c r="N406" s="101">
        <f t="shared" si="174"/>
        <v>1.0890877795156388</v>
      </c>
      <c r="O406" s="104">
        <f t="shared" si="175"/>
        <v>0.40728508119596912</v>
      </c>
      <c r="P406" s="105">
        <f t="shared" ca="1" si="176"/>
        <v>2.3031907584395981</v>
      </c>
      <c r="Q406" s="106">
        <f t="shared" ca="1" si="177"/>
        <v>1.1872136630176922</v>
      </c>
      <c r="R406" s="107">
        <f t="shared" ca="1" si="178"/>
        <v>-0.66288425432802345</v>
      </c>
      <c r="S406" s="108">
        <f t="shared" ca="1" si="179"/>
        <v>-111.69327283026936</v>
      </c>
      <c r="T406" s="116">
        <f t="shared" ca="1" si="180"/>
        <v>68.306727169730635</v>
      </c>
      <c r="V406" s="72">
        <f t="shared" ca="1" si="181"/>
        <v>37154</v>
      </c>
      <c r="W406" s="72">
        <f t="shared" si="182"/>
        <v>1380419716</v>
      </c>
      <c r="Y406" s="110">
        <f t="shared" si="183"/>
        <v>18.302913928670851</v>
      </c>
      <c r="Z406" s="111">
        <f t="shared" si="184"/>
        <v>-42.84081917974521</v>
      </c>
      <c r="AA406" s="72">
        <f t="shared" si="185"/>
        <v>137.15918082025479</v>
      </c>
      <c r="AB406" s="110">
        <f t="shared" ca="1" si="186"/>
        <v>-3.0481978361173683</v>
      </c>
      <c r="AC406" s="111">
        <f t="shared" ca="1" si="187"/>
        <v>-68.852453650524168</v>
      </c>
      <c r="AD406" s="72">
        <f t="shared" ca="1" si="188"/>
        <v>111.14754634947583</v>
      </c>
    </row>
    <row r="407" spans="1:30">
      <c r="A407" s="118">
        <v>37370.25</v>
      </c>
      <c r="B407" s="101">
        <f t="shared" ca="1" si="162"/>
        <v>611.60976070125707</v>
      </c>
      <c r="C407" s="102">
        <f t="shared" ca="1" si="163"/>
        <v>1.569161296568421</v>
      </c>
      <c r="D407" s="102">
        <f t="shared" si="164"/>
        <v>62.348536499152438</v>
      </c>
      <c r="E407" s="103">
        <f t="shared" si="165"/>
        <v>1.5547567702096912</v>
      </c>
      <c r="F407" s="101">
        <f t="shared" si="166"/>
        <v>5071.7709364631146</v>
      </c>
      <c r="G407" s="104">
        <f t="shared" si="167"/>
        <v>1.5705991570056836</v>
      </c>
      <c r="H407" s="113">
        <f t="shared" si="168"/>
        <v>610.51523359052339</v>
      </c>
      <c r="I407" s="114">
        <f t="shared" si="169"/>
        <v>1.5691583652959313</v>
      </c>
      <c r="J407" s="101">
        <f t="shared" si="170"/>
        <v>62.190064099503587</v>
      </c>
      <c r="K407" s="104">
        <f t="shared" si="171"/>
        <v>1.5547158947757922</v>
      </c>
      <c r="L407" s="102">
        <f t="shared" si="172"/>
        <v>2.8904812783093243</v>
      </c>
      <c r="M407" s="103">
        <f t="shared" si="173"/>
        <v>1.2175311978522743</v>
      </c>
      <c r="N407" s="101">
        <f t="shared" si="174"/>
        <v>1.0900848497793976</v>
      </c>
      <c r="O407" s="104">
        <f t="shared" si="175"/>
        <v>0.40940010415443495</v>
      </c>
      <c r="P407" s="105">
        <f t="shared" ca="1" si="176"/>
        <v>2.3141236583007365</v>
      </c>
      <c r="Q407" s="106">
        <f t="shared" ca="1" si="177"/>
        <v>1.1898698796013818</v>
      </c>
      <c r="R407" s="107">
        <f t="shared" ca="1" si="178"/>
        <v>-0.71802996173781719</v>
      </c>
      <c r="S407" s="108">
        <f t="shared" ca="1" si="179"/>
        <v>-111.85855039946279</v>
      </c>
      <c r="T407" s="116">
        <f t="shared" ca="1" si="180"/>
        <v>68.141449600537214</v>
      </c>
      <c r="V407" s="72">
        <f t="shared" ca="1" si="181"/>
        <v>37370.25</v>
      </c>
      <c r="W407" s="72">
        <f t="shared" si="182"/>
        <v>1396535585.0625</v>
      </c>
      <c r="Y407" s="110">
        <f t="shared" si="183"/>
        <v>18.28891419016999</v>
      </c>
      <c r="Z407" s="111">
        <f t="shared" si="184"/>
        <v>-42.858709483480276</v>
      </c>
      <c r="AA407" s="72">
        <f t="shared" si="185"/>
        <v>137.14129051651972</v>
      </c>
      <c r="AB407" s="110">
        <f t="shared" ca="1" si="186"/>
        <v>-3.0893438050263051</v>
      </c>
      <c r="AC407" s="111">
        <f t="shared" ca="1" si="187"/>
        <v>-68.999840915982546</v>
      </c>
      <c r="AD407" s="72">
        <f t="shared" ca="1" si="188"/>
        <v>111.00015908401745</v>
      </c>
    </row>
    <row r="408" spans="1:30">
      <c r="A408" s="118">
        <v>37586.5</v>
      </c>
      <c r="B408" s="101">
        <f t="shared" ca="1" si="162"/>
        <v>615.14894650262693</v>
      </c>
      <c r="C408" s="102">
        <f t="shared" ca="1" si="163"/>
        <v>1.5691707035273492</v>
      </c>
      <c r="D408" s="102">
        <f t="shared" si="164"/>
        <v>62.709235520099703</v>
      </c>
      <c r="E408" s="103">
        <f t="shared" si="165"/>
        <v>1.5548490364320799</v>
      </c>
      <c r="F408" s="101">
        <f t="shared" si="166"/>
        <v>5101.1196944322164</v>
      </c>
      <c r="G408" s="104">
        <f t="shared" si="167"/>
        <v>1.5706002914014325</v>
      </c>
      <c r="H408" s="113">
        <f t="shared" si="168"/>
        <v>614.04808568741555</v>
      </c>
      <c r="I408" s="114">
        <f t="shared" si="169"/>
        <v>1.5691677891195399</v>
      </c>
      <c r="J408" s="101">
        <f t="shared" si="170"/>
        <v>62.549845854197841</v>
      </c>
      <c r="K408" s="104">
        <f t="shared" si="171"/>
        <v>1.5548083960504602</v>
      </c>
      <c r="L408" s="102">
        <f t="shared" si="172"/>
        <v>2.9052106856691386</v>
      </c>
      <c r="M408" s="103">
        <f t="shared" si="173"/>
        <v>1.2194000305642119</v>
      </c>
      <c r="N408" s="101">
        <f t="shared" si="174"/>
        <v>1.0910867874188694</v>
      </c>
      <c r="O408" s="104">
        <f t="shared" si="175"/>
        <v>0.41151125211968748</v>
      </c>
      <c r="P408" s="105">
        <f t="shared" ca="1" si="176"/>
        <v>2.3250692774946846</v>
      </c>
      <c r="Q408" s="106">
        <f t="shared" ca="1" si="177"/>
        <v>1.19250483583736</v>
      </c>
      <c r="R408" s="107">
        <f t="shared" ca="1" si="178"/>
        <v>-0.77296468721003864</v>
      </c>
      <c r="S408" s="108">
        <f t="shared" ca="1" si="179"/>
        <v>-112.02348340981837</v>
      </c>
      <c r="T408" s="116">
        <f t="shared" ca="1" si="180"/>
        <v>67.976516590181632</v>
      </c>
      <c r="V408" s="72">
        <f t="shared" ca="1" si="181"/>
        <v>37586.5</v>
      </c>
      <c r="W408" s="72">
        <f t="shared" si="182"/>
        <v>1412744982.25</v>
      </c>
      <c r="Y408" s="110">
        <f t="shared" si="183"/>
        <v>18.274978855197311</v>
      </c>
      <c r="Z408" s="111">
        <f t="shared" si="184"/>
        <v>-42.877418108235368</v>
      </c>
      <c r="AA408" s="72">
        <f t="shared" si="185"/>
        <v>137.12258189176464</v>
      </c>
      <c r="AB408" s="110">
        <f t="shared" ca="1" si="186"/>
        <v>-3.1303431955258465</v>
      </c>
      <c r="AC408" s="111">
        <f t="shared" ca="1" si="187"/>
        <v>-69.146065301583022</v>
      </c>
      <c r="AD408" s="72">
        <f t="shared" ca="1" si="188"/>
        <v>110.85393469841698</v>
      </c>
    </row>
    <row r="409" spans="1:30">
      <c r="A409" s="118">
        <v>37802.75</v>
      </c>
      <c r="B409" s="101">
        <f t="shared" ca="1" si="162"/>
        <v>618.68813235780908</v>
      </c>
      <c r="C409" s="102">
        <f t="shared" ca="1" si="163"/>
        <v>1.5691800028618574</v>
      </c>
      <c r="D409" s="102">
        <f t="shared" si="164"/>
        <v>63.069935068788006</v>
      </c>
      <c r="E409" s="103">
        <f t="shared" si="165"/>
        <v>1.5549402473066081</v>
      </c>
      <c r="F409" s="101">
        <f t="shared" si="166"/>
        <v>5130.4684524078084</v>
      </c>
      <c r="G409" s="104">
        <f t="shared" si="167"/>
        <v>1.5706014128185983</v>
      </c>
      <c r="H409" s="113">
        <f t="shared" si="168"/>
        <v>617.58093783821653</v>
      </c>
      <c r="I409" s="114">
        <f t="shared" si="169"/>
        <v>1.5691771051257817</v>
      </c>
      <c r="J409" s="101">
        <f t="shared" si="170"/>
        <v>62.909628137977236</v>
      </c>
      <c r="K409" s="104">
        <f t="shared" si="171"/>
        <v>1.5548998392900879</v>
      </c>
      <c r="L409" s="102">
        <f t="shared" si="172"/>
        <v>2.9199501371938434</v>
      </c>
      <c r="M409" s="103">
        <f t="shared" si="173"/>
        <v>1.2212500025326345</v>
      </c>
      <c r="N409" s="101">
        <f t="shared" si="174"/>
        <v>1.0920935790373816</v>
      </c>
      <c r="O409" s="104">
        <f t="shared" si="175"/>
        <v>0.4136185169644363</v>
      </c>
      <c r="P409" s="105">
        <f t="shared" ca="1" si="176"/>
        <v>2.3360274566988832</v>
      </c>
      <c r="Q409" s="106">
        <f t="shared" ca="1" si="177"/>
        <v>1.1951188059708489</v>
      </c>
      <c r="R409" s="107">
        <f t="shared" ca="1" si="178"/>
        <v>-0.82769077064436281</v>
      </c>
      <c r="S409" s="108">
        <f t="shared" ca="1" si="179"/>
        <v>-112.1880712731311</v>
      </c>
      <c r="T409" s="116">
        <f t="shared" ca="1" si="180"/>
        <v>67.811928726868899</v>
      </c>
      <c r="V409" s="72">
        <f t="shared" ca="1" si="181"/>
        <v>37802.75</v>
      </c>
      <c r="W409" s="72">
        <f t="shared" si="182"/>
        <v>1429047907.5625</v>
      </c>
      <c r="Y409" s="110">
        <f t="shared" si="183"/>
        <v>18.261106147584854</v>
      </c>
      <c r="Z409" s="111">
        <f t="shared" si="184"/>
        <v>-42.896929700496692</v>
      </c>
      <c r="AA409" s="72">
        <f t="shared" si="185"/>
        <v>137.10307029950332</v>
      </c>
      <c r="AB409" s="110">
        <f t="shared" ca="1" si="186"/>
        <v>-3.1711965713477137</v>
      </c>
      <c r="AC409" s="111">
        <f t="shared" ca="1" si="187"/>
        <v>-69.291141572634388</v>
      </c>
      <c r="AD409" s="72">
        <f t="shared" ca="1" si="188"/>
        <v>110.70885842736561</v>
      </c>
    </row>
    <row r="410" spans="1:30">
      <c r="A410" s="118">
        <v>38019</v>
      </c>
      <c r="B410" s="101">
        <f t="shared" ca="1" si="162"/>
        <v>622.2273182658854</v>
      </c>
      <c r="C410" s="102">
        <f t="shared" ca="1" si="163"/>
        <v>1.5691891964084246</v>
      </c>
      <c r="D410" s="102">
        <f t="shared" si="164"/>
        <v>63.430635136214327</v>
      </c>
      <c r="E410" s="103">
        <f t="shared" si="165"/>
        <v>1.5550304208355397</v>
      </c>
      <c r="F410" s="101">
        <f t="shared" si="166"/>
        <v>5159.8172103897787</v>
      </c>
      <c r="G410" s="104">
        <f t="shared" si="167"/>
        <v>1.570602521478645</v>
      </c>
      <c r="H410" s="113">
        <f t="shared" si="168"/>
        <v>621.11379004200637</v>
      </c>
      <c r="I410" s="114">
        <f t="shared" si="169"/>
        <v>1.5691863151544283</v>
      </c>
      <c r="J410" s="101">
        <f t="shared" si="170"/>
        <v>63.269410941815842</v>
      </c>
      <c r="K410" s="104">
        <f t="shared" si="171"/>
        <v>1.5549902425427466</v>
      </c>
      <c r="L410" s="102">
        <f t="shared" si="172"/>
        <v>2.9346994815437744</v>
      </c>
      <c r="M410" s="103">
        <f t="shared" si="173"/>
        <v>1.2230813853721214</v>
      </c>
      <c r="N410" s="101">
        <f t="shared" si="174"/>
        <v>1.0931052112228339</v>
      </c>
      <c r="O410" s="104">
        <f t="shared" si="175"/>
        <v>0.41572189072920623</v>
      </c>
      <c r="P410" s="105">
        <f t="shared" ca="1" si="176"/>
        <v>2.3469980394747458</v>
      </c>
      <c r="Q410" s="106">
        <f t="shared" ca="1" si="177"/>
        <v>1.1977120599864592</v>
      </c>
      <c r="R410" s="107">
        <f t="shared" ca="1" si="178"/>
        <v>-0.8822105102010448</v>
      </c>
      <c r="S410" s="108">
        <f t="shared" ca="1" si="179"/>
        <v>-112.35231345509121</v>
      </c>
      <c r="T410" s="116">
        <f t="shared" ca="1" si="180"/>
        <v>67.647686544908794</v>
      </c>
      <c r="V410" s="72">
        <f t="shared" ca="1" si="181"/>
        <v>38019</v>
      </c>
      <c r="W410" s="72">
        <f t="shared" si="182"/>
        <v>1445444361</v>
      </c>
      <c r="Y410" s="110">
        <f t="shared" si="183"/>
        <v>18.247294340724629</v>
      </c>
      <c r="Z410" s="111">
        <f t="shared" si="184"/>
        <v>-42.917229183207034</v>
      </c>
      <c r="AA410" s="72">
        <f t="shared" si="185"/>
        <v>137.08277081679296</v>
      </c>
      <c r="AB410" s="110">
        <f t="shared" ca="1" si="186"/>
        <v>-3.2119045040441696</v>
      </c>
      <c r="AC410" s="111">
        <f t="shared" ca="1" si="187"/>
        <v>-69.435084271884179</v>
      </c>
      <c r="AD410" s="72">
        <f t="shared" ca="1" si="188"/>
        <v>110.56491572811582</v>
      </c>
    </row>
    <row r="411" spans="1:30">
      <c r="A411" s="118">
        <v>38240.5</v>
      </c>
      <c r="B411" s="101">
        <f t="shared" ca="1" si="162"/>
        <v>625.85242666031002</v>
      </c>
      <c r="C411" s="102">
        <f t="shared" ca="1" si="163"/>
        <v>1.5691985053550375</v>
      </c>
      <c r="D411" s="102">
        <f t="shared" si="164"/>
        <v>63.800092612476618</v>
      </c>
      <c r="E411" s="103">
        <f t="shared" si="165"/>
        <v>1.5551217265071338</v>
      </c>
      <c r="F411" s="101">
        <f t="shared" si="166"/>
        <v>5189.8784815778108</v>
      </c>
      <c r="G411" s="104">
        <f t="shared" si="167"/>
        <v>1.5706036440548792</v>
      </c>
      <c r="H411" s="113">
        <f t="shared" si="168"/>
        <v>624.73241096600987</v>
      </c>
      <c r="I411" s="114">
        <f t="shared" si="169"/>
        <v>1.5691956407900094</v>
      </c>
      <c r="J411" s="101">
        <f t="shared" si="170"/>
        <v>63.637928887009707</v>
      </c>
      <c r="K411" s="104">
        <f t="shared" si="171"/>
        <v>1.5550817808236215</v>
      </c>
      <c r="L411" s="102">
        <f t="shared" si="172"/>
        <v>2.9498170033730124</v>
      </c>
      <c r="M411" s="103">
        <f t="shared" si="173"/>
        <v>1.2249382366557802</v>
      </c>
      <c r="N411" s="101">
        <f t="shared" si="174"/>
        <v>1.0941464075007268</v>
      </c>
      <c r="O411" s="104">
        <f t="shared" si="175"/>
        <v>0.4178722869916302</v>
      </c>
      <c r="P411" s="105">
        <f t="shared" ca="1" si="176"/>
        <v>2.3582476584923215</v>
      </c>
      <c r="Q411" s="106">
        <f t="shared" ca="1" si="177"/>
        <v>1.2003470727455192</v>
      </c>
      <c r="R411" s="107">
        <f t="shared" ca="1" si="178"/>
        <v>-0.9378422904132504</v>
      </c>
      <c r="S411" s="108">
        <f t="shared" ca="1" si="179"/>
        <v>-112.52018414392377</v>
      </c>
      <c r="T411" s="116">
        <f t="shared" ca="1" si="180"/>
        <v>67.479815856076229</v>
      </c>
      <c r="V411" s="72">
        <f t="shared" ca="1" si="181"/>
        <v>38240.5</v>
      </c>
      <c r="W411" s="72">
        <f t="shared" si="182"/>
        <v>1462335840.25</v>
      </c>
      <c r="Y411" s="110">
        <f t="shared" si="183"/>
        <v>18.233208600868618</v>
      </c>
      <c r="Z411" s="111">
        <f t="shared" si="184"/>
        <v>-42.93882282809053</v>
      </c>
      <c r="AA411" s="72">
        <f t="shared" si="185"/>
        <v>137.06117717190946</v>
      </c>
      <c r="AB411" s="110">
        <f t="shared" ca="1" si="186"/>
        <v>-3.2534505444003625</v>
      </c>
      <c r="AC411" s="111">
        <f t="shared" ca="1" si="187"/>
        <v>-69.581361315833263</v>
      </c>
      <c r="AD411" s="72">
        <f t="shared" ca="1" si="188"/>
        <v>110.41863868416674</v>
      </c>
    </row>
    <row r="412" spans="1:30">
      <c r="A412" s="118">
        <v>38462</v>
      </c>
      <c r="B412" s="101">
        <f t="shared" ca="1" si="162"/>
        <v>629.47753510834423</v>
      </c>
      <c r="C412" s="102">
        <f t="shared" ca="1" si="163"/>
        <v>1.5692077070827621</v>
      </c>
      <c r="D412" s="102">
        <f t="shared" si="164"/>
        <v>64.169550614498121</v>
      </c>
      <c r="E412" s="103">
        <f t="shared" si="165"/>
        <v>1.5552119807895013</v>
      </c>
      <c r="F412" s="101">
        <f t="shared" si="166"/>
        <v>5219.9397527723067</v>
      </c>
      <c r="G412" s="104">
        <f t="shared" si="167"/>
        <v>1.570604753701436</v>
      </c>
      <c r="H412" s="113">
        <f t="shared" si="168"/>
        <v>628.35103194371902</v>
      </c>
      <c r="I412" s="114">
        <f t="shared" si="169"/>
        <v>1.5692048590144825</v>
      </c>
      <c r="J412" s="101">
        <f t="shared" si="170"/>
        <v>64.006447359301873</v>
      </c>
      <c r="K412" s="104">
        <f t="shared" si="171"/>
        <v>1.555172265038077</v>
      </c>
      <c r="L412" s="102">
        <f t="shared" si="172"/>
        <v>2.9649445921307751</v>
      </c>
      <c r="M412" s="103">
        <f t="shared" si="173"/>
        <v>1.226776146359172</v>
      </c>
      <c r="N412" s="101">
        <f t="shared" si="174"/>
        <v>1.0951926537010652</v>
      </c>
      <c r="O412" s="104">
        <f t="shared" si="175"/>
        <v>0.42001858458211067</v>
      </c>
      <c r="P412" s="105">
        <f t="shared" ca="1" si="176"/>
        <v>2.3695099674303481</v>
      </c>
      <c r="Q412" s="106">
        <f t="shared" ca="1" si="177"/>
        <v>1.202960911294811</v>
      </c>
      <c r="R412" s="107">
        <f t="shared" ca="1" si="178"/>
        <v>-0.99326233695330324</v>
      </c>
      <c r="S412" s="108">
        <f t="shared" ca="1" si="179"/>
        <v>-112.68769119270995</v>
      </c>
      <c r="T412" s="116">
        <f t="shared" ca="1" si="180"/>
        <v>67.312308807290052</v>
      </c>
      <c r="V412" s="72">
        <f t="shared" ca="1" si="181"/>
        <v>38462</v>
      </c>
      <c r="W412" s="72">
        <f t="shared" si="182"/>
        <v>1479325444</v>
      </c>
      <c r="Y412" s="110">
        <f t="shared" si="183"/>
        <v>18.219183240848452</v>
      </c>
      <c r="Z412" s="111">
        <f t="shared" si="184"/>
        <v>-42.961211928807643</v>
      </c>
      <c r="AA412" s="72">
        <f t="shared" si="185"/>
        <v>137.03878807119236</v>
      </c>
      <c r="AB412" s="110">
        <f t="shared" ca="1" si="186"/>
        <v>-3.2948452309202518</v>
      </c>
      <c r="AC412" s="111">
        <f t="shared" ca="1" si="187"/>
        <v>-69.726479263902291</v>
      </c>
      <c r="AD412" s="72">
        <f t="shared" ca="1" si="188"/>
        <v>110.27352073609771</v>
      </c>
    </row>
    <row r="413" spans="1:30">
      <c r="A413" s="118">
        <v>38683.5</v>
      </c>
      <c r="B413" s="101">
        <f t="shared" ca="1" si="162"/>
        <v>633.10264360906706</v>
      </c>
      <c r="C413" s="102">
        <f t="shared" ca="1" si="163"/>
        <v>1.5692168034333842</v>
      </c>
      <c r="D413" s="102">
        <f t="shared" si="164"/>
        <v>64.539009133249593</v>
      </c>
      <c r="E413" s="103">
        <f t="shared" si="165"/>
        <v>1.5553012017374348</v>
      </c>
      <c r="F413" s="101">
        <f t="shared" si="166"/>
        <v>5250.0010239731582</v>
      </c>
      <c r="G413" s="104">
        <f t="shared" si="167"/>
        <v>1.5706058506404197</v>
      </c>
      <c r="H413" s="113">
        <f t="shared" si="168"/>
        <v>631.9696529742115</v>
      </c>
      <c r="I413" s="114">
        <f t="shared" si="169"/>
        <v>1.569213971672935</v>
      </c>
      <c r="J413" s="101">
        <f t="shared" si="170"/>
        <v>64.374966349640118</v>
      </c>
      <c r="K413" s="104">
        <f t="shared" si="171"/>
        <v>1.5552617132868489</v>
      </c>
      <c r="L413" s="102">
        <f t="shared" si="172"/>
        <v>2.9800820945108653</v>
      </c>
      <c r="M413" s="103">
        <f t="shared" si="173"/>
        <v>1.2285953906149041</v>
      </c>
      <c r="N413" s="101">
        <f t="shared" si="174"/>
        <v>1.0962439353650359</v>
      </c>
      <c r="O413" s="104">
        <f t="shared" si="175"/>
        <v>0.42216077548999159</v>
      </c>
      <c r="P413" s="105">
        <f t="shared" ca="1" si="176"/>
        <v>2.380784807206616</v>
      </c>
      <c r="Q413" s="106">
        <f t="shared" ca="1" si="177"/>
        <v>1.2055538523254428</v>
      </c>
      <c r="R413" s="107">
        <f t="shared" ca="1" si="178"/>
        <v>-1.0484729897608611</v>
      </c>
      <c r="S413" s="108">
        <f t="shared" ca="1" si="179"/>
        <v>-112.85483418964142</v>
      </c>
      <c r="T413" s="116">
        <f t="shared" ca="1" si="180"/>
        <v>67.145165810358577</v>
      </c>
      <c r="V413" s="72">
        <f t="shared" ca="1" si="181"/>
        <v>38683.5</v>
      </c>
      <c r="W413" s="72">
        <f t="shared" si="182"/>
        <v>1496413172.25</v>
      </c>
      <c r="Y413" s="110">
        <f t="shared" si="183"/>
        <v>18.205216557442327</v>
      </c>
      <c r="Z413" s="111">
        <f t="shared" si="184"/>
        <v>-42.984381149254304</v>
      </c>
      <c r="AA413" s="72">
        <f t="shared" si="185"/>
        <v>137.01561885074568</v>
      </c>
      <c r="AB413" s="110">
        <f t="shared" ca="1" si="186"/>
        <v>-3.3360892003216809</v>
      </c>
      <c r="AC413" s="111">
        <f t="shared" ca="1" si="187"/>
        <v>-69.87045304038719</v>
      </c>
      <c r="AD413" s="72">
        <f t="shared" ca="1" si="188"/>
        <v>110.12954695961281</v>
      </c>
    </row>
    <row r="414" spans="1:30">
      <c r="A414" s="118">
        <v>38905</v>
      </c>
      <c r="B414" s="101">
        <f t="shared" ca="1" si="162"/>
        <v>636.72775216157845</v>
      </c>
      <c r="C414" s="102">
        <f t="shared" ca="1" si="163"/>
        <v>1.5692257962067455</v>
      </c>
      <c r="D414" s="102">
        <f t="shared" si="164"/>
        <v>64.908468159907372</v>
      </c>
      <c r="E414" s="103">
        <f t="shared" si="165"/>
        <v>1.5553894069947212</v>
      </c>
      <c r="F414" s="101">
        <f t="shared" si="166"/>
        <v>5280.0622951802534</v>
      </c>
      <c r="G414" s="104">
        <f t="shared" si="167"/>
        <v>1.5706069350888763</v>
      </c>
      <c r="H414" s="113">
        <f t="shared" si="168"/>
        <v>635.58827405658531</v>
      </c>
      <c r="I414" s="114">
        <f t="shared" si="169"/>
        <v>1.5692229805684355</v>
      </c>
      <c r="J414" s="101">
        <f t="shared" si="170"/>
        <v>64.743485849178299</v>
      </c>
      <c r="K414" s="104">
        <f t="shared" si="171"/>
        <v>1.5553501432586236</v>
      </c>
      <c r="L414" s="102">
        <f t="shared" si="172"/>
        <v>2.9952293602067854</v>
      </c>
      <c r="M414" s="103">
        <f t="shared" si="173"/>
        <v>1.2303962404695414</v>
      </c>
      <c r="N414" s="101">
        <f t="shared" si="174"/>
        <v>1.09730023801978</v>
      </c>
      <c r="O414" s="104">
        <f t="shared" si="175"/>
        <v>0.42429885188600508</v>
      </c>
      <c r="P414" s="105">
        <f t="shared" ca="1" si="176"/>
        <v>2.3920720216603475</v>
      </c>
      <c r="Q414" s="106">
        <f t="shared" ca="1" si="177"/>
        <v>1.2081261681485005</v>
      </c>
      <c r="R414" s="107">
        <f t="shared" ca="1" si="178"/>
        <v>-1.1034765471104151</v>
      </c>
      <c r="S414" s="108">
        <f t="shared" ca="1" si="179"/>
        <v>-113.0216127734095</v>
      </c>
      <c r="T414" s="116">
        <f t="shared" ca="1" si="180"/>
        <v>66.978387226590499</v>
      </c>
      <c r="V414" s="72">
        <f t="shared" ca="1" si="181"/>
        <v>38905</v>
      </c>
      <c r="W414" s="72">
        <f t="shared" si="182"/>
        <v>1513599025</v>
      </c>
      <c r="Y414" s="110">
        <f t="shared" si="183"/>
        <v>18.191306895737586</v>
      </c>
      <c r="Z414" s="111">
        <f t="shared" si="184"/>
        <v>-43.00831543363681</v>
      </c>
      <c r="AA414" s="72">
        <f t="shared" si="185"/>
        <v>136.99168456636318</v>
      </c>
      <c r="AB414" s="110">
        <f t="shared" ca="1" si="186"/>
        <v>-3.3771830959664988</v>
      </c>
      <c r="AC414" s="111">
        <f t="shared" ca="1" si="187"/>
        <v>-70.013297339772677</v>
      </c>
      <c r="AD414" s="72">
        <f t="shared" ca="1" si="188"/>
        <v>109.98670266022732</v>
      </c>
    </row>
    <row r="415" spans="1:30">
      <c r="A415" s="118">
        <v>39131.5</v>
      </c>
      <c r="B415" s="101">
        <f t="shared" ca="1" si="162"/>
        <v>640.4346916595623</v>
      </c>
      <c r="C415" s="102">
        <f t="shared" ca="1" si="163"/>
        <v>1.5692348866990173</v>
      </c>
      <c r="D415" s="102">
        <f t="shared" si="164"/>
        <v>65.286267635696149</v>
      </c>
      <c r="E415" s="103">
        <f t="shared" si="165"/>
        <v>1.5554785709651699</v>
      </c>
      <c r="F415" s="101">
        <f t="shared" si="166"/>
        <v>5310.802150393858</v>
      </c>
      <c r="G415" s="104">
        <f t="shared" si="167"/>
        <v>1.5706080313213333</v>
      </c>
      <c r="H415" s="113">
        <f t="shared" si="168"/>
        <v>639.28857964050462</v>
      </c>
      <c r="I415" s="114">
        <f t="shared" si="169"/>
        <v>1.569232087358037</v>
      </c>
      <c r="J415" s="101">
        <f t="shared" si="170"/>
        <v>65.120324590875285</v>
      </c>
      <c r="K415" s="104">
        <f t="shared" si="171"/>
        <v>1.5554395343872551</v>
      </c>
      <c r="L415" s="102">
        <f t="shared" si="172"/>
        <v>3.0107284934909528</v>
      </c>
      <c r="M415" s="103">
        <f t="shared" si="173"/>
        <v>1.2322189968284811</v>
      </c>
      <c r="N415" s="101">
        <f t="shared" si="174"/>
        <v>1.0983855621660676</v>
      </c>
      <c r="O415" s="104">
        <f t="shared" si="175"/>
        <v>0.42648092901168988</v>
      </c>
      <c r="P415" s="105">
        <f t="shared" ca="1" si="176"/>
        <v>2.4036266636395927</v>
      </c>
      <c r="Q415" s="106">
        <f t="shared" ca="1" si="177"/>
        <v>1.2107355001684383</v>
      </c>
      <c r="R415" s="107">
        <f t="shared" ca="1" si="178"/>
        <v>-1.1595099112251566</v>
      </c>
      <c r="S415" s="108">
        <f t="shared" ca="1" si="179"/>
        <v>-113.19177894005071</v>
      </c>
      <c r="T415" s="116">
        <f t="shared" ca="1" si="180"/>
        <v>66.80822105994929</v>
      </c>
      <c r="V415" s="72">
        <f t="shared" ca="1" si="181"/>
        <v>39131.5</v>
      </c>
      <c r="W415" s="72">
        <f t="shared" si="182"/>
        <v>1531274292.25</v>
      </c>
      <c r="Y415" s="110">
        <f t="shared" si="183"/>
        <v>18.17714053801593</v>
      </c>
      <c r="Z415" s="111">
        <f t="shared" si="184"/>
        <v>-43.033565760372134</v>
      </c>
      <c r="AA415" s="72">
        <f t="shared" si="185"/>
        <v>136.96643423962786</v>
      </c>
      <c r="AB415" s="110">
        <f t="shared" ca="1" si="186"/>
        <v>-3.4190501023595834</v>
      </c>
      <c r="AC415" s="111">
        <f t="shared" ca="1" si="187"/>
        <v>-70.158213179678611</v>
      </c>
      <c r="AD415" s="72">
        <f t="shared" ca="1" si="188"/>
        <v>109.84178682032139</v>
      </c>
    </row>
    <row r="416" spans="1:30">
      <c r="A416" s="118">
        <v>39358</v>
      </c>
      <c r="B416" s="101">
        <f t="shared" ca="1" si="162"/>
        <v>644.14163120986063</v>
      </c>
      <c r="C416" s="102">
        <f t="shared" ca="1" si="163"/>
        <v>1.5692438725624205</v>
      </c>
      <c r="D416" s="102">
        <f t="shared" si="164"/>
        <v>65.664067624552104</v>
      </c>
      <c r="E416" s="103">
        <f t="shared" si="165"/>
        <v>1.5555667089216823</v>
      </c>
      <c r="F416" s="101">
        <f t="shared" si="166"/>
        <v>5341.54200561377</v>
      </c>
      <c r="G416" s="104">
        <f t="shared" si="167"/>
        <v>1.5706091149364501</v>
      </c>
      <c r="H416" s="113">
        <f t="shared" si="168"/>
        <v>642.98888527683243</v>
      </c>
      <c r="I416" s="114">
        <f t="shared" si="169"/>
        <v>1.5692410893311932</v>
      </c>
      <c r="J416" s="101">
        <f t="shared" si="170"/>
        <v>65.497163846946236</v>
      </c>
      <c r="K416" s="104">
        <f t="shared" si="171"/>
        <v>1.5555278968892552</v>
      </c>
      <c r="L416" s="102">
        <f t="shared" si="172"/>
        <v>3.0262375272607698</v>
      </c>
      <c r="M416" s="103">
        <f t="shared" si="173"/>
        <v>1.2340230763998903</v>
      </c>
      <c r="N416" s="101">
        <f t="shared" si="174"/>
        <v>1.0994761058921996</v>
      </c>
      <c r="O416" s="104">
        <f t="shared" si="175"/>
        <v>0.42865868779066318</v>
      </c>
      <c r="P416" s="105">
        <f t="shared" ca="1" si="176"/>
        <v>2.4151939241021112</v>
      </c>
      <c r="Q416" s="106">
        <f t="shared" ca="1" si="177"/>
        <v>1.2133238275311276</v>
      </c>
      <c r="R416" s="107">
        <f t="shared" ca="1" si="178"/>
        <v>-1.2153314562511157</v>
      </c>
      <c r="S416" s="108">
        <f t="shared" ca="1" si="179"/>
        <v>-113.36156344467102</v>
      </c>
      <c r="T416" s="116">
        <f t="shared" ca="1" si="180"/>
        <v>66.63843655532898</v>
      </c>
      <c r="V416" s="72">
        <f t="shared" ca="1" si="181"/>
        <v>39358</v>
      </c>
      <c r="W416" s="72">
        <f t="shared" si="182"/>
        <v>1549052164</v>
      </c>
      <c r="Y416" s="110">
        <f t="shared" si="183"/>
        <v>18.163030453818266</v>
      </c>
      <c r="Z416" s="111">
        <f t="shared" si="184"/>
        <v>-43.059585111822585</v>
      </c>
      <c r="AA416" s="72">
        <f t="shared" si="185"/>
        <v>136.94041488817743</v>
      </c>
      <c r="AB416" s="110">
        <f t="shared" ca="1" si="186"/>
        <v>-3.4607615631878819</v>
      </c>
      <c r="AC416" s="111">
        <f t="shared" ca="1" si="187"/>
        <v>-70.301978332848392</v>
      </c>
      <c r="AD416" s="72">
        <f t="shared" ca="1" si="188"/>
        <v>109.69802166715161</v>
      </c>
    </row>
    <row r="417" spans="1:30">
      <c r="A417" s="118">
        <v>39584.5</v>
      </c>
      <c r="B417" s="101">
        <f t="shared" ca="1" si="162"/>
        <v>647.84857081157554</v>
      </c>
      <c r="C417" s="102">
        <f t="shared" ca="1" si="163"/>
        <v>1.5692527555929885</v>
      </c>
      <c r="D417" s="102">
        <f t="shared" si="164"/>
        <v>66.041868117670035</v>
      </c>
      <c r="E417" s="103">
        <f t="shared" si="165"/>
        <v>1.5556538384711871</v>
      </c>
      <c r="F417" s="101">
        <f t="shared" si="166"/>
        <v>5372.281860839882</v>
      </c>
      <c r="G417" s="104">
        <f t="shared" si="167"/>
        <v>1.570610186150813</v>
      </c>
      <c r="H417" s="113">
        <f t="shared" si="168"/>
        <v>646.6891909646688</v>
      </c>
      <c r="I417" s="114">
        <f t="shared" si="169"/>
        <v>1.5692499882871576</v>
      </c>
      <c r="J417" s="101">
        <f t="shared" si="170"/>
        <v>65.874003608563569</v>
      </c>
      <c r="K417" s="104">
        <f t="shared" si="171"/>
        <v>1.5556152484163603</v>
      </c>
      <c r="L417" s="102">
        <f t="shared" si="172"/>
        <v>3.0417563100771194</v>
      </c>
      <c r="M417" s="103">
        <f t="shared" si="173"/>
        <v>1.235808753211793</v>
      </c>
      <c r="N417" s="101">
        <f t="shared" si="174"/>
        <v>1.1005718536821145</v>
      </c>
      <c r="O417" s="104">
        <f t="shared" si="175"/>
        <v>0.43083212043406338</v>
      </c>
      <c r="P417" s="105">
        <f t="shared" ca="1" si="176"/>
        <v>2.4267736451587867</v>
      </c>
      <c r="Q417" s="106">
        <f t="shared" ca="1" si="177"/>
        <v>1.2158914276873602</v>
      </c>
      <c r="R417" s="107">
        <f t="shared" ca="1" si="178"/>
        <v>-1.2709435108830842</v>
      </c>
      <c r="S417" s="108">
        <f t="shared" ca="1" si="179"/>
        <v>-113.53096605190389</v>
      </c>
      <c r="T417" s="116">
        <f t="shared" ca="1" si="180"/>
        <v>66.469033948096111</v>
      </c>
      <c r="V417" s="72">
        <f t="shared" ca="1" si="181"/>
        <v>39584.5</v>
      </c>
      <c r="W417" s="72">
        <f t="shared" si="182"/>
        <v>1566932640.25</v>
      </c>
      <c r="Y417" s="110">
        <f t="shared" si="183"/>
        <v>18.14897502105029</v>
      </c>
      <c r="Z417" s="111">
        <f t="shared" si="184"/>
        <v>-43.086358261759827</v>
      </c>
      <c r="AA417" s="72">
        <f t="shared" si="185"/>
        <v>136.91364173824019</v>
      </c>
      <c r="AB417" s="110">
        <f t="shared" ca="1" si="186"/>
        <v>-3.5023181850518679</v>
      </c>
      <c r="AC417" s="111">
        <f t="shared" ca="1" si="187"/>
        <v>-70.444607790143991</v>
      </c>
      <c r="AD417" s="72">
        <f t="shared" ca="1" si="188"/>
        <v>109.55539220985601</v>
      </c>
    </row>
    <row r="418" spans="1:30">
      <c r="A418" s="118">
        <v>39811</v>
      </c>
      <c r="B418" s="101">
        <f t="shared" ca="1" si="162"/>
        <v>651.55551046382925</v>
      </c>
      <c r="C418" s="102">
        <f t="shared" ca="1" si="163"/>
        <v>1.5692615375458816</v>
      </c>
      <c r="D418" s="102">
        <f t="shared" si="164"/>
        <v>66.419669106445099</v>
      </c>
      <c r="E418" s="103">
        <f t="shared" si="165"/>
        <v>1.5557399768200768</v>
      </c>
      <c r="F418" s="101">
        <f t="shared" si="166"/>
        <v>5403.0217160720895</v>
      </c>
      <c r="G418" s="104">
        <f t="shared" si="167"/>
        <v>1.5706112451760805</v>
      </c>
      <c r="H418" s="113">
        <f t="shared" si="168"/>
        <v>650.38949670313468</v>
      </c>
      <c r="I418" s="114">
        <f t="shared" si="169"/>
        <v>1.5692587859842371</v>
      </c>
      <c r="J418" s="101">
        <f t="shared" si="170"/>
        <v>66.250843867100514</v>
      </c>
      <c r="K418" s="104">
        <f t="shared" si="171"/>
        <v>1.5557016062187514</v>
      </c>
      <c r="L418" s="102">
        <f t="shared" si="172"/>
        <v>3.057284693481471</v>
      </c>
      <c r="M418" s="103">
        <f t="shared" si="173"/>
        <v>1.2375762961996049</v>
      </c>
      <c r="N418" s="101">
        <f t="shared" si="174"/>
        <v>1.1016727900075864</v>
      </c>
      <c r="O418" s="104">
        <f t="shared" si="175"/>
        <v>0.43300121934742847</v>
      </c>
      <c r="P418" s="105">
        <f t="shared" ca="1" si="176"/>
        <v>2.4383656718566171</v>
      </c>
      <c r="Q418" s="106">
        <f t="shared" ca="1" si="177"/>
        <v>1.2184385736240271</v>
      </c>
      <c r="R418" s="107">
        <f t="shared" ca="1" si="178"/>
        <v>-1.3263483624712689</v>
      </c>
      <c r="S418" s="108">
        <f t="shared" ca="1" si="179"/>
        <v>-113.69998657320677</v>
      </c>
      <c r="T418" s="116">
        <f t="shared" ca="1" si="180"/>
        <v>66.300013426793228</v>
      </c>
      <c r="V418" s="72">
        <f t="shared" ca="1" si="181"/>
        <v>39811</v>
      </c>
      <c r="W418" s="72">
        <f t="shared" si="182"/>
        <v>1584915721</v>
      </c>
      <c r="Y418" s="110">
        <f t="shared" si="183"/>
        <v>18.134972664348645</v>
      </c>
      <c r="Z418" s="111">
        <f t="shared" si="184"/>
        <v>-43.113870265935127</v>
      </c>
      <c r="AA418" s="72">
        <f t="shared" si="185"/>
        <v>136.88612973406487</v>
      </c>
      <c r="AB418" s="110">
        <f t="shared" ca="1" si="186"/>
        <v>-3.5437206799384091</v>
      </c>
      <c r="AC418" s="111">
        <f t="shared" ca="1" si="187"/>
        <v>-70.586116307271652</v>
      </c>
      <c r="AD418" s="72">
        <f t="shared" ca="1" si="188"/>
        <v>109.41388369272835</v>
      </c>
    </row>
    <row r="419" spans="1:30">
      <c r="A419" s="118">
        <v>40042.75</v>
      </c>
      <c r="B419" s="101">
        <f t="shared" ca="1" si="162"/>
        <v>655.34837260976894</v>
      </c>
      <c r="C419" s="102">
        <f t="shared" ca="1" si="163"/>
        <v>1.5692704202238876</v>
      </c>
      <c r="D419" s="102">
        <f t="shared" si="164"/>
        <v>66.806227576033606</v>
      </c>
      <c r="E419" s="103">
        <f t="shared" si="165"/>
        <v>1.555827103362647</v>
      </c>
      <c r="F419" s="101">
        <f t="shared" si="166"/>
        <v>5434.4740845112437</v>
      </c>
      <c r="G419" s="104">
        <f t="shared" si="167"/>
        <v>1.5706123163478705</v>
      </c>
      <c r="H419" s="113">
        <f t="shared" si="168"/>
        <v>654.17557116916498</v>
      </c>
      <c r="I419" s="114">
        <f t="shared" si="169"/>
        <v>1.5692676845870093</v>
      </c>
      <c r="J419" s="101">
        <f t="shared" si="170"/>
        <v>66.636419339153633</v>
      </c>
      <c r="K419" s="104">
        <f t="shared" si="171"/>
        <v>1.5557889547335935</v>
      </c>
      <c r="L419" s="102">
        <f t="shared" si="172"/>
        <v>3.0731827914699585</v>
      </c>
      <c r="M419" s="103">
        <f t="shared" si="173"/>
        <v>1.2393663148344345</v>
      </c>
      <c r="N419" s="101">
        <f t="shared" si="174"/>
        <v>1.1028045988417665</v>
      </c>
      <c r="O419" s="104">
        <f t="shared" si="175"/>
        <v>0.43521610209926193</v>
      </c>
      <c r="P419" s="105">
        <f t="shared" ca="1" si="176"/>
        <v>2.4502389661010562</v>
      </c>
      <c r="Q419" s="106">
        <f t="shared" ca="1" si="177"/>
        <v>1.221023868631065</v>
      </c>
      <c r="R419" s="107">
        <f t="shared" ca="1" si="178"/>
        <v>-1.3828253131360584</v>
      </c>
      <c r="S419" s="108">
        <f t="shared" ca="1" si="179"/>
        <v>-113.87252916614942</v>
      </c>
      <c r="T419" s="116">
        <f t="shared" ca="1" si="180"/>
        <v>66.12747083385058</v>
      </c>
      <c r="V419" s="72">
        <f t="shared" ca="1" si="181"/>
        <v>40042.75</v>
      </c>
      <c r="W419" s="72">
        <f t="shared" si="182"/>
        <v>1603421827.5625</v>
      </c>
      <c r="Y419" s="110">
        <f t="shared" si="183"/>
        <v>18.120699089773286</v>
      </c>
      <c r="Z419" s="111">
        <f t="shared" si="184"/>
        <v>-43.142769409226489</v>
      </c>
      <c r="AA419" s="72">
        <f t="shared" si="185"/>
        <v>136.8572305907735</v>
      </c>
      <c r="AB419" s="110">
        <f t="shared" ca="1" si="186"/>
        <v>-3.5859240560278396</v>
      </c>
      <c r="AC419" s="111">
        <f t="shared" ca="1" si="187"/>
        <v>-70.729759756922974</v>
      </c>
      <c r="AD419" s="72">
        <f t="shared" ca="1" si="188"/>
        <v>109.27024024307703</v>
      </c>
    </row>
    <row r="420" spans="1:30">
      <c r="A420" s="118">
        <v>40274.5</v>
      </c>
      <c r="B420" s="101">
        <f t="shared" ca="1" si="162"/>
        <v>659.14123480682179</v>
      </c>
      <c r="C420" s="102">
        <f t="shared" ca="1" si="163"/>
        <v>1.5692792006756284</v>
      </c>
      <c r="D420" s="102">
        <f t="shared" si="164"/>
        <v>67.192786546915514</v>
      </c>
      <c r="E420" s="103">
        <f t="shared" si="165"/>
        <v>1.5559132274307965</v>
      </c>
      <c r="F420" s="101">
        <f t="shared" si="166"/>
        <v>5465.9264529565626</v>
      </c>
      <c r="G420" s="104">
        <f t="shared" si="167"/>
        <v>1.5706133751920557</v>
      </c>
      <c r="H420" s="113">
        <f t="shared" si="168"/>
        <v>657.96164568640017</v>
      </c>
      <c r="I420" s="114">
        <f t="shared" si="169"/>
        <v>1.5692764807802471</v>
      </c>
      <c r="J420" s="101">
        <f t="shared" si="170"/>
        <v>67.021995313776969</v>
      </c>
      <c r="K420" s="104">
        <f t="shared" si="171"/>
        <v>1.5558752982211539</v>
      </c>
      <c r="L420" s="102">
        <f t="shared" si="172"/>
        <v>3.0890906350744931</v>
      </c>
      <c r="M420" s="103">
        <f t="shared" si="173"/>
        <v>1.2411379030330139</v>
      </c>
      <c r="N420" s="101">
        <f t="shared" si="174"/>
        <v>1.1039418066019815</v>
      </c>
      <c r="O420" s="104">
        <f t="shared" si="175"/>
        <v>0.43742643242461665</v>
      </c>
      <c r="P420" s="105">
        <f t="shared" ca="1" si="176"/>
        <v>2.4621248240079652</v>
      </c>
      <c r="Q420" s="106">
        <f t="shared" ca="1" si="177"/>
        <v>1.2235883144499704</v>
      </c>
      <c r="R420" s="107">
        <f t="shared" ca="1" si="178"/>
        <v>-1.439090060392092</v>
      </c>
      <c r="S420" s="108">
        <f t="shared" ca="1" si="179"/>
        <v>-114.04467149790604</v>
      </c>
      <c r="T420" s="116">
        <f t="shared" ca="1" si="180"/>
        <v>65.955328502093963</v>
      </c>
      <c r="V420" s="72">
        <f t="shared" ca="1" si="181"/>
        <v>40274.5</v>
      </c>
      <c r="W420" s="72">
        <f t="shared" si="182"/>
        <v>1622035350.25</v>
      </c>
      <c r="Y420" s="110">
        <f t="shared" si="183"/>
        <v>18.106477887331486</v>
      </c>
      <c r="Z420" s="111">
        <f t="shared" si="184"/>
        <v>-43.172411281399498</v>
      </c>
      <c r="AA420" s="72">
        <f t="shared" si="185"/>
        <v>136.82758871860051</v>
      </c>
      <c r="AB420" s="110">
        <f t="shared" ca="1" si="186"/>
        <v>-3.6279676008420738</v>
      </c>
      <c r="AC420" s="111">
        <f t="shared" ca="1" si="187"/>
        <v>-70.872260216506547</v>
      </c>
      <c r="AD420" s="72">
        <f t="shared" ca="1" si="188"/>
        <v>109.12773978349345</v>
      </c>
    </row>
    <row r="421" spans="1:30">
      <c r="A421" s="118">
        <v>40506.25</v>
      </c>
      <c r="B421" s="101">
        <f t="shared" ca="1" si="162"/>
        <v>662.93409705411045</v>
      </c>
      <c r="C421" s="102">
        <f t="shared" ca="1" si="163"/>
        <v>1.569287880655712</v>
      </c>
      <c r="D421" s="102">
        <f t="shared" si="164"/>
        <v>67.579346010488479</v>
      </c>
      <c r="E421" s="103">
        <f t="shared" si="165"/>
        <v>1.5559983662259473</v>
      </c>
      <c r="F421" s="101">
        <f t="shared" si="166"/>
        <v>5497.3788214079377</v>
      </c>
      <c r="G421" s="104">
        <f t="shared" si="167"/>
        <v>1.5706144219202278</v>
      </c>
      <c r="H421" s="113">
        <f t="shared" si="168"/>
        <v>661.74772025396123</v>
      </c>
      <c r="I421" s="114">
        <f t="shared" si="169"/>
        <v>1.5692851763217037</v>
      </c>
      <c r="J421" s="101">
        <f t="shared" si="170"/>
        <v>67.407571782346338</v>
      </c>
      <c r="K421" s="104">
        <f t="shared" si="171"/>
        <v>1.5559606539266333</v>
      </c>
      <c r="L421" s="102">
        <f t="shared" si="172"/>
        <v>3.105008074506352</v>
      </c>
      <c r="M421" s="103">
        <f t="shared" si="173"/>
        <v>1.2428913330327827</v>
      </c>
      <c r="N421" s="101">
        <f t="shared" si="174"/>
        <v>1.1050843966206341</v>
      </c>
      <c r="O421" s="104">
        <f t="shared" si="175"/>
        <v>0.43963220281376869</v>
      </c>
      <c r="P421" s="105">
        <f t="shared" ca="1" si="176"/>
        <v>2.4740230887445565</v>
      </c>
      <c r="Q421" s="106">
        <f t="shared" ca="1" si="177"/>
        <v>1.2261321894943904</v>
      </c>
      <c r="R421" s="107">
        <f t="shared" ca="1" si="178"/>
        <v>-1.4951449262785965</v>
      </c>
      <c r="S421" s="108">
        <f t="shared" ca="1" si="179"/>
        <v>-114.21641350652312</v>
      </c>
      <c r="T421" s="116">
        <f t="shared" ca="1" si="180"/>
        <v>65.783586493476875</v>
      </c>
      <c r="V421" s="72">
        <f t="shared" ca="1" si="181"/>
        <v>40506.25</v>
      </c>
      <c r="W421" s="72">
        <f t="shared" si="182"/>
        <v>1640756289.0625</v>
      </c>
      <c r="Y421" s="110">
        <f t="shared" si="183"/>
        <v>18.092307512406791</v>
      </c>
      <c r="Z421" s="111">
        <f t="shared" si="184"/>
        <v>-43.202780753611009</v>
      </c>
      <c r="AA421" s="72">
        <f t="shared" si="185"/>
        <v>136.79721924638898</v>
      </c>
      <c r="AB421" s="110">
        <f t="shared" ca="1" si="186"/>
        <v>-3.6698520918038779</v>
      </c>
      <c r="AC421" s="111">
        <f t="shared" ca="1" si="187"/>
        <v>-71.013632752912102</v>
      </c>
      <c r="AD421" s="72">
        <f t="shared" ca="1" si="188"/>
        <v>108.9863672470879</v>
      </c>
    </row>
    <row r="422" spans="1:30">
      <c r="A422" s="118">
        <v>40738</v>
      </c>
      <c r="B422" s="101">
        <f t="shared" ca="1" si="162"/>
        <v>666.72695935077775</v>
      </c>
      <c r="C422" s="102">
        <f t="shared" ca="1" si="163"/>
        <v>1.5692964618788201</v>
      </c>
      <c r="D422" s="102">
        <f t="shared" si="164"/>
        <v>67.965905958345886</v>
      </c>
      <c r="E422" s="103">
        <f t="shared" si="165"/>
        <v>1.5560825365582427</v>
      </c>
      <c r="F422" s="101">
        <f t="shared" si="166"/>
        <v>5528.8311898652682</v>
      </c>
      <c r="G422" s="104">
        <f t="shared" si="167"/>
        <v>1.570615456739163</v>
      </c>
      <c r="H422" s="113">
        <f t="shared" si="168"/>
        <v>665.53379487098948</v>
      </c>
      <c r="I422" s="114">
        <f t="shared" si="169"/>
        <v>1.5692937729291354</v>
      </c>
      <c r="J422" s="101">
        <f t="shared" si="170"/>
        <v>67.793148736433707</v>
      </c>
      <c r="K422" s="104">
        <f t="shared" si="171"/>
        <v>1.5560450387029581</v>
      </c>
      <c r="L422" s="102">
        <f t="shared" si="172"/>
        <v>3.1209349629431888</v>
      </c>
      <c r="M422" s="103">
        <f t="shared" si="173"/>
        <v>1.2446268719656688</v>
      </c>
      <c r="N422" s="101">
        <f t="shared" si="174"/>
        <v>1.1062323522202662</v>
      </c>
      <c r="O422" s="104">
        <f t="shared" si="175"/>
        <v>0.44183340596543363</v>
      </c>
      <c r="P422" s="105">
        <f t="shared" ca="1" si="176"/>
        <v>2.4859336064325053</v>
      </c>
      <c r="Q422" s="106">
        <f t="shared" ca="1" si="177"/>
        <v>1.228655767626389</v>
      </c>
      <c r="R422" s="107">
        <f t="shared" ca="1" si="178"/>
        <v>-1.5509921916815306</v>
      </c>
      <c r="S422" s="108">
        <f t="shared" ca="1" si="179"/>
        <v>-114.38775517339876</v>
      </c>
      <c r="T422" s="116">
        <f t="shared" ca="1" si="180"/>
        <v>65.612244826601241</v>
      </c>
      <c r="V422" s="72">
        <f t="shared" ca="1" si="181"/>
        <v>40738</v>
      </c>
      <c r="W422" s="72">
        <f t="shared" si="182"/>
        <v>1659584644</v>
      </c>
      <c r="Y422" s="110">
        <f t="shared" si="183"/>
        <v>18.078186465650926</v>
      </c>
      <c r="Z422" s="111">
        <f t="shared" si="184"/>
        <v>-43.233862981024963</v>
      </c>
      <c r="AA422" s="72">
        <f t="shared" si="185"/>
        <v>136.76613701897503</v>
      </c>
      <c r="AB422" s="110">
        <f t="shared" ca="1" si="186"/>
        <v>-3.711578310450951</v>
      </c>
      <c r="AC422" s="111">
        <f t="shared" ca="1" si="187"/>
        <v>-71.153892192373803</v>
      </c>
      <c r="AD422" s="72">
        <f t="shared" ca="1" si="188"/>
        <v>108.8461078076262</v>
      </c>
    </row>
    <row r="423" spans="1:30">
      <c r="A423" s="118">
        <v>40975.25</v>
      </c>
      <c r="B423" s="101">
        <f t="shared" ca="1" si="162"/>
        <v>670.60983568965867</v>
      </c>
      <c r="C423" s="102">
        <f t="shared" ca="1" si="163"/>
        <v>1.5693051462046583</v>
      </c>
      <c r="D423" s="102">
        <f t="shared" si="164"/>
        <v>68.361640421781587</v>
      </c>
      <c r="E423" s="103">
        <f t="shared" si="165"/>
        <v>1.5561677184006133</v>
      </c>
      <c r="F423" s="101">
        <f t="shared" si="166"/>
        <v>5561.030000730022</v>
      </c>
      <c r="G423" s="104">
        <f t="shared" si="167"/>
        <v>1.5706165039913409</v>
      </c>
      <c r="H423" s="113">
        <f t="shared" si="168"/>
        <v>669.40972244191573</v>
      </c>
      <c r="I423" s="114">
        <f t="shared" si="169"/>
        <v>1.5693024728241394</v>
      </c>
      <c r="J423" s="101">
        <f t="shared" si="170"/>
        <v>68.187876878484872</v>
      </c>
      <c r="K423" s="104">
        <f t="shared" si="171"/>
        <v>1.5561304375675074</v>
      </c>
      <c r="L423" s="102">
        <f t="shared" si="172"/>
        <v>3.1372494735729304</v>
      </c>
      <c r="M423" s="103">
        <f t="shared" si="173"/>
        <v>1.2463853401835825</v>
      </c>
      <c r="N423" s="101">
        <f t="shared" si="174"/>
        <v>1.1074130923198899</v>
      </c>
      <c r="O423" s="104">
        <f t="shared" si="175"/>
        <v>0.4440821105887266</v>
      </c>
      <c r="P423" s="105">
        <f t="shared" ca="1" si="176"/>
        <v>2.498139325095571</v>
      </c>
      <c r="Q423" s="106">
        <f t="shared" ca="1" si="177"/>
        <v>1.2312184925685645</v>
      </c>
      <c r="R423" s="107">
        <f t="shared" ca="1" si="178"/>
        <v>-1.6079521406180395</v>
      </c>
      <c r="S423" s="108">
        <f t="shared" ca="1" si="179"/>
        <v>-114.56274851936747</v>
      </c>
      <c r="T423" s="116">
        <f t="shared" ca="1" si="180"/>
        <v>65.437251480632526</v>
      </c>
      <c r="V423" s="72">
        <f t="shared" ca="1" si="181"/>
        <v>40975.25</v>
      </c>
      <c r="W423" s="72">
        <f t="shared" si="182"/>
        <v>1678971112.5625</v>
      </c>
      <c r="Y423" s="110">
        <f t="shared" si="183"/>
        <v>18.063779870308007</v>
      </c>
      <c r="Z423" s="111">
        <f t="shared" si="184"/>
        <v>-43.266405988431856</v>
      </c>
      <c r="AA423" s="72">
        <f t="shared" si="185"/>
        <v>136.73359401156813</v>
      </c>
      <c r="AB423" s="110">
        <f t="shared" ca="1" si="186"/>
        <v>-3.7541316640445421</v>
      </c>
      <c r="AC423" s="111">
        <f t="shared" ca="1" si="187"/>
        <v>-71.296342530935604</v>
      </c>
      <c r="AD423" s="72">
        <f t="shared" ca="1" si="188"/>
        <v>108.7036574690644</v>
      </c>
    </row>
    <row r="424" spans="1:30">
      <c r="A424" s="118">
        <v>41212.5</v>
      </c>
      <c r="B424" s="101">
        <f t="shared" ca="1" si="162"/>
        <v>674.49271207853292</v>
      </c>
      <c r="C424" s="102">
        <f t="shared" ca="1" si="163"/>
        <v>1.5693137305437568</v>
      </c>
      <c r="D424" s="102">
        <f t="shared" si="164"/>
        <v>68.757375375535887</v>
      </c>
      <c r="E424" s="103">
        <f t="shared" si="165"/>
        <v>1.5562519197107436</v>
      </c>
      <c r="F424" s="101">
        <f t="shared" si="166"/>
        <v>5593.2288116008049</v>
      </c>
      <c r="G424" s="104">
        <f t="shared" si="167"/>
        <v>1.570617539185984</v>
      </c>
      <c r="H424" s="113">
        <f t="shared" si="168"/>
        <v>673.28565006292513</v>
      </c>
      <c r="I424" s="114">
        <f t="shared" si="169"/>
        <v>1.5693110725531494</v>
      </c>
      <c r="J424" s="101">
        <f t="shared" si="170"/>
        <v>68.582605512103555</v>
      </c>
      <c r="K424" s="104">
        <f t="shared" si="171"/>
        <v>1.5562148534027316</v>
      </c>
      <c r="L424" s="102">
        <f t="shared" si="172"/>
        <v>3.1535735848474324</v>
      </c>
      <c r="M424" s="103">
        <f t="shared" si="173"/>
        <v>1.2481256087191377</v>
      </c>
      <c r="N424" s="101">
        <f t="shared" si="174"/>
        <v>1.1085994202998735</v>
      </c>
      <c r="O424" s="104">
        <f t="shared" si="175"/>
        <v>0.44632601379702685</v>
      </c>
      <c r="P424" s="105">
        <f t="shared" ca="1" si="176"/>
        <v>2.510357568048835</v>
      </c>
      <c r="Q424" s="106">
        <f t="shared" ca="1" si="177"/>
        <v>1.233760512356749</v>
      </c>
      <c r="R424" s="107">
        <f t="shared" ca="1" si="178"/>
        <v>-1.664699228022628</v>
      </c>
      <c r="S424" s="108">
        <f t="shared" ca="1" si="179"/>
        <v>-114.73732238792294</v>
      </c>
      <c r="T424" s="116">
        <f t="shared" ca="1" si="180"/>
        <v>65.262677612077056</v>
      </c>
      <c r="V424" s="72">
        <f t="shared" ca="1" si="181"/>
        <v>41212.5</v>
      </c>
      <c r="W424" s="72">
        <f t="shared" si="182"/>
        <v>1698470156.25</v>
      </c>
      <c r="Y424" s="110">
        <f t="shared" si="183"/>
        <v>18.04942193171399</v>
      </c>
      <c r="Z424" s="111">
        <f t="shared" si="184"/>
        <v>-43.299665384823797</v>
      </c>
      <c r="AA424" s="72">
        <f t="shared" si="185"/>
        <v>136.70033461517619</v>
      </c>
      <c r="AB424" s="110">
        <f t="shared" ca="1" si="186"/>
        <v>-3.796520812855114</v>
      </c>
      <c r="AC424" s="111">
        <f t="shared" ca="1" si="187"/>
        <v>-71.437657003099091</v>
      </c>
      <c r="AD424" s="72">
        <f t="shared" ca="1" si="188"/>
        <v>108.56234299690091</v>
      </c>
    </row>
    <row r="425" spans="1:30">
      <c r="A425" s="118">
        <v>41449.75</v>
      </c>
      <c r="B425" s="101">
        <f t="shared" ca="1" si="162"/>
        <v>678.37558851654239</v>
      </c>
      <c r="C425" s="102">
        <f t="shared" ca="1" si="163"/>
        <v>1.5693222166130227</v>
      </c>
      <c r="D425" s="102">
        <f t="shared" si="164"/>
        <v>69.15311081119107</v>
      </c>
      <c r="E425" s="103">
        <f t="shared" si="165"/>
        <v>1.5563351573210045</v>
      </c>
      <c r="F425" s="101">
        <f t="shared" si="166"/>
        <v>5625.4276224775122</v>
      </c>
      <c r="G425" s="104">
        <f t="shared" si="167"/>
        <v>1.5706185625301372</v>
      </c>
      <c r="H425" s="113">
        <f t="shared" si="168"/>
        <v>677.16157773315751</v>
      </c>
      <c r="I425" s="114">
        <f t="shared" si="169"/>
        <v>1.5693195738361505</v>
      </c>
      <c r="J425" s="101">
        <f t="shared" si="170"/>
        <v>68.97733462885067</v>
      </c>
      <c r="K425" s="104">
        <f t="shared" si="171"/>
        <v>1.5562983030838431</v>
      </c>
      <c r="L425" s="102">
        <f t="shared" si="172"/>
        <v>3.1699071484450108</v>
      </c>
      <c r="M425" s="103">
        <f t="shared" si="173"/>
        <v>1.2498479482814286</v>
      </c>
      <c r="N425" s="101">
        <f t="shared" si="174"/>
        <v>1.1097913182404731</v>
      </c>
      <c r="O425" s="104">
        <f t="shared" si="175"/>
        <v>0.4485651084277022</v>
      </c>
      <c r="P425" s="105">
        <f t="shared" ca="1" si="176"/>
        <v>2.5225881794122231</v>
      </c>
      <c r="Q425" s="106">
        <f t="shared" ca="1" si="177"/>
        <v>1.2362821065296627</v>
      </c>
      <c r="R425" s="107">
        <f t="shared" ca="1" si="178"/>
        <v>-1.7212357732894665</v>
      </c>
      <c r="S425" s="108">
        <f t="shared" ca="1" si="179"/>
        <v>-114.91147688871791</v>
      </c>
      <c r="T425" s="116">
        <f t="shared" ca="1" si="180"/>
        <v>65.088523111282086</v>
      </c>
      <c r="V425" s="72">
        <f t="shared" ca="1" si="181"/>
        <v>41449.75</v>
      </c>
      <c r="W425" s="72">
        <f t="shared" si="182"/>
        <v>1718081775.0625</v>
      </c>
      <c r="Y425" s="110">
        <f t="shared" si="183"/>
        <v>18.035111179787474</v>
      </c>
      <c r="Z425" s="111">
        <f t="shared" si="184"/>
        <v>-43.333626129517</v>
      </c>
      <c r="AA425" s="72">
        <f t="shared" si="185"/>
        <v>136.666373870483</v>
      </c>
      <c r="AB425" s="110">
        <f t="shared" ca="1" si="186"/>
        <v>-3.8387466061954352</v>
      </c>
      <c r="AC425" s="111">
        <f t="shared" ca="1" si="187"/>
        <v>-71.577850759200942</v>
      </c>
      <c r="AD425" s="72">
        <f t="shared" ca="1" si="188"/>
        <v>108.42214924079906</v>
      </c>
    </row>
    <row r="426" spans="1:30">
      <c r="A426" s="118">
        <v>41687</v>
      </c>
      <c r="B426" s="101">
        <f t="shared" ca="1" si="162"/>
        <v>682.25846500284763</v>
      </c>
      <c r="C426" s="102">
        <f t="shared" ca="1" si="163"/>
        <v>1.5693306060902776</v>
      </c>
      <c r="D426" s="102">
        <f t="shared" si="164"/>
        <v>69.548846720521055</v>
      </c>
      <c r="E426" s="103">
        <f t="shared" si="165"/>
        <v>1.5564174476807124</v>
      </c>
      <c r="F426" s="101">
        <f t="shared" si="166"/>
        <v>5657.6264333600457</v>
      </c>
      <c r="G426" s="104">
        <f t="shared" si="167"/>
        <v>1.570619574226132</v>
      </c>
      <c r="H426" s="113">
        <f t="shared" si="168"/>
        <v>681.03750545177263</v>
      </c>
      <c r="I426" s="114">
        <f t="shared" si="169"/>
        <v>1.569327978353972</v>
      </c>
      <c r="J426" s="101">
        <f t="shared" si="170"/>
        <v>69.37206422047916</v>
      </c>
      <c r="K426" s="104">
        <f t="shared" si="171"/>
        <v>1.556380803102027</v>
      </c>
      <c r="L426" s="102">
        <f t="shared" si="172"/>
        <v>3.186250019000314</v>
      </c>
      <c r="M426" s="103">
        <f t="shared" si="173"/>
        <v>1.2515526244558002</v>
      </c>
      <c r="N426" s="101">
        <f t="shared" si="174"/>
        <v>1.1109887682148885</v>
      </c>
      <c r="O426" s="104">
        <f t="shared" si="175"/>
        <v>0.45079938754164844</v>
      </c>
      <c r="P426" s="105">
        <f t="shared" ca="1" si="176"/>
        <v>2.5348310062815678</v>
      </c>
      <c r="Q426" s="106">
        <f t="shared" ca="1" si="177"/>
        <v>1.2387835499835473</v>
      </c>
      <c r="R426" s="107">
        <f t="shared" ca="1" si="178"/>
        <v>-1.7775640547361362</v>
      </c>
      <c r="S426" s="108">
        <f t="shared" ca="1" si="179"/>
        <v>-115.08521217146554</v>
      </c>
      <c r="T426" s="116">
        <f t="shared" ca="1" si="180"/>
        <v>64.914787828534458</v>
      </c>
      <c r="V426" s="72">
        <f t="shared" ca="1" si="181"/>
        <v>41687</v>
      </c>
      <c r="W426" s="72">
        <f t="shared" si="182"/>
        <v>1737805969</v>
      </c>
      <c r="Y426" s="110">
        <f t="shared" si="183"/>
        <v>18.020846188346727</v>
      </c>
      <c r="Z426" s="111">
        <f t="shared" si="184"/>
        <v>-43.368273468174273</v>
      </c>
      <c r="AA426" s="72">
        <f t="shared" si="185"/>
        <v>136.63172653182573</v>
      </c>
      <c r="AB426" s="110">
        <f t="shared" ca="1" si="186"/>
        <v>-3.8808098962013582</v>
      </c>
      <c r="AC426" s="111">
        <f t="shared" ca="1" si="187"/>
        <v>-71.716938703291206</v>
      </c>
      <c r="AD426" s="72">
        <f t="shared" ca="1" si="188"/>
        <v>108.28306129670879</v>
      </c>
    </row>
    <row r="427" spans="1:30">
      <c r="A427" s="118">
        <v>41929.75</v>
      </c>
      <c r="B427" s="101">
        <f t="shared" ca="1" si="162"/>
        <v>686.23135553480768</v>
      </c>
      <c r="C427" s="102">
        <f t="shared" ca="1" si="163"/>
        <v>1.5693390917882812</v>
      </c>
      <c r="D427" s="102">
        <f t="shared" si="164"/>
        <v>69.953757179184535</v>
      </c>
      <c r="E427" s="103">
        <f t="shared" si="165"/>
        <v>1.5565006820426015</v>
      </c>
      <c r="F427" s="101">
        <f t="shared" si="166"/>
        <v>5690.5716866504154</v>
      </c>
      <c r="G427" s="104">
        <f t="shared" si="167"/>
        <v>1.5706205975254643</v>
      </c>
      <c r="H427" s="113">
        <f t="shared" si="168"/>
        <v>685.00328612773296</v>
      </c>
      <c r="I427" s="114">
        <f t="shared" si="169"/>
        <v>1.5693364792650468</v>
      </c>
      <c r="J427" s="101">
        <f t="shared" si="170"/>
        <v>69.775945033912606</v>
      </c>
      <c r="K427" s="104">
        <f t="shared" si="171"/>
        <v>1.5564642495285237</v>
      </c>
      <c r="L427" s="102">
        <f t="shared" si="172"/>
        <v>3.2029812393353363</v>
      </c>
      <c r="M427" s="103">
        <f t="shared" si="173"/>
        <v>1.25327880835073</v>
      </c>
      <c r="N427" s="101">
        <f t="shared" si="174"/>
        <v>1.112219705714691</v>
      </c>
      <c r="O427" s="104">
        <f t="shared" si="175"/>
        <v>0.45308047111038358</v>
      </c>
      <c r="P427" s="105">
        <f t="shared" ca="1" si="176"/>
        <v>2.547370137134263</v>
      </c>
      <c r="Q427" s="106">
        <f t="shared" ca="1" si="177"/>
        <v>1.2413224077475904</v>
      </c>
      <c r="R427" s="107">
        <f t="shared" ca="1" si="178"/>
        <v>-1.8349849276093844</v>
      </c>
      <c r="S427" s="108">
        <f t="shared" ca="1" si="179"/>
        <v>-115.2625413251892</v>
      </c>
      <c r="T427" s="116">
        <f t="shared" ca="1" si="180"/>
        <v>64.737458674810796</v>
      </c>
      <c r="V427" s="72">
        <f t="shared" ca="1" si="181"/>
        <v>41929.75</v>
      </c>
      <c r="W427" s="72">
        <f t="shared" si="182"/>
        <v>1758103935.0625</v>
      </c>
      <c r="Y427" s="110">
        <f t="shared" si="183"/>
        <v>18.006296422734962</v>
      </c>
      <c r="Z427" s="111">
        <f t="shared" si="184"/>
        <v>-43.404419570037824</v>
      </c>
      <c r="AA427" s="72">
        <f t="shared" si="185"/>
        <v>136.59558042996218</v>
      </c>
      <c r="AB427" s="110">
        <f t="shared" ca="1" si="186"/>
        <v>-3.92368100346284</v>
      </c>
      <c r="AC427" s="111">
        <f t="shared" ca="1" si="187"/>
        <v>-71.858121755151373</v>
      </c>
      <c r="AD427" s="72">
        <f t="shared" ca="1" si="188"/>
        <v>108.14187824484863</v>
      </c>
    </row>
    <row r="428" spans="1:30">
      <c r="A428" s="118">
        <v>42172.5</v>
      </c>
      <c r="B428" s="101">
        <f t="shared" ca="1" si="162"/>
        <v>690.20424611561248</v>
      </c>
      <c r="C428" s="102">
        <f t="shared" ca="1" si="163"/>
        <v>1.5693474797970874</v>
      </c>
      <c r="D428" s="102">
        <f t="shared" si="164"/>
        <v>70.358668116906642</v>
      </c>
      <c r="E428" s="103">
        <f t="shared" si="165"/>
        <v>1.5565829583851147</v>
      </c>
      <c r="F428" s="101">
        <f t="shared" si="166"/>
        <v>5723.5169399466749</v>
      </c>
      <c r="G428" s="104">
        <f t="shared" si="167"/>
        <v>1.5706216090443281</v>
      </c>
      <c r="H428" s="113">
        <f t="shared" si="168"/>
        <v>688.96906685262559</v>
      </c>
      <c r="I428" s="114">
        <f t="shared" si="169"/>
        <v>1.5693448823117886</v>
      </c>
      <c r="J428" s="101">
        <f t="shared" si="170"/>
        <v>70.179826327625008</v>
      </c>
      <c r="K428" s="104">
        <f t="shared" si="171"/>
        <v>1.5565467354957976</v>
      </c>
      <c r="L428" s="102">
        <f t="shared" si="172"/>
        <v>3.2197219044218142</v>
      </c>
      <c r="M428" s="103">
        <f t="shared" si="173"/>
        <v>1.2549870470044997</v>
      </c>
      <c r="N428" s="101">
        <f t="shared" si="174"/>
        <v>1.1134564176609829</v>
      </c>
      <c r="O428" s="104">
        <f t="shared" si="175"/>
        <v>0.45535649931795119</v>
      </c>
      <c r="P428" s="105">
        <f t="shared" ca="1" si="176"/>
        <v>2.5599217418282971</v>
      </c>
      <c r="Q428" s="106">
        <f t="shared" ca="1" si="177"/>
        <v>1.2438407374204727</v>
      </c>
      <c r="R428" s="107">
        <f t="shared" ca="1" si="178"/>
        <v>-1.8921924667550127</v>
      </c>
      <c r="S428" s="108">
        <f t="shared" ca="1" si="179"/>
        <v>-115.43943203691994</v>
      </c>
      <c r="T428" s="116">
        <f t="shared" ca="1" si="180"/>
        <v>64.560567963080061</v>
      </c>
      <c r="V428" s="72">
        <f t="shared" ca="1" si="181"/>
        <v>42172.5</v>
      </c>
      <c r="W428" s="72">
        <f t="shared" si="182"/>
        <v>1778519756.25</v>
      </c>
      <c r="Y428" s="110">
        <f t="shared" si="183"/>
        <v>17.991791678083221</v>
      </c>
      <c r="Z428" s="111">
        <f t="shared" si="184"/>
        <v>-43.441254109606433</v>
      </c>
      <c r="AA428" s="72">
        <f t="shared" si="185"/>
        <v>136.55874589039357</v>
      </c>
      <c r="AB428" s="110">
        <f t="shared" ca="1" si="186"/>
        <v>-3.9663837979567291</v>
      </c>
      <c r="AC428" s="111">
        <f t="shared" ca="1" si="187"/>
        <v>-71.998177927313449</v>
      </c>
      <c r="AD428" s="72">
        <f t="shared" ca="1" si="188"/>
        <v>108.00182207268655</v>
      </c>
    </row>
    <row r="429" spans="1:30">
      <c r="A429" s="118">
        <v>42415.25</v>
      </c>
      <c r="B429" s="101">
        <f t="shared" ca="1" si="162"/>
        <v>694.17713674442314</v>
      </c>
      <c r="C429" s="102">
        <f t="shared" ca="1" si="163"/>
        <v>1.5693557717939695</v>
      </c>
      <c r="D429" s="102">
        <f t="shared" si="164"/>
        <v>70.763579525463825</v>
      </c>
      <c r="E429" s="103">
        <f t="shared" si="165"/>
        <v>1.5566642931525783</v>
      </c>
      <c r="F429" s="101">
        <f t="shared" si="166"/>
        <v>5756.4621932487253</v>
      </c>
      <c r="G429" s="104">
        <f t="shared" si="167"/>
        <v>1.5706226089849886</v>
      </c>
      <c r="H429" s="113">
        <f t="shared" si="168"/>
        <v>692.93484762561013</v>
      </c>
      <c r="I429" s="114">
        <f t="shared" si="169"/>
        <v>1.5693531891744776</v>
      </c>
      <c r="J429" s="101">
        <f t="shared" si="170"/>
        <v>70.58370809337184</v>
      </c>
      <c r="K429" s="104">
        <f t="shared" si="171"/>
        <v>1.5566282774900324</v>
      </c>
      <c r="L429" s="102">
        <f t="shared" si="172"/>
        <v>3.2364718677006947</v>
      </c>
      <c r="M429" s="103">
        <f t="shared" si="173"/>
        <v>1.2566776089896503</v>
      </c>
      <c r="N429" s="101">
        <f t="shared" si="174"/>
        <v>1.1146988848342414</v>
      </c>
      <c r="O429" s="104">
        <f t="shared" si="175"/>
        <v>0.45762746544875926</v>
      </c>
      <c r="P429" s="105">
        <f t="shared" ca="1" si="176"/>
        <v>2.5724856658372932</v>
      </c>
      <c r="Q429" s="106">
        <f t="shared" ca="1" si="177"/>
        <v>1.2463388189302478</v>
      </c>
      <c r="R429" s="107">
        <f t="shared" ca="1" si="178"/>
        <v>-1.9491889853157482</v>
      </c>
      <c r="S429" s="108">
        <f t="shared" ca="1" si="179"/>
        <v>-115.61588458632038</v>
      </c>
      <c r="T429" s="116">
        <f t="shared" ca="1" si="180"/>
        <v>64.384115413679623</v>
      </c>
      <c r="V429" s="72">
        <f t="shared" ca="1" si="181"/>
        <v>42415.25</v>
      </c>
      <c r="W429" s="72">
        <f t="shared" si="182"/>
        <v>1799053432.5625</v>
      </c>
      <c r="Y429" s="110">
        <f t="shared" si="183"/>
        <v>17.97733056076094</v>
      </c>
      <c r="Z429" s="111">
        <f t="shared" si="184"/>
        <v>-43.478762173936644</v>
      </c>
      <c r="AA429" s="72">
        <f t="shared" si="185"/>
        <v>136.52123782606336</v>
      </c>
      <c r="AB429" s="110">
        <f t="shared" ca="1" si="186"/>
        <v>-4.0089191991951836</v>
      </c>
      <c r="AC429" s="111">
        <f t="shared" ca="1" si="187"/>
        <v>-72.137122412383732</v>
      </c>
      <c r="AD429" s="72">
        <f t="shared" ca="1" si="188"/>
        <v>107.86287758761627</v>
      </c>
    </row>
    <row r="430" spans="1:30">
      <c r="A430" s="118">
        <v>42658</v>
      </c>
      <c r="B430" s="101">
        <f t="shared" ca="1" si="162"/>
        <v>698.1500274204202</v>
      </c>
      <c r="C430" s="102">
        <f t="shared" ca="1" si="163"/>
        <v>1.5693639694180213</v>
      </c>
      <c r="D430" s="102">
        <f t="shared" si="164"/>
        <v>71.168491396819689</v>
      </c>
      <c r="E430" s="103">
        <f t="shared" si="165"/>
        <v>1.5567447024151311</v>
      </c>
      <c r="F430" s="101">
        <f t="shared" si="166"/>
        <v>5789.4074465564645</v>
      </c>
      <c r="G430" s="104">
        <f t="shared" si="167"/>
        <v>1.5706235975451066</v>
      </c>
      <c r="H430" s="113">
        <f t="shared" si="168"/>
        <v>696.90062844586578</v>
      </c>
      <c r="I430" s="114">
        <f t="shared" si="169"/>
        <v>1.5693614014951469</v>
      </c>
      <c r="J430" s="101">
        <f t="shared" si="170"/>
        <v>70.987590323096228</v>
      </c>
      <c r="K430" s="104">
        <f t="shared" si="171"/>
        <v>1.556708891622272</v>
      </c>
      <c r="L430" s="102">
        <f t="shared" si="172"/>
        <v>3.2532309855507173</v>
      </c>
      <c r="M430" s="103">
        <f t="shared" si="173"/>
        <v>1.2583507577532675</v>
      </c>
      <c r="N430" s="101">
        <f t="shared" si="174"/>
        <v>1.1159470880112958</v>
      </c>
      <c r="O430" s="104">
        <f t="shared" si="175"/>
        <v>0.45989336302590522</v>
      </c>
      <c r="P430" s="105">
        <f t="shared" ca="1" si="176"/>
        <v>2.5850617576225781</v>
      </c>
      <c r="Q430" s="106">
        <f t="shared" ca="1" si="177"/>
        <v>1.2488169274882737</v>
      </c>
      <c r="R430" s="107">
        <f t="shared" ca="1" si="178"/>
        <v>-2.0059767555000003</v>
      </c>
      <c r="S430" s="108">
        <f t="shared" ca="1" si="179"/>
        <v>-115.79189928983502</v>
      </c>
      <c r="T430" s="116">
        <f t="shared" ca="1" si="180"/>
        <v>64.208100710164985</v>
      </c>
      <c r="V430" s="72">
        <f t="shared" ca="1" si="181"/>
        <v>42658</v>
      </c>
      <c r="W430" s="72">
        <f t="shared" si="182"/>
        <v>1819704964</v>
      </c>
      <c r="Y430" s="110">
        <f t="shared" si="183"/>
        <v>17.962911719571853</v>
      </c>
      <c r="Z430" s="111">
        <f t="shared" si="184"/>
        <v>-43.516929137861496</v>
      </c>
      <c r="AA430" s="72">
        <f t="shared" si="185"/>
        <v>136.4830708621385</v>
      </c>
      <c r="AB430" s="110">
        <f t="shared" ca="1" si="186"/>
        <v>-4.0512881281903503</v>
      </c>
      <c r="AC430" s="111">
        <f t="shared" ca="1" si="187"/>
        <v>-72.274970151973548</v>
      </c>
      <c r="AD430" s="72">
        <f t="shared" ca="1" si="188"/>
        <v>107.72502984802645</v>
      </c>
    </row>
    <row r="431" spans="1:30">
      <c r="A431" s="118">
        <v>42906.5</v>
      </c>
      <c r="B431" s="101">
        <f t="shared" ca="1" si="162"/>
        <v>702.21702369085085</v>
      </c>
      <c r="C431" s="102">
        <f t="shared" ca="1" si="163"/>
        <v>1.569372265138379</v>
      </c>
      <c r="D431" s="102">
        <f t="shared" si="164"/>
        <v>71.582994854735887</v>
      </c>
      <c r="E431" s="103">
        <f t="shared" si="165"/>
        <v>1.5568260740726745</v>
      </c>
      <c r="F431" s="101">
        <f t="shared" si="166"/>
        <v>5823.13307147255</v>
      </c>
      <c r="G431" s="104">
        <f t="shared" si="167"/>
        <v>1.5706245979347382</v>
      </c>
      <c r="H431" s="113">
        <f t="shared" si="168"/>
        <v>700.96034645005204</v>
      </c>
      <c r="I431" s="114">
        <f t="shared" si="169"/>
        <v>1.5693697120879886</v>
      </c>
      <c r="J431" s="101">
        <f t="shared" si="170"/>
        <v>71.401039751541546</v>
      </c>
      <c r="K431" s="104">
        <f t="shared" si="171"/>
        <v>1.5567904706024742</v>
      </c>
      <c r="L431" s="102">
        <f t="shared" si="172"/>
        <v>3.2703964107720029</v>
      </c>
      <c r="M431" s="103">
        <f t="shared" si="173"/>
        <v>1.2600457712299298</v>
      </c>
      <c r="N431" s="101">
        <f t="shared" si="174"/>
        <v>1.1172307786218183</v>
      </c>
      <c r="O431" s="104">
        <f t="shared" si="175"/>
        <v>0.46220767616319736</v>
      </c>
      <c r="P431" s="105">
        <f t="shared" ca="1" si="176"/>
        <v>2.5979481866763581</v>
      </c>
      <c r="Q431" s="106">
        <f t="shared" ca="1" si="177"/>
        <v>1.2513333290645718</v>
      </c>
      <c r="R431" s="107">
        <f t="shared" ca="1" si="178"/>
        <v>-2.063895759428342</v>
      </c>
      <c r="S431" s="108">
        <f t="shared" ca="1" si="179"/>
        <v>-115.97163008141688</v>
      </c>
      <c r="T431" s="116">
        <f t="shared" ca="1" si="180"/>
        <v>64.028369918583124</v>
      </c>
      <c r="V431" s="72">
        <f t="shared" ca="1" si="181"/>
        <v>42906.5</v>
      </c>
      <c r="W431" s="72">
        <f t="shared" si="182"/>
        <v>1840967742.25</v>
      </c>
      <c r="Y431" s="110">
        <f t="shared" si="183"/>
        <v>17.948193763056249</v>
      </c>
      <c r="Z431" s="111">
        <f t="shared" si="184"/>
        <v>-43.556667682186124</v>
      </c>
      <c r="AA431" s="72">
        <f t="shared" si="185"/>
        <v>136.44333231781388</v>
      </c>
      <c r="AB431" s="110">
        <f t="shared" ca="1" si="186"/>
        <v>-4.0944891756030817</v>
      </c>
      <c r="AC431" s="111">
        <f t="shared" ca="1" si="187"/>
        <v>-72.414962399230774</v>
      </c>
      <c r="AD431" s="72">
        <f t="shared" ca="1" si="188"/>
        <v>107.58503760076923</v>
      </c>
    </row>
    <row r="432" spans="1:30">
      <c r="A432" s="118">
        <v>43155</v>
      </c>
      <c r="B432" s="101">
        <f t="shared" ca="1" si="162"/>
        <v>706.28402000905078</v>
      </c>
      <c r="C432" s="102">
        <f t="shared" ca="1" si="163"/>
        <v>1.5693804653202197</v>
      </c>
      <c r="D432" s="102">
        <f t="shared" si="164"/>
        <v>71.997498781170378</v>
      </c>
      <c r="E432" s="103">
        <f t="shared" si="165"/>
        <v>1.5569065087850982</v>
      </c>
      <c r="F432" s="101">
        <f t="shared" si="166"/>
        <v>5856.8586963943972</v>
      </c>
      <c r="G432" s="104">
        <f t="shared" si="167"/>
        <v>1.5706255868032566</v>
      </c>
      <c r="H432" s="113">
        <f t="shared" si="168"/>
        <v>705.02006450209319</v>
      </c>
      <c r="I432" s="114">
        <f t="shared" si="169"/>
        <v>1.5693779269710335</v>
      </c>
      <c r="J432" s="101">
        <f t="shared" si="170"/>
        <v>71.814489649698643</v>
      </c>
      <c r="K432" s="104">
        <f t="shared" si="171"/>
        <v>1.5568711102512927</v>
      </c>
      <c r="L432" s="102">
        <f t="shared" si="172"/>
        <v>3.2875711339380196</v>
      </c>
      <c r="M432" s="103">
        <f t="shared" si="173"/>
        <v>1.2617230795173171</v>
      </c>
      <c r="N432" s="101">
        <f t="shared" si="174"/>
        <v>1.1185204394171724</v>
      </c>
      <c r="O432" s="104">
        <f t="shared" si="175"/>
        <v>0.46451666480989301</v>
      </c>
      <c r="P432" s="105">
        <f t="shared" ca="1" si="176"/>
        <v>2.6108470547133384</v>
      </c>
      <c r="Q432" s="106">
        <f t="shared" ca="1" si="177"/>
        <v>1.2538293691679636</v>
      </c>
      <c r="R432" s="107">
        <f t="shared" ca="1" si="178"/>
        <v>-2.1216006999787318</v>
      </c>
      <c r="S432" s="108">
        <f t="shared" ca="1" si="179"/>
        <v>-116.15090282129729</v>
      </c>
      <c r="T432" s="116">
        <f t="shared" ca="1" si="180"/>
        <v>63.849097178702706</v>
      </c>
      <c r="V432" s="72">
        <f t="shared" ca="1" si="181"/>
        <v>43155</v>
      </c>
      <c r="W432" s="72">
        <f t="shared" si="182"/>
        <v>1862354025</v>
      </c>
      <c r="Y432" s="110">
        <f t="shared" si="183"/>
        <v>17.933517374310814</v>
      </c>
      <c r="Z432" s="111">
        <f t="shared" si="184"/>
        <v>-43.597066592225588</v>
      </c>
      <c r="AA432" s="72">
        <f t="shared" si="185"/>
        <v>136.40293340777441</v>
      </c>
      <c r="AB432" s="110">
        <f t="shared" ca="1" si="186"/>
        <v>-4.1375177274080404</v>
      </c>
      <c r="AC432" s="111">
        <f t="shared" ca="1" si="187"/>
        <v>-72.553836229071678</v>
      </c>
      <c r="AD432" s="72">
        <f t="shared" ca="1" si="188"/>
        <v>107.44616377092832</v>
      </c>
    </row>
    <row r="433" spans="1:30">
      <c r="A433" s="118">
        <v>43403.5</v>
      </c>
      <c r="B433" s="101">
        <f t="shared" ca="1" si="162"/>
        <v>710.35101637419962</v>
      </c>
      <c r="C433" s="102">
        <f t="shared" ca="1" si="163"/>
        <v>1.569388571604512</v>
      </c>
      <c r="D433" s="102">
        <f t="shared" si="164"/>
        <v>72.412003168077433</v>
      </c>
      <c r="E433" s="103">
        <f t="shared" si="165"/>
        <v>1.5569860226412755</v>
      </c>
      <c r="F433" s="101">
        <f t="shared" si="166"/>
        <v>5890.5843213219032</v>
      </c>
      <c r="G433" s="104">
        <f t="shared" si="167"/>
        <v>1.5706265643485493</v>
      </c>
      <c r="H433" s="113">
        <f t="shared" si="168"/>
        <v>709.07978260116715</v>
      </c>
      <c r="I433" s="114">
        <f t="shared" si="169"/>
        <v>1.5693860477881918</v>
      </c>
      <c r="J433" s="101">
        <f t="shared" si="170"/>
        <v>72.227940009501253</v>
      </c>
      <c r="K433" s="104">
        <f t="shared" si="171"/>
        <v>1.5569508266985559</v>
      </c>
      <c r="L433" s="102">
        <f t="shared" si="172"/>
        <v>3.3047550100852603</v>
      </c>
      <c r="M433" s="103">
        <f t="shared" si="173"/>
        <v>1.2633829492906843</v>
      </c>
      <c r="N433" s="101">
        <f t="shared" si="174"/>
        <v>1.119816049770274</v>
      </c>
      <c r="O433" s="104">
        <f t="shared" si="175"/>
        <v>0.46682032278437396</v>
      </c>
      <c r="P433" s="105">
        <f t="shared" ca="1" si="176"/>
        <v>2.6237582084772737</v>
      </c>
      <c r="Q433" s="106">
        <f t="shared" ca="1" si="177"/>
        <v>1.25630532825508</v>
      </c>
      <c r="R433" s="107">
        <f t="shared" ca="1" si="178"/>
        <v>-2.1790938875428094</v>
      </c>
      <c r="S433" s="108">
        <f t="shared" ca="1" si="179"/>
        <v>-116.32971795842639</v>
      </c>
      <c r="T433" s="116">
        <f t="shared" ca="1" si="180"/>
        <v>63.670282041573614</v>
      </c>
      <c r="V433" s="72">
        <f t="shared" ca="1" si="181"/>
        <v>43403.5</v>
      </c>
      <c r="W433" s="72">
        <f t="shared" si="182"/>
        <v>1883863812.25</v>
      </c>
      <c r="Y433" s="110">
        <f t="shared" si="183"/>
        <v>17.918881233561056</v>
      </c>
      <c r="Z433" s="111">
        <f t="shared" si="184"/>
        <v>-43.638111075752803</v>
      </c>
      <c r="AA433" s="72">
        <f t="shared" si="185"/>
        <v>136.36188892424718</v>
      </c>
      <c r="AB433" s="110">
        <f t="shared" ca="1" si="186"/>
        <v>-4.1803747742223614</v>
      </c>
      <c r="AC433" s="111">
        <f t="shared" ca="1" si="187"/>
        <v>-72.691606882673639</v>
      </c>
      <c r="AD433" s="72">
        <f t="shared" ca="1" si="188"/>
        <v>107.30839311732636</v>
      </c>
    </row>
    <row r="434" spans="1:30">
      <c r="A434" s="118">
        <v>43652</v>
      </c>
      <c r="B434" s="101">
        <f t="shared" ca="1" si="162"/>
        <v>714.41801278549531</v>
      </c>
      <c r="C434" s="102">
        <f t="shared" ca="1" si="163"/>
        <v>1.5693965855948575</v>
      </c>
      <c r="D434" s="102">
        <f t="shared" si="164"/>
        <v>72.826508007594427</v>
      </c>
      <c r="E434" s="103">
        <f t="shared" si="165"/>
        <v>1.5570646313638368</v>
      </c>
      <c r="F434" s="101">
        <f t="shared" si="166"/>
        <v>5924.3099462549753</v>
      </c>
      <c r="G434" s="104">
        <f t="shared" si="167"/>
        <v>1.5706275307639967</v>
      </c>
      <c r="H434" s="113">
        <f t="shared" si="168"/>
        <v>713.13950074647107</v>
      </c>
      <c r="I434" s="114">
        <f t="shared" si="169"/>
        <v>1.5693940761459406</v>
      </c>
      <c r="J434" s="101">
        <f t="shared" si="170"/>
        <v>72.641390823066828</v>
      </c>
      <c r="K434" s="104">
        <f t="shared" si="171"/>
        <v>1.5570296357069171</v>
      </c>
      <c r="L434" s="102">
        <f t="shared" si="172"/>
        <v>3.3219478971732457</v>
      </c>
      <c r="M434" s="103">
        <f t="shared" si="173"/>
        <v>1.2650256420933224</v>
      </c>
      <c r="N434" s="101">
        <f t="shared" si="174"/>
        <v>1.1211175890544507</v>
      </c>
      <c r="O434" s="104">
        <f t="shared" si="175"/>
        <v>0.46911864415984156</v>
      </c>
      <c r="P434" s="105">
        <f t="shared" ca="1" si="176"/>
        <v>2.6366814977141226</v>
      </c>
      <c r="Q434" s="106">
        <f t="shared" ca="1" si="177"/>
        <v>1.2587614819890884</v>
      </c>
      <c r="R434" s="107">
        <f t="shared" ca="1" si="178"/>
        <v>-2.236377591619549</v>
      </c>
      <c r="S434" s="108">
        <f t="shared" ca="1" si="179"/>
        <v>-116.50807597544144</v>
      </c>
      <c r="T434" s="116">
        <f t="shared" ca="1" si="180"/>
        <v>63.491924024558557</v>
      </c>
      <c r="V434" s="72">
        <f t="shared" ca="1" si="181"/>
        <v>43652</v>
      </c>
      <c r="W434" s="72">
        <f t="shared" si="182"/>
        <v>1905497104</v>
      </c>
      <c r="Y434" s="110">
        <f t="shared" si="183"/>
        <v>17.904284062083914</v>
      </c>
      <c r="Z434" s="111">
        <f t="shared" si="184"/>
        <v>-43.679786630029362</v>
      </c>
      <c r="AA434" s="72">
        <f t="shared" si="185"/>
        <v>136.32021336997065</v>
      </c>
      <c r="AB434" s="110">
        <f t="shared" ca="1" si="186"/>
        <v>-4.2230613068219585</v>
      </c>
      <c r="AC434" s="111">
        <f t="shared" ca="1" si="187"/>
        <v>-72.828289345411974</v>
      </c>
      <c r="AD434" s="72">
        <f t="shared" ca="1" si="188"/>
        <v>107.17171065458803</v>
      </c>
    </row>
    <row r="435" spans="1:30">
      <c r="A435" s="118">
        <v>43906</v>
      </c>
      <c r="B435" s="101">
        <f t="shared" ca="1" si="162"/>
        <v>718.57502324874486</v>
      </c>
      <c r="C435" s="102">
        <f t="shared" ca="1" si="163"/>
        <v>1.5694046832080411</v>
      </c>
      <c r="D435" s="102">
        <f t="shared" si="164"/>
        <v>73.250187458237008</v>
      </c>
      <c r="E435" s="103">
        <f t="shared" si="165"/>
        <v>1.5571440605080955</v>
      </c>
      <c r="F435" s="101">
        <f t="shared" si="166"/>
        <v>5958.7820135966458</v>
      </c>
      <c r="G435" s="104">
        <f t="shared" si="167"/>
        <v>1.5706285072635877</v>
      </c>
      <c r="H435" s="113">
        <f t="shared" si="168"/>
        <v>717.28907185543039</v>
      </c>
      <c r="I435" s="114">
        <f t="shared" si="169"/>
        <v>1.5694021882764464</v>
      </c>
      <c r="J435" s="101">
        <f t="shared" si="170"/>
        <v>73.063992920386951</v>
      </c>
      <c r="K435" s="104">
        <f t="shared" si="171"/>
        <v>1.5571092672281959</v>
      </c>
      <c r="L435" s="102">
        <f t="shared" si="172"/>
        <v>3.339530478352029</v>
      </c>
      <c r="M435" s="103">
        <f t="shared" si="173"/>
        <v>1.2666872078782858</v>
      </c>
      <c r="N435" s="101">
        <f t="shared" si="174"/>
        <v>1.1224540407898929</v>
      </c>
      <c r="O435" s="104">
        <f t="shared" si="175"/>
        <v>0.47146231283292278</v>
      </c>
      <c r="P435" s="105">
        <f t="shared" ca="1" si="176"/>
        <v>2.6499032034670065</v>
      </c>
      <c r="Q435" s="106">
        <f t="shared" ca="1" si="177"/>
        <v>1.2612518116127192</v>
      </c>
      <c r="R435" s="107">
        <f t="shared" ca="1" si="178"/>
        <v>-2.2947149756941676</v>
      </c>
      <c r="S435" s="108">
        <f t="shared" ca="1" si="179"/>
        <v>-116.68990968223554</v>
      </c>
      <c r="T435" s="116">
        <f t="shared" ca="1" si="180"/>
        <v>63.310090317764462</v>
      </c>
      <c r="V435" s="72">
        <f t="shared" ca="1" si="181"/>
        <v>43906</v>
      </c>
      <c r="W435" s="72">
        <f t="shared" si="182"/>
        <v>1927736836</v>
      </c>
      <c r="Y435" s="110">
        <f t="shared" si="183"/>
        <v>17.889402797327833</v>
      </c>
      <c r="Z435" s="111">
        <f t="shared" si="184"/>
        <v>-43.723021955311516</v>
      </c>
      <c r="AA435" s="72">
        <f t="shared" si="185"/>
        <v>136.27697804468849</v>
      </c>
      <c r="AB435" s="110">
        <f t="shared" ca="1" si="186"/>
        <v>-4.2665174261404948</v>
      </c>
      <c r="AC435" s="111">
        <f t="shared" ca="1" si="187"/>
        <v>-72.966887726923986</v>
      </c>
      <c r="AD435" s="72">
        <f t="shared" ca="1" si="188"/>
        <v>107.03311227307601</v>
      </c>
    </row>
    <row r="436" spans="1:30">
      <c r="A436" s="118">
        <v>44160</v>
      </c>
      <c r="B436" s="101">
        <f t="shared" ca="1" si="162"/>
        <v>722.73203375857008</v>
      </c>
      <c r="C436" s="102">
        <f t="shared" ca="1" si="163"/>
        <v>1.5694126876695131</v>
      </c>
      <c r="D436" s="102">
        <f t="shared" si="164"/>
        <v>73.673867365698982</v>
      </c>
      <c r="E436" s="103">
        <f t="shared" si="165"/>
        <v>1.5572225760987259</v>
      </c>
      <c r="F436" s="101">
        <f t="shared" si="166"/>
        <v>5993.2540809439333</v>
      </c>
      <c r="G436" s="104">
        <f t="shared" si="167"/>
        <v>1.5706294725298957</v>
      </c>
      <c r="H436" s="113">
        <f t="shared" si="168"/>
        <v>721.43864301104918</v>
      </c>
      <c r="I436" s="114">
        <f t="shared" si="169"/>
        <v>1.5694102070882399</v>
      </c>
      <c r="J436" s="101">
        <f t="shared" si="170"/>
        <v>73.486595475690166</v>
      </c>
      <c r="K436" s="104">
        <f t="shared" si="171"/>
        <v>1.5571879828690751</v>
      </c>
      <c r="L436" s="102">
        <f t="shared" si="172"/>
        <v>3.3571221827193845</v>
      </c>
      <c r="M436" s="103">
        <f t="shared" si="173"/>
        <v>1.2683313645732206</v>
      </c>
      <c r="N436" s="101">
        <f t="shared" si="174"/>
        <v>1.1237966432377737</v>
      </c>
      <c r="O436" s="104">
        <f t="shared" si="175"/>
        <v>0.47380039435030674</v>
      </c>
      <c r="P436" s="105">
        <f t="shared" ca="1" si="176"/>
        <v>2.6631372797029025</v>
      </c>
      <c r="Q436" s="106">
        <f t="shared" ca="1" si="177"/>
        <v>1.2637220169368544</v>
      </c>
      <c r="R436" s="107">
        <f t="shared" ca="1" si="178"/>
        <v>-2.3528381687224305</v>
      </c>
      <c r="S436" s="108">
        <f t="shared" ca="1" si="179"/>
        <v>-116.87126693117978</v>
      </c>
      <c r="T436" s="116">
        <f t="shared" ca="1" si="180"/>
        <v>63.128733068820225</v>
      </c>
      <c r="V436" s="72">
        <f t="shared" ca="1" si="181"/>
        <v>44160</v>
      </c>
      <c r="W436" s="72">
        <f t="shared" si="182"/>
        <v>1950105600</v>
      </c>
      <c r="Y436" s="110">
        <f t="shared" si="183"/>
        <v>17.874559670203226</v>
      </c>
      <c r="Z436" s="111">
        <f t="shared" si="184"/>
        <v>-43.766886854604479</v>
      </c>
      <c r="AA436" s="72">
        <f t="shared" si="185"/>
        <v>136.23311314539552</v>
      </c>
      <c r="AB436" s="110">
        <f t="shared" ca="1" si="186"/>
        <v>-4.3097974920441544</v>
      </c>
      <c r="AC436" s="111">
        <f t="shared" ca="1" si="187"/>
        <v>-73.10438007657531</v>
      </c>
      <c r="AD436" s="72">
        <f t="shared" ca="1" si="188"/>
        <v>106.89561992342469</v>
      </c>
    </row>
    <row r="437" spans="1:30">
      <c r="A437" s="118">
        <v>44414</v>
      </c>
      <c r="B437" s="101">
        <f t="shared" ca="1" si="162"/>
        <v>726.88904431417222</v>
      </c>
      <c r="C437" s="102">
        <f t="shared" ca="1" si="163"/>
        <v>1.5694206005774507</v>
      </c>
      <c r="D437" s="102">
        <f t="shared" si="164"/>
        <v>74.097547722144242</v>
      </c>
      <c r="E437" s="103">
        <f t="shared" si="165"/>
        <v>1.557300193805502</v>
      </c>
      <c r="F437" s="101">
        <f t="shared" si="166"/>
        <v>6027.7261482967397</v>
      </c>
      <c r="G437" s="104">
        <f t="shared" si="167"/>
        <v>1.5706304267556472</v>
      </c>
      <c r="H437" s="113">
        <f t="shared" si="168"/>
        <v>725.58821421252696</v>
      </c>
      <c r="I437" s="114">
        <f t="shared" si="169"/>
        <v>1.569418134182363</v>
      </c>
      <c r="J437" s="101">
        <f t="shared" si="170"/>
        <v>73.909198481120441</v>
      </c>
      <c r="K437" s="104">
        <f t="shared" si="171"/>
        <v>1.5572657983392193</v>
      </c>
      <c r="L437" s="102">
        <f t="shared" si="172"/>
        <v>3.3747228676036567</v>
      </c>
      <c r="M437" s="103">
        <f t="shared" si="173"/>
        <v>1.269958375607313</v>
      </c>
      <c r="N437" s="101">
        <f t="shared" si="174"/>
        <v>1.1251453743797077</v>
      </c>
      <c r="O437" s="104">
        <f t="shared" si="175"/>
        <v>0.47613288319594166</v>
      </c>
      <c r="P437" s="105">
        <f t="shared" ca="1" si="176"/>
        <v>2.676383575267415</v>
      </c>
      <c r="Q437" s="106">
        <f t="shared" ca="1" si="177"/>
        <v>1.2661723774091489</v>
      </c>
      <c r="R437" s="107">
        <f t="shared" ca="1" si="178"/>
        <v>-2.4107494678927663</v>
      </c>
      <c r="S437" s="108">
        <f t="shared" ca="1" si="179"/>
        <v>-117.05214833718229</v>
      </c>
      <c r="T437" s="116">
        <f t="shared" ca="1" si="180"/>
        <v>62.947851662817712</v>
      </c>
      <c r="V437" s="72">
        <f t="shared" ca="1" si="181"/>
        <v>44414</v>
      </c>
      <c r="W437" s="72">
        <f t="shared" si="182"/>
        <v>1972603396</v>
      </c>
      <c r="Y437" s="110">
        <f t="shared" si="183"/>
        <v>17.859753439954478</v>
      </c>
      <c r="Z437" s="111">
        <f t="shared" si="184"/>
        <v>-43.811366737888108</v>
      </c>
      <c r="AA437" s="72">
        <f t="shared" si="185"/>
        <v>136.18863326211189</v>
      </c>
      <c r="AB437" s="110">
        <f t="shared" ca="1" si="186"/>
        <v>-4.3529025609657399</v>
      </c>
      <c r="AC437" s="111">
        <f t="shared" ca="1" si="187"/>
        <v>-73.240781599294067</v>
      </c>
      <c r="AD437" s="72">
        <f t="shared" ca="1" si="188"/>
        <v>106.75921840070593</v>
      </c>
    </row>
    <row r="438" spans="1:30">
      <c r="A438" s="118">
        <v>44668</v>
      </c>
      <c r="B438" s="101">
        <f t="shared" ca="1" si="162"/>
        <v>731.04605491477025</v>
      </c>
      <c r="C438" s="102">
        <f t="shared" ca="1" si="163"/>
        <v>1.5694284234936791</v>
      </c>
      <c r="D438" s="102">
        <f t="shared" si="164"/>
        <v>74.521228519914885</v>
      </c>
      <c r="E438" s="103">
        <f t="shared" si="165"/>
        <v>1.5573769289418882</v>
      </c>
      <c r="F438" s="101">
        <f t="shared" si="166"/>
        <v>6062.198215654973</v>
      </c>
      <c r="G438" s="104">
        <f t="shared" si="167"/>
        <v>1.5706313701291854</v>
      </c>
      <c r="H438" s="113">
        <f t="shared" si="168"/>
        <v>729.73778545908112</v>
      </c>
      <c r="I438" s="114">
        <f t="shared" si="169"/>
        <v>1.5694259711234413</v>
      </c>
      <c r="J438" s="101">
        <f t="shared" si="170"/>
        <v>74.331801929000349</v>
      </c>
      <c r="K438" s="104">
        <f t="shared" si="171"/>
        <v>1.5573427289910764</v>
      </c>
      <c r="L438" s="102">
        <f t="shared" si="172"/>
        <v>3.3923323932220413</v>
      </c>
      <c r="M438" s="103">
        <f t="shared" si="173"/>
        <v>1.2715684993072278</v>
      </c>
      <c r="N438" s="101">
        <f t="shared" si="174"/>
        <v>1.1265002122024885</v>
      </c>
      <c r="O438" s="104">
        <f t="shared" si="175"/>
        <v>0.47845977412354679</v>
      </c>
      <c r="P438" s="105">
        <f t="shared" ca="1" si="176"/>
        <v>2.6896419420016273</v>
      </c>
      <c r="Q438" s="106">
        <f t="shared" ca="1" si="177"/>
        <v>1.2686031676429106</v>
      </c>
      <c r="R438" s="107">
        <f t="shared" ca="1" si="178"/>
        <v>-2.4684511297714757</v>
      </c>
      <c r="S438" s="108">
        <f t="shared" ca="1" si="179"/>
        <v>-117.2325545456733</v>
      </c>
      <c r="T438" s="116">
        <f t="shared" ca="1" si="180"/>
        <v>62.767445454326705</v>
      </c>
      <c r="V438" s="72">
        <f t="shared" ca="1" si="181"/>
        <v>44668</v>
      </c>
      <c r="W438" s="72">
        <f t="shared" si="182"/>
        <v>1995230224</v>
      </c>
      <c r="Y438" s="110">
        <f t="shared" si="183"/>
        <v>17.844982905253733</v>
      </c>
      <c r="Z438" s="111">
        <f t="shared" si="184"/>
        <v>-43.856447304320362</v>
      </c>
      <c r="AA438" s="72">
        <f t="shared" si="185"/>
        <v>136.14355269567963</v>
      </c>
      <c r="AB438" s="110">
        <f t="shared" ca="1" si="186"/>
        <v>-4.3958336881437026</v>
      </c>
      <c r="AC438" s="111">
        <f t="shared" ca="1" si="187"/>
        <v>-73.376107241352955</v>
      </c>
      <c r="AD438" s="72">
        <f t="shared" ca="1" si="188"/>
        <v>106.62389275864705</v>
      </c>
    </row>
    <row r="439" spans="1:30">
      <c r="A439" s="118">
        <v>44928.25</v>
      </c>
      <c r="B439" s="101">
        <f t="shared" ca="1" si="162"/>
        <v>735.30535420790875</v>
      </c>
      <c r="C439" s="102">
        <f t="shared" ca="1" si="163"/>
        <v>1.5694363471584982</v>
      </c>
      <c r="D439" s="102">
        <f t="shared" si="164"/>
        <v>74.955334984088324</v>
      </c>
      <c r="E439" s="103">
        <f t="shared" si="165"/>
        <v>1.5574546524825796</v>
      </c>
      <c r="F439" s="101">
        <f t="shared" si="166"/>
        <v>6097.5185130226319</v>
      </c>
      <c r="G439" s="104">
        <f t="shared" si="167"/>
        <v>1.5706323256520798</v>
      </c>
      <c r="H439" s="113">
        <f t="shared" si="168"/>
        <v>733.9894623432865</v>
      </c>
      <c r="I439" s="114">
        <f t="shared" si="169"/>
        <v>1.5694339089937319</v>
      </c>
      <c r="J439" s="101">
        <f t="shared" si="170"/>
        <v>74.764804534835449</v>
      </c>
      <c r="K439" s="104">
        <f t="shared" si="171"/>
        <v>1.5574206505664443</v>
      </c>
      <c r="L439" s="102">
        <f t="shared" si="172"/>
        <v>3.4103842506048676</v>
      </c>
      <c r="M439" s="103">
        <f t="shared" si="173"/>
        <v>1.2732009913372653</v>
      </c>
      <c r="N439" s="101">
        <f t="shared" si="174"/>
        <v>1.1278946984809386</v>
      </c>
      <c r="O439" s="104">
        <f t="shared" si="175"/>
        <v>0.48083810979220054</v>
      </c>
      <c r="P439" s="105">
        <f t="shared" ca="1" si="176"/>
        <v>2.7032389165875284</v>
      </c>
      <c r="Q439" s="106">
        <f t="shared" ca="1" si="177"/>
        <v>1.2710737543215798</v>
      </c>
      <c r="R439" s="107">
        <f t="shared" ca="1" si="178"/>
        <v>-2.5273574956429723</v>
      </c>
      <c r="S439" s="108">
        <f t="shared" ca="1" si="179"/>
        <v>-117.416907708229</v>
      </c>
      <c r="T439" s="116">
        <f t="shared" ca="1" si="180"/>
        <v>62.583092291770996</v>
      </c>
      <c r="V439" s="72">
        <f t="shared" ca="1" si="181"/>
        <v>44928.25</v>
      </c>
      <c r="W439" s="72">
        <f t="shared" si="182"/>
        <v>2018547648.0625</v>
      </c>
      <c r="Y439" s="110">
        <f t="shared" si="183"/>
        <v>17.829884730130601</v>
      </c>
      <c r="Z439" s="111">
        <f t="shared" si="184"/>
        <v>-43.903245515407896</v>
      </c>
      <c r="AA439" s="72">
        <f t="shared" si="185"/>
        <v>136.09675448459211</v>
      </c>
      <c r="AB439" s="110">
        <f t="shared" ca="1" si="186"/>
        <v>-4.4396418788920693</v>
      </c>
      <c r="AC439" s="111">
        <f t="shared" ca="1" si="187"/>
        <v>-73.513662192821101</v>
      </c>
      <c r="AD439" s="72">
        <f t="shared" ca="1" si="188"/>
        <v>106.4863378071789</v>
      </c>
    </row>
    <row r="440" spans="1:30">
      <c r="A440" s="118">
        <v>45188.5</v>
      </c>
      <c r="B440" s="101">
        <f t="shared" ca="1" si="162"/>
        <v>739.56465354668126</v>
      </c>
      <c r="C440" s="102">
        <f t="shared" ca="1" si="163"/>
        <v>1.5694441795554073</v>
      </c>
      <c r="D440" s="102">
        <f t="shared" si="164"/>
        <v>75.389441895848478</v>
      </c>
      <c r="E440" s="103">
        <f t="shared" si="165"/>
        <v>1.5575314809295271</v>
      </c>
      <c r="F440" s="101">
        <f t="shared" si="166"/>
        <v>6132.8388103957932</v>
      </c>
      <c r="G440" s="104">
        <f t="shared" si="167"/>
        <v>1.570633270168863</v>
      </c>
      <c r="H440" s="113">
        <f t="shared" si="168"/>
        <v>738.24113927320775</v>
      </c>
      <c r="I440" s="114">
        <f t="shared" si="169"/>
        <v>1.5694417554324891</v>
      </c>
      <c r="J440" s="101">
        <f t="shared" si="170"/>
        <v>75.19780758939747</v>
      </c>
      <c r="K440" s="104">
        <f t="shared" si="171"/>
        <v>1.5574976747682365</v>
      </c>
      <c r="L440" s="102">
        <f t="shared" si="172"/>
        <v>3.428445101040146</v>
      </c>
      <c r="M440" s="103">
        <f t="shared" si="173"/>
        <v>1.2748162878872804</v>
      </c>
      <c r="N440" s="101">
        <f t="shared" si="174"/>
        <v>1.1292955488965952</v>
      </c>
      <c r="O440" s="104">
        <f t="shared" si="175"/>
        <v>0.48321055837358051</v>
      </c>
      <c r="P440" s="105">
        <f t="shared" ca="1" si="176"/>
        <v>2.7168482581531852</v>
      </c>
      <c r="Q440" s="106">
        <f t="shared" ca="1" si="177"/>
        <v>1.2735243643423997</v>
      </c>
      <c r="R440" s="107">
        <f t="shared" ca="1" si="178"/>
        <v>-2.5860484500423637</v>
      </c>
      <c r="S440" s="108">
        <f t="shared" ca="1" si="179"/>
        <v>-117.60076346392468</v>
      </c>
      <c r="T440" s="116">
        <f t="shared" ca="1" si="180"/>
        <v>62.399236536075321</v>
      </c>
      <c r="V440" s="72">
        <f t="shared" ca="1" si="181"/>
        <v>45188.5</v>
      </c>
      <c r="W440" s="72">
        <f t="shared" si="182"/>
        <v>2042000532.25</v>
      </c>
      <c r="Y440" s="110">
        <f t="shared" si="183"/>
        <v>17.814821597027532</v>
      </c>
      <c r="Z440" s="111">
        <f t="shared" si="184"/>
        <v>-43.95064484199245</v>
      </c>
      <c r="AA440" s="72">
        <f t="shared" si="185"/>
        <v>136.04935515800756</v>
      </c>
      <c r="AB440" s="110">
        <f t="shared" ca="1" si="186"/>
        <v>-4.4832697001883925</v>
      </c>
      <c r="AC440" s="111">
        <f t="shared" ca="1" si="187"/>
        <v>-73.650118621932194</v>
      </c>
      <c r="AD440" s="72">
        <f t="shared" ca="1" si="188"/>
        <v>106.34988137806781</v>
      </c>
    </row>
    <row r="441" spans="1:30">
      <c r="A441" s="118">
        <v>45448.75</v>
      </c>
      <c r="B441" s="101">
        <f t="shared" ca="1" si="162"/>
        <v>743.8239529303039</v>
      </c>
      <c r="C441" s="102">
        <f t="shared" ca="1" si="163"/>
        <v>1.5694519222522656</v>
      </c>
      <c r="D441" s="102">
        <f t="shared" si="164"/>
        <v>75.823549247507742</v>
      </c>
      <c r="E441" s="103">
        <f t="shared" si="165"/>
        <v>1.5576074296556721</v>
      </c>
      <c r="F441" s="101">
        <f t="shared" si="166"/>
        <v>6168.1591077743642</v>
      </c>
      <c r="G441" s="104">
        <f t="shared" si="167"/>
        <v>1.5706342038686056</v>
      </c>
      <c r="H441" s="113">
        <f t="shared" si="168"/>
        <v>742.4928162480594</v>
      </c>
      <c r="I441" s="114">
        <f t="shared" si="169"/>
        <v>1.5694495120103824</v>
      </c>
      <c r="J441" s="101">
        <f t="shared" si="170"/>
        <v>75.630811084979257</v>
      </c>
      <c r="K441" s="104">
        <f t="shared" si="171"/>
        <v>1.5575738170085314</v>
      </c>
      <c r="L441" s="102">
        <f t="shared" si="172"/>
        <v>3.4465148031483821</v>
      </c>
      <c r="M441" s="103">
        <f t="shared" si="173"/>
        <v>1.276414650923247</v>
      </c>
      <c r="N441" s="101">
        <f t="shared" si="174"/>
        <v>1.1307027397954847</v>
      </c>
      <c r="O441" s="104">
        <f t="shared" si="175"/>
        <v>0.48557711509156343</v>
      </c>
      <c r="P441" s="105">
        <f t="shared" ca="1" si="176"/>
        <v>2.7304698166836001</v>
      </c>
      <c r="Q441" s="106">
        <f t="shared" ca="1" si="177"/>
        <v>1.2759552779222607</v>
      </c>
      <c r="R441" s="107">
        <f t="shared" ca="1" si="178"/>
        <v>-2.6445262936287453</v>
      </c>
      <c r="S441" s="108">
        <f t="shared" ca="1" si="179"/>
        <v>-117.78412259772331</v>
      </c>
      <c r="T441" s="116">
        <f t="shared" ca="1" si="180"/>
        <v>62.215877402276689</v>
      </c>
      <c r="V441" s="72">
        <f t="shared" ca="1" si="181"/>
        <v>45448.75</v>
      </c>
      <c r="W441" s="72">
        <f t="shared" si="182"/>
        <v>2065588876.5625</v>
      </c>
      <c r="Y441" s="110">
        <f t="shared" si="183"/>
        <v>17.799792334512347</v>
      </c>
      <c r="Z441" s="111">
        <f t="shared" si="184"/>
        <v>-43.998630804764844</v>
      </c>
      <c r="AA441" s="72">
        <f t="shared" si="185"/>
        <v>136.00136919523516</v>
      </c>
      <c r="AB441" s="110">
        <f t="shared" ca="1" si="186"/>
        <v>-4.5267182812595861</v>
      </c>
      <c r="AC441" s="111">
        <f t="shared" ca="1" si="187"/>
        <v>-73.78549179295851</v>
      </c>
      <c r="AD441" s="72">
        <f t="shared" ca="1" si="188"/>
        <v>106.21450820704149</v>
      </c>
    </row>
    <row r="442" spans="1:30">
      <c r="A442" s="118">
        <v>45709</v>
      </c>
      <c r="B442" s="101">
        <f t="shared" ca="1" si="162"/>
        <v>748.08325235801044</v>
      </c>
      <c r="C442" s="102">
        <f t="shared" ca="1" si="163"/>
        <v>1.5694595767812254</v>
      </c>
      <c r="D442" s="102">
        <f t="shared" si="164"/>
        <v>76.257657031553535</v>
      </c>
      <c r="E442" s="103">
        <f t="shared" si="165"/>
        <v>1.5576825136839456</v>
      </c>
      <c r="F442" s="101">
        <f t="shared" si="166"/>
        <v>6203.4794051582494</v>
      </c>
      <c r="G442" s="104">
        <f t="shared" si="167"/>
        <v>1.5706351269360723</v>
      </c>
      <c r="H442" s="113">
        <f t="shared" si="168"/>
        <v>746.74449326707429</v>
      </c>
      <c r="I442" s="114">
        <f t="shared" si="169"/>
        <v>1.5694571802623114</v>
      </c>
      <c r="J442" s="101">
        <f t="shared" si="170"/>
        <v>76.063815014049098</v>
      </c>
      <c r="K442" s="104">
        <f t="shared" si="171"/>
        <v>1.5576490923485065</v>
      </c>
      <c r="L442" s="102">
        <f t="shared" si="172"/>
        <v>3.4645932184309878</v>
      </c>
      <c r="M442" s="103">
        <f t="shared" si="173"/>
        <v>1.2779963372934553</v>
      </c>
      <c r="N442" s="101">
        <f t="shared" si="174"/>
        <v>1.1321162475344431</v>
      </c>
      <c r="O442" s="104">
        <f t="shared" si="175"/>
        <v>0.48793777545770006</v>
      </c>
      <c r="P442" s="105">
        <f t="shared" ca="1" si="176"/>
        <v>2.7441034451785233</v>
      </c>
      <c r="Q442" s="106">
        <f t="shared" ca="1" si="177"/>
        <v>1.2783667703627006</v>
      </c>
      <c r="R442" s="107">
        <f t="shared" ca="1" si="178"/>
        <v>-2.7027932863020991</v>
      </c>
      <c r="S442" s="108">
        <f t="shared" ca="1" si="179"/>
        <v>-117.96698592236923</v>
      </c>
      <c r="T442" s="116">
        <f t="shared" ca="1" si="180"/>
        <v>62.033014077630767</v>
      </c>
      <c r="V442" s="72">
        <f t="shared" ca="1" si="181"/>
        <v>45709</v>
      </c>
      <c r="W442" s="72">
        <f t="shared" si="182"/>
        <v>2089312681</v>
      </c>
      <c r="Y442" s="110">
        <f t="shared" si="183"/>
        <v>17.78479580934016</v>
      </c>
      <c r="Z442" s="111">
        <f t="shared" si="184"/>
        <v>-44.047189215817681</v>
      </c>
      <c r="AA442" s="72">
        <f t="shared" si="185"/>
        <v>135.9528107841823</v>
      </c>
      <c r="AB442" s="110">
        <f t="shared" ca="1" si="186"/>
        <v>-4.5699887487607551</v>
      </c>
      <c r="AC442" s="111">
        <f t="shared" ca="1" si="187"/>
        <v>-73.919796706551509</v>
      </c>
      <c r="AD442" s="72">
        <f t="shared" ca="1" si="188"/>
        <v>106.08020329344849</v>
      </c>
    </row>
    <row r="443" spans="1:30">
      <c r="A443" s="118">
        <v>45975.25</v>
      </c>
      <c r="B443" s="101">
        <f t="shared" ca="1" si="162"/>
        <v>752.44074893551806</v>
      </c>
      <c r="C443" s="102">
        <f t="shared" ca="1" si="163"/>
        <v>1.5694673181044554</v>
      </c>
      <c r="D443" s="102">
        <f t="shared" si="164"/>
        <v>76.701773504021446</v>
      </c>
      <c r="E443" s="103">
        <f t="shared" si="165"/>
        <v>1.5577584492345908</v>
      </c>
      <c r="F443" s="101">
        <f t="shared" si="166"/>
        <v>6239.6140033517831</v>
      </c>
      <c r="G443" s="104">
        <f t="shared" si="167"/>
        <v>1.5706360604701297</v>
      </c>
      <c r="H443" s="113">
        <f t="shared" si="168"/>
        <v>751.09419170320518</v>
      </c>
      <c r="I443" s="114">
        <f t="shared" si="169"/>
        <v>1.5694649354641153</v>
      </c>
      <c r="J443" s="101">
        <f t="shared" si="170"/>
        <v>76.506802183555365</v>
      </c>
      <c r="K443" s="104">
        <f t="shared" si="171"/>
        <v>1.5577252213812742</v>
      </c>
      <c r="L443" s="102">
        <f t="shared" si="172"/>
        <v>3.483097302479699</v>
      </c>
      <c r="M443" s="103">
        <f t="shared" si="173"/>
        <v>1.2795974938431742</v>
      </c>
      <c r="N443" s="101">
        <f t="shared" si="174"/>
        <v>1.1335688556742634</v>
      </c>
      <c r="O443" s="104">
        <f t="shared" si="175"/>
        <v>0.4903467540615889</v>
      </c>
      <c r="P443" s="105">
        <f t="shared" ca="1" si="176"/>
        <v>2.7580637340144256</v>
      </c>
      <c r="Q443" s="106">
        <f t="shared" ca="1" si="177"/>
        <v>1.2808140432790369</v>
      </c>
      <c r="R443" s="107">
        <f t="shared" ca="1" si="178"/>
        <v>-2.7621877264639396</v>
      </c>
      <c r="S443" s="108">
        <f t="shared" ca="1" si="179"/>
        <v>-118.15355290439344</v>
      </c>
      <c r="T443" s="116">
        <f t="shared" ca="1" si="180"/>
        <v>61.846447095606564</v>
      </c>
      <c r="V443" s="72">
        <f t="shared" ca="1" si="181"/>
        <v>45975.25</v>
      </c>
      <c r="W443" s="72">
        <f t="shared" si="182"/>
        <v>2113723612.5625</v>
      </c>
      <c r="Y443" s="110">
        <f t="shared" si="183"/>
        <v>17.769486278142821</v>
      </c>
      <c r="Z443" s="111">
        <f t="shared" si="184"/>
        <v>-44.097445029681559</v>
      </c>
      <c r="AA443" s="72">
        <f t="shared" si="185"/>
        <v>135.90255497031845</v>
      </c>
      <c r="AB443" s="110">
        <f t="shared" ca="1" si="186"/>
        <v>-4.6140736577252568</v>
      </c>
      <c r="AC443" s="111">
        <f t="shared" ca="1" si="187"/>
        <v>-74.056107874711969</v>
      </c>
      <c r="AD443" s="72">
        <f t="shared" ca="1" si="188"/>
        <v>105.94389212528803</v>
      </c>
    </row>
    <row r="444" spans="1:30">
      <c r="A444" s="118">
        <v>46241.5</v>
      </c>
      <c r="B444" s="101">
        <f t="shared" ca="1" si="162"/>
        <v>756.79824555759888</v>
      </c>
      <c r="C444" s="102">
        <f t="shared" ca="1" si="163"/>
        <v>1.5694749702816289</v>
      </c>
      <c r="D444" s="102">
        <f t="shared" si="164"/>
        <v>77.14589041367546</v>
      </c>
      <c r="E444" s="103">
        <f t="shared" si="165"/>
        <v>1.5578335104873213</v>
      </c>
      <c r="F444" s="101">
        <f t="shared" si="166"/>
        <v>6275.7486015506911</v>
      </c>
      <c r="G444" s="104">
        <f t="shared" si="167"/>
        <v>1.5706369832539548</v>
      </c>
      <c r="H444" s="113">
        <f t="shared" si="168"/>
        <v>755.44389018398908</v>
      </c>
      <c r="I444" s="114">
        <f t="shared" si="169"/>
        <v>1.5694726013600426</v>
      </c>
      <c r="J444" s="101">
        <f t="shared" si="170"/>
        <v>76.949789791361496</v>
      </c>
      <c r="K444" s="104">
        <f t="shared" si="171"/>
        <v>1.5578004738891917</v>
      </c>
      <c r="L444" s="102">
        <f t="shared" si="172"/>
        <v>3.5016102217633827</v>
      </c>
      <c r="M444" s="103">
        <f t="shared" si="173"/>
        <v>1.2811817238752532</v>
      </c>
      <c r="N444" s="101">
        <f t="shared" si="174"/>
        <v>1.1350280252557818</v>
      </c>
      <c r="O444" s="104">
        <f t="shared" si="175"/>
        <v>0.49274955270904458</v>
      </c>
      <c r="P444" s="105">
        <f t="shared" ca="1" si="176"/>
        <v>2.7720363538806962</v>
      </c>
      <c r="Q444" s="106">
        <f t="shared" ca="1" si="177"/>
        <v>1.2832415568327256</v>
      </c>
      <c r="R444" s="107">
        <f t="shared" ca="1" si="178"/>
        <v>-2.8213661399539278</v>
      </c>
      <c r="S444" s="108">
        <f t="shared" ca="1" si="179"/>
        <v>-118.33960275655313</v>
      </c>
      <c r="T444" s="116">
        <f t="shared" ca="1" si="180"/>
        <v>61.660397243446866</v>
      </c>
      <c r="V444" s="72">
        <f t="shared" ca="1" si="181"/>
        <v>46241.5</v>
      </c>
      <c r="W444" s="72">
        <f t="shared" si="182"/>
        <v>2138276322.25</v>
      </c>
      <c r="Y444" s="110">
        <f t="shared" si="183"/>
        <v>17.754208728821293</v>
      </c>
      <c r="Z444" s="111">
        <f t="shared" si="184"/>
        <v>-44.148270855879765</v>
      </c>
      <c r="AA444" s="72">
        <f t="shared" si="185"/>
        <v>135.85172914412024</v>
      </c>
      <c r="AB444" s="110">
        <f t="shared" ca="1" si="186"/>
        <v>-4.6579745218937134</v>
      </c>
      <c r="AC444" s="111">
        <f t="shared" ca="1" si="187"/>
        <v>-74.191331900673347</v>
      </c>
      <c r="AD444" s="72">
        <f t="shared" ca="1" si="188"/>
        <v>105.80866809932665</v>
      </c>
    </row>
    <row r="445" spans="1:30">
      <c r="A445" s="118">
        <v>46507.75</v>
      </c>
      <c r="B445" s="101">
        <f t="shared" ca="1" si="162"/>
        <v>761.1557422234871</v>
      </c>
      <c r="C445" s="102">
        <f t="shared" ca="1" si="163"/>
        <v>1.569482534843786</v>
      </c>
      <c r="D445" s="102">
        <f t="shared" si="164"/>
        <v>77.590007753008379</v>
      </c>
      <c r="E445" s="103">
        <f t="shared" si="165"/>
        <v>1.5579077124544622</v>
      </c>
      <c r="F445" s="101">
        <f t="shared" si="166"/>
        <v>6311.8831997548814</v>
      </c>
      <c r="G445" s="104">
        <f t="shared" si="167"/>
        <v>1.5706378954721778</v>
      </c>
      <c r="H445" s="113">
        <f t="shared" si="168"/>
        <v>759.79358870865929</v>
      </c>
      <c r="I445" s="114">
        <f t="shared" si="169"/>
        <v>1.5694801794838791</v>
      </c>
      <c r="J445" s="101">
        <f t="shared" si="170"/>
        <v>77.392777829941167</v>
      </c>
      <c r="K445" s="104">
        <f t="shared" si="171"/>
        <v>1.5578748649228045</v>
      </c>
      <c r="L445" s="102">
        <f t="shared" si="172"/>
        <v>3.5201318368844294</v>
      </c>
      <c r="M445" s="103">
        <f t="shared" si="173"/>
        <v>1.2827492865571706</v>
      </c>
      <c r="N445" s="101">
        <f t="shared" si="174"/>
        <v>1.1364937310058565</v>
      </c>
      <c r="O445" s="104">
        <f t="shared" si="175"/>
        <v>0.49514616751247909</v>
      </c>
      <c r="P445" s="105">
        <f t="shared" ca="1" si="176"/>
        <v>2.7860211567313407</v>
      </c>
      <c r="Q445" s="106">
        <f t="shared" ca="1" si="177"/>
        <v>1.2856495904769936</v>
      </c>
      <c r="R445" s="107">
        <f t="shared" ca="1" si="178"/>
        <v>-2.8803308202230564</v>
      </c>
      <c r="S445" s="108">
        <f t="shared" ca="1" si="179"/>
        <v>-118.52513643100453</v>
      </c>
      <c r="T445" s="116">
        <f t="shared" ca="1" si="180"/>
        <v>61.474863568995474</v>
      </c>
      <c r="V445" s="72">
        <f t="shared" ca="1" si="181"/>
        <v>46507.75</v>
      </c>
      <c r="W445" s="72">
        <f t="shared" si="182"/>
        <v>2162970810.0625</v>
      </c>
      <c r="Y445" s="110">
        <f t="shared" si="183"/>
        <v>17.738962064204284</v>
      </c>
      <c r="Z445" s="111">
        <f t="shared" si="184"/>
        <v>-44.199652407499137</v>
      </c>
      <c r="AA445" s="72">
        <f t="shared" si="185"/>
        <v>135.80034759250086</v>
      </c>
      <c r="AB445" s="110">
        <f t="shared" ca="1" si="186"/>
        <v>-4.7016925375458385</v>
      </c>
      <c r="AC445" s="111">
        <f t="shared" ca="1" si="187"/>
        <v>-74.325484023505439</v>
      </c>
      <c r="AD445" s="72">
        <f t="shared" ca="1" si="188"/>
        <v>105.67451597649456</v>
      </c>
    </row>
    <row r="446" spans="1:30">
      <c r="A446" s="118">
        <v>46774</v>
      </c>
      <c r="B446" s="101">
        <f t="shared" ca="1" si="162"/>
        <v>765.51323893243489</v>
      </c>
      <c r="C446" s="102">
        <f t="shared" ca="1" si="163"/>
        <v>1.569490013287107</v>
      </c>
      <c r="D446" s="102">
        <f t="shared" si="164"/>
        <v>78.034125514683879</v>
      </c>
      <c r="E446" s="103">
        <f t="shared" si="165"/>
        <v>1.5579810698066161</v>
      </c>
      <c r="F446" s="101">
        <f t="shared" si="166"/>
        <v>6348.0177979642649</v>
      </c>
      <c r="G446" s="104">
        <f t="shared" si="167"/>
        <v>1.5706387973052256</v>
      </c>
      <c r="H446" s="113">
        <f t="shared" si="168"/>
        <v>764.14328727646591</v>
      </c>
      <c r="I446" s="114">
        <f t="shared" si="169"/>
        <v>1.5694876713344867</v>
      </c>
      <c r="J446" s="101">
        <f t="shared" si="170"/>
        <v>77.835766291939365</v>
      </c>
      <c r="K446" s="104">
        <f t="shared" si="171"/>
        <v>1.5579484091900668</v>
      </c>
      <c r="L446" s="102">
        <f t="shared" si="172"/>
        <v>3.5386620112989013</v>
      </c>
      <c r="M446" s="103">
        <f t="shared" si="173"/>
        <v>1.2843004359593748</v>
      </c>
      <c r="N446" s="101">
        <f t="shared" si="174"/>
        <v>1.1379659476686355</v>
      </c>
      <c r="O446" s="104">
        <f t="shared" si="175"/>
        <v>0.49753659488843471</v>
      </c>
      <c r="P446" s="105">
        <f t="shared" ca="1" si="176"/>
        <v>2.8000179975330952</v>
      </c>
      <c r="Q446" s="106">
        <f t="shared" ca="1" si="177"/>
        <v>1.288038418705072</v>
      </c>
      <c r="R446" s="107">
        <f t="shared" ca="1" si="178"/>
        <v>-2.9390840200641621</v>
      </c>
      <c r="S446" s="108">
        <f t="shared" ca="1" si="179"/>
        <v>-118.71015490489415</v>
      </c>
      <c r="T446" s="116">
        <f t="shared" ca="1" si="180"/>
        <v>61.289845095105846</v>
      </c>
      <c r="V446" s="72">
        <f t="shared" ca="1" si="181"/>
        <v>46774</v>
      </c>
      <c r="W446" s="72">
        <f t="shared" si="182"/>
        <v>2187807076</v>
      </c>
      <c r="Y446" s="110">
        <f t="shared" si="183"/>
        <v>17.723745223830445</v>
      </c>
      <c r="Z446" s="111">
        <f t="shared" si="184"/>
        <v>-44.251575689221127</v>
      </c>
      <c r="AA446" s="72">
        <f t="shared" si="185"/>
        <v>135.74842431077889</v>
      </c>
      <c r="AB446" s="110">
        <f t="shared" ca="1" si="186"/>
        <v>-4.7452288970131029</v>
      </c>
      <c r="AC446" s="111">
        <f t="shared" ca="1" si="187"/>
        <v>-74.458579215673083</v>
      </c>
      <c r="AD446" s="72">
        <f t="shared" ca="1" si="188"/>
        <v>105.54142078432692</v>
      </c>
    </row>
    <row r="447" spans="1:30">
      <c r="A447" s="118">
        <v>47046.25</v>
      </c>
      <c r="B447" s="101">
        <f t="shared" ca="1" si="162"/>
        <v>769.96893279408096</v>
      </c>
      <c r="C447" s="102">
        <f t="shared" ca="1" si="163"/>
        <v>1.569497572730238</v>
      </c>
      <c r="D447" s="102">
        <f t="shared" si="164"/>
        <v>78.488251993203392</v>
      </c>
      <c r="E447" s="103">
        <f t="shared" si="165"/>
        <v>1.5580552218387271</v>
      </c>
      <c r="F447" s="101">
        <f t="shared" si="166"/>
        <v>6384.9666969836444</v>
      </c>
      <c r="G447" s="104">
        <f t="shared" si="167"/>
        <v>1.5706397089061048</v>
      </c>
      <c r="H447" s="113">
        <f t="shared" si="168"/>
        <v>768.59100726429131</v>
      </c>
      <c r="I447" s="114">
        <f t="shared" si="169"/>
        <v>1.5694952443301207</v>
      </c>
      <c r="J447" s="101">
        <f t="shared" si="170"/>
        <v>78.288738022868344</v>
      </c>
      <c r="K447" s="104">
        <f t="shared" si="171"/>
        <v>1.5580227501628543</v>
      </c>
      <c r="L447" s="102">
        <f t="shared" si="172"/>
        <v>3.5576184785639264</v>
      </c>
      <c r="M447" s="103">
        <f t="shared" si="173"/>
        <v>1.2858698280617855</v>
      </c>
      <c r="N447" s="101">
        <f t="shared" si="174"/>
        <v>1.1394780474054336</v>
      </c>
      <c r="O447" s="104">
        <f t="shared" si="175"/>
        <v>0.49997448948162043</v>
      </c>
      <c r="P447" s="105">
        <f t="shared" ca="1" si="176"/>
        <v>2.8143425600088481</v>
      </c>
      <c r="Q447" s="106">
        <f t="shared" ca="1" si="177"/>
        <v>1.2904615010760574</v>
      </c>
      <c r="R447" s="107">
        <f t="shared" ca="1" si="178"/>
        <v>-2.9989448583182483</v>
      </c>
      <c r="S447" s="108">
        <f t="shared" ca="1" si="179"/>
        <v>-118.89881110548295</v>
      </c>
      <c r="T447" s="116">
        <f t="shared" ca="1" si="180"/>
        <v>61.101188894517051</v>
      </c>
      <c r="V447" s="72">
        <f t="shared" ca="1" si="181"/>
        <v>47046.25</v>
      </c>
      <c r="W447" s="72">
        <f t="shared" si="182"/>
        <v>2213349639.0625</v>
      </c>
      <c r="Y447" s="110">
        <f t="shared" si="183"/>
        <v>17.708215241104007</v>
      </c>
      <c r="Z447" s="111">
        <f t="shared" si="184"/>
        <v>-44.305214970680936</v>
      </c>
      <c r="AA447" s="72">
        <f t="shared" si="185"/>
        <v>135.69478502931906</v>
      </c>
      <c r="AB447" s="110">
        <f t="shared" ca="1" si="186"/>
        <v>-4.7895597525407503</v>
      </c>
      <c r="AC447" s="111">
        <f t="shared" ca="1" si="187"/>
        <v>-74.593596134801956</v>
      </c>
      <c r="AD447" s="72">
        <f t="shared" ca="1" si="188"/>
        <v>105.40640386519804</v>
      </c>
    </row>
    <row r="448" spans="1:30">
      <c r="A448" s="118">
        <v>47318.5</v>
      </c>
      <c r="B448" s="101">
        <f t="shared" ca="1" si="162"/>
        <v>774.42462669922065</v>
      </c>
      <c r="C448" s="102">
        <f t="shared" ca="1" si="163"/>
        <v>1.5695050451860413</v>
      </c>
      <c r="D448" s="102">
        <f t="shared" si="164"/>
        <v>78.942378898327135</v>
      </c>
      <c r="E448" s="103">
        <f t="shared" si="165"/>
        <v>1.5581285207316862</v>
      </c>
      <c r="F448" s="101">
        <f t="shared" si="166"/>
        <v>6421.9155960082689</v>
      </c>
      <c r="G448" s="104">
        <f t="shared" si="167"/>
        <v>1.5706406100170769</v>
      </c>
      <c r="H448" s="113">
        <f t="shared" si="168"/>
        <v>773.03872729568832</v>
      </c>
      <c r="I448" s="114">
        <f t="shared" si="169"/>
        <v>1.5695027301824771</v>
      </c>
      <c r="J448" s="101">
        <f t="shared" si="170"/>
        <v>78.741710181488358</v>
      </c>
      <c r="K448" s="104">
        <f t="shared" si="171"/>
        <v>1.5580962358233807</v>
      </c>
      <c r="L448" s="102">
        <f t="shared" si="172"/>
        <v>3.5765836153166792</v>
      </c>
      <c r="M448" s="103">
        <f t="shared" si="173"/>
        <v>1.2874225802864965</v>
      </c>
      <c r="N448" s="101">
        <f t="shared" si="174"/>
        <v>1.1409969014630164</v>
      </c>
      <c r="O448" s="104">
        <f t="shared" si="175"/>
        <v>0.50240590801826424</v>
      </c>
      <c r="P448" s="105">
        <f t="shared" ca="1" si="176"/>
        <v>2.8286794117474474</v>
      </c>
      <c r="Q448" s="106">
        <f t="shared" ca="1" si="177"/>
        <v>1.2928650677201183</v>
      </c>
      <c r="R448" s="107">
        <f t="shared" ca="1" si="178"/>
        <v>-3.0585892151526197</v>
      </c>
      <c r="S448" s="108">
        <f t="shared" ca="1" si="179"/>
        <v>-119.08693076473801</v>
      </c>
      <c r="T448" s="116">
        <f t="shared" ca="1" si="180"/>
        <v>60.913069235261986</v>
      </c>
      <c r="V448" s="72">
        <f t="shared" ca="1" si="181"/>
        <v>47318.5</v>
      </c>
      <c r="W448" s="72">
        <f t="shared" si="182"/>
        <v>2239040442.25</v>
      </c>
      <c r="Y448" s="110">
        <f t="shared" si="183"/>
        <v>17.692714311805762</v>
      </c>
      <c r="Z448" s="111">
        <f t="shared" si="184"/>
        <v>-44.359391982329299</v>
      </c>
      <c r="AA448" s="72">
        <f t="shared" si="185"/>
        <v>135.6406080176707</v>
      </c>
      <c r="AB448" s="110">
        <f t="shared" ca="1" si="186"/>
        <v>-4.8337031800768777</v>
      </c>
      <c r="AC448" s="111">
        <f t="shared" ca="1" si="187"/>
        <v>-74.727538782408715</v>
      </c>
      <c r="AD448" s="72">
        <f t="shared" ca="1" si="188"/>
        <v>105.27246121759129</v>
      </c>
    </row>
    <row r="449" spans="1:30">
      <c r="A449" s="118">
        <v>47590.75</v>
      </c>
      <c r="B449" s="101">
        <f t="shared" ca="1" si="162"/>
        <v>778.88032064710774</v>
      </c>
      <c r="C449" s="102">
        <f t="shared" ca="1" si="163"/>
        <v>1.569512432147385</v>
      </c>
      <c r="D449" s="102">
        <f t="shared" si="164"/>
        <v>79.396506222734871</v>
      </c>
      <c r="E449" s="103">
        <f t="shared" si="165"/>
        <v>1.5582009811238997</v>
      </c>
      <c r="F449" s="101">
        <f t="shared" si="166"/>
        <v>6458.8644950380485</v>
      </c>
      <c r="G449" s="104">
        <f t="shared" si="167"/>
        <v>1.5706415008181691</v>
      </c>
      <c r="H449" s="113">
        <f t="shared" si="168"/>
        <v>777.48644736990934</v>
      </c>
      <c r="I449" s="114">
        <f t="shared" si="169"/>
        <v>1.5695101303871011</v>
      </c>
      <c r="J449" s="101">
        <f t="shared" si="170"/>
        <v>79.194682760460552</v>
      </c>
      <c r="K449" s="104">
        <f t="shared" si="171"/>
        <v>1.5581688808473235</v>
      </c>
      <c r="L449" s="102">
        <f t="shared" si="172"/>
        <v>3.5955572843728474</v>
      </c>
      <c r="M449" s="103">
        <f t="shared" si="173"/>
        <v>1.2889589485108812</v>
      </c>
      <c r="N449" s="101">
        <f t="shared" si="174"/>
        <v>1.1425224829040741</v>
      </c>
      <c r="O449" s="104">
        <f t="shared" si="175"/>
        <v>0.50483084763519792</v>
      </c>
      <c r="P449" s="105">
        <f t="shared" ca="1" si="176"/>
        <v>2.8430284070184566</v>
      </c>
      <c r="Q449" s="106">
        <f t="shared" ca="1" si="177"/>
        <v>1.2952493966763385</v>
      </c>
      <c r="R449" s="107">
        <f t="shared" ca="1" si="178"/>
        <v>-3.1180193732567578</v>
      </c>
      <c r="S449" s="108">
        <f t="shared" ca="1" si="179"/>
        <v>-119.27451500068149</v>
      </c>
      <c r="T449" s="116">
        <f t="shared" ca="1" si="180"/>
        <v>60.72548499931851</v>
      </c>
      <c r="V449" s="72">
        <f t="shared" ca="1" si="181"/>
        <v>47590.75</v>
      </c>
      <c r="W449" s="72">
        <f t="shared" si="182"/>
        <v>2264879485.5625</v>
      </c>
      <c r="Y449" s="110">
        <f t="shared" si="183"/>
        <v>17.677241413654698</v>
      </c>
      <c r="Z449" s="111">
        <f t="shared" si="184"/>
        <v>-44.414092664905944</v>
      </c>
      <c r="AA449" s="72">
        <f t="shared" si="185"/>
        <v>135.58590733509405</v>
      </c>
      <c r="AB449" s="110">
        <f t="shared" ca="1" si="186"/>
        <v>-4.8776604400299526</v>
      </c>
      <c r="AC449" s="111">
        <f t="shared" ca="1" si="187"/>
        <v>-74.860422335775539</v>
      </c>
      <c r="AD449" s="72">
        <f t="shared" ca="1" si="188"/>
        <v>105.13957766422446</v>
      </c>
    </row>
    <row r="450" spans="1:30">
      <c r="A450" s="118">
        <v>47863</v>
      </c>
      <c r="B450" s="101">
        <f t="shared" ca="1" si="162"/>
        <v>783.33601463701257</v>
      </c>
      <c r="C450" s="102">
        <f t="shared" ca="1" si="163"/>
        <v>1.569519735073172</v>
      </c>
      <c r="D450" s="102">
        <f t="shared" si="164"/>
        <v>79.850633959272955</v>
      </c>
      <c r="E450" s="103">
        <f t="shared" si="165"/>
        <v>1.5582726173208026</v>
      </c>
      <c r="F450" s="101">
        <f t="shared" si="166"/>
        <v>6495.8133940728949</v>
      </c>
      <c r="G450" s="104">
        <f t="shared" si="167"/>
        <v>1.5706423814853128</v>
      </c>
      <c r="H450" s="113">
        <f t="shared" si="168"/>
        <v>781.93416748622337</v>
      </c>
      <c r="I450" s="114">
        <f t="shared" si="169"/>
        <v>1.5695174464055104</v>
      </c>
      <c r="J450" s="101">
        <f t="shared" si="170"/>
        <v>79.647655752613076</v>
      </c>
      <c r="K450" s="104">
        <f t="shared" si="171"/>
        <v>1.5582406995765412</v>
      </c>
      <c r="L450" s="102">
        <f t="shared" si="172"/>
        <v>3.6145393513675095</v>
      </c>
      <c r="M450" s="103">
        <f t="shared" si="173"/>
        <v>1.2904791835502885</v>
      </c>
      <c r="N450" s="101">
        <f t="shared" si="174"/>
        <v>1.1440547648159842</v>
      </c>
      <c r="O450" s="104">
        <f t="shared" si="175"/>
        <v>0.50724930578927507</v>
      </c>
      <c r="P450" s="105">
        <f t="shared" ca="1" si="176"/>
        <v>2.8573894030933529</v>
      </c>
      <c r="Q450" s="106">
        <f t="shared" ca="1" si="177"/>
        <v>1.297614760995752</v>
      </c>
      <c r="R450" s="107">
        <f t="shared" ca="1" si="178"/>
        <v>-3.1772375748355235</v>
      </c>
      <c r="S450" s="108">
        <f t="shared" ca="1" si="179"/>
        <v>-119.46156495362992</v>
      </c>
      <c r="T450" s="116">
        <f t="shared" ca="1" si="180"/>
        <v>60.538435046370083</v>
      </c>
      <c r="V450" s="72">
        <f t="shared" ca="1" si="181"/>
        <v>47863</v>
      </c>
      <c r="W450" s="72">
        <f t="shared" si="182"/>
        <v>2290866769</v>
      </c>
      <c r="Y450" s="110">
        <f t="shared" si="183"/>
        <v>17.661795559538863</v>
      </c>
      <c r="Z450" s="111">
        <f t="shared" si="184"/>
        <v>-44.4693032501077</v>
      </c>
      <c r="AA450" s="72">
        <f t="shared" si="185"/>
        <v>135.53069674989229</v>
      </c>
      <c r="AB450" s="110">
        <f t="shared" ca="1" si="186"/>
        <v>-4.9214327874928818</v>
      </c>
      <c r="AC450" s="111">
        <f t="shared" ca="1" si="187"/>
        <v>-74.992261703522189</v>
      </c>
      <c r="AD450" s="72">
        <f t="shared" ca="1" si="188"/>
        <v>105.00773829647781</v>
      </c>
    </row>
    <row r="451" spans="1:30">
      <c r="A451" s="118">
        <v>48141.75</v>
      </c>
      <c r="B451" s="101">
        <f t="shared" ca="1" si="162"/>
        <v>787.89808887515971</v>
      </c>
      <c r="C451" s="102">
        <f t="shared" ca="1" si="163"/>
        <v>1.569527126777029</v>
      </c>
      <c r="D451" s="102">
        <f t="shared" si="164"/>
        <v>80.315604467353978</v>
      </c>
      <c r="E451" s="103">
        <f t="shared" si="165"/>
        <v>1.5583451244931865</v>
      </c>
      <c r="F451" s="101">
        <f t="shared" si="166"/>
        <v>6533.6444523185091</v>
      </c>
      <c r="G451" s="104">
        <f t="shared" si="167"/>
        <v>1.5706432728582764</v>
      </c>
      <c r="H451" s="113">
        <f t="shared" si="168"/>
        <v>786.48807747370927</v>
      </c>
      <c r="I451" s="114">
        <f t="shared" si="169"/>
        <v>1.5695248513611511</v>
      </c>
      <c r="J451" s="101">
        <f t="shared" si="170"/>
        <v>80.111443947723018</v>
      </c>
      <c r="K451" s="104">
        <f t="shared" si="171"/>
        <v>1.5583133915011955</v>
      </c>
      <c r="L451" s="102">
        <f t="shared" si="172"/>
        <v>3.633983181039611</v>
      </c>
      <c r="M451" s="103">
        <f t="shared" si="173"/>
        <v>1.2920192555665</v>
      </c>
      <c r="N451" s="101">
        <f t="shared" si="174"/>
        <v>1.1456305443981567</v>
      </c>
      <c r="O451" s="104">
        <f t="shared" si="175"/>
        <v>0.50971878715767849</v>
      </c>
      <c r="P451" s="105">
        <f t="shared" ca="1" si="176"/>
        <v>2.8721055576263894</v>
      </c>
      <c r="Q451" s="106">
        <f t="shared" ca="1" si="177"/>
        <v>1.3000172294717596</v>
      </c>
      <c r="R451" s="107">
        <f t="shared" ca="1" si="178"/>
        <v>-3.2376523101914638</v>
      </c>
      <c r="S451" s="108">
        <f t="shared" ca="1" si="179"/>
        <v>-119.65252838942006</v>
      </c>
      <c r="T451" s="116">
        <f t="shared" ca="1" si="180"/>
        <v>60.347471610579944</v>
      </c>
      <c r="V451" s="72">
        <f t="shared" ca="1" si="181"/>
        <v>48141.75</v>
      </c>
      <c r="W451" s="72">
        <f t="shared" si="182"/>
        <v>2317628093.0625</v>
      </c>
      <c r="Y451" s="110">
        <f t="shared" si="183"/>
        <v>17.64600795899937</v>
      </c>
      <c r="Z451" s="111">
        <f t="shared" si="184"/>
        <v>-44.526346223183921</v>
      </c>
      <c r="AA451" s="72">
        <f t="shared" si="185"/>
        <v>135.47365377681609</v>
      </c>
      <c r="AB451" s="110">
        <f t="shared" ca="1" si="186"/>
        <v>-4.9660599223093254</v>
      </c>
      <c r="AC451" s="111">
        <f t="shared" ca="1" si="187"/>
        <v>-75.126182166236077</v>
      </c>
      <c r="AD451" s="72">
        <f t="shared" ca="1" si="188"/>
        <v>104.87381783376392</v>
      </c>
    </row>
    <row r="452" spans="1:30">
      <c r="A452" s="118">
        <v>48420.5</v>
      </c>
      <c r="B452" s="101">
        <f t="shared" ca="1" si="162"/>
        <v>792.46016315585985</v>
      </c>
      <c r="C452" s="102">
        <f t="shared" ca="1" si="163"/>
        <v>1.5695344333750261</v>
      </c>
      <c r="D452" s="102">
        <f t="shared" si="164"/>
        <v>80.780575392816587</v>
      </c>
      <c r="E452" s="103">
        <f t="shared" si="165"/>
        <v>1.5584167969670852</v>
      </c>
      <c r="F452" s="101">
        <f t="shared" si="166"/>
        <v>6571.4755105692529</v>
      </c>
      <c r="G452" s="104">
        <f t="shared" si="167"/>
        <v>1.570644153968223</v>
      </c>
      <c r="H452" s="113">
        <f t="shared" si="168"/>
        <v>791.04198750382443</v>
      </c>
      <c r="I452" s="114">
        <f t="shared" si="169"/>
        <v>1.569532171058355</v>
      </c>
      <c r="J452" s="101">
        <f t="shared" si="170"/>
        <v>80.575232561277915</v>
      </c>
      <c r="K452" s="104">
        <f t="shared" si="171"/>
        <v>1.5583852466011647</v>
      </c>
      <c r="L452" s="102">
        <f t="shared" si="172"/>
        <v>3.6534355381169408</v>
      </c>
      <c r="M452" s="103">
        <f t="shared" si="173"/>
        <v>1.293542931241588</v>
      </c>
      <c r="N452" s="101">
        <f t="shared" si="174"/>
        <v>1.1472132912053019</v>
      </c>
      <c r="O452" s="104">
        <f t="shared" si="175"/>
        <v>0.51218146949584054</v>
      </c>
      <c r="P452" s="105">
        <f t="shared" ca="1" si="176"/>
        <v>2.8868339993690206</v>
      </c>
      <c r="Q452" s="106">
        <f t="shared" ca="1" si="177"/>
        <v>1.302400380682204</v>
      </c>
      <c r="R452" s="107">
        <f t="shared" ca="1" si="178"/>
        <v>-3.2978494783950554</v>
      </c>
      <c r="S452" s="108">
        <f t="shared" ca="1" si="179"/>
        <v>-119.84293421172133</v>
      </c>
      <c r="T452" s="116">
        <f t="shared" ca="1" si="180"/>
        <v>60.157065788278672</v>
      </c>
      <c r="V452" s="72">
        <f t="shared" ca="1" si="181"/>
        <v>48420.5</v>
      </c>
      <c r="W452" s="72">
        <f t="shared" si="182"/>
        <v>2344544820.25</v>
      </c>
      <c r="Y452" s="110">
        <f t="shared" si="183"/>
        <v>17.630246723007204</v>
      </c>
      <c r="Z452" s="111">
        <f t="shared" si="184"/>
        <v>-44.583895432067322</v>
      </c>
      <c r="AA452" s="72">
        <f t="shared" si="185"/>
        <v>135.41610456793268</v>
      </c>
      <c r="AB452" s="110">
        <f t="shared" ca="1" si="186"/>
        <v>-5.0104958545207543</v>
      </c>
      <c r="AC452" s="111">
        <f t="shared" ca="1" si="187"/>
        <v>-75.25903877965402</v>
      </c>
      <c r="AD452" s="72">
        <f t="shared" ca="1" si="188"/>
        <v>104.74096122034598</v>
      </c>
    </row>
    <row r="453" spans="1:30">
      <c r="A453" s="118">
        <v>48699.25</v>
      </c>
      <c r="B453" s="101">
        <f t="shared" ca="1" si="162"/>
        <v>797.02223747838229</v>
      </c>
      <c r="C453" s="102">
        <f t="shared" ca="1" si="163"/>
        <v>1.5695416563285742</v>
      </c>
      <c r="D453" s="102">
        <f t="shared" si="164"/>
        <v>81.24554672849473</v>
      </c>
      <c r="E453" s="103">
        <f t="shared" si="165"/>
        <v>1.5584876490727884</v>
      </c>
      <c r="F453" s="101">
        <f t="shared" si="166"/>
        <v>6609.3065688250417</v>
      </c>
      <c r="G453" s="104">
        <f t="shared" si="167"/>
        <v>1.5706450249913864</v>
      </c>
      <c r="H453" s="113">
        <f t="shared" si="168"/>
        <v>795.59589757583683</v>
      </c>
      <c r="I453" s="114">
        <f t="shared" si="169"/>
        <v>1.5695394069611532</v>
      </c>
      <c r="J453" s="101">
        <f t="shared" si="170"/>
        <v>81.039021586093426</v>
      </c>
      <c r="K453" s="104">
        <f t="shared" si="171"/>
        <v>1.5584562792432273</v>
      </c>
      <c r="L453" s="102">
        <f t="shared" si="172"/>
        <v>3.672896287111223</v>
      </c>
      <c r="M453" s="103">
        <f t="shared" si="173"/>
        <v>1.2950504640708984</v>
      </c>
      <c r="N453" s="101">
        <f t="shared" si="174"/>
        <v>1.1488029764404384</v>
      </c>
      <c r="O453" s="104">
        <f t="shared" si="175"/>
        <v>0.51463735109597475</v>
      </c>
      <c r="P453" s="105">
        <f t="shared" ca="1" si="176"/>
        <v>2.9015745844593468</v>
      </c>
      <c r="Q453" s="106">
        <f t="shared" ca="1" si="177"/>
        <v>1.304764492125126</v>
      </c>
      <c r="R453" s="107">
        <f t="shared" ca="1" si="178"/>
        <v>-3.357831360203793</v>
      </c>
      <c r="S453" s="108">
        <f t="shared" ca="1" si="179"/>
        <v>-120.0327837099761</v>
      </c>
      <c r="T453" s="116">
        <f t="shared" ca="1" si="180"/>
        <v>59.967216290023899</v>
      </c>
      <c r="V453" s="72">
        <f t="shared" ca="1" si="181"/>
        <v>48699.25</v>
      </c>
      <c r="W453" s="72">
        <f t="shared" si="182"/>
        <v>2371616950.5625</v>
      </c>
      <c r="Y453" s="110">
        <f t="shared" si="183"/>
        <v>17.614510899278201</v>
      </c>
      <c r="Z453" s="111">
        <f t="shared" si="184"/>
        <v>-44.641937004065987</v>
      </c>
      <c r="AA453" s="72">
        <f t="shared" si="185"/>
        <v>135.35806299593401</v>
      </c>
      <c r="AB453" s="110">
        <f t="shared" ca="1" si="186"/>
        <v>-5.054741912600492</v>
      </c>
      <c r="AC453" s="111">
        <f t="shared" ca="1" si="187"/>
        <v>-75.390846705910178</v>
      </c>
      <c r="AD453" s="72">
        <f t="shared" ca="1" si="188"/>
        <v>104.60915329408982</v>
      </c>
    </row>
    <row r="454" spans="1:30">
      <c r="A454" s="118">
        <v>48978</v>
      </c>
      <c r="B454" s="101">
        <f t="shared" ca="1" si="162"/>
        <v>801.58431184201288</v>
      </c>
      <c r="C454" s="102">
        <f t="shared" ca="1" si="163"/>
        <v>1.5695487970658148</v>
      </c>
      <c r="D454" s="102">
        <f t="shared" si="164"/>
        <v>81.710518467385455</v>
      </c>
      <c r="E454" s="103">
        <f t="shared" si="165"/>
        <v>1.5585576948144351</v>
      </c>
      <c r="F454" s="101">
        <f t="shared" si="166"/>
        <v>6647.1376270857882</v>
      </c>
      <c r="G454" s="104">
        <f t="shared" si="167"/>
        <v>1.5706458860999879</v>
      </c>
      <c r="H454" s="113">
        <f t="shared" si="168"/>
        <v>800.14980768903115</v>
      </c>
      <c r="I454" s="114">
        <f t="shared" si="169"/>
        <v>1.5695465605002479</v>
      </c>
      <c r="J454" s="101">
        <f t="shared" si="170"/>
        <v>81.502811015148765</v>
      </c>
      <c r="K454" s="104">
        <f t="shared" si="171"/>
        <v>1.5585265034671802</v>
      </c>
      <c r="L454" s="102">
        <f t="shared" si="172"/>
        <v>3.6923652953327259</v>
      </c>
      <c r="M454" s="103">
        <f t="shared" si="173"/>
        <v>1.2965421025002497</v>
      </c>
      <c r="N454" s="101">
        <f t="shared" si="174"/>
        <v>1.1503995713398649</v>
      </c>
      <c r="O454" s="104">
        <f t="shared" si="175"/>
        <v>0.51708643058785264</v>
      </c>
      <c r="P454" s="105">
        <f t="shared" ca="1" si="176"/>
        <v>2.9163271720396002</v>
      </c>
      <c r="Q454" s="106">
        <f t="shared" ca="1" si="177"/>
        <v>1.3071098362627325</v>
      </c>
      <c r="R454" s="107">
        <f t="shared" ca="1" si="178"/>
        <v>-3.4176001958470974</v>
      </c>
      <c r="S454" s="108">
        <f t="shared" ca="1" si="179"/>
        <v>-120.22207819347753</v>
      </c>
      <c r="T454" s="116">
        <f t="shared" ca="1" si="180"/>
        <v>59.777921806522471</v>
      </c>
      <c r="V454" s="72">
        <f t="shared" ca="1" si="181"/>
        <v>48978</v>
      </c>
      <c r="W454" s="72">
        <f t="shared" si="182"/>
        <v>2398844484</v>
      </c>
      <c r="Y454" s="110">
        <f t="shared" si="183"/>
        <v>17.598799569344987</v>
      </c>
      <c r="Z454" s="111">
        <f t="shared" si="184"/>
        <v>-44.700457358090063</v>
      </c>
      <c r="AA454" s="72">
        <f t="shared" si="185"/>
        <v>135.29954264190994</v>
      </c>
      <c r="AB454" s="110">
        <f t="shared" ca="1" si="186"/>
        <v>-5.0987994183105787</v>
      </c>
      <c r="AC454" s="111">
        <f t="shared" ca="1" si="187"/>
        <v>-75.52162083538748</v>
      </c>
      <c r="AD454" s="72">
        <f t="shared" ca="1" si="188"/>
        <v>104.47837916461252</v>
      </c>
    </row>
    <row r="455" spans="1:30">
      <c r="A455" s="118">
        <v>49263.25</v>
      </c>
      <c r="B455" s="101">
        <f t="shared" ca="1" si="162"/>
        <v>806.25276645684892</v>
      </c>
      <c r="C455" s="102">
        <f t="shared" ca="1" si="163"/>
        <v>1.5695560206551882</v>
      </c>
      <c r="D455" s="102">
        <f t="shared" si="164"/>
        <v>82.186333006885803</v>
      </c>
      <c r="E455" s="103">
        <f t="shared" si="165"/>
        <v>1.5586285533996858</v>
      </c>
      <c r="F455" s="101">
        <f t="shared" si="166"/>
        <v>6685.8508445576581</v>
      </c>
      <c r="G455" s="104">
        <f t="shared" si="167"/>
        <v>1.5706467571997953</v>
      </c>
      <c r="H455" s="113">
        <f t="shared" si="168"/>
        <v>804.80990767636558</v>
      </c>
      <c r="I455" s="114">
        <f t="shared" si="169"/>
        <v>1.5695537970400124</v>
      </c>
      <c r="J455" s="101">
        <f t="shared" si="170"/>
        <v>81.977415676302357</v>
      </c>
      <c r="K455" s="104">
        <f t="shared" si="171"/>
        <v>1.5585975426065548</v>
      </c>
      <c r="L455" s="102">
        <f t="shared" si="172"/>
        <v>3.7122967041844586</v>
      </c>
      <c r="M455" s="103">
        <f t="shared" si="173"/>
        <v>1.2980523228922816</v>
      </c>
      <c r="N455" s="101">
        <f t="shared" si="174"/>
        <v>1.1520405195084977</v>
      </c>
      <c r="O455" s="104">
        <f t="shared" si="175"/>
        <v>0.51958557570185404</v>
      </c>
      <c r="P455" s="105">
        <f t="shared" ca="1" si="176"/>
        <v>2.9314360478400938</v>
      </c>
      <c r="Q455" s="106">
        <f t="shared" ca="1" si="177"/>
        <v>1.309490720283367</v>
      </c>
      <c r="R455" s="107">
        <f t="shared" ca="1" si="178"/>
        <v>-3.4785444839996549</v>
      </c>
      <c r="S455" s="108">
        <f t="shared" ca="1" si="179"/>
        <v>-120.41521352574476</v>
      </c>
      <c r="T455" s="116">
        <f t="shared" ca="1" si="180"/>
        <v>59.584786474255239</v>
      </c>
      <c r="V455" s="72">
        <f t="shared" ca="1" si="181"/>
        <v>49263.25</v>
      </c>
      <c r="W455" s="72">
        <f t="shared" si="182"/>
        <v>2426867800.5625</v>
      </c>
      <c r="Y455" s="110">
        <f t="shared" si="183"/>
        <v>17.582746309826163</v>
      </c>
      <c r="Z455" s="111">
        <f t="shared" si="184"/>
        <v>-44.760824101006179</v>
      </c>
      <c r="AA455" s="72">
        <f t="shared" si="185"/>
        <v>135.23917589899384</v>
      </c>
      <c r="AB455" s="110">
        <f t="shared" ca="1" si="186"/>
        <v>-5.1436904469443148</v>
      </c>
      <c r="AC455" s="111">
        <f t="shared" ca="1" si="187"/>
        <v>-75.654389424738582</v>
      </c>
      <c r="AD455" s="72">
        <f t="shared" ca="1" si="188"/>
        <v>104.34561057526142</v>
      </c>
    </row>
    <row r="456" spans="1:30">
      <c r="A456" s="118">
        <v>49548.5</v>
      </c>
      <c r="B456" s="101">
        <f t="shared" ca="1" si="162"/>
        <v>810.9212211132708</v>
      </c>
      <c r="C456" s="102">
        <f t="shared" ca="1" si="163"/>
        <v>1.5695631610724892</v>
      </c>
      <c r="D456" s="102">
        <f t="shared" si="164"/>
        <v>82.662147954288173</v>
      </c>
      <c r="E456" s="103">
        <f t="shared" si="165"/>
        <v>1.5586985962413233</v>
      </c>
      <c r="F456" s="101">
        <f t="shared" si="166"/>
        <v>6724.5640620345439</v>
      </c>
      <c r="G456" s="104">
        <f t="shared" si="167"/>
        <v>1.5706476182697846</v>
      </c>
      <c r="H456" s="113">
        <f t="shared" si="168"/>
        <v>809.47000770536056</v>
      </c>
      <c r="I456" s="114">
        <f t="shared" si="169"/>
        <v>1.5695609502585948</v>
      </c>
      <c r="J456" s="101">
        <f t="shared" si="170"/>
        <v>82.452020746397153</v>
      </c>
      <c r="K456" s="104">
        <f t="shared" si="171"/>
        <v>1.5586677639243416</v>
      </c>
      <c r="L456" s="102">
        <f t="shared" si="172"/>
        <v>3.7322364894717275</v>
      </c>
      <c r="M456" s="103">
        <f t="shared" si="173"/>
        <v>1.2995464097044449</v>
      </c>
      <c r="N456" s="101">
        <f t="shared" si="174"/>
        <v>1.1536886425121868</v>
      </c>
      <c r="O456" s="104">
        <f t="shared" si="175"/>
        <v>0.522077595944476</v>
      </c>
      <c r="P456" s="105">
        <f t="shared" ca="1" si="176"/>
        <v>2.9465572033035201</v>
      </c>
      <c r="Q456" s="106">
        <f t="shared" ca="1" si="177"/>
        <v>1.3118525131407164</v>
      </c>
      <c r="R456" s="107">
        <f t="shared" ca="1" si="178"/>
        <v>-3.5392702949219084</v>
      </c>
      <c r="S456" s="108">
        <f t="shared" ca="1" si="179"/>
        <v>-120.60777049072232</v>
      </c>
      <c r="T456" s="116">
        <f t="shared" ca="1" si="180"/>
        <v>59.392229509277684</v>
      </c>
      <c r="V456" s="72">
        <f t="shared" ca="1" si="181"/>
        <v>49548.5</v>
      </c>
      <c r="W456" s="72">
        <f t="shared" si="182"/>
        <v>2455053852.25</v>
      </c>
      <c r="Y456" s="110">
        <f t="shared" si="183"/>
        <v>17.566716857387703</v>
      </c>
      <c r="Z456" s="111">
        <f t="shared" si="184"/>
        <v>-44.821664346458554</v>
      </c>
      <c r="AA456" s="72">
        <f t="shared" si="185"/>
        <v>135.17833565354144</v>
      </c>
      <c r="AB456" s="110">
        <f t="shared" ca="1" si="186"/>
        <v>-5.1883868054281113</v>
      </c>
      <c r="AC456" s="111">
        <f t="shared" ca="1" si="187"/>
        <v>-75.786106144263741</v>
      </c>
      <c r="AD456" s="72">
        <f t="shared" ca="1" si="188"/>
        <v>104.21389385573626</v>
      </c>
    </row>
    <row r="457" spans="1:30">
      <c r="A457" s="118">
        <v>49833.75</v>
      </c>
      <c r="B457" s="101">
        <f t="shared" ca="1" si="162"/>
        <v>815.58967581056481</v>
      </c>
      <c r="C457" s="102">
        <f t="shared" ca="1" si="163"/>
        <v>1.5695702197459536</v>
      </c>
      <c r="D457" s="102">
        <f t="shared" si="164"/>
        <v>83.137963302589029</v>
      </c>
      <c r="E457" s="103">
        <f t="shared" si="165"/>
        <v>1.5587678373446507</v>
      </c>
      <c r="F457" s="101">
        <f t="shared" si="166"/>
        <v>6763.2772795163573</v>
      </c>
      <c r="G457" s="104">
        <f t="shared" si="167"/>
        <v>1.5706484694821894</v>
      </c>
      <c r="H457" s="113">
        <f t="shared" si="168"/>
        <v>814.13010777530076</v>
      </c>
      <c r="I457" s="114">
        <f t="shared" si="169"/>
        <v>1.5695680215867913</v>
      </c>
      <c r="J457" s="101">
        <f t="shared" si="170"/>
        <v>82.926626218411826</v>
      </c>
      <c r="K457" s="104">
        <f t="shared" si="171"/>
        <v>1.5587371814615061</v>
      </c>
      <c r="L457" s="102">
        <f t="shared" si="172"/>
        <v>3.7521845176528674</v>
      </c>
      <c r="M457" s="103">
        <f t="shared" si="173"/>
        <v>1.3010246135291303</v>
      </c>
      <c r="N457" s="101">
        <f t="shared" si="174"/>
        <v>1.1553439096457623</v>
      </c>
      <c r="O457" s="104">
        <f t="shared" si="175"/>
        <v>0.52456249092163321</v>
      </c>
      <c r="P457" s="105">
        <f t="shared" ca="1" si="176"/>
        <v>2.9616904968073006</v>
      </c>
      <c r="Q457" s="106">
        <f t="shared" ca="1" si="177"/>
        <v>1.3141954911151454</v>
      </c>
      <c r="R457" s="107">
        <f t="shared" ca="1" si="178"/>
        <v>-3.5997799034350071</v>
      </c>
      <c r="S457" s="108">
        <f t="shared" ca="1" si="179"/>
        <v>-120.79975054940809</v>
      </c>
      <c r="T457" s="116">
        <f t="shared" ca="1" si="180"/>
        <v>59.200249450591912</v>
      </c>
      <c r="V457" s="72">
        <f t="shared" ca="1" si="181"/>
        <v>49833.75</v>
      </c>
      <c r="W457" s="72">
        <f t="shared" si="182"/>
        <v>2483402639.0625</v>
      </c>
      <c r="Y457" s="110">
        <f t="shared" si="183"/>
        <v>17.550710330624657</v>
      </c>
      <c r="Z457" s="111">
        <f t="shared" si="184"/>
        <v>-44.882964446359139</v>
      </c>
      <c r="AA457" s="72">
        <f t="shared" si="185"/>
        <v>135.11703555364085</v>
      </c>
      <c r="AB457" s="110">
        <f t="shared" ca="1" si="186"/>
        <v>-5.2328898871781613</v>
      </c>
      <c r="AC457" s="111">
        <f t="shared" ca="1" si="187"/>
        <v>-75.916786103048935</v>
      </c>
      <c r="AD457" s="72">
        <f t="shared" ca="1" si="188"/>
        <v>104.08321389695107</v>
      </c>
    </row>
    <row r="458" spans="1:30">
      <c r="A458" s="118">
        <v>50119</v>
      </c>
      <c r="B458" s="101">
        <f t="shared" ca="1" si="162"/>
        <v>820.2581305480328</v>
      </c>
      <c r="C458" s="102">
        <f t="shared" ca="1" si="163"/>
        <v>1.5695771980713027</v>
      </c>
      <c r="D458" s="102">
        <f t="shared" si="164"/>
        <v>83.61377904494428</v>
      </c>
      <c r="E458" s="103">
        <f t="shared" si="165"/>
        <v>1.5588362903962056</v>
      </c>
      <c r="F458" s="101">
        <f t="shared" si="166"/>
        <v>6801.9904970030148</v>
      </c>
      <c r="G458" s="104">
        <f t="shared" si="167"/>
        <v>1.570649311005321</v>
      </c>
      <c r="H458" s="113">
        <f t="shared" si="168"/>
        <v>818.79020788548712</v>
      </c>
      <c r="I458" s="114">
        <f t="shared" si="169"/>
        <v>1.5695750124228256</v>
      </c>
      <c r="J458" s="101">
        <f t="shared" si="170"/>
        <v>83.40123208548485</v>
      </c>
      <c r="K458" s="104">
        <f t="shared" si="171"/>
        <v>1.558805808939437</v>
      </c>
      <c r="L458" s="102">
        <f t="shared" si="172"/>
        <v>3.7721406579563959</v>
      </c>
      <c r="M458" s="103">
        <f t="shared" si="173"/>
        <v>1.3024871799367339</v>
      </c>
      <c r="N458" s="101">
        <f t="shared" si="174"/>
        <v>1.1570062902470486</v>
      </c>
      <c r="O458" s="104">
        <f t="shared" si="175"/>
        <v>0.52704026059345976</v>
      </c>
      <c r="P458" s="105">
        <f t="shared" ca="1" si="176"/>
        <v>2.9768357897259623</v>
      </c>
      <c r="Q458" s="106">
        <f t="shared" ca="1" si="177"/>
        <v>1.3165199254206814</v>
      </c>
      <c r="R458" s="107">
        <f t="shared" ca="1" si="178"/>
        <v>-3.660075543876709</v>
      </c>
      <c r="S458" s="108">
        <f t="shared" ca="1" si="179"/>
        <v>-120.99115518028682</v>
      </c>
      <c r="T458" s="116">
        <f t="shared" ca="1" si="180"/>
        <v>59.008844819713175</v>
      </c>
      <c r="V458" s="72">
        <f t="shared" ca="1" si="181"/>
        <v>50119</v>
      </c>
      <c r="W458" s="72">
        <f t="shared" si="182"/>
        <v>2511914161</v>
      </c>
      <c r="Y458" s="110">
        <f t="shared" si="183"/>
        <v>17.534725880521119</v>
      </c>
      <c r="Z458" s="111">
        <f t="shared" si="184"/>
        <v>-44.944711043985443</v>
      </c>
      <c r="AA458" s="72">
        <f t="shared" si="185"/>
        <v>135.05528895601455</v>
      </c>
      <c r="AB458" s="110">
        <f t="shared" ca="1" si="186"/>
        <v>-5.2772010775163212</v>
      </c>
      <c r="AC458" s="111">
        <f t="shared" ca="1" si="187"/>
        <v>-76.046444136301403</v>
      </c>
      <c r="AD458" s="72">
        <f t="shared" ca="1" si="188"/>
        <v>103.9535558636986</v>
      </c>
    </row>
    <row r="459" spans="1:30">
      <c r="A459" s="118">
        <v>50410.75</v>
      </c>
      <c r="B459" s="101">
        <f t="shared" ca="1" si="162"/>
        <v>825.03296553947155</v>
      </c>
      <c r="C459" s="102">
        <f t="shared" ca="1" si="163"/>
        <v>1.5695842537182776</v>
      </c>
      <c r="D459" s="102">
        <f t="shared" si="164"/>
        <v>84.100437615036597</v>
      </c>
      <c r="E459" s="103">
        <f t="shared" si="165"/>
        <v>1.5589055020378146</v>
      </c>
      <c r="F459" s="101">
        <f t="shared" si="166"/>
        <v>6841.5858737011313</v>
      </c>
      <c r="G459" s="104">
        <f t="shared" si="167"/>
        <v>1.5706501618527295</v>
      </c>
      <c r="H459" s="113">
        <f t="shared" si="168"/>
        <v>823.5564978725838</v>
      </c>
      <c r="I459" s="114">
        <f t="shared" si="169"/>
        <v>1.5695820807191077</v>
      </c>
      <c r="J459" s="101">
        <f t="shared" si="170"/>
        <v>83.886653211852646</v>
      </c>
      <c r="K459" s="104">
        <f t="shared" si="171"/>
        <v>1.5588751969409811</v>
      </c>
      <c r="L459" s="102">
        <f t="shared" si="172"/>
        <v>3.79255979743871</v>
      </c>
      <c r="M459" s="103">
        <f t="shared" si="173"/>
        <v>1.3039671487359898</v>
      </c>
      <c r="N459" s="101">
        <f t="shared" si="174"/>
        <v>1.1587138781075326</v>
      </c>
      <c r="O459" s="104">
        <f t="shared" si="175"/>
        <v>0.52956712089792224</v>
      </c>
      <c r="P459" s="105">
        <f t="shared" ca="1" si="176"/>
        <v>2.9923384701279128</v>
      </c>
      <c r="Q459" s="106">
        <f t="shared" ca="1" si="177"/>
        <v>1.3188784218513545</v>
      </c>
      <c r="R459" s="107">
        <f t="shared" ca="1" si="178"/>
        <v>-3.721526093042042</v>
      </c>
      <c r="S459" s="108">
        <f t="shared" ca="1" si="179"/>
        <v>-121.18632766673409</v>
      </c>
      <c r="T459" s="116">
        <f t="shared" ca="1" si="180"/>
        <v>58.813672333265913</v>
      </c>
      <c r="V459" s="72">
        <f t="shared" ca="1" si="181"/>
        <v>50410.75</v>
      </c>
      <c r="W459" s="72">
        <f t="shared" si="182"/>
        <v>2541243715.5625</v>
      </c>
      <c r="Y459" s="110">
        <f t="shared" si="183"/>
        <v>17.518399177157605</v>
      </c>
      <c r="Z459" s="111">
        <f t="shared" si="184"/>
        <v>-45.008312914972066</v>
      </c>
      <c r="AA459" s="72">
        <f t="shared" si="185"/>
        <v>134.99168708502793</v>
      </c>
      <c r="AB459" s="110">
        <f t="shared" ca="1" si="186"/>
        <v>-5.322324923318142</v>
      </c>
      <c r="AC459" s="111">
        <f t="shared" ca="1" si="187"/>
        <v>-76.178014751762007</v>
      </c>
      <c r="AD459" s="72">
        <f t="shared" ca="1" si="188"/>
        <v>103.82198524823799</v>
      </c>
    </row>
    <row r="460" spans="1:30">
      <c r="A460" s="118">
        <v>50702.5</v>
      </c>
      <c r="B460" s="101">
        <f t="shared" ca="1" si="162"/>
        <v>829.80780057150935</v>
      </c>
      <c r="C460" s="102">
        <f t="shared" ca="1" si="163"/>
        <v>1.5695912281668105</v>
      </c>
      <c r="D460" s="102">
        <f t="shared" si="164"/>
        <v>84.587096583355503</v>
      </c>
      <c r="E460" s="103">
        <f t="shared" si="165"/>
        <v>1.5589739172824855</v>
      </c>
      <c r="F460" s="101">
        <f t="shared" si="166"/>
        <v>6881.1812504041436</v>
      </c>
      <c r="G460" s="104">
        <f t="shared" si="167"/>
        <v>1.5706510029083238</v>
      </c>
      <c r="H460" s="113">
        <f t="shared" si="168"/>
        <v>828.32278790035252</v>
      </c>
      <c r="I460" s="114">
        <f t="shared" si="169"/>
        <v>1.5695890676713764</v>
      </c>
      <c r="J460" s="101">
        <f t="shared" si="170"/>
        <v>84.372074737461645</v>
      </c>
      <c r="K460" s="104">
        <f t="shared" si="171"/>
        <v>1.5589437865168405</v>
      </c>
      <c r="L460" s="102">
        <f t="shared" si="172"/>
        <v>3.8129871548140097</v>
      </c>
      <c r="M460" s="103">
        <f t="shared" si="173"/>
        <v>1.3054312634077909</v>
      </c>
      <c r="N460" s="101">
        <f t="shared" si="174"/>
        <v>1.1604288425815183</v>
      </c>
      <c r="O460" s="104">
        <f t="shared" si="175"/>
        <v>0.53208652850072657</v>
      </c>
      <c r="P460" s="105">
        <f t="shared" ca="1" si="176"/>
        <v>3.0078534190000163</v>
      </c>
      <c r="Q460" s="106">
        <f t="shared" ca="1" si="177"/>
        <v>1.3212180780105964</v>
      </c>
      <c r="R460" s="107">
        <f t="shared" ca="1" si="178"/>
        <v>-3.7827574138926017</v>
      </c>
      <c r="S460" s="108">
        <f t="shared" ca="1" si="179"/>
        <v>-121.38090138245515</v>
      </c>
      <c r="T460" s="116">
        <f t="shared" ca="1" si="180"/>
        <v>58.61909861754485</v>
      </c>
      <c r="V460" s="72">
        <f t="shared" ca="1" si="181"/>
        <v>50702.5</v>
      </c>
      <c r="W460" s="72">
        <f t="shared" si="182"/>
        <v>2570743506.25</v>
      </c>
      <c r="Y460" s="110">
        <f t="shared" si="183"/>
        <v>17.502093870599928</v>
      </c>
      <c r="Z460" s="111">
        <f t="shared" si="184"/>
        <v>-45.072354505416286</v>
      </c>
      <c r="AA460" s="72">
        <f t="shared" si="185"/>
        <v>134.92764549458371</v>
      </c>
      <c r="AB460" s="110">
        <f t="shared" ca="1" si="186"/>
        <v>-5.3672509376110256</v>
      </c>
      <c r="AC460" s="111">
        <f t="shared" ca="1" si="187"/>
        <v>-76.308546877038893</v>
      </c>
      <c r="AD460" s="72">
        <f t="shared" ca="1" si="188"/>
        <v>103.69145312296111</v>
      </c>
    </row>
    <row r="461" spans="1:30">
      <c r="A461" s="118">
        <v>50994.25</v>
      </c>
      <c r="B461" s="101">
        <f t="shared" ca="1" si="162"/>
        <v>834.58263564344963</v>
      </c>
      <c r="C461" s="102">
        <f t="shared" ca="1" si="163"/>
        <v>1.5695981228105647</v>
      </c>
      <c r="D461" s="102">
        <f t="shared" si="164"/>
        <v>85.073755943066956</v>
      </c>
      <c r="E461" s="103">
        <f t="shared" si="165"/>
        <v>1.5590415497967955</v>
      </c>
      <c r="F461" s="101">
        <f t="shared" si="166"/>
        <v>6920.7766271119672</v>
      </c>
      <c r="G461" s="104">
        <f t="shared" si="167"/>
        <v>1.5706518343401681</v>
      </c>
      <c r="H461" s="113">
        <f t="shared" si="168"/>
        <v>833.08907796809513</v>
      </c>
      <c r="I461" s="114">
        <f t="shared" si="169"/>
        <v>1.5695959746757933</v>
      </c>
      <c r="J461" s="101">
        <f t="shared" si="170"/>
        <v>84.857496655460366</v>
      </c>
      <c r="K461" s="104">
        <f t="shared" si="171"/>
        <v>1.5590115913683944</v>
      </c>
      <c r="L461" s="102">
        <f t="shared" si="172"/>
        <v>3.833422598708963</v>
      </c>
      <c r="M461" s="103">
        <f t="shared" si="173"/>
        <v>1.3068797711728659</v>
      </c>
      <c r="N461" s="101">
        <f t="shared" si="174"/>
        <v>1.1621511510124189</v>
      </c>
      <c r="O461" s="104">
        <f t="shared" si="175"/>
        <v>0.53459848448269542</v>
      </c>
      <c r="P461" s="105">
        <f t="shared" ca="1" si="176"/>
        <v>3.0233804973005109</v>
      </c>
      <c r="Q461" s="106">
        <f t="shared" ca="1" si="177"/>
        <v>1.323539168332083</v>
      </c>
      <c r="R461" s="107">
        <f t="shared" ca="1" si="178"/>
        <v>-3.8437717715766953</v>
      </c>
      <c r="S461" s="108">
        <f t="shared" ca="1" si="179"/>
        <v>-121.57487796004395</v>
      </c>
      <c r="T461" s="116">
        <f t="shared" ca="1" si="180"/>
        <v>58.425122039956051</v>
      </c>
      <c r="V461" s="72">
        <f t="shared" ca="1" si="181"/>
        <v>50994.25</v>
      </c>
      <c r="W461" s="72">
        <f t="shared" si="182"/>
        <v>2600413533.0625</v>
      </c>
      <c r="Y461" s="110">
        <f t="shared" si="183"/>
        <v>17.485809150675145</v>
      </c>
      <c r="Z461" s="111">
        <f t="shared" si="184"/>
        <v>-45.13682242720671</v>
      </c>
      <c r="AA461" s="72">
        <f t="shared" si="185"/>
        <v>134.86317757279329</v>
      </c>
      <c r="AB461" s="110">
        <f t="shared" ca="1" si="186"/>
        <v>-5.4119805753703334</v>
      </c>
      <c r="AC461" s="111">
        <f t="shared" ca="1" si="187"/>
        <v>-76.438055532837254</v>
      </c>
      <c r="AD461" s="72">
        <f t="shared" ca="1" si="188"/>
        <v>103.56194446716275</v>
      </c>
    </row>
    <row r="462" spans="1:30">
      <c r="A462" s="118">
        <v>51286</v>
      </c>
      <c r="B462" s="101">
        <f t="shared" ref="B462:B525" ca="1" si="189">SQRT(1+(A462/Pole1)^2)</f>
        <v>839.35747075461154</v>
      </c>
      <c r="C462" s="102">
        <f t="shared" ref="C462:C525" ca="1" si="190">ATAN(A462/Pole1)</f>
        <v>1.5696049390114908</v>
      </c>
      <c r="D462" s="102">
        <f t="shared" ref="D462:D525" si="191">SQRT(1+(A462/Zero1)^2)</f>
        <v>85.560415687492352</v>
      </c>
      <c r="E462" s="103">
        <f t="shared" ref="E462:E525" si="192">ATAN(A462/Zero1)</f>
        <v>1.5591084129364152</v>
      </c>
      <c r="F462" s="101">
        <f t="shared" ref="F462:F525" si="193">SQRT(1+(A462/Pole2)^2)</f>
        <v>6960.372003824521</v>
      </c>
      <c r="G462" s="104">
        <f t="shared" ref="G462:G525" si="194">ATAN(A462/Pole2)</f>
        <v>1.5706526563125014</v>
      </c>
      <c r="H462" s="113">
        <f t="shared" ref="H462:H525" si="195">SQRT(1+(A462/Zero2)^2)</f>
        <v>837.85536807512972</v>
      </c>
      <c r="I462" s="114">
        <f t="shared" ref="I462:I525" si="196">ATAN(A462/Zero2)</f>
        <v>1.5696028030967506</v>
      </c>
      <c r="J462" s="101">
        <f t="shared" ref="J462:J525" si="197">SQRT(1+(A462/pole4)^2)</f>
        <v>85.342918959153181</v>
      </c>
      <c r="K462" s="104">
        <f t="shared" ref="K462:K525" si="198">ATAN(A462/pole4)</f>
        <v>1.559078624885323</v>
      </c>
      <c r="L462" s="102">
        <f t="shared" ref="L462:L525" si="199">SQRT(1+(A462/Zerofeed)^2)</f>
        <v>3.8538660004852492</v>
      </c>
      <c r="M462" s="103">
        <f t="shared" ref="M462:M525" si="200">ATAN(A462/Zerofeed)</f>
        <v>1.3083129142713616</v>
      </c>
      <c r="N462" s="101">
        <f t="shared" ref="N462:N525" si="201">SQRT(1+(A462/Polefeed)^2)</f>
        <v>1.163880770797517</v>
      </c>
      <c r="O462" s="104">
        <f t="shared" ref="O462:O525" si="202">ATAN(A462/Polefeed)</f>
        <v>0.53710299029441821</v>
      </c>
      <c r="P462" s="105">
        <f t="shared" ref="P462:P525" ca="1" si="203">SQRT((1-(W462/pterm2))^2+(A462/pterm1)^2)</f>
        <v>3.0389195689690554</v>
      </c>
      <c r="Q462" s="106">
        <f t="shared" ref="Q462:Q525" ca="1" si="204">IF((ATAN((A462/pterm1)/(1-A462^2/pterm2))&gt;0),ATAN((A462/pterm1)/(1-A462^2/pterm2)),PI()+ATAN((A462/pterm1)/(1-A462^2/pterm2)))</f>
        <v>1.3258419621692421</v>
      </c>
      <c r="R462" s="107">
        <f t="shared" ref="R462:R525" ca="1" si="205">20*LOG10(((D462*H462*L462)/(B462*F462*P462*J462*N462))*Adc)</f>
        <v>-3.9045713908890223</v>
      </c>
      <c r="S462" s="108">
        <f t="shared" ref="S462:S525" ca="1" si="206">((E462+I462+M462)-(C462+G462+Q462+K462+O462))*radconv</f>
        <v>-121.76825904730856</v>
      </c>
      <c r="T462" s="116">
        <f t="shared" ref="T462:T525" ca="1" si="207">IF(S462&gt;0,S462,S462+180)</f>
        <v>58.231740952691439</v>
      </c>
      <c r="V462" s="72">
        <f t="shared" ref="V462:V525" ca="1" si="208">IF(R462&lt;0,A462,1000000000)</f>
        <v>51286</v>
      </c>
      <c r="W462" s="72">
        <f t="shared" ref="W462:W525" si="209">A462^2</f>
        <v>2630253796</v>
      </c>
      <c r="Y462" s="110">
        <f t="shared" ref="Y462:Y525" si="210">20*LOG10(((H462*L462)/(F462*J462*N462))*Aea)</f>
        <v>17.469544238110572</v>
      </c>
      <c r="Z462" s="111">
        <f t="shared" ref="Z462:Z525" si="211">(I462+M462-(G462+K462+O462))*radconv</f>
        <v>-45.201703582526349</v>
      </c>
      <c r="AA462" s="72">
        <f t="shared" ref="AA462:AA525" si="212">IF(Z462&gt;0,Z462,Z462+180)</f>
        <v>134.79829641747364</v>
      </c>
      <c r="AB462" s="110">
        <f t="shared" ref="AB462:AB525" ca="1" si="213">20*LOG10((D462/(B462*P462))*Acs*Am)</f>
        <v>-5.4565152821180893</v>
      </c>
      <c r="AC462" s="111">
        <f t="shared" ref="AC462:AC525" ca="1" si="214">(E462-(C462+Q462))*radconv</f>
        <v>-76.566555464782212</v>
      </c>
      <c r="AD462" s="72">
        <f t="shared" ref="AD462:AD525" ca="1" si="215">IF(AC462&gt;0,AC462,AC462+180)</f>
        <v>103.43344453521779</v>
      </c>
    </row>
    <row r="463" spans="1:30">
      <c r="A463" s="118">
        <v>51584.75</v>
      </c>
      <c r="B463" s="101">
        <f t="shared" ca="1" si="189"/>
        <v>844.24686921601585</v>
      </c>
      <c r="C463" s="102">
        <f t="shared" ca="1" si="190"/>
        <v>1.5696118388562397</v>
      </c>
      <c r="D463" s="102">
        <f t="shared" si="191"/>
        <v>86.058752321494637</v>
      </c>
      <c r="E463" s="103">
        <f t="shared" si="192"/>
        <v>1.5591760966807453</v>
      </c>
      <c r="F463" s="101">
        <f t="shared" si="193"/>
        <v>7000.9173981493923</v>
      </c>
      <c r="G463" s="104">
        <f t="shared" si="194"/>
        <v>1.5706534883715115</v>
      </c>
      <c r="H463" s="113">
        <f t="shared" si="195"/>
        <v>842.73601651095692</v>
      </c>
      <c r="I463" s="114">
        <f t="shared" si="196"/>
        <v>1.5696097153114874</v>
      </c>
      <c r="J463" s="101">
        <f t="shared" si="197"/>
        <v>85.839988463326577</v>
      </c>
      <c r="K463" s="104">
        <f t="shared" si="198"/>
        <v>1.5591464810985303</v>
      </c>
      <c r="L463" s="102">
        <f t="shared" si="199"/>
        <v>3.8748080187642318</v>
      </c>
      <c r="M463" s="103">
        <f t="shared" si="200"/>
        <v>1.3097647688505833</v>
      </c>
      <c r="N463" s="101">
        <f t="shared" si="201"/>
        <v>1.1656594321955096</v>
      </c>
      <c r="O463" s="104">
        <f t="shared" si="202"/>
        <v>0.53965986853162196</v>
      </c>
      <c r="P463" s="105">
        <f t="shared" ca="1" si="203"/>
        <v>3.0548437612272523</v>
      </c>
      <c r="Q463" s="106">
        <f t="shared" ca="1" si="204"/>
        <v>1.3281813231717303</v>
      </c>
      <c r="R463" s="107">
        <f t="shared" ca="1" si="205"/>
        <v>-3.9666095382369706</v>
      </c>
      <c r="S463" s="108">
        <f t="shared" ca="1" si="206"/>
        <v>-121.96566459805891</v>
      </c>
      <c r="T463" s="116">
        <f t="shared" ca="1" si="207"/>
        <v>58.034335401941092</v>
      </c>
      <c r="V463" s="72">
        <f t="shared" ca="1" si="208"/>
        <v>51584.75</v>
      </c>
      <c r="W463" s="72">
        <f t="shared" si="209"/>
        <v>2660986432.5625</v>
      </c>
      <c r="Y463" s="110">
        <f t="shared" si="210"/>
        <v>17.452908822429531</v>
      </c>
      <c r="Z463" s="111">
        <f t="shared" si="211"/>
        <v>-45.268556281835821</v>
      </c>
      <c r="AA463" s="72">
        <f t="shared" si="212"/>
        <v>134.73144371816417</v>
      </c>
      <c r="AB463" s="110">
        <f t="shared" ca="1" si="213"/>
        <v>-5.5019180137849988</v>
      </c>
      <c r="AC463" s="111">
        <f t="shared" ca="1" si="214"/>
        <v>-76.697108316223108</v>
      </c>
      <c r="AD463" s="72">
        <f t="shared" ca="1" si="215"/>
        <v>103.30289168377689</v>
      </c>
    </row>
    <row r="464" spans="1:30">
      <c r="A464" s="118">
        <v>51883.5</v>
      </c>
      <c r="B464" s="101">
        <f t="shared" ca="1" si="189"/>
        <v>849.13626771715019</v>
      </c>
      <c r="C464" s="102">
        <f t="shared" ca="1" si="190"/>
        <v>1.5696186592412087</v>
      </c>
      <c r="D464" s="102">
        <f t="shared" si="191"/>
        <v>86.557089345200197</v>
      </c>
      <c r="E464" s="103">
        <f t="shared" si="192"/>
        <v>1.5592430010711755</v>
      </c>
      <c r="F464" s="101">
        <f t="shared" si="193"/>
        <v>7041.462792479053</v>
      </c>
      <c r="G464" s="104">
        <f t="shared" si="194"/>
        <v>1.5706543108483764</v>
      </c>
      <c r="H464" s="113">
        <f t="shared" si="195"/>
        <v>847.61666498658531</v>
      </c>
      <c r="I464" s="114">
        <f t="shared" si="196"/>
        <v>1.5696165479239896</v>
      </c>
      <c r="J464" s="101">
        <f t="shared" si="197"/>
        <v>86.337058358196117</v>
      </c>
      <c r="K464" s="104">
        <f t="shared" si="198"/>
        <v>1.5592135559724563</v>
      </c>
      <c r="L464" s="102">
        <f t="shared" si="199"/>
        <v>3.8957581168584041</v>
      </c>
      <c r="M464" s="103">
        <f t="shared" si="200"/>
        <v>1.3112010112431105</v>
      </c>
      <c r="N464" s="101">
        <f t="shared" si="201"/>
        <v>1.1674456909894115</v>
      </c>
      <c r="O464" s="104">
        <f t="shared" si="202"/>
        <v>0.54220893905091705</v>
      </c>
      <c r="P464" s="105">
        <f t="shared" ca="1" si="203"/>
        <v>3.0707802497943932</v>
      </c>
      <c r="Q464" s="106">
        <f t="shared" ca="1" si="204"/>
        <v>1.3305020549707587</v>
      </c>
      <c r="R464" s="107">
        <f t="shared" ca="1" si="205"/>
        <v>-4.0284271150571769</v>
      </c>
      <c r="S464" s="108">
        <f t="shared" ca="1" si="206"/>
        <v>-122.16244928258901</v>
      </c>
      <c r="T464" s="116">
        <f t="shared" ca="1" si="207"/>
        <v>57.837550717410991</v>
      </c>
      <c r="V464" s="72">
        <f t="shared" ca="1" si="208"/>
        <v>51883.5</v>
      </c>
      <c r="W464" s="72">
        <f t="shared" si="209"/>
        <v>2691897572.25</v>
      </c>
      <c r="Y464" s="110">
        <f t="shared" si="210"/>
        <v>17.436292616960696</v>
      </c>
      <c r="Z464" s="111">
        <f t="shared" si="211"/>
        <v>-45.335815388680942</v>
      </c>
      <c r="AA464" s="72">
        <f t="shared" si="212"/>
        <v>134.66418461131906</v>
      </c>
      <c r="AB464" s="110">
        <f t="shared" ca="1" si="213"/>
        <v>-5.5471193851363712</v>
      </c>
      <c r="AC464" s="111">
        <f t="shared" ca="1" si="214"/>
        <v>-76.826633893908067</v>
      </c>
      <c r="AD464" s="72">
        <f t="shared" ca="1" si="215"/>
        <v>103.17336610609193</v>
      </c>
    </row>
    <row r="465" spans="1:30">
      <c r="A465" s="118">
        <v>52182.25</v>
      </c>
      <c r="B465" s="101">
        <f t="shared" ca="1" si="189"/>
        <v>854.0256662573322</v>
      </c>
      <c r="C465" s="102">
        <f t="shared" ca="1" si="190"/>
        <v>1.5696254015311473</v>
      </c>
      <c r="D465" s="102">
        <f t="shared" si="191"/>
        <v>87.055426751916585</v>
      </c>
      <c r="E465" s="103">
        <f t="shared" si="192"/>
        <v>1.5593091394910303</v>
      </c>
      <c r="F465" s="101">
        <f t="shared" si="193"/>
        <v>7082.0081868134239</v>
      </c>
      <c r="G465" s="104">
        <f t="shared" si="194"/>
        <v>1.5706551239076725</v>
      </c>
      <c r="H465" s="113">
        <f t="shared" si="195"/>
        <v>852.49731350133118</v>
      </c>
      <c r="I465" s="114">
        <f t="shared" si="196"/>
        <v>1.5696233023014541</v>
      </c>
      <c r="J465" s="101">
        <f t="shared" si="197"/>
        <v>86.834128637052359</v>
      </c>
      <c r="K465" s="104">
        <f t="shared" si="198"/>
        <v>1.5592798629245068</v>
      </c>
      <c r="L465" s="102">
        <f t="shared" si="199"/>
        <v>3.9167161651135514</v>
      </c>
      <c r="M465" s="103">
        <f t="shared" si="200"/>
        <v>1.3126218860944203</v>
      </c>
      <c r="N465" s="101">
        <f t="shared" si="201"/>
        <v>1.1692395123593722</v>
      </c>
      <c r="O465" s="104">
        <f t="shared" si="202"/>
        <v>0.54475020458553514</v>
      </c>
      <c r="P465" s="105">
        <f t="shared" ca="1" si="203"/>
        <v>3.0867288978434626</v>
      </c>
      <c r="Q465" s="106">
        <f t="shared" ca="1" si="204"/>
        <v>1.3328044309308846</v>
      </c>
      <c r="R465" s="107">
        <f t="shared" ca="1" si="205"/>
        <v>-4.0900263846100318</v>
      </c>
      <c r="S465" s="108">
        <f t="shared" ca="1" si="206"/>
        <v>-122.3586149142256</v>
      </c>
      <c r="T465" s="116">
        <f t="shared" ca="1" si="207"/>
        <v>57.641385085774402</v>
      </c>
      <c r="V465" s="72">
        <f t="shared" ca="1" si="208"/>
        <v>52182.25</v>
      </c>
      <c r="W465" s="72">
        <f t="shared" si="209"/>
        <v>2722987215.0625</v>
      </c>
      <c r="Y465" s="110">
        <f t="shared" si="210"/>
        <v>17.419694878977904</v>
      </c>
      <c r="Z465" s="111">
        <f t="shared" si="211"/>
        <v>-45.403467742366665</v>
      </c>
      <c r="AA465" s="72">
        <f t="shared" si="212"/>
        <v>134.59653225763333</v>
      </c>
      <c r="AB465" s="110">
        <f t="shared" ca="1" si="213"/>
        <v>-5.5921209167064312</v>
      </c>
      <c r="AC465" s="111">
        <f t="shared" ca="1" si="214"/>
        <v>-76.955147171858911</v>
      </c>
      <c r="AD465" s="72">
        <f t="shared" ca="1" si="215"/>
        <v>103.04485282814109</v>
      </c>
    </row>
    <row r="466" spans="1:30">
      <c r="A466" s="118">
        <v>52481</v>
      </c>
      <c r="B466" s="101">
        <f t="shared" ca="1" si="189"/>
        <v>858.91506483589478</v>
      </c>
      <c r="C466" s="102">
        <f t="shared" ca="1" si="190"/>
        <v>1.5696320670597295</v>
      </c>
      <c r="D466" s="102">
        <f t="shared" si="191"/>
        <v>87.553764535103809</v>
      </c>
      <c r="E466" s="103">
        <f t="shared" si="192"/>
        <v>1.559374525018961</v>
      </c>
      <c r="F466" s="101">
        <f t="shared" si="193"/>
        <v>7122.5535811524223</v>
      </c>
      <c r="G466" s="104">
        <f t="shared" si="194"/>
        <v>1.5706559277102297</v>
      </c>
      <c r="H466" s="113">
        <f t="shared" si="195"/>
        <v>857.37796205452662</v>
      </c>
      <c r="I466" s="114">
        <f t="shared" si="196"/>
        <v>1.5696299797799449</v>
      </c>
      <c r="J466" s="101">
        <f t="shared" si="197"/>
        <v>87.331199293338585</v>
      </c>
      <c r="K466" s="104">
        <f t="shared" si="198"/>
        <v>1.559345415066639</v>
      </c>
      <c r="L466" s="102">
        <f t="shared" si="199"/>
        <v>3.9376820365870833</v>
      </c>
      <c r="M466" s="103">
        <f t="shared" si="200"/>
        <v>1.3140276330907872</v>
      </c>
      <c r="N466" s="101">
        <f t="shared" si="201"/>
        <v>1.1710408615519234</v>
      </c>
      <c r="O466" s="104">
        <f t="shared" si="202"/>
        <v>0.54728366825523245</v>
      </c>
      <c r="P466" s="105">
        <f t="shared" ca="1" si="203"/>
        <v>3.1026895715248051</v>
      </c>
      <c r="Q466" s="106">
        <f t="shared" ca="1" si="204"/>
        <v>1.3350887193045193</v>
      </c>
      <c r="R466" s="107">
        <f t="shared" ca="1" si="205"/>
        <v>-4.1514095697471074</v>
      </c>
      <c r="S466" s="108">
        <f t="shared" ca="1" si="206"/>
        <v>-122.5541633194228</v>
      </c>
      <c r="T466" s="116">
        <f t="shared" ca="1" si="207"/>
        <v>57.445836680577202</v>
      </c>
      <c r="V466" s="72">
        <f t="shared" ca="1" si="208"/>
        <v>52481</v>
      </c>
      <c r="W466" s="72">
        <f t="shared" si="209"/>
        <v>2754255361</v>
      </c>
      <c r="Y466" s="110">
        <f t="shared" si="210"/>
        <v>17.403114895312982</v>
      </c>
      <c r="Z466" s="111">
        <f t="shared" si="211"/>
        <v>-45.471500472553736</v>
      </c>
      <c r="AA466" s="72">
        <f t="shared" si="212"/>
        <v>134.52849952744626</v>
      </c>
      <c r="AB466" s="110">
        <f t="shared" ca="1" si="213"/>
        <v>-5.6369241181785847</v>
      </c>
      <c r="AC466" s="111">
        <f t="shared" ca="1" si="214"/>
        <v>-77.082662846868999</v>
      </c>
      <c r="AD466" s="72">
        <f t="shared" ca="1" si="215"/>
        <v>102.917337153131</v>
      </c>
    </row>
    <row r="467" spans="1:30">
      <c r="A467" s="118">
        <v>52786.5</v>
      </c>
      <c r="B467" s="101">
        <f t="shared" ca="1" si="189"/>
        <v>863.91493522051667</v>
      </c>
      <c r="C467" s="102">
        <f t="shared" ca="1" si="190"/>
        <v>1.5696388051656933</v>
      </c>
      <c r="D467" s="102">
        <f t="shared" si="191"/>
        <v>88.063362215724325</v>
      </c>
      <c r="E467" s="103">
        <f t="shared" si="192"/>
        <v>1.5594406225932262</v>
      </c>
      <c r="F467" s="101">
        <f t="shared" si="193"/>
        <v>7164.0150639037847</v>
      </c>
      <c r="G467" s="104">
        <f t="shared" si="194"/>
        <v>1.5706567402649512</v>
      </c>
      <c r="H467" s="113">
        <f t="shared" si="195"/>
        <v>862.36888471453335</v>
      </c>
      <c r="I467" s="114">
        <f t="shared" si="196"/>
        <v>1.5696367299659342</v>
      </c>
      <c r="J467" s="101">
        <f t="shared" si="197"/>
        <v>87.839501218387653</v>
      </c>
      <c r="K467" s="104">
        <f t="shared" si="198"/>
        <v>1.5594116810700374</v>
      </c>
      <c r="L467" s="102">
        <f t="shared" si="199"/>
        <v>3.9591295747993649</v>
      </c>
      <c r="M467" s="103">
        <f t="shared" si="200"/>
        <v>1.3154497419862974</v>
      </c>
      <c r="N467" s="101">
        <f t="shared" si="201"/>
        <v>1.1728906594160027</v>
      </c>
      <c r="O467" s="104">
        <f t="shared" si="202"/>
        <v>0.54986630874277442</v>
      </c>
      <c r="P467" s="105">
        <f t="shared" ca="1" si="203"/>
        <v>3.11902316278535</v>
      </c>
      <c r="Q467" s="106">
        <f t="shared" ca="1" si="204"/>
        <v>1.3374061882645292</v>
      </c>
      <c r="R467" s="107">
        <f t="shared" ca="1" si="205"/>
        <v>-4.2139584670744314</v>
      </c>
      <c r="S467" s="108">
        <f t="shared" ca="1" si="206"/>
        <v>-122.75349358652687</v>
      </c>
      <c r="T467" s="116">
        <f t="shared" ca="1" si="207"/>
        <v>57.246506413473128</v>
      </c>
      <c r="V467" s="72">
        <f t="shared" ca="1" si="208"/>
        <v>52786.5</v>
      </c>
      <c r="W467" s="72">
        <f t="shared" si="209"/>
        <v>2786414582.25</v>
      </c>
      <c r="Y467" s="110">
        <f t="shared" si="210"/>
        <v>17.386177948527976</v>
      </c>
      <c r="Z467" s="111">
        <f t="shared" si="211"/>
        <v>-45.541450595956697</v>
      </c>
      <c r="AA467" s="72">
        <f t="shared" si="212"/>
        <v>134.45854940404331</v>
      </c>
      <c r="AB467" s="110">
        <f t="shared" ca="1" si="213"/>
        <v>-5.6825360687209026</v>
      </c>
      <c r="AC467" s="111">
        <f t="shared" ca="1" si="214"/>
        <v>-77.212042990570183</v>
      </c>
      <c r="AD467" s="72">
        <f t="shared" ca="1" si="215"/>
        <v>102.78795700942982</v>
      </c>
    </row>
    <row r="468" spans="1:30">
      <c r="A468" s="118">
        <v>53092</v>
      </c>
      <c r="B468" s="101">
        <f t="shared" ca="1" si="189"/>
        <v>868.91480564391065</v>
      </c>
      <c r="C468" s="102">
        <f t="shared" ca="1" si="190"/>
        <v>1.5696454657274461</v>
      </c>
      <c r="D468" s="102">
        <f t="shared" si="191"/>
        <v>88.572960276656801</v>
      </c>
      <c r="E468" s="103">
        <f t="shared" si="192"/>
        <v>1.5595059595926377</v>
      </c>
      <c r="F468" s="101">
        <f t="shared" si="193"/>
        <v>7205.4765466598237</v>
      </c>
      <c r="G468" s="104">
        <f t="shared" si="194"/>
        <v>1.5706575434685288</v>
      </c>
      <c r="H468" s="113">
        <f t="shared" si="195"/>
        <v>867.35980741338187</v>
      </c>
      <c r="I468" s="114">
        <f t="shared" si="196"/>
        <v>1.5696434024686918</v>
      </c>
      <c r="J468" s="101">
        <f t="shared" si="197"/>
        <v>88.347803524717662</v>
      </c>
      <c r="K468" s="104">
        <f t="shared" si="198"/>
        <v>1.5594771845609918</v>
      </c>
      <c r="L468" s="102">
        <f t="shared" si="199"/>
        <v>3.9805850336378672</v>
      </c>
      <c r="M468" s="103">
        <f t="shared" si="200"/>
        <v>1.3168565232920932</v>
      </c>
      <c r="N468" s="101">
        <f t="shared" si="201"/>
        <v>1.1747482558303961</v>
      </c>
      <c r="O468" s="104">
        <f t="shared" si="202"/>
        <v>0.55244079864340834</v>
      </c>
      <c r="P468" s="105">
        <f t="shared" ca="1" si="203"/>
        <v>3.135369055365651</v>
      </c>
      <c r="Q468" s="106">
        <f t="shared" ca="1" si="204"/>
        <v>1.3397052945376153</v>
      </c>
      <c r="R468" s="107">
        <f t="shared" ca="1" si="205"/>
        <v>-4.2762859812294582</v>
      </c>
      <c r="S468" s="108">
        <f t="shared" ca="1" si="206"/>
        <v>-122.95218232230781</v>
      </c>
      <c r="T468" s="116">
        <f t="shared" ca="1" si="207"/>
        <v>57.047817677692194</v>
      </c>
      <c r="V468" s="72">
        <f t="shared" ca="1" si="208"/>
        <v>53092</v>
      </c>
      <c r="W468" s="72">
        <f t="shared" si="209"/>
        <v>2818760464</v>
      </c>
      <c r="Y468" s="110">
        <f t="shared" si="210"/>
        <v>17.369258149303686</v>
      </c>
      <c r="Z468" s="111">
        <f t="shared" si="211"/>
        <v>-45.611772157725774</v>
      </c>
      <c r="AA468" s="72">
        <f t="shared" si="212"/>
        <v>134.38822784227423</v>
      </c>
      <c r="AB468" s="110">
        <f t="shared" ca="1" si="213"/>
        <v>-5.7279437836516403</v>
      </c>
      <c r="AC468" s="111">
        <f t="shared" ca="1" si="214"/>
        <v>-77.340410164582039</v>
      </c>
      <c r="AD468" s="72">
        <f t="shared" ca="1" si="215"/>
        <v>102.65958983541796</v>
      </c>
    </row>
    <row r="469" spans="1:30">
      <c r="A469" s="118">
        <v>53397.5</v>
      </c>
      <c r="B469" s="101">
        <f t="shared" ca="1" si="189"/>
        <v>873.91467610541144</v>
      </c>
      <c r="C469" s="102">
        <f t="shared" ca="1" si="190"/>
        <v>1.5696520500759328</v>
      </c>
      <c r="D469" s="102">
        <f t="shared" si="191"/>
        <v>89.082558711374489</v>
      </c>
      <c r="E469" s="103">
        <f t="shared" si="192"/>
        <v>1.5595705490692804</v>
      </c>
      <c r="F469" s="101">
        <f t="shared" si="193"/>
        <v>7246.9380294204575</v>
      </c>
      <c r="G469" s="104">
        <f t="shared" si="194"/>
        <v>1.5706583374814633</v>
      </c>
      <c r="H469" s="113">
        <f t="shared" si="195"/>
        <v>872.35073015040518</v>
      </c>
      <c r="I469" s="114">
        <f t="shared" si="196"/>
        <v>1.5696499986215495</v>
      </c>
      <c r="J469" s="101">
        <f t="shared" si="197"/>
        <v>88.856106205785238</v>
      </c>
      <c r="K469" s="104">
        <f t="shared" si="198"/>
        <v>1.5595419386248275</v>
      </c>
      <c r="L469" s="102">
        <f t="shared" si="199"/>
        <v>4.0020482857123234</v>
      </c>
      <c r="M469" s="103">
        <f t="shared" si="200"/>
        <v>1.3182482180034603</v>
      </c>
      <c r="N469" s="101">
        <f t="shared" si="201"/>
        <v>1.176613613858869</v>
      </c>
      <c r="O469" s="104">
        <f t="shared" si="202"/>
        <v>0.55500714251413374</v>
      </c>
      <c r="P469" s="105">
        <f t="shared" ca="1" si="203"/>
        <v>3.1517271153400288</v>
      </c>
      <c r="Q469" s="106">
        <f t="shared" ca="1" si="204"/>
        <v>1.341986309113137</v>
      </c>
      <c r="R469" s="107">
        <f t="shared" ca="1" si="205"/>
        <v>-4.338394364058785</v>
      </c>
      <c r="S469" s="108">
        <f t="shared" ca="1" si="206"/>
        <v>-123.15023151736011</v>
      </c>
      <c r="T469" s="116">
        <f t="shared" ca="1" si="207"/>
        <v>56.849768482639888</v>
      </c>
      <c r="V469" s="72">
        <f t="shared" ca="1" si="208"/>
        <v>53397.5</v>
      </c>
      <c r="W469" s="72">
        <f t="shared" si="209"/>
        <v>2851293006.25</v>
      </c>
      <c r="Y469" s="110">
        <f t="shared" si="210"/>
        <v>17.352354824413791</v>
      </c>
      <c r="Z469" s="111">
        <f t="shared" si="211"/>
        <v>-45.682452293480715</v>
      </c>
      <c r="AA469" s="72">
        <f t="shared" si="212"/>
        <v>134.31754770651929</v>
      </c>
      <c r="AB469" s="110">
        <f t="shared" ca="1" si="213"/>
        <v>-5.7731488415910723</v>
      </c>
      <c r="AC469" s="111">
        <f t="shared" ca="1" si="214"/>
        <v>-77.467779223879333</v>
      </c>
      <c r="AD469" s="72">
        <f t="shared" ca="1" si="215"/>
        <v>102.53222077612067</v>
      </c>
    </row>
    <row r="470" spans="1:30">
      <c r="A470" s="118">
        <v>53703</v>
      </c>
      <c r="B470" s="101">
        <f t="shared" ca="1" si="189"/>
        <v>878.91454660436841</v>
      </c>
      <c r="C470" s="102">
        <f t="shared" ca="1" si="190"/>
        <v>1.5696585595118133</v>
      </c>
      <c r="D470" s="102">
        <f t="shared" si="191"/>
        <v>89.592157513499131</v>
      </c>
      <c r="E470" s="103">
        <f t="shared" si="192"/>
        <v>1.5596344037783045</v>
      </c>
      <c r="F470" s="101">
        <f t="shared" si="193"/>
        <v>7288.3995121856078</v>
      </c>
      <c r="G470" s="104">
        <f t="shared" si="194"/>
        <v>1.5706591224606028</v>
      </c>
      <c r="H470" s="113">
        <f t="shared" si="195"/>
        <v>877.3416529249522</v>
      </c>
      <c r="I470" s="114">
        <f t="shared" si="196"/>
        <v>1.5696565197274983</v>
      </c>
      <c r="J470" s="101">
        <f t="shared" si="197"/>
        <v>89.364409255195881</v>
      </c>
      <c r="K470" s="104">
        <f t="shared" si="198"/>
        <v>1.5596059560491775</v>
      </c>
      <c r="L470" s="102">
        <f t="shared" si="199"/>
        <v>4.0235192063049103</v>
      </c>
      <c r="M470" s="103">
        <f t="shared" si="200"/>
        <v>1.3196250622081103</v>
      </c>
      <c r="N470" s="101">
        <f t="shared" si="201"/>
        <v>1.1784866966451999</v>
      </c>
      <c r="O470" s="104">
        <f t="shared" si="202"/>
        <v>0.55756534531236235</v>
      </c>
      <c r="P470" s="105">
        <f t="shared" ca="1" si="203"/>
        <v>3.168097211737547</v>
      </c>
      <c r="Q470" s="106">
        <f t="shared" ca="1" si="204"/>
        <v>1.344249497870089</v>
      </c>
      <c r="R470" s="107">
        <f t="shared" ca="1" si="205"/>
        <v>-4.400285827173672</v>
      </c>
      <c r="S470" s="108">
        <f t="shared" ca="1" si="206"/>
        <v>-123.34764317335149</v>
      </c>
      <c r="T470" s="116">
        <f t="shared" ca="1" si="207"/>
        <v>56.652356826648514</v>
      </c>
      <c r="V470" s="72">
        <f t="shared" ca="1" si="208"/>
        <v>53703</v>
      </c>
      <c r="W470" s="72">
        <f t="shared" si="209"/>
        <v>2884012209</v>
      </c>
      <c r="Y470" s="110">
        <f t="shared" si="210"/>
        <v>17.335467328688033</v>
      </c>
      <c r="Z470" s="111">
        <f t="shared" si="211"/>
        <v>-45.753478427439063</v>
      </c>
      <c r="AA470" s="72">
        <f t="shared" si="212"/>
        <v>134.24652157256094</v>
      </c>
      <c r="AB470" s="110">
        <f t="shared" ca="1" si="213"/>
        <v>-5.8181528089802033</v>
      </c>
      <c r="AC470" s="111">
        <f t="shared" ca="1" si="214"/>
        <v>-77.594164745912408</v>
      </c>
      <c r="AD470" s="72">
        <f t="shared" ca="1" si="215"/>
        <v>102.40583525408759</v>
      </c>
    </row>
    <row r="471" spans="1:30">
      <c r="A471" s="118">
        <v>54015.75</v>
      </c>
      <c r="B471" s="101">
        <f t="shared" ca="1" si="189"/>
        <v>884.03307200600364</v>
      </c>
      <c r="C471" s="102">
        <f t="shared" ca="1" si="190"/>
        <v>1.569665147153628</v>
      </c>
      <c r="D471" s="102">
        <f t="shared" si="191"/>
        <v>90.113850278298884</v>
      </c>
      <c r="E471" s="103">
        <f t="shared" si="192"/>
        <v>1.559699025744929</v>
      </c>
      <c r="F471" s="101">
        <f t="shared" si="193"/>
        <v>7330.8449417640222</v>
      </c>
      <c r="G471" s="104">
        <f t="shared" si="194"/>
        <v>1.5706599168706594</v>
      </c>
      <c r="H471" s="113">
        <f t="shared" si="195"/>
        <v>882.45101825854022</v>
      </c>
      <c r="I471" s="114">
        <f t="shared" si="196"/>
        <v>1.5696631191795889</v>
      </c>
      <c r="J471" s="101">
        <f t="shared" si="197"/>
        <v>89.884775517965764</v>
      </c>
      <c r="K471" s="104">
        <f t="shared" si="198"/>
        <v>1.5596707426867367</v>
      </c>
      <c r="L471" s="102">
        <f t="shared" si="199"/>
        <v>4.0455074821062045</v>
      </c>
      <c r="M471" s="103">
        <f t="shared" si="200"/>
        <v>1.3210194392502654</v>
      </c>
      <c r="N471" s="101">
        <f t="shared" si="201"/>
        <v>1.1804121941792614</v>
      </c>
      <c r="O471" s="104">
        <f t="shared" si="202"/>
        <v>0.56017583074900412</v>
      </c>
      <c r="P471" s="105">
        <f t="shared" ca="1" si="203"/>
        <v>3.1848681310739679</v>
      </c>
      <c r="Q471" s="106">
        <f t="shared" ca="1" si="204"/>
        <v>1.3465482026485587</v>
      </c>
      <c r="R471" s="107">
        <f t="shared" ca="1" si="205"/>
        <v>-4.4634236382008634</v>
      </c>
      <c r="S471" s="108">
        <f t="shared" ca="1" si="206"/>
        <v>-123.5490814087831</v>
      </c>
      <c r="T471" s="116">
        <f t="shared" ca="1" si="207"/>
        <v>56.450918591216904</v>
      </c>
      <c r="V471" s="72">
        <f t="shared" ca="1" si="208"/>
        <v>54015.75</v>
      </c>
      <c r="W471" s="72">
        <f t="shared" si="209"/>
        <v>2917701248.0625</v>
      </c>
      <c r="Y471" s="110">
        <f t="shared" si="210"/>
        <v>17.318194817801714</v>
      </c>
      <c r="Z471" s="111">
        <f t="shared" si="211"/>
        <v>-45.826535702449583</v>
      </c>
      <c r="AA471" s="72">
        <f t="shared" si="212"/>
        <v>134.17346429755042</v>
      </c>
      <c r="AB471" s="110">
        <f t="shared" ca="1" si="213"/>
        <v>-5.8640181091210746</v>
      </c>
      <c r="AC471" s="111">
        <f t="shared" ca="1" si="214"/>
        <v>-77.722545706333491</v>
      </c>
      <c r="AD471" s="72">
        <f t="shared" ca="1" si="215"/>
        <v>102.27745429366651</v>
      </c>
    </row>
    <row r="472" spans="1:30">
      <c r="A472" s="118">
        <v>54328.5</v>
      </c>
      <c r="B472" s="101">
        <f t="shared" ca="1" si="189"/>
        <v>889.15159744556149</v>
      </c>
      <c r="C472" s="102">
        <f t="shared" ca="1" si="190"/>
        <v>1.5696716589500814</v>
      </c>
      <c r="D472" s="102">
        <f t="shared" si="191"/>
        <v>90.635543415081855</v>
      </c>
      <c r="E472" s="103">
        <f t="shared" si="192"/>
        <v>1.5597629037909404</v>
      </c>
      <c r="F472" s="101">
        <f t="shared" si="193"/>
        <v>7373.2903713470105</v>
      </c>
      <c r="G472" s="104">
        <f t="shared" si="194"/>
        <v>1.5706607021344394</v>
      </c>
      <c r="H472" s="113">
        <f t="shared" si="195"/>
        <v>887.56038363011908</v>
      </c>
      <c r="I472" s="114">
        <f t="shared" si="196"/>
        <v>1.5696696426503436</v>
      </c>
      <c r="J472" s="101">
        <f t="shared" si="197"/>
        <v>90.405142153666617</v>
      </c>
      <c r="K472" s="104">
        <f t="shared" si="198"/>
        <v>1.5597347835084763</v>
      </c>
      <c r="L472" s="102">
        <f t="shared" si="199"/>
        <v>4.0675035384869238</v>
      </c>
      <c r="M472" s="103">
        <f t="shared" si="200"/>
        <v>1.3223987380554787</v>
      </c>
      <c r="N472" s="101">
        <f t="shared" si="201"/>
        <v>1.1823457095585257</v>
      </c>
      <c r="O472" s="104">
        <f t="shared" si="202"/>
        <v>0.56277779590287214</v>
      </c>
      <c r="P472" s="105">
        <f t="shared" ca="1" si="203"/>
        <v>3.2016513963029842</v>
      </c>
      <c r="Q472" s="106">
        <f t="shared" ca="1" si="204"/>
        <v>1.3488287734882021</v>
      </c>
      <c r="R472" s="107">
        <f t="shared" ca="1" si="205"/>
        <v>-4.5263386771048975</v>
      </c>
      <c r="S472" s="108">
        <f t="shared" ca="1" si="206"/>
        <v>-123.74985576430973</v>
      </c>
      <c r="T472" s="116">
        <f t="shared" ca="1" si="207"/>
        <v>56.250144235690271</v>
      </c>
      <c r="V472" s="72">
        <f t="shared" ca="1" si="208"/>
        <v>54328.5</v>
      </c>
      <c r="W472" s="72">
        <f t="shared" si="209"/>
        <v>2951585912.25</v>
      </c>
      <c r="Y472" s="110">
        <f t="shared" si="210"/>
        <v>17.300937613821894</v>
      </c>
      <c r="Z472" s="111">
        <f t="shared" si="211"/>
        <v>-45.899929817824642</v>
      </c>
      <c r="AA472" s="72">
        <f t="shared" si="212"/>
        <v>134.10007018217536</v>
      </c>
      <c r="AB472" s="110">
        <f t="shared" ca="1" si="213"/>
        <v>-5.9096759440452864</v>
      </c>
      <c r="AC472" s="111">
        <f t="shared" ca="1" si="214"/>
        <v>-77.849925946485044</v>
      </c>
      <c r="AD472" s="72">
        <f t="shared" ca="1" si="215"/>
        <v>102.15007405351496</v>
      </c>
    </row>
    <row r="473" spans="1:30">
      <c r="A473" s="118">
        <v>54641.25</v>
      </c>
      <c r="B473" s="101">
        <f t="shared" ca="1" si="189"/>
        <v>894.27012292239112</v>
      </c>
      <c r="C473" s="102">
        <f t="shared" ca="1" si="190"/>
        <v>1.5696780962035193</v>
      </c>
      <c r="D473" s="102">
        <f t="shared" si="191"/>
        <v>91.157236917461447</v>
      </c>
      <c r="E473" s="103">
        <f t="shared" si="192"/>
        <v>1.559826050688202</v>
      </c>
      <c r="F473" s="101">
        <f t="shared" si="193"/>
        <v>7415.7358009344935</v>
      </c>
      <c r="G473" s="104">
        <f t="shared" si="194"/>
        <v>1.5706614784089947</v>
      </c>
      <c r="H473" s="113">
        <f t="shared" si="195"/>
        <v>892.66974903903633</v>
      </c>
      <c r="I473" s="114">
        <f t="shared" si="196"/>
        <v>1.5696760914444425</v>
      </c>
      <c r="J473" s="101">
        <f t="shared" si="197"/>
        <v>90.925509155895625</v>
      </c>
      <c r="K473" s="104">
        <f t="shared" si="198"/>
        <v>1.5597980913187863</v>
      </c>
      <c r="L473" s="102">
        <f t="shared" si="199"/>
        <v>4.089507249899869</v>
      </c>
      <c r="M473" s="103">
        <f t="shared" si="200"/>
        <v>1.3237631967194949</v>
      </c>
      <c r="N473" s="101">
        <f t="shared" si="201"/>
        <v>1.1842872035122138</v>
      </c>
      <c r="O473" s="104">
        <f t="shared" si="202"/>
        <v>0.5653712473601743</v>
      </c>
      <c r="P473" s="105">
        <f t="shared" ca="1" si="203"/>
        <v>3.21844687607167</v>
      </c>
      <c r="Q473" s="106">
        <f t="shared" ca="1" si="204"/>
        <v>1.3510914797423872</v>
      </c>
      <c r="R473" s="107">
        <f t="shared" ca="1" si="205"/>
        <v>-4.5890331916784461</v>
      </c>
      <c r="S473" s="108">
        <f t="shared" ca="1" si="206"/>
        <v>-123.94996841895144</v>
      </c>
      <c r="T473" s="116">
        <f t="shared" ca="1" si="207"/>
        <v>56.050031581048557</v>
      </c>
      <c r="V473" s="72">
        <f t="shared" ca="1" si="208"/>
        <v>54641.25</v>
      </c>
      <c r="W473" s="72">
        <f t="shared" si="209"/>
        <v>2985666201.5625</v>
      </c>
      <c r="Y473" s="110">
        <f t="shared" si="210"/>
        <v>17.283695109616545</v>
      </c>
      <c r="Z473" s="111">
        <f t="shared" si="211"/>
        <v>-45.973648176928101</v>
      </c>
      <c r="AA473" s="72">
        <f t="shared" si="212"/>
        <v>134.02635182307191</v>
      </c>
      <c r="AB473" s="110">
        <f t="shared" ca="1" si="213"/>
        <v>-5.9551279544134914</v>
      </c>
      <c r="AC473" s="111">
        <f t="shared" ca="1" si="214"/>
        <v>-77.976320242023348</v>
      </c>
      <c r="AD473" s="72">
        <f t="shared" ca="1" si="215"/>
        <v>102.02367975797665</v>
      </c>
    </row>
    <row r="474" spans="1:30">
      <c r="A474" s="118">
        <v>54954</v>
      </c>
      <c r="B474" s="101">
        <f t="shared" ca="1" si="189"/>
        <v>899.38864843585566</v>
      </c>
      <c r="C474" s="102">
        <f t="shared" ca="1" si="190"/>
        <v>1.5696844601866395</v>
      </c>
      <c r="D474" s="102">
        <f t="shared" si="191"/>
        <v>91.678930779196449</v>
      </c>
      <c r="E474" s="103">
        <f t="shared" si="192"/>
        <v>1.5598884789178893</v>
      </c>
      <c r="F474" s="101">
        <f t="shared" si="193"/>
        <v>7458.1812305263938</v>
      </c>
      <c r="G474" s="104">
        <f t="shared" si="194"/>
        <v>1.5706622458478015</v>
      </c>
      <c r="H474" s="113">
        <f t="shared" si="195"/>
        <v>897.77911448465443</v>
      </c>
      <c r="I474" s="114">
        <f t="shared" si="196"/>
        <v>1.5696824668368659</v>
      </c>
      <c r="J474" s="101">
        <f t="shared" si="197"/>
        <v>91.445876518395664</v>
      </c>
      <c r="K474" s="104">
        <f t="shared" si="198"/>
        <v>1.5598606786306293</v>
      </c>
      <c r="L474" s="102">
        <f t="shared" si="199"/>
        <v>4.1115184934421887</v>
      </c>
      <c r="M474" s="103">
        <f t="shared" si="200"/>
        <v>1.3251130484631228</v>
      </c>
      <c r="N474" s="101">
        <f t="shared" si="201"/>
        <v>1.1862366368651234</v>
      </c>
      <c r="O474" s="104">
        <f t="shared" si="202"/>
        <v>0.56795619212219095</v>
      </c>
      <c r="P474" s="105">
        <f t="shared" ca="1" si="203"/>
        <v>3.2352544419702407</v>
      </c>
      <c r="Q474" s="106">
        <f t="shared" ca="1" si="204"/>
        <v>1.3533365856386701</v>
      </c>
      <c r="R474" s="107">
        <f t="shared" ca="1" si="205"/>
        <v>-4.6515093894834143</v>
      </c>
      <c r="S474" s="108">
        <f t="shared" ca="1" si="206"/>
        <v>-124.14942156089192</v>
      </c>
      <c r="T474" s="116">
        <f t="shared" ca="1" si="207"/>
        <v>55.850578439108077</v>
      </c>
      <c r="V474" s="72">
        <f t="shared" ca="1" si="208"/>
        <v>54954</v>
      </c>
      <c r="W474" s="72">
        <f t="shared" si="209"/>
        <v>3019942116</v>
      </c>
      <c r="Y474" s="110">
        <f t="shared" si="210"/>
        <v>17.266466724736024</v>
      </c>
      <c r="Z474" s="111">
        <f t="shared" si="211"/>
        <v>-46.047678471018159</v>
      </c>
      <c r="AA474" s="72">
        <f t="shared" si="212"/>
        <v>133.95232152898183</v>
      </c>
      <c r="AB474" s="110">
        <f t="shared" ca="1" si="213"/>
        <v>-6.0003757673379319</v>
      </c>
      <c r="AC474" s="111">
        <f t="shared" ca="1" si="214"/>
        <v>-78.101743089873736</v>
      </c>
      <c r="AD474" s="72">
        <f t="shared" ca="1" si="215"/>
        <v>101.89825691012626</v>
      </c>
    </row>
    <row r="475" spans="1:30">
      <c r="A475" s="118">
        <v>55274</v>
      </c>
      <c r="B475" s="101">
        <f t="shared" ca="1" si="189"/>
        <v>904.6258288546087</v>
      </c>
      <c r="C475" s="102">
        <f t="shared" ca="1" si="190"/>
        <v>1.5696908971556296</v>
      </c>
      <c r="D475" s="102">
        <f t="shared" si="191"/>
        <v>92.212718629211423</v>
      </c>
      <c r="E475" s="103">
        <f t="shared" si="192"/>
        <v>1.5599516231965127</v>
      </c>
      <c r="F475" s="101">
        <f t="shared" si="193"/>
        <v>7501.6106069318739</v>
      </c>
      <c r="G475" s="104">
        <f t="shared" si="194"/>
        <v>1.5706630220880331</v>
      </c>
      <c r="H475" s="113">
        <f t="shared" si="195"/>
        <v>903.00692249192844</v>
      </c>
      <c r="I475" s="114">
        <f t="shared" si="196"/>
        <v>1.5696889153460079</v>
      </c>
      <c r="J475" s="101">
        <f t="shared" si="197"/>
        <v>91.978307119925034</v>
      </c>
      <c r="K475" s="104">
        <f t="shared" si="198"/>
        <v>1.5599239838165158</v>
      </c>
      <c r="L475" s="102">
        <f t="shared" si="199"/>
        <v>4.1340476602042351</v>
      </c>
      <c r="M475" s="103">
        <f t="shared" si="200"/>
        <v>1.3264793112461233</v>
      </c>
      <c r="N475" s="101">
        <f t="shared" si="201"/>
        <v>1.188239437762906</v>
      </c>
      <c r="O475" s="104">
        <f t="shared" si="202"/>
        <v>0.57059226261867524</v>
      </c>
      <c r="P475" s="105">
        <f t="shared" ca="1" si="203"/>
        <v>3.2524640104131897</v>
      </c>
      <c r="Q475" s="106">
        <f t="shared" ca="1" si="204"/>
        <v>1.3556157896100725</v>
      </c>
      <c r="R475" s="107">
        <f t="shared" ca="1" si="205"/>
        <v>-4.7152101710182865</v>
      </c>
      <c r="S475" s="108">
        <f t="shared" ca="1" si="206"/>
        <v>-124.35281798550511</v>
      </c>
      <c r="T475" s="116">
        <f t="shared" ca="1" si="207"/>
        <v>55.647182014494888</v>
      </c>
      <c r="V475" s="72">
        <f t="shared" ca="1" si="208"/>
        <v>55274</v>
      </c>
      <c r="W475" s="72">
        <f t="shared" si="209"/>
        <v>3055215076</v>
      </c>
      <c r="Y475" s="110">
        <f t="shared" si="210"/>
        <v>17.248852996465029</v>
      </c>
      <c r="Z475" s="111">
        <f t="shared" si="211"/>
        <v>-46.123735216784631</v>
      </c>
      <c r="AA475" s="72">
        <f t="shared" si="212"/>
        <v>133.87626478321536</v>
      </c>
      <c r="AB475" s="110">
        <f t="shared" ca="1" si="213"/>
        <v>-6.0464628206018114</v>
      </c>
      <c r="AC475" s="111">
        <f t="shared" ca="1" si="214"/>
        <v>-78.229082768720531</v>
      </c>
      <c r="AD475" s="72">
        <f t="shared" ca="1" si="215"/>
        <v>101.77091723127947</v>
      </c>
    </row>
    <row r="476" spans="1:30">
      <c r="A476" s="118">
        <v>55594</v>
      </c>
      <c r="B476" s="101">
        <f t="shared" ca="1" si="189"/>
        <v>909.86300931041274</v>
      </c>
      <c r="C476" s="102">
        <f t="shared" ca="1" si="190"/>
        <v>1.5696972600221057</v>
      </c>
      <c r="D476" s="102">
        <f t="shared" si="191"/>
        <v>92.7465068426648</v>
      </c>
      <c r="E476" s="103">
        <f t="shared" si="192"/>
        <v>1.5600140406410721</v>
      </c>
      <c r="F476" s="101">
        <f t="shared" si="193"/>
        <v>7545.0399833418223</v>
      </c>
      <c r="G476" s="104">
        <f t="shared" si="194"/>
        <v>1.5706637893921611</v>
      </c>
      <c r="H476" s="113">
        <f t="shared" si="195"/>
        <v>908.23473053632017</v>
      </c>
      <c r="I476" s="114">
        <f t="shared" si="196"/>
        <v>1.5696952896197858</v>
      </c>
      <c r="J476" s="101">
        <f t="shared" si="197"/>
        <v>92.510738085818844</v>
      </c>
      <c r="K476" s="104">
        <f t="shared" si="198"/>
        <v>1.5599865603166199</v>
      </c>
      <c r="L476" s="102">
        <f t="shared" si="199"/>
        <v>4.1565844602239972</v>
      </c>
      <c r="M476" s="103">
        <f t="shared" si="200"/>
        <v>1.3278307609075632</v>
      </c>
      <c r="N476" s="101">
        <f t="shared" si="201"/>
        <v>1.1902504677585202</v>
      </c>
      <c r="O476" s="104">
        <f t="shared" si="202"/>
        <v>0.57321944358655441</v>
      </c>
      <c r="P476" s="105">
        <f t="shared" ca="1" si="203"/>
        <v>3.2696859689787665</v>
      </c>
      <c r="Q476" s="106">
        <f t="shared" ca="1" si="204"/>
        <v>1.3578771114762844</v>
      </c>
      <c r="R476" s="107">
        <f t="shared" ca="1" si="205"/>
        <v>-4.7786869474539282</v>
      </c>
      <c r="S476" s="108">
        <f t="shared" ca="1" si="206"/>
        <v>-124.55552862735234</v>
      </c>
      <c r="T476" s="116">
        <f t="shared" ca="1" si="207"/>
        <v>55.444471372647655</v>
      </c>
      <c r="V476" s="72">
        <f t="shared" ca="1" si="208"/>
        <v>55594</v>
      </c>
      <c r="W476" s="72">
        <f t="shared" si="209"/>
        <v>3090692836</v>
      </c>
      <c r="Y476" s="110">
        <f t="shared" si="210"/>
        <v>17.231252901762559</v>
      </c>
      <c r="Z476" s="111">
        <f t="shared" si="211"/>
        <v>-46.200093350179436</v>
      </c>
      <c r="AA476" s="72">
        <f t="shared" si="212"/>
        <v>133.79990664982057</v>
      </c>
      <c r="AB476" s="110">
        <f t="shared" ca="1" si="213"/>
        <v>-6.0923395023349798</v>
      </c>
      <c r="AC476" s="111">
        <f t="shared" ca="1" si="214"/>
        <v>-78.355435277172944</v>
      </c>
      <c r="AD476" s="72">
        <f t="shared" ca="1" si="215"/>
        <v>101.64456472282706</v>
      </c>
    </row>
    <row r="477" spans="1:30">
      <c r="A477" s="118">
        <v>55914</v>
      </c>
      <c r="B477" s="101">
        <f t="shared" ca="1" si="189"/>
        <v>915.10018980263214</v>
      </c>
      <c r="C477" s="102">
        <f t="shared" ca="1" si="190"/>
        <v>1.5697035500583487</v>
      </c>
      <c r="D477" s="102">
        <f t="shared" si="191"/>
        <v>93.280295413317347</v>
      </c>
      <c r="E477" s="103">
        <f t="shared" si="192"/>
        <v>1.5600757437288155</v>
      </c>
      <c r="F477" s="101">
        <f t="shared" si="193"/>
        <v>7588.4693597561609</v>
      </c>
      <c r="G477" s="104">
        <f t="shared" si="194"/>
        <v>1.5706645479136117</v>
      </c>
      <c r="H477" s="113">
        <f t="shared" si="195"/>
        <v>913.46253861719231</v>
      </c>
      <c r="I477" s="114">
        <f t="shared" si="196"/>
        <v>1.5697015909327616</v>
      </c>
      <c r="J477" s="101">
        <f t="shared" si="197"/>
        <v>93.043169409821971</v>
      </c>
      <c r="K477" s="104">
        <f t="shared" si="198"/>
        <v>1.5600484206399676</v>
      </c>
      <c r="L477" s="102">
        <f t="shared" si="199"/>
        <v>4.1791287700098048</v>
      </c>
      <c r="M477" s="103">
        <f t="shared" si="200"/>
        <v>1.3291676321986226</v>
      </c>
      <c r="N477" s="101">
        <f t="shared" si="201"/>
        <v>1.1922696852113139</v>
      </c>
      <c r="O477" s="104">
        <f t="shared" si="202"/>
        <v>0.57583774383410635</v>
      </c>
      <c r="P477" s="105">
        <f t="shared" ca="1" si="203"/>
        <v>3.2869201892272333</v>
      </c>
      <c r="Q477" s="106">
        <f t="shared" ca="1" si="204"/>
        <v>1.3601208183525346</v>
      </c>
      <c r="R477" s="107">
        <f t="shared" ca="1" si="205"/>
        <v>-4.8419419586928276</v>
      </c>
      <c r="S477" s="108">
        <f t="shared" ca="1" si="206"/>
        <v>-124.7575558559148</v>
      </c>
      <c r="T477" s="116">
        <f t="shared" ca="1" si="207"/>
        <v>55.242444144085198</v>
      </c>
      <c r="V477" s="72">
        <f t="shared" ca="1" si="208"/>
        <v>55914</v>
      </c>
      <c r="W477" s="72">
        <f t="shared" si="209"/>
        <v>3126375396</v>
      </c>
      <c r="Y477" s="110">
        <f t="shared" si="210"/>
        <v>17.213665899510524</v>
      </c>
      <c r="Z477" s="111">
        <f t="shared" si="211"/>
        <v>-46.276740578105915</v>
      </c>
      <c r="AA477" s="72">
        <f t="shared" si="212"/>
        <v>133.72325942189408</v>
      </c>
      <c r="AB477" s="110">
        <f t="shared" ca="1" si="213"/>
        <v>-6.1380075113218471</v>
      </c>
      <c r="AC477" s="111">
        <f t="shared" ca="1" si="214"/>
        <v>-78.480815277808901</v>
      </c>
      <c r="AD477" s="72">
        <f t="shared" ca="1" si="215"/>
        <v>101.5191847221911</v>
      </c>
    </row>
    <row r="478" spans="1:30">
      <c r="A478" s="118">
        <v>56234</v>
      </c>
      <c r="B478" s="101">
        <f t="shared" ca="1" si="189"/>
        <v>920.33737033064483</v>
      </c>
      <c r="C478" s="102">
        <f t="shared" ca="1" si="190"/>
        <v>1.5697097685076797</v>
      </c>
      <c r="D478" s="102">
        <f t="shared" si="191"/>
        <v>93.81408433507184</v>
      </c>
      <c r="E478" s="103">
        <f t="shared" si="192"/>
        <v>1.5601367446530379</v>
      </c>
      <c r="F478" s="101">
        <f t="shared" si="193"/>
        <v>7631.8987361748159</v>
      </c>
      <c r="G478" s="104">
        <f t="shared" si="194"/>
        <v>1.5706652978023181</v>
      </c>
      <c r="H478" s="113">
        <f t="shared" si="195"/>
        <v>918.69034673392207</v>
      </c>
      <c r="I478" s="114">
        <f t="shared" si="196"/>
        <v>1.5697078205304851</v>
      </c>
      <c r="J478" s="101">
        <f t="shared" si="197"/>
        <v>93.575601085821617</v>
      </c>
      <c r="K478" s="104">
        <f t="shared" si="198"/>
        <v>1.5601095770109088</v>
      </c>
      <c r="L478" s="102">
        <f t="shared" si="199"/>
        <v>4.2016804686796725</v>
      </c>
      <c r="M478" s="103">
        <f t="shared" si="200"/>
        <v>1.3304901550415231</v>
      </c>
      <c r="N478" s="101">
        <f t="shared" si="201"/>
        <v>1.1942970485932871</v>
      </c>
      <c r="O478" s="104">
        <f t="shared" si="202"/>
        <v>0.57844717259721234</v>
      </c>
      <c r="P478" s="105">
        <f t="shared" ca="1" si="203"/>
        <v>3.3041665456419222</v>
      </c>
      <c r="Q478" s="106">
        <f t="shared" ca="1" si="204"/>
        <v>1.3623471722292249</v>
      </c>
      <c r="R478" s="107">
        <f t="shared" ca="1" si="205"/>
        <v>-4.9049774045116665</v>
      </c>
      <c r="S478" s="108">
        <f t="shared" ca="1" si="206"/>
        <v>-124.95890204798307</v>
      </c>
      <c r="T478" s="116">
        <f t="shared" ca="1" si="207"/>
        <v>55.041097952016926</v>
      </c>
      <c r="V478" s="72">
        <f t="shared" ca="1" si="208"/>
        <v>56234</v>
      </c>
      <c r="W478" s="72">
        <f t="shared" si="209"/>
        <v>3162262756</v>
      </c>
      <c r="Y478" s="110">
        <f t="shared" si="210"/>
        <v>17.196091473840831</v>
      </c>
      <c r="Z478" s="111">
        <f t="shared" si="211"/>
        <v>-46.353664893797578</v>
      </c>
      <c r="AA478" s="72">
        <f t="shared" si="212"/>
        <v>133.64633510620243</v>
      </c>
      <c r="AB478" s="110">
        <f t="shared" ca="1" si="213"/>
        <v>-6.1834685314709947</v>
      </c>
      <c r="AC478" s="111">
        <f t="shared" ca="1" si="214"/>
        <v>-78.605237154185474</v>
      </c>
      <c r="AD478" s="72">
        <f t="shared" ca="1" si="215"/>
        <v>101.39476284581453</v>
      </c>
    </row>
    <row r="479" spans="1:30">
      <c r="A479" s="118">
        <v>56561.5</v>
      </c>
      <c r="B479" s="101">
        <f t="shared" ca="1" si="189"/>
        <v>925.69729731371081</v>
      </c>
      <c r="C479" s="102">
        <f t="shared" ca="1" si="190"/>
        <v>1.569716059846513</v>
      </c>
      <c r="D479" s="102">
        <f t="shared" si="191"/>
        <v>94.360384292003971</v>
      </c>
      <c r="E479" s="103">
        <f t="shared" si="192"/>
        <v>1.5601984606789812</v>
      </c>
      <c r="F479" s="101">
        <f t="shared" si="193"/>
        <v>7676.345988607678</v>
      </c>
      <c r="G479" s="104">
        <f t="shared" si="194"/>
        <v>1.5706660564808288</v>
      </c>
      <c r="H479" s="113">
        <f t="shared" si="195"/>
        <v>924.04068163988075</v>
      </c>
      <c r="I479" s="114">
        <f t="shared" si="196"/>
        <v>1.5697141231483867</v>
      </c>
      <c r="J479" s="101">
        <f t="shared" si="197"/>
        <v>94.120511987461981</v>
      </c>
      <c r="K479" s="104">
        <f t="shared" si="198"/>
        <v>1.5601714503062547</v>
      </c>
      <c r="L479" s="102">
        <f t="shared" si="199"/>
        <v>4.2247682499912962</v>
      </c>
      <c r="M479" s="103">
        <f t="shared" si="200"/>
        <v>1.3318290526739387</v>
      </c>
      <c r="N479" s="101">
        <f t="shared" si="201"/>
        <v>1.1963803196362952</v>
      </c>
      <c r="O479" s="104">
        <f t="shared" si="202"/>
        <v>0.58110858411721145</v>
      </c>
      <c r="P479" s="105">
        <f t="shared" ca="1" si="203"/>
        <v>3.3218295517105672</v>
      </c>
      <c r="Q479" s="106">
        <f t="shared" ca="1" si="204"/>
        <v>1.364608006579056</v>
      </c>
      <c r="R479" s="107">
        <f t="shared" ca="1" si="205"/>
        <v>-4.9692651531487622</v>
      </c>
      <c r="S479" s="108">
        <f t="shared" ca="1" si="206"/>
        <v>-125.16426461245391</v>
      </c>
      <c r="T479" s="116">
        <f t="shared" ca="1" si="207"/>
        <v>54.835735387546094</v>
      </c>
      <c r="V479" s="72">
        <f t="shared" ca="1" si="208"/>
        <v>56561.5</v>
      </c>
      <c r="W479" s="72">
        <f t="shared" si="209"/>
        <v>3199203282.25</v>
      </c>
      <c r="Y479" s="110">
        <f t="shared" si="210"/>
        <v>17.178117656966968</v>
      </c>
      <c r="Z479" s="111">
        <f t="shared" si="211"/>
        <v>-46.432666792352762</v>
      </c>
      <c r="AA479" s="72">
        <f t="shared" si="212"/>
        <v>133.56733320764724</v>
      </c>
      <c r="AB479" s="110">
        <f t="shared" ca="1" si="213"/>
        <v>-6.2297824632342271</v>
      </c>
      <c r="AC479" s="111">
        <f t="shared" ca="1" si="214"/>
        <v>-78.731597820101157</v>
      </c>
      <c r="AD479" s="72">
        <f t="shared" ca="1" si="215"/>
        <v>101.26840217989884</v>
      </c>
    </row>
    <row r="480" spans="1:30">
      <c r="A480" s="118">
        <v>56889</v>
      </c>
      <c r="B480" s="101">
        <f t="shared" ca="1" si="189"/>
        <v>931.05722433299456</v>
      </c>
      <c r="C480" s="102">
        <f t="shared" ca="1" si="190"/>
        <v>1.5697222787491607</v>
      </c>
      <c r="D480" s="102">
        <f t="shared" si="191"/>
        <v>94.906684604204713</v>
      </c>
      <c r="E480" s="103">
        <f t="shared" si="192"/>
        <v>1.5602594662075877</v>
      </c>
      <c r="F480" s="101">
        <f t="shared" si="193"/>
        <v>7720.7932410449057</v>
      </c>
      <c r="G480" s="104">
        <f t="shared" si="194"/>
        <v>1.5706668064241813</v>
      </c>
      <c r="H480" s="113">
        <f t="shared" si="195"/>
        <v>929.39101658212257</v>
      </c>
      <c r="I480" s="114">
        <f t="shared" si="196"/>
        <v>1.5697203532002402</v>
      </c>
      <c r="J480" s="101">
        <f t="shared" si="197"/>
        <v>94.665423245276187</v>
      </c>
      <c r="K480" s="104">
        <f t="shared" si="198"/>
        <v>1.5602326112941274</v>
      </c>
      <c r="L480" s="102">
        <f t="shared" si="199"/>
        <v>4.2478635224862007</v>
      </c>
      <c r="M480" s="103">
        <f t="shared" si="200"/>
        <v>1.3331533937139826</v>
      </c>
      <c r="N480" s="101">
        <f t="shared" si="201"/>
        <v>1.1984720352787224</v>
      </c>
      <c r="O480" s="104">
        <f t="shared" si="202"/>
        <v>0.58376072434557347</v>
      </c>
      <c r="P480" s="105">
        <f t="shared" ca="1" si="203"/>
        <v>3.3395050125478005</v>
      </c>
      <c r="Q480" s="106">
        <f t="shared" ca="1" si="204"/>
        <v>1.3668512042962349</v>
      </c>
      <c r="R480" s="107">
        <f t="shared" ca="1" si="205"/>
        <v>-5.0333274610984464</v>
      </c>
      <c r="S480" s="108">
        <f t="shared" ca="1" si="206"/>
        <v>-125.36891890097336</v>
      </c>
      <c r="T480" s="116">
        <f t="shared" ca="1" si="207"/>
        <v>54.631081099026645</v>
      </c>
      <c r="V480" s="72">
        <f t="shared" ca="1" si="208"/>
        <v>56889</v>
      </c>
      <c r="W480" s="72">
        <f t="shared" si="209"/>
        <v>3236358321</v>
      </c>
      <c r="Y480" s="110">
        <f t="shared" si="210"/>
        <v>17.160155996862144</v>
      </c>
      <c r="Z480" s="111">
        <f t="shared" si="211"/>
        <v>-46.511934361362457</v>
      </c>
      <c r="AA480" s="72">
        <f t="shared" si="212"/>
        <v>133.48806563863755</v>
      </c>
      <c r="AB480" s="110">
        <f t="shared" ca="1" si="213"/>
        <v>-6.2758831110790858</v>
      </c>
      <c r="AC480" s="111">
        <f t="shared" ca="1" si="214"/>
        <v>-78.856984539610963</v>
      </c>
      <c r="AD480" s="72">
        <f t="shared" ca="1" si="215"/>
        <v>101.14301546038904</v>
      </c>
    </row>
    <row r="481" spans="1:30">
      <c r="A481" s="118">
        <v>57216.5</v>
      </c>
      <c r="B481" s="101">
        <f t="shared" ca="1" si="189"/>
        <v>936.41715138787481</v>
      </c>
      <c r="C481" s="102">
        <f t="shared" ca="1" si="190"/>
        <v>1.5697284264594678</v>
      </c>
      <c r="D481" s="102">
        <f t="shared" si="191"/>
        <v>95.452985265574213</v>
      </c>
      <c r="E481" s="103">
        <f t="shared" si="192"/>
        <v>1.5603197734374472</v>
      </c>
      <c r="F481" s="101">
        <f t="shared" si="193"/>
        <v>7765.2404934864271</v>
      </c>
      <c r="G481" s="104">
        <f t="shared" si="194"/>
        <v>1.5706675477823724</v>
      </c>
      <c r="H481" s="113">
        <f t="shared" si="195"/>
        <v>934.74135156002433</v>
      </c>
      <c r="I481" s="114">
        <f t="shared" si="196"/>
        <v>1.5697265119321202</v>
      </c>
      <c r="J481" s="101">
        <f t="shared" si="197"/>
        <v>95.210334853148851</v>
      </c>
      <c r="K481" s="104">
        <f t="shared" si="198"/>
        <v>1.5602930722041854</v>
      </c>
      <c r="L481" s="102">
        <f t="shared" si="199"/>
        <v>4.2709661646385468</v>
      </c>
      <c r="M481" s="103">
        <f t="shared" si="200"/>
        <v>1.3344634096980172</v>
      </c>
      <c r="N481" s="101">
        <f t="shared" si="201"/>
        <v>1.2005721513823628</v>
      </c>
      <c r="O481" s="104">
        <f t="shared" si="202"/>
        <v>0.58640360452944662</v>
      </c>
      <c r="P481" s="105">
        <f t="shared" ca="1" si="203"/>
        <v>3.3571928026545117</v>
      </c>
      <c r="Q481" s="106">
        <f t="shared" ca="1" si="204"/>
        <v>1.3690770303074611</v>
      </c>
      <c r="R481" s="107">
        <f t="shared" ca="1" si="205"/>
        <v>-5.0971665619333102</v>
      </c>
      <c r="S481" s="108">
        <f t="shared" ca="1" si="206"/>
        <v>-125.57286748132759</v>
      </c>
      <c r="T481" s="116">
        <f t="shared" ca="1" si="207"/>
        <v>54.427132518672408</v>
      </c>
      <c r="V481" s="72">
        <f t="shared" ca="1" si="208"/>
        <v>57216.5</v>
      </c>
      <c r="W481" s="72">
        <f t="shared" si="209"/>
        <v>3273727872.25</v>
      </c>
      <c r="Y481" s="110">
        <f t="shared" si="210"/>
        <v>17.1422060167932</v>
      </c>
      <c r="Z481" s="111">
        <f t="shared" si="211"/>
        <v>-46.59145561709159</v>
      </c>
      <c r="AA481" s="72">
        <f t="shared" si="212"/>
        <v>133.40854438290842</v>
      </c>
      <c r="AB481" s="110">
        <f t="shared" ca="1" si="213"/>
        <v>-6.3217722318450065</v>
      </c>
      <c r="AC481" s="111">
        <f t="shared" ca="1" si="214"/>
        <v>-78.981411864236009</v>
      </c>
      <c r="AD481" s="72">
        <f t="shared" ca="1" si="215"/>
        <v>101.01858813576399</v>
      </c>
    </row>
    <row r="482" spans="1:30">
      <c r="A482" s="118">
        <v>57544</v>
      </c>
      <c r="B482" s="101">
        <f t="shared" ca="1" si="189"/>
        <v>941.7770784777432</v>
      </c>
      <c r="C482" s="102">
        <f t="shared" ca="1" si="190"/>
        <v>1.5697345041929625</v>
      </c>
      <c r="D482" s="102">
        <f t="shared" si="191"/>
        <v>95.999286270151472</v>
      </c>
      <c r="E482" s="103">
        <f t="shared" si="192"/>
        <v>1.5603793942894963</v>
      </c>
      <c r="F482" s="101">
        <f t="shared" si="193"/>
        <v>7809.6877459321668</v>
      </c>
      <c r="G482" s="104">
        <f t="shared" si="194"/>
        <v>1.5706682807019843</v>
      </c>
      <c r="H482" s="113">
        <f t="shared" si="195"/>
        <v>940.09168657297721</v>
      </c>
      <c r="I482" s="114">
        <f t="shared" si="196"/>
        <v>1.5697326005617342</v>
      </c>
      <c r="J482" s="101">
        <f t="shared" si="197"/>
        <v>95.755246805103724</v>
      </c>
      <c r="K482" s="104">
        <f t="shared" si="198"/>
        <v>1.5603528449877282</v>
      </c>
      <c r="L482" s="102">
        <f t="shared" si="199"/>
        <v>4.2940760574994234</v>
      </c>
      <c r="M482" s="103">
        <f t="shared" si="200"/>
        <v>1.3357593273771329</v>
      </c>
      <c r="N482" s="101">
        <f t="shared" si="201"/>
        <v>1.2026806239406616</v>
      </c>
      <c r="O482" s="104">
        <f t="shared" si="202"/>
        <v>0.58903723635501382</v>
      </c>
      <c r="P482" s="105">
        <f t="shared" ca="1" si="203"/>
        <v>3.3748927994355462</v>
      </c>
      <c r="Q482" s="106">
        <f t="shared" ca="1" si="204"/>
        <v>1.3712857444156095</v>
      </c>
      <c r="R482" s="107">
        <f t="shared" ca="1" si="205"/>
        <v>-5.1607846491805729</v>
      </c>
      <c r="S482" s="108">
        <f t="shared" ca="1" si="206"/>
        <v>-125.77611292682651</v>
      </c>
      <c r="T482" s="116">
        <f t="shared" ca="1" si="207"/>
        <v>54.223887073173486</v>
      </c>
      <c r="V482" s="72">
        <f t="shared" ca="1" si="208"/>
        <v>57544</v>
      </c>
      <c r="W482" s="72">
        <f t="shared" si="209"/>
        <v>3311311936</v>
      </c>
      <c r="Y482" s="110">
        <f t="shared" si="210"/>
        <v>17.124267263870394</v>
      </c>
      <c r="Z482" s="111">
        <f t="shared" si="211"/>
        <v>-46.671218860616662</v>
      </c>
      <c r="AA482" s="72">
        <f t="shared" si="212"/>
        <v>133.32878113938335</v>
      </c>
      <c r="AB482" s="110">
        <f t="shared" ca="1" si="213"/>
        <v>-6.3674515661694651</v>
      </c>
      <c r="AC482" s="111">
        <f t="shared" ca="1" si="214"/>
        <v>-79.10489406620988</v>
      </c>
      <c r="AD482" s="72">
        <f t="shared" ca="1" si="215"/>
        <v>100.89510593379012</v>
      </c>
    </row>
    <row r="483" spans="1:30">
      <c r="A483" s="118">
        <v>57879</v>
      </c>
      <c r="B483" s="101">
        <f t="shared" ca="1" si="189"/>
        <v>947.25975202509755</v>
      </c>
      <c r="C483" s="102">
        <f t="shared" ca="1" si="190"/>
        <v>1.569740649950605</v>
      </c>
      <c r="D483" s="102">
        <f t="shared" si="191"/>
        <v>96.558098333771525</v>
      </c>
      <c r="E483" s="103">
        <f t="shared" si="192"/>
        <v>1.5604396825137812</v>
      </c>
      <c r="F483" s="101">
        <f t="shared" si="193"/>
        <v>7855.1528743924055</v>
      </c>
      <c r="G483" s="104">
        <f t="shared" si="194"/>
        <v>1.5706690218246826</v>
      </c>
      <c r="H483" s="113">
        <f t="shared" si="195"/>
        <v>945.564548377596</v>
      </c>
      <c r="I483" s="114">
        <f t="shared" si="196"/>
        <v>1.5697387573374495</v>
      </c>
      <c r="J483" s="101">
        <f t="shared" si="197"/>
        <v>96.31263800662532</v>
      </c>
      <c r="K483" s="104">
        <f t="shared" si="198"/>
        <v>1.560413286844553</v>
      </c>
      <c r="L483" s="102">
        <f t="shared" si="199"/>
        <v>4.3177225648537201</v>
      </c>
      <c r="M483" s="103">
        <f t="shared" si="200"/>
        <v>1.3370705677655983</v>
      </c>
      <c r="N483" s="101">
        <f t="shared" si="201"/>
        <v>1.2048459820924842</v>
      </c>
      <c r="O483" s="104">
        <f t="shared" si="202"/>
        <v>0.59172162452005095</v>
      </c>
      <c r="P483" s="105">
        <f t="shared" ca="1" si="203"/>
        <v>3.3930106440056016</v>
      </c>
      <c r="Q483" s="106">
        <f t="shared" ca="1" si="204"/>
        <v>1.373527601158675</v>
      </c>
      <c r="R483" s="107">
        <f t="shared" ca="1" si="205"/>
        <v>-5.2256332213536005</v>
      </c>
      <c r="S483" s="108">
        <f t="shared" ca="1" si="206"/>
        <v>-125.98328806336903</v>
      </c>
      <c r="T483" s="116">
        <f t="shared" ca="1" si="207"/>
        <v>54.016711936630969</v>
      </c>
      <c r="V483" s="72">
        <f t="shared" ca="1" si="208"/>
        <v>57879</v>
      </c>
      <c r="W483" s="72">
        <f t="shared" si="209"/>
        <v>3349978641</v>
      </c>
      <c r="Y483" s="110">
        <f t="shared" si="210"/>
        <v>17.105928867489602</v>
      </c>
      <c r="Z483" s="111">
        <f t="shared" si="211"/>
        <v>-46.753047202196313</v>
      </c>
      <c r="AA483" s="72">
        <f t="shared" si="212"/>
        <v>133.24695279780369</v>
      </c>
      <c r="AB483" s="110">
        <f t="shared" ca="1" si="213"/>
        <v>-6.4139617419616979</v>
      </c>
      <c r="AC483" s="111">
        <f t="shared" ca="1" si="214"/>
        <v>-79.230240861172661</v>
      </c>
      <c r="AD483" s="72">
        <f t="shared" ca="1" si="215"/>
        <v>100.76975913882734</v>
      </c>
    </row>
    <row r="484" spans="1:30">
      <c r="A484" s="118">
        <v>58214</v>
      </c>
      <c r="B484" s="101">
        <f t="shared" ca="1" si="189"/>
        <v>952.7424256078184</v>
      </c>
      <c r="C484" s="102">
        <f t="shared" ca="1" si="190"/>
        <v>1.56974672497521</v>
      </c>
      <c r="D484" s="102">
        <f t="shared" si="191"/>
        <v>97.116910744309607</v>
      </c>
      <c r="E484" s="103">
        <f t="shared" si="192"/>
        <v>1.5604992769392774</v>
      </c>
      <c r="F484" s="101">
        <f t="shared" si="193"/>
        <v>7900.6180028569088</v>
      </c>
      <c r="G484" s="104">
        <f t="shared" si="194"/>
        <v>1.570669754417608</v>
      </c>
      <c r="H484" s="113">
        <f t="shared" si="195"/>
        <v>951.03741021764483</v>
      </c>
      <c r="I484" s="114">
        <f t="shared" si="196"/>
        <v>1.5697448432533179</v>
      </c>
      <c r="J484" s="101">
        <f t="shared" si="197"/>
        <v>96.870029555948861</v>
      </c>
      <c r="K484" s="104">
        <f t="shared" si="198"/>
        <v>1.5604730331349597</v>
      </c>
      <c r="L484" s="102">
        <f t="shared" si="199"/>
        <v>4.3413764150124896</v>
      </c>
      <c r="M484" s="103">
        <f t="shared" si="200"/>
        <v>1.3383675218613773</v>
      </c>
      <c r="N484" s="101">
        <f t="shared" si="201"/>
        <v>1.2070199911048547</v>
      </c>
      <c r="O484" s="104">
        <f t="shared" si="202"/>
        <v>0.5943963619968029</v>
      </c>
      <c r="P484" s="105">
        <f t="shared" ca="1" si="203"/>
        <v>3.4111410102470257</v>
      </c>
      <c r="Q484" s="106">
        <f t="shared" ca="1" si="204"/>
        <v>1.3757520872671218</v>
      </c>
      <c r="R484" s="107">
        <f t="shared" ca="1" si="205"/>
        <v>-5.2902550598476363</v>
      </c>
      <c r="S484" s="108">
        <f t="shared" ca="1" si="206"/>
        <v>-126.18973295369508</v>
      </c>
      <c r="T484" s="116">
        <f t="shared" ca="1" si="207"/>
        <v>53.810267046304915</v>
      </c>
      <c r="V484" s="72">
        <f t="shared" ca="1" si="208"/>
        <v>58214</v>
      </c>
      <c r="W484" s="72">
        <f t="shared" si="209"/>
        <v>3388869796</v>
      </c>
      <c r="Y484" s="110">
        <f t="shared" si="210"/>
        <v>17.087601332364692</v>
      </c>
      <c r="Z484" s="111">
        <f t="shared" si="211"/>
        <v>-46.835104862573957</v>
      </c>
      <c r="AA484" s="72">
        <f t="shared" si="212"/>
        <v>133.16489513742604</v>
      </c>
      <c r="AB484" s="110">
        <f t="shared" ca="1" si="213"/>
        <v>-6.4602560453308246</v>
      </c>
      <c r="AC484" s="111">
        <f t="shared" ca="1" si="214"/>
        <v>-79.354628091121157</v>
      </c>
      <c r="AD484" s="72">
        <f t="shared" ca="1" si="215"/>
        <v>100.64537190887884</v>
      </c>
    </row>
    <row r="485" spans="1:30">
      <c r="A485" s="118">
        <v>58549</v>
      </c>
      <c r="B485" s="101">
        <f t="shared" ca="1" si="189"/>
        <v>958.22509922529855</v>
      </c>
      <c r="C485" s="102">
        <f t="shared" ca="1" si="190"/>
        <v>1.5697527304809156</v>
      </c>
      <c r="D485" s="102">
        <f t="shared" si="191"/>
        <v>97.675723495811397</v>
      </c>
      <c r="E485" s="103">
        <f t="shared" si="192"/>
        <v>1.5605581894734379</v>
      </c>
      <c r="F485" s="101">
        <f t="shared" si="193"/>
        <v>7946.083131325604</v>
      </c>
      <c r="G485" s="104">
        <f t="shared" si="194"/>
        <v>1.5706704786271752</v>
      </c>
      <c r="H485" s="113">
        <f t="shared" si="195"/>
        <v>956.51027209251538</v>
      </c>
      <c r="I485" s="114">
        <f t="shared" si="196"/>
        <v>1.5697508595256542</v>
      </c>
      <c r="J485" s="101">
        <f t="shared" si="197"/>
        <v>97.427421447104962</v>
      </c>
      <c r="K485" s="104">
        <f t="shared" si="198"/>
        <v>1.5605320957967299</v>
      </c>
      <c r="L485" s="102">
        <f t="shared" si="199"/>
        <v>4.3650374886052159</v>
      </c>
      <c r="M485" s="103">
        <f t="shared" si="200"/>
        <v>1.3396504175857995</v>
      </c>
      <c r="N485" s="101">
        <f t="shared" si="201"/>
        <v>1.2092026043179782</v>
      </c>
      <c r="O485" s="104">
        <f t="shared" si="202"/>
        <v>0.5970614626696511</v>
      </c>
      <c r="P485" s="105">
        <f t="shared" ca="1" si="203"/>
        <v>3.4292837759203398</v>
      </c>
      <c r="Q485" s="106">
        <f t="shared" ca="1" si="204"/>
        <v>1.3779594649246889</v>
      </c>
      <c r="R485" s="107">
        <f t="shared" ca="1" si="205"/>
        <v>-5.3546523883430464</v>
      </c>
      <c r="S485" s="108">
        <f t="shared" ca="1" si="206"/>
        <v>-126.39545036641474</v>
      </c>
      <c r="T485" s="116">
        <f t="shared" ca="1" si="207"/>
        <v>53.604549633585265</v>
      </c>
      <c r="V485" s="72">
        <f t="shared" ca="1" si="208"/>
        <v>58549</v>
      </c>
      <c r="W485" s="72">
        <f t="shared" si="209"/>
        <v>3427985401</v>
      </c>
      <c r="Y485" s="110">
        <f t="shared" si="210"/>
        <v>17.06928424553422</v>
      </c>
      <c r="Z485" s="111">
        <f t="shared" si="211"/>
        <v>-46.917380201019505</v>
      </c>
      <c r="AA485" s="72">
        <f t="shared" si="212"/>
        <v>133.08261979898049</v>
      </c>
      <c r="AB485" s="110">
        <f t="shared" ca="1" si="213"/>
        <v>-6.5063362869957606</v>
      </c>
      <c r="AC485" s="111">
        <f t="shared" ca="1" si="214"/>
        <v>-79.478070165395238</v>
      </c>
      <c r="AD485" s="72">
        <f t="shared" ca="1" si="215"/>
        <v>100.52192983460476</v>
      </c>
    </row>
    <row r="486" spans="1:30">
      <c r="A486" s="118">
        <v>58884</v>
      </c>
      <c r="B486" s="101">
        <f t="shared" ca="1" si="189"/>
        <v>963.70777287694511</v>
      </c>
      <c r="C486" s="102">
        <f t="shared" ca="1" si="190"/>
        <v>1.5697586676542312</v>
      </c>
      <c r="D486" s="102">
        <f t="shared" si="191"/>
        <v>98.23453658245819</v>
      </c>
      <c r="E486" s="103">
        <f t="shared" si="192"/>
        <v>1.5606164317527909</v>
      </c>
      <c r="F486" s="101">
        <f t="shared" si="193"/>
        <v>7991.5482597984201</v>
      </c>
      <c r="G486" s="104">
        <f t="shared" si="194"/>
        <v>1.5706711945964664</v>
      </c>
      <c r="H486" s="113">
        <f t="shared" si="195"/>
        <v>961.98313400161339</v>
      </c>
      <c r="I486" s="114">
        <f t="shared" si="196"/>
        <v>1.5697568073430945</v>
      </c>
      <c r="J486" s="101">
        <f t="shared" si="197"/>
        <v>97.984813674259996</v>
      </c>
      <c r="K486" s="104">
        <f t="shared" si="198"/>
        <v>1.5605904864960305</v>
      </c>
      <c r="L486" s="102">
        <f t="shared" si="199"/>
        <v>4.3887056687995933</v>
      </c>
      <c r="M486" s="103">
        <f t="shared" si="200"/>
        <v>1.3409194781308591</v>
      </c>
      <c r="N486" s="101">
        <f t="shared" si="201"/>
        <v>1.21139377522433</v>
      </c>
      <c r="O486" s="104">
        <f t="shared" si="202"/>
        <v>0.59971694087069305</v>
      </c>
      <c r="P486" s="105">
        <f t="shared" ca="1" si="203"/>
        <v>3.4474388216630119</v>
      </c>
      <c r="Q486" s="106">
        <f t="shared" ca="1" si="204"/>
        <v>1.3801499912078792</v>
      </c>
      <c r="R486" s="107">
        <f t="shared" ca="1" si="205"/>
        <v>-5.4188273906563058</v>
      </c>
      <c r="S486" s="108">
        <f t="shared" ca="1" si="206"/>
        <v>-126.60044307391027</v>
      </c>
      <c r="T486" s="116">
        <f t="shared" ca="1" si="207"/>
        <v>53.39955692608973</v>
      </c>
      <c r="V486" s="72">
        <f t="shared" ca="1" si="208"/>
        <v>58884</v>
      </c>
      <c r="W486" s="72">
        <f t="shared" si="209"/>
        <v>3467325456</v>
      </c>
      <c r="Y486" s="110">
        <f t="shared" si="210"/>
        <v>17.050977216425849</v>
      </c>
      <c r="Z486" s="111">
        <f t="shared" si="211"/>
        <v>-46.999861859258715</v>
      </c>
      <c r="AA486" s="72">
        <f t="shared" si="212"/>
        <v>133.00013814074129</v>
      </c>
      <c r="AB486" s="110">
        <f t="shared" ca="1" si="213"/>
        <v>-6.5522042602006501</v>
      </c>
      <c r="AC486" s="111">
        <f t="shared" ca="1" si="214"/>
        <v>-79.600581214651584</v>
      </c>
      <c r="AD486" s="72">
        <f t="shared" ca="1" si="215"/>
        <v>100.39941878534842</v>
      </c>
    </row>
    <row r="487" spans="1:30">
      <c r="A487" s="118">
        <v>59227</v>
      </c>
      <c r="B487" s="101">
        <f t="shared" ca="1" si="189"/>
        <v>969.32137608342521</v>
      </c>
      <c r="C487" s="102">
        <f t="shared" ca="1" si="190"/>
        <v>1.5697646770221205</v>
      </c>
      <c r="D487" s="102">
        <f t="shared" si="191"/>
        <v>98.80669480054101</v>
      </c>
      <c r="E487" s="103">
        <f t="shared" si="192"/>
        <v>1.5606753823135979</v>
      </c>
      <c r="F487" s="101">
        <f t="shared" si="193"/>
        <v>8038.0991226867218</v>
      </c>
      <c r="G487" s="104">
        <f t="shared" si="194"/>
        <v>1.57067191927176</v>
      </c>
      <c r="H487" s="113">
        <f t="shared" si="195"/>
        <v>967.58669115533769</v>
      </c>
      <c r="I487" s="114">
        <f t="shared" si="196"/>
        <v>1.569762827484539</v>
      </c>
      <c r="J487" s="101">
        <f t="shared" si="197"/>
        <v>98.555517102747785</v>
      </c>
      <c r="K487" s="104">
        <f t="shared" si="198"/>
        <v>1.5606495872820727</v>
      </c>
      <c r="L487" s="102">
        <f t="shared" si="199"/>
        <v>4.4129463030426876</v>
      </c>
      <c r="M487" s="103">
        <f t="shared" si="200"/>
        <v>1.3422047381354387</v>
      </c>
      <c r="N487" s="101">
        <f t="shared" si="201"/>
        <v>1.2136460908694</v>
      </c>
      <c r="O487" s="104">
        <f t="shared" si="202"/>
        <v>0.6024258790049003</v>
      </c>
      <c r="P487" s="105">
        <f t="shared" ca="1" si="203"/>
        <v>3.4660400224816419</v>
      </c>
      <c r="Q487" s="106">
        <f t="shared" ca="1" si="204"/>
        <v>1.3823756319942893</v>
      </c>
      <c r="R487" s="107">
        <f t="shared" ca="1" si="205"/>
        <v>-5.4843068166237385</v>
      </c>
      <c r="S487" s="108">
        <f t="shared" ca="1" si="206"/>
        <v>-126.80958315696402</v>
      </c>
      <c r="T487" s="116">
        <f t="shared" ca="1" si="207"/>
        <v>53.190416843035976</v>
      </c>
      <c r="V487" s="72">
        <f t="shared" ca="1" si="208"/>
        <v>59227</v>
      </c>
      <c r="W487" s="72">
        <f t="shared" si="209"/>
        <v>3507837529</v>
      </c>
      <c r="Y487" s="110">
        <f t="shared" si="210"/>
        <v>17.032243040124744</v>
      </c>
      <c r="Z487" s="111">
        <f t="shared" si="211"/>
        <v>-47.084515425313292</v>
      </c>
      <c r="AA487" s="72">
        <f t="shared" si="212"/>
        <v>132.9154845746867</v>
      </c>
      <c r="AB487" s="110">
        <f t="shared" ca="1" si="213"/>
        <v>-6.5989495098669773</v>
      </c>
      <c r="AC487" s="111">
        <f t="shared" ca="1" si="214"/>
        <v>-79.725067731650725</v>
      </c>
      <c r="AD487" s="72">
        <f t="shared" ca="1" si="215"/>
        <v>100.27493226834927</v>
      </c>
    </row>
    <row r="488" spans="1:30">
      <c r="A488" s="118">
        <v>59570</v>
      </c>
      <c r="B488" s="101">
        <f t="shared" ca="1" si="189"/>
        <v>974.93497932450691</v>
      </c>
      <c r="C488" s="102">
        <f t="shared" ca="1" si="190"/>
        <v>1.5697706171870214</v>
      </c>
      <c r="D488" s="102">
        <f t="shared" si="191"/>
        <v>99.378853358039947</v>
      </c>
      <c r="E488" s="103">
        <f t="shared" si="192"/>
        <v>1.5607336540769201</v>
      </c>
      <c r="F488" s="101">
        <f t="shared" si="193"/>
        <v>8084.6499855791972</v>
      </c>
      <c r="G488" s="104">
        <f t="shared" si="194"/>
        <v>1.5706726356017919</v>
      </c>
      <c r="H488" s="113">
        <f t="shared" si="195"/>
        <v>973.19024834372544</v>
      </c>
      <c r="I488" s="114">
        <f t="shared" si="196"/>
        <v>1.5697687782989289</v>
      </c>
      <c r="J488" s="101">
        <f t="shared" si="197"/>
        <v>99.126220871516566</v>
      </c>
      <c r="K488" s="104">
        <f t="shared" si="198"/>
        <v>1.5607080075411865</v>
      </c>
      <c r="L488" s="102">
        <f t="shared" si="199"/>
        <v>4.4371941473469043</v>
      </c>
      <c r="M488" s="103">
        <f t="shared" si="200"/>
        <v>1.3434759531526128</v>
      </c>
      <c r="N488" s="101">
        <f t="shared" si="201"/>
        <v>1.215907279636071</v>
      </c>
      <c r="O488" s="104">
        <f t="shared" si="202"/>
        <v>0.60512476141021565</v>
      </c>
      <c r="P488" s="105">
        <f t="shared" ca="1" si="203"/>
        <v>3.4846538525689805</v>
      </c>
      <c r="Q488" s="106">
        <f t="shared" ca="1" si="204"/>
        <v>1.3845841364971574</v>
      </c>
      <c r="R488" s="107">
        <f t="shared" ca="1" si="205"/>
        <v>-5.5495576804218905</v>
      </c>
      <c r="S488" s="108">
        <f t="shared" ca="1" si="206"/>
        <v>-127.01796940084003</v>
      </c>
      <c r="T488" s="116">
        <f t="shared" ca="1" si="207"/>
        <v>52.98203059915997</v>
      </c>
      <c r="V488" s="72">
        <f t="shared" ca="1" si="208"/>
        <v>59570</v>
      </c>
      <c r="W488" s="72">
        <f t="shared" si="209"/>
        <v>3548584900</v>
      </c>
      <c r="Y488" s="110">
        <f t="shared" si="210"/>
        <v>17.013518647242549</v>
      </c>
      <c r="Z488" s="111">
        <f t="shared" si="211"/>
        <v>-47.169362061722879</v>
      </c>
      <c r="AA488" s="72">
        <f t="shared" si="212"/>
        <v>132.83063793827711</v>
      </c>
      <c r="AB488" s="110">
        <f t="shared" ca="1" si="213"/>
        <v>-6.6454759807829324</v>
      </c>
      <c r="AC488" s="111">
        <f t="shared" ca="1" si="214"/>
        <v>-79.848607339117152</v>
      </c>
      <c r="AD488" s="72">
        <f t="shared" ca="1" si="215"/>
        <v>100.15139266088285</v>
      </c>
    </row>
    <row r="489" spans="1:30">
      <c r="A489" s="118">
        <v>59913</v>
      </c>
      <c r="B489" s="101">
        <f t="shared" ca="1" si="189"/>
        <v>980.54858259959576</v>
      </c>
      <c r="C489" s="102">
        <f t="shared" ca="1" si="190"/>
        <v>1.5697764893374873</v>
      </c>
      <c r="D489" s="102">
        <f t="shared" si="191"/>
        <v>99.951012249126151</v>
      </c>
      <c r="E489" s="103">
        <f t="shared" si="192"/>
        <v>1.5607912586994688</v>
      </c>
      <c r="F489" s="101">
        <f t="shared" si="193"/>
        <v>8131.2008484757725</v>
      </c>
      <c r="G489" s="104">
        <f t="shared" si="194"/>
        <v>1.5706733437298912</v>
      </c>
      <c r="H489" s="113">
        <f t="shared" si="195"/>
        <v>978.7938055661815</v>
      </c>
      <c r="I489" s="114">
        <f t="shared" si="196"/>
        <v>1.5697746609769478</v>
      </c>
      <c r="J489" s="101">
        <f t="shared" si="197"/>
        <v>99.69692497472262</v>
      </c>
      <c r="K489" s="104">
        <f t="shared" si="198"/>
        <v>1.5607657589597748</v>
      </c>
      <c r="L489" s="102">
        <f t="shared" si="199"/>
        <v>4.4614490841528358</v>
      </c>
      <c r="M489" s="103">
        <f t="shared" si="200"/>
        <v>1.3447333481092569</v>
      </c>
      <c r="N489" s="101">
        <f t="shared" si="201"/>
        <v>1.2181772921133021</v>
      </c>
      <c r="O489" s="104">
        <f t="shared" si="202"/>
        <v>0.60781360487545366</v>
      </c>
      <c r="P489" s="105">
        <f t="shared" ca="1" si="203"/>
        <v>3.5032801927213364</v>
      </c>
      <c r="Q489" s="106">
        <f t="shared" ca="1" si="204"/>
        <v>1.3867757647792067</v>
      </c>
      <c r="R489" s="107">
        <f t="shared" ca="1" si="205"/>
        <v>-5.6145822022380862</v>
      </c>
      <c r="S489" s="108">
        <f t="shared" ca="1" si="206"/>
        <v>-127.22560479039359</v>
      </c>
      <c r="T489" s="116">
        <f t="shared" ca="1" si="207"/>
        <v>52.774395209606411</v>
      </c>
      <c r="V489" s="72">
        <f t="shared" ca="1" si="208"/>
        <v>59913</v>
      </c>
      <c r="W489" s="72">
        <f t="shared" si="209"/>
        <v>3589567569</v>
      </c>
      <c r="Y489" s="110">
        <f t="shared" si="210"/>
        <v>16.994803686032252</v>
      </c>
      <c r="Z489" s="111">
        <f t="shared" si="211"/>
        <v>-47.25439045262749</v>
      </c>
      <c r="AA489" s="72">
        <f t="shared" si="212"/>
        <v>132.74560954737251</v>
      </c>
      <c r="AB489" s="110">
        <f t="shared" ca="1" si="213"/>
        <v>-6.6917855413888354</v>
      </c>
      <c r="AC489" s="111">
        <f t="shared" ca="1" si="214"/>
        <v>-79.971214337766085</v>
      </c>
      <c r="AD489" s="72">
        <f t="shared" ca="1" si="215"/>
        <v>100.02878566223391</v>
      </c>
    </row>
    <row r="490" spans="1:30">
      <c r="A490" s="118">
        <v>60256</v>
      </c>
      <c r="B490" s="101">
        <f t="shared" ca="1" si="189"/>
        <v>986.16218590811116</v>
      </c>
      <c r="C490" s="102">
        <f t="shared" ca="1" si="190"/>
        <v>1.569782294635008</v>
      </c>
      <c r="D490" s="102">
        <f t="shared" si="191"/>
        <v>100.5231714681035</v>
      </c>
      <c r="E490" s="103">
        <f t="shared" si="192"/>
        <v>1.5608482075725829</v>
      </c>
      <c r="F490" s="101">
        <f t="shared" si="193"/>
        <v>8177.7517113763788</v>
      </c>
      <c r="G490" s="104">
        <f t="shared" si="194"/>
        <v>1.5706740437961231</v>
      </c>
      <c r="H490" s="113">
        <f t="shared" si="195"/>
        <v>984.39736282212391</v>
      </c>
      <c r="I490" s="114">
        <f t="shared" si="196"/>
        <v>1.5697804766821688</v>
      </c>
      <c r="J490" s="101">
        <f t="shared" si="197"/>
        <v>100.2676294066553</v>
      </c>
      <c r="K490" s="104">
        <f t="shared" si="198"/>
        <v>1.5608228529581909</v>
      </c>
      <c r="L490" s="102">
        <f t="shared" si="199"/>
        <v>4.4857109984097043</v>
      </c>
      <c r="M490" s="103">
        <f t="shared" si="200"/>
        <v>1.3459771432429317</v>
      </c>
      <c r="N490" s="101">
        <f t="shared" si="201"/>
        <v>1.2204560790655667</v>
      </c>
      <c r="O490" s="104">
        <f t="shared" si="202"/>
        <v>0.61049242664540715</v>
      </c>
      <c r="P490" s="105">
        <f t="shared" ca="1" si="203"/>
        <v>3.5219189265941879</v>
      </c>
      <c r="Q490" s="106">
        <f t="shared" ca="1" si="204"/>
        <v>1.3889507717976763</v>
      </c>
      <c r="R490" s="107">
        <f t="shared" ca="1" si="205"/>
        <v>-5.6793825624443741</v>
      </c>
      <c r="S490" s="108">
        <f t="shared" ca="1" si="206"/>
        <v>-127.43249231253766</v>
      </c>
      <c r="T490" s="116">
        <f t="shared" ca="1" si="207"/>
        <v>52.567507687462339</v>
      </c>
      <c r="V490" s="72">
        <f t="shared" ca="1" si="208"/>
        <v>60256</v>
      </c>
      <c r="W490" s="72">
        <f t="shared" si="209"/>
        <v>3630785536</v>
      </c>
      <c r="Y490" s="110">
        <f t="shared" si="210"/>
        <v>16.976097825766399</v>
      </c>
      <c r="Z490" s="111">
        <f t="shared" si="211"/>
        <v>-47.339589563093618</v>
      </c>
      <c r="AA490" s="72">
        <f t="shared" si="212"/>
        <v>132.66041043690637</v>
      </c>
      <c r="AB490" s="110">
        <f t="shared" ca="1" si="213"/>
        <v>-6.7378800413292694</v>
      </c>
      <c r="AC490" s="111">
        <f t="shared" ca="1" si="214"/>
        <v>-80.09290274944405</v>
      </c>
      <c r="AD490" s="72">
        <f t="shared" ca="1" si="215"/>
        <v>99.90709725055595</v>
      </c>
    </row>
    <row r="491" spans="1:30">
      <c r="A491" s="118">
        <v>60607</v>
      </c>
      <c r="B491" s="101">
        <f t="shared" ca="1" si="189"/>
        <v>991.90671877387013</v>
      </c>
      <c r="C491" s="102">
        <f t="shared" ca="1" si="190"/>
        <v>1.5697881673072447</v>
      </c>
      <c r="D491" s="102">
        <f t="shared" si="191"/>
        <v>101.10867584215892</v>
      </c>
      <c r="E491" s="103">
        <f t="shared" si="192"/>
        <v>1.5609058174439181</v>
      </c>
      <c r="F491" s="101">
        <f t="shared" si="193"/>
        <v>8225.3883086927653</v>
      </c>
      <c r="G491" s="104">
        <f t="shared" si="194"/>
        <v>1.5706747519871265</v>
      </c>
      <c r="H491" s="113">
        <f t="shared" si="195"/>
        <v>990.13161532510674</v>
      </c>
      <c r="I491" s="114">
        <f t="shared" si="196"/>
        <v>1.5697863598828945</v>
      </c>
      <c r="J491" s="101">
        <f t="shared" si="197"/>
        <v>100.85164506362304</v>
      </c>
      <c r="K491" s="104">
        <f t="shared" si="198"/>
        <v>1.5608806096396148</v>
      </c>
      <c r="L491" s="102">
        <f t="shared" si="199"/>
        <v>4.5105458942057357</v>
      </c>
      <c r="M491" s="103">
        <f t="shared" si="200"/>
        <v>1.3472360938379233</v>
      </c>
      <c r="N491" s="101">
        <f t="shared" si="201"/>
        <v>1.2227970482265844</v>
      </c>
      <c r="O491" s="104">
        <f t="shared" si="202"/>
        <v>0.613223371649677</v>
      </c>
      <c r="P491" s="105">
        <f t="shared" ca="1" si="203"/>
        <v>3.5410050953565197</v>
      </c>
      <c r="Q491" s="106">
        <f t="shared" ca="1" si="204"/>
        <v>1.3911595613235757</v>
      </c>
      <c r="R491" s="107">
        <f t="shared" ca="1" si="205"/>
        <v>-5.7454644703507238</v>
      </c>
      <c r="S491" s="108">
        <f t="shared" ca="1" si="206"/>
        <v>-127.64343408228008</v>
      </c>
      <c r="T491" s="116">
        <f t="shared" ca="1" si="207"/>
        <v>52.356565917719919</v>
      </c>
      <c r="V491" s="72">
        <f t="shared" ca="1" si="208"/>
        <v>60607</v>
      </c>
      <c r="W491" s="72">
        <f t="shared" si="209"/>
        <v>3673208449</v>
      </c>
      <c r="Y491" s="110">
        <f t="shared" si="210"/>
        <v>16.956964775174384</v>
      </c>
      <c r="Z491" s="111">
        <f t="shared" si="211"/>
        <v>-47.426941338180214</v>
      </c>
      <c r="AA491" s="72">
        <f t="shared" si="212"/>
        <v>132.5730586618198</v>
      </c>
      <c r="AB491" s="110">
        <f t="shared" ca="1" si="213"/>
        <v>-6.7848288986436067</v>
      </c>
      <c r="AC491" s="111">
        <f t="shared" ca="1" si="214"/>
        <v>-80.216492744099853</v>
      </c>
      <c r="AD491" s="72">
        <f t="shared" ca="1" si="215"/>
        <v>99.783507255900147</v>
      </c>
    </row>
    <row r="492" spans="1:30">
      <c r="A492" s="118">
        <v>60958</v>
      </c>
      <c r="B492" s="101">
        <f t="shared" ca="1" si="189"/>
        <v>997.65125167344434</v>
      </c>
      <c r="C492" s="102">
        <f t="shared" ca="1" si="190"/>
        <v>1.569793972349117</v>
      </c>
      <c r="D492" s="102">
        <f t="shared" si="191"/>
        <v>101.69418054791957</v>
      </c>
      <c r="E492" s="103">
        <f t="shared" si="192"/>
        <v>1.5609627639372494</v>
      </c>
      <c r="F492" s="101">
        <f t="shared" si="193"/>
        <v>8273.0249060132264</v>
      </c>
      <c r="G492" s="104">
        <f t="shared" si="194"/>
        <v>1.5706754520225135</v>
      </c>
      <c r="H492" s="113">
        <f t="shared" si="195"/>
        <v>995.86586786196551</v>
      </c>
      <c r="I492" s="114">
        <f t="shared" si="196"/>
        <v>1.569792175332009</v>
      </c>
      <c r="J492" s="101">
        <f t="shared" si="197"/>
        <v>101.43566105314123</v>
      </c>
      <c r="K492" s="104">
        <f t="shared" si="198"/>
        <v>1.560937701252846</v>
      </c>
      <c r="L492" s="102">
        <f t="shared" si="199"/>
        <v>4.5353878607214257</v>
      </c>
      <c r="M492" s="103">
        <f t="shared" si="200"/>
        <v>1.3484812549291754</v>
      </c>
      <c r="N492" s="101">
        <f t="shared" si="201"/>
        <v>1.2251471021913203</v>
      </c>
      <c r="O492" s="104">
        <f t="shared" si="202"/>
        <v>0.61594385998485546</v>
      </c>
      <c r="P492" s="105">
        <f t="shared" ca="1" si="203"/>
        <v>3.5601040050679855</v>
      </c>
      <c r="Q492" s="106">
        <f t="shared" ca="1" si="204"/>
        <v>1.3933514695527227</v>
      </c>
      <c r="R492" s="107">
        <f t="shared" ca="1" si="205"/>
        <v>-5.8113161343107569</v>
      </c>
      <c r="S492" s="108">
        <f t="shared" ca="1" si="206"/>
        <v>-127.8535990251479</v>
      </c>
      <c r="T492" s="116">
        <f t="shared" ca="1" si="207"/>
        <v>52.146400974852099</v>
      </c>
      <c r="V492" s="72">
        <f t="shared" ca="1" si="208"/>
        <v>60958</v>
      </c>
      <c r="W492" s="72">
        <f t="shared" si="209"/>
        <v>3715877764</v>
      </c>
      <c r="Y492" s="110">
        <f t="shared" si="210"/>
        <v>16.937840618161431</v>
      </c>
      <c r="Z492" s="111">
        <f t="shared" si="211"/>
        <v>-47.51444937962453</v>
      </c>
      <c r="AA492" s="72">
        <f t="shared" si="212"/>
        <v>132.48555062037548</v>
      </c>
      <c r="AB492" s="110">
        <f t="shared" ca="1" si="213"/>
        <v>-6.8315564055906854</v>
      </c>
      <c r="AC492" s="111">
        <f t="shared" ca="1" si="214"/>
        <v>-80.339149645523321</v>
      </c>
      <c r="AD492" s="72">
        <f t="shared" ca="1" si="215"/>
        <v>99.660850354476679</v>
      </c>
    </row>
    <row r="493" spans="1:30">
      <c r="A493" s="118">
        <v>61309</v>
      </c>
      <c r="B493" s="101">
        <f t="shared" ca="1" si="189"/>
        <v>1003.395784606253</v>
      </c>
      <c r="C493" s="102">
        <f t="shared" ca="1" si="190"/>
        <v>1.5697997109221948</v>
      </c>
      <c r="D493" s="102">
        <f t="shared" si="191"/>
        <v>102.27968557968886</v>
      </c>
      <c r="E493" s="103">
        <f t="shared" si="192"/>
        <v>1.5610190584448231</v>
      </c>
      <c r="F493" s="101">
        <f t="shared" si="193"/>
        <v>8320.6615033376966</v>
      </c>
      <c r="G493" s="104">
        <f t="shared" si="194"/>
        <v>1.5706761440423587</v>
      </c>
      <c r="H493" s="113">
        <f t="shared" si="195"/>
        <v>1001.6001204321183</v>
      </c>
      <c r="I493" s="114">
        <f t="shared" si="196"/>
        <v>1.5697979241931646</v>
      </c>
      <c r="J493" s="101">
        <f t="shared" si="197"/>
        <v>102.01967736949877</v>
      </c>
      <c r="K493" s="104">
        <f t="shared" si="198"/>
        <v>1.5609941392191493</v>
      </c>
      <c r="L493" s="102">
        <f t="shared" si="199"/>
        <v>4.5602367824031829</v>
      </c>
      <c r="M493" s="103">
        <f t="shared" si="200"/>
        <v>1.3497128480424954</v>
      </c>
      <c r="N493" s="101">
        <f t="shared" si="201"/>
        <v>1.2275061887813532</v>
      </c>
      <c r="O493" s="104">
        <f t="shared" si="202"/>
        <v>0.61865391155524285</v>
      </c>
      <c r="P493" s="105">
        <f t="shared" ca="1" si="203"/>
        <v>3.5792155398929877</v>
      </c>
      <c r="Q493" s="106">
        <f t="shared" ca="1" si="204"/>
        <v>1.3955267538696834</v>
      </c>
      <c r="R493" s="107">
        <f t="shared" ca="1" si="205"/>
        <v>-5.8769397674185777</v>
      </c>
      <c r="S493" s="108">
        <f t="shared" ca="1" si="206"/>
        <v>-128.06299034569813</v>
      </c>
      <c r="T493" s="116">
        <f t="shared" ca="1" si="207"/>
        <v>51.937009654301875</v>
      </c>
      <c r="V493" s="72">
        <f t="shared" ca="1" si="208"/>
        <v>61309</v>
      </c>
      <c r="W493" s="72">
        <f t="shared" si="209"/>
        <v>3758793481</v>
      </c>
      <c r="Y493" s="110">
        <f t="shared" si="210"/>
        <v>16.918725063406306</v>
      </c>
      <c r="Z493" s="111">
        <f t="shared" si="211"/>
        <v>-47.602102731108808</v>
      </c>
      <c r="AA493" s="72">
        <f t="shared" si="212"/>
        <v>132.3978972688912</v>
      </c>
      <c r="AB493" s="110">
        <f t="shared" ca="1" si="213"/>
        <v>-6.8780644839433798</v>
      </c>
      <c r="AC493" s="111">
        <f t="shared" ca="1" si="214"/>
        <v>-80.460887614589325</v>
      </c>
      <c r="AD493" s="72">
        <f t="shared" ca="1" si="215"/>
        <v>99.539112385410675</v>
      </c>
    </row>
    <row r="494" spans="1:30">
      <c r="A494" s="118">
        <v>61660</v>
      </c>
      <c r="B494" s="101">
        <f t="shared" ca="1" si="189"/>
        <v>1009.1403175717285</v>
      </c>
      <c r="C494" s="102">
        <f t="shared" ca="1" si="190"/>
        <v>1.5698053841615991</v>
      </c>
      <c r="D494" s="102">
        <f t="shared" si="191"/>
        <v>102.8651909318999</v>
      </c>
      <c r="E494" s="103">
        <f t="shared" si="192"/>
        <v>1.5610747120995254</v>
      </c>
      <c r="F494" s="101">
        <f t="shared" si="193"/>
        <v>8368.2981006661048</v>
      </c>
      <c r="G494" s="104">
        <f t="shared" si="194"/>
        <v>1.5706768281835481</v>
      </c>
      <c r="H494" s="113">
        <f t="shared" si="195"/>
        <v>1007.3343730349965</v>
      </c>
      <c r="I494" s="114">
        <f t="shared" si="196"/>
        <v>1.5698036076035167</v>
      </c>
      <c r="J494" s="101">
        <f t="shared" si="197"/>
        <v>102.60369400711457</v>
      </c>
      <c r="K494" s="104">
        <f t="shared" si="198"/>
        <v>1.5610499346997679</v>
      </c>
      <c r="L494" s="102">
        <f t="shared" si="199"/>
        <v>4.5850925461703831</v>
      </c>
      <c r="M494" s="103">
        <f t="shared" si="200"/>
        <v>1.3509310900667955</v>
      </c>
      <c r="N494" s="101">
        <f t="shared" si="201"/>
        <v>1.2298742560188209</v>
      </c>
      <c r="O494" s="104">
        <f t="shared" si="202"/>
        <v>0.6213535467259268</v>
      </c>
      <c r="P494" s="105">
        <f t="shared" ca="1" si="203"/>
        <v>3.5983395868293151</v>
      </c>
      <c r="Q494" s="106">
        <f t="shared" ca="1" si="204"/>
        <v>1.3976856665710218</v>
      </c>
      <c r="R494" s="107">
        <f t="shared" ca="1" si="205"/>
        <v>-5.9423375431104217</v>
      </c>
      <c r="S494" s="108">
        <f t="shared" ca="1" si="206"/>
        <v>-128.27161124882457</v>
      </c>
      <c r="T494" s="116">
        <f t="shared" ca="1" si="207"/>
        <v>51.72838875117543</v>
      </c>
      <c r="V494" s="72">
        <f t="shared" ca="1" si="208"/>
        <v>61660</v>
      </c>
      <c r="W494" s="72">
        <f t="shared" si="209"/>
        <v>3801955600</v>
      </c>
      <c r="Y494" s="110">
        <f t="shared" si="210"/>
        <v>16.899617839188142</v>
      </c>
      <c r="Z494" s="111">
        <f t="shared" si="211"/>
        <v>-47.689890714828202</v>
      </c>
      <c r="AA494" s="72">
        <f t="shared" si="212"/>
        <v>132.31010928517179</v>
      </c>
      <c r="AB494" s="110">
        <f t="shared" ca="1" si="213"/>
        <v>-6.9243550354170624</v>
      </c>
      <c r="AC494" s="111">
        <f t="shared" ca="1" si="214"/>
        <v>-80.581720533996389</v>
      </c>
      <c r="AD494" s="72">
        <f t="shared" ca="1" si="215"/>
        <v>99.418279466003611</v>
      </c>
    </row>
    <row r="495" spans="1:30">
      <c r="A495" s="118">
        <v>62019</v>
      </c>
      <c r="B495" s="101">
        <f t="shared" ca="1" si="189"/>
        <v>1015.0157800966965</v>
      </c>
      <c r="C495" s="102">
        <f t="shared" ca="1" si="190"/>
        <v>1.5698111202775391</v>
      </c>
      <c r="D495" s="102">
        <f t="shared" si="191"/>
        <v>103.46404146125332</v>
      </c>
      <c r="E495" s="103">
        <f t="shared" si="192"/>
        <v>1.561130982624505</v>
      </c>
      <c r="F495" s="101">
        <f t="shared" si="193"/>
        <v>8417.0204324105653</v>
      </c>
      <c r="G495" s="104">
        <f t="shared" si="194"/>
        <v>1.5706775199070695</v>
      </c>
      <c r="H495" s="113">
        <f t="shared" si="195"/>
        <v>1013.1993208871683</v>
      </c>
      <c r="I495" s="114">
        <f t="shared" si="196"/>
        <v>1.5698093540031295</v>
      </c>
      <c r="J495" s="101">
        <f t="shared" si="197"/>
        <v>103.201021891886</v>
      </c>
      <c r="K495" s="104">
        <f t="shared" si="198"/>
        <v>1.561106348622989</v>
      </c>
      <c r="L495" s="102">
        <f t="shared" si="199"/>
        <v>4.6105217855111036</v>
      </c>
      <c r="M495" s="103">
        <f t="shared" si="200"/>
        <v>1.3521635086156709</v>
      </c>
      <c r="N495" s="101">
        <f t="shared" si="201"/>
        <v>1.232305532344806</v>
      </c>
      <c r="O495" s="104">
        <f t="shared" si="202"/>
        <v>0.62410395852093992</v>
      </c>
      <c r="P495" s="105">
        <f t="shared" ca="1" si="203"/>
        <v>3.6179123377174172</v>
      </c>
      <c r="Q495" s="106">
        <f t="shared" ca="1" si="204"/>
        <v>1.3998771074424268</v>
      </c>
      <c r="R495" s="107">
        <f t="shared" ca="1" si="205"/>
        <v>-6.0089944535047293</v>
      </c>
      <c r="S495" s="108">
        <f t="shared" ca="1" si="206"/>
        <v>-128.48419342812585</v>
      </c>
      <c r="T495" s="116">
        <f t="shared" ca="1" si="207"/>
        <v>51.515806571874151</v>
      </c>
      <c r="V495" s="72">
        <f t="shared" ca="1" si="208"/>
        <v>62019</v>
      </c>
      <c r="W495" s="72">
        <f t="shared" si="209"/>
        <v>3846356361</v>
      </c>
      <c r="Y495" s="110">
        <f t="shared" si="210"/>
        <v>16.880083476681929</v>
      </c>
      <c r="Z495" s="111">
        <f t="shared" si="211"/>
        <v>-47.779807989363476</v>
      </c>
      <c r="AA495" s="72">
        <f t="shared" si="212"/>
        <v>132.22019201063654</v>
      </c>
      <c r="AB495" s="110">
        <f t="shared" ca="1" si="213"/>
        <v>-6.9714775833051581</v>
      </c>
      <c r="AC495" s="111">
        <f t="shared" ca="1" si="214"/>
        <v>-80.704385438762401</v>
      </c>
      <c r="AD495" s="72">
        <f t="shared" ca="1" si="215"/>
        <v>99.295614561237599</v>
      </c>
    </row>
    <row r="496" spans="1:30">
      <c r="A496" s="118">
        <v>62378</v>
      </c>
      <c r="B496" s="101">
        <f t="shared" ca="1" si="189"/>
        <v>1020.8912426546774</v>
      </c>
      <c r="C496" s="102">
        <f t="shared" ca="1" si="190"/>
        <v>1.5698167903681615</v>
      </c>
      <c r="D496" s="102">
        <f t="shared" si="191"/>
        <v>104.06289231444185</v>
      </c>
      <c r="E496" s="103">
        <f t="shared" si="192"/>
        <v>1.5611866055095418</v>
      </c>
      <c r="F496" s="101">
        <f t="shared" si="193"/>
        <v>8465.7427641590039</v>
      </c>
      <c r="G496" s="104">
        <f t="shared" si="194"/>
        <v>1.5706782036685292</v>
      </c>
      <c r="H496" s="113">
        <f t="shared" si="195"/>
        <v>1019.0642687724118</v>
      </c>
      <c r="I496" s="114">
        <f t="shared" si="196"/>
        <v>1.5698150342590551</v>
      </c>
      <c r="J496" s="101">
        <f t="shared" si="197"/>
        <v>103.79835010131768</v>
      </c>
      <c r="K496" s="104">
        <f t="shared" si="198"/>
        <v>1.5611621132561475</v>
      </c>
      <c r="L496" s="102">
        <f t="shared" si="199"/>
        <v>4.6359579507390869</v>
      </c>
      <c r="M496" s="103">
        <f t="shared" si="200"/>
        <v>1.3533824051481755</v>
      </c>
      <c r="N496" s="101">
        <f t="shared" si="201"/>
        <v>1.2347460940201984</v>
      </c>
      <c r="O496" s="104">
        <f t="shared" si="202"/>
        <v>0.62684351821092854</v>
      </c>
      <c r="P496" s="105">
        <f t="shared" ca="1" si="203"/>
        <v>3.6374979472213034</v>
      </c>
      <c r="Q496" s="106">
        <f t="shared" ca="1" si="204"/>
        <v>1.4020519400031617</v>
      </c>
      <c r="R496" s="107">
        <f t="shared" ca="1" si="205"/>
        <v>-6.0754195697939926</v>
      </c>
      <c r="S496" s="108">
        <f t="shared" ca="1" si="206"/>
        <v>-128.69597645201651</v>
      </c>
      <c r="T496" s="116">
        <f t="shared" ca="1" si="207"/>
        <v>51.304023547983491</v>
      </c>
      <c r="V496" s="72">
        <f t="shared" ca="1" si="208"/>
        <v>62378</v>
      </c>
      <c r="W496" s="72">
        <f t="shared" si="209"/>
        <v>3891014884</v>
      </c>
      <c r="Y496" s="110">
        <f t="shared" si="210"/>
        <v>16.860557313199955</v>
      </c>
      <c r="Z496" s="111">
        <f t="shared" si="211"/>
        <v>-47.869844370532057</v>
      </c>
      <c r="AA496" s="72">
        <f t="shared" si="212"/>
        <v>132.13015562946794</v>
      </c>
      <c r="AB496" s="110">
        <f t="shared" ca="1" si="213"/>
        <v>-7.0183765361124433</v>
      </c>
      <c r="AC496" s="111">
        <f t="shared" ca="1" si="214"/>
        <v>-80.826132081484403</v>
      </c>
      <c r="AD496" s="72">
        <f t="shared" ca="1" si="215"/>
        <v>99.173867918515597</v>
      </c>
    </row>
    <row r="497" spans="1:30">
      <c r="A497" s="118">
        <v>62737</v>
      </c>
      <c r="B497" s="101">
        <f t="shared" ca="1" si="189"/>
        <v>1026.766705245104</v>
      </c>
      <c r="C497" s="102">
        <f t="shared" ca="1" si="190"/>
        <v>1.5698223955669146</v>
      </c>
      <c r="D497" s="102">
        <f t="shared" si="191"/>
        <v>104.66174348590674</v>
      </c>
      <c r="E497" s="103">
        <f t="shared" si="192"/>
        <v>1.5612415918712428</v>
      </c>
      <c r="F497" s="101">
        <f t="shared" si="193"/>
        <v>8514.4650959113551</v>
      </c>
      <c r="G497" s="104">
        <f t="shared" si="194"/>
        <v>1.5706788796046112</v>
      </c>
      <c r="H497" s="113">
        <f t="shared" si="195"/>
        <v>1024.9292166901596</v>
      </c>
      <c r="I497" s="114">
        <f t="shared" si="196"/>
        <v>1.5698206495067741</v>
      </c>
      <c r="J497" s="101">
        <f t="shared" si="197"/>
        <v>104.39567862983675</v>
      </c>
      <c r="K497" s="104">
        <f t="shared" si="198"/>
        <v>1.5612172397441673</v>
      </c>
      <c r="L497" s="102">
        <f t="shared" si="199"/>
        <v>4.6614009284755378</v>
      </c>
      <c r="M497" s="103">
        <f t="shared" si="200"/>
        <v>1.3545879974311426</v>
      </c>
      <c r="N497" s="101">
        <f t="shared" si="201"/>
        <v>1.2371958860946033</v>
      </c>
      <c r="O497" s="104">
        <f t="shared" si="202"/>
        <v>0.62957224901806053</v>
      </c>
      <c r="P497" s="105">
        <f t="shared" ca="1" si="203"/>
        <v>3.6570963031772967</v>
      </c>
      <c r="Q497" s="106">
        <f t="shared" ca="1" si="204"/>
        <v>1.4042104184549071</v>
      </c>
      <c r="R497" s="107">
        <f t="shared" ca="1" si="205"/>
        <v>-6.141615094757217</v>
      </c>
      <c r="S497" s="108">
        <f t="shared" ca="1" si="206"/>
        <v>-128.90696374792904</v>
      </c>
      <c r="T497" s="116">
        <f t="shared" ca="1" si="207"/>
        <v>51.093036252070959</v>
      </c>
      <c r="V497" s="72">
        <f t="shared" ca="1" si="208"/>
        <v>62737</v>
      </c>
      <c r="W497" s="72">
        <f t="shared" si="209"/>
        <v>3935931169</v>
      </c>
      <c r="Y497" s="110">
        <f t="shared" si="210"/>
        <v>16.841039116593517</v>
      </c>
      <c r="Z497" s="111">
        <f t="shared" si="211"/>
        <v>-47.959989293075893</v>
      </c>
      <c r="AA497" s="72">
        <f t="shared" si="212"/>
        <v>132.04001070692411</v>
      </c>
      <c r="AB497" s="110">
        <f t="shared" ca="1" si="213"/>
        <v>-7.0650538644692293</v>
      </c>
      <c r="AC497" s="111">
        <f t="shared" ca="1" si="214"/>
        <v>-80.946974454853077</v>
      </c>
      <c r="AD497" s="72">
        <f t="shared" ca="1" si="215"/>
        <v>99.053025545146923</v>
      </c>
    </row>
    <row r="498" spans="1:30">
      <c r="A498" s="118">
        <v>63096</v>
      </c>
      <c r="B498" s="101">
        <f t="shared" ca="1" si="189"/>
        <v>1032.642167867423</v>
      </c>
      <c r="C498" s="102">
        <f t="shared" ca="1" si="190"/>
        <v>1.5698279369814516</v>
      </c>
      <c r="D498" s="102">
        <f t="shared" si="191"/>
        <v>105.26059497021575</v>
      </c>
      <c r="E498" s="103">
        <f t="shared" si="192"/>
        <v>1.5612959525732508</v>
      </c>
      <c r="F498" s="101">
        <f t="shared" si="193"/>
        <v>8563.1874276675535</v>
      </c>
      <c r="G498" s="104">
        <f t="shared" si="194"/>
        <v>1.5706795478488884</v>
      </c>
      <c r="H498" s="113">
        <f t="shared" si="195"/>
        <v>1030.7941646398565</v>
      </c>
      <c r="I498" s="114">
        <f t="shared" si="196"/>
        <v>1.5698262008559254</v>
      </c>
      <c r="J498" s="101">
        <f t="shared" si="197"/>
        <v>104.99300747199712</v>
      </c>
      <c r="K498" s="104">
        <f t="shared" si="198"/>
        <v>1.5612717389783644</v>
      </c>
      <c r="L498" s="102">
        <f t="shared" si="199"/>
        <v>4.6868506077735645</v>
      </c>
      <c r="M498" s="103">
        <f t="shared" si="200"/>
        <v>1.3557804986580981</v>
      </c>
      <c r="N498" s="101">
        <f t="shared" si="201"/>
        <v>1.2396548538449881</v>
      </c>
      <c r="O498" s="104">
        <f t="shared" si="202"/>
        <v>0.63229017462633785</v>
      </c>
      <c r="P498" s="105">
        <f t="shared" ca="1" si="203"/>
        <v>3.6767072962220086</v>
      </c>
      <c r="Q498" s="106">
        <f t="shared" ca="1" si="204"/>
        <v>1.4063527919434533</v>
      </c>
      <c r="R498" s="107">
        <f t="shared" ca="1" si="205"/>
        <v>-6.2075831917760862</v>
      </c>
      <c r="S498" s="108">
        <f t="shared" ca="1" si="206"/>
        <v>-129.11715874189468</v>
      </c>
      <c r="T498" s="116">
        <f t="shared" ca="1" si="207"/>
        <v>50.882841258105316</v>
      </c>
      <c r="V498" s="72">
        <f t="shared" ca="1" si="208"/>
        <v>63096</v>
      </c>
      <c r="W498" s="72">
        <f t="shared" si="209"/>
        <v>3981105216</v>
      </c>
      <c r="Y498" s="110">
        <f t="shared" si="210"/>
        <v>16.821528672858356</v>
      </c>
      <c r="Z498" s="111">
        <f t="shared" si="211"/>
        <v>-48.050232467001074</v>
      </c>
      <c r="AA498" s="72">
        <f t="shared" si="212"/>
        <v>131.94976753299892</v>
      </c>
      <c r="AB498" s="110">
        <f t="shared" ca="1" si="213"/>
        <v>-7.1115115177529367</v>
      </c>
      <c r="AC498" s="111">
        <f t="shared" ca="1" si="214"/>
        <v>-81.066926274893618</v>
      </c>
      <c r="AD498" s="72">
        <f t="shared" ca="1" si="215"/>
        <v>98.933073725106382</v>
      </c>
    </row>
    <row r="499" spans="1:30">
      <c r="A499" s="118">
        <v>63463.25</v>
      </c>
      <c r="B499" s="101">
        <f t="shared" ca="1" si="189"/>
        <v>1038.6526515991527</v>
      </c>
      <c r="C499" s="102">
        <f t="shared" ca="1" si="190"/>
        <v>1.5698335408693487</v>
      </c>
      <c r="D499" s="102">
        <f t="shared" si="191"/>
        <v>105.8732086800696</v>
      </c>
      <c r="E499" s="103">
        <f t="shared" si="192"/>
        <v>1.5613509261889504</v>
      </c>
      <c r="F499" s="101">
        <f t="shared" si="193"/>
        <v>8613.0294230404452</v>
      </c>
      <c r="G499" s="104">
        <f t="shared" si="194"/>
        <v>1.5706802236268786</v>
      </c>
      <c r="H499" s="113">
        <f t="shared" si="195"/>
        <v>1036.793892066574</v>
      </c>
      <c r="I499" s="114">
        <f t="shared" si="196"/>
        <v>1.5698318147904384</v>
      </c>
      <c r="J499" s="101">
        <f t="shared" si="197"/>
        <v>105.60406354943306</v>
      </c>
      <c r="K499" s="104">
        <f t="shared" si="198"/>
        <v>1.5613268526884869</v>
      </c>
      <c r="L499" s="102">
        <f t="shared" si="199"/>
        <v>4.7128919546038945</v>
      </c>
      <c r="M499" s="103">
        <f t="shared" si="200"/>
        <v>1.356987076006233</v>
      </c>
      <c r="N499" s="101">
        <f t="shared" si="201"/>
        <v>1.2421797674812269</v>
      </c>
      <c r="O499" s="104">
        <f t="shared" si="202"/>
        <v>0.63505940418018103</v>
      </c>
      <c r="P499" s="105">
        <f t="shared" ca="1" si="203"/>
        <v>3.6967819245885551</v>
      </c>
      <c r="Q499" s="106">
        <f t="shared" ca="1" si="204"/>
        <v>1.4085279884829323</v>
      </c>
      <c r="R499" s="107">
        <f t="shared" ca="1" si="205"/>
        <v>-6.2748341564829735</v>
      </c>
      <c r="S499" s="108">
        <f t="shared" ca="1" si="206"/>
        <v>-129.33136787011426</v>
      </c>
      <c r="T499" s="116">
        <f t="shared" ca="1" si="207"/>
        <v>50.668632129885737</v>
      </c>
      <c r="V499" s="72">
        <f t="shared" ca="1" si="208"/>
        <v>63463.25</v>
      </c>
      <c r="W499" s="72">
        <f t="shared" si="209"/>
        <v>4027584100.5625</v>
      </c>
      <c r="Y499" s="110">
        <f t="shared" si="210"/>
        <v>16.801577686605565</v>
      </c>
      <c r="Z499" s="111">
        <f t="shared" si="211"/>
        <v>-48.142640690796576</v>
      </c>
      <c r="AA499" s="72">
        <f t="shared" si="212"/>
        <v>131.85735930920342</v>
      </c>
      <c r="AB499" s="110">
        <f t="shared" ca="1" si="213"/>
        <v>-7.1588114962070373</v>
      </c>
      <c r="AC499" s="111">
        <f t="shared" ca="1" si="214"/>
        <v>-81.18872717931761</v>
      </c>
      <c r="AD499" s="72">
        <f t="shared" ca="1" si="215"/>
        <v>98.81127282068239</v>
      </c>
    </row>
    <row r="500" spans="1:30">
      <c r="A500" s="118">
        <v>63830.5</v>
      </c>
      <c r="B500" s="101">
        <f t="shared" ca="1" si="189"/>
        <v>1044.6631353631244</v>
      </c>
      <c r="C500" s="102">
        <f t="shared" ca="1" si="190"/>
        <v>1.569839080273153</v>
      </c>
      <c r="D500" s="102">
        <f t="shared" si="191"/>
        <v>106.48582270620123</v>
      </c>
      <c r="E500" s="103">
        <f t="shared" si="192"/>
        <v>1.5614052672772667</v>
      </c>
      <c r="F500" s="101">
        <f t="shared" si="193"/>
        <v>8662.871418417224</v>
      </c>
      <c r="G500" s="104">
        <f t="shared" si="194"/>
        <v>1.5706808916286659</v>
      </c>
      <c r="H500" s="113">
        <f t="shared" si="195"/>
        <v>1042.7936195255911</v>
      </c>
      <c r="I500" s="114">
        <f t="shared" si="196"/>
        <v>1.5698373641252523</v>
      </c>
      <c r="J500" s="101">
        <f t="shared" si="197"/>
        <v>106.21511994395273</v>
      </c>
      <c r="K500" s="104">
        <f t="shared" si="198"/>
        <v>1.5613813322595849</v>
      </c>
      <c r="L500" s="102">
        <f t="shared" si="199"/>
        <v>4.7389400871860126</v>
      </c>
      <c r="M500" s="103">
        <f t="shared" si="200"/>
        <v>1.3581803908917123</v>
      </c>
      <c r="N500" s="101">
        <f t="shared" si="201"/>
        <v>1.2447141682484488</v>
      </c>
      <c r="O500" s="104">
        <f t="shared" si="202"/>
        <v>0.63781737778553327</v>
      </c>
      <c r="P500" s="105">
        <f t="shared" ca="1" si="203"/>
        <v>3.716869554676415</v>
      </c>
      <c r="Q500" s="106">
        <f t="shared" ca="1" si="204"/>
        <v>1.4106868431194997</v>
      </c>
      <c r="R500" s="107">
        <f t="shared" ca="1" si="205"/>
        <v>-6.3418515780598037</v>
      </c>
      <c r="S500" s="108">
        <f t="shared" ca="1" si="206"/>
        <v>-129.54475510979984</v>
      </c>
      <c r="T500" s="116">
        <f t="shared" ca="1" si="207"/>
        <v>50.455244890200163</v>
      </c>
      <c r="V500" s="72">
        <f t="shared" ca="1" si="208"/>
        <v>63830.5</v>
      </c>
      <c r="W500" s="72">
        <f t="shared" si="209"/>
        <v>4074332730.25</v>
      </c>
      <c r="Y500" s="110">
        <f t="shared" si="210"/>
        <v>16.781634415503916</v>
      </c>
      <c r="Z500" s="111">
        <f t="shared" si="211"/>
        <v>-48.235130801642093</v>
      </c>
      <c r="AA500" s="72">
        <f t="shared" si="212"/>
        <v>131.7648691983579</v>
      </c>
      <c r="AB500" s="110">
        <f t="shared" ca="1" si="213"/>
        <v>-7.2058856466822121</v>
      </c>
      <c r="AC500" s="111">
        <f t="shared" ca="1" si="214"/>
        <v>-81.309624308157666</v>
      </c>
      <c r="AD500" s="72">
        <f t="shared" ca="1" si="215"/>
        <v>98.690375691842334</v>
      </c>
    </row>
    <row r="501" spans="1:30">
      <c r="A501" s="118">
        <v>64197.75</v>
      </c>
      <c r="B501" s="101">
        <f t="shared" ca="1" si="189"/>
        <v>1050.6736191587852</v>
      </c>
      <c r="C501" s="102">
        <f t="shared" ca="1" si="190"/>
        <v>1.5698445562995276</v>
      </c>
      <c r="D501" s="102">
        <f t="shared" si="191"/>
        <v>107.09843704318325</v>
      </c>
      <c r="E501" s="103">
        <f t="shared" si="192"/>
        <v>1.5614589866922461</v>
      </c>
      <c r="F501" s="101">
        <f t="shared" si="193"/>
        <v>8712.7134137978246</v>
      </c>
      <c r="G501" s="104">
        <f t="shared" si="194"/>
        <v>1.5706815519877038</v>
      </c>
      <c r="H501" s="113">
        <f t="shared" si="195"/>
        <v>1048.7933470163534</v>
      </c>
      <c r="I501" s="114">
        <f t="shared" si="196"/>
        <v>1.5698428499690142</v>
      </c>
      <c r="J501" s="101">
        <f t="shared" si="197"/>
        <v>106.82617665011487</v>
      </c>
      <c r="K501" s="104">
        <f t="shared" si="198"/>
        <v>1.5614351885733528</v>
      </c>
      <c r="L501" s="102">
        <f t="shared" si="199"/>
        <v>4.7649948942357527</v>
      </c>
      <c r="M501" s="103">
        <f t="shared" si="200"/>
        <v>1.3593606574436989</v>
      </c>
      <c r="N501" s="101">
        <f t="shared" si="201"/>
        <v>1.2472579983137313</v>
      </c>
      <c r="O501" s="104">
        <f t="shared" si="202"/>
        <v>0.64056412222906689</v>
      </c>
      <c r="P501" s="105">
        <f t="shared" ca="1" si="203"/>
        <v>3.7369700780515265</v>
      </c>
      <c r="Q501" s="106">
        <f t="shared" ca="1" si="204"/>
        <v>1.4128296069263722</v>
      </c>
      <c r="R501" s="107">
        <f t="shared" ca="1" si="205"/>
        <v>-6.4086376505683731</v>
      </c>
      <c r="S501" s="108">
        <f t="shared" ca="1" si="206"/>
        <v>-129.75732412156987</v>
      </c>
      <c r="T501" s="116">
        <f t="shared" ca="1" si="207"/>
        <v>50.242675878430134</v>
      </c>
      <c r="V501" s="72">
        <f t="shared" ca="1" si="208"/>
        <v>64197.75</v>
      </c>
      <c r="W501" s="72">
        <f t="shared" si="209"/>
        <v>4121351105.0625</v>
      </c>
      <c r="Y501" s="110">
        <f t="shared" si="210"/>
        <v>16.761698684560393</v>
      </c>
      <c r="Z501" s="111">
        <f t="shared" si="211"/>
        <v>-48.327692633204336</v>
      </c>
      <c r="AA501" s="72">
        <f t="shared" si="212"/>
        <v>131.67230736679568</v>
      </c>
      <c r="AB501" s="110">
        <f t="shared" ca="1" si="213"/>
        <v>-7.2527359882472586</v>
      </c>
      <c r="AC501" s="111">
        <f t="shared" ca="1" si="214"/>
        <v>-81.429631488365501</v>
      </c>
      <c r="AD501" s="72">
        <f t="shared" ca="1" si="215"/>
        <v>98.570368511634499</v>
      </c>
    </row>
    <row r="502" spans="1:30">
      <c r="A502" s="118">
        <v>64565</v>
      </c>
      <c r="B502" s="101">
        <f t="shared" ca="1" si="189"/>
        <v>1056.6841029855937</v>
      </c>
      <c r="C502" s="102">
        <f t="shared" ca="1" si="190"/>
        <v>1.5698499700299564</v>
      </c>
      <c r="D502" s="102">
        <f t="shared" si="191"/>
        <v>107.71105168571169</v>
      </c>
      <c r="E502" s="103">
        <f t="shared" si="192"/>
        <v>1.5615120950410162</v>
      </c>
      <c r="F502" s="101">
        <f t="shared" si="193"/>
        <v>8762.5554091821814</v>
      </c>
      <c r="G502" s="104">
        <f t="shared" si="194"/>
        <v>1.5706822048344098</v>
      </c>
      <c r="H502" s="113">
        <f t="shared" si="195"/>
        <v>1054.7930745383201</v>
      </c>
      <c r="I502" s="114">
        <f t="shared" si="196"/>
        <v>1.5698482734051467</v>
      </c>
      <c r="J502" s="101">
        <f t="shared" si="197"/>
        <v>107.43723366260204</v>
      </c>
      <c r="K502" s="104">
        <f t="shared" si="198"/>
        <v>1.5614884322639386</v>
      </c>
      <c r="L502" s="102">
        <f t="shared" si="199"/>
        <v>4.791056266861494</v>
      </c>
      <c r="M502" s="103">
        <f t="shared" si="200"/>
        <v>1.3605280852794694</v>
      </c>
      <c r="N502" s="101">
        <f t="shared" si="201"/>
        <v>1.2498112001007031</v>
      </c>
      <c r="O502" s="104">
        <f t="shared" si="202"/>
        <v>0.64329966475753442</v>
      </c>
      <c r="P502" s="105">
        <f t="shared" ca="1" si="203"/>
        <v>3.7570833890478448</v>
      </c>
      <c r="Q502" s="106">
        <f t="shared" ca="1" si="204"/>
        <v>1.4149565259529582</v>
      </c>
      <c r="R502" s="107">
        <f t="shared" ca="1" si="205"/>
        <v>-6.4751945289249964</v>
      </c>
      <c r="S502" s="108">
        <f t="shared" ca="1" si="206"/>
        <v>-129.96907856286515</v>
      </c>
      <c r="T502" s="116">
        <f t="shared" ca="1" si="207"/>
        <v>50.03092143713485</v>
      </c>
      <c r="V502" s="72">
        <f t="shared" ca="1" si="208"/>
        <v>64565</v>
      </c>
      <c r="W502" s="72">
        <f t="shared" si="209"/>
        <v>4168639225</v>
      </c>
      <c r="Y502" s="110">
        <f t="shared" si="210"/>
        <v>16.741770335490685</v>
      </c>
      <c r="Z502" s="111">
        <f t="shared" si="211"/>
        <v>-48.420316291110495</v>
      </c>
      <c r="AA502" s="72">
        <f t="shared" si="212"/>
        <v>131.57968370888949</v>
      </c>
      <c r="AB502" s="110">
        <f t="shared" ca="1" si="213"/>
        <v>-7.2993645175341779</v>
      </c>
      <c r="AC502" s="111">
        <f t="shared" ca="1" si="214"/>
        <v>-81.54876227175464</v>
      </c>
      <c r="AD502" s="72">
        <f t="shared" ca="1" si="215"/>
        <v>98.45123772824536</v>
      </c>
    </row>
    <row r="503" spans="1:30">
      <c r="A503" s="118">
        <v>64941</v>
      </c>
      <c r="B503" s="101">
        <f t="shared" ca="1" si="189"/>
        <v>1062.837791019708</v>
      </c>
      <c r="C503" s="102">
        <f t="shared" ca="1" si="190"/>
        <v>1.5698554493101184</v>
      </c>
      <c r="D503" s="102">
        <f t="shared" si="191"/>
        <v>108.33826263154417</v>
      </c>
      <c r="E503" s="103">
        <f t="shared" si="192"/>
        <v>1.5615658464812456</v>
      </c>
      <c r="F503" s="101">
        <f t="shared" si="193"/>
        <v>8813.5849265842862</v>
      </c>
      <c r="G503" s="104">
        <f t="shared" si="194"/>
        <v>1.5706828655858114</v>
      </c>
      <c r="H503" s="113">
        <f t="shared" si="195"/>
        <v>1060.9357499908149</v>
      </c>
      <c r="I503" s="114">
        <f t="shared" si="196"/>
        <v>1.5698537625085296</v>
      </c>
      <c r="J503" s="101">
        <f t="shared" si="197"/>
        <v>108.06284986751048</v>
      </c>
      <c r="K503" s="104">
        <f t="shared" si="198"/>
        <v>1.5615423206851173</v>
      </c>
      <c r="L503" s="102">
        <f t="shared" si="199"/>
        <v>4.8177452615819751</v>
      </c>
      <c r="M503" s="103">
        <f t="shared" si="200"/>
        <v>1.3617102410157418</v>
      </c>
      <c r="N503" s="101">
        <f t="shared" si="201"/>
        <v>1.252434883249699</v>
      </c>
      <c r="O503" s="104">
        <f t="shared" si="202"/>
        <v>0.64608880707717065</v>
      </c>
      <c r="P503" s="105">
        <f t="shared" ca="1" si="203"/>
        <v>3.7776890551517557</v>
      </c>
      <c r="Q503" s="106">
        <f t="shared" ca="1" si="204"/>
        <v>1.417117956621468</v>
      </c>
      <c r="R503" s="107">
        <f t="shared" ca="1" si="205"/>
        <v>-6.5431019334766525</v>
      </c>
      <c r="S503" s="108">
        <f t="shared" ca="1" si="206"/>
        <v>-130.18503811095633</v>
      </c>
      <c r="T503" s="116">
        <f t="shared" ca="1" si="207"/>
        <v>49.814961889043673</v>
      </c>
      <c r="V503" s="72">
        <f t="shared" ca="1" si="208"/>
        <v>64941</v>
      </c>
      <c r="W503" s="72">
        <f t="shared" si="209"/>
        <v>4217333481</v>
      </c>
      <c r="Y503" s="110">
        <f t="shared" si="210"/>
        <v>16.721374678207972</v>
      </c>
      <c r="Z503" s="111">
        <f t="shared" si="211"/>
        <v>-48.515200775087429</v>
      </c>
      <c r="AA503" s="72">
        <f t="shared" si="212"/>
        <v>131.48479922491256</v>
      </c>
      <c r="AB503" s="110">
        <f t="shared" ca="1" si="213"/>
        <v>-7.3468762648031207</v>
      </c>
      <c r="AC503" s="111">
        <f t="shared" ca="1" si="214"/>
        <v>-81.669837335868905</v>
      </c>
      <c r="AD503" s="72">
        <f t="shared" ca="1" si="215"/>
        <v>98.330162664131095</v>
      </c>
    </row>
    <row r="504" spans="1:30">
      <c r="A504" s="118">
        <v>65317</v>
      </c>
      <c r="B504" s="101">
        <f t="shared" ca="1" si="189"/>
        <v>1068.9914790853643</v>
      </c>
      <c r="C504" s="102">
        <f t="shared" ca="1" si="190"/>
        <v>1.5698608655069324</v>
      </c>
      <c r="D504" s="102">
        <f t="shared" si="191"/>
        <v>108.96547388678599</v>
      </c>
      <c r="E504" s="103">
        <f t="shared" si="192"/>
        <v>1.5616189791291399</v>
      </c>
      <c r="F504" s="101">
        <f t="shared" si="193"/>
        <v>8864.6144439901927</v>
      </c>
      <c r="G504" s="104">
        <f t="shared" si="194"/>
        <v>1.5706835187299277</v>
      </c>
      <c r="H504" s="113">
        <f t="shared" si="195"/>
        <v>1067.0784254749083</v>
      </c>
      <c r="I504" s="114">
        <f t="shared" si="196"/>
        <v>1.5698591884154693</v>
      </c>
      <c r="J504" s="101">
        <f t="shared" si="197"/>
        <v>108.68846638261671</v>
      </c>
      <c r="K504" s="104">
        <f t="shared" si="198"/>
        <v>1.5615955887372897</v>
      </c>
      <c r="L504" s="102">
        <f t="shared" si="199"/>
        <v>4.8444409148740943</v>
      </c>
      <c r="M504" s="103">
        <f t="shared" si="200"/>
        <v>1.3628793696560291</v>
      </c>
      <c r="N504" s="101">
        <f t="shared" si="201"/>
        <v>1.2550682687046462</v>
      </c>
      <c r="O504" s="104">
        <f t="shared" si="202"/>
        <v>0.64886626656594448</v>
      </c>
      <c r="P504" s="105">
        <f t="shared" ca="1" si="203"/>
        <v>3.7983079099133215</v>
      </c>
      <c r="Q504" s="106">
        <f t="shared" ca="1" si="204"/>
        <v>1.419263284844033</v>
      </c>
      <c r="R504" s="107">
        <f t="shared" ca="1" si="205"/>
        <v>-6.6107735421145986</v>
      </c>
      <c r="S504" s="108">
        <f t="shared" ca="1" si="206"/>
        <v>-130.40015155785008</v>
      </c>
      <c r="T504" s="116">
        <f t="shared" ca="1" si="207"/>
        <v>49.59984844214992</v>
      </c>
      <c r="V504" s="72">
        <f t="shared" ca="1" si="208"/>
        <v>65317</v>
      </c>
      <c r="W504" s="72">
        <f t="shared" si="209"/>
        <v>4266310489</v>
      </c>
      <c r="Y504" s="110">
        <f t="shared" si="210"/>
        <v>16.700986473532133</v>
      </c>
      <c r="Z504" s="111">
        <f t="shared" si="211"/>
        <v>-48.610129920280841</v>
      </c>
      <c r="AA504" s="72">
        <f t="shared" si="212"/>
        <v>131.38987007971917</v>
      </c>
      <c r="AB504" s="110">
        <f t="shared" ca="1" si="213"/>
        <v>-7.3941596687652256</v>
      </c>
      <c r="AC504" s="111">
        <f t="shared" ca="1" si="214"/>
        <v>-81.790021637569254</v>
      </c>
      <c r="AD504" s="72">
        <f t="shared" ca="1" si="215"/>
        <v>98.209978362430746</v>
      </c>
    </row>
    <row r="505" spans="1:30">
      <c r="A505" s="118">
        <v>65693</v>
      </c>
      <c r="B505" s="101">
        <f t="shared" ca="1" si="189"/>
        <v>1075.1451671820205</v>
      </c>
      <c r="C505" s="102">
        <f t="shared" ca="1" si="190"/>
        <v>1.5698662197035871</v>
      </c>
      <c r="D505" s="102">
        <f t="shared" si="191"/>
        <v>109.5926854461248</v>
      </c>
      <c r="E505" s="103">
        <f t="shared" si="192"/>
        <v>1.5616715036086561</v>
      </c>
      <c r="F505" s="101">
        <f t="shared" si="193"/>
        <v>8915.6439613998391</v>
      </c>
      <c r="G505" s="104">
        <f t="shared" si="194"/>
        <v>1.5706841643973821</v>
      </c>
      <c r="H505" s="113">
        <f t="shared" si="195"/>
        <v>1073.221100990057</v>
      </c>
      <c r="I505" s="114">
        <f t="shared" si="196"/>
        <v>1.5698645522110963</v>
      </c>
      <c r="J505" s="101">
        <f t="shared" si="197"/>
        <v>109.31408320259484</v>
      </c>
      <c r="K505" s="104">
        <f t="shared" si="198"/>
        <v>1.5616482470714761</v>
      </c>
      <c r="L505" s="102">
        <f t="shared" si="199"/>
        <v>4.8711431172635988</v>
      </c>
      <c r="M505" s="103">
        <f t="shared" si="200"/>
        <v>1.3640356822100546</v>
      </c>
      <c r="N505" s="101">
        <f t="shared" si="201"/>
        <v>1.2577112955217236</v>
      </c>
      <c r="O505" s="104">
        <f t="shared" si="202"/>
        <v>0.65163207389032141</v>
      </c>
      <c r="P505" s="105">
        <f t="shared" ca="1" si="203"/>
        <v>3.8189398484985708</v>
      </c>
      <c r="Q505" s="106">
        <f t="shared" ca="1" si="204"/>
        <v>1.4213927590928348</v>
      </c>
      <c r="R505" s="107">
        <f t="shared" ca="1" si="205"/>
        <v>-6.6782115460267129</v>
      </c>
      <c r="S505" s="108">
        <f t="shared" ca="1" si="206"/>
        <v>-130.61442281596979</v>
      </c>
      <c r="T505" s="116">
        <f t="shared" ca="1" si="207"/>
        <v>49.385577184030211</v>
      </c>
      <c r="V505" s="72">
        <f t="shared" ca="1" si="208"/>
        <v>65693</v>
      </c>
      <c r="W505" s="72">
        <f t="shared" si="209"/>
        <v>4315570249</v>
      </c>
      <c r="Y505" s="110">
        <f t="shared" si="210"/>
        <v>16.680605601394255</v>
      </c>
      <c r="Z505" s="111">
        <f t="shared" si="211"/>
        <v>-48.70509394935246</v>
      </c>
      <c r="AA505" s="72">
        <f t="shared" si="212"/>
        <v>131.29490605064754</v>
      </c>
      <c r="AB505" s="110">
        <f t="shared" ca="1" si="213"/>
        <v>-7.4412168005394586</v>
      </c>
      <c r="AC505" s="111">
        <f t="shared" ca="1" si="214"/>
        <v>-81.909328866617315</v>
      </c>
      <c r="AD505" s="72">
        <f t="shared" ca="1" si="215"/>
        <v>98.090671133382685</v>
      </c>
    </row>
    <row r="506" spans="1:30">
      <c r="A506" s="118">
        <v>66069</v>
      </c>
      <c r="B506" s="101">
        <f t="shared" ca="1" si="189"/>
        <v>1081.2988553091475</v>
      </c>
      <c r="C506" s="102">
        <f t="shared" ca="1" si="190"/>
        <v>1.5698715129586136</v>
      </c>
      <c r="D506" s="102">
        <f t="shared" si="191"/>
        <v>110.21989730436917</v>
      </c>
      <c r="E506" s="103">
        <f t="shared" si="192"/>
        <v>1.5617234303019396</v>
      </c>
      <c r="F506" s="101">
        <f t="shared" si="193"/>
        <v>8966.6734788131598</v>
      </c>
      <c r="G506" s="104">
        <f t="shared" si="194"/>
        <v>1.5706848027158236</v>
      </c>
      <c r="H506" s="113">
        <f t="shared" si="195"/>
        <v>1079.3637765357314</v>
      </c>
      <c r="I506" s="114">
        <f t="shared" si="196"/>
        <v>1.5698698549558399</v>
      </c>
      <c r="J506" s="101">
        <f t="shared" si="197"/>
        <v>109.93970032224021</v>
      </c>
      <c r="K506" s="104">
        <f t="shared" si="198"/>
        <v>1.5617003060962704</v>
      </c>
      <c r="L506" s="102">
        <f t="shared" si="199"/>
        <v>4.8978517616370043</v>
      </c>
      <c r="M506" s="103">
        <f t="shared" si="200"/>
        <v>1.36517938522367</v>
      </c>
      <c r="N506" s="101">
        <f t="shared" si="201"/>
        <v>1.2603639030461204</v>
      </c>
      <c r="O506" s="104">
        <f t="shared" si="202"/>
        <v>0.6543862601730881</v>
      </c>
      <c r="P506" s="105">
        <f t="shared" ca="1" si="203"/>
        <v>3.8395847688170193</v>
      </c>
      <c r="Q506" s="106">
        <f t="shared" ca="1" si="204"/>
        <v>1.4235066228355486</v>
      </c>
      <c r="R506" s="107">
        <f t="shared" ca="1" si="205"/>
        <v>-6.745418097401469</v>
      </c>
      <c r="S506" s="108">
        <f t="shared" ca="1" si="206"/>
        <v>-130.82785579270467</v>
      </c>
      <c r="T506" s="116">
        <f t="shared" ca="1" si="207"/>
        <v>49.172144207295332</v>
      </c>
      <c r="V506" s="72">
        <f t="shared" ca="1" si="208"/>
        <v>66069</v>
      </c>
      <c r="W506" s="72">
        <f t="shared" si="209"/>
        <v>4365112761</v>
      </c>
      <c r="Y506" s="110">
        <f t="shared" si="210"/>
        <v>16.66023195705359</v>
      </c>
      <c r="Z506" s="111">
        <f t="shared" si="211"/>
        <v>-48.800083354225109</v>
      </c>
      <c r="AA506" s="72">
        <f t="shared" si="212"/>
        <v>131.19991664577489</v>
      </c>
      <c r="AB506" s="110">
        <f t="shared" ca="1" si="213"/>
        <v>-7.4880497075735528</v>
      </c>
      <c r="AC506" s="111">
        <f t="shared" ca="1" si="214"/>
        <v>-82.027772438479602</v>
      </c>
      <c r="AD506" s="72">
        <f t="shared" ca="1" si="215"/>
        <v>97.972227561520398</v>
      </c>
    </row>
    <row r="507" spans="1:30">
      <c r="A507" s="118">
        <v>66453.75</v>
      </c>
      <c r="B507" s="101">
        <f t="shared" ca="1" si="189"/>
        <v>1087.5957476457679</v>
      </c>
      <c r="C507" s="102">
        <f t="shared" ca="1" si="190"/>
        <v>1.5698768673881589</v>
      </c>
      <c r="D507" s="102">
        <f t="shared" si="191"/>
        <v>110.86170548737879</v>
      </c>
      <c r="E507" s="103">
        <f t="shared" si="192"/>
        <v>1.5617759571649108</v>
      </c>
      <c r="F507" s="101">
        <f t="shared" si="193"/>
        <v>9018.8905182444923</v>
      </c>
      <c r="G507" s="104">
        <f t="shared" si="194"/>
        <v>1.5706854484113497</v>
      </c>
      <c r="H507" s="113">
        <f t="shared" si="195"/>
        <v>1085.6494000141258</v>
      </c>
      <c r="I507" s="114">
        <f t="shared" si="196"/>
        <v>1.5698752189847753</v>
      </c>
      <c r="J507" s="101">
        <f t="shared" si="197"/>
        <v>110.57987665582274</v>
      </c>
      <c r="K507" s="104">
        <f t="shared" si="198"/>
        <v>1.561752966820497</v>
      </c>
      <c r="L507" s="102">
        <f t="shared" si="199"/>
        <v>4.9251885095286623</v>
      </c>
      <c r="M507" s="103">
        <f t="shared" si="200"/>
        <v>1.3663368614596927</v>
      </c>
      <c r="N507" s="101">
        <f t="shared" si="201"/>
        <v>1.263088094897765</v>
      </c>
      <c r="O507" s="104">
        <f t="shared" si="202"/>
        <v>0.65719254297721075</v>
      </c>
      <c r="P507" s="105">
        <f t="shared" ca="1" si="203"/>
        <v>3.8607234574905562</v>
      </c>
      <c r="Q507" s="106">
        <f t="shared" ca="1" si="204"/>
        <v>1.4256537681026715</v>
      </c>
      <c r="R507" s="107">
        <f t="shared" ca="1" si="205"/>
        <v>-6.8139512417729184</v>
      </c>
      <c r="S507" s="108">
        <f t="shared" ca="1" si="206"/>
        <v>-131.0453919276554</v>
      </c>
      <c r="T507" s="116">
        <f t="shared" ca="1" si="207"/>
        <v>48.954608072344598</v>
      </c>
      <c r="V507" s="72">
        <f t="shared" ca="1" si="208"/>
        <v>66453.75</v>
      </c>
      <c r="W507" s="72">
        <f t="shared" si="209"/>
        <v>4416100889.0625</v>
      </c>
      <c r="Y507" s="110">
        <f t="shared" si="210"/>
        <v>16.639391580141762</v>
      </c>
      <c r="Z507" s="111">
        <f t="shared" si="211"/>
        <v>-48.897299908575377</v>
      </c>
      <c r="AA507" s="72">
        <f t="shared" si="212"/>
        <v>131.10270009142462</v>
      </c>
      <c r="AB507" s="110">
        <f t="shared" ca="1" si="213"/>
        <v>-7.5357424750331736</v>
      </c>
      <c r="AC507" s="111">
        <f t="shared" ca="1" si="214"/>
        <v>-82.148092019080025</v>
      </c>
      <c r="AD507" s="72">
        <f t="shared" ca="1" si="215"/>
        <v>97.851907980919975</v>
      </c>
    </row>
    <row r="508" spans="1:30">
      <c r="A508" s="118">
        <v>66838.5</v>
      </c>
      <c r="B508" s="101">
        <f t="shared" ca="1" si="189"/>
        <v>1093.8926400132107</v>
      </c>
      <c r="C508" s="102">
        <f t="shared" ca="1" si="190"/>
        <v>1.5698821601731416</v>
      </c>
      <c r="D508" s="102">
        <f t="shared" si="191"/>
        <v>111.50351397274254</v>
      </c>
      <c r="E508" s="103">
        <f t="shared" si="192"/>
        <v>1.5618278793441864</v>
      </c>
      <c r="F508" s="101">
        <f t="shared" si="193"/>
        <v>9071.1075576795411</v>
      </c>
      <c r="G508" s="104">
        <f t="shared" si="194"/>
        <v>1.5706860866730961</v>
      </c>
      <c r="H508" s="113">
        <f t="shared" si="195"/>
        <v>1091.9350235233978</v>
      </c>
      <c r="I508" s="114">
        <f t="shared" si="196"/>
        <v>1.5698805212586326</v>
      </c>
      <c r="J508" s="101">
        <f t="shared" si="197"/>
        <v>111.22005329252991</v>
      </c>
      <c r="K508" s="104">
        <f t="shared" si="198"/>
        <v>1.5618050213202814</v>
      </c>
      <c r="L508" s="102">
        <f t="shared" si="199"/>
        <v>4.9525317830981237</v>
      </c>
      <c r="M508" s="103">
        <f t="shared" si="200"/>
        <v>1.367481558201106</v>
      </c>
      <c r="N508" s="101">
        <f t="shared" si="201"/>
        <v>1.2658221909899057</v>
      </c>
      <c r="O508" s="104">
        <f t="shared" si="202"/>
        <v>0.65998672491941479</v>
      </c>
      <c r="P508" s="105">
        <f t="shared" ca="1" si="203"/>
        <v>3.8818755313468327</v>
      </c>
      <c r="Q508" s="106">
        <f t="shared" ca="1" si="204"/>
        <v>1.4277850681237882</v>
      </c>
      <c r="R508" s="107">
        <f t="shared" ca="1" si="205"/>
        <v>-6.8822464743426721</v>
      </c>
      <c r="S508" s="108">
        <f t="shared" ca="1" si="206"/>
        <v>-131.2620585718023</v>
      </c>
      <c r="T508" s="116">
        <f t="shared" ca="1" si="207"/>
        <v>48.737941428197701</v>
      </c>
      <c r="V508" s="72">
        <f t="shared" ca="1" si="208"/>
        <v>66838.5</v>
      </c>
      <c r="W508" s="72">
        <f t="shared" si="209"/>
        <v>4467385082.25</v>
      </c>
      <c r="Y508" s="110">
        <f t="shared" si="210"/>
        <v>16.61855859564254</v>
      </c>
      <c r="Z508" s="111">
        <f t="shared" si="211"/>
        <v>-48.994523723993836</v>
      </c>
      <c r="AA508" s="72">
        <f t="shared" si="212"/>
        <v>131.00547627600616</v>
      </c>
      <c r="AB508" s="110">
        <f t="shared" ca="1" si="213"/>
        <v>-7.5832047231037087</v>
      </c>
      <c r="AC508" s="111">
        <f t="shared" ca="1" si="214"/>
        <v>-82.267534847808406</v>
      </c>
      <c r="AD508" s="72">
        <f t="shared" ca="1" si="215"/>
        <v>97.732465152191594</v>
      </c>
    </row>
    <row r="509" spans="1:30">
      <c r="A509" s="118">
        <v>67223.25</v>
      </c>
      <c r="B509" s="101">
        <f t="shared" ca="1" si="189"/>
        <v>1100.1895324109464</v>
      </c>
      <c r="C509" s="102">
        <f t="shared" ca="1" si="190"/>
        <v>1.5698873923720229</v>
      </c>
      <c r="D509" s="102">
        <f t="shared" si="191"/>
        <v>112.14532275526933</v>
      </c>
      <c r="E509" s="103">
        <f t="shared" si="192"/>
        <v>1.5618792072213161</v>
      </c>
      <c r="F509" s="101">
        <f t="shared" si="193"/>
        <v>9123.3245971182423</v>
      </c>
      <c r="G509" s="104">
        <f t="shared" si="194"/>
        <v>1.5706867176287032</v>
      </c>
      <c r="H509" s="113">
        <f t="shared" si="195"/>
        <v>1098.2206470630172</v>
      </c>
      <c r="I509" s="114">
        <f t="shared" si="196"/>
        <v>1.56988576283777</v>
      </c>
      <c r="J509" s="101">
        <f t="shared" si="197"/>
        <v>111.86023022715733</v>
      </c>
      <c r="K509" s="104">
        <f t="shared" si="198"/>
        <v>1.5618564800036208</v>
      </c>
      <c r="L509" s="102">
        <f t="shared" si="199"/>
        <v>4.9798814748528342</v>
      </c>
      <c r="M509" s="103">
        <f t="shared" si="200"/>
        <v>1.368613682979432</v>
      </c>
      <c r="N509" s="101">
        <f t="shared" si="201"/>
        <v>1.2685661272837576</v>
      </c>
      <c r="O509" s="104">
        <f t="shared" si="202"/>
        <v>0.66276884075137021</v>
      </c>
      <c r="P509" s="105">
        <f t="shared" ca="1" si="203"/>
        <v>3.903040889472408</v>
      </c>
      <c r="Q509" s="106">
        <f t="shared" ca="1" si="204"/>
        <v>1.4299007682714482</v>
      </c>
      <c r="R509" s="107">
        <f t="shared" ca="1" si="205"/>
        <v>-6.950305980342625</v>
      </c>
      <c r="S509" s="108">
        <f t="shared" ca="1" si="206"/>
        <v>-131.47785989312027</v>
      </c>
      <c r="T509" s="116">
        <f t="shared" ca="1" si="207"/>
        <v>48.522140106879732</v>
      </c>
      <c r="V509" s="72">
        <f t="shared" ca="1" si="208"/>
        <v>67223.25</v>
      </c>
      <c r="W509" s="72">
        <f t="shared" si="209"/>
        <v>4518965340.5625</v>
      </c>
      <c r="Y509" s="110">
        <f t="shared" si="210"/>
        <v>16.597732936748134</v>
      </c>
      <c r="Z509" s="111">
        <f t="shared" si="211"/>
        <v>-49.091745443817658</v>
      </c>
      <c r="AA509" s="72">
        <f t="shared" si="212"/>
        <v>130.90825455618233</v>
      </c>
      <c r="AB509" s="110">
        <f t="shared" ca="1" si="213"/>
        <v>-7.6304385702092583</v>
      </c>
      <c r="AC509" s="111">
        <f t="shared" ca="1" si="214"/>
        <v>-82.38611444930261</v>
      </c>
      <c r="AD509" s="72">
        <f t="shared" ca="1" si="215"/>
        <v>97.61388555069739</v>
      </c>
    </row>
    <row r="510" spans="1:30">
      <c r="A510" s="118">
        <v>67608</v>
      </c>
      <c r="B510" s="101">
        <f t="shared" ca="1" si="189"/>
        <v>1106.4864248384581</v>
      </c>
      <c r="C510" s="102">
        <f t="shared" ca="1" si="190"/>
        <v>1.5698925650191686</v>
      </c>
      <c r="D510" s="102">
        <f t="shared" si="191"/>
        <v>112.78713182988618</v>
      </c>
      <c r="E510" s="103">
        <f t="shared" si="192"/>
        <v>1.5619299509415596</v>
      </c>
      <c r="F510" s="101">
        <f t="shared" si="193"/>
        <v>9175.5416365605379</v>
      </c>
      <c r="G510" s="104">
        <f t="shared" si="194"/>
        <v>1.5706873414029068</v>
      </c>
      <c r="H510" s="113">
        <f t="shared" si="195"/>
        <v>1104.5062706324654</v>
      </c>
      <c r="I510" s="114">
        <f t="shared" si="196"/>
        <v>1.5698909447584082</v>
      </c>
      <c r="J510" s="101">
        <f t="shared" si="197"/>
        <v>112.50040745461912</v>
      </c>
      <c r="K510" s="104">
        <f t="shared" si="198"/>
        <v>1.5619073530416192</v>
      </c>
      <c r="L510" s="102">
        <f t="shared" si="199"/>
        <v>5.007237479623794</v>
      </c>
      <c r="M510" s="103">
        <f t="shared" si="200"/>
        <v>1.3697334389214819</v>
      </c>
      <c r="N510" s="101">
        <f t="shared" si="201"/>
        <v>1.2713198400639161</v>
      </c>
      <c r="O510" s="104">
        <f t="shared" si="202"/>
        <v>0.66553892567241557</v>
      </c>
      <c r="P510" s="105">
        <f t="shared" ca="1" si="203"/>
        <v>3.9242194336654652</v>
      </c>
      <c r="Q510" s="106">
        <f t="shared" ca="1" si="204"/>
        <v>1.4320011089475302</v>
      </c>
      <c r="R510" s="107">
        <f t="shared" ca="1" si="205"/>
        <v>-7.0181319062601037</v>
      </c>
      <c r="S510" s="108">
        <f t="shared" ca="1" si="206"/>
        <v>-131.69280005260845</v>
      </c>
      <c r="T510" s="116">
        <f t="shared" ca="1" si="207"/>
        <v>48.307199947391553</v>
      </c>
      <c r="V510" s="72">
        <f t="shared" ca="1" si="208"/>
        <v>67608</v>
      </c>
      <c r="W510" s="72">
        <f t="shared" si="209"/>
        <v>4570841664</v>
      </c>
      <c r="Y510" s="110">
        <f t="shared" si="210"/>
        <v>16.576914550564194</v>
      </c>
      <c r="Z510" s="111">
        <f t="shared" si="211"/>
        <v>-49.188955977048558</v>
      </c>
      <c r="AA510" s="72">
        <f t="shared" si="212"/>
        <v>130.81104402295145</v>
      </c>
      <c r="AB510" s="110">
        <f t="shared" ca="1" si="213"/>
        <v>-7.6774461099427906</v>
      </c>
      <c r="AC510" s="111">
        <f t="shared" ca="1" si="214"/>
        <v>-82.503844075559897</v>
      </c>
      <c r="AD510" s="72">
        <f t="shared" ca="1" si="215"/>
        <v>97.496155924440103</v>
      </c>
    </row>
    <row r="511" spans="1:30">
      <c r="A511" s="118">
        <v>68001.75</v>
      </c>
      <c r="B511" s="101">
        <f t="shared" ca="1" si="189"/>
        <v>1112.93061302557</v>
      </c>
      <c r="C511" s="102">
        <f t="shared" ca="1" si="190"/>
        <v>1.5698977980610698</v>
      </c>
      <c r="D511" s="102">
        <f t="shared" si="191"/>
        <v>113.44395427951774</v>
      </c>
      <c r="E511" s="103">
        <f t="shared" si="192"/>
        <v>1.5619812871809386</v>
      </c>
      <c r="F511" s="101">
        <f t="shared" si="193"/>
        <v>9228.9801272215082</v>
      </c>
      <c r="G511" s="104">
        <f t="shared" si="194"/>
        <v>1.5706879724601628</v>
      </c>
      <c r="H511" s="113">
        <f t="shared" si="195"/>
        <v>1110.9389263625494</v>
      </c>
      <c r="I511" s="114">
        <f t="shared" si="196"/>
        <v>1.5698961871820774</v>
      </c>
      <c r="J511" s="101">
        <f t="shared" si="197"/>
        <v>113.15555988598983</v>
      </c>
      <c r="K511" s="104">
        <f t="shared" si="198"/>
        <v>1.5619588201089953</v>
      </c>
      <c r="L511" s="102">
        <f t="shared" si="199"/>
        <v>5.0352398198284369</v>
      </c>
      <c r="M511" s="103">
        <f t="shared" si="200"/>
        <v>1.3708667892177508</v>
      </c>
      <c r="N511" s="101">
        <f t="shared" si="201"/>
        <v>1.2741480232318219</v>
      </c>
      <c r="O511" s="104">
        <f t="shared" si="202"/>
        <v>0.66836138874634998</v>
      </c>
      <c r="P511" s="105">
        <f t="shared" ca="1" si="203"/>
        <v>3.945906935050715</v>
      </c>
      <c r="Q511" s="106">
        <f t="shared" ca="1" si="204"/>
        <v>1.4341349235518208</v>
      </c>
      <c r="R511" s="107">
        <f t="shared" ca="1" si="205"/>
        <v>-7.0873047638144806</v>
      </c>
      <c r="S511" s="108">
        <f t="shared" ca="1" si="206"/>
        <v>-131.91188077250362</v>
      </c>
      <c r="T511" s="116">
        <f t="shared" ca="1" si="207"/>
        <v>48.088119227496378</v>
      </c>
      <c r="V511" s="72">
        <f t="shared" ca="1" si="208"/>
        <v>68001.75</v>
      </c>
      <c r="W511" s="72">
        <f t="shared" si="209"/>
        <v>4624238003.0625</v>
      </c>
      <c r="Y511" s="110">
        <f t="shared" si="210"/>
        <v>16.555616673184939</v>
      </c>
      <c r="Z511" s="111">
        <f t="shared" si="211"/>
        <v>-49.288419644355344</v>
      </c>
      <c r="AA511" s="72">
        <f t="shared" si="212"/>
        <v>130.71158035564466</v>
      </c>
      <c r="AB511" s="110">
        <f t="shared" ca="1" si="213"/>
        <v>-7.7253210901179141</v>
      </c>
      <c r="AC511" s="111">
        <f t="shared" ca="1" si="214"/>
        <v>-82.623461128148278</v>
      </c>
      <c r="AD511" s="72">
        <f t="shared" ca="1" si="215"/>
        <v>97.376538871851722</v>
      </c>
    </row>
    <row r="512" spans="1:30">
      <c r="A512" s="118">
        <v>68395.5</v>
      </c>
      <c r="B512" s="101">
        <f t="shared" ca="1" si="189"/>
        <v>1119.374801242808</v>
      </c>
      <c r="C512" s="102">
        <f t="shared" ca="1" si="190"/>
        <v>1.5699029708502177</v>
      </c>
      <c r="D512" s="102">
        <f t="shared" si="191"/>
        <v>114.10077702467852</v>
      </c>
      <c r="E512" s="103">
        <f t="shared" si="192"/>
        <v>1.5620320323848664</v>
      </c>
      <c r="F512" s="101">
        <f t="shared" si="193"/>
        <v>9282.418617886111</v>
      </c>
      <c r="G512" s="104">
        <f t="shared" si="194"/>
        <v>1.5706885962514789</v>
      </c>
      <c r="H512" s="113">
        <f t="shared" si="195"/>
        <v>1117.3715821228136</v>
      </c>
      <c r="I512" s="114">
        <f t="shared" si="196"/>
        <v>1.5699013692449724</v>
      </c>
      <c r="J512" s="101">
        <f t="shared" si="197"/>
        <v>113.81071261364285</v>
      </c>
      <c r="K512" s="104">
        <f t="shared" si="198"/>
        <v>1.5620096946349276</v>
      </c>
      <c r="L512" s="102">
        <f t="shared" si="199"/>
        <v>5.0632485561685669</v>
      </c>
      <c r="M512" s="103">
        <f t="shared" si="200"/>
        <v>1.3719876020696848</v>
      </c>
      <c r="N512" s="101">
        <f t="shared" si="201"/>
        <v>1.2769863116351337</v>
      </c>
      <c r="O512" s="104">
        <f t="shared" si="202"/>
        <v>0.67117132745035901</v>
      </c>
      <c r="P512" s="105">
        <f t="shared" ca="1" si="203"/>
        <v>3.9676080469062436</v>
      </c>
      <c r="Q512" s="106">
        <f t="shared" ca="1" si="204"/>
        <v>1.4362531457339889</v>
      </c>
      <c r="R512" s="107">
        <f t="shared" ca="1" si="205"/>
        <v>-7.1562374142639325</v>
      </c>
      <c r="S512" s="108">
        <f t="shared" ca="1" si="206"/>
        <v>-132.13006836512076</v>
      </c>
      <c r="T512" s="116">
        <f t="shared" ca="1" si="207"/>
        <v>47.869931634879237</v>
      </c>
      <c r="V512" s="72">
        <f t="shared" ca="1" si="208"/>
        <v>68395.5</v>
      </c>
      <c r="W512" s="72">
        <f t="shared" si="209"/>
        <v>4677944420.25</v>
      </c>
      <c r="Y512" s="110">
        <f t="shared" si="210"/>
        <v>16.534326342464553</v>
      </c>
      <c r="Z512" s="111">
        <f t="shared" si="211"/>
        <v>-49.387853152756605</v>
      </c>
      <c r="AA512" s="72">
        <f t="shared" si="212"/>
        <v>130.61214684724339</v>
      </c>
      <c r="AB512" s="110">
        <f t="shared" ca="1" si="213"/>
        <v>-7.7729634098469793</v>
      </c>
      <c r="AC512" s="111">
        <f t="shared" ca="1" si="214"/>
        <v>-82.742215212364087</v>
      </c>
      <c r="AD512" s="72">
        <f t="shared" ca="1" si="215"/>
        <v>97.257784787635913</v>
      </c>
    </row>
    <row r="513" spans="1:30">
      <c r="A513" s="118">
        <v>68789.25</v>
      </c>
      <c r="B513" s="101">
        <f t="shared" ca="1" si="189"/>
        <v>1125.8189894896552</v>
      </c>
      <c r="C513" s="102">
        <f t="shared" ca="1" si="190"/>
        <v>1.5699080844212723</v>
      </c>
      <c r="D513" s="102">
        <f t="shared" si="191"/>
        <v>114.75760006029407</v>
      </c>
      <c r="E513" s="103">
        <f t="shared" si="192"/>
        <v>1.5620821967015759</v>
      </c>
      <c r="F513" s="101">
        <f t="shared" si="193"/>
        <v>9335.8571085542881</v>
      </c>
      <c r="G513" s="104">
        <f t="shared" si="194"/>
        <v>1.5706892129016263</v>
      </c>
      <c r="H513" s="113">
        <f t="shared" si="195"/>
        <v>1123.8042379127401</v>
      </c>
      <c r="I513" s="114">
        <f t="shared" si="196"/>
        <v>1.5699064919836088</v>
      </c>
      <c r="J513" s="101">
        <f t="shared" si="197"/>
        <v>114.46586563249078</v>
      </c>
      <c r="K513" s="104">
        <f t="shared" si="198"/>
        <v>1.5620599867935021</v>
      </c>
      <c r="L513" s="102">
        <f t="shared" si="199"/>
        <v>5.0912635830823696</v>
      </c>
      <c r="M513" s="103">
        <f t="shared" si="200"/>
        <v>1.3730960816022562</v>
      </c>
      <c r="N513" s="101">
        <f t="shared" si="201"/>
        <v>1.2798346380427321</v>
      </c>
      <c r="O513" s="104">
        <f t="shared" si="202"/>
        <v>0.67396878088451162</v>
      </c>
      <c r="P513" s="105">
        <f t="shared" ca="1" si="203"/>
        <v>3.9893226723505797</v>
      </c>
      <c r="Q513" s="106">
        <f t="shared" ca="1" si="204"/>
        <v>1.4383560177766705</v>
      </c>
      <c r="R513" s="107">
        <f t="shared" ca="1" si="205"/>
        <v>-7.2249320383214899</v>
      </c>
      <c r="S513" s="108">
        <f t="shared" ca="1" si="206"/>
        <v>-132.34736726552549</v>
      </c>
      <c r="T513" s="116">
        <f t="shared" ca="1" si="207"/>
        <v>47.652632734474508</v>
      </c>
      <c r="V513" s="72">
        <f t="shared" ca="1" si="208"/>
        <v>68789.25</v>
      </c>
      <c r="W513" s="72">
        <f t="shared" si="209"/>
        <v>4731960915.5625</v>
      </c>
      <c r="Y513" s="110">
        <f t="shared" si="210"/>
        <v>16.51304354275506</v>
      </c>
      <c r="Z513" s="111">
        <f t="shared" si="211"/>
        <v>-49.487247577714925</v>
      </c>
      <c r="AA513" s="72">
        <f t="shared" si="212"/>
        <v>130.51275242228508</v>
      </c>
      <c r="AB513" s="110">
        <f t="shared" ca="1" si="213"/>
        <v>-7.8203752341950459</v>
      </c>
      <c r="AC513" s="111">
        <f t="shared" ca="1" si="214"/>
        <v>-82.860119687810595</v>
      </c>
      <c r="AD513" s="72">
        <f t="shared" ca="1" si="215"/>
        <v>97.139880312189405</v>
      </c>
    </row>
    <row r="514" spans="1:30">
      <c r="A514" s="118">
        <v>69183</v>
      </c>
      <c r="B514" s="101">
        <f t="shared" ca="1" si="189"/>
        <v>1132.2631777656059</v>
      </c>
      <c r="C514" s="102">
        <f t="shared" ca="1" si="190"/>
        <v>1.5699131397853388</v>
      </c>
      <c r="D514" s="102">
        <f t="shared" si="191"/>
        <v>115.41442338140544</v>
      </c>
      <c r="E514" s="103">
        <f t="shared" si="192"/>
        <v>1.5621317900482972</v>
      </c>
      <c r="F514" s="101">
        <f t="shared" si="193"/>
        <v>9389.2955992259722</v>
      </c>
      <c r="G514" s="104">
        <f t="shared" si="194"/>
        <v>1.570689822532535</v>
      </c>
      <c r="H514" s="113">
        <f t="shared" si="195"/>
        <v>1130.236893731822</v>
      </c>
      <c r="I514" s="114">
        <f t="shared" si="196"/>
        <v>1.5699115564109039</v>
      </c>
      <c r="J514" s="101">
        <f t="shared" si="197"/>
        <v>115.12101893756206</v>
      </c>
      <c r="K514" s="104">
        <f t="shared" si="198"/>
        <v>1.5621097065272138</v>
      </c>
      <c r="L514" s="102">
        <f t="shared" si="199"/>
        <v>5.1192847972953102</v>
      </c>
      <c r="M514" s="103">
        <f t="shared" si="200"/>
        <v>1.3741924275939414</v>
      </c>
      <c r="N514" s="101">
        <f t="shared" si="201"/>
        <v>1.2826929355839471</v>
      </c>
      <c r="O514" s="104">
        <f t="shared" si="202"/>
        <v>0.67675378858384616</v>
      </c>
      <c r="P514" s="105">
        <f t="shared" ca="1" si="203"/>
        <v>4.0110507171820844</v>
      </c>
      <c r="Q514" s="106">
        <f t="shared" ca="1" si="204"/>
        <v>1.4404437770266478</v>
      </c>
      <c r="R514" s="107">
        <f t="shared" ca="1" si="205"/>
        <v>-7.2933907782147802</v>
      </c>
      <c r="S514" s="108">
        <f t="shared" ca="1" si="206"/>
        <v>-132.56378189974404</v>
      </c>
      <c r="T514" s="116">
        <f t="shared" ca="1" si="207"/>
        <v>47.436218100255957</v>
      </c>
      <c r="V514" s="72">
        <f t="shared" ca="1" si="208"/>
        <v>69183</v>
      </c>
      <c r="W514" s="72">
        <f t="shared" si="209"/>
        <v>4786287489</v>
      </c>
      <c r="Y514" s="110">
        <f t="shared" si="210"/>
        <v>16.491768270917028</v>
      </c>
      <c r="Z514" s="111">
        <f t="shared" si="211"/>
        <v>-49.586594256570777</v>
      </c>
      <c r="AA514" s="72">
        <f t="shared" si="212"/>
        <v>130.41340574342922</v>
      </c>
      <c r="AB514" s="110">
        <f t="shared" ca="1" si="213"/>
        <v>-7.8675587022503048</v>
      </c>
      <c r="AC514" s="111">
        <f t="shared" ca="1" si="214"/>
        <v>-82.977187643173295</v>
      </c>
      <c r="AD514" s="72">
        <f t="shared" ca="1" si="215"/>
        <v>97.022812356826705</v>
      </c>
    </row>
    <row r="515" spans="1:30">
      <c r="A515" s="118">
        <v>69586</v>
      </c>
      <c r="B515" s="101">
        <f t="shared" ca="1" si="189"/>
        <v>1138.8587533513112</v>
      </c>
      <c r="C515" s="102">
        <f t="shared" ca="1" si="190"/>
        <v>1.5699182546673751</v>
      </c>
      <c r="D515" s="102">
        <f t="shared" si="191"/>
        <v>116.08667712825695</v>
      </c>
      <c r="E515" s="103">
        <f t="shared" si="192"/>
        <v>1.5621819673118778</v>
      </c>
      <c r="F515" s="101">
        <f t="shared" si="193"/>
        <v>9443.9894703170085</v>
      </c>
      <c r="G515" s="104">
        <f t="shared" si="194"/>
        <v>1.5706904393407639</v>
      </c>
      <c r="H515" s="113">
        <f t="shared" si="195"/>
        <v>1136.820665939503</v>
      </c>
      <c r="I515" s="114">
        <f t="shared" si="196"/>
        <v>1.5699166804628724</v>
      </c>
      <c r="J515" s="101">
        <f t="shared" si="197"/>
        <v>115.79156343699108</v>
      </c>
      <c r="K515" s="104">
        <f t="shared" si="198"/>
        <v>1.5621600116660992</v>
      </c>
      <c r="L515" s="102">
        <f t="shared" si="199"/>
        <v>5.1479705892438421</v>
      </c>
      <c r="M515" s="103">
        <f t="shared" si="200"/>
        <v>1.3753021686136397</v>
      </c>
      <c r="N515" s="101">
        <f t="shared" si="201"/>
        <v>1.2856286362731744</v>
      </c>
      <c r="O515" s="104">
        <f t="shared" si="202"/>
        <v>0.67959137582964779</v>
      </c>
      <c r="P515" s="105">
        <f t="shared" ca="1" si="203"/>
        <v>4.0333029990154854</v>
      </c>
      <c r="Q515" s="106">
        <f t="shared" ca="1" si="204"/>
        <v>1.4425651751877351</v>
      </c>
      <c r="R515" s="107">
        <f t="shared" ca="1" si="205"/>
        <v>-7.3632156900825514</v>
      </c>
      <c r="S515" s="108">
        <f t="shared" ca="1" si="206"/>
        <v>-132.78436949952174</v>
      </c>
      <c r="T515" s="116">
        <f t="shared" ca="1" si="207"/>
        <v>47.215630500478255</v>
      </c>
      <c r="V515" s="72">
        <f t="shared" ca="1" si="208"/>
        <v>69586</v>
      </c>
      <c r="W515" s="72">
        <f t="shared" si="209"/>
        <v>4842211396</v>
      </c>
      <c r="Y515" s="110">
        <f t="shared" si="210"/>
        <v>16.470001003452172</v>
      </c>
      <c r="Z515" s="111">
        <f t="shared" si="211"/>
        <v>-49.68821657919267</v>
      </c>
      <c r="AA515" s="72">
        <f t="shared" si="212"/>
        <v>130.31178342080733</v>
      </c>
      <c r="AB515" s="110">
        <f t="shared" ca="1" si="213"/>
        <v>-7.9156163466532217</v>
      </c>
      <c r="AC515" s="111">
        <f t="shared" ca="1" si="214"/>
        <v>-83.096152920329061</v>
      </c>
      <c r="AD515" s="72">
        <f t="shared" ca="1" si="215"/>
        <v>96.903847079670939</v>
      </c>
    </row>
    <row r="516" spans="1:30">
      <c r="A516" s="118">
        <v>69989</v>
      </c>
      <c r="B516" s="101">
        <f t="shared" ca="1" si="189"/>
        <v>1145.4543289664687</v>
      </c>
      <c r="C516" s="102">
        <f t="shared" ca="1" si="190"/>
        <v>1.5699233106459869</v>
      </c>
      <c r="D516" s="102">
        <f t="shared" si="191"/>
        <v>116.75893116402092</v>
      </c>
      <c r="E516" s="103">
        <f t="shared" si="192"/>
        <v>1.5622315667719378</v>
      </c>
      <c r="F516" s="101">
        <f t="shared" si="193"/>
        <v>9498.6833414115936</v>
      </c>
      <c r="G516" s="104">
        <f t="shared" si="194"/>
        <v>1.5706910490457704</v>
      </c>
      <c r="H516" s="113">
        <f t="shared" si="195"/>
        <v>1143.4044381766887</v>
      </c>
      <c r="I516" s="114">
        <f t="shared" si="196"/>
        <v>1.5699217455058152</v>
      </c>
      <c r="J516" s="101">
        <f t="shared" si="197"/>
        <v>116.46210822606882</v>
      </c>
      <c r="K516" s="104">
        <f t="shared" si="198"/>
        <v>1.5622097375291668</v>
      </c>
      <c r="L516" s="102">
        <f t="shared" si="199"/>
        <v>5.1766626507800639</v>
      </c>
      <c r="M516" s="103">
        <f t="shared" si="200"/>
        <v>1.3763996093179349</v>
      </c>
      <c r="N516" s="101">
        <f t="shared" si="201"/>
        <v>1.2885746415010348</v>
      </c>
      <c r="O516" s="104">
        <f t="shared" si="202"/>
        <v>0.68241601085860049</v>
      </c>
      <c r="P516" s="105">
        <f t="shared" ca="1" si="203"/>
        <v>4.0555691467660155</v>
      </c>
      <c r="Q516" s="106">
        <f t="shared" ca="1" si="204"/>
        <v>1.4446712299364266</v>
      </c>
      <c r="R516" s="107">
        <f t="shared" ca="1" si="205"/>
        <v>-7.432797926188929</v>
      </c>
      <c r="S516" s="108">
        <f t="shared" ca="1" si="206"/>
        <v>-133.00404015003264</v>
      </c>
      <c r="T516" s="116">
        <f t="shared" ca="1" si="207"/>
        <v>46.995959849967363</v>
      </c>
      <c r="V516" s="72">
        <f t="shared" ca="1" si="208"/>
        <v>69989</v>
      </c>
      <c r="W516" s="72">
        <f t="shared" si="209"/>
        <v>4898460121</v>
      </c>
      <c r="Y516" s="110">
        <f t="shared" si="210"/>
        <v>16.44824165251044</v>
      </c>
      <c r="Z516" s="111">
        <f t="shared" si="211"/>
        <v>-49.789771334536873</v>
      </c>
      <c r="AA516" s="72">
        <f t="shared" si="212"/>
        <v>130.21022866546312</v>
      </c>
      <c r="AB516" s="110">
        <f t="shared" ca="1" si="213"/>
        <v>-7.9634392318178628</v>
      </c>
      <c r="AC516" s="111">
        <f t="shared" ca="1" si="214"/>
        <v>-83.214268815495714</v>
      </c>
      <c r="AD516" s="72">
        <f t="shared" ca="1" si="215"/>
        <v>96.785731184504286</v>
      </c>
    </row>
    <row r="517" spans="1:30">
      <c r="A517" s="118">
        <v>70392</v>
      </c>
      <c r="B517" s="101">
        <f t="shared" ca="1" si="189"/>
        <v>1152.0499046105717</v>
      </c>
      <c r="C517" s="102">
        <f t="shared" ca="1" si="190"/>
        <v>1.5699283087328544</v>
      </c>
      <c r="D517" s="102">
        <f t="shared" si="191"/>
        <v>117.4311854837356</v>
      </c>
      <c r="E517" s="103">
        <f t="shared" si="192"/>
        <v>1.5622805983514281</v>
      </c>
      <c r="F517" s="101">
        <f t="shared" si="193"/>
        <v>9553.377212509673</v>
      </c>
      <c r="G517" s="104">
        <f t="shared" si="194"/>
        <v>1.5706916517695542</v>
      </c>
      <c r="H517" s="113">
        <f t="shared" si="195"/>
        <v>1149.9882104428721</v>
      </c>
      <c r="I517" s="114">
        <f t="shared" si="196"/>
        <v>1.5699267525532254</v>
      </c>
      <c r="J517" s="101">
        <f t="shared" si="197"/>
        <v>117.13265329982084</v>
      </c>
      <c r="K517" s="104">
        <f t="shared" si="198"/>
        <v>1.5622588940646467</v>
      </c>
      <c r="L517" s="102">
        <f t="shared" si="199"/>
        <v>5.2053608782296665</v>
      </c>
      <c r="M517" s="103">
        <f t="shared" si="200"/>
        <v>1.3774849504837916</v>
      </c>
      <c r="N517" s="101">
        <f t="shared" si="201"/>
        <v>1.2915308807530159</v>
      </c>
      <c r="O517" s="104">
        <f t="shared" si="202"/>
        <v>0.68522773738432574</v>
      </c>
      <c r="P517" s="105">
        <f t="shared" ca="1" si="203"/>
        <v>4.0778490677123127</v>
      </c>
      <c r="Q517" s="106">
        <f t="shared" ca="1" si="204"/>
        <v>1.4467621804634496</v>
      </c>
      <c r="R517" s="107">
        <f t="shared" ca="1" si="205"/>
        <v>-7.5021396641551208</v>
      </c>
      <c r="S517" s="108">
        <f t="shared" ca="1" si="206"/>
        <v>-133.22279856516377</v>
      </c>
      <c r="T517" s="116">
        <f t="shared" ca="1" si="207"/>
        <v>46.777201434836229</v>
      </c>
      <c r="V517" s="72">
        <f t="shared" ca="1" si="208"/>
        <v>70392</v>
      </c>
      <c r="W517" s="72">
        <f t="shared" si="209"/>
        <v>4955033664</v>
      </c>
      <c r="Y517" s="110">
        <f t="shared" si="210"/>
        <v>16.426490251425612</v>
      </c>
      <c r="Z517" s="111">
        <f t="shared" si="211"/>
        <v>-49.891250042449585</v>
      </c>
      <c r="AA517" s="72">
        <f t="shared" si="212"/>
        <v>130.1087499575504</v>
      </c>
      <c r="AB517" s="110">
        <f t="shared" ca="1" si="213"/>
        <v>-8.0110295686992288</v>
      </c>
      <c r="AC517" s="111">
        <f t="shared" ca="1" si="214"/>
        <v>-83.331548522714314</v>
      </c>
      <c r="AD517" s="72">
        <f t="shared" ca="1" si="215"/>
        <v>96.668451477285686</v>
      </c>
    </row>
    <row r="518" spans="1:30">
      <c r="A518" s="118">
        <v>70795</v>
      </c>
      <c r="B518" s="101">
        <f t="shared" ca="1" si="189"/>
        <v>1158.6454802831265</v>
      </c>
      <c r="C518" s="102">
        <f t="shared" ca="1" si="190"/>
        <v>1.5699332499166216</v>
      </c>
      <c r="D518" s="102">
        <f t="shared" si="191"/>
        <v>118.10344008255217</v>
      </c>
      <c r="E518" s="103">
        <f t="shared" si="192"/>
        <v>1.562329071747381</v>
      </c>
      <c r="F518" s="101">
        <f t="shared" si="193"/>
        <v>9608.071083611183</v>
      </c>
      <c r="G518" s="104">
        <f t="shared" si="194"/>
        <v>1.5706922476313367</v>
      </c>
      <c r="H518" s="113">
        <f t="shared" si="195"/>
        <v>1156.5719827375581</v>
      </c>
      <c r="I518" s="114">
        <f t="shared" si="196"/>
        <v>1.56993170259552</v>
      </c>
      <c r="J518" s="101">
        <f t="shared" si="197"/>
        <v>117.80319865338599</v>
      </c>
      <c r="K518" s="104">
        <f t="shared" si="198"/>
        <v>1.5623074909942758</v>
      </c>
      <c r="L518" s="102">
        <f t="shared" si="199"/>
        <v>5.2340651701700809</v>
      </c>
      <c r="M518" s="103">
        <f t="shared" si="200"/>
        <v>1.3785583885992747</v>
      </c>
      <c r="N518" s="101">
        <f t="shared" si="201"/>
        <v>1.2944972839148956</v>
      </c>
      <c r="O518" s="104">
        <f t="shared" si="202"/>
        <v>0.6880265995382453</v>
      </c>
      <c r="P518" s="105">
        <f t="shared" ca="1" si="203"/>
        <v>4.1001426717809295</v>
      </c>
      <c r="Q518" s="106">
        <f t="shared" ca="1" si="204"/>
        <v>1.4488382610597437</v>
      </c>
      <c r="R518" s="107">
        <f t="shared" ca="1" si="205"/>
        <v>-7.5712430433834568</v>
      </c>
      <c r="S518" s="108">
        <f t="shared" ca="1" si="206"/>
        <v>-133.44064944754967</v>
      </c>
      <c r="T518" s="116">
        <f t="shared" ca="1" si="207"/>
        <v>46.559350552450326</v>
      </c>
      <c r="V518" s="72">
        <f t="shared" ca="1" si="208"/>
        <v>70795</v>
      </c>
      <c r="W518" s="72">
        <f t="shared" si="209"/>
        <v>5011932025</v>
      </c>
      <c r="Y518" s="110">
        <f t="shared" si="210"/>
        <v>16.404746844643277</v>
      </c>
      <c r="Z518" s="111">
        <f t="shared" si="211"/>
        <v>-49.992644480636706</v>
      </c>
      <c r="AA518" s="72">
        <f t="shared" si="212"/>
        <v>130.0073555193633</v>
      </c>
      <c r="AB518" s="110">
        <f t="shared" ca="1" si="213"/>
        <v>-8.05838954114523</v>
      </c>
      <c r="AC518" s="111">
        <f t="shared" ca="1" si="214"/>
        <v>-83.448004966912933</v>
      </c>
      <c r="AD518" s="72">
        <f t="shared" ca="1" si="215"/>
        <v>96.551995033087067</v>
      </c>
    </row>
    <row r="519" spans="1:30">
      <c r="A519" s="118">
        <v>71207.25</v>
      </c>
      <c r="B519" s="101">
        <f t="shared" ca="1" si="189"/>
        <v>1165.392443267423</v>
      </c>
      <c r="C519" s="102">
        <f t="shared" ca="1" si="190"/>
        <v>1.5699382466447342</v>
      </c>
      <c r="D519" s="102">
        <f t="shared" si="191"/>
        <v>118.79112512660032</v>
      </c>
      <c r="E519" s="103">
        <f t="shared" si="192"/>
        <v>1.5623780900777164</v>
      </c>
      <c r="F519" s="101">
        <f t="shared" si="193"/>
        <v>9664.0203351322816</v>
      </c>
      <c r="G519" s="104">
        <f t="shared" si="194"/>
        <v>1.5706928501912569</v>
      </c>
      <c r="H519" s="113">
        <f t="shared" si="195"/>
        <v>1163.3068714228336</v>
      </c>
      <c r="I519" s="114">
        <f t="shared" si="196"/>
        <v>1.5699367082817399</v>
      </c>
      <c r="J519" s="101">
        <f t="shared" si="197"/>
        <v>118.48913522085005</v>
      </c>
      <c r="K519" s="104">
        <f t="shared" si="198"/>
        <v>1.562356634247251</v>
      </c>
      <c r="L519" s="102">
        <f t="shared" si="199"/>
        <v>5.2634344789590264</v>
      </c>
      <c r="M519" s="103">
        <f t="shared" si="200"/>
        <v>1.3796443496646422</v>
      </c>
      <c r="N519" s="101">
        <f t="shared" si="201"/>
        <v>1.2975422183366303</v>
      </c>
      <c r="O519" s="104">
        <f t="shared" si="202"/>
        <v>0.69087643932852105</v>
      </c>
      <c r="P519" s="105">
        <f t="shared" ca="1" si="203"/>
        <v>4.1229620442996282</v>
      </c>
      <c r="Q519" s="106">
        <f t="shared" ca="1" si="204"/>
        <v>1.4509468470851368</v>
      </c>
      <c r="R519" s="107">
        <f t="shared" ca="1" si="205"/>
        <v>-7.6416881057905073</v>
      </c>
      <c r="S519" s="108">
        <f t="shared" ca="1" si="206"/>
        <v>-133.66256650272726</v>
      </c>
      <c r="T519" s="116">
        <f t="shared" ca="1" si="207"/>
        <v>46.337433497272741</v>
      </c>
      <c r="V519" s="72">
        <f t="shared" ca="1" si="208"/>
        <v>71207.25</v>
      </c>
      <c r="W519" s="72">
        <f t="shared" si="209"/>
        <v>5070472452.5625</v>
      </c>
      <c r="Y519" s="110">
        <f t="shared" si="210"/>
        <v>16.382512693640244</v>
      </c>
      <c r="Z519" s="111">
        <f t="shared" si="211"/>
        <v>-50.096270707698643</v>
      </c>
      <c r="AA519" s="72">
        <f t="shared" si="212"/>
        <v>129.90372929230136</v>
      </c>
      <c r="AB519" s="110">
        <f t="shared" ca="1" si="213"/>
        <v>-8.1066004525492517</v>
      </c>
      <c r="AC519" s="111">
        <f t="shared" ca="1" si="214"/>
        <v>-83.566295795028594</v>
      </c>
      <c r="AD519" s="72">
        <f t="shared" ca="1" si="215"/>
        <v>96.433704204971406</v>
      </c>
    </row>
    <row r="520" spans="1:30">
      <c r="A520" s="118">
        <v>71619.5</v>
      </c>
      <c r="B520" s="101">
        <f t="shared" ca="1" si="189"/>
        <v>1172.1394062804814</v>
      </c>
      <c r="C520" s="102">
        <f t="shared" ca="1" si="190"/>
        <v>1.5699431858494168</v>
      </c>
      <c r="D520" s="102">
        <f t="shared" si="191"/>
        <v>119.47881045279371</v>
      </c>
      <c r="E520" s="103">
        <f t="shared" si="192"/>
        <v>1.5624265441376266</v>
      </c>
      <c r="F520" s="101">
        <f t="shared" si="193"/>
        <v>9719.9695866568491</v>
      </c>
      <c r="G520" s="104">
        <f t="shared" si="194"/>
        <v>1.57069344581437</v>
      </c>
      <c r="H520" s="113">
        <f t="shared" si="195"/>
        <v>1170.0417601369224</v>
      </c>
      <c r="I520" s="114">
        <f t="shared" si="196"/>
        <v>1.5699416563414021</v>
      </c>
      <c r="J520" s="101">
        <f t="shared" si="197"/>
        <v>119.17507207117829</v>
      </c>
      <c r="K520" s="104">
        <f t="shared" si="198"/>
        <v>1.562405211791968</v>
      </c>
      <c r="L520" s="102">
        <f t="shared" si="199"/>
        <v>5.2928099260855346</v>
      </c>
      <c r="M520" s="103">
        <f t="shared" si="200"/>
        <v>1.3807182576725086</v>
      </c>
      <c r="N520" s="101">
        <f t="shared" si="201"/>
        <v>1.3005976414671607</v>
      </c>
      <c r="O520" s="104">
        <f t="shared" si="202"/>
        <v>0.69371291211899055</v>
      </c>
      <c r="P520" s="105">
        <f t="shared" ca="1" si="203"/>
        <v>4.1457955527981278</v>
      </c>
      <c r="Q520" s="106">
        <f t="shared" ca="1" si="204"/>
        <v>1.4530403535189873</v>
      </c>
      <c r="R520" s="107">
        <f t="shared" ca="1" si="205"/>
        <v>-7.7118881523105953</v>
      </c>
      <c r="S520" s="108">
        <f t="shared" ca="1" si="206"/>
        <v>-133.88354380368028</v>
      </c>
      <c r="T520" s="116">
        <f t="shared" ca="1" si="207"/>
        <v>46.116456196319717</v>
      </c>
      <c r="V520" s="72">
        <f t="shared" ca="1" si="208"/>
        <v>71619.5</v>
      </c>
      <c r="W520" s="72">
        <f t="shared" si="209"/>
        <v>5129352780.25</v>
      </c>
      <c r="Y520" s="110">
        <f t="shared" si="210"/>
        <v>16.360287035291911</v>
      </c>
      <c r="Z520" s="111">
        <f t="shared" si="211"/>
        <v>-50.199792143025029</v>
      </c>
      <c r="AA520" s="72">
        <f t="shared" si="212"/>
        <v>129.80020785697496</v>
      </c>
      <c r="AB520" s="110">
        <f t="shared" ca="1" si="213"/>
        <v>-8.1545748407209988</v>
      </c>
      <c r="AC520" s="111">
        <f t="shared" ca="1" si="214"/>
        <v>-83.683751660655275</v>
      </c>
      <c r="AD520" s="72">
        <f t="shared" ca="1" si="215"/>
        <v>96.316248339344725</v>
      </c>
    </row>
    <row r="521" spans="1:30">
      <c r="A521" s="118">
        <v>72031.75</v>
      </c>
      <c r="B521" s="101">
        <f t="shared" ca="1" si="189"/>
        <v>1178.8863693218075</v>
      </c>
      <c r="C521" s="102">
        <f t="shared" ca="1" si="190"/>
        <v>1.5699480685183174</v>
      </c>
      <c r="D521" s="102">
        <f t="shared" si="191"/>
        <v>120.16649605628832</v>
      </c>
      <c r="E521" s="103">
        <f t="shared" si="192"/>
        <v>1.5624744436144569</v>
      </c>
      <c r="F521" s="101">
        <f t="shared" si="193"/>
        <v>9775.9188381848271</v>
      </c>
      <c r="G521" s="104">
        <f t="shared" si="194"/>
        <v>1.5706940346197777</v>
      </c>
      <c r="H521" s="113">
        <f t="shared" si="195"/>
        <v>1176.7766488793297</v>
      </c>
      <c r="I521" s="114">
        <f t="shared" si="196"/>
        <v>1.5699465477639256</v>
      </c>
      <c r="J521" s="101">
        <f t="shared" si="197"/>
        <v>119.86100919951443</v>
      </c>
      <c r="K521" s="104">
        <f t="shared" si="198"/>
        <v>1.5624532333404519</v>
      </c>
      <c r="L521" s="102">
        <f t="shared" si="199"/>
        <v>5.3221914099092897</v>
      </c>
      <c r="M521" s="103">
        <f t="shared" si="200"/>
        <v>1.3817803097440393</v>
      </c>
      <c r="N521" s="101">
        <f t="shared" si="201"/>
        <v>1.3036634795586757</v>
      </c>
      <c r="O521" s="104">
        <f t="shared" si="202"/>
        <v>0.69653606641323063</v>
      </c>
      <c r="P521" s="105">
        <f t="shared" ca="1" si="203"/>
        <v>4.1686431090177054</v>
      </c>
      <c r="Q521" s="106">
        <f t="shared" ca="1" si="204"/>
        <v>1.4551190160235061</v>
      </c>
      <c r="R521" s="107">
        <f t="shared" ca="1" si="205"/>
        <v>-7.7818453549909448</v>
      </c>
      <c r="S521" s="108">
        <f t="shared" ca="1" si="206"/>
        <v>-134.10358634583483</v>
      </c>
      <c r="T521" s="116">
        <f t="shared" ca="1" si="207"/>
        <v>45.896413654165173</v>
      </c>
      <c r="V521" s="72">
        <f t="shared" ca="1" si="208"/>
        <v>72031.75</v>
      </c>
      <c r="W521" s="72">
        <f t="shared" si="209"/>
        <v>5188573008.0625</v>
      </c>
      <c r="Y521" s="110">
        <f t="shared" si="210"/>
        <v>16.338069949482829</v>
      </c>
      <c r="Z521" s="111">
        <f t="shared" si="211"/>
        <v>-50.30320077804776</v>
      </c>
      <c r="AA521" s="72">
        <f t="shared" si="212"/>
        <v>129.69679922195223</v>
      </c>
      <c r="AB521" s="110">
        <f t="shared" ca="1" si="213"/>
        <v>-8.2023149575922716</v>
      </c>
      <c r="AC521" s="111">
        <f t="shared" ca="1" si="214"/>
        <v>-83.80038556778706</v>
      </c>
      <c r="AD521" s="72">
        <f t="shared" ca="1" si="215"/>
        <v>96.19961443221294</v>
      </c>
    </row>
    <row r="522" spans="1:30">
      <c r="A522" s="118">
        <v>72444</v>
      </c>
      <c r="B522" s="101">
        <f t="shared" ca="1" si="189"/>
        <v>1185.6333323909189</v>
      </c>
      <c r="C522" s="102">
        <f t="shared" ca="1" si="190"/>
        <v>1.5699528956166029</v>
      </c>
      <c r="D522" s="102">
        <f t="shared" si="191"/>
        <v>120.8541819323505</v>
      </c>
      <c r="E522" s="103">
        <f t="shared" si="192"/>
        <v>1.562521797975071</v>
      </c>
      <c r="F522" s="101">
        <f t="shared" si="193"/>
        <v>9831.8680897161557</v>
      </c>
      <c r="G522" s="104">
        <f t="shared" si="194"/>
        <v>1.5706946167238705</v>
      </c>
      <c r="H522" s="113">
        <f t="shared" si="195"/>
        <v>1183.5115376495719</v>
      </c>
      <c r="I522" s="114">
        <f t="shared" si="196"/>
        <v>1.5699513835162073</v>
      </c>
      <c r="J522" s="101">
        <f t="shared" si="197"/>
        <v>120.54694660111272</v>
      </c>
      <c r="K522" s="104">
        <f t="shared" si="198"/>
        <v>1.5625007083836848</v>
      </c>
      <c r="L522" s="102">
        <f t="shared" si="199"/>
        <v>5.3515788310014356</v>
      </c>
      <c r="M522" s="103">
        <f t="shared" si="200"/>
        <v>1.3828306987788739</v>
      </c>
      <c r="N522" s="101">
        <f t="shared" si="201"/>
        <v>1.3067396593052578</v>
      </c>
      <c r="O522" s="104">
        <f t="shared" si="202"/>
        <v>0.69934595110961717</v>
      </c>
      <c r="P522" s="105">
        <f t="shared" ca="1" si="203"/>
        <v>4.1915046273090697</v>
      </c>
      <c r="Q522" s="106">
        <f t="shared" ca="1" si="204"/>
        <v>1.4571830654103004</v>
      </c>
      <c r="R522" s="107">
        <f t="shared" ca="1" si="205"/>
        <v>-7.8515618480266633</v>
      </c>
      <c r="S522" s="108">
        <f t="shared" ca="1" si="206"/>
        <v>-134.3226991110086</v>
      </c>
      <c r="T522" s="116">
        <f t="shared" ca="1" si="207"/>
        <v>45.677300888991397</v>
      </c>
      <c r="V522" s="72">
        <f t="shared" ca="1" si="208"/>
        <v>72444</v>
      </c>
      <c r="W522" s="72">
        <f t="shared" si="209"/>
        <v>5248133136</v>
      </c>
      <c r="Y522" s="110">
        <f t="shared" si="210"/>
        <v>16.315861525797185</v>
      </c>
      <c r="Z522" s="111">
        <f t="shared" si="211"/>
        <v>-50.406488857165009</v>
      </c>
      <c r="AA522" s="72">
        <f t="shared" si="212"/>
        <v>129.59351114283498</v>
      </c>
      <c r="AB522" s="110">
        <f t="shared" ca="1" si="213"/>
        <v>-8.2498230269423409</v>
      </c>
      <c r="AC522" s="111">
        <f t="shared" ca="1" si="214"/>
        <v>-83.91621025384363</v>
      </c>
      <c r="AD522" s="72">
        <f t="shared" ca="1" si="215"/>
        <v>96.08378974615637</v>
      </c>
    </row>
    <row r="523" spans="1:30">
      <c r="A523" s="118">
        <v>72865.75</v>
      </c>
      <c r="B523" s="101">
        <f t="shared" ca="1" si="189"/>
        <v>1192.5357743219035</v>
      </c>
      <c r="C523" s="102">
        <f t="shared" ca="1" si="190"/>
        <v>1.5699577774291447</v>
      </c>
      <c r="D523" s="102">
        <f t="shared" si="191"/>
        <v>121.55771530414059</v>
      </c>
      <c r="E523" s="103">
        <f t="shared" si="192"/>
        <v>1.5625696891258556</v>
      </c>
      <c r="F523" s="101">
        <f t="shared" si="193"/>
        <v>9889.106650867745</v>
      </c>
      <c r="G523" s="104">
        <f t="shared" si="194"/>
        <v>1.5706952054259997</v>
      </c>
      <c r="H523" s="113">
        <f t="shared" si="195"/>
        <v>1190.4016270383443</v>
      </c>
      <c r="I523" s="114">
        <f t="shared" si="196"/>
        <v>1.5699562740808368</v>
      </c>
      <c r="J523" s="101">
        <f t="shared" si="197"/>
        <v>121.24869120682911</v>
      </c>
      <c r="K523" s="104">
        <f t="shared" si="198"/>
        <v>1.5625487215852913</v>
      </c>
      <c r="L523" s="102">
        <f t="shared" si="199"/>
        <v>5.3816495063871796</v>
      </c>
      <c r="M523" s="103">
        <f t="shared" si="200"/>
        <v>1.3838934208202012</v>
      </c>
      <c r="N523" s="101">
        <f t="shared" si="201"/>
        <v>1.3098973532631071</v>
      </c>
      <c r="O523" s="104">
        <f t="shared" si="202"/>
        <v>0.7022069071303717</v>
      </c>
      <c r="P523" s="105">
        <f t="shared" ca="1" si="203"/>
        <v>4.2149073343328718</v>
      </c>
      <c r="Q523" s="106">
        <f t="shared" ca="1" si="204"/>
        <v>1.4592797929122352</v>
      </c>
      <c r="R523" s="107">
        <f t="shared" ca="1" si="205"/>
        <v>-7.9226379994630332</v>
      </c>
      <c r="S523" s="108">
        <f t="shared" ca="1" si="206"/>
        <v>-134.5459041871984</v>
      </c>
      <c r="T523" s="116">
        <f t="shared" ca="1" si="207"/>
        <v>45.454095812801597</v>
      </c>
      <c r="V523" s="72">
        <f t="shared" ca="1" si="208"/>
        <v>72865.75</v>
      </c>
      <c r="W523" s="72">
        <f t="shared" si="209"/>
        <v>5309417523.0625</v>
      </c>
      <c r="Y523" s="110">
        <f t="shared" si="210"/>
        <v>16.293150392058646</v>
      </c>
      <c r="Z523" s="111">
        <f t="shared" si="211"/>
        <v>-50.512024550131422</v>
      </c>
      <c r="AA523" s="72">
        <f t="shared" si="212"/>
        <v>129.48797544986857</v>
      </c>
      <c r="AB523" s="110">
        <f t="shared" ca="1" si="213"/>
        <v>-8.2981880446401739</v>
      </c>
      <c r="AC523" s="111">
        <f t="shared" ca="1" si="214"/>
        <v>-84.033879637066988</v>
      </c>
      <c r="AD523" s="72">
        <f t="shared" ca="1" si="215"/>
        <v>95.966120362933012</v>
      </c>
    </row>
    <row r="524" spans="1:30">
      <c r="A524" s="118">
        <v>73287.5</v>
      </c>
      <c r="B524" s="101">
        <f t="shared" ca="1" si="189"/>
        <v>1199.438216280982</v>
      </c>
      <c r="C524" s="102">
        <f t="shared" ca="1" si="190"/>
        <v>1.5699626030546694</v>
      </c>
      <c r="D524" s="102">
        <f t="shared" si="191"/>
        <v>122.26124895152228</v>
      </c>
      <c r="E524" s="103">
        <f t="shared" si="192"/>
        <v>1.5626170291121508</v>
      </c>
      <c r="F524" s="101">
        <f t="shared" si="193"/>
        <v>9946.345212022723</v>
      </c>
      <c r="G524" s="104">
        <f t="shared" si="194"/>
        <v>1.5706957873524816</v>
      </c>
      <c r="H524" s="113">
        <f t="shared" si="195"/>
        <v>1197.2917164552605</v>
      </c>
      <c r="I524" s="114">
        <f t="shared" si="196"/>
        <v>1.5699611083577176</v>
      </c>
      <c r="J524" s="101">
        <f t="shared" si="197"/>
        <v>121.95043608883937</v>
      </c>
      <c r="K524" s="104">
        <f t="shared" si="198"/>
        <v>1.5625961822179533</v>
      </c>
      <c r="L524" s="102">
        <f t="shared" si="199"/>
        <v>5.4117261921414057</v>
      </c>
      <c r="M524" s="103">
        <f t="shared" si="200"/>
        <v>1.3849443314823484</v>
      </c>
      <c r="N524" s="101">
        <f t="shared" si="201"/>
        <v>1.3130657172034303</v>
      </c>
      <c r="O524" s="104">
        <f t="shared" si="202"/>
        <v>0.7050540796654885</v>
      </c>
      <c r="P524" s="105">
        <f t="shared" ca="1" si="203"/>
        <v>4.2383244810561589</v>
      </c>
      <c r="Q524" s="106">
        <f t="shared" ca="1" si="204"/>
        <v>1.4613616997224974</v>
      </c>
      <c r="R524" s="107">
        <f t="shared" ca="1" si="205"/>
        <v>-7.9934666210412271</v>
      </c>
      <c r="S524" s="108">
        <f t="shared" ca="1" si="206"/>
        <v>-134.76814664401425</v>
      </c>
      <c r="T524" s="116">
        <f t="shared" ca="1" si="207"/>
        <v>45.231853355985749</v>
      </c>
      <c r="V524" s="72">
        <f t="shared" ca="1" si="208"/>
        <v>73287.5</v>
      </c>
      <c r="W524" s="72">
        <f t="shared" si="209"/>
        <v>5371057656.25</v>
      </c>
      <c r="Y524" s="110">
        <f t="shared" si="210"/>
        <v>16.27044854265182</v>
      </c>
      <c r="Z524" s="111">
        <f t="shared" si="211"/>
        <v>-50.617418426686967</v>
      </c>
      <c r="AA524" s="72">
        <f t="shared" si="212"/>
        <v>129.38258157331302</v>
      </c>
      <c r="AB524" s="110">
        <f t="shared" ca="1" si="213"/>
        <v>-8.3463148168115477</v>
      </c>
      <c r="AC524" s="111">
        <f t="shared" ca="1" si="214"/>
        <v>-84.150728217327227</v>
      </c>
      <c r="AD524" s="72">
        <f t="shared" ca="1" si="215"/>
        <v>95.849271782672773</v>
      </c>
    </row>
    <row r="525" spans="1:30">
      <c r="A525" s="118">
        <v>73709.25</v>
      </c>
      <c r="B525" s="101">
        <f t="shared" ca="1" si="189"/>
        <v>1206.3406582676716</v>
      </c>
      <c r="C525" s="102">
        <f t="shared" ca="1" si="190"/>
        <v>1.56996737345765</v>
      </c>
      <c r="D525" s="102">
        <f t="shared" si="191"/>
        <v>122.9647828697652</v>
      </c>
      <c r="E525" s="103">
        <f t="shared" si="192"/>
        <v>1.5626638273940836</v>
      </c>
      <c r="F525" s="101">
        <f t="shared" si="193"/>
        <v>10003.583773181028</v>
      </c>
      <c r="G525" s="104">
        <f t="shared" si="194"/>
        <v>1.5706963626196231</v>
      </c>
      <c r="H525" s="113">
        <f t="shared" si="195"/>
        <v>1204.1818058998374</v>
      </c>
      <c r="I525" s="114">
        <f t="shared" si="196"/>
        <v>1.569965887313052</v>
      </c>
      <c r="J525" s="101">
        <f t="shared" si="197"/>
        <v>122.65218124240111</v>
      </c>
      <c r="K525" s="104">
        <f t="shared" si="198"/>
        <v>1.5626430997658987</v>
      </c>
      <c r="L525" s="102">
        <f t="shared" si="199"/>
        <v>5.441808788606826</v>
      </c>
      <c r="M525" s="103">
        <f t="shared" si="200"/>
        <v>1.3859836243062991</v>
      </c>
      <c r="N525" s="101">
        <f t="shared" si="201"/>
        <v>1.3162446740743217</v>
      </c>
      <c r="O525" s="104">
        <f t="shared" si="202"/>
        <v>0.70788752225637708</v>
      </c>
      <c r="P525" s="105">
        <f t="shared" ca="1" si="203"/>
        <v>4.2617559838132921</v>
      </c>
      <c r="Q525" s="106">
        <f t="shared" ca="1" si="204"/>
        <v>1.4634290179968032</v>
      </c>
      <c r="R525" s="107">
        <f t="shared" ca="1" si="205"/>
        <v>-8.06404988097459</v>
      </c>
      <c r="S525" s="108">
        <f t="shared" ca="1" si="206"/>
        <v>-134.98943176955962</v>
      </c>
      <c r="T525" s="116">
        <f t="shared" ca="1" si="207"/>
        <v>45.010568230440384</v>
      </c>
      <c r="V525" s="72">
        <f t="shared" ca="1" si="208"/>
        <v>73709.25</v>
      </c>
      <c r="W525" s="72">
        <f t="shared" si="209"/>
        <v>5433053535.5625</v>
      </c>
      <c r="Y525" s="110">
        <f t="shared" si="210"/>
        <v>16.247756101450967</v>
      </c>
      <c r="Z525" s="111">
        <f t="shared" si="211"/>
        <v>-50.722662960157692</v>
      </c>
      <c r="AA525" s="72">
        <f t="shared" si="212"/>
        <v>129.27733703984231</v>
      </c>
      <c r="AB525" s="110">
        <f t="shared" ca="1" si="213"/>
        <v>-8.3942056355440542</v>
      </c>
      <c r="AC525" s="111">
        <f t="shared" ca="1" si="214"/>
        <v>-84.266768809401995</v>
      </c>
      <c r="AD525" s="72">
        <f t="shared" ca="1" si="215"/>
        <v>95.733231190598005</v>
      </c>
    </row>
    <row r="526" spans="1:30">
      <c r="A526" s="118">
        <v>74131</v>
      </c>
      <c r="B526" s="101">
        <f t="shared" ref="B526:B589" ca="1" si="216">SQRT(1+(A526/Pole1)^2)</f>
        <v>1213.2431002815013</v>
      </c>
      <c r="C526" s="102">
        <f t="shared" ref="C526:C589" ca="1" si="217">ATAN(A526/Pole1)</f>
        <v>1.5699720895806106</v>
      </c>
      <c r="D526" s="102">
        <f t="shared" ref="D526:D589" si="218">SQRT(1+(A526/Zero1)^2)</f>
        <v>123.66831705424667</v>
      </c>
      <c r="E526" s="103">
        <f t="shared" ref="E526:E589" si="219">ATAN(A526/Zero1)</f>
        <v>1.5627100932165199</v>
      </c>
      <c r="F526" s="101">
        <f t="shared" ref="F526:F589" si="220">SQRT(1+(A526/Pole2)^2)</f>
        <v>10060.822334342607</v>
      </c>
      <c r="G526" s="104">
        <f t="shared" ref="G526:G589" si="221">ATAN(A526/Pole2)</f>
        <v>1.5706969313410843</v>
      </c>
      <c r="H526" s="113">
        <f t="shared" ref="H526:H589" si="222">SQRT(1+(A526/Zero2)^2)</f>
        <v>1211.071895371603</v>
      </c>
      <c r="I526" s="114">
        <f t="shared" ref="I526:I589" si="223">ATAN(A526/Zero2)</f>
        <v>1.5699706118910532</v>
      </c>
      <c r="J526" s="101">
        <f t="shared" ref="J526:J589" si="224">SQRT(1+(A526/pole4)^2)</f>
        <v>123.35392666287987</v>
      </c>
      <c r="K526" s="104">
        <f t="shared" ref="K526:K589" si="225">ATAN(A526/pole4)</f>
        <v>1.5626894834975473</v>
      </c>
      <c r="L526" s="102">
        <f t="shared" ref="L526:L589" si="226">SQRT(1+(A526/Zerofeed)^2)</f>
        <v>5.4718971982983113</v>
      </c>
      <c r="M526" s="103">
        <f t="shared" ref="M526:M589" si="227">ATAN(A526/Zerofeed)</f>
        <v>1.3870114886777793</v>
      </c>
      <c r="N526" s="101">
        <f t="shared" ref="N526:N589" si="228">SQRT(1+(A526/Polefeed)^2)</f>
        <v>1.319434147310077</v>
      </c>
      <c r="O526" s="104">
        <f t="shared" ref="O526:O589" si="229">ATAN(A526/Polefeed)</f>
        <v>0.71070728881115686</v>
      </c>
      <c r="P526" s="105">
        <f t="shared" ref="P526:P589" ca="1" si="230">SQRT((1-(W526/pterm2))^2+(A526/pterm1)^2)</f>
        <v>4.2852017615097209</v>
      </c>
      <c r="Q526" s="106">
        <f t="shared" ref="Q526:Q589" ca="1" si="231">IF((ATAN((A526/pterm1)/(1-A526^2/pterm2))&gt;0),ATAN((A526/pterm1)/(1-A526^2/pterm2)),PI()+ATAN((A526/pterm1)/(1-A526^2/pterm2)))</f>
        <v>1.4654819750901091</v>
      </c>
      <c r="R526" s="107">
        <f t="shared" ref="R526:R589" ca="1" si="232">20*LOG10(((D526*H526*L526)/(B526*F526*P526*J526*N526))*Adc)</f>
        <v>-8.1343899099940291</v>
      </c>
      <c r="S526" s="108">
        <f t="shared" ref="S526:S589" ca="1" si="233">((E526+I526+M526)-(C526+G526+Q526+K526+O526))*radconv</f>
        <v>-135.20976483578417</v>
      </c>
      <c r="T526" s="116">
        <f t="shared" ref="T526:T589" ca="1" si="234">IF(S526&gt;0,S526,S526+180)</f>
        <v>44.790235164215829</v>
      </c>
      <c r="V526" s="72">
        <f t="shared" ref="V526:V589" ca="1" si="235">IF(R526&lt;0,A526,1000000000)</f>
        <v>74131</v>
      </c>
      <c r="W526" s="72">
        <f t="shared" ref="W526:W589" si="236">A526^2</f>
        <v>5495405161</v>
      </c>
      <c r="Y526" s="110">
        <f t="shared" ref="Y526:Y589" si="237">20*LOG10(((H526*L526)/(F526*J526*N526))*Aea)</f>
        <v>16.22507320063426</v>
      </c>
      <c r="Z526" s="111">
        <f t="shared" ref="Z526:Z589" si="238">(I526+M526-(G526+K526+O526))*radconv</f>
        <v>-50.827750871702641</v>
      </c>
      <c r="AA526" s="72">
        <f t="shared" ref="AA526:AA589" si="239">IF(Z526&gt;0,Z526,Z526+180)</f>
        <v>129.17224912829735</v>
      </c>
      <c r="AB526" s="110">
        <f t="shared" ref="AB526:AB589" ca="1" si="240">20*LOG10((D526/(B526*P526))*Acs*Am)</f>
        <v>-8.4418627637467818</v>
      </c>
      <c r="AC526" s="111">
        <f t="shared" ref="AC526:AC589" ca="1" si="241">(E526-(C526+Q526))*radconv</f>
        <v>-84.382013964081551</v>
      </c>
      <c r="AD526" s="72">
        <f t="shared" ref="AD526:AD589" ca="1" si="242">IF(AC526&gt;0,AC526,AC526+180)</f>
        <v>95.617986035918449</v>
      </c>
    </row>
    <row r="527" spans="1:30">
      <c r="A527" s="118">
        <v>74562.75</v>
      </c>
      <c r="B527" s="101">
        <f t="shared" ca="1" si="216"/>
        <v>1220.3092042557153</v>
      </c>
      <c r="C527" s="102">
        <f t="shared" ca="1" si="217"/>
        <v>1.5699768622621102</v>
      </c>
      <c r="D527" s="102">
        <f t="shared" si="218"/>
        <v>124.3885328182585</v>
      </c>
      <c r="E527" s="103">
        <f t="shared" si="219"/>
        <v>1.5627569139209714</v>
      </c>
      <c r="F527" s="101">
        <f t="shared" si="220"/>
        <v>10119.418063525578</v>
      </c>
      <c r="G527" s="104">
        <f t="shared" si="221"/>
        <v>1.5706975068829856</v>
      </c>
      <c r="H527" s="113">
        <f t="shared" si="222"/>
        <v>1218.1253539160239</v>
      </c>
      <c r="I527" s="114">
        <f t="shared" si="223"/>
        <v>1.5699753931289917</v>
      </c>
      <c r="J527" s="101">
        <f t="shared" si="224"/>
        <v>124.07231125068104</v>
      </c>
      <c r="K527" s="104">
        <f t="shared" si="225"/>
        <v>1.562736423525517</v>
      </c>
      <c r="L527" s="102">
        <f t="shared" si="226"/>
        <v>5.5027049481769801</v>
      </c>
      <c r="M527" s="103">
        <f t="shared" si="227"/>
        <v>1.3880520798092975</v>
      </c>
      <c r="N527" s="101">
        <f t="shared" si="228"/>
        <v>1.3227100592024319</v>
      </c>
      <c r="O527" s="104">
        <f t="shared" si="229"/>
        <v>0.71357980445348901</v>
      </c>
      <c r="P527" s="105">
        <f t="shared" ca="1" si="230"/>
        <v>4.309218160309376</v>
      </c>
      <c r="Q527" s="106">
        <f t="shared" ca="1" si="231"/>
        <v>1.4675689657553044</v>
      </c>
      <c r="R527" s="107">
        <f t="shared" ca="1" si="232"/>
        <v>-8.2061479885039397</v>
      </c>
      <c r="S527" s="108">
        <f t="shared" ca="1" si="233"/>
        <v>-135.43434145850389</v>
      </c>
      <c r="T527" s="116">
        <f t="shared" ca="1" si="234"/>
        <v>44.565658541496106</v>
      </c>
      <c r="V527" s="72">
        <f t="shared" ca="1" si="235"/>
        <v>74562.75</v>
      </c>
      <c r="W527" s="72">
        <f t="shared" si="236"/>
        <v>5559603687.5625</v>
      </c>
      <c r="Y527" s="110">
        <f t="shared" si="237"/>
        <v>16.201862500247209</v>
      </c>
      <c r="Z527" s="111">
        <f t="shared" si="238"/>
        <v>-50.935160911541601</v>
      </c>
      <c r="AA527" s="72">
        <f t="shared" si="239"/>
        <v>129.0648390884584</v>
      </c>
      <c r="AB527" s="110">
        <f t="shared" ca="1" si="240"/>
        <v>-8.4904101418696438</v>
      </c>
      <c r="AC527" s="111">
        <f t="shared" ca="1" si="241"/>
        <v>-84.499180546962293</v>
      </c>
      <c r="AD527" s="72">
        <f t="shared" ca="1" si="242"/>
        <v>95.500819453037707</v>
      </c>
    </row>
    <row r="528" spans="1:30">
      <c r="A528" s="118">
        <v>74994.5</v>
      </c>
      <c r="B528" s="101">
        <f t="shared" ca="1" si="216"/>
        <v>1227.3753082574062</v>
      </c>
      <c r="C528" s="102">
        <f t="shared" ca="1" si="217"/>
        <v>1.5699815799901438</v>
      </c>
      <c r="D528" s="102">
        <f t="shared" si="218"/>
        <v>125.10874885181263</v>
      </c>
      <c r="E528" s="103">
        <f t="shared" si="219"/>
        <v>1.5628031955581541</v>
      </c>
      <c r="F528" s="101">
        <f t="shared" si="220"/>
        <v>10178.013792711858</v>
      </c>
      <c r="G528" s="104">
        <f t="shared" si="221"/>
        <v>1.5706980757979954</v>
      </c>
      <c r="H528" s="113">
        <f t="shared" si="222"/>
        <v>1225.1788124879708</v>
      </c>
      <c r="I528" s="114">
        <f t="shared" si="223"/>
        <v>1.5699801193149439</v>
      </c>
      <c r="J528" s="101">
        <f t="shared" si="224"/>
        <v>124.79069610871147</v>
      </c>
      <c r="K528" s="104">
        <f t="shared" si="225"/>
        <v>1.5627828231125716</v>
      </c>
      <c r="L528" s="102">
        <f t="shared" si="226"/>
        <v>5.5335185901977981</v>
      </c>
      <c r="M528" s="103">
        <f t="shared" si="227"/>
        <v>1.3890810828896261</v>
      </c>
      <c r="N528" s="101">
        <f t="shared" si="228"/>
        <v>1.3259968312535497</v>
      </c>
      <c r="O528" s="104">
        <f t="shared" si="229"/>
        <v>0.71643810327168955</v>
      </c>
      <c r="P528" s="105">
        <f t="shared" ca="1" si="230"/>
        <v>4.3332493549924758</v>
      </c>
      <c r="Q528" s="106">
        <f t="shared" ca="1" si="231"/>
        <v>1.4696413734174703</v>
      </c>
      <c r="R528" s="107">
        <f t="shared" ca="1" si="232"/>
        <v>-8.2776555675389858</v>
      </c>
      <c r="S528" s="108">
        <f t="shared" ca="1" si="233"/>
        <v>-135.65793146634914</v>
      </c>
      <c r="T528" s="116">
        <f t="shared" ca="1" si="234"/>
        <v>44.34206853365086</v>
      </c>
      <c r="V528" s="72">
        <f t="shared" ca="1" si="235"/>
        <v>74994.5</v>
      </c>
      <c r="W528" s="72">
        <f t="shared" si="236"/>
        <v>5624175030.25</v>
      </c>
      <c r="Y528" s="110">
        <f t="shared" si="237"/>
        <v>16.178662102775906</v>
      </c>
      <c r="Z528" s="111">
        <f t="shared" si="238"/>
        <v>-51.042392143355571</v>
      </c>
      <c r="AA528" s="72">
        <f t="shared" si="239"/>
        <v>128.95760785664442</v>
      </c>
      <c r="AB528" s="110">
        <f t="shared" ca="1" si="240"/>
        <v>-8.5387173234333869</v>
      </c>
      <c r="AC528" s="111">
        <f t="shared" ca="1" si="241"/>
        <v>-84.615539322993612</v>
      </c>
      <c r="AD528" s="72">
        <f t="shared" ca="1" si="242"/>
        <v>95.384460677006388</v>
      </c>
    </row>
    <row r="529" spans="1:30">
      <c r="A529" s="118">
        <v>75426.25</v>
      </c>
      <c r="B529" s="101">
        <f t="shared" ca="1" si="216"/>
        <v>1234.4414122861017</v>
      </c>
      <c r="C529" s="102">
        <f t="shared" ca="1" si="217"/>
        <v>1.5699862437083931</v>
      </c>
      <c r="D529" s="102">
        <f t="shared" si="218"/>
        <v>125.82896515028075</v>
      </c>
      <c r="E529" s="103">
        <f t="shared" si="219"/>
        <v>1.5628489473843625</v>
      </c>
      <c r="F529" s="101">
        <f t="shared" si="220"/>
        <v>10236.609521901397</v>
      </c>
      <c r="G529" s="104">
        <f t="shared" si="221"/>
        <v>1.5706986381999131</v>
      </c>
      <c r="H529" s="113">
        <f t="shared" si="222"/>
        <v>1232.2322710869712</v>
      </c>
      <c r="I529" s="114">
        <f t="shared" si="223"/>
        <v>1.5699847913942835</v>
      </c>
      <c r="J529" s="101">
        <f t="shared" si="224"/>
        <v>125.50908123233091</v>
      </c>
      <c r="K529" s="104">
        <f t="shared" si="225"/>
        <v>1.5628286915385881</v>
      </c>
      <c r="L529" s="102">
        <f t="shared" si="226"/>
        <v>5.5643380264739957</v>
      </c>
      <c r="M529" s="103">
        <f t="shared" si="227"/>
        <v>1.3900986882710495</v>
      </c>
      <c r="N529" s="101">
        <f t="shared" si="228"/>
        <v>1.329294382905958</v>
      </c>
      <c r="O529" s="104">
        <f t="shared" si="229"/>
        <v>0.71928224419095166</v>
      </c>
      <c r="P529" s="105">
        <f t="shared" ca="1" si="230"/>
        <v>4.3572952664982489</v>
      </c>
      <c r="Q529" s="106">
        <f t="shared" ca="1" si="231"/>
        <v>1.471699427131792</v>
      </c>
      <c r="R529" s="107">
        <f t="shared" ca="1" si="232"/>
        <v>-8.348914816972913</v>
      </c>
      <c r="S529" s="108">
        <f t="shared" ca="1" si="233"/>
        <v>-135.88054046077215</v>
      </c>
      <c r="T529" s="116">
        <f t="shared" ca="1" si="234"/>
        <v>44.119459539227847</v>
      </c>
      <c r="V529" s="72">
        <f t="shared" ca="1" si="235"/>
        <v>75426.25</v>
      </c>
      <c r="W529" s="72">
        <f t="shared" si="236"/>
        <v>5689119189.0625</v>
      </c>
      <c r="Y529" s="110">
        <f t="shared" si="237"/>
        <v>16.155472173720334</v>
      </c>
      <c r="Z529" s="111">
        <f t="shared" si="238"/>
        <v>-51.1494375209789</v>
      </c>
      <c r="AA529" s="72">
        <f t="shared" si="239"/>
        <v>128.85056247902111</v>
      </c>
      <c r="AB529" s="110">
        <f t="shared" ca="1" si="240"/>
        <v>-8.5867866438117453</v>
      </c>
      <c r="AC529" s="111">
        <f t="shared" ca="1" si="241"/>
        <v>-84.731102939793317</v>
      </c>
      <c r="AD529" s="72">
        <f t="shared" ca="1" si="242"/>
        <v>95.268897060206683</v>
      </c>
    </row>
    <row r="530" spans="1:30">
      <c r="A530" s="118">
        <v>75858</v>
      </c>
      <c r="B530" s="101">
        <f t="shared" ca="1" si="216"/>
        <v>1241.5075163413414</v>
      </c>
      <c r="C530" s="102">
        <f t="shared" ca="1" si="217"/>
        <v>1.5699908543390568</v>
      </c>
      <c r="D530" s="102">
        <f t="shared" si="218"/>
        <v>126.54918170913977</v>
      </c>
      <c r="E530" s="103">
        <f t="shared" si="219"/>
        <v>1.5628941784451824</v>
      </c>
      <c r="F530" s="101">
        <f t="shared" si="220"/>
        <v>10295.205251094138</v>
      </c>
      <c r="G530" s="104">
        <f t="shared" si="221"/>
        <v>1.5706991941999475</v>
      </c>
      <c r="H530" s="113">
        <f t="shared" si="222"/>
        <v>1239.2857297125629</v>
      </c>
      <c r="I530" s="114">
        <f t="shared" si="223"/>
        <v>1.5699894102908625</v>
      </c>
      <c r="J530" s="101">
        <f t="shared" si="224"/>
        <v>126.22746661700485</v>
      </c>
      <c r="K530" s="104">
        <f t="shared" si="225"/>
        <v>1.5628740378721979</v>
      </c>
      <c r="L530" s="102">
        <f t="shared" si="226"/>
        <v>5.5951631612573278</v>
      </c>
      <c r="M530" s="103">
        <f t="shared" si="227"/>
        <v>1.39110508220667</v>
      </c>
      <c r="N530" s="101">
        <f t="shared" si="228"/>
        <v>1.3326026341366477</v>
      </c>
      <c r="O530" s="104">
        <f t="shared" si="229"/>
        <v>0.7221122864703895</v>
      </c>
      <c r="P530" s="105">
        <f t="shared" ca="1" si="230"/>
        <v>4.3813558183044092</v>
      </c>
      <c r="Q530" s="106">
        <f t="shared" ca="1" si="231"/>
        <v>1.4737433511925333</v>
      </c>
      <c r="R530" s="107">
        <f t="shared" ca="1" si="232"/>
        <v>-8.4199278694857682</v>
      </c>
      <c r="S530" s="108">
        <f t="shared" ca="1" si="233"/>
        <v>-136.10217402426562</v>
      </c>
      <c r="T530" s="116">
        <f t="shared" ca="1" si="234"/>
        <v>43.897825975734378</v>
      </c>
      <c r="V530" s="72">
        <f t="shared" ca="1" si="235"/>
        <v>75858</v>
      </c>
      <c r="W530" s="72">
        <f t="shared" si="236"/>
        <v>5754436164</v>
      </c>
      <c r="Y530" s="110">
        <f t="shared" si="237"/>
        <v>16.13229288552078</v>
      </c>
      <c r="Z530" s="111">
        <f t="shared" si="238"/>
        <v>-51.256290241225408</v>
      </c>
      <c r="AA530" s="72">
        <f t="shared" si="239"/>
        <v>128.7437097587746</v>
      </c>
      <c r="AB530" s="110">
        <f t="shared" ca="1" si="240"/>
        <v>-8.6346204081250431</v>
      </c>
      <c r="AC530" s="111">
        <f t="shared" ca="1" si="241"/>
        <v>-84.845883783040222</v>
      </c>
      <c r="AD530" s="72">
        <f t="shared" ca="1" si="242"/>
        <v>95.154116216959778</v>
      </c>
    </row>
    <row r="531" spans="1:30">
      <c r="A531" s="118">
        <v>76299.75</v>
      </c>
      <c r="B531" s="101">
        <f t="shared" ca="1" si="216"/>
        <v>1248.7372823588532</v>
      </c>
      <c r="C531" s="102">
        <f t="shared" ca="1" si="217"/>
        <v>1.5699955177528269</v>
      </c>
      <c r="D531" s="102">
        <f t="shared" si="218"/>
        <v>127.2860798660485</v>
      </c>
      <c r="E531" s="103">
        <f t="shared" si="219"/>
        <v>1.5629399273496849</v>
      </c>
      <c r="F531" s="101">
        <f t="shared" si="220"/>
        <v>10355.158148308494</v>
      </c>
      <c r="G531" s="104">
        <f t="shared" si="221"/>
        <v>1.5706997565651395</v>
      </c>
      <c r="H531" s="113">
        <f t="shared" si="222"/>
        <v>1246.502557412701</v>
      </c>
      <c r="I531" s="114">
        <f t="shared" si="223"/>
        <v>1.5699940820651772</v>
      </c>
      <c r="J531" s="101">
        <f t="shared" si="224"/>
        <v>126.96249118756778</v>
      </c>
      <c r="K531" s="104">
        <f t="shared" si="225"/>
        <v>1.5629199033693999</v>
      </c>
      <c r="L531" s="102">
        <f t="shared" si="226"/>
        <v>5.6267080543296215</v>
      </c>
      <c r="M531" s="103">
        <f t="shared" si="227"/>
        <v>1.3921233718991439</v>
      </c>
      <c r="N531" s="101">
        <f t="shared" si="228"/>
        <v>1.3359985008725275</v>
      </c>
      <c r="O531" s="104">
        <f t="shared" si="229"/>
        <v>0.72499334681982841</v>
      </c>
      <c r="P531" s="105">
        <f t="shared" ca="1" si="230"/>
        <v>4.4059887254734074</v>
      </c>
      <c r="Q531" s="106">
        <f t="shared" ca="1" si="231"/>
        <v>1.4758202204370512</v>
      </c>
      <c r="R531" s="107">
        <f t="shared" ca="1" si="232"/>
        <v>-8.492333064434753</v>
      </c>
      <c r="S531" s="108">
        <f t="shared" ca="1" si="233"/>
        <v>-136.32793718607761</v>
      </c>
      <c r="T531" s="116">
        <f t="shared" ca="1" si="234"/>
        <v>43.672062813922395</v>
      </c>
      <c r="V531" s="72">
        <f t="shared" ca="1" si="235"/>
        <v>76299.75</v>
      </c>
      <c r="W531" s="72">
        <f t="shared" si="236"/>
        <v>5821651850.0625</v>
      </c>
      <c r="Y531" s="110">
        <f t="shared" si="237"/>
        <v>16.108587929053275</v>
      </c>
      <c r="Z531" s="111">
        <f t="shared" si="238"/>
        <v>-51.36541158581089</v>
      </c>
      <c r="AA531" s="72">
        <f t="shared" si="239"/>
        <v>128.63458841418912</v>
      </c>
      <c r="AB531" s="110">
        <f t="shared" ca="1" si="240"/>
        <v>-8.6833206466065231</v>
      </c>
      <c r="AC531" s="111">
        <f t="shared" ca="1" si="241"/>
        <v>-84.96252560026673</v>
      </c>
      <c r="AD531" s="72">
        <f t="shared" ca="1" si="242"/>
        <v>95.03747439973327</v>
      </c>
    </row>
    <row r="532" spans="1:30">
      <c r="A532" s="118">
        <v>76741.5</v>
      </c>
      <c r="B532" s="101">
        <f t="shared" ca="1" si="216"/>
        <v>1255.967048403209</v>
      </c>
      <c r="C532" s="102">
        <f t="shared" ca="1" si="217"/>
        <v>1.5700001274782609</v>
      </c>
      <c r="D532" s="102">
        <f t="shared" si="218"/>
        <v>128.02297828629537</v>
      </c>
      <c r="E532" s="103">
        <f t="shared" si="219"/>
        <v>1.5629851495942098</v>
      </c>
      <c r="F532" s="101">
        <f t="shared" si="220"/>
        <v>10415.111045526091</v>
      </c>
      <c r="G532" s="104">
        <f t="shared" si="221"/>
        <v>1.5707003124560033</v>
      </c>
      <c r="H532" s="113">
        <f t="shared" si="222"/>
        <v>1253.7193851397315</v>
      </c>
      <c r="I532" s="114">
        <f t="shared" si="223"/>
        <v>1.5699987000549038</v>
      </c>
      <c r="J532" s="101">
        <f t="shared" si="224"/>
        <v>127.69751602213991</v>
      </c>
      <c r="K532" s="104">
        <f t="shared" si="225"/>
        <v>1.562965240864578</v>
      </c>
      <c r="L532" s="102">
        <f t="shared" si="226"/>
        <v>5.6582587167562917</v>
      </c>
      <c r="M532" s="103">
        <f t="shared" si="227"/>
        <v>1.3931303065831502</v>
      </c>
      <c r="N532" s="101">
        <f t="shared" si="228"/>
        <v>1.3394054007906506</v>
      </c>
      <c r="O532" s="104">
        <f t="shared" si="229"/>
        <v>0.72785977438140714</v>
      </c>
      <c r="P532" s="105">
        <f t="shared" ca="1" si="230"/>
        <v>4.4306368047614839</v>
      </c>
      <c r="Q532" s="106">
        <f t="shared" ca="1" si="231"/>
        <v>1.4778827582178125</v>
      </c>
      <c r="R532" s="107">
        <f t="shared" ca="1" si="232"/>
        <v>-8.564484927481768</v>
      </c>
      <c r="S532" s="108">
        <f t="shared" ca="1" si="233"/>
        <v>-136.55269097024515</v>
      </c>
      <c r="T532" s="116">
        <f t="shared" ca="1" si="234"/>
        <v>43.447309029754848</v>
      </c>
      <c r="V532" s="72">
        <f t="shared" ca="1" si="235"/>
        <v>76741.5</v>
      </c>
      <c r="W532" s="72">
        <f t="shared" si="236"/>
        <v>5889257822.25</v>
      </c>
      <c r="Y532" s="110">
        <f t="shared" si="237"/>
        <v>16.084894497447983</v>
      </c>
      <c r="Z532" s="111">
        <f t="shared" si="238"/>
        <v>-51.474317585861463</v>
      </c>
      <c r="AA532" s="72">
        <f t="shared" si="239"/>
        <v>128.52568241413854</v>
      </c>
      <c r="AB532" s="110">
        <f t="shared" ca="1" si="240"/>
        <v>-8.7317790780482483</v>
      </c>
      <c r="AC532" s="111">
        <f t="shared" ca="1" si="241"/>
        <v>-85.078373384383681</v>
      </c>
      <c r="AD532" s="72">
        <f t="shared" ca="1" si="242"/>
        <v>94.921626615616319</v>
      </c>
    </row>
    <row r="533" spans="1:30">
      <c r="A533" s="118">
        <v>77183.25</v>
      </c>
      <c r="B533" s="101">
        <f t="shared" ca="1" si="216"/>
        <v>1263.1968144739481</v>
      </c>
      <c r="C533" s="102">
        <f t="shared" ca="1" si="217"/>
        <v>1.5700046844371964</v>
      </c>
      <c r="D533" s="102">
        <f t="shared" si="218"/>
        <v>128.75987696535901</v>
      </c>
      <c r="E533" s="103">
        <f t="shared" si="219"/>
        <v>1.5630298542208678</v>
      </c>
      <c r="F533" s="101">
        <f t="shared" si="220"/>
        <v>10475.063942746867</v>
      </c>
      <c r="G533" s="104">
        <f t="shared" si="221"/>
        <v>1.5707008619837046</v>
      </c>
      <c r="H533" s="113">
        <f t="shared" si="222"/>
        <v>1260.9362128931923</v>
      </c>
      <c r="I533" s="114">
        <f t="shared" si="223"/>
        <v>1.5700032651835325</v>
      </c>
      <c r="J533" s="101">
        <f t="shared" si="224"/>
        <v>128.43254111618842</v>
      </c>
      <c r="K533" s="104">
        <f t="shared" si="225"/>
        <v>1.5630100594228806</v>
      </c>
      <c r="L533" s="102">
        <f t="shared" si="226"/>
        <v>5.689815052562186</v>
      </c>
      <c r="M533" s="103">
        <f t="shared" si="227"/>
        <v>1.3941260731279712</v>
      </c>
      <c r="N533" s="101">
        <f t="shared" si="228"/>
        <v>1.3428232499135913</v>
      </c>
      <c r="O533" s="104">
        <f t="shared" si="229"/>
        <v>0.73071163360577218</v>
      </c>
      <c r="P533" s="105">
        <f t="shared" ca="1" si="230"/>
        <v>4.4552999820275971</v>
      </c>
      <c r="Q533" s="106">
        <f t="shared" ca="1" si="231"/>
        <v>1.4799311900747147</v>
      </c>
      <c r="R533" s="107">
        <f t="shared" ca="1" si="232"/>
        <v>-8.6363856280495899</v>
      </c>
      <c r="S533" s="108">
        <f t="shared" ca="1" si="233"/>
        <v>-136.77644129277596</v>
      </c>
      <c r="T533" s="116">
        <f t="shared" ca="1" si="234"/>
        <v>43.223558707224043</v>
      </c>
      <c r="V533" s="72">
        <f t="shared" ca="1" si="235"/>
        <v>77183.25</v>
      </c>
      <c r="W533" s="72">
        <f t="shared" si="236"/>
        <v>5957254080.5625</v>
      </c>
      <c r="Y533" s="110">
        <f t="shared" si="237"/>
        <v>16.06121279484119</v>
      </c>
      <c r="Z533" s="111">
        <f t="shared" si="238"/>
        <v>-51.583001700157929</v>
      </c>
      <c r="AA533" s="72">
        <f t="shared" si="239"/>
        <v>128.41699829984208</v>
      </c>
      <c r="AB533" s="110">
        <f t="shared" ca="1" si="240"/>
        <v>-8.779998076009278</v>
      </c>
      <c r="AC533" s="111">
        <f t="shared" ca="1" si="241"/>
        <v>-85.193439592618034</v>
      </c>
      <c r="AD533" s="72">
        <f t="shared" ca="1" si="242"/>
        <v>94.806560407381966</v>
      </c>
    </row>
    <row r="534" spans="1:30">
      <c r="A534" s="118">
        <v>77625</v>
      </c>
      <c r="B534" s="101">
        <f t="shared" ca="1" si="216"/>
        <v>1270.42658057062</v>
      </c>
      <c r="C534" s="102">
        <f t="shared" ca="1" si="217"/>
        <v>1.5700091895304866</v>
      </c>
      <c r="D534" s="102">
        <f t="shared" si="218"/>
        <v>129.49677589882114</v>
      </c>
      <c r="E534" s="103">
        <f t="shared" si="219"/>
        <v>1.5630740500659626</v>
      </c>
      <c r="F534" s="101">
        <f t="shared" si="220"/>
        <v>10535.016839970769</v>
      </c>
      <c r="G534" s="104">
        <f t="shared" si="221"/>
        <v>1.570701405256878</v>
      </c>
      <c r="H534" s="113">
        <f t="shared" si="222"/>
        <v>1268.1530406726324</v>
      </c>
      <c r="I534" s="114">
        <f t="shared" si="223"/>
        <v>1.5700077783535316</v>
      </c>
      <c r="J534" s="101">
        <f t="shared" si="224"/>
        <v>129.1675664652837</v>
      </c>
      <c r="K534" s="104">
        <f t="shared" si="225"/>
        <v>1.5630543679031248</v>
      </c>
      <c r="L534" s="102">
        <f t="shared" si="226"/>
        <v>5.7213769678724962</v>
      </c>
      <c r="M534" s="103">
        <f t="shared" si="227"/>
        <v>1.3951108543691473</v>
      </c>
      <c r="N534" s="101">
        <f t="shared" si="228"/>
        <v>1.3462519648482034</v>
      </c>
      <c r="O534" s="104">
        <f t="shared" si="229"/>
        <v>0.7335489892380137</v>
      </c>
      <c r="P534" s="105">
        <f t="shared" ca="1" si="230"/>
        <v>4.4799781856302294</v>
      </c>
      <c r="Q534" s="106">
        <f t="shared" ca="1" si="231"/>
        <v>1.4819657368391419</v>
      </c>
      <c r="R534" s="107">
        <f t="shared" ca="1" si="232"/>
        <v>-8.7080372987502379</v>
      </c>
      <c r="S534" s="108">
        <f t="shared" ca="1" si="233"/>
        <v>-136.99919404771353</v>
      </c>
      <c r="T534" s="116">
        <f t="shared" ca="1" si="234"/>
        <v>43.00080595228647</v>
      </c>
      <c r="V534" s="72">
        <f t="shared" ca="1" si="235"/>
        <v>77625</v>
      </c>
      <c r="W534" s="72">
        <f t="shared" si="236"/>
        <v>6025640625</v>
      </c>
      <c r="Y534" s="110">
        <f t="shared" si="237"/>
        <v>16.037543030943425</v>
      </c>
      <c r="Z534" s="111">
        <f t="shared" si="238"/>
        <v>-51.691457624705308</v>
      </c>
      <c r="AA534" s="72">
        <f t="shared" si="239"/>
        <v>128.30854237529468</v>
      </c>
      <c r="AB534" s="110">
        <f t="shared" ca="1" si="240"/>
        <v>-8.8279799828121597</v>
      </c>
      <c r="AC534" s="111">
        <f t="shared" ca="1" si="241"/>
        <v>-85.307736423008194</v>
      </c>
      <c r="AD534" s="72">
        <f t="shared" ca="1" si="242"/>
        <v>94.692263576991806</v>
      </c>
    </row>
    <row r="535" spans="1:30">
      <c r="A535" s="118">
        <v>78077</v>
      </c>
      <c r="B535" s="101">
        <f t="shared" ca="1" si="216"/>
        <v>1277.8241001797892</v>
      </c>
      <c r="C535" s="102">
        <f t="shared" ca="1" si="217"/>
        <v>1.570013746389713</v>
      </c>
      <c r="D535" s="102">
        <f t="shared" si="218"/>
        <v>130.25077348174693</v>
      </c>
      <c r="E535" s="103">
        <f t="shared" si="219"/>
        <v>1.5631187537753735</v>
      </c>
      <c r="F535" s="101">
        <f t="shared" si="220"/>
        <v>10596.360834416972</v>
      </c>
      <c r="G535" s="104">
        <f t="shared" si="221"/>
        <v>1.5707019547725476</v>
      </c>
      <c r="H535" s="113">
        <f t="shared" si="222"/>
        <v>1275.5373217546532</v>
      </c>
      <c r="I535" s="114">
        <f t="shared" si="223"/>
        <v>1.5700123433822728</v>
      </c>
      <c r="J535" s="101">
        <f t="shared" si="224"/>
        <v>129.91964699140712</v>
      </c>
      <c r="K535" s="104">
        <f t="shared" si="225"/>
        <v>1.5630991855421577</v>
      </c>
      <c r="L535" s="102">
        <f t="shared" si="226"/>
        <v>5.7536768990689984</v>
      </c>
      <c r="M535" s="103">
        <f t="shared" si="227"/>
        <v>1.3961073016474002</v>
      </c>
      <c r="N535" s="101">
        <f t="shared" si="228"/>
        <v>1.3497713973808065</v>
      </c>
      <c r="O535" s="104">
        <f t="shared" si="229"/>
        <v>0.7364372360478314</v>
      </c>
      <c r="P535" s="105">
        <f t="shared" ca="1" si="230"/>
        <v>4.5052444829613227</v>
      </c>
      <c r="Q535" s="106">
        <f t="shared" ca="1" si="231"/>
        <v>1.4840333449695984</v>
      </c>
      <c r="R535" s="107">
        <f t="shared" ca="1" si="232"/>
        <v>-8.7810959378035491</v>
      </c>
      <c r="S535" s="108">
        <f t="shared" ca="1" si="233"/>
        <v>-137.22608894091482</v>
      </c>
      <c r="T535" s="116">
        <f t="shared" ca="1" si="234"/>
        <v>42.773911059085179</v>
      </c>
      <c r="V535" s="72">
        <f t="shared" ca="1" si="235"/>
        <v>78077</v>
      </c>
      <c r="W535" s="72">
        <f t="shared" si="236"/>
        <v>6096017929</v>
      </c>
      <c r="Y535" s="110">
        <f t="shared" si="237"/>
        <v>16.013336635067844</v>
      </c>
      <c r="Z535" s="111">
        <f t="shared" si="238"/>
        <v>-51.802187543288092</v>
      </c>
      <c r="AA535" s="72">
        <f t="shared" si="239"/>
        <v>128.19781245671192</v>
      </c>
      <c r="AB535" s="110">
        <f t="shared" ca="1" si="240"/>
        <v>-8.8768322259898902</v>
      </c>
      <c r="AC535" s="111">
        <f t="shared" ca="1" si="241"/>
        <v>-85.423901397626707</v>
      </c>
      <c r="AD535" s="72">
        <f t="shared" ca="1" si="242"/>
        <v>94.576098602373293</v>
      </c>
    </row>
    <row r="536" spans="1:30">
      <c r="A536" s="118">
        <v>78529</v>
      </c>
      <c r="B536" s="101">
        <f t="shared" ca="1" si="216"/>
        <v>1285.2216198151871</v>
      </c>
      <c r="C536" s="102">
        <f t="shared" ca="1" si="217"/>
        <v>1.570018250791908</v>
      </c>
      <c r="D536" s="102">
        <f t="shared" si="218"/>
        <v>131.00477132197241</v>
      </c>
      <c r="E536" s="103">
        <f t="shared" si="219"/>
        <v>1.5631629429005556</v>
      </c>
      <c r="F536" s="101">
        <f t="shared" si="220"/>
        <v>10657.704828866337</v>
      </c>
      <c r="G536" s="104">
        <f t="shared" si="221"/>
        <v>1.5707024979623736</v>
      </c>
      <c r="H536" s="113">
        <f t="shared" si="222"/>
        <v>1282.9216028629498</v>
      </c>
      <c r="I536" s="114">
        <f t="shared" si="223"/>
        <v>1.5700168558599377</v>
      </c>
      <c r="J536" s="101">
        <f t="shared" si="224"/>
        <v>130.67172777548592</v>
      </c>
      <c r="K536" s="104">
        <f t="shared" si="225"/>
        <v>1.5631434872856727</v>
      </c>
      <c r="L536" s="102">
        <f t="shared" si="226"/>
        <v>5.7859824793457717</v>
      </c>
      <c r="M536" s="103">
        <f t="shared" si="227"/>
        <v>1.3970926227241396</v>
      </c>
      <c r="N536" s="101">
        <f t="shared" si="228"/>
        <v>1.3533020310459833</v>
      </c>
      <c r="O536" s="104">
        <f t="shared" si="229"/>
        <v>0.73931043641057603</v>
      </c>
      <c r="P536" s="105">
        <f t="shared" ca="1" si="230"/>
        <v>4.5305263680176591</v>
      </c>
      <c r="Q536" s="106">
        <f t="shared" ca="1" si="231"/>
        <v>1.4860868693516087</v>
      </c>
      <c r="R536" s="107">
        <f t="shared" ca="1" si="232"/>
        <v>-8.8538982595543576</v>
      </c>
      <c r="S536" s="108">
        <f t="shared" ca="1" si="233"/>
        <v>-137.45195184905685</v>
      </c>
      <c r="T536" s="116">
        <f t="shared" ca="1" si="234"/>
        <v>42.548048150943146</v>
      </c>
      <c r="V536" s="72">
        <f t="shared" ca="1" si="235"/>
        <v>78529</v>
      </c>
      <c r="W536" s="72">
        <f t="shared" si="236"/>
        <v>6166803841</v>
      </c>
      <c r="Y536" s="110">
        <f t="shared" si="237"/>
        <v>15.989143198496912</v>
      </c>
      <c r="Z536" s="111">
        <f t="shared" si="238"/>
        <v>-51.912665938220272</v>
      </c>
      <c r="AA536" s="72">
        <f t="shared" si="239"/>
        <v>128.08733406177973</v>
      </c>
      <c r="AB536" s="110">
        <f t="shared" ca="1" si="240"/>
        <v>-8.9254411111697642</v>
      </c>
      <c r="AC536" s="111">
        <f t="shared" ca="1" si="241"/>
        <v>-85.539285910836668</v>
      </c>
      <c r="AD536" s="72">
        <f t="shared" ca="1" si="242"/>
        <v>94.460714089163332</v>
      </c>
    </row>
    <row r="537" spans="1:30">
      <c r="A537" s="118">
        <v>78981</v>
      </c>
      <c r="B537" s="101">
        <f t="shared" ca="1" si="216"/>
        <v>1292.619139476363</v>
      </c>
      <c r="C537" s="102">
        <f t="shared" ca="1" si="217"/>
        <v>1.5700227036376888</v>
      </c>
      <c r="D537" s="102">
        <f t="shared" si="218"/>
        <v>131.75876941508037</v>
      </c>
      <c r="E537" s="103">
        <f t="shared" si="219"/>
        <v>1.5632066262755595</v>
      </c>
      <c r="F537" s="101">
        <f t="shared" si="220"/>
        <v>10719.04882331881</v>
      </c>
      <c r="G537" s="104">
        <f t="shared" si="221"/>
        <v>1.5707030349349627</v>
      </c>
      <c r="H537" s="113">
        <f t="shared" si="222"/>
        <v>1290.3058839970706</v>
      </c>
      <c r="I537" s="114">
        <f t="shared" si="223"/>
        <v>1.5700213166887589</v>
      </c>
      <c r="J537" s="101">
        <f t="shared" si="224"/>
        <v>131.42380881309163</v>
      </c>
      <c r="K537" s="104">
        <f t="shared" si="225"/>
        <v>1.5631872819902282</v>
      </c>
      <c r="L537" s="102">
        <f t="shared" si="226"/>
        <v>5.8182936146047028</v>
      </c>
      <c r="M537" s="103">
        <f t="shared" si="227"/>
        <v>1.3980670010337715</v>
      </c>
      <c r="N537" s="101">
        <f t="shared" si="228"/>
        <v>1.3568437784045724</v>
      </c>
      <c r="O537" s="104">
        <f t="shared" si="229"/>
        <v>0.74216866052953578</v>
      </c>
      <c r="P537" s="105">
        <f t="shared" ca="1" si="230"/>
        <v>4.5558237717556223</v>
      </c>
      <c r="Q537" s="106">
        <f t="shared" ca="1" si="231"/>
        <v>1.4881265320085386</v>
      </c>
      <c r="R537" s="107">
        <f t="shared" ca="1" si="232"/>
        <v>-8.9264464348203703</v>
      </c>
      <c r="S537" s="108">
        <f t="shared" ca="1" si="233"/>
        <v>-137.67678901289628</v>
      </c>
      <c r="T537" s="116">
        <f t="shared" ca="1" si="234"/>
        <v>42.323210987103721</v>
      </c>
      <c r="V537" s="72">
        <f t="shared" ca="1" si="235"/>
        <v>78981</v>
      </c>
      <c r="W537" s="72">
        <f t="shared" si="236"/>
        <v>6237998361</v>
      </c>
      <c r="Y537" s="110">
        <f t="shared" si="237"/>
        <v>15.96496296110341</v>
      </c>
      <c r="Z537" s="111">
        <f t="shared" si="238"/>
        <v>-52.022886783808644</v>
      </c>
      <c r="AA537" s="72">
        <f t="shared" si="239"/>
        <v>127.97711321619136</v>
      </c>
      <c r="AB537" s="110">
        <f t="shared" ca="1" si="240"/>
        <v>-8.9738090490422771</v>
      </c>
      <c r="AC537" s="111">
        <f t="shared" ca="1" si="241"/>
        <v>-85.653902229087578</v>
      </c>
      <c r="AD537" s="72">
        <f t="shared" ca="1" si="242"/>
        <v>94.346097770912422</v>
      </c>
    </row>
    <row r="538" spans="1:30">
      <c r="A538" s="118">
        <v>79433</v>
      </c>
      <c r="B538" s="101">
        <f t="shared" ca="1" si="216"/>
        <v>1300.0166591628772</v>
      </c>
      <c r="C538" s="102">
        <f t="shared" ca="1" si="217"/>
        <v>1.5700271058071742</v>
      </c>
      <c r="D538" s="102">
        <f t="shared" si="218"/>
        <v>132.51276775675404</v>
      </c>
      <c r="E538" s="103">
        <f t="shared" si="219"/>
        <v>1.5632498125333805</v>
      </c>
      <c r="F538" s="101">
        <f t="shared" si="220"/>
        <v>10780.39281777434</v>
      </c>
      <c r="G538" s="104">
        <f t="shared" si="221"/>
        <v>1.570703565796449</v>
      </c>
      <c r="H538" s="113">
        <f t="shared" si="222"/>
        <v>1297.6901651565749</v>
      </c>
      <c r="I538" s="114">
        <f t="shared" si="223"/>
        <v>1.5700257267504321</v>
      </c>
      <c r="J538" s="101">
        <f t="shared" si="224"/>
        <v>132.17589009989655</v>
      </c>
      <c r="K538" s="104">
        <f t="shared" si="225"/>
        <v>1.5632305783108154</v>
      </c>
      <c r="L538" s="102">
        <f t="shared" si="226"/>
        <v>5.8506102128103787</v>
      </c>
      <c r="M538" s="103">
        <f t="shared" si="227"/>
        <v>1.3990306160419699</v>
      </c>
      <c r="N538" s="101">
        <f t="shared" si="228"/>
        <v>1.3603965526541784</v>
      </c>
      <c r="O538" s="104">
        <f t="shared" si="229"/>
        <v>0.74501197885685588</v>
      </c>
      <c r="P538" s="105">
        <f t="shared" ca="1" si="230"/>
        <v>4.581136627591837</v>
      </c>
      <c r="Q538" s="106">
        <f t="shared" ca="1" si="231"/>
        <v>1.4901525503088282</v>
      </c>
      <c r="R538" s="107">
        <f t="shared" ca="1" si="232"/>
        <v>-8.9987425979953315</v>
      </c>
      <c r="S538" s="108">
        <f t="shared" ca="1" si="233"/>
        <v>-137.90060664796277</v>
      </c>
      <c r="T538" s="116">
        <f t="shared" ca="1" si="234"/>
        <v>42.099393352037225</v>
      </c>
      <c r="V538" s="72">
        <f t="shared" ca="1" si="235"/>
        <v>79433</v>
      </c>
      <c r="W538" s="72">
        <f t="shared" si="236"/>
        <v>6309601489</v>
      </c>
      <c r="Y538" s="110">
        <f t="shared" si="237"/>
        <v>15.940796166988022</v>
      </c>
      <c r="Z538" s="111">
        <f t="shared" si="238"/>
        <v>-52.132844285496184</v>
      </c>
      <c r="AA538" s="72">
        <f t="shared" si="239"/>
        <v>127.86715571450381</v>
      </c>
      <c r="AB538" s="110">
        <f t="shared" ca="1" si="240"/>
        <v>-9.0219384181018487</v>
      </c>
      <c r="AC538" s="111">
        <f t="shared" ca="1" si="241"/>
        <v>-85.767762362466655</v>
      </c>
      <c r="AD538" s="72">
        <f t="shared" ca="1" si="242"/>
        <v>94.232237637533345</v>
      </c>
    </row>
    <row r="539" spans="1:30">
      <c r="A539" s="118">
        <v>79895.5</v>
      </c>
      <c r="B539" s="101">
        <f t="shared" ca="1" si="216"/>
        <v>1307.5860239121362</v>
      </c>
      <c r="C539" s="102">
        <f t="shared" ca="1" si="217"/>
        <v>1.5700315586808367</v>
      </c>
      <c r="D539" s="102">
        <f t="shared" si="218"/>
        <v>133.28428179952408</v>
      </c>
      <c r="E539" s="103">
        <f t="shared" si="219"/>
        <v>1.5632934962387515</v>
      </c>
      <c r="F539" s="101">
        <f t="shared" si="220"/>
        <v>10843.161838652852</v>
      </c>
      <c r="G539" s="104">
        <f t="shared" si="221"/>
        <v>1.5707041027723931</v>
      </c>
      <c r="H539" s="113">
        <f t="shared" si="222"/>
        <v>1305.2459838467164</v>
      </c>
      <c r="I539" s="114">
        <f t="shared" si="223"/>
        <v>1.5700301876071849</v>
      </c>
      <c r="J539" s="101">
        <f t="shared" si="224"/>
        <v>132.94544255508799</v>
      </c>
      <c r="K539" s="104">
        <f t="shared" si="225"/>
        <v>1.5632743733468735</v>
      </c>
      <c r="L539" s="102">
        <f t="shared" si="226"/>
        <v>5.8836830893305443</v>
      </c>
      <c r="M539" s="103">
        <f t="shared" si="227"/>
        <v>1.4000056578112783</v>
      </c>
      <c r="N539" s="101">
        <f t="shared" si="228"/>
        <v>1.3640431823843628</v>
      </c>
      <c r="O539" s="104">
        <f t="shared" si="229"/>
        <v>0.74790599224595922</v>
      </c>
      <c r="P539" s="105">
        <f t="shared" ca="1" si="230"/>
        <v>4.6070534310644078</v>
      </c>
      <c r="Q539" s="106">
        <f t="shared" ca="1" si="231"/>
        <v>1.4922117317006596</v>
      </c>
      <c r="R539" s="107">
        <f t="shared" ca="1" si="232"/>
        <v>-9.0724595351590214</v>
      </c>
      <c r="S539" s="108">
        <f t="shared" ca="1" si="233"/>
        <v>-138.12857471388321</v>
      </c>
      <c r="T539" s="116">
        <f t="shared" ca="1" si="234"/>
        <v>41.871425286116789</v>
      </c>
      <c r="V539" s="72">
        <f t="shared" ca="1" si="235"/>
        <v>79895.5</v>
      </c>
      <c r="W539" s="72">
        <f t="shared" si="236"/>
        <v>6383290920.25</v>
      </c>
      <c r="Y539" s="110">
        <f t="shared" si="237"/>
        <v>15.916082150066339</v>
      </c>
      <c r="Z539" s="111">
        <f t="shared" si="238"/>
        <v>-52.245077709364153</v>
      </c>
      <c r="AA539" s="72">
        <f t="shared" si="239"/>
        <v>127.75492229063585</v>
      </c>
      <c r="AB539" s="110">
        <f t="shared" ca="1" si="240"/>
        <v>-9.0709413383438573</v>
      </c>
      <c r="AC539" s="111">
        <f t="shared" ca="1" si="241"/>
        <v>-85.883497004519043</v>
      </c>
      <c r="AD539" s="72">
        <f t="shared" ca="1" si="242"/>
        <v>94.116502995480957</v>
      </c>
    </row>
    <row r="540" spans="1:30">
      <c r="A540" s="118">
        <v>80358</v>
      </c>
      <c r="B540" s="101">
        <f t="shared" ca="1" si="216"/>
        <v>1315.1553886870236</v>
      </c>
      <c r="C540" s="102">
        <f t="shared" ca="1" si="217"/>
        <v>1.5700359602975522</v>
      </c>
      <c r="D540" s="102">
        <f t="shared" si="218"/>
        <v>134.05579609370838</v>
      </c>
      <c r="E540" s="103">
        <f t="shared" si="219"/>
        <v>1.5633366771296431</v>
      </c>
      <c r="F540" s="101">
        <f t="shared" si="220"/>
        <v>10905.930859534454</v>
      </c>
      <c r="G540" s="104">
        <f t="shared" si="221"/>
        <v>1.5707046335672135</v>
      </c>
      <c r="H540" s="113">
        <f t="shared" si="222"/>
        <v>1312.8018025625322</v>
      </c>
      <c r="I540" s="114">
        <f t="shared" si="223"/>
        <v>1.5700345971150977</v>
      </c>
      <c r="J540" s="101">
        <f t="shared" si="224"/>
        <v>133.71499526233447</v>
      </c>
      <c r="K540" s="104">
        <f t="shared" si="225"/>
        <v>1.5633176642871423</v>
      </c>
      <c r="L540" s="102">
        <f t="shared" si="226"/>
        <v>5.9167614969694755</v>
      </c>
      <c r="M540" s="103">
        <f t="shared" si="227"/>
        <v>1.4009697982986471</v>
      </c>
      <c r="N540" s="101">
        <f t="shared" si="228"/>
        <v>1.3677011754282162</v>
      </c>
      <c r="O540" s="104">
        <f t="shared" si="229"/>
        <v>0.75078454923637294</v>
      </c>
      <c r="P540" s="105">
        <f t="shared" ca="1" si="230"/>
        <v>4.6329862794448893</v>
      </c>
      <c r="Q540" s="106">
        <f t="shared" ca="1" si="231"/>
        <v>1.4942570734921474</v>
      </c>
      <c r="R540" s="107">
        <f t="shared" ca="1" si="232"/>
        <v>-9.1459170241877104</v>
      </c>
      <c r="S540" s="108">
        <f t="shared" ca="1" si="233"/>
        <v>-138.35548841784669</v>
      </c>
      <c r="T540" s="116">
        <f t="shared" ca="1" si="234"/>
        <v>41.644511582153314</v>
      </c>
      <c r="V540" s="72">
        <f t="shared" ca="1" si="235"/>
        <v>80358</v>
      </c>
      <c r="W540" s="72">
        <f t="shared" si="236"/>
        <v>6457408164</v>
      </c>
      <c r="Y540" s="110">
        <f t="shared" si="237"/>
        <v>15.891382737105184</v>
      </c>
      <c r="Z540" s="111">
        <f t="shared" si="238"/>
        <v>-52.357023849625122</v>
      </c>
      <c r="AA540" s="72">
        <f t="shared" si="239"/>
        <v>127.64297615037488</v>
      </c>
      <c r="AB540" s="110">
        <f t="shared" ca="1" si="240"/>
        <v>-9.119699414411393</v>
      </c>
      <c r="AC540" s="111">
        <f t="shared" ca="1" si="241"/>
        <v>-85.998464568221522</v>
      </c>
      <c r="AD540" s="72">
        <f t="shared" ca="1" si="242"/>
        <v>94.001535431778478</v>
      </c>
    </row>
    <row r="541" spans="1:30">
      <c r="A541" s="118">
        <v>80820.5</v>
      </c>
      <c r="B541" s="101">
        <f t="shared" ca="1" si="216"/>
        <v>1322.7247534870994</v>
      </c>
      <c r="C541" s="102">
        <f t="shared" ca="1" si="217"/>
        <v>1.5700403115372827</v>
      </c>
      <c r="D541" s="102">
        <f t="shared" si="218"/>
        <v>134.82731063499105</v>
      </c>
      <c r="E541" s="103">
        <f t="shared" si="219"/>
        <v>1.5633793638375719</v>
      </c>
      <c r="F541" s="101">
        <f t="shared" si="220"/>
        <v>10968.699880419095</v>
      </c>
      <c r="G541" s="104">
        <f t="shared" si="221"/>
        <v>1.5707051582870253</v>
      </c>
      <c r="H541" s="113">
        <f t="shared" si="222"/>
        <v>1320.3576213035817</v>
      </c>
      <c r="I541" s="114">
        <f t="shared" si="223"/>
        <v>1.57003895615571</v>
      </c>
      <c r="J541" s="101">
        <f t="shared" si="224"/>
        <v>134.484548217309</v>
      </c>
      <c r="K541" s="104">
        <f t="shared" si="225"/>
        <v>1.5633604597851298</v>
      </c>
      <c r="L541" s="102">
        <f t="shared" si="226"/>
        <v>5.9498453434757321</v>
      </c>
      <c r="M541" s="103">
        <f t="shared" si="227"/>
        <v>1.4019232175447547</v>
      </c>
      <c r="N541" s="101">
        <f t="shared" si="228"/>
        <v>1.3713704408542444</v>
      </c>
      <c r="O541" s="104">
        <f t="shared" si="229"/>
        <v>0.75364772599964203</v>
      </c>
      <c r="P541" s="105">
        <f t="shared" ca="1" si="230"/>
        <v>4.6589351089800894</v>
      </c>
      <c r="Q541" s="106">
        <f t="shared" ca="1" si="231"/>
        <v>1.4962887941833065</v>
      </c>
      <c r="R541" s="107">
        <f t="shared" ca="1" si="232"/>
        <v>-9.219117239190286</v>
      </c>
      <c r="S541" s="108">
        <f t="shared" ca="1" si="233"/>
        <v>-138.58135433496858</v>
      </c>
      <c r="T541" s="116">
        <f t="shared" ca="1" si="234"/>
        <v>41.41864566503142</v>
      </c>
      <c r="V541" s="72">
        <f t="shared" ca="1" si="235"/>
        <v>80820.5</v>
      </c>
      <c r="W541" s="72">
        <f t="shared" si="236"/>
        <v>6531953220.25</v>
      </c>
      <c r="Y541" s="110">
        <f t="shared" si="237"/>
        <v>15.866698200690454</v>
      </c>
      <c r="Z541" s="111">
        <f t="shared" si="238"/>
        <v>-52.468677206397146</v>
      </c>
      <c r="AA541" s="72">
        <f t="shared" si="239"/>
        <v>127.53132279360285</v>
      </c>
      <c r="AB541" s="110">
        <f t="shared" ca="1" si="240"/>
        <v>-9.168215092999235</v>
      </c>
      <c r="AC541" s="111">
        <f t="shared" ca="1" si="241"/>
        <v>-86.11267712857142</v>
      </c>
      <c r="AD541" s="72">
        <f t="shared" ca="1" si="242"/>
        <v>93.88732287142858</v>
      </c>
    </row>
    <row r="542" spans="1:30">
      <c r="A542" s="118">
        <v>81283</v>
      </c>
      <c r="B542" s="101">
        <f t="shared" ca="1" si="216"/>
        <v>1330.294118311934</v>
      </c>
      <c r="C542" s="102">
        <f t="shared" ca="1" si="217"/>
        <v>1.5700446132599621</v>
      </c>
      <c r="D542" s="102">
        <f t="shared" si="218"/>
        <v>135.59882541915439</v>
      </c>
      <c r="E542" s="103">
        <f t="shared" si="219"/>
        <v>1.5634215647976195</v>
      </c>
      <c r="F542" s="101">
        <f t="shared" si="220"/>
        <v>11031.46890130672</v>
      </c>
      <c r="G542" s="104">
        <f t="shared" si="221"/>
        <v>1.5707056770355294</v>
      </c>
      <c r="H542" s="113">
        <f t="shared" si="222"/>
        <v>1327.9134400694343</v>
      </c>
      <c r="I542" s="114">
        <f t="shared" si="223"/>
        <v>1.5700432655904972</v>
      </c>
      <c r="J542" s="101">
        <f t="shared" si="224"/>
        <v>135.25410141578314</v>
      </c>
      <c r="K542" s="104">
        <f t="shared" si="225"/>
        <v>1.5634027682974094</v>
      </c>
      <c r="L542" s="102">
        <f t="shared" si="226"/>
        <v>5.9829345386233648</v>
      </c>
      <c r="M542" s="103">
        <f t="shared" si="227"/>
        <v>1.4028660916863021</v>
      </c>
      <c r="N542" s="101">
        <f t="shared" si="228"/>
        <v>1.3750508884228181</v>
      </c>
      <c r="O542" s="104">
        <f t="shared" si="229"/>
        <v>0.75649559890420792</v>
      </c>
      <c r="P542" s="105">
        <f t="shared" ca="1" si="230"/>
        <v>4.6848998583373032</v>
      </c>
      <c r="Q542" s="106">
        <f t="shared" ca="1" si="231"/>
        <v>1.4983071076741177</v>
      </c>
      <c r="R542" s="107">
        <f t="shared" ca="1" si="232"/>
        <v>-9.2920623182412641</v>
      </c>
      <c r="S542" s="108">
        <f t="shared" ca="1" si="233"/>
        <v>-138.80617901159957</v>
      </c>
      <c r="T542" s="116">
        <f t="shared" ca="1" si="234"/>
        <v>41.193820988400432</v>
      </c>
      <c r="V542" s="72">
        <f t="shared" ca="1" si="235"/>
        <v>81283</v>
      </c>
      <c r="W542" s="72">
        <f t="shared" si="236"/>
        <v>6606926089</v>
      </c>
      <c r="Y542" s="110">
        <f t="shared" si="237"/>
        <v>15.842028816311558</v>
      </c>
      <c r="Z542" s="111">
        <f t="shared" si="238"/>
        <v>-52.580032504488628</v>
      </c>
      <c r="AA542" s="72">
        <f t="shared" si="239"/>
        <v>127.41996749551137</v>
      </c>
      <c r="AB542" s="110">
        <f t="shared" ca="1" si="240"/>
        <v>-9.2164907876713187</v>
      </c>
      <c r="AC542" s="111">
        <f t="shared" ca="1" si="241"/>
        <v>-86.226146507110911</v>
      </c>
      <c r="AD542" s="72">
        <f t="shared" ca="1" si="242"/>
        <v>93.773853492889089</v>
      </c>
    </row>
    <row r="543" spans="1:30">
      <c r="A543" s="118">
        <v>81756.25</v>
      </c>
      <c r="B543" s="101">
        <f t="shared" ca="1" si="216"/>
        <v>1338.039419749779</v>
      </c>
      <c r="C543" s="102">
        <f t="shared" ca="1" si="217"/>
        <v>1.5700489645884239</v>
      </c>
      <c r="D543" s="102">
        <f t="shared" si="218"/>
        <v>136.38827295622636</v>
      </c>
      <c r="E543" s="103">
        <f t="shared" si="219"/>
        <v>1.5634642524290683</v>
      </c>
      <c r="F543" s="101">
        <f t="shared" si="220"/>
        <v>11095.696877818014</v>
      </c>
      <c r="G543" s="104">
        <f t="shared" si="221"/>
        <v>1.5707062017660349</v>
      </c>
      <c r="H543" s="113">
        <f t="shared" si="222"/>
        <v>1335.6448805939986</v>
      </c>
      <c r="I543" s="114">
        <f t="shared" si="223"/>
        <v>1.5700476247199999</v>
      </c>
      <c r="J543" s="101">
        <f t="shared" si="224"/>
        <v>136.04154177418241</v>
      </c>
      <c r="K543" s="104">
        <f t="shared" si="225"/>
        <v>1.5634455647215448</v>
      </c>
      <c r="L543" s="102">
        <f t="shared" si="226"/>
        <v>6.0167982784960543</v>
      </c>
      <c r="M543" s="103">
        <f t="shared" si="227"/>
        <v>1.403820145425726</v>
      </c>
      <c r="N543" s="101">
        <f t="shared" si="228"/>
        <v>1.3788283631465139</v>
      </c>
      <c r="O543" s="104">
        <f t="shared" si="229"/>
        <v>0.75939390390341999</v>
      </c>
      <c r="P543" s="105">
        <f t="shared" ca="1" si="230"/>
        <v>4.7114845303363975</v>
      </c>
      <c r="Q543" s="106">
        <f t="shared" ca="1" si="231"/>
        <v>1.5003586734826677</v>
      </c>
      <c r="R543" s="107">
        <f t="shared" ca="1" si="232"/>
        <v>-9.3664409708532492</v>
      </c>
      <c r="S543" s="108">
        <f t="shared" ca="1" si="233"/>
        <v>-139.03515831682168</v>
      </c>
      <c r="T543" s="116">
        <f t="shared" ca="1" si="234"/>
        <v>40.964841683178321</v>
      </c>
      <c r="V543" s="72">
        <f t="shared" ca="1" si="235"/>
        <v>81756.25</v>
      </c>
      <c r="W543" s="72">
        <f t="shared" si="236"/>
        <v>6684084414.0625</v>
      </c>
      <c r="Y543" s="110">
        <f t="shared" si="237"/>
        <v>15.816802009852397</v>
      </c>
      <c r="Z543" s="111">
        <f t="shared" si="238"/>
        <v>-52.693662255718991</v>
      </c>
      <c r="AA543" s="72">
        <f t="shared" si="239"/>
        <v>127.30633774428101</v>
      </c>
      <c r="AB543" s="110">
        <f t="shared" ca="1" si="240"/>
        <v>-9.2656426338241413</v>
      </c>
      <c r="AC543" s="111">
        <f t="shared" ca="1" si="241"/>
        <v>-86.341496061102674</v>
      </c>
      <c r="AD543" s="72">
        <f t="shared" ca="1" si="242"/>
        <v>93.658503938897326</v>
      </c>
    </row>
    <row r="544" spans="1:30">
      <c r="A544" s="118">
        <v>82229.5</v>
      </c>
      <c r="B544" s="101">
        <f t="shared" ca="1" si="216"/>
        <v>1345.7847212126669</v>
      </c>
      <c r="C544" s="102">
        <f t="shared" ca="1" si="217"/>
        <v>1.570053265831088</v>
      </c>
      <c r="D544" s="102">
        <f t="shared" si="218"/>
        <v>137.1777207389691</v>
      </c>
      <c r="E544" s="103">
        <f t="shared" si="219"/>
        <v>1.563506448732179</v>
      </c>
      <c r="F544" s="101">
        <f t="shared" si="220"/>
        <v>11159.92485433233</v>
      </c>
      <c r="G544" s="104">
        <f t="shared" si="221"/>
        <v>1.5707067204566469</v>
      </c>
      <c r="H544" s="113">
        <f t="shared" si="222"/>
        <v>1343.3763211436506</v>
      </c>
      <c r="I544" s="114">
        <f t="shared" si="223"/>
        <v>1.5700519336739116</v>
      </c>
      <c r="J544" s="101">
        <f t="shared" si="224"/>
        <v>136.82898237887849</v>
      </c>
      <c r="K544" s="104">
        <f t="shared" si="225"/>
        <v>1.5634878685652889</v>
      </c>
      <c r="L544" s="102">
        <f t="shared" si="226"/>
        <v>6.0506674336654518</v>
      </c>
      <c r="M544" s="103">
        <f t="shared" si="227"/>
        <v>1.4047635192126018</v>
      </c>
      <c r="N544" s="101">
        <f t="shared" si="228"/>
        <v>1.3826173569199047</v>
      </c>
      <c r="O544" s="104">
        <f t="shared" si="229"/>
        <v>0.76227634768530839</v>
      </c>
      <c r="P544" s="105">
        <f t="shared" ca="1" si="230"/>
        <v>4.7380857483730727</v>
      </c>
      <c r="Q544" s="106">
        <f t="shared" ca="1" si="231"/>
        <v>1.5023966404717111</v>
      </c>
      <c r="R544" s="107">
        <f t="shared" ca="1" si="232"/>
        <v>-9.4405569069349937</v>
      </c>
      <c r="S544" s="108">
        <f t="shared" ca="1" si="233"/>
        <v>-139.26306118982134</v>
      </c>
      <c r="T544" s="116">
        <f t="shared" ca="1" si="234"/>
        <v>40.736938810178657</v>
      </c>
      <c r="V544" s="72">
        <f t="shared" ca="1" si="235"/>
        <v>82229.5</v>
      </c>
      <c r="W544" s="72">
        <f t="shared" si="236"/>
        <v>6761690670.25</v>
      </c>
      <c r="Y544" s="110">
        <f t="shared" si="237"/>
        <v>15.791591659247919</v>
      </c>
      <c r="Z544" s="111">
        <f t="shared" si="238"/>
        <v>-52.806969448356568</v>
      </c>
      <c r="AA544" s="72">
        <f t="shared" si="239"/>
        <v>127.19303055164343</v>
      </c>
      <c r="AB544" s="110">
        <f t="shared" ca="1" si="240"/>
        <v>-9.3145482193014075</v>
      </c>
      <c r="AC544" s="111">
        <f t="shared" ca="1" si="241"/>
        <v>-86.456091741464803</v>
      </c>
      <c r="AD544" s="72">
        <f t="shared" ca="1" si="242"/>
        <v>93.543908258535197</v>
      </c>
    </row>
    <row r="545" spans="1:30">
      <c r="A545" s="118">
        <v>82702.75</v>
      </c>
      <c r="B545" s="101">
        <f t="shared" ca="1" si="216"/>
        <v>1353.5300227001678</v>
      </c>
      <c r="C545" s="102">
        <f t="shared" ca="1" si="217"/>
        <v>1.5700575178477716</v>
      </c>
      <c r="D545" s="102">
        <f t="shared" si="218"/>
        <v>137.96716876316546</v>
      </c>
      <c r="E545" s="103">
        <f t="shared" si="219"/>
        <v>1.5635481621409413</v>
      </c>
      <c r="F545" s="101">
        <f t="shared" si="220"/>
        <v>11224.152830849613</v>
      </c>
      <c r="G545" s="104">
        <f t="shared" si="221"/>
        <v>1.5707072332110517</v>
      </c>
      <c r="H545" s="113">
        <f t="shared" si="222"/>
        <v>1351.1077617179596</v>
      </c>
      <c r="I545" s="114">
        <f t="shared" si="223"/>
        <v>1.5700561933135908</v>
      </c>
      <c r="J545" s="101">
        <f t="shared" si="224"/>
        <v>137.61642322564353</v>
      </c>
      <c r="K545" s="104">
        <f t="shared" si="225"/>
        <v>1.5635296882841203</v>
      </c>
      <c r="L545" s="102">
        <f t="shared" si="226"/>
        <v>6.0845419137000034</v>
      </c>
      <c r="M545" s="103">
        <f t="shared" si="227"/>
        <v>1.4056963897291856</v>
      </c>
      <c r="N545" s="101">
        <f t="shared" si="228"/>
        <v>1.386417775300449</v>
      </c>
      <c r="O545" s="104">
        <f t="shared" si="229"/>
        <v>0.7651430125913411</v>
      </c>
      <c r="P545" s="105">
        <f t="shared" ca="1" si="230"/>
        <v>4.7647034541925981</v>
      </c>
      <c r="Q545" s="106">
        <f t="shared" ca="1" si="231"/>
        <v>1.5044212236066627</v>
      </c>
      <c r="R545" s="107">
        <f t="shared" ca="1" si="232"/>
        <v>-9.5144123058378671</v>
      </c>
      <c r="S545" s="108">
        <f t="shared" ca="1" si="233"/>
        <v>-139.48989454896429</v>
      </c>
      <c r="T545" s="116">
        <f t="shared" ca="1" si="234"/>
        <v>40.510105451035713</v>
      </c>
      <c r="V545" s="72">
        <f t="shared" ca="1" si="235"/>
        <v>82702.75</v>
      </c>
      <c r="W545" s="72">
        <f t="shared" si="236"/>
        <v>6839744857.5625</v>
      </c>
      <c r="Y545" s="110">
        <f t="shared" si="237"/>
        <v>15.766398066647774</v>
      </c>
      <c r="Z545" s="111">
        <f t="shared" si="238"/>
        <v>-52.919949118124066</v>
      </c>
      <c r="AA545" s="72">
        <f t="shared" si="239"/>
        <v>127.08005088187593</v>
      </c>
      <c r="AB545" s="110">
        <f t="shared" ca="1" si="240"/>
        <v>-9.3632100256041344</v>
      </c>
      <c r="AC545" s="111">
        <f t="shared" ca="1" si="241"/>
        <v>-86.569945430840221</v>
      </c>
      <c r="AD545" s="72">
        <f t="shared" ca="1" si="242"/>
        <v>93.430054569159779</v>
      </c>
    </row>
    <row r="546" spans="1:30">
      <c r="A546" s="118">
        <v>83176</v>
      </c>
      <c r="B546" s="101">
        <f t="shared" ca="1" si="216"/>
        <v>1361.2753242118617</v>
      </c>
      <c r="C546" s="102">
        <f t="shared" ca="1" si="217"/>
        <v>1.5700617214787238</v>
      </c>
      <c r="D546" s="102">
        <f t="shared" si="218"/>
        <v>138.75661702469418</v>
      </c>
      <c r="E546" s="103">
        <f t="shared" si="219"/>
        <v>1.5635894008974121</v>
      </c>
      <c r="F546" s="101">
        <f t="shared" si="220"/>
        <v>11288.380807369813</v>
      </c>
      <c r="G546" s="104">
        <f t="shared" si="221"/>
        <v>1.5707077401305758</v>
      </c>
      <c r="H546" s="113">
        <f t="shared" si="222"/>
        <v>1358.8392023165052</v>
      </c>
      <c r="I546" s="114">
        <f t="shared" si="223"/>
        <v>1.5700604044807929</v>
      </c>
      <c r="J546" s="101">
        <f t="shared" si="224"/>
        <v>138.40386431034574</v>
      </c>
      <c r="K546" s="104">
        <f t="shared" si="225"/>
        <v>1.5635710321410967</v>
      </c>
      <c r="L546" s="102">
        <f t="shared" si="226"/>
        <v>6.118421630156786</v>
      </c>
      <c r="M546" s="103">
        <f t="shared" si="227"/>
        <v>1.4066189298183924</v>
      </c>
      <c r="N546" s="101">
        <f t="shared" si="228"/>
        <v>1.3902295245950875</v>
      </c>
      <c r="O546" s="104">
        <f t="shared" si="229"/>
        <v>0.767993981101324</v>
      </c>
      <c r="P546" s="105">
        <f t="shared" ca="1" si="230"/>
        <v>4.7913375919204162</v>
      </c>
      <c r="Q546" s="106">
        <f t="shared" ca="1" si="231"/>
        <v>1.5064326333091917</v>
      </c>
      <c r="R546" s="107">
        <f t="shared" ca="1" si="232"/>
        <v>-9.5880093112696745</v>
      </c>
      <c r="S546" s="108">
        <f t="shared" ca="1" si="233"/>
        <v>-139.71566528002177</v>
      </c>
      <c r="T546" s="116">
        <f t="shared" ca="1" si="234"/>
        <v>40.284334719978233</v>
      </c>
      <c r="V546" s="72">
        <f t="shared" ca="1" si="235"/>
        <v>83176</v>
      </c>
      <c r="W546" s="72">
        <f t="shared" si="236"/>
        <v>6918246976</v>
      </c>
      <c r="Y546" s="110">
        <f t="shared" si="237"/>
        <v>15.741221535805828</v>
      </c>
      <c r="Z546" s="111">
        <f t="shared" si="238"/>
        <v>-53.032596518611648</v>
      </c>
      <c r="AA546" s="72">
        <f t="shared" si="239"/>
        <v>126.96740348138835</v>
      </c>
      <c r="AB546" s="110">
        <f t="shared" ca="1" si="240"/>
        <v>-9.4116305001939953</v>
      </c>
      <c r="AC546" s="111">
        <f t="shared" ca="1" si="241"/>
        <v>-86.683068761410127</v>
      </c>
      <c r="AD546" s="72">
        <f t="shared" ca="1" si="242"/>
        <v>93.316931238589873</v>
      </c>
    </row>
    <row r="547" spans="1:30">
      <c r="A547" s="118">
        <v>83660.5</v>
      </c>
      <c r="B547" s="101">
        <f t="shared" ca="1" si="216"/>
        <v>1369.2047454354718</v>
      </c>
      <c r="C547" s="102">
        <f t="shared" ca="1" si="217"/>
        <v>1.5700659757701607</v>
      </c>
      <c r="D547" s="102">
        <f t="shared" si="218"/>
        <v>139.56483212680683</v>
      </c>
      <c r="E547" s="103">
        <f t="shared" si="219"/>
        <v>1.5636311366716362</v>
      </c>
      <c r="F547" s="101">
        <f t="shared" si="220"/>
        <v>11354.135597914857</v>
      </c>
      <c r="G547" s="104">
        <f t="shared" si="221"/>
        <v>1.5707082531592889</v>
      </c>
      <c r="H547" s="113">
        <f t="shared" si="222"/>
        <v>1366.7544331282834</v>
      </c>
      <c r="I547" s="114">
        <f t="shared" si="223"/>
        <v>1.5700646663993036</v>
      </c>
      <c r="J547" s="101">
        <f t="shared" si="224"/>
        <v>139.21002452206014</v>
      </c>
      <c r="K547" s="104">
        <f t="shared" si="225"/>
        <v>1.5636128742826461</v>
      </c>
      <c r="L547" s="102">
        <f t="shared" si="226"/>
        <v>6.1531120624505027</v>
      </c>
      <c r="M547" s="103">
        <f t="shared" si="227"/>
        <v>1.4075528751817143</v>
      </c>
      <c r="N547" s="101">
        <f t="shared" si="228"/>
        <v>1.3941435271013856</v>
      </c>
      <c r="O547" s="104">
        <f t="shared" si="229"/>
        <v>0.77089654795717422</v>
      </c>
      <c r="P547" s="105">
        <f t="shared" ca="1" si="230"/>
        <v>4.8186218373649057</v>
      </c>
      <c r="Q547" s="106">
        <f t="shared" ca="1" si="231"/>
        <v>1.5084784259960571</v>
      </c>
      <c r="R547" s="107">
        <f t="shared" ca="1" si="232"/>
        <v>-9.6630903709898845</v>
      </c>
      <c r="S547" s="108">
        <f t="shared" ca="1" si="233"/>
        <v>-139.94570932176106</v>
      </c>
      <c r="T547" s="116">
        <f t="shared" ca="1" si="234"/>
        <v>40.054290678238942</v>
      </c>
      <c r="V547" s="72">
        <f t="shared" ca="1" si="235"/>
        <v>83660.5</v>
      </c>
      <c r="W547" s="72">
        <f t="shared" si="236"/>
        <v>6999079260.25</v>
      </c>
      <c r="Y547" s="110">
        <f t="shared" si="237"/>
        <v>15.715464507182562</v>
      </c>
      <c r="Z547" s="111">
        <f t="shared" si="238"/>
        <v>-53.14757280427699</v>
      </c>
      <c r="AA547" s="72">
        <f t="shared" si="239"/>
        <v>126.85242719572301</v>
      </c>
      <c r="AB547" s="110">
        <f t="shared" ca="1" si="240"/>
        <v>-9.4609545312909411</v>
      </c>
      <c r="AC547" s="111">
        <f t="shared" ca="1" si="241"/>
        <v>-86.798136517484082</v>
      </c>
      <c r="AD547" s="72">
        <f t="shared" ca="1" si="242"/>
        <v>93.201863482515918</v>
      </c>
    </row>
    <row r="548" spans="1:30">
      <c r="A548" s="118">
        <v>84145</v>
      </c>
      <c r="B548" s="101">
        <f t="shared" ca="1" si="216"/>
        <v>1377.1341666835779</v>
      </c>
      <c r="C548" s="102">
        <f t="shared" ca="1" si="217"/>
        <v>1.570070181069902</v>
      </c>
      <c r="D548" s="102">
        <f t="shared" si="218"/>
        <v>140.37304746922456</v>
      </c>
      <c r="E548" s="103">
        <f t="shared" si="219"/>
        <v>1.5636723918480722</v>
      </c>
      <c r="F548" s="101">
        <f t="shared" si="220"/>
        <v>11419.890388462858</v>
      </c>
      <c r="G548" s="104">
        <f t="shared" si="221"/>
        <v>1.5707087602800474</v>
      </c>
      <c r="H548" s="113">
        <f t="shared" si="222"/>
        <v>1374.6696639646016</v>
      </c>
      <c r="I548" s="114">
        <f t="shared" si="223"/>
        <v>1.5700688792382869</v>
      </c>
      <c r="J548" s="101">
        <f t="shared" si="224"/>
        <v>140.01618497469198</v>
      </c>
      <c r="K548" s="104">
        <f t="shared" si="225"/>
        <v>1.5636542346016871</v>
      </c>
      <c r="L548" s="102">
        <f t="shared" si="226"/>
        <v>6.1878078016393534</v>
      </c>
      <c r="M548" s="103">
        <f t="shared" si="227"/>
        <v>1.408476347868163</v>
      </c>
      <c r="N548" s="101">
        <f t="shared" si="228"/>
        <v>1.3980692092971432</v>
      </c>
      <c r="O548" s="104">
        <f t="shared" si="229"/>
        <v>0.77378283859994978</v>
      </c>
      <c r="P548" s="105">
        <f t="shared" ca="1" si="230"/>
        <v>4.8459231940875691</v>
      </c>
      <c r="Q548" s="106">
        <f t="shared" ca="1" si="231"/>
        <v>1.5105108437361183</v>
      </c>
      <c r="R548" s="107">
        <f t="shared" ca="1" si="232"/>
        <v>-9.7379050427668261</v>
      </c>
      <c r="S548" s="108">
        <f t="shared" ca="1" si="233"/>
        <v>-140.17465411372567</v>
      </c>
      <c r="T548" s="116">
        <f t="shared" ca="1" si="234"/>
        <v>39.825345886274334</v>
      </c>
      <c r="V548" s="72">
        <f t="shared" ca="1" si="235"/>
        <v>84145</v>
      </c>
      <c r="W548" s="72">
        <f t="shared" si="236"/>
        <v>7080381025</v>
      </c>
      <c r="Y548" s="110">
        <f t="shared" si="237"/>
        <v>15.68972600910606</v>
      </c>
      <c r="Z548" s="111">
        <f t="shared" si="238"/>
        <v>-53.262191438963995</v>
      </c>
      <c r="AA548" s="72">
        <f t="shared" si="239"/>
        <v>126.737808561036</v>
      </c>
      <c r="AB548" s="110">
        <f t="shared" ca="1" si="240"/>
        <v>-9.5100307049913813</v>
      </c>
      <c r="AC548" s="111">
        <f t="shared" ca="1" si="241"/>
        <v>-86.912462674761684</v>
      </c>
      <c r="AD548" s="72">
        <f t="shared" ca="1" si="242"/>
        <v>93.087537325238316</v>
      </c>
    </row>
    <row r="549" spans="1:30">
      <c r="A549" s="118">
        <v>84629.5</v>
      </c>
      <c r="B549" s="101">
        <f t="shared" ca="1" si="216"/>
        <v>1385.0635879557592</v>
      </c>
      <c r="C549" s="102">
        <f t="shared" ca="1" si="217"/>
        <v>1.5700743382193729</v>
      </c>
      <c r="D549" s="102">
        <f t="shared" si="218"/>
        <v>141.18126304782035</v>
      </c>
      <c r="E549" s="103">
        <f t="shared" si="219"/>
        <v>1.5637131746803636</v>
      </c>
      <c r="F549" s="101">
        <f t="shared" si="220"/>
        <v>11485.64517901376</v>
      </c>
      <c r="G549" s="104">
        <f t="shared" si="221"/>
        <v>1.5707092615943199</v>
      </c>
      <c r="H549" s="113">
        <f t="shared" si="222"/>
        <v>1382.5848948250377</v>
      </c>
      <c r="I549" s="114">
        <f t="shared" si="223"/>
        <v>1.570073043840676</v>
      </c>
      <c r="J549" s="101">
        <f t="shared" si="224"/>
        <v>140.82234566410378</v>
      </c>
      <c r="K549" s="104">
        <f t="shared" si="225"/>
        <v>1.5636951213728931</v>
      </c>
      <c r="L549" s="102">
        <f t="shared" si="226"/>
        <v>6.2225087589520784</v>
      </c>
      <c r="M549" s="103">
        <f t="shared" si="227"/>
        <v>1.4093895214977288</v>
      </c>
      <c r="N549" s="101">
        <f t="shared" si="228"/>
        <v>1.4020064730713711</v>
      </c>
      <c r="O549" s="104">
        <f t="shared" si="229"/>
        <v>0.7766529418639182</v>
      </c>
      <c r="P549" s="105">
        <f t="shared" ca="1" si="230"/>
        <v>4.8732416094754711</v>
      </c>
      <c r="Q549" s="106">
        <f t="shared" ca="1" si="231"/>
        <v>1.5125300982696563</v>
      </c>
      <c r="R549" s="107">
        <f t="shared" ca="1" si="232"/>
        <v>-9.8124555165633183</v>
      </c>
      <c r="S549" s="108">
        <f t="shared" ca="1" si="233"/>
        <v>-140.40250693680812</v>
      </c>
      <c r="T549" s="116">
        <f t="shared" ca="1" si="234"/>
        <v>39.597493063191877</v>
      </c>
      <c r="V549" s="72">
        <f t="shared" ca="1" si="235"/>
        <v>84629.5</v>
      </c>
      <c r="W549" s="72">
        <f t="shared" si="236"/>
        <v>7162152270.25</v>
      </c>
      <c r="Y549" s="110">
        <f t="shared" si="237"/>
        <v>15.664006370524961</v>
      </c>
      <c r="Z549" s="111">
        <f t="shared" si="238"/>
        <v>-53.376447996429697</v>
      </c>
      <c r="AA549" s="72">
        <f t="shared" si="239"/>
        <v>126.6235520035703</v>
      </c>
      <c r="AB549" s="110">
        <f t="shared" ca="1" si="240"/>
        <v>-9.5588615402067738</v>
      </c>
      <c r="AC549" s="111">
        <f t="shared" ca="1" si="241"/>
        <v>-87.026058940378462</v>
      </c>
      <c r="AD549" s="72">
        <f t="shared" ca="1" si="242"/>
        <v>92.973941059621538</v>
      </c>
    </row>
    <row r="550" spans="1:30">
      <c r="A550" s="118">
        <v>85114</v>
      </c>
      <c r="B550" s="101">
        <f t="shared" ca="1" si="216"/>
        <v>1392.9930092516045</v>
      </c>
      <c r="C550" s="102">
        <f t="shared" ca="1" si="217"/>
        <v>1.5700784480408396</v>
      </c>
      <c r="D550" s="102">
        <f t="shared" si="218"/>
        <v>141.98947885856117</v>
      </c>
      <c r="E550" s="103">
        <f t="shared" si="219"/>
        <v>1.5637534932342396</v>
      </c>
      <c r="F550" s="101">
        <f t="shared" si="220"/>
        <v>11551.399969567517</v>
      </c>
      <c r="G550" s="104">
        <f t="shared" si="221"/>
        <v>1.5707097572012643</v>
      </c>
      <c r="H550" s="113">
        <f t="shared" si="222"/>
        <v>1390.5001257091803</v>
      </c>
      <c r="I550" s="114">
        <f t="shared" si="223"/>
        <v>1.5700771610302118</v>
      </c>
      <c r="J550" s="101">
        <f t="shared" si="224"/>
        <v>141.62850658625223</v>
      </c>
      <c r="K550" s="104">
        <f t="shared" si="225"/>
        <v>1.5637355426825443</v>
      </c>
      <c r="L550" s="102">
        <f t="shared" si="226"/>
        <v>6.2572148475734268</v>
      </c>
      <c r="M550" s="103">
        <f t="shared" si="227"/>
        <v>1.4102925659079977</v>
      </c>
      <c r="N550" s="101">
        <f t="shared" si="228"/>
        <v>1.4059552211242541</v>
      </c>
      <c r="O550" s="104">
        <f t="shared" si="229"/>
        <v>0.77950694665649067</v>
      </c>
      <c r="P550" s="105">
        <f t="shared" ca="1" si="230"/>
        <v>4.9005770332596459</v>
      </c>
      <c r="Q550" s="106">
        <f t="shared" ca="1" si="231"/>
        <v>1.5145363968418077</v>
      </c>
      <c r="R550" s="107">
        <f t="shared" ca="1" si="232"/>
        <v>-9.8867439470165426</v>
      </c>
      <c r="S550" s="108">
        <f t="shared" ca="1" si="233"/>
        <v>-140.62927503509709</v>
      </c>
      <c r="T550" s="116">
        <f t="shared" ca="1" si="234"/>
        <v>39.370724964902905</v>
      </c>
      <c r="V550" s="72">
        <f t="shared" ca="1" si="235"/>
        <v>85114</v>
      </c>
      <c r="W550" s="72">
        <f t="shared" si="236"/>
        <v>7244392996</v>
      </c>
      <c r="Y550" s="110">
        <f t="shared" si="237"/>
        <v>15.638305920721805</v>
      </c>
      <c r="Z550" s="111">
        <f t="shared" si="238"/>
        <v>-53.490338261510807</v>
      </c>
      <c r="AA550" s="72">
        <f t="shared" si="239"/>
        <v>126.5096617384892</v>
      </c>
      <c r="AB550" s="110">
        <f t="shared" ca="1" si="240"/>
        <v>-9.6074495208568447</v>
      </c>
      <c r="AC550" s="111">
        <f t="shared" ca="1" si="241"/>
        <v>-87.138936773586295</v>
      </c>
      <c r="AD550" s="72">
        <f t="shared" ca="1" si="242"/>
        <v>92.861063226413705</v>
      </c>
    </row>
    <row r="551" spans="1:30">
      <c r="A551" s="118">
        <v>85609.5</v>
      </c>
      <c r="B551" s="101">
        <f t="shared" ca="1" si="216"/>
        <v>1401.1024587123827</v>
      </c>
      <c r="C551" s="102">
        <f t="shared" ca="1" si="217"/>
        <v>1.5700826030563635</v>
      </c>
      <c r="D551" s="102">
        <f t="shared" si="218"/>
        <v>142.81604449027577</v>
      </c>
      <c r="E551" s="103">
        <f t="shared" si="219"/>
        <v>1.5637942551781043</v>
      </c>
      <c r="F551" s="101">
        <f t="shared" si="220"/>
        <v>11618.64764494583</v>
      </c>
      <c r="G551" s="104">
        <f t="shared" si="221"/>
        <v>1.5707102582581964</v>
      </c>
      <c r="H551" s="113">
        <f t="shared" si="222"/>
        <v>1398.5950625817693</v>
      </c>
      <c r="I551" s="114">
        <f t="shared" si="223"/>
        <v>1.5700813234948285</v>
      </c>
      <c r="J551" s="101">
        <f t="shared" si="224"/>
        <v>142.45297067615857</v>
      </c>
      <c r="K551" s="104">
        <f t="shared" si="225"/>
        <v>1.5637764085123265</v>
      </c>
      <c r="L551" s="102">
        <f t="shared" si="226"/>
        <v>6.292714115828959</v>
      </c>
      <c r="M551" s="103">
        <f t="shared" si="227"/>
        <v>1.411205809224086</v>
      </c>
      <c r="N551" s="101">
        <f t="shared" si="228"/>
        <v>1.4100053986261749</v>
      </c>
      <c r="O551" s="104">
        <f t="shared" si="229"/>
        <v>0.78240919010094145</v>
      </c>
      <c r="P551" s="105">
        <f t="shared" ca="1" si="230"/>
        <v>4.9285506175563354</v>
      </c>
      <c r="Q551" s="106">
        <f t="shared" ca="1" si="231"/>
        <v>1.516575056916911</v>
      </c>
      <c r="R551" s="107">
        <f t="shared" ca="1" si="232"/>
        <v>-9.9624501828999286</v>
      </c>
      <c r="S551" s="108">
        <f t="shared" ca="1" si="233"/>
        <v>-140.86007720020274</v>
      </c>
      <c r="T551" s="116">
        <f t="shared" ca="1" si="234"/>
        <v>39.139922799797262</v>
      </c>
      <c r="V551" s="72">
        <f t="shared" ca="1" si="235"/>
        <v>85609.5</v>
      </c>
      <c r="W551" s="72">
        <f t="shared" si="236"/>
        <v>7328986490.25</v>
      </c>
      <c r="Y551" s="110">
        <f t="shared" si="237"/>
        <v>15.612042162964803</v>
      </c>
      <c r="Z551" s="111">
        <f t="shared" si="238"/>
        <v>-53.606431230815048</v>
      </c>
      <c r="AA551" s="72">
        <f t="shared" si="239"/>
        <v>126.39356876918495</v>
      </c>
      <c r="AB551" s="110">
        <f t="shared" ca="1" si="240"/>
        <v>-9.6568919989832303</v>
      </c>
      <c r="AC551" s="111">
        <f t="shared" ca="1" si="241"/>
        <v>-87.253645969387719</v>
      </c>
      <c r="AD551" s="72">
        <f t="shared" ca="1" si="242"/>
        <v>92.746354030612281</v>
      </c>
    </row>
    <row r="552" spans="1:30">
      <c r="A552" s="118">
        <v>86105</v>
      </c>
      <c r="B552" s="101">
        <f t="shared" ca="1" si="216"/>
        <v>1409.2119081970716</v>
      </c>
      <c r="C552" s="102">
        <f t="shared" ca="1" si="217"/>
        <v>1.5700867102509906</v>
      </c>
      <c r="D552" s="102">
        <f t="shared" si="218"/>
        <v>143.64261035655349</v>
      </c>
      <c r="E552" s="103">
        <f t="shared" si="219"/>
        <v>1.5638345480073159</v>
      </c>
      <c r="F552" s="101">
        <f t="shared" si="220"/>
        <v>11685.895320327023</v>
      </c>
      <c r="G552" s="104">
        <f t="shared" si="221"/>
        <v>1.5707107535483622</v>
      </c>
      <c r="H552" s="113">
        <f t="shared" si="222"/>
        <v>1406.6899994783118</v>
      </c>
      <c r="I552" s="114">
        <f t="shared" si="223"/>
        <v>1.5700854380528155</v>
      </c>
      <c r="J552" s="101">
        <f t="shared" si="224"/>
        <v>143.27743500122577</v>
      </c>
      <c r="K552" s="104">
        <f t="shared" si="225"/>
        <v>1.5638168040319862</v>
      </c>
      <c r="L552" s="102">
        <f t="shared" si="226"/>
        <v>6.3282185734080532</v>
      </c>
      <c r="M552" s="103">
        <f t="shared" si="227"/>
        <v>1.4121088057866831</v>
      </c>
      <c r="N552" s="101">
        <f t="shared" si="228"/>
        <v>1.4140673845359573</v>
      </c>
      <c r="O552" s="104">
        <f t="shared" si="229"/>
        <v>0.78529478402863351</v>
      </c>
      <c r="P552" s="105">
        <f t="shared" ca="1" si="230"/>
        <v>4.9565418922132185</v>
      </c>
      <c r="Q552" s="106">
        <f t="shared" ca="1" si="231"/>
        <v>1.5186005906038542</v>
      </c>
      <c r="R552" s="107">
        <f t="shared" ca="1" si="232"/>
        <v>-10.037886790658364</v>
      </c>
      <c r="S552" s="108">
        <f t="shared" ca="1" si="233"/>
        <v>-141.08976003335826</v>
      </c>
      <c r="T552" s="116">
        <f t="shared" ca="1" si="234"/>
        <v>38.91023996664174</v>
      </c>
      <c r="V552" s="72">
        <f t="shared" ca="1" si="235"/>
        <v>86105</v>
      </c>
      <c r="W552" s="72">
        <f t="shared" si="236"/>
        <v>7414071025</v>
      </c>
      <c r="Y552" s="110">
        <f t="shared" si="237"/>
        <v>15.585799171563853</v>
      </c>
      <c r="Z552" s="111">
        <f t="shared" si="238"/>
        <v>-53.722132816457595</v>
      </c>
      <c r="AA552" s="72">
        <f t="shared" si="239"/>
        <v>126.27786718354241</v>
      </c>
      <c r="AB552" s="110">
        <f t="shared" ca="1" si="240"/>
        <v>-9.7060856153407133</v>
      </c>
      <c r="AC552" s="111">
        <f t="shared" ca="1" si="241"/>
        <v>-87.367627216900686</v>
      </c>
      <c r="AD552" s="72">
        <f t="shared" ca="1" si="242"/>
        <v>92.632372783099314</v>
      </c>
    </row>
    <row r="553" spans="1:30">
      <c r="A553" s="118">
        <v>86600.5</v>
      </c>
      <c r="B553" s="101">
        <f t="shared" ca="1" si="216"/>
        <v>1417.3213577052604</v>
      </c>
      <c r="C553" s="102">
        <f t="shared" ca="1" si="217"/>
        <v>1.5700907704455678</v>
      </c>
      <c r="D553" s="102">
        <f t="shared" si="218"/>
        <v>144.46917645336816</v>
      </c>
      <c r="E553" s="103">
        <f t="shared" si="219"/>
        <v>1.5638743797737211</v>
      </c>
      <c r="F553" s="101">
        <f t="shared" si="220"/>
        <v>11753.142995711054</v>
      </c>
      <c r="G553" s="104">
        <f t="shared" si="221"/>
        <v>1.5707112431707484</v>
      </c>
      <c r="H553" s="113">
        <f t="shared" si="222"/>
        <v>1414.7849363983962</v>
      </c>
      <c r="I553" s="114">
        <f t="shared" si="223"/>
        <v>1.5700895055264912</v>
      </c>
      <c r="J553" s="101">
        <f t="shared" si="224"/>
        <v>144.10189955741745</v>
      </c>
      <c r="K553" s="104">
        <f t="shared" si="225"/>
        <v>1.5638567373138872</v>
      </c>
      <c r="L553" s="102">
        <f t="shared" si="226"/>
        <v>6.363728133454023</v>
      </c>
      <c r="M553" s="103">
        <f t="shared" si="227"/>
        <v>1.4130017256411611</v>
      </c>
      <c r="N553" s="101">
        <f t="shared" si="228"/>
        <v>1.4181410773850269</v>
      </c>
      <c r="O553" s="104">
        <f t="shared" si="229"/>
        <v>0.78816382365845017</v>
      </c>
      <c r="P553" s="105">
        <f t="shared" ca="1" si="230"/>
        <v>4.9845508106606777</v>
      </c>
      <c r="Q553" s="106">
        <f t="shared" ca="1" si="231"/>
        <v>1.5206132057434756</v>
      </c>
      <c r="R553" s="107">
        <f t="shared" ca="1" si="232"/>
        <v>-10.113055966137619</v>
      </c>
      <c r="S553" s="108">
        <f t="shared" ca="1" si="233"/>
        <v>-141.31833116248723</v>
      </c>
      <c r="T553" s="116">
        <f t="shared" ca="1" si="234"/>
        <v>38.681668837512774</v>
      </c>
      <c r="V553" s="72">
        <f t="shared" ca="1" si="235"/>
        <v>86600.5</v>
      </c>
      <c r="W553" s="72">
        <f t="shared" si="236"/>
        <v>7499646600.25</v>
      </c>
      <c r="Y553" s="110">
        <f t="shared" si="237"/>
        <v>15.559577297852176</v>
      </c>
      <c r="Z553" s="111">
        <f t="shared" si="238"/>
        <v>-53.83743915226502</v>
      </c>
      <c r="AA553" s="72">
        <f t="shared" si="239"/>
        <v>126.16256084773498</v>
      </c>
      <c r="AB553" s="110">
        <f t="shared" ca="1" si="240"/>
        <v>-9.7550329171082897</v>
      </c>
      <c r="AC553" s="111">
        <f t="shared" ca="1" si="241"/>
        <v>-87.480892010222263</v>
      </c>
      <c r="AD553" s="72">
        <f t="shared" ca="1" si="242"/>
        <v>92.519107989777737</v>
      </c>
    </row>
    <row r="554" spans="1:30">
      <c r="A554" s="118">
        <v>87096</v>
      </c>
      <c r="B554" s="101">
        <f t="shared" ca="1" si="216"/>
        <v>1425.4308072365482</v>
      </c>
      <c r="C554" s="102">
        <f t="shared" ca="1" si="217"/>
        <v>1.5700947844422617</v>
      </c>
      <c r="D554" s="102">
        <f t="shared" si="218"/>
        <v>145.29574277678537</v>
      </c>
      <c r="E554" s="103">
        <f t="shared" si="219"/>
        <v>1.5639137583459504</v>
      </c>
      <c r="F554" s="101">
        <f t="shared" si="220"/>
        <v>11820.390671097868</v>
      </c>
      <c r="G554" s="104">
        <f t="shared" si="221"/>
        <v>1.5707117272220892</v>
      </c>
      <c r="H554" s="113">
        <f t="shared" si="222"/>
        <v>1422.8798733416213</v>
      </c>
      <c r="I554" s="114">
        <f t="shared" si="223"/>
        <v>1.5700935267194602</v>
      </c>
      <c r="J554" s="101">
        <f t="shared" si="224"/>
        <v>144.92636434078918</v>
      </c>
      <c r="K554" s="104">
        <f t="shared" si="225"/>
        <v>1.5638962162467092</v>
      </c>
      <c r="L554" s="102">
        <f t="shared" si="226"/>
        <v>6.3992427110257113</v>
      </c>
      <c r="M554" s="103">
        <f t="shared" si="227"/>
        <v>1.4138847351231052</v>
      </c>
      <c r="N554" s="101">
        <f t="shared" si="228"/>
        <v>1.422226376576585</v>
      </c>
      <c r="O554" s="104">
        <f t="shared" si="229"/>
        <v>0.79101640421004538</v>
      </c>
      <c r="P554" s="105">
        <f t="shared" ca="1" si="230"/>
        <v>5.012577328626425</v>
      </c>
      <c r="Q554" s="106">
        <f t="shared" ca="1" si="231"/>
        <v>1.5226131057501131</v>
      </c>
      <c r="R554" s="107">
        <f t="shared" ca="1" si="232"/>
        <v>-10.187959870317744</v>
      </c>
      <c r="S554" s="108">
        <f t="shared" ca="1" si="233"/>
        <v>-141.5457981743389</v>
      </c>
      <c r="T554" s="116">
        <f t="shared" ca="1" si="234"/>
        <v>38.454201825661102</v>
      </c>
      <c r="V554" s="72">
        <f t="shared" ca="1" si="235"/>
        <v>87096</v>
      </c>
      <c r="W554" s="72">
        <f t="shared" si="236"/>
        <v>7585713216</v>
      </c>
      <c r="Y554" s="110">
        <f t="shared" si="237"/>
        <v>15.53337689225801</v>
      </c>
      <c r="Z554" s="111">
        <f t="shared" si="238"/>
        <v>-53.952346575081918</v>
      </c>
      <c r="AA554" s="72">
        <f t="shared" si="239"/>
        <v>126.04765342491808</v>
      </c>
      <c r="AB554" s="110">
        <f t="shared" ca="1" si="240"/>
        <v>-9.8037364156942512</v>
      </c>
      <c r="AC554" s="111">
        <f t="shared" ca="1" si="241"/>
        <v>-87.593451599256952</v>
      </c>
      <c r="AD554" s="72">
        <f t="shared" ca="1" si="242"/>
        <v>92.406548400743048</v>
      </c>
    </row>
    <row r="555" spans="1:30">
      <c r="A555" s="118">
        <v>87603.25</v>
      </c>
      <c r="B555" s="101">
        <f t="shared" ca="1" si="216"/>
        <v>1433.7325595804407</v>
      </c>
      <c r="C555" s="102">
        <f t="shared" ca="1" si="217"/>
        <v>1.5700988465888446</v>
      </c>
      <c r="D555" s="102">
        <f t="shared" si="218"/>
        <v>146.14191004595043</v>
      </c>
      <c r="E555" s="103">
        <f t="shared" si="219"/>
        <v>1.5639536093052639</v>
      </c>
      <c r="F555" s="101">
        <f t="shared" si="220"/>
        <v>11889.233018910918</v>
      </c>
      <c r="G555" s="104">
        <f t="shared" si="221"/>
        <v>1.5707122170798637</v>
      </c>
      <c r="H555" s="113">
        <f t="shared" si="222"/>
        <v>1431.1667689543858</v>
      </c>
      <c r="I555" s="114">
        <f t="shared" si="223"/>
        <v>1.5700975961486412</v>
      </c>
      <c r="J555" s="101">
        <f t="shared" si="224"/>
        <v>145.77038023579334</v>
      </c>
      <c r="K555" s="104">
        <f t="shared" si="225"/>
        <v>1.5639361687706568</v>
      </c>
      <c r="L555" s="102">
        <f t="shared" si="226"/>
        <v>6.4356045714047454</v>
      </c>
      <c r="M555" s="103">
        <f t="shared" si="227"/>
        <v>1.4147785879782044</v>
      </c>
      <c r="N555" s="101">
        <f t="shared" si="228"/>
        <v>1.4264204705159111</v>
      </c>
      <c r="O555" s="104">
        <f t="shared" si="229"/>
        <v>0.79391967944127562</v>
      </c>
      <c r="P555" s="105">
        <f t="shared" ca="1" si="230"/>
        <v>5.0412866378146939</v>
      </c>
      <c r="Q555" s="106">
        <f t="shared" ca="1" si="231"/>
        <v>1.5246474670850381</v>
      </c>
      <c r="R555" s="107">
        <f t="shared" ca="1" si="232"/>
        <v>-10.264367441139353</v>
      </c>
      <c r="S555" s="108">
        <f t="shared" ca="1" si="233"/>
        <v>-141.77752338325672</v>
      </c>
      <c r="T555" s="116">
        <f t="shared" ca="1" si="234"/>
        <v>38.222476616743279</v>
      </c>
      <c r="V555" s="72">
        <f t="shared" ca="1" si="235"/>
        <v>87603.25</v>
      </c>
      <c r="W555" s="72">
        <f t="shared" si="236"/>
        <v>7674329410.5625</v>
      </c>
      <c r="Y555" s="110">
        <f t="shared" si="237"/>
        <v>15.506577787817999</v>
      </c>
      <c r="Z555" s="111">
        <f t="shared" si="238"/>
        <v>-54.069562013296377</v>
      </c>
      <c r="AA555" s="72">
        <f t="shared" si="239"/>
        <v>125.93043798670362</v>
      </c>
      <c r="AB555" s="110">
        <f t="shared" ca="1" si="240"/>
        <v>-9.8533448820758434</v>
      </c>
      <c r="AC555" s="111">
        <f t="shared" ca="1" si="241"/>
        <v>-87.707961369960344</v>
      </c>
      <c r="AD555" s="72">
        <f t="shared" ca="1" si="242"/>
        <v>92.292038630039656</v>
      </c>
    </row>
    <row r="556" spans="1:30">
      <c r="A556" s="118">
        <v>88110.5</v>
      </c>
      <c r="B556" s="101">
        <f t="shared" ca="1" si="216"/>
        <v>1442.0343119477188</v>
      </c>
      <c r="C556" s="102">
        <f t="shared" ca="1" si="217"/>
        <v>1.5701028619640922</v>
      </c>
      <c r="D556" s="102">
        <f t="shared" si="218"/>
        <v>146.98807754453122</v>
      </c>
      <c r="E556" s="103">
        <f t="shared" si="219"/>
        <v>1.5639930014439363</v>
      </c>
      <c r="F556" s="101">
        <f t="shared" si="220"/>
        <v>11958.075366726789</v>
      </c>
      <c r="G556" s="104">
        <f t="shared" si="221"/>
        <v>1.57071270129744</v>
      </c>
      <c r="H556" s="113">
        <f t="shared" si="222"/>
        <v>1439.4536645905778</v>
      </c>
      <c r="I556" s="114">
        <f t="shared" si="223"/>
        <v>1.5701016187226358</v>
      </c>
      <c r="J556" s="101">
        <f t="shared" si="224"/>
        <v>146.61439636079783</v>
      </c>
      <c r="K556" s="104">
        <f t="shared" si="225"/>
        <v>1.5639756613047164</v>
      </c>
      <c r="L556" s="102">
        <f t="shared" si="226"/>
        <v>6.4719715158774287</v>
      </c>
      <c r="M556" s="103">
        <f t="shared" si="227"/>
        <v>1.4156623961557693</v>
      </c>
      <c r="N556" s="101">
        <f t="shared" si="228"/>
        <v>1.4306265172083232</v>
      </c>
      <c r="O556" s="104">
        <f t="shared" si="229"/>
        <v>0.79680590760406311</v>
      </c>
      <c r="P556" s="105">
        <f t="shared" ca="1" si="230"/>
        <v>5.0700143043227941</v>
      </c>
      <c r="Q556" s="106">
        <f t="shared" ca="1" si="231"/>
        <v>1.526668920785283</v>
      </c>
      <c r="R556" s="107">
        <f t="shared" ca="1" si="232"/>
        <v>-10.340501485418807</v>
      </c>
      <c r="S556" s="108">
        <f t="shared" ca="1" si="233"/>
        <v>-142.00810744638889</v>
      </c>
      <c r="T556" s="116">
        <f t="shared" ca="1" si="234"/>
        <v>37.991892553611109</v>
      </c>
      <c r="V556" s="72">
        <f t="shared" ca="1" si="235"/>
        <v>88110.5</v>
      </c>
      <c r="W556" s="72">
        <f t="shared" si="236"/>
        <v>7763460210.25</v>
      </c>
      <c r="Y556" s="110">
        <f t="shared" si="237"/>
        <v>15.479801920855071</v>
      </c>
      <c r="Z556" s="111">
        <f t="shared" si="238"/>
        <v>-54.186352250030446</v>
      </c>
      <c r="AA556" s="72">
        <f t="shared" si="239"/>
        <v>125.81364774996956</v>
      </c>
      <c r="AB556" s="110">
        <f t="shared" ca="1" si="240"/>
        <v>-9.9027030593923708</v>
      </c>
      <c r="AC556" s="111">
        <f t="shared" ca="1" si="241"/>
        <v>-87.821755196358424</v>
      </c>
      <c r="AD556" s="72">
        <f t="shared" ca="1" si="242"/>
        <v>92.178244803641576</v>
      </c>
    </row>
    <row r="557" spans="1:30">
      <c r="A557" s="118">
        <v>88617.75</v>
      </c>
      <c r="B557" s="101">
        <f t="shared" ca="1" si="216"/>
        <v>1450.3360643379813</v>
      </c>
      <c r="C557" s="102">
        <f t="shared" ca="1" si="217"/>
        <v>1.570106831371165</v>
      </c>
      <c r="D557" s="102">
        <f t="shared" si="218"/>
        <v>147.83424526858832</v>
      </c>
      <c r="E557" s="103">
        <f t="shared" si="219"/>
        <v>1.5640319426403815</v>
      </c>
      <c r="F557" s="101">
        <f t="shared" si="220"/>
        <v>12026.917714545432</v>
      </c>
      <c r="G557" s="104">
        <f t="shared" si="221"/>
        <v>1.5707131799716716</v>
      </c>
      <c r="H557" s="113">
        <f t="shared" si="222"/>
        <v>1447.7405602497954</v>
      </c>
      <c r="I557" s="114">
        <f t="shared" si="223"/>
        <v>1.5701055952460439</v>
      </c>
      <c r="J557" s="101">
        <f t="shared" si="224"/>
        <v>147.4584127118533</v>
      </c>
      <c r="K557" s="104">
        <f t="shared" si="225"/>
        <v>1.5640147017473771</v>
      </c>
      <c r="L557" s="102">
        <f t="shared" si="226"/>
        <v>6.5083434592179517</v>
      </c>
      <c r="M557" s="103">
        <f t="shared" si="227"/>
        <v>1.4165363266677287</v>
      </c>
      <c r="N557" s="101">
        <f t="shared" si="228"/>
        <v>1.4348444115403296</v>
      </c>
      <c r="O557" s="104">
        <f t="shared" si="229"/>
        <v>0.7996751907360512</v>
      </c>
      <c r="P557" s="105">
        <f t="shared" ca="1" si="230"/>
        <v>5.0987602877342546</v>
      </c>
      <c r="Q557" s="106">
        <f t="shared" ca="1" si="231"/>
        <v>1.5286776714061387</v>
      </c>
      <c r="R557" s="107">
        <f t="shared" ca="1" si="232"/>
        <v>-10.416364213676985</v>
      </c>
      <c r="S557" s="108">
        <f t="shared" ca="1" si="233"/>
        <v>-142.23755836775493</v>
      </c>
      <c r="T557" s="116">
        <f t="shared" ca="1" si="234"/>
        <v>37.762441632245071</v>
      </c>
      <c r="V557" s="72">
        <f t="shared" ca="1" si="235"/>
        <v>88617.75</v>
      </c>
      <c r="W557" s="72">
        <f t="shared" si="236"/>
        <v>7853105615.0625</v>
      </c>
      <c r="Y557" s="110">
        <f t="shared" si="237"/>
        <v>15.4530496626358</v>
      </c>
      <c r="Z557" s="111">
        <f t="shared" si="238"/>
        <v>-54.302713974531002</v>
      </c>
      <c r="AA557" s="72">
        <f t="shared" si="239"/>
        <v>125.697286025469</v>
      </c>
      <c r="AB557" s="110">
        <f t="shared" ca="1" si="240"/>
        <v>-9.9518135294312824</v>
      </c>
      <c r="AC557" s="111">
        <f t="shared" ca="1" si="241"/>
        <v>-87.934844393223912</v>
      </c>
      <c r="AD557" s="72">
        <f t="shared" ca="1" si="242"/>
        <v>92.065155606776088</v>
      </c>
    </row>
    <row r="558" spans="1:30">
      <c r="A558" s="118">
        <v>89125</v>
      </c>
      <c r="B558" s="101">
        <f t="shared" ca="1" si="216"/>
        <v>1458.6378167508353</v>
      </c>
      <c r="C558" s="102">
        <f t="shared" ca="1" si="217"/>
        <v>1.5701107555949381</v>
      </c>
      <c r="D558" s="102">
        <f t="shared" si="218"/>
        <v>148.68041321427205</v>
      </c>
      <c r="E558" s="103">
        <f t="shared" si="219"/>
        <v>1.5640704405936692</v>
      </c>
      <c r="F558" s="101">
        <f t="shared" si="220"/>
        <v>12095.760062366799</v>
      </c>
      <c r="G558" s="104">
        <f t="shared" si="221"/>
        <v>1.5707136531972077</v>
      </c>
      <c r="H558" s="113">
        <f t="shared" si="222"/>
        <v>1456.0274559316447</v>
      </c>
      <c r="I558" s="114">
        <f t="shared" si="223"/>
        <v>1.5701095265051481</v>
      </c>
      <c r="J558" s="101">
        <f t="shared" si="224"/>
        <v>148.3024292851002</v>
      </c>
      <c r="K558" s="104">
        <f t="shared" si="225"/>
        <v>1.5640532978173263</v>
      </c>
      <c r="L558" s="102">
        <f t="shared" si="226"/>
        <v>6.5447203180834688</v>
      </c>
      <c r="M558" s="103">
        <f t="shared" si="227"/>
        <v>1.4174005428739909</v>
      </c>
      <c r="N558" s="101">
        <f t="shared" si="228"/>
        <v>1.4390740493364216</v>
      </c>
      <c r="O558" s="104">
        <f t="shared" si="229"/>
        <v>0.80252763079635347</v>
      </c>
      <c r="P558" s="105">
        <f t="shared" ca="1" si="230"/>
        <v>5.1275245498917457</v>
      </c>
      <c r="Q558" s="106">
        <f t="shared" ca="1" si="231"/>
        <v>1.5306739191286745</v>
      </c>
      <c r="R558" s="107">
        <f t="shared" ca="1" si="232"/>
        <v>-10.491957801881263</v>
      </c>
      <c r="S558" s="108">
        <f t="shared" ca="1" si="233"/>
        <v>-142.46588410534525</v>
      </c>
      <c r="T558" s="116">
        <f t="shared" ca="1" si="234"/>
        <v>37.534115894654747</v>
      </c>
      <c r="V558" s="72">
        <f t="shared" ca="1" si="235"/>
        <v>89125</v>
      </c>
      <c r="W558" s="72">
        <f t="shared" si="236"/>
        <v>7943265625</v>
      </c>
      <c r="Y558" s="110">
        <f t="shared" si="237"/>
        <v>15.426321382316623</v>
      </c>
      <c r="Z558" s="111">
        <f t="shared" si="238"/>
        <v>-54.418644071412189</v>
      </c>
      <c r="AA558" s="72">
        <f t="shared" si="239"/>
        <v>125.58135592858781</v>
      </c>
      <c r="AB558" s="110">
        <f t="shared" ca="1" si="240"/>
        <v>-10.000678837316384</v>
      </c>
      <c r="AC558" s="111">
        <f t="shared" ca="1" si="241"/>
        <v>-88.047240033933036</v>
      </c>
      <c r="AD558" s="72">
        <f t="shared" ca="1" si="242"/>
        <v>91.952759966066964</v>
      </c>
    </row>
    <row r="559" spans="1:30">
      <c r="A559" s="118">
        <v>89644</v>
      </c>
      <c r="B559" s="101">
        <f t="shared" ca="1" si="216"/>
        <v>1467.1318719779013</v>
      </c>
      <c r="C559" s="102">
        <f t="shared" ca="1" si="217"/>
        <v>1.5701147247545277</v>
      </c>
      <c r="D559" s="102">
        <f t="shared" si="218"/>
        <v>149.5461821214696</v>
      </c>
      <c r="E559" s="103">
        <f t="shared" si="219"/>
        <v>1.5641093794024794</v>
      </c>
      <c r="F559" s="101">
        <f t="shared" si="220"/>
        <v>12166.197082614597</v>
      </c>
      <c r="G559" s="104">
        <f t="shared" si="221"/>
        <v>1.5707141318415898</v>
      </c>
      <c r="H559" s="113">
        <f t="shared" si="222"/>
        <v>1464.5063102846439</v>
      </c>
      <c r="I559" s="114">
        <f t="shared" si="223"/>
        <v>1.5701135027806294</v>
      </c>
      <c r="J559" s="101">
        <f t="shared" si="224"/>
        <v>149.16599698578565</v>
      </c>
      <c r="K559" s="104">
        <f t="shared" si="225"/>
        <v>1.5640923358664751</v>
      </c>
      <c r="L559" s="102">
        <f t="shared" si="226"/>
        <v>6.5819448175158275</v>
      </c>
      <c r="M559" s="103">
        <f t="shared" si="227"/>
        <v>1.4182748900994346</v>
      </c>
      <c r="N559" s="101">
        <f t="shared" si="228"/>
        <v>1.4434137099491195</v>
      </c>
      <c r="O559" s="104">
        <f t="shared" si="229"/>
        <v>0.80542881854034443</v>
      </c>
      <c r="P559" s="105">
        <f t="shared" ca="1" si="230"/>
        <v>5.1569739921502196</v>
      </c>
      <c r="Q559" s="106">
        <f t="shared" ca="1" si="231"/>
        <v>1.5327036718143077</v>
      </c>
      <c r="R559" s="107">
        <f t="shared" ca="1" si="232"/>
        <v>-10.569026119422153</v>
      </c>
      <c r="S559" s="108">
        <f t="shared" ca="1" si="233"/>
        <v>-142.69834247805687</v>
      </c>
      <c r="T559" s="116">
        <f t="shared" ca="1" si="234"/>
        <v>37.301657521943127</v>
      </c>
      <c r="V559" s="72">
        <f t="shared" ca="1" si="235"/>
        <v>89644</v>
      </c>
      <c r="W559" s="72">
        <f t="shared" si="236"/>
        <v>8036046736</v>
      </c>
      <c r="Y559" s="110">
        <f t="shared" si="237"/>
        <v>15.39899916493798</v>
      </c>
      <c r="Z559" s="111">
        <f t="shared" si="238"/>
        <v>-54.53680979496248</v>
      </c>
      <c r="AA559" s="72">
        <f t="shared" si="239"/>
        <v>125.46319020503752</v>
      </c>
      <c r="AB559" s="110">
        <f t="shared" ca="1" si="240"/>
        <v>-10.050424937478631</v>
      </c>
      <c r="AC559" s="111">
        <f t="shared" ca="1" si="241"/>
        <v>-88.161532683094379</v>
      </c>
      <c r="AD559" s="72">
        <f t="shared" ca="1" si="242"/>
        <v>91.838467316905621</v>
      </c>
    </row>
    <row r="560" spans="1:30">
      <c r="A560" s="118">
        <v>90163</v>
      </c>
      <c r="B560" s="101">
        <f t="shared" ca="1" si="216"/>
        <v>1475.6259272278146</v>
      </c>
      <c r="C560" s="102">
        <f t="shared" ca="1" si="217"/>
        <v>1.5701186482192564</v>
      </c>
      <c r="D560" s="102">
        <f t="shared" si="218"/>
        <v>150.41195125280336</v>
      </c>
      <c r="E560" s="103">
        <f t="shared" si="219"/>
        <v>1.5641478699488469</v>
      </c>
      <c r="F560" s="101">
        <f t="shared" si="220"/>
        <v>12236.634102865151</v>
      </c>
      <c r="G560" s="104">
        <f t="shared" si="221"/>
        <v>1.5707146049755869</v>
      </c>
      <c r="H560" s="113">
        <f t="shared" si="222"/>
        <v>1472.9851646605314</v>
      </c>
      <c r="I560" s="114">
        <f t="shared" si="223"/>
        <v>1.5701174332793284</v>
      </c>
      <c r="J560" s="101">
        <f t="shared" si="224"/>
        <v>150.02956491117857</v>
      </c>
      <c r="K560" s="104">
        <f t="shared" si="225"/>
        <v>1.5641309245108312</v>
      </c>
      <c r="L560" s="102">
        <f t="shared" si="226"/>
        <v>6.61917429213646</v>
      </c>
      <c r="M560" s="103">
        <f t="shared" si="227"/>
        <v>1.4191394024664699</v>
      </c>
      <c r="N560" s="101">
        <f t="shared" si="228"/>
        <v>1.4477654467239551</v>
      </c>
      <c r="O560" s="104">
        <f t="shared" si="229"/>
        <v>0.80831258948125773</v>
      </c>
      <c r="P560" s="105">
        <f t="shared" ca="1" si="230"/>
        <v>5.186442495947067</v>
      </c>
      <c r="Q560" s="106">
        <f t="shared" ca="1" si="231"/>
        <v>1.534720746099921</v>
      </c>
      <c r="R560" s="107">
        <f t="shared" ca="1" si="232"/>
        <v>-10.645817185325892</v>
      </c>
      <c r="S560" s="108">
        <f t="shared" ca="1" si="233"/>
        <v>-142.92963964204512</v>
      </c>
      <c r="T560" s="116">
        <f t="shared" ca="1" si="234"/>
        <v>37.070360357954883</v>
      </c>
      <c r="V560" s="72">
        <f t="shared" ca="1" si="235"/>
        <v>90163</v>
      </c>
      <c r="W560" s="72">
        <f t="shared" si="236"/>
        <v>8129366569</v>
      </c>
      <c r="Y560" s="110">
        <f t="shared" si="237"/>
        <v>15.37170282326742</v>
      </c>
      <c r="Z560" s="111">
        <f t="shared" si="238"/>
        <v>-54.654517663178908</v>
      </c>
      <c r="AA560" s="72">
        <f t="shared" si="239"/>
        <v>125.34548233682109</v>
      </c>
      <c r="AB560" s="110">
        <f t="shared" ca="1" si="240"/>
        <v>-10.099919661711807</v>
      </c>
      <c r="AC560" s="111">
        <f t="shared" ca="1" si="241"/>
        <v>-88.275121978866181</v>
      </c>
      <c r="AD560" s="72">
        <f t="shared" ca="1" si="242"/>
        <v>91.724878021133819</v>
      </c>
    </row>
    <row r="561" spans="1:30">
      <c r="A561" s="118">
        <v>90682</v>
      </c>
      <c r="B561" s="101">
        <f t="shared" ca="1" si="216"/>
        <v>1484.1199825001834</v>
      </c>
      <c r="C561" s="102">
        <f t="shared" ca="1" si="217"/>
        <v>1.5701225267736996</v>
      </c>
      <c r="D561" s="102">
        <f t="shared" si="218"/>
        <v>151.2777206044251</v>
      </c>
      <c r="E561" s="103">
        <f t="shared" si="219"/>
        <v>1.5641859199289365</v>
      </c>
      <c r="F561" s="101">
        <f t="shared" si="220"/>
        <v>12307.07112311841</v>
      </c>
      <c r="G561" s="104">
        <f t="shared" si="221"/>
        <v>1.5707150726938115</v>
      </c>
      <c r="H561" s="113">
        <f t="shared" si="222"/>
        <v>1481.4640190589143</v>
      </c>
      <c r="I561" s="114">
        <f t="shared" si="223"/>
        <v>1.5701213187872269</v>
      </c>
      <c r="J561" s="101">
        <f t="shared" si="224"/>
        <v>150.89313305742093</v>
      </c>
      <c r="K561" s="104">
        <f t="shared" si="225"/>
        <v>1.56416907146617</v>
      </c>
      <c r="L561" s="102">
        <f t="shared" si="226"/>
        <v>6.6564086584662778</v>
      </c>
      <c r="M561" s="103">
        <f t="shared" si="227"/>
        <v>1.4199942437134654</v>
      </c>
      <c r="N561" s="101">
        <f t="shared" si="228"/>
        <v>1.4521291510915011</v>
      </c>
      <c r="O561" s="104">
        <f t="shared" si="229"/>
        <v>0.81117905245412303</v>
      </c>
      <c r="P561" s="105">
        <f t="shared" ca="1" si="230"/>
        <v>5.2159300273589739</v>
      </c>
      <c r="Q561" s="106">
        <f t="shared" ca="1" si="231"/>
        <v>1.5367253429164507</v>
      </c>
      <c r="R561" s="107">
        <f t="shared" ca="1" si="232"/>
        <v>-10.722333223590063</v>
      </c>
      <c r="S561" s="108">
        <f t="shared" ca="1" si="233"/>
        <v>-143.15978397053885</v>
      </c>
      <c r="T561" s="116">
        <f t="shared" ca="1" si="234"/>
        <v>36.840216029461146</v>
      </c>
      <c r="V561" s="72">
        <f t="shared" ca="1" si="235"/>
        <v>90682</v>
      </c>
      <c r="W561" s="72">
        <f t="shared" si="236"/>
        <v>8223225124</v>
      </c>
      <c r="Y561" s="110">
        <f t="shared" si="237"/>
        <v>15.344432744352472</v>
      </c>
      <c r="Z561" s="111">
        <f t="shared" si="238"/>
        <v>-54.771764932800593</v>
      </c>
      <c r="AA561" s="72">
        <f t="shared" si="239"/>
        <v>125.22823506719941</v>
      </c>
      <c r="AB561" s="110">
        <f t="shared" ca="1" si="240"/>
        <v>-10.149165621061032</v>
      </c>
      <c r="AC561" s="111">
        <f t="shared" ca="1" si="241"/>
        <v>-88.388019037738218</v>
      </c>
      <c r="AD561" s="72">
        <f t="shared" ca="1" si="242"/>
        <v>91.611980962261782</v>
      </c>
    </row>
    <row r="562" spans="1:30">
      <c r="A562" s="118">
        <v>91201</v>
      </c>
      <c r="B562" s="101">
        <f t="shared" ca="1" si="216"/>
        <v>1492.6140377946238</v>
      </c>
      <c r="C562" s="102">
        <f t="shared" ca="1" si="217"/>
        <v>1.5701263611845728</v>
      </c>
      <c r="D562" s="102">
        <f t="shared" si="218"/>
        <v>152.14349017257427</v>
      </c>
      <c r="E562" s="103">
        <f t="shared" si="219"/>
        <v>1.5642235368637385</v>
      </c>
      <c r="F562" s="101">
        <f t="shared" si="220"/>
        <v>12377.508143374333</v>
      </c>
      <c r="G562" s="104">
        <f t="shared" si="221"/>
        <v>1.5707155350887225</v>
      </c>
      <c r="H562" s="113">
        <f t="shared" si="222"/>
        <v>1489.9428734794087</v>
      </c>
      <c r="I562" s="114">
        <f t="shared" si="223"/>
        <v>1.5701251600724153</v>
      </c>
      <c r="J562" s="101">
        <f t="shared" si="224"/>
        <v>151.75670142074242</v>
      </c>
      <c r="K562" s="104">
        <f t="shared" si="225"/>
        <v>1.5642067842726461</v>
      </c>
      <c r="L562" s="102">
        <f t="shared" si="226"/>
        <v>6.6936478348728015</v>
      </c>
      <c r="M562" s="103">
        <f t="shared" si="227"/>
        <v>1.420839573992307</v>
      </c>
      <c r="N562" s="101">
        <f t="shared" si="228"/>
        <v>1.456504715486638</v>
      </c>
      <c r="O562" s="104">
        <f t="shared" si="229"/>
        <v>0.81402831612921289</v>
      </c>
      <c r="P562" s="105">
        <f t="shared" ca="1" si="230"/>
        <v>5.2454365546779709</v>
      </c>
      <c r="Q562" s="106">
        <f t="shared" ca="1" si="231"/>
        <v>1.538717658883455</v>
      </c>
      <c r="R562" s="107">
        <f t="shared" ca="1" si="232"/>
        <v>-10.798576424031818</v>
      </c>
      <c r="S562" s="108">
        <f t="shared" ca="1" si="233"/>
        <v>-143.38878378564664</v>
      </c>
      <c r="T562" s="116">
        <f t="shared" ca="1" si="234"/>
        <v>36.611216214353362</v>
      </c>
      <c r="V562" s="72">
        <f t="shared" ca="1" si="235"/>
        <v>91201</v>
      </c>
      <c r="W562" s="72">
        <f t="shared" si="236"/>
        <v>8317622401</v>
      </c>
      <c r="Y562" s="110">
        <f t="shared" si="237"/>
        <v>15.317189311969148</v>
      </c>
      <c r="Z562" s="111">
        <f t="shared" si="238"/>
        <v>-54.888549047456777</v>
      </c>
      <c r="AA562" s="72">
        <f t="shared" si="239"/>
        <v>125.11145095254322</v>
      </c>
      <c r="AB562" s="110">
        <f t="shared" ca="1" si="240"/>
        <v>-10.198165389119467</v>
      </c>
      <c r="AC562" s="111">
        <f t="shared" ca="1" si="241"/>
        <v>-88.500234738189889</v>
      </c>
      <c r="AD562" s="72">
        <f t="shared" ca="1" si="242"/>
        <v>91.499765261810111</v>
      </c>
    </row>
    <row r="563" spans="1:30">
      <c r="A563" s="118">
        <v>91732</v>
      </c>
      <c r="B563" s="101">
        <f t="shared" ca="1" si="216"/>
        <v>1501.3044874535847</v>
      </c>
      <c r="C563" s="102">
        <f t="shared" ca="1" si="217"/>
        <v>1.5701302393474119</v>
      </c>
      <c r="D563" s="102">
        <f t="shared" si="218"/>
        <v>153.02927775446869</v>
      </c>
      <c r="E563" s="103">
        <f t="shared" si="219"/>
        <v>1.5642615830396138</v>
      </c>
      <c r="F563" s="101">
        <f t="shared" si="220"/>
        <v>12449.573765257379</v>
      </c>
      <c r="G563" s="104">
        <f t="shared" si="221"/>
        <v>1.5707160027597182</v>
      </c>
      <c r="H563" s="113">
        <f t="shared" si="222"/>
        <v>1498.6177707991701</v>
      </c>
      <c r="I563" s="114">
        <f t="shared" si="223"/>
        <v>1.5701290451880079</v>
      </c>
      <c r="J563" s="101">
        <f t="shared" si="224"/>
        <v>152.64023690346127</v>
      </c>
      <c r="K563" s="104">
        <f t="shared" si="225"/>
        <v>1.5642449274142693</v>
      </c>
      <c r="L563" s="102">
        <f t="shared" si="226"/>
        <v>6.7317529276322183</v>
      </c>
      <c r="M563" s="103">
        <f t="shared" si="227"/>
        <v>1.4216947694758828</v>
      </c>
      <c r="N563" s="101">
        <f t="shared" si="228"/>
        <v>1.4609936123934064</v>
      </c>
      <c r="O563" s="104">
        <f t="shared" si="229"/>
        <v>0.81692577147352818</v>
      </c>
      <c r="P563" s="105">
        <f t="shared" ca="1" si="230"/>
        <v>5.2756449428354628</v>
      </c>
      <c r="Q563" s="106">
        <f t="shared" ca="1" si="231"/>
        <v>1.54074353055793</v>
      </c>
      <c r="R563" s="107">
        <f t="shared" ca="1" si="232"/>
        <v>-10.876302348572702</v>
      </c>
      <c r="S563" s="108">
        <f t="shared" ca="1" si="233"/>
        <v>-143.62190250632381</v>
      </c>
      <c r="T563" s="116">
        <f t="shared" ca="1" si="234"/>
        <v>36.378097493676194</v>
      </c>
      <c r="V563" s="72">
        <f t="shared" ca="1" si="235"/>
        <v>91732</v>
      </c>
      <c r="W563" s="72">
        <f t="shared" si="236"/>
        <v>8414759824</v>
      </c>
      <c r="Y563" s="110">
        <f t="shared" si="237"/>
        <v>15.289343948051338</v>
      </c>
      <c r="Z563" s="111">
        <f t="shared" si="238"/>
        <v>-55.007551554162333</v>
      </c>
      <c r="AA563" s="72">
        <f t="shared" si="239"/>
        <v>124.99244844583767</v>
      </c>
      <c r="AB563" s="110">
        <f t="shared" ca="1" si="240"/>
        <v>-10.248045949742533</v>
      </c>
      <c r="AC563" s="111">
        <f t="shared" ca="1" si="241"/>
        <v>-88.614350952161487</v>
      </c>
      <c r="AD563" s="72">
        <f t="shared" ca="1" si="242"/>
        <v>91.385649047838513</v>
      </c>
    </row>
    <row r="564" spans="1:30">
      <c r="A564" s="118">
        <v>92263</v>
      </c>
      <c r="B564" s="101">
        <f t="shared" ca="1" si="216"/>
        <v>1509.994937134865</v>
      </c>
      <c r="C564" s="102">
        <f t="shared" ca="1" si="217"/>
        <v>1.5701340728703939</v>
      </c>
      <c r="D564" s="102">
        <f t="shared" si="218"/>
        <v>153.91506555532516</v>
      </c>
      <c r="E564" s="103">
        <f t="shared" si="219"/>
        <v>1.5642991913007964</v>
      </c>
      <c r="F564" s="101">
        <f t="shared" si="220"/>
        <v>12521.639387143114</v>
      </c>
      <c r="G564" s="104">
        <f t="shared" si="221"/>
        <v>1.5707164650475531</v>
      </c>
      <c r="H564" s="113">
        <f t="shared" si="222"/>
        <v>1507.2926681412914</v>
      </c>
      <c r="I564" s="114">
        <f t="shared" si="223"/>
        <v>1.5701328855837136</v>
      </c>
      <c r="J564" s="101">
        <f t="shared" si="224"/>
        <v>153.52377260570015</v>
      </c>
      <c r="K564" s="104">
        <f t="shared" si="225"/>
        <v>1.5642826315252112</v>
      </c>
      <c r="L564" s="102">
        <f t="shared" si="226"/>
        <v>6.7698628882964957</v>
      </c>
      <c r="M564" s="103">
        <f t="shared" si="227"/>
        <v>1.4225403371743519</v>
      </c>
      <c r="N564" s="101">
        <f t="shared" si="228"/>
        <v>1.465494699503944</v>
      </c>
      <c r="O564" s="104">
        <f t="shared" si="229"/>
        <v>0.81980545251305104</v>
      </c>
      <c r="P564" s="105">
        <f t="shared" ca="1" si="230"/>
        <v>5.3058731551699783</v>
      </c>
      <c r="Q564" s="106">
        <f t="shared" ca="1" si="231"/>
        <v>1.5427569499724141</v>
      </c>
      <c r="R564" s="107">
        <f t="shared" ca="1" si="232"/>
        <v>-10.953747204272666</v>
      </c>
      <c r="S564" s="108">
        <f t="shared" ca="1" si="233"/>
        <v>-143.85384063607259</v>
      </c>
      <c r="T564" s="116">
        <f t="shared" ca="1" si="234"/>
        <v>36.14615936392741</v>
      </c>
      <c r="V564" s="72">
        <f t="shared" ca="1" si="235"/>
        <v>92263</v>
      </c>
      <c r="W564" s="72">
        <f t="shared" si="236"/>
        <v>8512461169</v>
      </c>
      <c r="Y564" s="110">
        <f t="shared" si="237"/>
        <v>15.261527278524198</v>
      </c>
      <c r="Z564" s="111">
        <f t="shared" si="238"/>
        <v>-55.126064398894954</v>
      </c>
      <c r="AA564" s="72">
        <f t="shared" si="239"/>
        <v>124.87393560110505</v>
      </c>
      <c r="AB564" s="110">
        <f t="shared" ca="1" si="240"/>
        <v>-10.29767413591536</v>
      </c>
      <c r="AC564" s="111">
        <f t="shared" ca="1" si="241"/>
        <v>-88.727776237177679</v>
      </c>
      <c r="AD564" s="72">
        <f t="shared" ca="1" si="242"/>
        <v>91.272223762822321</v>
      </c>
    </row>
    <row r="565" spans="1:30">
      <c r="A565" s="118">
        <v>92794</v>
      </c>
      <c r="B565" s="101">
        <f t="shared" ca="1" si="216"/>
        <v>1518.6853868380826</v>
      </c>
      <c r="C565" s="102">
        <f t="shared" ca="1" si="217"/>
        <v>1.5701378625198537</v>
      </c>
      <c r="D565" s="102">
        <f t="shared" si="218"/>
        <v>154.80085357138489</v>
      </c>
      <c r="E565" s="103">
        <f t="shared" si="219"/>
        <v>1.5643363691645715</v>
      </c>
      <c r="F565" s="101">
        <f t="shared" si="220"/>
        <v>12593.705009031497</v>
      </c>
      <c r="G565" s="104">
        <f t="shared" si="221"/>
        <v>1.5707169220446398</v>
      </c>
      <c r="H565" s="113">
        <f t="shared" si="222"/>
        <v>1515.9675655053888</v>
      </c>
      <c r="I565" s="114">
        <f t="shared" si="223"/>
        <v>1.5701366820272407</v>
      </c>
      <c r="J565" s="101">
        <f t="shared" si="224"/>
        <v>154.40730852369077</v>
      </c>
      <c r="K565" s="104">
        <f t="shared" si="225"/>
        <v>1.5643199041419116</v>
      </c>
      <c r="L565" s="102">
        <f t="shared" si="226"/>
        <v>6.8079776351163925</v>
      </c>
      <c r="M565" s="103">
        <f t="shared" si="227"/>
        <v>1.4233764375729807</v>
      </c>
      <c r="N565" s="101">
        <f t="shared" si="228"/>
        <v>1.470007864840958</v>
      </c>
      <c r="O565" s="104">
        <f t="shared" si="229"/>
        <v>0.82266747497837567</v>
      </c>
      <c r="P565" s="105">
        <f t="shared" ca="1" si="230"/>
        <v>5.3361211645325515</v>
      </c>
      <c r="Q565" s="106">
        <f t="shared" ca="1" si="231"/>
        <v>1.5447581144150098</v>
      </c>
      <c r="R565" s="107">
        <f t="shared" ca="1" si="232"/>
        <v>-11.030913230814971</v>
      </c>
      <c r="S565" s="108">
        <f t="shared" ca="1" si="233"/>
        <v>-144.08460692072842</v>
      </c>
      <c r="T565" s="116">
        <f t="shared" ca="1" si="234"/>
        <v>35.915393079271581</v>
      </c>
      <c r="V565" s="72">
        <f t="shared" ca="1" si="235"/>
        <v>92794</v>
      </c>
      <c r="W565" s="72">
        <f t="shared" si="236"/>
        <v>8610726436</v>
      </c>
      <c r="Y565" s="110">
        <f t="shared" si="237"/>
        <v>15.233739702508881</v>
      </c>
      <c r="Z565" s="111">
        <f t="shared" si="238"/>
        <v>-55.244085410515282</v>
      </c>
      <c r="AA565" s="72">
        <f t="shared" si="239"/>
        <v>124.75591458948472</v>
      </c>
      <c r="AB565" s="110">
        <f t="shared" ca="1" si="240"/>
        <v>-10.347052586442349</v>
      </c>
      <c r="AC565" s="111">
        <f t="shared" ca="1" si="241"/>
        <v>-88.840521510213136</v>
      </c>
      <c r="AD565" s="72">
        <f t="shared" ca="1" si="242"/>
        <v>91.159478489786864</v>
      </c>
    </row>
    <row r="566" spans="1:30">
      <c r="A566" s="118">
        <v>93325</v>
      </c>
      <c r="B566" s="101">
        <f t="shared" ca="1" si="216"/>
        <v>1527.3758365628626</v>
      </c>
      <c r="C566" s="102">
        <f t="shared" ca="1" si="217"/>
        <v>1.5701416090446847</v>
      </c>
      <c r="D566" s="102">
        <f t="shared" si="218"/>
        <v>155.68664179897459</v>
      </c>
      <c r="E566" s="103">
        <f t="shared" si="219"/>
        <v>1.564373123977149</v>
      </c>
      <c r="F566" s="101">
        <f t="shared" si="220"/>
        <v>12665.770630922476</v>
      </c>
      <c r="G566" s="104">
        <f t="shared" si="221"/>
        <v>1.5707173738412881</v>
      </c>
      <c r="H566" s="113">
        <f t="shared" si="222"/>
        <v>1524.6424628910875</v>
      </c>
      <c r="I566" s="114">
        <f t="shared" si="223"/>
        <v>1.5701404352688251</v>
      </c>
      <c r="J566" s="101">
        <f t="shared" si="224"/>
        <v>155.29084465375047</v>
      </c>
      <c r="K566" s="104">
        <f t="shared" si="225"/>
        <v>1.5643567526292999</v>
      </c>
      <c r="L566" s="102">
        <f t="shared" si="226"/>
        <v>6.846097088153031</v>
      </c>
      <c r="M566" s="103">
        <f t="shared" si="227"/>
        <v>1.4242032276362937</v>
      </c>
      <c r="N566" s="101">
        <f t="shared" si="228"/>
        <v>1.4745329974994408</v>
      </c>
      <c r="O566" s="104">
        <f t="shared" si="229"/>
        <v>0.82551195434230018</v>
      </c>
      <c r="P566" s="105">
        <f t="shared" ca="1" si="230"/>
        <v>5.3663889459448058</v>
      </c>
      <c r="Q566" s="106">
        <f t="shared" ca="1" si="231"/>
        <v>1.5467472169267766</v>
      </c>
      <c r="R566" s="107">
        <f t="shared" ca="1" si="232"/>
        <v>-11.107802634061292</v>
      </c>
      <c r="S566" s="108">
        <f t="shared" ca="1" si="233"/>
        <v>-144.31421004959842</v>
      </c>
      <c r="T566" s="116">
        <f t="shared" ca="1" si="234"/>
        <v>35.685789950401585</v>
      </c>
      <c r="V566" s="72">
        <f t="shared" ca="1" si="235"/>
        <v>93325</v>
      </c>
      <c r="W566" s="72">
        <f t="shared" si="236"/>
        <v>8709555625</v>
      </c>
      <c r="Y566" s="110">
        <f t="shared" si="237"/>
        <v>15.205981614740862</v>
      </c>
      <c r="Z566" s="111">
        <f t="shared" si="238"/>
        <v>-55.361612595890946</v>
      </c>
      <c r="AA566" s="72">
        <f t="shared" si="239"/>
        <v>124.63838740410905</v>
      </c>
      <c r="AB566" s="110">
        <f t="shared" ca="1" si="240"/>
        <v>-10.396183901920651</v>
      </c>
      <c r="AC566" s="111">
        <f t="shared" ca="1" si="241"/>
        <v>-88.952597453707497</v>
      </c>
      <c r="AD566" s="72">
        <f t="shared" ca="1" si="242"/>
        <v>91.047402546292503</v>
      </c>
    </row>
    <row r="567" spans="1:30">
      <c r="A567" s="118">
        <v>93868.5</v>
      </c>
      <c r="B567" s="101">
        <f t="shared" ca="1" si="216"/>
        <v>1536.2708637513222</v>
      </c>
      <c r="C567" s="102">
        <f t="shared" ca="1" si="217"/>
        <v>1.5701453998690447</v>
      </c>
      <c r="D567" s="102">
        <f t="shared" si="218"/>
        <v>156.5932821304724</v>
      </c>
      <c r="E567" s="103">
        <f t="shared" si="219"/>
        <v>1.5644103134021872</v>
      </c>
      <c r="F567" s="101">
        <f t="shared" si="220"/>
        <v>12739.532712841787</v>
      </c>
      <c r="G567" s="104">
        <f t="shared" si="221"/>
        <v>1.5707178309800525</v>
      </c>
      <c r="H567" s="113">
        <f t="shared" si="222"/>
        <v>1533.5215716308278</v>
      </c>
      <c r="I567" s="114">
        <f t="shared" si="223"/>
        <v>1.5701442328893589</v>
      </c>
      <c r="J567" s="101">
        <f t="shared" si="224"/>
        <v>156.19517987278843</v>
      </c>
      <c r="K567" s="104">
        <f t="shared" si="225"/>
        <v>1.56439403683691</v>
      </c>
      <c r="L567" s="102">
        <f t="shared" si="226"/>
        <v>6.8851186838947669</v>
      </c>
      <c r="M567" s="103">
        <f t="shared" si="227"/>
        <v>1.4250399993030356</v>
      </c>
      <c r="N567" s="101">
        <f t="shared" si="228"/>
        <v>1.4791769325735546</v>
      </c>
      <c r="O567" s="104">
        <f t="shared" si="229"/>
        <v>0.82840534695228685</v>
      </c>
      <c r="P567" s="105">
        <f t="shared" ca="1" si="230"/>
        <v>5.3973896975908842</v>
      </c>
      <c r="Q567" s="106">
        <f t="shared" ca="1" si="231"/>
        <v>1.5487708498354973</v>
      </c>
      <c r="R567" s="107">
        <f t="shared" ca="1" si="232"/>
        <v>-11.186217851467573</v>
      </c>
      <c r="S567" s="108">
        <f t="shared" ca="1" si="233"/>
        <v>-144.54802260829641</v>
      </c>
      <c r="T567" s="116">
        <f t="shared" ca="1" si="234"/>
        <v>35.451977391703593</v>
      </c>
      <c r="V567" s="72">
        <f t="shared" ca="1" si="235"/>
        <v>93868.5</v>
      </c>
      <c r="W567" s="72">
        <f t="shared" si="236"/>
        <v>8811295292.25</v>
      </c>
      <c r="Y567" s="110">
        <f t="shared" si="237"/>
        <v>15.177601032877217</v>
      </c>
      <c r="Z567" s="111">
        <f t="shared" si="238"/>
        <v>-55.48139312836561</v>
      </c>
      <c r="AA567" s="72">
        <f t="shared" si="239"/>
        <v>124.51860687163439</v>
      </c>
      <c r="AB567" s="110">
        <f t="shared" ca="1" si="240"/>
        <v>-10.446218537463285</v>
      </c>
      <c r="AC567" s="111">
        <f t="shared" ca="1" si="241"/>
        <v>-89.066629479930768</v>
      </c>
      <c r="AD567" s="72">
        <f t="shared" ca="1" si="242"/>
        <v>90.933370520069232</v>
      </c>
    </row>
    <row r="568" spans="1:30">
      <c r="A568" s="118">
        <v>94412</v>
      </c>
      <c r="B568" s="101">
        <f t="shared" ca="1" si="216"/>
        <v>1545.1658909616044</v>
      </c>
      <c r="C568" s="102">
        <f t="shared" ca="1" si="217"/>
        <v>1.5701491470482711</v>
      </c>
      <c r="D568" s="102">
        <f t="shared" si="218"/>
        <v>157.49992267605367</v>
      </c>
      <c r="E568" s="103">
        <f t="shared" si="219"/>
        <v>1.5644470746690897</v>
      </c>
      <c r="F568" s="101">
        <f t="shared" si="220"/>
        <v>12813.294794763731</v>
      </c>
      <c r="G568" s="104">
        <f t="shared" si="221"/>
        <v>1.5707182828556108</v>
      </c>
      <c r="H568" s="113">
        <f t="shared" si="222"/>
        <v>1542.4006803924301</v>
      </c>
      <c r="I568" s="114">
        <f t="shared" si="223"/>
        <v>1.5701479867865125</v>
      </c>
      <c r="J568" s="101">
        <f t="shared" si="224"/>
        <v>157.0995153064554</v>
      </c>
      <c r="K568" s="104">
        <f t="shared" si="225"/>
        <v>1.5644308917952512</v>
      </c>
      <c r="L568" s="102">
        <f t="shared" si="226"/>
        <v>6.9241450461670961</v>
      </c>
      <c r="M568" s="103">
        <f t="shared" si="227"/>
        <v>1.4258673389988317</v>
      </c>
      <c r="N568" s="101">
        <f t="shared" si="228"/>
        <v>1.4838331733322399</v>
      </c>
      <c r="O568" s="104">
        <f t="shared" si="229"/>
        <v>0.83128060468370535</v>
      </c>
      <c r="P568" s="105">
        <f t="shared" ca="1" si="230"/>
        <v>5.4284111168876583</v>
      </c>
      <c r="Q568" s="106">
        <f t="shared" ca="1" si="231"/>
        <v>1.5507822423236113</v>
      </c>
      <c r="R568" s="107">
        <f t="shared" ca="1" si="232"/>
        <v>-11.264347839950501</v>
      </c>
      <c r="S568" s="108">
        <f t="shared" ca="1" si="233"/>
        <v>-144.78063484308274</v>
      </c>
      <c r="T568" s="116">
        <f t="shared" ca="1" si="234"/>
        <v>35.219365156917263</v>
      </c>
      <c r="V568" s="72">
        <f t="shared" ca="1" si="235"/>
        <v>94412</v>
      </c>
      <c r="W568" s="72">
        <f t="shared" si="236"/>
        <v>8913625744</v>
      </c>
      <c r="Y568" s="110">
        <f t="shared" si="237"/>
        <v>15.14925216597968</v>
      </c>
      <c r="Z568" s="111">
        <f t="shared" si="238"/>
        <v>-55.600652630397548</v>
      </c>
      <c r="AA568" s="72">
        <f t="shared" si="239"/>
        <v>124.39934736960245</v>
      </c>
      <c r="AB568" s="110">
        <f t="shared" ca="1" si="240"/>
        <v>-10.495999659048676</v>
      </c>
      <c r="AC568" s="111">
        <f t="shared" ca="1" si="241"/>
        <v>-89.179982212685232</v>
      </c>
      <c r="AD568" s="72">
        <f t="shared" ca="1" si="242"/>
        <v>90.820017787314768</v>
      </c>
    </row>
    <row r="569" spans="1:30">
      <c r="A569" s="118">
        <v>94955.5</v>
      </c>
      <c r="B569" s="101">
        <f t="shared" ca="1" si="216"/>
        <v>1554.0609181933344</v>
      </c>
      <c r="C569" s="102">
        <f t="shared" ca="1" si="217"/>
        <v>1.570152851331803</v>
      </c>
      <c r="D569" s="102">
        <f t="shared" si="218"/>
        <v>158.40656343204245</v>
      </c>
      <c r="E569" s="103">
        <f t="shared" si="219"/>
        <v>1.5644834151294518</v>
      </c>
      <c r="F569" s="101">
        <f t="shared" si="220"/>
        <v>12887.056876688259</v>
      </c>
      <c r="G569" s="104">
        <f t="shared" si="221"/>
        <v>1.570718729558338</v>
      </c>
      <c r="H569" s="113">
        <f t="shared" si="222"/>
        <v>1551.2797891755185</v>
      </c>
      <c r="I569" s="114">
        <f t="shared" si="223"/>
        <v>1.5701516977110681</v>
      </c>
      <c r="J569" s="101">
        <f t="shared" si="224"/>
        <v>158.00385095106611</v>
      </c>
      <c r="K569" s="104">
        <f t="shared" si="225"/>
        <v>1.5644673248746515</v>
      </c>
      <c r="L569" s="102">
        <f t="shared" si="226"/>
        <v>6.9631760948254096</v>
      </c>
      <c r="M569" s="103">
        <f t="shared" si="227"/>
        <v>1.4266854041899735</v>
      </c>
      <c r="N569" s="101">
        <f t="shared" si="228"/>
        <v>1.4885016042938046</v>
      </c>
      <c r="O569" s="104">
        <f t="shared" si="229"/>
        <v>0.8341378504038709</v>
      </c>
      <c r="P569" s="105">
        <f t="shared" ca="1" si="230"/>
        <v>5.4594531837301412</v>
      </c>
      <c r="Q569" s="106">
        <f t="shared" ca="1" si="231"/>
        <v>1.5527815882829605</v>
      </c>
      <c r="R569" s="107">
        <f t="shared" ca="1" si="232"/>
        <v>-11.34219486020919</v>
      </c>
      <c r="S569" s="108">
        <f t="shared" ca="1" si="233"/>
        <v>-145.01205588694111</v>
      </c>
      <c r="T569" s="116">
        <f t="shared" ca="1" si="234"/>
        <v>34.987944113058887</v>
      </c>
      <c r="V569" s="72">
        <f t="shared" ca="1" si="235"/>
        <v>94955.5</v>
      </c>
      <c r="W569" s="72">
        <f t="shared" si="236"/>
        <v>9016546980.25</v>
      </c>
      <c r="Y569" s="110">
        <f t="shared" si="237"/>
        <v>15.120935422022548</v>
      </c>
      <c r="Z569" s="111">
        <f t="shared" si="238"/>
        <v>-55.719389504061709</v>
      </c>
      <c r="AA569" s="72">
        <f t="shared" si="239"/>
        <v>124.28061049593829</v>
      </c>
      <c r="AB569" s="110">
        <f t="shared" ca="1" si="240"/>
        <v>-10.545529935350233</v>
      </c>
      <c r="AC569" s="111">
        <f t="shared" ca="1" si="241"/>
        <v>-89.292666382879432</v>
      </c>
      <c r="AD569" s="72">
        <f t="shared" ca="1" si="242"/>
        <v>90.707333617120568</v>
      </c>
    </row>
    <row r="570" spans="1:30">
      <c r="A570" s="118">
        <v>95499</v>
      </c>
      <c r="B570" s="101">
        <f t="shared" ca="1" si="216"/>
        <v>1562.9559454461462</v>
      </c>
      <c r="C570" s="102">
        <f t="shared" ca="1" si="217"/>
        <v>1.5701565134520186</v>
      </c>
      <c r="D570" s="102">
        <f t="shared" si="218"/>
        <v>159.31320439484648</v>
      </c>
      <c r="E570" s="103">
        <f t="shared" si="219"/>
        <v>1.5645193419675238</v>
      </c>
      <c r="F570" s="101">
        <f t="shared" si="220"/>
        <v>12960.818958615329</v>
      </c>
      <c r="G570" s="104">
        <f t="shared" si="221"/>
        <v>1.5707191711765529</v>
      </c>
      <c r="H570" s="113">
        <f t="shared" si="222"/>
        <v>1560.1588979797268</v>
      </c>
      <c r="I570" s="114">
        <f t="shared" si="223"/>
        <v>1.5701553663967176</v>
      </c>
      <c r="J570" s="101">
        <f t="shared" si="224"/>
        <v>158.90818680301919</v>
      </c>
      <c r="K570" s="104">
        <f t="shared" si="225"/>
        <v>1.564503343277668</v>
      </c>
      <c r="L570" s="102">
        <f t="shared" si="226"/>
        <v>7.0022117515025117</v>
      </c>
      <c r="M570" s="103">
        <f t="shared" si="227"/>
        <v>1.4274943488816931</v>
      </c>
      <c r="N570" s="101">
        <f t="shared" si="228"/>
        <v>1.4931821111203165</v>
      </c>
      <c r="O570" s="104">
        <f t="shared" si="229"/>
        <v>0.83697720662194908</v>
      </c>
      <c r="P570" s="105">
        <f t="shared" ca="1" si="230"/>
        <v>5.4905158801420013</v>
      </c>
      <c r="Q570" s="106">
        <f t="shared" ca="1" si="231"/>
        <v>1.5547690774165326</v>
      </c>
      <c r="R570" s="107">
        <f t="shared" ca="1" si="232"/>
        <v>-11.419761139401004</v>
      </c>
      <c r="S570" s="108">
        <f t="shared" ca="1" si="233"/>
        <v>-145.24229481049409</v>
      </c>
      <c r="T570" s="116">
        <f t="shared" ca="1" si="234"/>
        <v>34.757705189505913</v>
      </c>
      <c r="V570" s="72">
        <f t="shared" ca="1" si="235"/>
        <v>95499</v>
      </c>
      <c r="W570" s="72">
        <f t="shared" si="236"/>
        <v>9120059001</v>
      </c>
      <c r="Y570" s="110">
        <f t="shared" si="237"/>
        <v>15.092651203522342</v>
      </c>
      <c r="Z570" s="111">
        <f t="shared" si="238"/>
        <v>-55.83760232046528</v>
      </c>
      <c r="AA570" s="72">
        <f t="shared" si="239"/>
        <v>124.16239767953472</v>
      </c>
      <c r="AB570" s="110">
        <f t="shared" ca="1" si="240"/>
        <v>-10.594811996041837</v>
      </c>
      <c r="AC570" s="111">
        <f t="shared" ca="1" si="241"/>
        <v>-89.404692490028864</v>
      </c>
      <c r="AD570" s="72">
        <f t="shared" ca="1" si="242"/>
        <v>90.595307509971136</v>
      </c>
    </row>
    <row r="571" spans="1:30">
      <c r="A571" s="118">
        <v>96611.5</v>
      </c>
      <c r="B571" s="101">
        <f t="shared" ca="1" si="216"/>
        <v>1581.1633380011967</v>
      </c>
      <c r="C571" s="102">
        <f t="shared" ca="1" si="217"/>
        <v>1.570163881023716</v>
      </c>
      <c r="D571" s="102">
        <f t="shared" si="218"/>
        <v>161.16902484316324</v>
      </c>
      <c r="E571" s="103">
        <f t="shared" si="219"/>
        <v>1.5645916207889004</v>
      </c>
      <c r="F571" s="101">
        <f t="shared" si="220"/>
        <v>13111.803900930097</v>
      </c>
      <c r="G571" s="104">
        <f t="shared" si="221"/>
        <v>1.5707200596383311</v>
      </c>
      <c r="H571" s="113">
        <f t="shared" si="222"/>
        <v>1578.333706773951</v>
      </c>
      <c r="I571" s="114">
        <f t="shared" si="223"/>
        <v>1.5701627471769666</v>
      </c>
      <c r="J571" s="101">
        <f t="shared" si="224"/>
        <v>160.75928887976522</v>
      </c>
      <c r="K571" s="104">
        <f t="shared" si="225"/>
        <v>1.5645758063127311</v>
      </c>
      <c r="L571" s="102">
        <f t="shared" si="226"/>
        <v>7.0821285936969174</v>
      </c>
      <c r="M571" s="103">
        <f t="shared" si="227"/>
        <v>1.4291223811757772</v>
      </c>
      <c r="N571" s="101">
        <f t="shared" si="228"/>
        <v>1.5027999077362506</v>
      </c>
      <c r="O571" s="104">
        <f t="shared" si="229"/>
        <v>0.84273386311177589</v>
      </c>
      <c r="P571" s="105">
        <f t="shared" ca="1" si="230"/>
        <v>5.5541629428517068</v>
      </c>
      <c r="Q571" s="106">
        <f t="shared" ca="1" si="231"/>
        <v>1.5588011071484731</v>
      </c>
      <c r="R571" s="107">
        <f t="shared" ca="1" si="232"/>
        <v>-11.577666696345322</v>
      </c>
      <c r="S571" s="108">
        <f t="shared" ca="1" si="233"/>
        <v>-145.7099265421343</v>
      </c>
      <c r="T571" s="116">
        <f t="shared" ca="1" si="234"/>
        <v>34.290073457865702</v>
      </c>
      <c r="V571" s="72">
        <f t="shared" ca="1" si="235"/>
        <v>96611.5</v>
      </c>
      <c r="W571" s="72">
        <f t="shared" si="236"/>
        <v>9333781932.25</v>
      </c>
      <c r="Y571" s="110">
        <f t="shared" si="237"/>
        <v>15.034858814786723</v>
      </c>
      <c r="Z571" s="111">
        <f t="shared" si="238"/>
        <v>-56.077934905983717</v>
      </c>
      <c r="AA571" s="72">
        <f t="shared" si="239"/>
        <v>123.92206509401629</v>
      </c>
      <c r="AB571" s="110">
        <f t="shared" ca="1" si="240"/>
        <v>-10.694925164250543</v>
      </c>
      <c r="AC571" s="111">
        <f t="shared" ca="1" si="241"/>
        <v>-89.631991636150531</v>
      </c>
      <c r="AD571" s="72">
        <f t="shared" ca="1" si="242"/>
        <v>90.368008363849469</v>
      </c>
    </row>
    <row r="572" spans="1:30">
      <c r="A572" s="118">
        <v>97724</v>
      </c>
      <c r="B572" s="101">
        <f t="shared" ca="1" si="216"/>
        <v>1599.3707306401202</v>
      </c>
      <c r="C572" s="102">
        <f t="shared" ca="1" si="217"/>
        <v>1.5701710808491018</v>
      </c>
      <c r="D572" s="102">
        <f t="shared" si="218"/>
        <v>163.02484611429406</v>
      </c>
      <c r="E572" s="103">
        <f t="shared" si="219"/>
        <v>1.5646622540139419</v>
      </c>
      <c r="F572" s="101">
        <f t="shared" si="220"/>
        <v>13262.788843254983</v>
      </c>
      <c r="G572" s="104">
        <f t="shared" si="221"/>
        <v>1.57072092787143</v>
      </c>
      <c r="H572" s="113">
        <f t="shared" si="222"/>
        <v>1596.5085156521986</v>
      </c>
      <c r="I572" s="114">
        <f t="shared" si="223"/>
        <v>1.5701699599101695</v>
      </c>
      <c r="J572" s="101">
        <f t="shared" si="224"/>
        <v>162.61039178142227</v>
      </c>
      <c r="K572" s="104">
        <f t="shared" si="225"/>
        <v>1.5646466195577242</v>
      </c>
      <c r="L572" s="102">
        <f t="shared" si="226"/>
        <v>7.1620637880584184</v>
      </c>
      <c r="M572" s="103">
        <f t="shared" si="227"/>
        <v>1.4307140769462312</v>
      </c>
      <c r="N572" s="101">
        <f t="shared" si="228"/>
        <v>1.51246687144809</v>
      </c>
      <c r="O572" s="104">
        <f t="shared" si="229"/>
        <v>0.84841711836169931</v>
      </c>
      <c r="P572" s="105">
        <f t="shared" ca="1" si="230"/>
        <v>5.6178962659381328</v>
      </c>
      <c r="Q572" s="106">
        <f t="shared" ca="1" si="231"/>
        <v>1.5627857723877205</v>
      </c>
      <c r="R572" s="107">
        <f t="shared" ca="1" si="232"/>
        <v>-11.734423551383649</v>
      </c>
      <c r="S572" s="108">
        <f t="shared" ca="1" si="233"/>
        <v>-146.17271945435701</v>
      </c>
      <c r="T572" s="116">
        <f t="shared" ca="1" si="234"/>
        <v>33.827280545642992</v>
      </c>
      <c r="V572" s="72">
        <f t="shared" ca="1" si="235"/>
        <v>97724</v>
      </c>
      <c r="W572" s="72">
        <f t="shared" si="236"/>
        <v>9549980176</v>
      </c>
      <c r="Y572" s="110">
        <f t="shared" si="237"/>
        <v>14.977207689363103</v>
      </c>
      <c r="Z572" s="111">
        <f t="shared" si="238"/>
        <v>-56.316057783048826</v>
      </c>
      <c r="AA572" s="72">
        <f t="shared" si="239"/>
        <v>123.68394221695118</v>
      </c>
      <c r="AB572" s="110">
        <f t="shared" ca="1" si="240"/>
        <v>-10.794030893865251</v>
      </c>
      <c r="AC572" s="111">
        <f t="shared" ca="1" si="241"/>
        <v>-89.856661671308174</v>
      </c>
      <c r="AD572" s="72">
        <f t="shared" ca="1" si="242"/>
        <v>90.143338328691826</v>
      </c>
    </row>
    <row r="573" spans="1:30">
      <c r="A573" s="118">
        <v>98862</v>
      </c>
      <c r="B573" s="101">
        <f t="shared" ca="1" si="216"/>
        <v>1617.9954613514483</v>
      </c>
      <c r="C573" s="102">
        <f t="shared" ca="1" si="217"/>
        <v>1.5701782780502922</v>
      </c>
      <c r="D573" s="102">
        <f t="shared" si="218"/>
        <v>164.9232061335519</v>
      </c>
      <c r="E573" s="103">
        <f t="shared" si="219"/>
        <v>1.5647328615550911</v>
      </c>
      <c r="F573" s="101">
        <f t="shared" si="220"/>
        <v>13417.234564043263</v>
      </c>
      <c r="G573" s="104">
        <f t="shared" si="221"/>
        <v>1.570721795788067</v>
      </c>
      <c r="H573" s="113">
        <f t="shared" si="222"/>
        <v>1615.0999157392732</v>
      </c>
      <c r="I573" s="114">
        <f t="shared" si="223"/>
        <v>1.5701771700144724</v>
      </c>
      <c r="J573" s="101">
        <f t="shared" si="224"/>
        <v>164.50392528191199</v>
      </c>
      <c r="K573" s="104">
        <f t="shared" si="225"/>
        <v>1.5647174070536785</v>
      </c>
      <c r="L573" s="102">
        <f t="shared" si="226"/>
        <v>7.2438495594302266</v>
      </c>
      <c r="M573" s="103">
        <f t="shared" si="227"/>
        <v>1.4323059069657593</v>
      </c>
      <c r="N573" s="101">
        <f t="shared" si="228"/>
        <v>1.522405308994695</v>
      </c>
      <c r="O573" s="104">
        <f t="shared" si="229"/>
        <v>0.85415577605211357</v>
      </c>
      <c r="P573" s="105">
        <f t="shared" ca="1" si="230"/>
        <v>5.6831796113431272</v>
      </c>
      <c r="Q573" s="106">
        <f t="shared" ca="1" si="231"/>
        <v>1.5668143031823172</v>
      </c>
      <c r="R573" s="107">
        <f t="shared" ca="1" si="232"/>
        <v>-11.893603620226159</v>
      </c>
      <c r="S573" s="108">
        <f t="shared" ca="1" si="233"/>
        <v>-146.64119229028822</v>
      </c>
      <c r="T573" s="116">
        <f t="shared" ca="1" si="234"/>
        <v>33.358807709711783</v>
      </c>
      <c r="V573" s="72">
        <f t="shared" ca="1" si="235"/>
        <v>98862</v>
      </c>
      <c r="W573" s="72">
        <f t="shared" si="236"/>
        <v>9773695044</v>
      </c>
      <c r="Y573" s="110">
        <f t="shared" si="237"/>
        <v>14.918384641862676</v>
      </c>
      <c r="Z573" s="111">
        <f t="shared" si="238"/>
        <v>-56.557345951408728</v>
      </c>
      <c r="AA573" s="72">
        <f t="shared" si="239"/>
        <v>123.44265404859127</v>
      </c>
      <c r="AB573" s="110">
        <f t="shared" ca="1" si="240"/>
        <v>-10.894387915207332</v>
      </c>
      <c r="AC573" s="111">
        <f t="shared" ca="1" si="241"/>
        <v>-90.083846338879511</v>
      </c>
      <c r="AD573" s="72">
        <f t="shared" ca="1" si="242"/>
        <v>89.916153661120489</v>
      </c>
    </row>
    <row r="574" spans="1:30">
      <c r="A574" s="118">
        <v>100000</v>
      </c>
      <c r="B574" s="101">
        <f t="shared" ca="1" si="216"/>
        <v>1636.6201921446805</v>
      </c>
      <c r="C574" s="102">
        <f t="shared" ca="1" si="217"/>
        <v>1.5701853114432451</v>
      </c>
      <c r="D574" s="102">
        <f t="shared" si="218"/>
        <v>166.82156695630914</v>
      </c>
      <c r="E574" s="103">
        <f t="shared" si="219"/>
        <v>1.5648018621270192</v>
      </c>
      <c r="F574" s="101">
        <f t="shared" si="220"/>
        <v>13571.680284841423</v>
      </c>
      <c r="G574" s="104">
        <f t="shared" si="221"/>
        <v>1.5707226439509216</v>
      </c>
      <c r="H574" s="113">
        <f t="shared" si="222"/>
        <v>1633.6913159083988</v>
      </c>
      <c r="I574" s="114">
        <f t="shared" si="223"/>
        <v>1.5701842160168635</v>
      </c>
      <c r="J574" s="101">
        <f t="shared" si="224"/>
        <v>166.39745958794887</v>
      </c>
      <c r="K574" s="104">
        <f t="shared" si="225"/>
        <v>1.564786583485088</v>
      </c>
      <c r="L574" s="102">
        <f t="shared" si="226"/>
        <v>7.3256532762816038</v>
      </c>
      <c r="M574" s="103">
        <f t="shared" si="227"/>
        <v>1.4338621897294936</v>
      </c>
      <c r="N574" s="101">
        <f t="shared" si="228"/>
        <v>1.5323932314069919</v>
      </c>
      <c r="O574" s="104">
        <f t="shared" si="229"/>
        <v>0.85981981073624869</v>
      </c>
      <c r="P574" s="105">
        <f t="shared" ca="1" si="230"/>
        <v>5.7485530878392783</v>
      </c>
      <c r="Q574" s="106" t="e">
        <f t="shared" ca="1" si="231"/>
        <v>#DIV/0!</v>
      </c>
      <c r="R574" s="107">
        <f t="shared" ca="1" si="232"/>
        <v>-12.051619012313918</v>
      </c>
      <c r="S574" s="108" t="e">
        <f t="shared" ca="1" si="233"/>
        <v>#DIV/0!</v>
      </c>
      <c r="T574" s="116" t="e">
        <f t="shared" ca="1" si="234"/>
        <v>#DIV/0!</v>
      </c>
      <c r="V574" s="72">
        <f t="shared" ca="1" si="235"/>
        <v>100000</v>
      </c>
      <c r="W574" s="72">
        <f t="shared" si="236"/>
        <v>10000000000</v>
      </c>
      <c r="Y574" s="110">
        <f t="shared" si="237"/>
        <v>14.859716119755008</v>
      </c>
      <c r="Z574" s="111">
        <f t="shared" si="238"/>
        <v>-56.796311207521498</v>
      </c>
      <c r="AA574" s="72">
        <f t="shared" si="239"/>
        <v>123.2036887924785</v>
      </c>
      <c r="AB574" s="110">
        <f t="shared" ca="1" si="240"/>
        <v>-10.993734785187419</v>
      </c>
      <c r="AC574" s="111" t="e">
        <f t="shared" ca="1" si="241"/>
        <v>#DIV/0!</v>
      </c>
      <c r="AD574" s="72" t="e">
        <f t="shared" ca="1" si="242"/>
        <v>#DIV/0!</v>
      </c>
    </row>
    <row r="575" spans="1:30">
      <c r="A575" s="118">
        <v>101165</v>
      </c>
      <c r="B575" s="101">
        <f t="shared" ca="1" si="216"/>
        <v>1655.6868103058243</v>
      </c>
      <c r="C575" s="102">
        <f t="shared" ca="1" si="217"/>
        <v>1.5701923477968314</v>
      </c>
      <c r="D575" s="102">
        <f t="shared" si="218"/>
        <v>168.76496877834563</v>
      </c>
      <c r="E575" s="103">
        <f t="shared" si="219"/>
        <v>1.5648708918005405</v>
      </c>
      <c r="F575" s="101">
        <f t="shared" si="220"/>
        <v>13729.790359306364</v>
      </c>
      <c r="G575" s="104">
        <f t="shared" si="221"/>
        <v>1.5707234924707945</v>
      </c>
      <c r="H575" s="113">
        <f t="shared" si="222"/>
        <v>1652.7238126487018</v>
      </c>
      <c r="I575" s="114">
        <f t="shared" si="223"/>
        <v>1.5701912649851959</v>
      </c>
      <c r="J575" s="101">
        <f t="shared" si="224"/>
        <v>168.33592038217574</v>
      </c>
      <c r="K575" s="104">
        <f t="shared" si="225"/>
        <v>1.5648557890925536</v>
      </c>
      <c r="L575" s="102">
        <f t="shared" si="226"/>
        <v>7.4094158232201632</v>
      </c>
      <c r="M575" s="103">
        <f t="shared" si="227"/>
        <v>1.4354197957779824</v>
      </c>
      <c r="N575" s="101">
        <f t="shared" si="228"/>
        <v>1.5426683819730878</v>
      </c>
      <c r="O575" s="104">
        <f t="shared" si="229"/>
        <v>0.86554206730980365</v>
      </c>
      <c r="P575" s="105">
        <f t="shared" ca="1" si="230"/>
        <v>5.8155709524129433</v>
      </c>
      <c r="Q575" s="106">
        <f t="shared" ca="1" si="231"/>
        <v>1.5748261608598351</v>
      </c>
      <c r="R575" s="107">
        <f t="shared" ca="1" si="232"/>
        <v>-12.212195847449831</v>
      </c>
      <c r="S575" s="108">
        <f t="shared" ca="1" si="233"/>
        <v>-147.57432759269344</v>
      </c>
      <c r="T575" s="116">
        <f t="shared" ca="1" si="234"/>
        <v>32.425672407306564</v>
      </c>
      <c r="V575" s="72">
        <f t="shared" ca="1" si="235"/>
        <v>101165</v>
      </c>
      <c r="W575" s="72">
        <f t="shared" si="236"/>
        <v>10234357225</v>
      </c>
      <c r="Y575" s="110">
        <f t="shared" si="237"/>
        <v>14.799819066011787</v>
      </c>
      <c r="Z575" s="111">
        <f t="shared" si="238"/>
        <v>-57.038538035730134</v>
      </c>
      <c r="AA575" s="72">
        <f t="shared" si="239"/>
        <v>122.96146196426986</v>
      </c>
      <c r="AB575" s="110">
        <f t="shared" ca="1" si="240"/>
        <v>-11.094414566580117</v>
      </c>
      <c r="AC575" s="111">
        <f t="shared" ca="1" si="241"/>
        <v>-90.535789556963294</v>
      </c>
      <c r="AD575" s="72">
        <f t="shared" ca="1" si="242"/>
        <v>89.464210443036706</v>
      </c>
    </row>
    <row r="576" spans="1:30">
      <c r="A576" s="118">
        <v>102330</v>
      </c>
      <c r="B576" s="101">
        <f t="shared" ca="1" si="216"/>
        <v>1674.7534285470754</v>
      </c>
      <c r="C576" s="102">
        <f t="shared" ca="1" si="217"/>
        <v>1.5701992239364242</v>
      </c>
      <c r="D576" s="102">
        <f t="shared" si="218"/>
        <v>170.70837138625319</v>
      </c>
      <c r="E576" s="103">
        <f t="shared" si="219"/>
        <v>1.5649383497594527</v>
      </c>
      <c r="F576" s="101">
        <f t="shared" si="220"/>
        <v>13887.900433780964</v>
      </c>
      <c r="G576" s="104">
        <f t="shared" si="221"/>
        <v>1.5707243216703184</v>
      </c>
      <c r="H576" s="113">
        <f t="shared" si="222"/>
        <v>1671.7563094692555</v>
      </c>
      <c r="I576" s="114">
        <f t="shared" si="223"/>
        <v>1.5701981534523042</v>
      </c>
      <c r="J576" s="101">
        <f t="shared" si="224"/>
        <v>170.27438196427659</v>
      </c>
      <c r="K576" s="104">
        <f t="shared" si="225"/>
        <v>1.5649234189799053</v>
      </c>
      <c r="L576" s="102">
        <f t="shared" si="226"/>
        <v>7.4931959444941061</v>
      </c>
      <c r="M576" s="103">
        <f t="shared" si="227"/>
        <v>1.4369425748074873</v>
      </c>
      <c r="N576" s="101">
        <f t="shared" si="228"/>
        <v>1.5529933766253232</v>
      </c>
      <c r="O576" s="104">
        <f t="shared" si="229"/>
        <v>0.87118841848716233</v>
      </c>
      <c r="P576" s="105">
        <f t="shared" ca="1" si="230"/>
        <v>5.8826832756375467</v>
      </c>
      <c r="Q576" s="106">
        <f t="shared" ca="1" si="231"/>
        <v>1.578810253842247</v>
      </c>
      <c r="R576" s="107">
        <f t="shared" ca="1" si="232"/>
        <v>-12.371589834783471</v>
      </c>
      <c r="S576" s="108">
        <f t="shared" ca="1" si="233"/>
        <v>-148.03891924098639</v>
      </c>
      <c r="T576" s="116">
        <f t="shared" ca="1" si="234"/>
        <v>31.961080759013612</v>
      </c>
      <c r="V576" s="72">
        <f t="shared" ca="1" si="235"/>
        <v>102330</v>
      </c>
      <c r="W576" s="72">
        <f t="shared" si="236"/>
        <v>10471428900</v>
      </c>
      <c r="Y576" s="110">
        <f t="shared" si="237"/>
        <v>14.740090652592324</v>
      </c>
      <c r="Z576" s="111">
        <f t="shared" si="238"/>
        <v>-57.278329053248484</v>
      </c>
      <c r="AA576" s="72">
        <f t="shared" si="239"/>
        <v>122.72167094675152</v>
      </c>
      <c r="AB576" s="110">
        <f t="shared" ca="1" si="240"/>
        <v>-11.194080140494293</v>
      </c>
      <c r="AC576" s="111">
        <f t="shared" ca="1" si="241"/>
        <v>-90.760590187737833</v>
      </c>
      <c r="AD576" s="72">
        <f t="shared" ca="1" si="242"/>
        <v>89.239409812262167</v>
      </c>
    </row>
    <row r="577" spans="1:30">
      <c r="A577" s="118">
        <v>103520</v>
      </c>
      <c r="B577" s="101">
        <f t="shared" ca="1" si="216"/>
        <v>1694.2292017660989</v>
      </c>
      <c r="C577" s="102">
        <f t="shared" ca="1" si="217"/>
        <v>1.5702060878490556</v>
      </c>
      <c r="D577" s="102">
        <f t="shared" si="218"/>
        <v>172.69347869654635</v>
      </c>
      <c r="E577" s="103">
        <f t="shared" si="219"/>
        <v>1.5650056878191057</v>
      </c>
      <c r="F577" s="101">
        <f t="shared" si="220"/>
        <v>14049.403428318301</v>
      </c>
      <c r="G577" s="104">
        <f t="shared" si="221"/>
        <v>1.570725149395376</v>
      </c>
      <c r="H577" s="113">
        <f t="shared" si="222"/>
        <v>1691.1972290483966</v>
      </c>
      <c r="I577" s="114">
        <f t="shared" si="223"/>
        <v>1.5702050296705305</v>
      </c>
      <c r="J577" s="101">
        <f t="shared" si="224"/>
        <v>172.25444222016372</v>
      </c>
      <c r="K577" s="104">
        <f t="shared" si="225"/>
        <v>1.5649909286626855</v>
      </c>
      <c r="L577" s="102">
        <f t="shared" si="226"/>
        <v>7.5787914604984241</v>
      </c>
      <c r="M577" s="103">
        <f t="shared" si="227"/>
        <v>1.4384632691645127</v>
      </c>
      <c r="N577" s="101">
        <f t="shared" si="228"/>
        <v>1.5635903709233219</v>
      </c>
      <c r="O577" s="104">
        <f t="shared" si="229"/>
        <v>0.87687876284634414</v>
      </c>
      <c r="P577" s="105">
        <f t="shared" ca="1" si="230"/>
        <v>5.9513333488101683</v>
      </c>
      <c r="Q577" s="106">
        <f t="shared" ca="1" si="231"/>
        <v>1.5828340948053576</v>
      </c>
      <c r="R577" s="107">
        <f t="shared" ca="1" si="232"/>
        <v>-12.533202127707437</v>
      </c>
      <c r="S577" s="108">
        <f t="shared" ca="1" si="233"/>
        <v>-148.50842824668575</v>
      </c>
      <c r="T577" s="116">
        <f t="shared" ca="1" si="234"/>
        <v>31.491571753314247</v>
      </c>
      <c r="V577" s="72">
        <f t="shared" ca="1" si="235"/>
        <v>103520</v>
      </c>
      <c r="W577" s="72">
        <f t="shared" si="236"/>
        <v>10716390400</v>
      </c>
      <c r="Y577" s="110">
        <f t="shared" si="237"/>
        <v>14.679257936836105</v>
      </c>
      <c r="Z577" s="111">
        <f t="shared" si="238"/>
        <v>-57.520753867464407</v>
      </c>
      <c r="AA577" s="72">
        <f t="shared" si="239"/>
        <v>122.47924613253559</v>
      </c>
      <c r="AB577" s="110">
        <f t="shared" ca="1" si="240"/>
        <v>-11.294859717662035</v>
      </c>
      <c r="AC577" s="111">
        <f t="shared" ca="1" si="241"/>
        <v>-90.987674379221417</v>
      </c>
      <c r="AD577" s="72">
        <f t="shared" ca="1" si="242"/>
        <v>89.012325620778583</v>
      </c>
    </row>
    <row r="578" spans="1:30">
      <c r="A578" s="118">
        <v>104710</v>
      </c>
      <c r="B578" s="101">
        <f t="shared" ca="1" si="216"/>
        <v>1713.7049750631288</v>
      </c>
      <c r="C578" s="102">
        <f t="shared" ca="1" si="217"/>
        <v>1.5702127957488281</v>
      </c>
      <c r="D578" s="102">
        <f t="shared" si="218"/>
        <v>174.67858677210523</v>
      </c>
      <c r="E578" s="103">
        <f t="shared" si="219"/>
        <v>1.5650714953728975</v>
      </c>
      <c r="F578" s="101">
        <f t="shared" si="220"/>
        <v>14210.906422865046</v>
      </c>
      <c r="G578" s="104">
        <f t="shared" si="221"/>
        <v>1.5707259583067039</v>
      </c>
      <c r="H578" s="113">
        <f t="shared" si="222"/>
        <v>1710.6381487056842</v>
      </c>
      <c r="I578" s="114">
        <f t="shared" si="223"/>
        <v>1.5702117495961994</v>
      </c>
      <c r="J578" s="101">
        <f t="shared" si="224"/>
        <v>174.23450324326703</v>
      </c>
      <c r="K578" s="104">
        <f t="shared" si="225"/>
        <v>1.5650569039390956</v>
      </c>
      <c r="L578" s="102">
        <f t="shared" si="226"/>
        <v>7.664404111061371</v>
      </c>
      <c r="M578" s="103">
        <f t="shared" si="227"/>
        <v>1.4399499940852949</v>
      </c>
      <c r="N578" s="101">
        <f t="shared" si="228"/>
        <v>1.5742373117379584</v>
      </c>
      <c r="O578" s="104">
        <f t="shared" si="229"/>
        <v>0.8824923166327745</v>
      </c>
      <c r="P578" s="105">
        <f t="shared" ca="1" si="230"/>
        <v>6.0200821126311288</v>
      </c>
      <c r="Q578" s="106">
        <f t="shared" ca="1" si="231"/>
        <v>1.5868131403237065</v>
      </c>
      <c r="R578" s="107">
        <f t="shared" ca="1" si="232"/>
        <v>-12.693618324487101</v>
      </c>
      <c r="S578" s="108">
        <f t="shared" ca="1" si="233"/>
        <v>-148.97291590665296</v>
      </c>
      <c r="T578" s="116">
        <f t="shared" ca="1" si="234"/>
        <v>31.027084093347042</v>
      </c>
      <c r="V578" s="72">
        <f t="shared" ca="1" si="235"/>
        <v>104710</v>
      </c>
      <c r="W578" s="72">
        <f t="shared" si="236"/>
        <v>10964184100</v>
      </c>
      <c r="Y578" s="110">
        <f t="shared" si="237"/>
        <v>14.618607759691201</v>
      </c>
      <c r="Z578" s="111">
        <f t="shared" si="238"/>
        <v>-57.760645173229051</v>
      </c>
      <c r="AA578" s="72">
        <f t="shared" si="239"/>
        <v>122.23935482677095</v>
      </c>
      <c r="AB578" s="110">
        <f t="shared" ca="1" si="240"/>
        <v>-11.394625737296799</v>
      </c>
      <c r="AC578" s="111">
        <f t="shared" ca="1" si="241"/>
        <v>-91.212270733423907</v>
      </c>
      <c r="AD578" s="72">
        <f t="shared" ca="1" si="242"/>
        <v>88.787729266576093</v>
      </c>
    </row>
    <row r="579" spans="1:30">
      <c r="A579" s="118">
        <v>105930</v>
      </c>
      <c r="B579" s="101">
        <f t="shared" ca="1" si="216"/>
        <v>1733.6717343198256</v>
      </c>
      <c r="C579" s="102">
        <f t="shared" ca="1" si="217"/>
        <v>1.5702195162974675</v>
      </c>
      <c r="D579" s="102">
        <f t="shared" si="218"/>
        <v>176.71374035651414</v>
      </c>
      <c r="E579" s="103">
        <f t="shared" si="219"/>
        <v>1.5651374270670459</v>
      </c>
      <c r="F579" s="101">
        <f t="shared" si="220"/>
        <v>14376.480921485425</v>
      </c>
      <c r="G579" s="104">
        <f t="shared" si="221"/>
        <v>1.5707267687433633</v>
      </c>
      <c r="H579" s="113">
        <f t="shared" si="222"/>
        <v>1730.569175659592</v>
      </c>
      <c r="I579" s="114">
        <f t="shared" si="223"/>
        <v>1.570218482193412</v>
      </c>
      <c r="J579" s="101">
        <f t="shared" si="224"/>
        <v>176.2644825405597</v>
      </c>
      <c r="K579" s="104">
        <f t="shared" si="225"/>
        <v>1.565123003672511</v>
      </c>
      <c r="L579" s="102">
        <f t="shared" si="226"/>
        <v>7.7521922574025908</v>
      </c>
      <c r="M579" s="103">
        <f t="shared" si="227"/>
        <v>1.4414401060898987</v>
      </c>
      <c r="N579" s="101">
        <f t="shared" si="228"/>
        <v>1.5852034603705469</v>
      </c>
      <c r="O579" s="104">
        <f t="shared" si="229"/>
        <v>0.88816892305977924</v>
      </c>
      <c r="P579" s="105">
        <f t="shared" ca="1" si="230"/>
        <v>6.0906666130254852</v>
      </c>
      <c r="Q579" s="106">
        <f t="shared" ca="1" si="231"/>
        <v>1.5908474444985981</v>
      </c>
      <c r="R579" s="107">
        <f t="shared" ca="1" si="232"/>
        <v>-12.856856230049662</v>
      </c>
      <c r="S579" s="108">
        <f t="shared" ca="1" si="233"/>
        <v>-149.44398834325168</v>
      </c>
      <c r="T579" s="116">
        <f t="shared" ca="1" si="234"/>
        <v>30.556011656748325</v>
      </c>
      <c r="V579" s="72">
        <f t="shared" ca="1" si="235"/>
        <v>105930</v>
      </c>
      <c r="W579" s="72">
        <f t="shared" si="236"/>
        <v>11221164900</v>
      </c>
      <c r="Y579" s="110">
        <f t="shared" si="237"/>
        <v>14.55662134067321</v>
      </c>
      <c r="Z579" s="111">
        <f t="shared" si="238"/>
        <v>-58.003961555812062</v>
      </c>
      <c r="AA579" s="72">
        <f t="shared" si="239"/>
        <v>121.99603844418795</v>
      </c>
      <c r="AB579" s="110">
        <f t="shared" ca="1" si="240"/>
        <v>-11.49587722384137</v>
      </c>
      <c r="AC579" s="111">
        <f t="shared" ca="1" si="241"/>
        <v>-91.440026787439649</v>
      </c>
      <c r="AD579" s="72">
        <f t="shared" ca="1" si="242"/>
        <v>88.559973212560351</v>
      </c>
    </row>
    <row r="580" spans="1:30">
      <c r="A580" s="118">
        <v>107150</v>
      </c>
      <c r="B580" s="101">
        <f t="shared" ca="1" si="216"/>
        <v>1753.6384936530421</v>
      </c>
      <c r="C580" s="102">
        <f t="shared" ca="1" si="217"/>
        <v>1.5702260838070656</v>
      </c>
      <c r="D580" s="102">
        <f t="shared" si="218"/>
        <v>178.74889469160351</v>
      </c>
      <c r="E580" s="103">
        <f t="shared" si="219"/>
        <v>1.5652018574243738</v>
      </c>
      <c r="F580" s="101">
        <f t="shared" si="220"/>
        <v>14542.055420115035</v>
      </c>
      <c r="G580" s="104">
        <f t="shared" si="221"/>
        <v>1.5707275607249087</v>
      </c>
      <c r="H580" s="113">
        <f t="shared" si="222"/>
        <v>1750.5002026901564</v>
      </c>
      <c r="I580" s="114">
        <f t="shared" si="223"/>
        <v>1.5702250614772155</v>
      </c>
      <c r="J580" s="101">
        <f t="shared" si="224"/>
        <v>178.29446259044602</v>
      </c>
      <c r="K580" s="104">
        <f t="shared" si="225"/>
        <v>1.5651875982429113</v>
      </c>
      <c r="L580" s="102">
        <f t="shared" si="226"/>
        <v>7.8399972314621156</v>
      </c>
      <c r="M580" s="103">
        <f t="shared" si="227"/>
        <v>1.4428968438985541</v>
      </c>
      <c r="N580" s="101">
        <f t="shared" si="228"/>
        <v>1.5962199875602803</v>
      </c>
      <c r="O580" s="104">
        <f t="shared" si="229"/>
        <v>0.89376735209729152</v>
      </c>
      <c r="P580" s="105">
        <f t="shared" ca="1" si="230"/>
        <v>6.1613551192681948</v>
      </c>
      <c r="Q580" s="106">
        <f t="shared" ca="1" si="231"/>
        <v>1.5948375508047103</v>
      </c>
      <c r="R580" s="107">
        <f t="shared" ca="1" si="232"/>
        <v>-13.018875699990748</v>
      </c>
      <c r="S580" s="108">
        <f t="shared" ca="1" si="233"/>
        <v>-149.90996013369644</v>
      </c>
      <c r="T580" s="116">
        <f t="shared" ca="1" si="234"/>
        <v>30.090039866303556</v>
      </c>
      <c r="V580" s="72">
        <f t="shared" ca="1" si="235"/>
        <v>107150</v>
      </c>
      <c r="W580" s="72">
        <f t="shared" si="236"/>
        <v>11481122500</v>
      </c>
      <c r="Y580" s="110">
        <f t="shared" si="237"/>
        <v>14.494833241544514</v>
      </c>
      <c r="Z580" s="111">
        <f t="shared" si="238"/>
        <v>-58.244632391816118</v>
      </c>
      <c r="AA580" s="72">
        <f t="shared" si="239"/>
        <v>121.75536760818389</v>
      </c>
      <c r="AB580" s="110">
        <f t="shared" ca="1" si="240"/>
        <v>-11.596108594653758</v>
      </c>
      <c r="AC580" s="111">
        <f t="shared" ca="1" si="241"/>
        <v>-91.665327741880333</v>
      </c>
      <c r="AD580" s="72">
        <f t="shared" ca="1" si="242"/>
        <v>88.334672258119667</v>
      </c>
    </row>
    <row r="581" spans="1:30">
      <c r="A581" s="118">
        <v>108400</v>
      </c>
      <c r="B581" s="101">
        <f t="shared" ca="1" si="216"/>
        <v>1774.0962389481647</v>
      </c>
      <c r="C581" s="102">
        <f t="shared" ca="1" si="217"/>
        <v>1.5702326594858749</v>
      </c>
      <c r="D581" s="102">
        <f t="shared" si="218"/>
        <v>180.83409455751794</v>
      </c>
      <c r="E581" s="103">
        <f t="shared" si="219"/>
        <v>1.565266367971557</v>
      </c>
      <c r="F581" s="101">
        <f t="shared" si="220"/>
        <v>14711.701422818551</v>
      </c>
      <c r="G581" s="104">
        <f t="shared" si="221"/>
        <v>1.5707283536915804</v>
      </c>
      <c r="H581" s="113">
        <f t="shared" si="222"/>
        <v>1770.9213370195848</v>
      </c>
      <c r="I581" s="114">
        <f t="shared" si="223"/>
        <v>1.5702316489448762</v>
      </c>
      <c r="J581" s="101">
        <f t="shared" si="224"/>
        <v>180.37436093655282</v>
      </c>
      <c r="K581" s="104">
        <f t="shared" si="225"/>
        <v>1.5652522732077843</v>
      </c>
      <c r="L581" s="102">
        <f t="shared" si="226"/>
        <v>7.9299782132121184</v>
      </c>
      <c r="M581" s="103">
        <f t="shared" si="227"/>
        <v>1.4443559407346462</v>
      </c>
      <c r="N581" s="101">
        <f t="shared" si="228"/>
        <v>1.6075585818960638</v>
      </c>
      <c r="O581" s="104">
        <f t="shared" si="229"/>
        <v>0.89942368042564436</v>
      </c>
      <c r="P581" s="105">
        <f t="shared" ca="1" si="230"/>
        <v>6.233889935730093</v>
      </c>
      <c r="Q581" s="106">
        <f t="shared" ca="1" si="231"/>
        <v>1.5988813615087563</v>
      </c>
      <c r="R581" s="107">
        <f t="shared" ca="1" si="232"/>
        <v>-13.183635184359062</v>
      </c>
      <c r="S581" s="108">
        <f t="shared" ca="1" si="233"/>
        <v>-150.38219124950558</v>
      </c>
      <c r="T581" s="116">
        <f t="shared" ca="1" si="234"/>
        <v>29.617808750494419</v>
      </c>
      <c r="V581" s="72">
        <f t="shared" ca="1" si="235"/>
        <v>108400</v>
      </c>
      <c r="W581" s="72">
        <f t="shared" si="236"/>
        <v>11750560000</v>
      </c>
      <c r="Y581" s="110">
        <f t="shared" si="237"/>
        <v>14.431734630380781</v>
      </c>
      <c r="Z581" s="111">
        <f t="shared" si="238"/>
        <v>-58.488489644317021</v>
      </c>
      <c r="AA581" s="72">
        <f t="shared" si="239"/>
        <v>121.51151035568299</v>
      </c>
      <c r="AB581" s="110">
        <f t="shared" ca="1" si="240"/>
        <v>-11.69776946785834</v>
      </c>
      <c r="AC581" s="111">
        <f t="shared" ca="1" si="241"/>
        <v>-91.893701605188483</v>
      </c>
      <c r="AD581" s="72">
        <f t="shared" ca="1" si="242"/>
        <v>88.106298394811517</v>
      </c>
    </row>
    <row r="582" spans="1:30">
      <c r="A582" s="118">
        <v>109650</v>
      </c>
      <c r="B582" s="101">
        <f t="shared" ca="1" si="216"/>
        <v>1794.5539843182496</v>
      </c>
      <c r="C582" s="102">
        <f t="shared" ca="1" si="217"/>
        <v>1.5702390852404537</v>
      </c>
      <c r="D582" s="102">
        <f t="shared" si="218"/>
        <v>182.91929515883572</v>
      </c>
      <c r="E582" s="103">
        <f t="shared" si="219"/>
        <v>1.5653294077345006</v>
      </c>
      <c r="F582" s="101">
        <f t="shared" si="220"/>
        <v>14881.347425531108</v>
      </c>
      <c r="G582" s="104">
        <f t="shared" si="221"/>
        <v>1.5707291285787568</v>
      </c>
      <c r="H582" s="113">
        <f t="shared" si="222"/>
        <v>1791.3424714241096</v>
      </c>
      <c r="I582" s="114">
        <f t="shared" si="223"/>
        <v>1.5702380862195231</v>
      </c>
      <c r="J582" s="101">
        <f t="shared" si="224"/>
        <v>182.45426001993724</v>
      </c>
      <c r="K582" s="104">
        <f t="shared" si="225"/>
        <v>1.565315473640065</v>
      </c>
      <c r="L582" s="102">
        <f t="shared" si="226"/>
        <v>8.019975698743135</v>
      </c>
      <c r="M582" s="103">
        <f t="shared" si="227"/>
        <v>1.4457822935572686</v>
      </c>
      <c r="N582" s="101">
        <f t="shared" si="228"/>
        <v>1.6189478871587621</v>
      </c>
      <c r="O582" s="104">
        <f t="shared" si="229"/>
        <v>0.90500060051259712</v>
      </c>
      <c r="P582" s="105">
        <f t="shared" ca="1" si="230"/>
        <v>6.3065343626078247</v>
      </c>
      <c r="Q582" s="106">
        <f t="shared" ca="1" si="231"/>
        <v>1.6028816140203952</v>
      </c>
      <c r="R582" s="107">
        <f t="shared" ca="1" si="232"/>
        <v>-13.347155027473136</v>
      </c>
      <c r="S582" s="108">
        <f t="shared" ca="1" si="233"/>
        <v>-150.8492517661625</v>
      </c>
      <c r="T582" s="116">
        <f t="shared" ca="1" si="234"/>
        <v>29.150748233837504</v>
      </c>
      <c r="V582" s="72">
        <f t="shared" ca="1" si="235"/>
        <v>109650</v>
      </c>
      <c r="W582" s="72">
        <f t="shared" si="236"/>
        <v>12023122500</v>
      </c>
      <c r="Y582" s="110">
        <f t="shared" si="237"/>
        <v>14.368850491374626</v>
      </c>
      <c r="Z582" s="111">
        <f t="shared" si="238"/>
        <v>-58.729596318552915</v>
      </c>
      <c r="AA582" s="72">
        <f t="shared" si="239"/>
        <v>121.27040368144708</v>
      </c>
      <c r="AB582" s="110">
        <f t="shared" ca="1" si="240"/>
        <v>-11.798405171966262</v>
      </c>
      <c r="AC582" s="111">
        <f t="shared" ca="1" si="241"/>
        <v>-92.119655447609574</v>
      </c>
      <c r="AD582" s="72">
        <f t="shared" ca="1" si="242"/>
        <v>87.880344552390426</v>
      </c>
    </row>
    <row r="583" spans="1:30">
      <c r="A583" s="118">
        <v>110925</v>
      </c>
      <c r="B583" s="101">
        <f t="shared" ca="1" si="216"/>
        <v>1815.4208846703341</v>
      </c>
      <c r="C583" s="102">
        <f t="shared" ca="1" si="217"/>
        <v>1.5702454903144891</v>
      </c>
      <c r="D583" s="102">
        <f t="shared" si="218"/>
        <v>185.0462005040101</v>
      </c>
      <c r="E583" s="103">
        <f t="shared" si="219"/>
        <v>1.5653922446540933</v>
      </c>
      <c r="F583" s="101">
        <f t="shared" si="220"/>
        <v>15054.386348306911</v>
      </c>
      <c r="G583" s="104">
        <f t="shared" si="221"/>
        <v>1.5707299009720435</v>
      </c>
      <c r="H583" s="113">
        <f t="shared" si="222"/>
        <v>1812.1720285914566</v>
      </c>
      <c r="I583" s="114">
        <f t="shared" si="223"/>
        <v>1.5702445027765506</v>
      </c>
      <c r="J583" s="101">
        <f t="shared" si="224"/>
        <v>184.57575781868474</v>
      </c>
      <c r="K583" s="104">
        <f t="shared" si="225"/>
        <v>1.5653784707122296</v>
      </c>
      <c r="L583" s="102">
        <f t="shared" si="226"/>
        <v>8.111789566506463</v>
      </c>
      <c r="M583" s="103">
        <f t="shared" si="227"/>
        <v>1.4472045648855567</v>
      </c>
      <c r="N583" s="101">
        <f t="shared" si="228"/>
        <v>1.6306161189148254</v>
      </c>
      <c r="O583" s="104">
        <f t="shared" si="229"/>
        <v>0.91060862234273154</v>
      </c>
      <c r="P583" s="105">
        <f t="shared" ca="1" si="230"/>
        <v>6.3807448694924336</v>
      </c>
      <c r="Q583" s="106">
        <f t="shared" ca="1" si="231"/>
        <v>1.6069183920138388</v>
      </c>
      <c r="R583" s="107">
        <f t="shared" ca="1" si="232"/>
        <v>-13.512688075528718</v>
      </c>
      <c r="S583" s="108">
        <f t="shared" ca="1" si="233"/>
        <v>-151.32042071942195</v>
      </c>
      <c r="T583" s="116">
        <f t="shared" ca="1" si="234"/>
        <v>28.679579280578054</v>
      </c>
      <c r="V583" s="72">
        <f t="shared" ca="1" si="235"/>
        <v>110925</v>
      </c>
      <c r="W583" s="72">
        <f t="shared" si="236"/>
        <v>12304355625</v>
      </c>
      <c r="Y583" s="110">
        <f t="shared" si="237"/>
        <v>14.304932649599134</v>
      </c>
      <c r="Z583" s="111">
        <f t="shared" si="238"/>
        <v>-58.972708236276766</v>
      </c>
      <c r="AA583" s="72">
        <f t="shared" si="239"/>
        <v>121.02729176372324</v>
      </c>
      <c r="AB583" s="110">
        <f t="shared" ca="1" si="240"/>
        <v>-11.900020378246342</v>
      </c>
      <c r="AC583" s="111">
        <f t="shared" ca="1" si="241"/>
        <v>-92.347712483145187</v>
      </c>
      <c r="AD583" s="72">
        <f t="shared" ca="1" si="242"/>
        <v>87.652287516854813</v>
      </c>
    </row>
    <row r="584" spans="1:30">
      <c r="A584" s="118">
        <v>112200</v>
      </c>
      <c r="B584" s="101">
        <f t="shared" ca="1" si="216"/>
        <v>1836.2877850952034</v>
      </c>
      <c r="C584" s="102">
        <f t="shared" ca="1" si="217"/>
        <v>1.5702517498187036</v>
      </c>
      <c r="D584" s="102">
        <f t="shared" si="218"/>
        <v>187.17310656323022</v>
      </c>
      <c r="E584" s="103">
        <f t="shared" si="219"/>
        <v>1.5654536535031132</v>
      </c>
      <c r="F584" s="101">
        <f t="shared" si="220"/>
        <v>15227.425271091493</v>
      </c>
      <c r="G584" s="104">
        <f t="shared" si="221"/>
        <v>1.5707306558109373</v>
      </c>
      <c r="H584" s="113">
        <f t="shared" si="222"/>
        <v>1833.0015858317192</v>
      </c>
      <c r="I584" s="114">
        <f t="shared" si="223"/>
        <v>1.5702507735027804</v>
      </c>
      <c r="J584" s="101">
        <f t="shared" si="224"/>
        <v>186.69725633329782</v>
      </c>
      <c r="K584" s="104">
        <f t="shared" si="225"/>
        <v>1.5654400360743064</v>
      </c>
      <c r="L584" s="102">
        <f t="shared" si="226"/>
        <v>8.2036194759362591</v>
      </c>
      <c r="M584" s="103">
        <f t="shared" si="227"/>
        <v>1.4485949976516179</v>
      </c>
      <c r="N584" s="101">
        <f t="shared" si="228"/>
        <v>1.6423349037734645</v>
      </c>
      <c r="O584" s="104">
        <f t="shared" si="229"/>
        <v>0.91613678455036218</v>
      </c>
      <c r="P584" s="105">
        <f t="shared" ca="1" si="230"/>
        <v>6.4550699936918159</v>
      </c>
      <c r="Q584" s="106">
        <f t="shared" ca="1" si="231"/>
        <v>1.6109126153886204</v>
      </c>
      <c r="R584" s="107">
        <f t="shared" ca="1" si="232"/>
        <v>-13.676971169781012</v>
      </c>
      <c r="S584" s="108">
        <f t="shared" ca="1" si="233"/>
        <v>-151.78639886917722</v>
      </c>
      <c r="T584" s="116">
        <f t="shared" ca="1" si="234"/>
        <v>28.213601130822781</v>
      </c>
      <c r="V584" s="72">
        <f t="shared" ca="1" si="235"/>
        <v>112200</v>
      </c>
      <c r="W584" s="72">
        <f t="shared" si="236"/>
        <v>12588840000</v>
      </c>
      <c r="Y584" s="110">
        <f t="shared" si="237"/>
        <v>14.241243908244144</v>
      </c>
      <c r="Z584" s="111">
        <f t="shared" si="238"/>
        <v>-59.212994068666816</v>
      </c>
      <c r="AA584" s="72">
        <f t="shared" si="239"/>
        <v>120.78700593133318</v>
      </c>
      <c r="AB584" s="110">
        <f t="shared" ca="1" si="240"/>
        <v>-12.000614731143651</v>
      </c>
      <c r="AC584" s="111">
        <f t="shared" ca="1" si="241"/>
        <v>-92.573404800510303</v>
      </c>
      <c r="AD584" s="72">
        <f t="shared" ca="1" si="242"/>
        <v>87.426595199489697</v>
      </c>
    </row>
    <row r="585" spans="1:30">
      <c r="A585" s="118">
        <v>113510</v>
      </c>
      <c r="B585" s="101">
        <f t="shared" ca="1" si="216"/>
        <v>1857.7275024677122</v>
      </c>
      <c r="C585" s="102">
        <f t="shared" ca="1" si="217"/>
        <v>1.5702580346896418</v>
      </c>
      <c r="D585" s="102">
        <f t="shared" si="218"/>
        <v>189.35839899740458</v>
      </c>
      <c r="E585" s="103">
        <f t="shared" si="219"/>
        <v>1.565515311252426</v>
      </c>
      <c r="F585" s="101">
        <f t="shared" si="220"/>
        <v>15405.214281961344</v>
      </c>
      <c r="G585" s="104">
        <f t="shared" si="221"/>
        <v>1.5707314137088206</v>
      </c>
      <c r="H585" s="113">
        <f t="shared" si="222"/>
        <v>1854.4029349127238</v>
      </c>
      <c r="I585" s="114">
        <f t="shared" si="223"/>
        <v>1.5702570696412115</v>
      </c>
      <c r="J585" s="101">
        <f t="shared" si="224"/>
        <v>188.87699278229516</v>
      </c>
      <c r="K585" s="104">
        <f t="shared" si="225"/>
        <v>1.5655018509712568</v>
      </c>
      <c r="L585" s="102">
        <f t="shared" si="226"/>
        <v>8.2979863548756345</v>
      </c>
      <c r="M585" s="103">
        <f t="shared" si="227"/>
        <v>1.4499915430723911</v>
      </c>
      <c r="N585" s="101">
        <f t="shared" si="228"/>
        <v>1.6544269053572533</v>
      </c>
      <c r="O585" s="104">
        <f t="shared" si="229"/>
        <v>0.92173495466852884</v>
      </c>
      <c r="P585" s="105">
        <f t="shared" ca="1" si="230"/>
        <v>6.5315551483549852</v>
      </c>
      <c r="Q585" s="106">
        <f t="shared" ca="1" si="231"/>
        <v>1.6149735326615029</v>
      </c>
      <c r="R585" s="107">
        <f t="shared" ca="1" si="232"/>
        <v>-13.844482387213915</v>
      </c>
      <c r="S585" s="108">
        <f t="shared" ca="1" si="233"/>
        <v>-152.25985943533135</v>
      </c>
      <c r="T585" s="116">
        <f t="shared" ca="1" si="234"/>
        <v>27.74014056466865</v>
      </c>
      <c r="V585" s="72">
        <f t="shared" ca="1" si="235"/>
        <v>113510</v>
      </c>
      <c r="W585" s="72">
        <f t="shared" si="236"/>
        <v>12884520100</v>
      </c>
      <c r="Y585" s="110">
        <f t="shared" si="237"/>
        <v>14.176048352769248</v>
      </c>
      <c r="Z585" s="111">
        <f t="shared" si="238"/>
        <v>-59.456953846101186</v>
      </c>
      <c r="AA585" s="72">
        <f t="shared" si="239"/>
        <v>120.54304615389881</v>
      </c>
      <c r="AB585" s="110">
        <f t="shared" ca="1" si="240"/>
        <v>-12.102930393101659</v>
      </c>
      <c r="AC585" s="111">
        <f t="shared" ca="1" si="241"/>
        <v>-92.802905589230136</v>
      </c>
      <c r="AD585" s="72">
        <f t="shared" ca="1" si="242"/>
        <v>87.197094410769864</v>
      </c>
    </row>
    <row r="586" spans="1:30">
      <c r="A586" s="118">
        <v>114820</v>
      </c>
      <c r="B586" s="101">
        <f t="shared" ca="1" si="216"/>
        <v>1879.1672199119262</v>
      </c>
      <c r="C586" s="102">
        <f t="shared" ca="1" si="217"/>
        <v>1.5702641761503977</v>
      </c>
      <c r="D586" s="102">
        <f t="shared" si="218"/>
        <v>191.54369213503264</v>
      </c>
      <c r="E586" s="103">
        <f t="shared" si="219"/>
        <v>1.5655755621140106</v>
      </c>
      <c r="F586" s="101">
        <f t="shared" si="220"/>
        <v>15583.003292839841</v>
      </c>
      <c r="G586" s="104">
        <f t="shared" si="221"/>
        <v>1.5707321543127446</v>
      </c>
      <c r="H586" s="113">
        <f t="shared" si="222"/>
        <v>1875.8042840655626</v>
      </c>
      <c r="I586" s="114">
        <f t="shared" si="223"/>
        <v>1.5702632221123551</v>
      </c>
      <c r="J586" s="101">
        <f t="shared" si="224"/>
        <v>191.05672993653906</v>
      </c>
      <c r="K586" s="104">
        <f t="shared" si="225"/>
        <v>1.5655622553949309</v>
      </c>
      <c r="L586" s="102">
        <f t="shared" si="226"/>
        <v>8.3923690537290412</v>
      </c>
      <c r="M586" s="103">
        <f t="shared" si="227"/>
        <v>1.4513566793019714</v>
      </c>
      <c r="N586" s="101">
        <f t="shared" si="228"/>
        <v>1.6665700025351817</v>
      </c>
      <c r="O586" s="104">
        <f t="shared" si="229"/>
        <v>0.9272517159097543</v>
      </c>
      <c r="P586" s="105">
        <f t="shared" ca="1" si="230"/>
        <v>6.608162047301855</v>
      </c>
      <c r="Q586" s="106">
        <f t="shared" ca="1" si="231"/>
        <v>1.6189922582336922</v>
      </c>
      <c r="R586" s="107">
        <f t="shared" ca="1" si="232"/>
        <v>-14.010714852474425</v>
      </c>
      <c r="S586" s="108">
        <f t="shared" ca="1" si="233"/>
        <v>-152.7280366425523</v>
      </c>
      <c r="T586" s="116">
        <f t="shared" ca="1" si="234"/>
        <v>27.271963357447703</v>
      </c>
      <c r="V586" s="72">
        <f t="shared" ca="1" si="235"/>
        <v>114820</v>
      </c>
      <c r="W586" s="72">
        <f t="shared" si="236"/>
        <v>13183632400</v>
      </c>
      <c r="Y586" s="110">
        <f t="shared" si="237"/>
        <v>14.111100331535177</v>
      </c>
      <c r="Z586" s="111">
        <f t="shared" si="238"/>
        <v>-59.697975279054262</v>
      </c>
      <c r="AA586" s="72">
        <f t="shared" si="239"/>
        <v>120.30202472094574</v>
      </c>
      <c r="AB586" s="110">
        <f t="shared" ca="1" si="240"/>
        <v>-12.204214837128095</v>
      </c>
      <c r="AC586" s="111">
        <f t="shared" ca="1" si="241"/>
        <v>-93.030061363497978</v>
      </c>
      <c r="AD586" s="72">
        <f t="shared" ca="1" si="242"/>
        <v>86.969938636502022</v>
      </c>
    </row>
    <row r="587" spans="1:30">
      <c r="A587" s="118">
        <v>116155</v>
      </c>
      <c r="B587" s="101">
        <f t="shared" ca="1" si="216"/>
        <v>1901.0160923404569</v>
      </c>
      <c r="C587" s="102">
        <f t="shared" ca="1" si="217"/>
        <v>1.5702702922967418</v>
      </c>
      <c r="D587" s="102">
        <f t="shared" si="218"/>
        <v>193.77069003925001</v>
      </c>
      <c r="E587" s="103">
        <f t="shared" si="219"/>
        <v>1.5656355646655871</v>
      </c>
      <c r="F587" s="101">
        <f t="shared" si="220"/>
        <v>15764.185223781866</v>
      </c>
      <c r="G587" s="104">
        <f t="shared" si="221"/>
        <v>1.5707328918639774</v>
      </c>
      <c r="H587" s="113">
        <f t="shared" si="222"/>
        <v>1897.6140559835442</v>
      </c>
      <c r="I587" s="114">
        <f t="shared" si="223"/>
        <v>1.5702693492237034</v>
      </c>
      <c r="J587" s="101">
        <f t="shared" si="224"/>
        <v>193.27806582893669</v>
      </c>
      <c r="K587" s="104">
        <f t="shared" si="225"/>
        <v>1.5656224108759187</v>
      </c>
      <c r="L587" s="102">
        <f t="shared" si="226"/>
        <v>8.4885686784291767</v>
      </c>
      <c r="M587" s="103">
        <f t="shared" si="227"/>
        <v>1.4527166332784593</v>
      </c>
      <c r="N587" s="101">
        <f t="shared" si="228"/>
        <v>1.6789962579277142</v>
      </c>
      <c r="O587" s="104">
        <f t="shared" si="229"/>
        <v>0.93279148972440407</v>
      </c>
      <c r="P587" s="105">
        <f t="shared" ca="1" si="230"/>
        <v>6.686356598212801</v>
      </c>
      <c r="Q587" s="106">
        <f t="shared" ca="1" si="231"/>
        <v>1.623045609724552</v>
      </c>
      <c r="R587" s="107">
        <f t="shared" ca="1" si="232"/>
        <v>-14.178824672221113</v>
      </c>
      <c r="S587" s="108">
        <f t="shared" ca="1" si="233"/>
        <v>-153.19981300478653</v>
      </c>
      <c r="T587" s="116">
        <f t="shared" ca="1" si="234"/>
        <v>26.800186995213465</v>
      </c>
      <c r="V587" s="72">
        <f t="shared" ca="1" si="235"/>
        <v>116155</v>
      </c>
      <c r="W587" s="72">
        <f t="shared" si="236"/>
        <v>13491984025</v>
      </c>
      <c r="Y587" s="110">
        <f t="shared" si="237"/>
        <v>14.045170197418823</v>
      </c>
      <c r="Z587" s="111">
        <f t="shared" si="238"/>
        <v>-59.940599171310382</v>
      </c>
      <c r="AA587" s="72">
        <f t="shared" si="239"/>
        <v>120.05940082868962</v>
      </c>
      <c r="AB587" s="110">
        <f t="shared" ca="1" si="240"/>
        <v>-12.306394522758435</v>
      </c>
      <c r="AC587" s="111">
        <f t="shared" ca="1" si="241"/>
        <v>-93.25921383347621</v>
      </c>
      <c r="AD587" s="72">
        <f t="shared" ca="1" si="242"/>
        <v>86.74078616652379</v>
      </c>
    </row>
    <row r="588" spans="1:30">
      <c r="A588" s="118">
        <v>117490</v>
      </c>
      <c r="B588" s="101">
        <f t="shared" ca="1" si="216"/>
        <v>1922.864964838483</v>
      </c>
      <c r="C588" s="102">
        <f t="shared" ca="1" si="217"/>
        <v>1.5702762694516288</v>
      </c>
      <c r="D588" s="102">
        <f t="shared" si="218"/>
        <v>195.99768862524763</v>
      </c>
      <c r="E588" s="103">
        <f t="shared" si="219"/>
        <v>1.5656942036747854</v>
      </c>
      <c r="F588" s="101">
        <f t="shared" si="220"/>
        <v>15945.367154732272</v>
      </c>
      <c r="G588" s="104">
        <f t="shared" si="221"/>
        <v>1.5707336126541087</v>
      </c>
      <c r="H588" s="113">
        <f t="shared" si="222"/>
        <v>1919.423827971146</v>
      </c>
      <c r="I588" s="114">
        <f t="shared" si="223"/>
        <v>1.5702753370944116</v>
      </c>
      <c r="J588" s="101">
        <f t="shared" si="224"/>
        <v>195.49940240485225</v>
      </c>
      <c r="K588" s="104">
        <f t="shared" si="225"/>
        <v>1.5656811993394313</v>
      </c>
      <c r="L588" s="102">
        <f t="shared" si="226"/>
        <v>8.5847836506571369</v>
      </c>
      <c r="M588" s="103">
        <f t="shared" si="227"/>
        <v>1.4540461059798433</v>
      </c>
      <c r="N588" s="101">
        <f t="shared" si="228"/>
        <v>1.6914732822045717</v>
      </c>
      <c r="O588" s="104">
        <f t="shared" si="229"/>
        <v>0.93824970155498988</v>
      </c>
      <c r="P588" s="105">
        <f t="shared" ca="1" si="230"/>
        <v>6.7646784971421114</v>
      </c>
      <c r="Q588" s="106">
        <f t="shared" ca="1" si="231"/>
        <v>1.6270577976705254</v>
      </c>
      <c r="R588" s="107">
        <f t="shared" ca="1" si="232"/>
        <v>-14.345647593769186</v>
      </c>
      <c r="S588" s="108">
        <f t="shared" ca="1" si="233"/>
        <v>-153.66630301541346</v>
      </c>
      <c r="T588" s="116">
        <f t="shared" ca="1" si="234"/>
        <v>26.333696984586538</v>
      </c>
      <c r="V588" s="72">
        <f t="shared" ca="1" si="235"/>
        <v>117490</v>
      </c>
      <c r="W588" s="72">
        <f t="shared" si="236"/>
        <v>13803900100</v>
      </c>
      <c r="Y588" s="110">
        <f t="shared" si="237"/>
        <v>13.979502383917392</v>
      </c>
      <c r="Z588" s="111">
        <f t="shared" si="238"/>
        <v>-60.180225047753879</v>
      </c>
      <c r="AA588" s="72">
        <f t="shared" si="239"/>
        <v>119.81977495224612</v>
      </c>
      <c r="AB588" s="110">
        <f t="shared" ca="1" si="240"/>
        <v>-12.407549630805072</v>
      </c>
      <c r="AC588" s="111">
        <f t="shared" ca="1" si="241"/>
        <v>-93.486077967659597</v>
      </c>
      <c r="AD588" s="72">
        <f t="shared" ca="1" si="242"/>
        <v>86.513922032340403</v>
      </c>
    </row>
    <row r="589" spans="1:30">
      <c r="A589" s="118">
        <v>118860</v>
      </c>
      <c r="B589" s="101">
        <f t="shared" ca="1" si="216"/>
        <v>1945.2866542882768</v>
      </c>
      <c r="C589" s="102">
        <f t="shared" ca="1" si="217"/>
        <v>1.5702822637174376</v>
      </c>
      <c r="D589" s="102">
        <f t="shared" si="218"/>
        <v>198.28307362669844</v>
      </c>
      <c r="E589" s="103">
        <f t="shared" si="219"/>
        <v>1.5657530105859281</v>
      </c>
      <c r="F589" s="101">
        <f t="shared" si="220"/>
        <v>16131.299173768444</v>
      </c>
      <c r="G589" s="104">
        <f t="shared" si="221"/>
        <v>1.5707343355076564</v>
      </c>
      <c r="H589" s="113">
        <f t="shared" si="222"/>
        <v>1941.805391803626</v>
      </c>
      <c r="I589" s="114">
        <f t="shared" si="223"/>
        <v>1.5702813421067181</v>
      </c>
      <c r="J589" s="101">
        <f t="shared" si="224"/>
        <v>197.77897695575416</v>
      </c>
      <c r="K589" s="104">
        <f t="shared" si="225"/>
        <v>1.5657401561330031</v>
      </c>
      <c r="L589" s="102">
        <f t="shared" si="226"/>
        <v>8.6835365341178221</v>
      </c>
      <c r="M589" s="103">
        <f t="shared" si="227"/>
        <v>1.4553798010854526</v>
      </c>
      <c r="N589" s="101">
        <f t="shared" si="228"/>
        <v>1.7043290329415828</v>
      </c>
      <c r="O589" s="104">
        <f t="shared" si="229"/>
        <v>0.9437677565109841</v>
      </c>
      <c r="P589" s="105">
        <f t="shared" ca="1" si="230"/>
        <v>6.8451867051733757</v>
      </c>
      <c r="Q589" s="106">
        <f t="shared" ca="1" si="231"/>
        <v>1.6311336907101361</v>
      </c>
      <c r="R589" s="107">
        <f t="shared" ca="1" si="232"/>
        <v>-14.515527147194838</v>
      </c>
      <c r="S589" s="108">
        <f t="shared" ca="1" si="233"/>
        <v>-154.13963003262097</v>
      </c>
      <c r="T589" s="116">
        <f t="shared" ca="1" si="234"/>
        <v>25.860369967379029</v>
      </c>
      <c r="V589" s="72">
        <f t="shared" ca="1" si="235"/>
        <v>118860</v>
      </c>
      <c r="W589" s="72">
        <f t="shared" si="236"/>
        <v>14127699600</v>
      </c>
      <c r="Y589" s="110">
        <f t="shared" si="237"/>
        <v>13.912388141598448</v>
      </c>
      <c r="Z589" s="111">
        <f t="shared" si="238"/>
        <v>-60.423046537464074</v>
      </c>
      <c r="AA589" s="72">
        <f t="shared" si="239"/>
        <v>119.57695346253593</v>
      </c>
      <c r="AB589" s="110">
        <f t="shared" ca="1" si="240"/>
        <v>-12.51031494191178</v>
      </c>
      <c r="AC589" s="111">
        <f t="shared" ca="1" si="241"/>
        <v>-93.716583495156883</v>
      </c>
      <c r="AD589" s="72">
        <f t="shared" ca="1" si="242"/>
        <v>86.283416504843117</v>
      </c>
    </row>
    <row r="590" spans="1:30">
      <c r="A590" s="118">
        <v>120230</v>
      </c>
      <c r="B590" s="101">
        <f t="shared" ref="B590:B614" ca="1" si="243">SQRT(1+(A590/Pole1)^2)</f>
        <v>1967.7083438063742</v>
      </c>
      <c r="C590" s="102">
        <f t="shared" ref="C590:C614" ca="1" si="244">ATAN(A590/Pole1)</f>
        <v>1.5702881213760431</v>
      </c>
      <c r="D590" s="102">
        <f t="shared" ref="D590:D614" si="245">SQRT(1+(A590/Zero1)^2)</f>
        <v>200.56845929823544</v>
      </c>
      <c r="E590" s="103">
        <f t="shared" ref="E590:E614" si="246">ATAN(A590/Zero1)</f>
        <v>1.5658104773416641</v>
      </c>
      <c r="F590" s="101">
        <f t="shared" ref="F590:F614" si="247">SQRT(1+(A590/Pole2)^2)</f>
        <v>16317.231192812855</v>
      </c>
      <c r="G590" s="104">
        <f t="shared" ref="G590:G614" si="248">ATAN(A590/Pole2)</f>
        <v>1.5707350418876223</v>
      </c>
      <c r="H590" s="113">
        <f t="shared" ref="H590:H614" si="249">SQRT(1+(A590/Zero2)^2)</f>
        <v>1964.1869557045318</v>
      </c>
      <c r="I590" s="114">
        <f t="shared" ref="I590:I614" si="250">ATAN(A590/Zero2)</f>
        <v>1.5702872102669125</v>
      </c>
      <c r="J590" s="101">
        <f t="shared" ref="J590:J614" si="251">SQRT(1+(A590/pole4)^2)</f>
        <v>200.05855217845013</v>
      </c>
      <c r="K590" s="104">
        <f t="shared" ref="K590:K614" si="252">ATAN(A590/pole4)</f>
        <v>1.5657977693556582</v>
      </c>
      <c r="L590" s="102">
        <f t="shared" ref="L590:L614" si="253">SQRT(1+(A590/Zerofeed)^2)</f>
        <v>8.7823045159783621</v>
      </c>
      <c r="M590" s="103">
        <f t="shared" ref="M590:M614" si="254">ATAN(A590/Zerofeed)</f>
        <v>1.4566835003327061</v>
      </c>
      <c r="N590" s="101">
        <f t="shared" ref="N590:N614" si="255">SQRT(1+(A590/Polefeed)^2)</f>
        <v>1.7172359007577187</v>
      </c>
      <c r="O590" s="104">
        <f t="shared" ref="O590:O614" si="256">ATAN(A590/Polefeed)</f>
        <v>0.94920302671067203</v>
      </c>
      <c r="P590" s="105">
        <f t="shared" ref="P590:P614" ca="1" si="257">SQRT((1-(W590/pterm2))^2+(A590/pterm1)^2)</f>
        <v>6.9258301240755662</v>
      </c>
      <c r="Q590" s="106">
        <f t="shared" ref="Q590:Q614" ca="1" si="258">IF((ATAN((A590/pterm1)/(1-A590^2/pterm2))&gt;0),ATAN((A590/pterm1)/(1-A590^2/pterm2)),PI()+ATAN((A590/pterm1)/(1-A590^2/pterm2)))</f>
        <v>1.6351688463381258</v>
      </c>
      <c r="R590" s="107">
        <f t="shared" ref="R590:R614" ca="1" si="259">20*LOG10(((D590*H590*L590)/(B590*F590*P590*J590*N590))*Adc)</f>
        <v>-14.684093520228954</v>
      </c>
      <c r="S590" s="108">
        <f t="shared" ref="S590:S614" ca="1" si="260">((E590+I590+M590)-(C590+G590+Q590+K590+O590))*radconv</f>
        <v>-154.60759726148166</v>
      </c>
      <c r="T590" s="116">
        <f t="shared" ref="T590:T614" ca="1" si="261">IF(S590&gt;0,S590,S590+180)</f>
        <v>25.392402738518342</v>
      </c>
      <c r="V590" s="72">
        <f t="shared" ref="V590:V614" ca="1" si="262">IF(R590&lt;0,A590,1000000000)</f>
        <v>120230</v>
      </c>
      <c r="W590" s="72">
        <f t="shared" ref="W590:W614" si="263">A590^2</f>
        <v>14455252900</v>
      </c>
      <c r="Y590" s="110">
        <f t="shared" ref="Y590:Y614" si="264">20*LOG10(((H590*L590)/(F590*J590*N590))*Aea)</f>
        <v>13.845554982333217</v>
      </c>
      <c r="Z590" s="111">
        <f t="shared" ref="Z590:Z614" si="265">(I590+M590-(G590+K590+O590))*radconv</f>
        <v>-60.662773362351736</v>
      </c>
      <c r="AA590" s="72">
        <f t="shared" ref="AA590:AA614" si="266">IF(Z590&gt;0,Z590,Z590+180)</f>
        <v>119.33722663764826</v>
      </c>
      <c r="AB590" s="110">
        <f t="shared" ref="AB590:AB614" ca="1" si="267">20*LOG10((D590/(B590*P590))*Acs*Am)</f>
        <v>-12.612048155680661</v>
      </c>
      <c r="AC590" s="111">
        <f t="shared" ref="AC590:AC614" ca="1" si="268">(E590-(C590+Q590))*radconv</f>
        <v>-93.944823899129915</v>
      </c>
      <c r="AD590" s="72">
        <f t="shared" ref="AD590:AD614" ca="1" si="269">IF(AC590&gt;0,AC590,AC590+180)</f>
        <v>86.055176100870085</v>
      </c>
    </row>
    <row r="591" spans="1:30">
      <c r="A591" s="118">
        <v>126030</v>
      </c>
      <c r="B591" s="101">
        <f t="shared" ca="1" si="243"/>
        <v>2062.6322855373137</v>
      </c>
      <c r="C591" s="102">
        <f t="shared" ca="1" si="244"/>
        <v>1.5703115093864877</v>
      </c>
      <c r="D591" s="102">
        <f t="shared" si="245"/>
        <v>210.2438216164347</v>
      </c>
      <c r="E591" s="103">
        <f t="shared" si="246"/>
        <v>1.5660399265217337</v>
      </c>
      <c r="F591" s="101">
        <f t="shared" si="247"/>
        <v>17104.388645786665</v>
      </c>
      <c r="G591" s="104">
        <f t="shared" si="248"/>
        <v>1.570737862267384</v>
      </c>
      <c r="H591" s="113">
        <f t="shared" si="249"/>
        <v>2058.941022561035</v>
      </c>
      <c r="I591" s="114">
        <f t="shared" si="250"/>
        <v>1.5703106402072977</v>
      </c>
      <c r="J591" s="101">
        <f t="shared" si="251"/>
        <v>209.70931553379253</v>
      </c>
      <c r="K591" s="104">
        <f t="shared" si="252"/>
        <v>1.5660278033400978</v>
      </c>
      <c r="L591" s="102">
        <f t="shared" si="253"/>
        <v>9.2006024083968434</v>
      </c>
      <c r="M591" s="103">
        <f t="shared" si="254"/>
        <v>1.4618926526249156</v>
      </c>
      <c r="N591" s="101">
        <f t="shared" si="255"/>
        <v>1.7724186209079908</v>
      </c>
      <c r="O591" s="104">
        <f t="shared" si="256"/>
        <v>0.97133137551793269</v>
      </c>
      <c r="P591" s="105">
        <f t="shared" ca="1" si="257"/>
        <v>7.2687523003979546</v>
      </c>
      <c r="Q591" s="106">
        <f t="shared" ca="1" si="258"/>
        <v>1.6518281783018962</v>
      </c>
      <c r="R591" s="107">
        <f t="shared" ca="1" si="259"/>
        <v>-15.383647397449655</v>
      </c>
      <c r="S591" s="108">
        <f t="shared" ca="1" si="260"/>
        <v>-156.53169792804715</v>
      </c>
      <c r="T591" s="116">
        <f t="shared" ca="1" si="261"/>
        <v>23.468302071952849</v>
      </c>
      <c r="V591" s="72">
        <f t="shared" ca="1" si="262"/>
        <v>126030</v>
      </c>
      <c r="W591" s="72">
        <f t="shared" si="263"/>
        <v>15883560900</v>
      </c>
      <c r="Y591" s="110">
        <f t="shared" si="264"/>
        <v>13.565771402243303</v>
      </c>
      <c r="Z591" s="111">
        <f t="shared" si="265"/>
        <v>-61.644171052149638</v>
      </c>
      <c r="AA591" s="72">
        <f t="shared" si="266"/>
        <v>118.35582894785037</v>
      </c>
      <c r="AB591" s="110">
        <f t="shared" ca="1" si="267"/>
        <v>-13.031818452811452</v>
      </c>
      <c r="AC591" s="111">
        <f t="shared" ca="1" si="268"/>
        <v>-94.887526875897478</v>
      </c>
      <c r="AD591" s="72">
        <f t="shared" ca="1" si="269"/>
        <v>85.112473124102522</v>
      </c>
    </row>
    <row r="592" spans="1:30">
      <c r="A592" s="118">
        <v>131830</v>
      </c>
      <c r="B592" s="101">
        <f t="shared" ca="1" si="243"/>
        <v>2157.5562282972342</v>
      </c>
      <c r="C592" s="102">
        <f t="shared" ca="1" si="244"/>
        <v>1.5703328394369831</v>
      </c>
      <c r="D592" s="102">
        <f t="shared" si="245"/>
        <v>219.91919402938879</v>
      </c>
      <c r="E592" s="103">
        <f t="shared" si="246"/>
        <v>1.5662491864213484</v>
      </c>
      <c r="F592" s="101">
        <f t="shared" si="247"/>
        <v>17891.546098884563</v>
      </c>
      <c r="G592" s="104">
        <f t="shared" si="248"/>
        <v>1.5707404344759772</v>
      </c>
      <c r="H592" s="113">
        <f t="shared" si="249"/>
        <v>2153.6950904483624</v>
      </c>
      <c r="I592" s="114">
        <f t="shared" si="250"/>
        <v>1.570332008498232</v>
      </c>
      <c r="J592" s="101">
        <f t="shared" si="251"/>
        <v>219.36008900961801</v>
      </c>
      <c r="K592" s="104">
        <f t="shared" si="252"/>
        <v>1.5662375965892632</v>
      </c>
      <c r="L592" s="102">
        <f t="shared" si="253"/>
        <v>9.6191282443681096</v>
      </c>
      <c r="M592" s="103">
        <f t="shared" si="254"/>
        <v>1.4666486269819425</v>
      </c>
      <c r="N592" s="101">
        <f t="shared" si="255"/>
        <v>1.8284166050025272</v>
      </c>
      <c r="O592" s="104">
        <f t="shared" si="256"/>
        <v>0.99211396366025462</v>
      </c>
      <c r="P592" s="105">
        <f t="shared" ca="1" si="257"/>
        <v>7.6141588541847094</v>
      </c>
      <c r="Q592" s="106">
        <f t="shared" ca="1" si="258"/>
        <v>1.6678621911488392</v>
      </c>
      <c r="R592" s="107">
        <f t="shared" ca="1" si="259"/>
        <v>-16.061482973744646</v>
      </c>
      <c r="S592" s="108">
        <f t="shared" ca="1" si="260"/>
        <v>-158.36881226907724</v>
      </c>
      <c r="T592" s="116">
        <f t="shared" ca="1" si="261"/>
        <v>21.631187730922761</v>
      </c>
      <c r="V592" s="72">
        <f t="shared" ca="1" si="262"/>
        <v>131830</v>
      </c>
      <c r="W592" s="72">
        <f t="shared" si="263"/>
        <v>17379148900</v>
      </c>
      <c r="Y592" s="110">
        <f t="shared" si="264"/>
        <v>13.291185468078224</v>
      </c>
      <c r="Z592" s="111">
        <f t="shared" si="265"/>
        <v>-62.573371714553005</v>
      </c>
      <c r="AA592" s="72">
        <f t="shared" si="266"/>
        <v>117.42662828544699</v>
      </c>
      <c r="AB592" s="110">
        <f t="shared" ca="1" si="267"/>
        <v>-13.435068094941368</v>
      </c>
      <c r="AC592" s="111">
        <f t="shared" ca="1" si="268"/>
        <v>-95.79544055452422</v>
      </c>
      <c r="AD592" s="72">
        <f t="shared" ca="1" si="269"/>
        <v>84.20455944547578</v>
      </c>
    </row>
    <row r="593" spans="1:30">
      <c r="A593" s="118">
        <v>144540</v>
      </c>
      <c r="B593" s="101">
        <f t="shared" ca="1" si="243"/>
        <v>2365.5705955106173</v>
      </c>
      <c r="C593" s="102">
        <f t="shared" ca="1" si="244"/>
        <v>1.5703735957922027</v>
      </c>
      <c r="D593" s="102">
        <f t="shared" si="245"/>
        <v>241.12163431719333</v>
      </c>
      <c r="E593" s="103">
        <f t="shared" si="246"/>
        <v>1.5666490304748657</v>
      </c>
      <c r="F593" s="101">
        <f t="shared" si="247"/>
        <v>19616.506655947938</v>
      </c>
      <c r="G593" s="104">
        <f t="shared" si="248"/>
        <v>1.5707453493187347</v>
      </c>
      <c r="H593" s="113">
        <f t="shared" si="249"/>
        <v>2361.3371973859666</v>
      </c>
      <c r="I593" s="114">
        <f t="shared" si="250"/>
        <v>1.5703728379213051</v>
      </c>
      <c r="J593" s="101">
        <f t="shared" si="251"/>
        <v>240.50862377037777</v>
      </c>
      <c r="K593" s="104">
        <f t="shared" si="252"/>
        <v>1.5666384597478078</v>
      </c>
      <c r="L593" s="102">
        <f t="shared" si="253"/>
        <v>10.536941449621269</v>
      </c>
      <c r="M593" s="103">
        <f t="shared" si="254"/>
        <v>1.4757490821713202</v>
      </c>
      <c r="N593" s="101">
        <f t="shared" si="255"/>
        <v>1.9536362657583723</v>
      </c>
      <c r="O593" s="104">
        <f t="shared" si="256"/>
        <v>1.0334407989651202</v>
      </c>
      <c r="P593" s="105">
        <f t="shared" ca="1" si="257"/>
        <v>8.3800423129546981</v>
      </c>
      <c r="Q593" s="106">
        <f t="shared" ca="1" si="258"/>
        <v>1.7011383065945587</v>
      </c>
      <c r="R593" s="107">
        <f t="shared" ca="1" si="259"/>
        <v>-17.477238423830887</v>
      </c>
      <c r="S593" s="108">
        <f t="shared" ca="1" si="260"/>
        <v>-162.12216462028204</v>
      </c>
      <c r="T593" s="116">
        <f t="shared" ca="1" si="261"/>
        <v>17.877835379717965</v>
      </c>
      <c r="V593" s="72">
        <f t="shared" ca="1" si="262"/>
        <v>144540</v>
      </c>
      <c r="W593" s="72">
        <f t="shared" si="263"/>
        <v>20891811600</v>
      </c>
      <c r="Y593" s="110">
        <f t="shared" si="264"/>
        <v>12.707930523931132</v>
      </c>
      <c r="Z593" s="111">
        <f t="shared" si="265"/>
        <v>-64.440717299560376</v>
      </c>
      <c r="AA593" s="72">
        <f t="shared" si="266"/>
        <v>115.55928270043962</v>
      </c>
      <c r="AB593" s="110">
        <f t="shared" ca="1" si="267"/>
        <v>-14.267568600880516</v>
      </c>
      <c r="AC593" s="111">
        <f t="shared" ca="1" si="268"/>
        <v>-97.681447320721588</v>
      </c>
      <c r="AD593" s="72">
        <f t="shared" ca="1" si="269"/>
        <v>82.318552679278412</v>
      </c>
    </row>
    <row r="594" spans="1:30">
      <c r="A594" s="118">
        <v>158490</v>
      </c>
      <c r="B594" s="101">
        <f t="shared" ca="1" si="243"/>
        <v>2593.8790510924746</v>
      </c>
      <c r="C594" s="102">
        <f t="shared" ca="1" si="244"/>
        <v>1.5704108037982287</v>
      </c>
      <c r="D594" s="102">
        <f t="shared" si="245"/>
        <v>264.39264227482334</v>
      </c>
      <c r="E594" s="103">
        <f t="shared" si="246"/>
        <v>1.5670140642642465</v>
      </c>
      <c r="F594" s="101">
        <f t="shared" si="247"/>
        <v>21509.756048300467</v>
      </c>
      <c r="G594" s="104">
        <f t="shared" si="248"/>
        <v>1.570749836262967</v>
      </c>
      <c r="H594" s="113">
        <f t="shared" si="249"/>
        <v>2589.2370746231031</v>
      </c>
      <c r="I594" s="114">
        <f t="shared" si="250"/>
        <v>1.5704101126337211</v>
      </c>
      <c r="J594" s="101">
        <f t="shared" si="251"/>
        <v>263.72046721922715</v>
      </c>
      <c r="K594" s="104">
        <f t="shared" si="252"/>
        <v>1.5670044239252798</v>
      </c>
      <c r="L594" s="102">
        <f t="shared" si="253"/>
        <v>11.545134364331018</v>
      </c>
      <c r="M594" s="103">
        <f t="shared" si="254"/>
        <v>1.4840710783894955</v>
      </c>
      <c r="N594" s="101">
        <f t="shared" si="255"/>
        <v>2.0944276697359832</v>
      </c>
      <c r="O594" s="104">
        <f t="shared" si="256"/>
        <v>1.0730376328825861</v>
      </c>
      <c r="P594" s="105">
        <f t="shared" ca="1" si="257"/>
        <v>9.2354768584146214</v>
      </c>
      <c r="Q594" s="106">
        <f t="shared" ca="1" si="258"/>
        <v>1.7352430517568975</v>
      </c>
      <c r="R594" s="107">
        <f t="shared" ca="1" si="259"/>
        <v>-18.932521583874493</v>
      </c>
      <c r="S594" s="108">
        <f t="shared" ca="1" si="260"/>
        <v>-165.86844535714363</v>
      </c>
      <c r="T594" s="116">
        <f t="shared" ca="1" si="261"/>
        <v>14.131554642856372</v>
      </c>
      <c r="V594" s="72">
        <f t="shared" ca="1" si="262"/>
        <v>158490</v>
      </c>
      <c r="W594" s="72">
        <f t="shared" si="263"/>
        <v>25119080100</v>
      </c>
      <c r="Y594" s="110">
        <f t="shared" si="264"/>
        <v>12.096922062776127</v>
      </c>
      <c r="Z594" s="111">
        <f t="shared" si="265"/>
        <v>-66.251723108841304</v>
      </c>
      <c r="AA594" s="72">
        <f t="shared" si="266"/>
        <v>113.7482768911587</v>
      </c>
      <c r="AB594" s="110">
        <f t="shared" ca="1" si="267"/>
        <v>-15.111843299769118</v>
      </c>
      <c r="AC594" s="111">
        <f t="shared" ca="1" si="268"/>
        <v>-99.616722248302409</v>
      </c>
      <c r="AD594" s="72">
        <f t="shared" ca="1" si="269"/>
        <v>80.383277751697591</v>
      </c>
    </row>
    <row r="595" spans="1:30">
      <c r="A595" s="118">
        <v>173780</v>
      </c>
      <c r="B595" s="101">
        <f t="shared" ca="1" si="243"/>
        <v>2844.1182147991885</v>
      </c>
      <c r="C595" s="102">
        <f t="shared" ca="1" si="244"/>
        <v>1.5704447239622856</v>
      </c>
      <c r="D595" s="102">
        <f t="shared" si="245"/>
        <v>289.89903519426417</v>
      </c>
      <c r="E595" s="103">
        <f t="shared" si="246"/>
        <v>1.5673468431410829</v>
      </c>
      <c r="F595" s="101">
        <f t="shared" si="247"/>
        <v>23584.865956174435</v>
      </c>
      <c r="G595" s="104">
        <f t="shared" si="248"/>
        <v>1.5707539267235051</v>
      </c>
      <c r="H595" s="113">
        <f t="shared" si="249"/>
        <v>2839.0284130391383</v>
      </c>
      <c r="I595" s="114">
        <f t="shared" si="250"/>
        <v>1.5704440936097388</v>
      </c>
      <c r="J595" s="101">
        <f t="shared" si="251"/>
        <v>289.16201252988776</v>
      </c>
      <c r="K595" s="104">
        <f t="shared" si="252"/>
        <v>1.5673380509842798</v>
      </c>
      <c r="L595" s="102">
        <f t="shared" si="253"/>
        <v>12.650936619078788</v>
      </c>
      <c r="M595" s="103">
        <f t="shared" si="254"/>
        <v>1.4916682483716328</v>
      </c>
      <c r="N595" s="101">
        <f t="shared" si="255"/>
        <v>2.2520174626105112</v>
      </c>
      <c r="O595" s="104">
        <f t="shared" si="256"/>
        <v>1.1106867506075644</v>
      </c>
      <c r="P595" s="105">
        <f t="shared" ca="1" si="257"/>
        <v>10.192007052248353</v>
      </c>
      <c r="Q595" s="106">
        <f t="shared" ca="1" si="258"/>
        <v>1.7703067669061396</v>
      </c>
      <c r="R595" s="107">
        <f t="shared" ca="1" si="259"/>
        <v>-20.424141876094573</v>
      </c>
      <c r="S595" s="108">
        <f t="shared" ca="1" si="260"/>
        <v>-169.59957750443476</v>
      </c>
      <c r="T595" s="116">
        <f t="shared" ca="1" si="261"/>
        <v>10.400422495565238</v>
      </c>
      <c r="V595" s="72">
        <f t="shared" ca="1" si="262"/>
        <v>173780</v>
      </c>
      <c r="W595" s="72">
        <f t="shared" si="263"/>
        <v>30199488400</v>
      </c>
      <c r="Y595" s="110">
        <f t="shared" si="264"/>
        <v>11.461319935057798</v>
      </c>
      <c r="Z595" s="111">
        <f t="shared" si="265"/>
        <v>-67.990975704668756</v>
      </c>
      <c r="AA595" s="72">
        <f t="shared" si="266"/>
        <v>112.00902429533124</v>
      </c>
      <c r="AB595" s="110">
        <f t="shared" ca="1" si="267"/>
        <v>-15.967861464270865</v>
      </c>
      <c r="AC595" s="111">
        <f t="shared" ca="1" si="268"/>
        <v>-101.60860179976598</v>
      </c>
      <c r="AD595" s="72">
        <f t="shared" ca="1" si="269"/>
        <v>78.391398200234022</v>
      </c>
    </row>
    <row r="596" spans="1:30">
      <c r="A596" s="118">
        <v>190550</v>
      </c>
      <c r="B596" s="101">
        <f t="shared" ca="1" si="243"/>
        <v>3118.5793543162122</v>
      </c>
      <c r="C596" s="102">
        <f t="shared" ca="1" si="244"/>
        <v>1.5704756679616516</v>
      </c>
      <c r="D596" s="102">
        <f t="shared" si="245"/>
        <v>317.87435754434358</v>
      </c>
      <c r="E596" s="103">
        <f t="shared" si="246"/>
        <v>1.5676504245674339</v>
      </c>
      <c r="F596" s="101">
        <f t="shared" si="247"/>
        <v>25860.836731898253</v>
      </c>
      <c r="G596" s="104">
        <f t="shared" si="248"/>
        <v>1.5707576582858063</v>
      </c>
      <c r="H596" s="113">
        <f t="shared" si="249"/>
        <v>3112.9983798917483</v>
      </c>
      <c r="I596" s="114">
        <f t="shared" si="250"/>
        <v>1.5704750930854099</v>
      </c>
      <c r="J596" s="101">
        <f t="shared" si="251"/>
        <v>317.0662104062805</v>
      </c>
      <c r="K596" s="104">
        <f t="shared" si="252"/>
        <v>1.5676424061781593</v>
      </c>
      <c r="L596" s="102">
        <f t="shared" si="253"/>
        <v>13.864474494321842</v>
      </c>
      <c r="M596" s="103">
        <f t="shared" si="254"/>
        <v>1.4986068556353043</v>
      </c>
      <c r="N596" s="101">
        <f t="shared" si="255"/>
        <v>2.4280291425134797</v>
      </c>
      <c r="O596" s="104">
        <f t="shared" si="256"/>
        <v>1.1463056982890665</v>
      </c>
      <c r="P596" s="105">
        <f t="shared" ca="1" si="257"/>
        <v>11.265390190557394</v>
      </c>
      <c r="Q596" s="106">
        <f t="shared" ca="1" si="258"/>
        <v>1.806514108684089</v>
      </c>
      <c r="R596" s="107">
        <f t="shared" ca="1" si="259"/>
        <v>-21.952083659153008</v>
      </c>
      <c r="S596" s="108">
        <f t="shared" ca="1" si="260"/>
        <v>-173.31762279871404</v>
      </c>
      <c r="T596" s="116">
        <f t="shared" ca="1" si="261"/>
        <v>6.6823772012859592</v>
      </c>
      <c r="V596" s="72">
        <f t="shared" ca="1" si="262"/>
        <v>190550</v>
      </c>
      <c r="W596" s="72">
        <f t="shared" si="263"/>
        <v>36309302500</v>
      </c>
      <c r="Y596" s="110">
        <f t="shared" si="264"/>
        <v>10.803117220166294</v>
      </c>
      <c r="Z596" s="111">
        <f t="shared" si="265"/>
        <v>-69.650114099234727</v>
      </c>
      <c r="AA596" s="72">
        <f t="shared" si="266"/>
        <v>110.34988590076527</v>
      </c>
      <c r="AB596" s="110">
        <f t="shared" ca="1" si="267"/>
        <v>-16.837600532437801</v>
      </c>
      <c r="AC596" s="111">
        <f t="shared" ca="1" si="268"/>
        <v>-103.66750869947928</v>
      </c>
      <c r="AD596" s="72">
        <f t="shared" ca="1" si="269"/>
        <v>76.332491300520715</v>
      </c>
    </row>
    <row r="597" spans="1:30">
      <c r="A597" s="118">
        <v>208930</v>
      </c>
      <c r="B597" s="101">
        <f t="shared" ca="1" si="243"/>
        <v>3419.3900753755856</v>
      </c>
      <c r="C597" s="102">
        <f t="shared" ca="1" si="244"/>
        <v>1.570503876974253</v>
      </c>
      <c r="D597" s="102">
        <f t="shared" si="245"/>
        <v>348.53547228271248</v>
      </c>
      <c r="E597" s="103">
        <f t="shared" si="246"/>
        <v>1.5679271744372965</v>
      </c>
      <c r="F597" s="101">
        <f t="shared" si="247"/>
        <v>28355.311559779784</v>
      </c>
      <c r="G597" s="104">
        <f t="shared" si="248"/>
        <v>1.5707610600337434</v>
      </c>
      <c r="H597" s="113">
        <f t="shared" si="249"/>
        <v>3413.2707733729362</v>
      </c>
      <c r="I597" s="114">
        <f t="shared" si="250"/>
        <v>1.5705033526710426</v>
      </c>
      <c r="J597" s="101">
        <f t="shared" si="251"/>
        <v>347.64937245353161</v>
      </c>
      <c r="K597" s="104">
        <f t="shared" si="252"/>
        <v>1.5679198614299439</v>
      </c>
      <c r="L597" s="102">
        <f t="shared" si="253"/>
        <v>15.195156128174078</v>
      </c>
      <c r="M597" s="103">
        <f t="shared" si="254"/>
        <v>1.5049382837566616</v>
      </c>
      <c r="N597" s="101">
        <f t="shared" si="255"/>
        <v>2.6239769255550645</v>
      </c>
      <c r="O597" s="104">
        <f t="shared" si="256"/>
        <v>1.1798095461519957</v>
      </c>
      <c r="P597" s="105">
        <f t="shared" ca="1" si="257"/>
        <v>12.472985039111181</v>
      </c>
      <c r="Q597" s="106">
        <f t="shared" ca="1" si="258"/>
        <v>1.8439785797388695</v>
      </c>
      <c r="R597" s="107">
        <f t="shared" ca="1" si="259"/>
        <v>-23.514491159986797</v>
      </c>
      <c r="S597" s="108">
        <f t="shared" ca="1" si="260"/>
        <v>-177.02127627001065</v>
      </c>
      <c r="T597" s="116">
        <f t="shared" ca="1" si="261"/>
        <v>2.9787237299893548</v>
      </c>
      <c r="V597" s="72">
        <f t="shared" ca="1" si="262"/>
        <v>208930</v>
      </c>
      <c r="W597" s="72">
        <f t="shared" si="263"/>
        <v>43651744900</v>
      </c>
      <c r="Y597" s="110">
        <f t="shared" si="264"/>
        <v>10.125200129456612</v>
      </c>
      <c r="Z597" s="111">
        <f t="shared" si="265"/>
        <v>-71.221451837123539</v>
      </c>
      <c r="AA597" s="72">
        <f t="shared" si="266"/>
        <v>108.77854816287646</v>
      </c>
      <c r="AB597" s="110">
        <f t="shared" ca="1" si="267"/>
        <v>-17.722090942561902</v>
      </c>
      <c r="AC597" s="111">
        <f t="shared" ca="1" si="268"/>
        <v>-105.79982443288714</v>
      </c>
      <c r="AD597" s="72">
        <f t="shared" ca="1" si="269"/>
        <v>74.200175567112865</v>
      </c>
    </row>
    <row r="598" spans="1:30">
      <c r="A598" s="118">
        <v>229090</v>
      </c>
      <c r="B598" s="101">
        <f t="shared" ca="1" si="243"/>
        <v>3749.3326316537605</v>
      </c>
      <c r="C598" s="102">
        <f t="shared" ca="1" si="244"/>
        <v>1.570529612659316</v>
      </c>
      <c r="D598" s="102">
        <f t="shared" si="245"/>
        <v>382.16596969441827</v>
      </c>
      <c r="E598" s="103">
        <f t="shared" si="246"/>
        <v>1.5681796596385866</v>
      </c>
      <c r="F598" s="101">
        <f t="shared" si="247"/>
        <v>31091.362296224837</v>
      </c>
      <c r="G598" s="104">
        <f t="shared" si="248"/>
        <v>1.5707641635210379</v>
      </c>
      <c r="H598" s="113">
        <f t="shared" si="249"/>
        <v>3742.6228680683889</v>
      </c>
      <c r="I598" s="114">
        <f t="shared" si="250"/>
        <v>1.5705291344949643</v>
      </c>
      <c r="J598" s="101">
        <f t="shared" si="251"/>
        <v>381.19436795790415</v>
      </c>
      <c r="K598" s="104">
        <f t="shared" si="252"/>
        <v>1.5681729901691732</v>
      </c>
      <c r="L598" s="102">
        <f t="shared" si="253"/>
        <v>16.65528992671716</v>
      </c>
      <c r="M598" s="103">
        <f t="shared" si="254"/>
        <v>1.5107192100876869</v>
      </c>
      <c r="N598" s="101">
        <f t="shared" si="255"/>
        <v>2.84179631098025</v>
      </c>
      <c r="O598" s="104">
        <f t="shared" si="256"/>
        <v>1.2112067346557287</v>
      </c>
      <c r="P598" s="105">
        <f t="shared" ca="1" si="257"/>
        <v>13.83760987079426</v>
      </c>
      <c r="Q598" s="106">
        <f t="shared" ca="1" si="258"/>
        <v>1.8828413423599473</v>
      </c>
      <c r="R598" s="107">
        <f t="shared" ca="1" si="259"/>
        <v>-25.112129386892565</v>
      </c>
      <c r="S598" s="108">
        <f t="shared" ca="1" si="260"/>
        <v>-180.71586430720535</v>
      </c>
      <c r="T598" s="116">
        <f t="shared" ca="1" si="261"/>
        <v>-0.71586430720535077</v>
      </c>
      <c r="V598" s="72">
        <f t="shared" ca="1" si="262"/>
        <v>229090</v>
      </c>
      <c r="W598" s="72">
        <f t="shared" si="263"/>
        <v>52482228100</v>
      </c>
      <c r="Y598" s="110">
        <f t="shared" si="264"/>
        <v>9.4293814710377859</v>
      </c>
      <c r="Z598" s="111">
        <f t="shared" si="265"/>
        <v>-72.70235938366865</v>
      </c>
      <c r="AA598" s="72">
        <f t="shared" si="266"/>
        <v>107.29764061633135</v>
      </c>
      <c r="AB598" s="110">
        <f t="shared" ca="1" si="267"/>
        <v>-18.623910511048848</v>
      </c>
      <c r="AC598" s="111">
        <f t="shared" ca="1" si="268"/>
        <v>-108.01350492353671</v>
      </c>
      <c r="AD598" s="72">
        <f t="shared" ca="1" si="269"/>
        <v>71.986495076463285</v>
      </c>
    </row>
    <row r="599" spans="1:30">
      <c r="A599" s="118">
        <v>251190</v>
      </c>
      <c r="B599" s="101">
        <f t="shared" ca="1" si="243"/>
        <v>4111.0256148676208</v>
      </c>
      <c r="C599" s="102">
        <f t="shared" ca="1" si="244"/>
        <v>1.5705530784905695</v>
      </c>
      <c r="D599" s="102">
        <f t="shared" si="245"/>
        <v>419.03275849294062</v>
      </c>
      <c r="E599" s="103">
        <f t="shared" si="246"/>
        <v>1.5684098762634675</v>
      </c>
      <c r="F599" s="101">
        <f t="shared" si="247"/>
        <v>34090.70362961795</v>
      </c>
      <c r="G599" s="104">
        <f t="shared" si="248"/>
        <v>1.5707669932847701</v>
      </c>
      <c r="H599" s="113">
        <f t="shared" si="249"/>
        <v>4103.6685694919515</v>
      </c>
      <c r="I599" s="114">
        <f t="shared" si="250"/>
        <v>1.5705526423956906</v>
      </c>
      <c r="J599" s="101">
        <f t="shared" si="251"/>
        <v>417.96742704632192</v>
      </c>
      <c r="K599" s="104">
        <f t="shared" si="252"/>
        <v>1.5684037935750157</v>
      </c>
      <c r="L599" s="102">
        <f t="shared" si="253"/>
        <v>18.256464926231931</v>
      </c>
      <c r="M599" s="103">
        <f t="shared" si="254"/>
        <v>1.5159937824562209</v>
      </c>
      <c r="N599" s="101">
        <f t="shared" si="255"/>
        <v>3.0833167039780496</v>
      </c>
      <c r="O599" s="104">
        <f t="shared" si="256"/>
        <v>1.2404971228221411</v>
      </c>
      <c r="P599" s="105">
        <f t="shared" ca="1" si="257"/>
        <v>15.385052607948174</v>
      </c>
      <c r="Q599" s="106">
        <f t="shared" ca="1" si="258"/>
        <v>1.9231596579566372</v>
      </c>
      <c r="R599" s="107">
        <f t="shared" ca="1" si="259"/>
        <v>-26.744025693530389</v>
      </c>
      <c r="S599" s="108">
        <f t="shared" ca="1" si="260"/>
        <v>-184.40213186215459</v>
      </c>
      <c r="T599" s="116">
        <f t="shared" ca="1" si="261"/>
        <v>-4.4021318621545902</v>
      </c>
      <c r="V599" s="72">
        <f t="shared" ca="1" si="262"/>
        <v>251190</v>
      </c>
      <c r="W599" s="72">
        <f t="shared" si="263"/>
        <v>63096416100</v>
      </c>
      <c r="Y599" s="110">
        <f t="shared" si="264"/>
        <v>8.7182481829866614</v>
      </c>
      <c r="Z599" s="111">
        <f t="shared" si="265"/>
        <v>-74.090403563110812</v>
      </c>
      <c r="AA599" s="72">
        <f t="shared" si="266"/>
        <v>105.90959643688919</v>
      </c>
      <c r="AB599" s="110">
        <f t="shared" ca="1" si="267"/>
        <v>-19.544673529635549</v>
      </c>
      <c r="AC599" s="111">
        <f t="shared" ca="1" si="268"/>
        <v>-110.31172829904381</v>
      </c>
      <c r="AD599" s="72">
        <f t="shared" ca="1" si="269"/>
        <v>69.688271700956193</v>
      </c>
    </row>
    <row r="600" spans="1:30">
      <c r="A600" s="118">
        <v>275420</v>
      </c>
      <c r="B600" s="101">
        <f t="shared" ca="1" si="243"/>
        <v>4507.5786026999131</v>
      </c>
      <c r="C600" s="102">
        <f t="shared" ca="1" si="244"/>
        <v>1.5705744781936091</v>
      </c>
      <c r="D600" s="102">
        <f t="shared" si="245"/>
        <v>459.45279296142593</v>
      </c>
      <c r="E600" s="103">
        <f t="shared" si="246"/>
        <v>1.5686198229084296</v>
      </c>
      <c r="F600" s="101">
        <f t="shared" si="247"/>
        <v>37379.121752418047</v>
      </c>
      <c r="G600" s="104">
        <f t="shared" si="248"/>
        <v>1.5707695738923875</v>
      </c>
      <c r="H600" s="113">
        <f t="shared" si="249"/>
        <v>4499.5118904602996</v>
      </c>
      <c r="I600" s="114">
        <f t="shared" si="250"/>
        <v>1.5705740804640551</v>
      </c>
      <c r="J600" s="101">
        <f t="shared" si="251"/>
        <v>458.28469818086961</v>
      </c>
      <c r="K600" s="104">
        <f t="shared" si="252"/>
        <v>1.568614275337521</v>
      </c>
      <c r="L600" s="102">
        <f t="shared" si="253"/>
        <v>20.012447107172857</v>
      </c>
      <c r="M600" s="103">
        <f t="shared" si="254"/>
        <v>1.5208066073245869</v>
      </c>
      <c r="N600" s="101">
        <f t="shared" si="255"/>
        <v>3.3506939287206197</v>
      </c>
      <c r="O600" s="104">
        <f t="shared" si="256"/>
        <v>1.2677326663796089</v>
      </c>
      <c r="P600" s="105">
        <f t="shared" ca="1" si="257"/>
        <v>17.147700662070456</v>
      </c>
      <c r="Q600" s="106">
        <f t="shared" ca="1" si="258"/>
        <v>1.9649777531749102</v>
      </c>
      <c r="R600" s="107">
        <f t="shared" ca="1" si="259"/>
        <v>-28.410688654163479</v>
      </c>
      <c r="S600" s="108">
        <f t="shared" ca="1" si="260"/>
        <v>-188.08303569546911</v>
      </c>
      <c r="T600" s="116">
        <f t="shared" ca="1" si="261"/>
        <v>-8.0830356954691069</v>
      </c>
      <c r="V600" s="72">
        <f t="shared" ca="1" si="262"/>
        <v>275420</v>
      </c>
      <c r="W600" s="72">
        <f t="shared" si="263"/>
        <v>75856176400</v>
      </c>
      <c r="Y600" s="110">
        <f t="shared" si="264"/>
        <v>7.9937275004788555</v>
      </c>
      <c r="Z600" s="111">
        <f t="shared" si="265"/>
        <v>-75.386109974428891</v>
      </c>
      <c r="AA600" s="72">
        <f t="shared" si="266"/>
        <v>104.61389002557111</v>
      </c>
      <c r="AB600" s="110">
        <f t="shared" ca="1" si="267"/>
        <v>-20.486815807760831</v>
      </c>
      <c r="AC600" s="111">
        <f t="shared" ca="1" si="268"/>
        <v>-112.69692572104027</v>
      </c>
      <c r="AD600" s="72">
        <f t="shared" ca="1" si="269"/>
        <v>67.303074278959727</v>
      </c>
    </row>
    <row r="601" spans="1:30">
      <c r="A601" s="118">
        <v>302000</v>
      </c>
      <c r="B601" s="101">
        <f t="shared" ca="1" si="243"/>
        <v>4942.5921588052197</v>
      </c>
      <c r="C601" s="102">
        <f t="shared" ca="1" si="244"/>
        <v>1.5705940038083559</v>
      </c>
      <c r="D601" s="102">
        <f t="shared" si="245"/>
        <v>503.793073011248</v>
      </c>
      <c r="E601" s="103">
        <f t="shared" si="246"/>
        <v>1.5688113835508584</v>
      </c>
      <c r="F601" s="101">
        <f t="shared" si="247"/>
        <v>40986.474361159148</v>
      </c>
      <c r="G601" s="104">
        <f t="shared" si="248"/>
        <v>1.5707719285021504</v>
      </c>
      <c r="H601" s="113">
        <f t="shared" si="249"/>
        <v>4933.7469510989167</v>
      </c>
      <c r="I601" s="114">
        <f t="shared" si="250"/>
        <v>1.5705936410842676</v>
      </c>
      <c r="J601" s="101">
        <f t="shared" si="251"/>
        <v>502.51224821750304</v>
      </c>
      <c r="K601" s="104">
        <f t="shared" si="252"/>
        <v>1.5688063242356241</v>
      </c>
      <c r="L601" s="102">
        <f t="shared" si="253"/>
        <v>21.939180771121418</v>
      </c>
      <c r="M601" s="103">
        <f t="shared" si="254"/>
        <v>1.5251999757260624</v>
      </c>
      <c r="N601" s="101">
        <f t="shared" si="255"/>
        <v>3.6464212475307023</v>
      </c>
      <c r="O601" s="104">
        <f t="shared" si="256"/>
        <v>1.2929954620960153</v>
      </c>
      <c r="P601" s="105">
        <f t="shared" ca="1" si="257"/>
        <v>19.165917182614685</v>
      </c>
      <c r="Q601" s="106">
        <f t="shared" ca="1" si="258"/>
        <v>2.0083110694224349</v>
      </c>
      <c r="R601" s="107">
        <f t="shared" ca="1" si="259"/>
        <v>-30.113629691096051</v>
      </c>
      <c r="S601" s="108">
        <f t="shared" ca="1" si="260"/>
        <v>-191.761742817488</v>
      </c>
      <c r="T601" s="116">
        <f t="shared" ca="1" si="261"/>
        <v>-11.761742817487999</v>
      </c>
      <c r="V601" s="72">
        <f t="shared" ca="1" si="262"/>
        <v>302000</v>
      </c>
      <c r="W601" s="72">
        <f t="shared" si="263"/>
        <v>91204000000</v>
      </c>
      <c r="Y601" s="110">
        <f t="shared" si="264"/>
        <v>7.2572641602590409</v>
      </c>
      <c r="Z601" s="111">
        <f t="shared" si="265"/>
        <v>-76.591857841347689</v>
      </c>
      <c r="AA601" s="72">
        <f t="shared" si="266"/>
        <v>103.40814215865231</v>
      </c>
      <c r="AB601" s="110">
        <f t="shared" ca="1" si="267"/>
        <v>-21.453293504473585</v>
      </c>
      <c r="AC601" s="111">
        <f t="shared" ca="1" si="268"/>
        <v>-115.16988497614031</v>
      </c>
      <c r="AD601" s="72">
        <f t="shared" ca="1" si="269"/>
        <v>64.83011502385969</v>
      </c>
    </row>
    <row r="602" spans="1:30">
      <c r="A602" s="118">
        <v>331130</v>
      </c>
      <c r="B602" s="101">
        <f t="shared" ca="1" si="243"/>
        <v>5419.3395228832487</v>
      </c>
      <c r="C602" s="102">
        <f t="shared" ca="1" si="244"/>
        <v>1.570611802462835</v>
      </c>
      <c r="D602" s="102">
        <f t="shared" si="245"/>
        <v>552.38723506013991</v>
      </c>
      <c r="E602" s="103">
        <f t="shared" si="246"/>
        <v>1.568986001568782</v>
      </c>
      <c r="F602" s="101">
        <f t="shared" si="247"/>
        <v>44939.904816328373</v>
      </c>
      <c r="G602" s="104">
        <f t="shared" si="248"/>
        <v>1.5707740748563541</v>
      </c>
      <c r="H602" s="113">
        <f t="shared" si="249"/>
        <v>5409.6411333538135</v>
      </c>
      <c r="I602" s="114">
        <f t="shared" si="250"/>
        <v>1.5706114716481236</v>
      </c>
      <c r="J602" s="101">
        <f t="shared" si="251"/>
        <v>550.98286534210047</v>
      </c>
      <c r="K602" s="104">
        <f t="shared" si="252"/>
        <v>1.5689813873259892</v>
      </c>
      <c r="L602" s="102">
        <f t="shared" si="253"/>
        <v>24.051163771145845</v>
      </c>
      <c r="M602" s="103">
        <f t="shared" si="254"/>
        <v>1.5292063082835661</v>
      </c>
      <c r="N602" s="101">
        <f t="shared" si="255"/>
        <v>3.9727744783601615</v>
      </c>
      <c r="O602" s="104">
        <f t="shared" si="256"/>
        <v>1.3163462229727196</v>
      </c>
      <c r="P602" s="105">
        <f t="shared" ca="1" si="257"/>
        <v>21.485660873258919</v>
      </c>
      <c r="Q602" s="106">
        <f t="shared" ca="1" si="258"/>
        <v>2.0530580058709109</v>
      </c>
      <c r="R602" s="107">
        <f t="shared" ca="1" si="259"/>
        <v>-31.852071284008154</v>
      </c>
      <c r="S602" s="108">
        <f t="shared" ca="1" si="260"/>
        <v>-195.43405417564264</v>
      </c>
      <c r="T602" s="116">
        <f t="shared" ca="1" si="261"/>
        <v>-15.434054175642643</v>
      </c>
      <c r="V602" s="72">
        <f t="shared" ca="1" si="262"/>
        <v>331130</v>
      </c>
      <c r="W602" s="72">
        <f t="shared" si="263"/>
        <v>109647076900</v>
      </c>
      <c r="Y602" s="110">
        <f t="shared" si="264"/>
        <v>6.5112076037730908</v>
      </c>
      <c r="Z602" s="111">
        <f t="shared" si="265"/>
        <v>-77.709343679616495</v>
      </c>
      <c r="AA602" s="72">
        <f t="shared" si="266"/>
        <v>102.2906563203835</v>
      </c>
      <c r="AB602" s="110">
        <f t="shared" ca="1" si="267"/>
        <v>-22.445678540899738</v>
      </c>
      <c r="AC602" s="111">
        <f t="shared" ca="1" si="268"/>
        <v>-117.72471049602611</v>
      </c>
      <c r="AD602" s="72">
        <f t="shared" ca="1" si="269"/>
        <v>62.275289503973895</v>
      </c>
    </row>
    <row r="603" spans="1:30">
      <c r="A603" s="118">
        <v>363080</v>
      </c>
      <c r="B603" s="101">
        <f t="shared" ca="1" si="243"/>
        <v>5942.2395685449619</v>
      </c>
      <c r="C603" s="102">
        <f t="shared" ca="1" si="244"/>
        <v>1.5706280400751869</v>
      </c>
      <c r="D603" s="102">
        <f t="shared" si="245"/>
        <v>605.68568843245725</v>
      </c>
      <c r="E603" s="103">
        <f t="shared" si="246"/>
        <v>1.5691453046997559</v>
      </c>
      <c r="F603" s="101">
        <f t="shared" si="247"/>
        <v>49276.056654585314</v>
      </c>
      <c r="G603" s="104">
        <f t="shared" si="248"/>
        <v>1.5707760329632072</v>
      </c>
      <c r="H603" s="113">
        <f t="shared" si="249"/>
        <v>5931.6054028684848</v>
      </c>
      <c r="I603" s="114">
        <f t="shared" si="250"/>
        <v>1.5706277383712208</v>
      </c>
      <c r="J603" s="101">
        <f t="shared" si="251"/>
        <v>604.14581376642229</v>
      </c>
      <c r="K603" s="104">
        <f t="shared" si="252"/>
        <v>1.5691410964947856</v>
      </c>
      <c r="L603" s="102">
        <f t="shared" si="253"/>
        <v>26.367971733497097</v>
      </c>
      <c r="M603" s="103">
        <f t="shared" si="254"/>
        <v>1.5328624318240154</v>
      </c>
      <c r="N603" s="101">
        <f t="shared" si="255"/>
        <v>4.3328178237107604</v>
      </c>
      <c r="O603" s="104">
        <f t="shared" si="256"/>
        <v>1.3378999303526327</v>
      </c>
      <c r="P603" s="105">
        <f t="shared" ca="1" si="257"/>
        <v>24.167175430100748</v>
      </c>
      <c r="Q603" s="106">
        <f t="shared" ca="1" si="258"/>
        <v>2.0991375814403685</v>
      </c>
      <c r="R603" s="107">
        <f t="shared" ca="1" si="259"/>
        <v>-33.628408546674137</v>
      </c>
      <c r="S603" s="108">
        <f t="shared" ca="1" si="260"/>
        <v>-199.09980918678744</v>
      </c>
      <c r="T603" s="116">
        <f t="shared" ca="1" si="261"/>
        <v>-19.099809186787439</v>
      </c>
      <c r="V603" s="72">
        <f t="shared" ca="1" si="262"/>
        <v>363080</v>
      </c>
      <c r="W603" s="72">
        <f t="shared" si="263"/>
        <v>131827086400</v>
      </c>
      <c r="Y603" s="110">
        <f t="shared" si="264"/>
        <v>5.7564162717318803</v>
      </c>
      <c r="Z603" s="111">
        <f t="shared" si="265"/>
        <v>-78.743130536280717</v>
      </c>
      <c r="AA603" s="72">
        <f t="shared" si="266"/>
        <v>101.25686946371928</v>
      </c>
      <c r="AB603" s="110">
        <f t="shared" ca="1" si="267"/>
        <v>-23.467224471524517</v>
      </c>
      <c r="AC603" s="111">
        <f t="shared" ca="1" si="268"/>
        <v>-120.35667865050674</v>
      </c>
      <c r="AD603" s="72">
        <f t="shared" ca="1" si="269"/>
        <v>59.643321349493263</v>
      </c>
    </row>
    <row r="604" spans="1:30">
      <c r="A604" s="118">
        <v>398110</v>
      </c>
      <c r="B604" s="101">
        <f t="shared" ca="1" si="243"/>
        <v>6515.5475074300639</v>
      </c>
      <c r="C604" s="102">
        <f t="shared" ca="1" si="244"/>
        <v>1.5706428477506895</v>
      </c>
      <c r="D604" s="102">
        <f t="shared" si="245"/>
        <v>664.12216076635013</v>
      </c>
      <c r="E604" s="103">
        <f t="shared" si="246"/>
        <v>1.5692905791524365</v>
      </c>
      <c r="F604" s="101">
        <f t="shared" si="247"/>
        <v>54030.21624456688</v>
      </c>
      <c r="G604" s="104">
        <f t="shared" si="248"/>
        <v>1.5707778186328059</v>
      </c>
      <c r="H604" s="113">
        <f t="shared" si="249"/>
        <v>6503.8873562028803</v>
      </c>
      <c r="I604" s="114">
        <f t="shared" si="250"/>
        <v>1.5706425725938824</v>
      </c>
      <c r="J604" s="101">
        <f t="shared" si="251"/>
        <v>662.43371842795943</v>
      </c>
      <c r="K604" s="104">
        <f t="shared" si="252"/>
        <v>1.5692867412288398</v>
      </c>
      <c r="L604" s="102">
        <f t="shared" si="253"/>
        <v>28.908458445576255</v>
      </c>
      <c r="M604" s="103">
        <f t="shared" si="254"/>
        <v>1.5361974725113516</v>
      </c>
      <c r="N604" s="101">
        <f t="shared" si="255"/>
        <v>4.7295130430425925</v>
      </c>
      <c r="O604" s="104">
        <f t="shared" si="256"/>
        <v>1.3577500732008145</v>
      </c>
      <c r="P604" s="105">
        <f t="shared" ca="1" si="257"/>
        <v>27.280882342649758</v>
      </c>
      <c r="Q604" s="106">
        <f t="shared" ca="1" si="258"/>
        <v>2.1463583372705322</v>
      </c>
      <c r="R604" s="107">
        <f t="shared" ca="1" si="259"/>
        <v>-35.443029878986934</v>
      </c>
      <c r="S604" s="108">
        <f t="shared" ca="1" si="260"/>
        <v>-202.75172686334179</v>
      </c>
      <c r="T604" s="116">
        <f t="shared" ca="1" si="261"/>
        <v>-22.751726863341787</v>
      </c>
      <c r="V604" s="72">
        <f t="shared" ca="1" si="262"/>
        <v>398110</v>
      </c>
      <c r="W604" s="72">
        <f t="shared" si="263"/>
        <v>158491572100</v>
      </c>
      <c r="Y604" s="110">
        <f t="shared" si="264"/>
        <v>4.994447268539572</v>
      </c>
      <c r="Z604" s="111">
        <f t="shared" si="265"/>
        <v>-79.696973390964814</v>
      </c>
      <c r="AA604" s="72">
        <f t="shared" si="266"/>
        <v>100.30302660903519</v>
      </c>
      <c r="AB604" s="110">
        <f t="shared" ca="1" si="267"/>
        <v>-24.519876800645001</v>
      </c>
      <c r="AC604" s="111">
        <f t="shared" ca="1" si="268"/>
        <v>-123.05475347237692</v>
      </c>
      <c r="AD604" s="72">
        <f t="shared" ca="1" si="269"/>
        <v>56.945246527623084</v>
      </c>
    </row>
    <row r="605" spans="1:30">
      <c r="A605" s="118">
        <v>436520</v>
      </c>
      <c r="B605" s="101">
        <f t="shared" ca="1" si="243"/>
        <v>7144.1731991349161</v>
      </c>
      <c r="C605" s="102">
        <f t="shared" ca="1" si="244"/>
        <v>1.5706563525843908</v>
      </c>
      <c r="D605" s="102">
        <f t="shared" si="245"/>
        <v>728.1971071475233</v>
      </c>
      <c r="E605" s="103">
        <f t="shared" si="246"/>
        <v>1.5694230718004871</v>
      </c>
      <c r="F605" s="101">
        <f t="shared" si="247"/>
        <v>59243.098627009407</v>
      </c>
      <c r="G605" s="104">
        <f t="shared" si="248"/>
        <v>1.5707794471916479</v>
      </c>
      <c r="H605" s="113">
        <f t="shared" si="249"/>
        <v>7131.3880663228947</v>
      </c>
      <c r="I605" s="114">
        <f t="shared" si="250"/>
        <v>1.5706561016390115</v>
      </c>
      <c r="J605" s="101">
        <f t="shared" si="251"/>
        <v>726.34576206580414</v>
      </c>
      <c r="K605" s="104">
        <f t="shared" si="252"/>
        <v>1.5694195715797701</v>
      </c>
      <c r="L605" s="102">
        <f t="shared" si="253"/>
        <v>31.694380939740327</v>
      </c>
      <c r="M605" s="103">
        <f t="shared" si="254"/>
        <v>1.5392397555933095</v>
      </c>
      <c r="N605" s="101">
        <f t="shared" si="255"/>
        <v>5.1662815301458753</v>
      </c>
      <c r="O605" s="104">
        <f t="shared" si="256"/>
        <v>1.3760039772787753</v>
      </c>
      <c r="P605" s="105">
        <f t="shared" ca="1" si="257"/>
        <v>30.9139116606211</v>
      </c>
      <c r="Q605" s="106">
        <f t="shared" ca="1" si="258"/>
        <v>2.1944936153913535</v>
      </c>
      <c r="R605" s="107">
        <f t="shared" ca="1" si="259"/>
        <v>-37.297048072875583</v>
      </c>
      <c r="S605" s="108">
        <f t="shared" ca="1" si="260"/>
        <v>-206.38134810340969</v>
      </c>
      <c r="T605" s="116">
        <f t="shared" ca="1" si="261"/>
        <v>-26.381348103409692</v>
      </c>
      <c r="V605" s="72">
        <f t="shared" ca="1" si="262"/>
        <v>436520</v>
      </c>
      <c r="W605" s="72">
        <f t="shared" si="263"/>
        <v>190549710400</v>
      </c>
      <c r="Y605" s="110">
        <f t="shared" si="264"/>
        <v>4.2263416941022776</v>
      </c>
      <c r="Z605" s="111">
        <f t="shared" si="265"/>
        <v>-80.575463845453356</v>
      </c>
      <c r="AA605" s="72">
        <f t="shared" si="266"/>
        <v>99.424536154546644</v>
      </c>
      <c r="AB605" s="110">
        <f t="shared" ca="1" si="267"/>
        <v>-25.60578942009635</v>
      </c>
      <c r="AC605" s="111">
        <f t="shared" ca="1" si="268"/>
        <v>-125.80588425795631</v>
      </c>
      <c r="AD605" s="72">
        <f t="shared" ca="1" si="269"/>
        <v>54.194115742043692</v>
      </c>
    </row>
    <row r="606" spans="1:30">
      <c r="A606" s="118">
        <v>478630</v>
      </c>
      <c r="B606" s="101">
        <f t="shared" ca="1" si="243"/>
        <v>7833.3538272402702</v>
      </c>
      <c r="C606" s="102">
        <f t="shared" ca="1" si="244"/>
        <v>1.5706686675540695</v>
      </c>
      <c r="D606" s="102">
        <f t="shared" si="245"/>
        <v>798.44434644487262</v>
      </c>
      <c r="E606" s="103">
        <f t="shared" si="246"/>
        <v>1.5695438910229043</v>
      </c>
      <c r="F606" s="101">
        <f t="shared" si="247"/>
        <v>64958.133178699667</v>
      </c>
      <c r="G606" s="104">
        <f t="shared" si="248"/>
        <v>1.5707809322638178</v>
      </c>
      <c r="H606" s="113">
        <f t="shared" si="249"/>
        <v>7819.3353444034692</v>
      </c>
      <c r="I606" s="114">
        <f t="shared" si="250"/>
        <v>1.5706684386869334</v>
      </c>
      <c r="J606" s="101">
        <f t="shared" si="251"/>
        <v>796.4144063794148</v>
      </c>
      <c r="K606" s="104">
        <f t="shared" si="252"/>
        <v>1.5695406987515603</v>
      </c>
      <c r="L606" s="102">
        <f t="shared" si="253"/>
        <v>34.748949225241702</v>
      </c>
      <c r="M606" s="103">
        <f t="shared" si="254"/>
        <v>1.5420145045760394</v>
      </c>
      <c r="N606" s="101">
        <f t="shared" si="255"/>
        <v>5.646780542027086</v>
      </c>
      <c r="O606" s="104">
        <f t="shared" si="256"/>
        <v>1.3927653056054041</v>
      </c>
      <c r="P606" s="105">
        <f t="shared" ca="1" si="257"/>
        <v>35.171386166435923</v>
      </c>
      <c r="Q606" s="106">
        <f t="shared" ca="1" si="258"/>
        <v>2.243255540956306</v>
      </c>
      <c r="R606" s="107">
        <f t="shared" ca="1" si="259"/>
        <v>-39.190942681909974</v>
      </c>
      <c r="S606" s="108">
        <f t="shared" ca="1" si="260"/>
        <v>-209.97667407712794</v>
      </c>
      <c r="T606" s="116">
        <f t="shared" ca="1" si="261"/>
        <v>-29.976674077127939</v>
      </c>
      <c r="V606" s="72">
        <f t="shared" ca="1" si="262"/>
        <v>478630</v>
      </c>
      <c r="W606" s="72">
        <f t="shared" si="263"/>
        <v>229086676900</v>
      </c>
      <c r="Y606" s="110">
        <f t="shared" si="264"/>
        <v>3.453158916729727</v>
      </c>
      <c r="Z606" s="111">
        <f t="shared" si="265"/>
        <v>-81.383154115924469</v>
      </c>
      <c r="AA606" s="72">
        <f t="shared" si="266"/>
        <v>98.616845884075531</v>
      </c>
      <c r="AB606" s="110">
        <f t="shared" ca="1" si="267"/>
        <v>-26.726501251758204</v>
      </c>
      <c r="AC606" s="111">
        <f t="shared" ca="1" si="268"/>
        <v>-128.59351996120336</v>
      </c>
      <c r="AD606" s="72">
        <f t="shared" ca="1" si="269"/>
        <v>51.406480038796644</v>
      </c>
    </row>
    <row r="607" spans="1:30">
      <c r="A607" s="118">
        <v>524810</v>
      </c>
      <c r="B607" s="101">
        <f t="shared" ca="1" si="243"/>
        <v>8589.1448852726262</v>
      </c>
      <c r="C607" s="102">
        <f t="shared" ca="1" si="244"/>
        <v>1.5706799007693009</v>
      </c>
      <c r="D607" s="102">
        <f t="shared" si="245"/>
        <v>875.48110683602988</v>
      </c>
      <c r="E607" s="103">
        <f t="shared" si="246"/>
        <v>1.5696540974427842</v>
      </c>
      <c r="F607" s="101">
        <f t="shared" si="247"/>
        <v>71225.535116548766</v>
      </c>
      <c r="G607" s="104">
        <f t="shared" si="248"/>
        <v>1.5707822868863386</v>
      </c>
      <c r="H607" s="113">
        <f t="shared" si="249"/>
        <v>8573.7738471269076</v>
      </c>
      <c r="I607" s="114">
        <f t="shared" si="250"/>
        <v>1.5706796920410417</v>
      </c>
      <c r="J607" s="101">
        <f t="shared" si="251"/>
        <v>873.25531031954347</v>
      </c>
      <c r="K607" s="104">
        <f t="shared" si="252"/>
        <v>1.5696511860705968</v>
      </c>
      <c r="L607" s="102">
        <f t="shared" si="253"/>
        <v>38.099002377044727</v>
      </c>
      <c r="M607" s="103">
        <f t="shared" si="254"/>
        <v>1.544545905674394</v>
      </c>
      <c r="N607" s="101">
        <f t="shared" si="255"/>
        <v>6.1752465491207023</v>
      </c>
      <c r="O607" s="104">
        <f t="shared" si="256"/>
        <v>1.4081432281565904</v>
      </c>
      <c r="P607" s="105">
        <f t="shared" ca="1" si="257"/>
        <v>40.183013755702852</v>
      </c>
      <c r="Q607" s="106">
        <f t="shared" ca="1" si="258"/>
        <v>2.2923362797450362</v>
      </c>
      <c r="R607" s="107">
        <f t="shared" ca="1" si="259"/>
        <v>-41.125676102880277</v>
      </c>
      <c r="S607" s="108">
        <f t="shared" ca="1" si="260"/>
        <v>-213.52493728444892</v>
      </c>
      <c r="T607" s="116">
        <f t="shared" ca="1" si="261"/>
        <v>-33.524937284448924</v>
      </c>
      <c r="V607" s="72">
        <f t="shared" ca="1" si="262"/>
        <v>524810</v>
      </c>
      <c r="W607" s="72">
        <f t="shared" si="263"/>
        <v>275425536100</v>
      </c>
      <c r="Y607" s="110">
        <f t="shared" si="264"/>
        <v>2.6754870514662898</v>
      </c>
      <c r="Z607" s="111">
        <f t="shared" si="265"/>
        <v>-82.124968878971686</v>
      </c>
      <c r="AA607" s="72">
        <f t="shared" si="266"/>
        <v>97.875031121028314</v>
      </c>
      <c r="AB607" s="110">
        <f t="shared" ca="1" si="267"/>
        <v>-27.883562807465058</v>
      </c>
      <c r="AC607" s="111">
        <f t="shared" ca="1" si="268"/>
        <v>-131.39996840547721</v>
      </c>
      <c r="AD607" s="72">
        <f t="shared" ca="1" si="269"/>
        <v>48.60003159452279</v>
      </c>
    </row>
    <row r="608" spans="1:30">
      <c r="A608" s="118">
        <v>575440</v>
      </c>
      <c r="B608" s="101">
        <f t="shared" ca="1" si="243"/>
        <v>9417.7655287550733</v>
      </c>
      <c r="C608" s="102">
        <f t="shared" ca="1" si="244"/>
        <v>1.5706901444951966</v>
      </c>
      <c r="D608" s="102">
        <f t="shared" si="245"/>
        <v>959.94129843332041</v>
      </c>
      <c r="E608" s="103">
        <f t="shared" si="246"/>
        <v>1.5697545962406438</v>
      </c>
      <c r="F608" s="101">
        <f t="shared" si="247"/>
        <v>78096.876825493513</v>
      </c>
      <c r="G608" s="104">
        <f t="shared" si="248"/>
        <v>1.5707835221855362</v>
      </c>
      <c r="H608" s="113">
        <f t="shared" si="249"/>
        <v>9400.9116002844366</v>
      </c>
      <c r="I608" s="114">
        <f t="shared" si="250"/>
        <v>1.5706899541318609</v>
      </c>
      <c r="J608" s="101">
        <f t="shared" si="251"/>
        <v>957.50077236033212</v>
      </c>
      <c r="K608" s="104">
        <f t="shared" si="252"/>
        <v>1.5697519410245069</v>
      </c>
      <c r="L608" s="102">
        <f t="shared" si="253"/>
        <v>41.772106946609469</v>
      </c>
      <c r="M608" s="103">
        <f t="shared" si="254"/>
        <v>1.5468546199068804</v>
      </c>
      <c r="N608" s="101">
        <f t="shared" si="255"/>
        <v>6.7560393959945113</v>
      </c>
      <c r="O608" s="104">
        <f t="shared" si="256"/>
        <v>1.4222347422791131</v>
      </c>
      <c r="P608" s="105">
        <f t="shared" ca="1" si="257"/>
        <v>46.103188911183793</v>
      </c>
      <c r="Q608" s="106">
        <f t="shared" ca="1" si="258"/>
        <v>2.3413725033236679</v>
      </c>
      <c r="R608" s="107">
        <f t="shared" ca="1" si="259"/>
        <v>-43.100706097570544</v>
      </c>
      <c r="S608" s="108">
        <f t="shared" ca="1" si="260"/>
        <v>-217.00969504915099</v>
      </c>
      <c r="T608" s="116">
        <f t="shared" ca="1" si="261"/>
        <v>-37.009695049150992</v>
      </c>
      <c r="V608" s="72">
        <f t="shared" ca="1" si="262"/>
        <v>575440</v>
      </c>
      <c r="W608" s="72">
        <f t="shared" si="263"/>
        <v>331131193600</v>
      </c>
      <c r="Y608" s="110">
        <f t="shared" si="264"/>
        <v>1.8942272020916826</v>
      </c>
      <c r="Z608" s="111">
        <f t="shared" si="265"/>
        <v>-82.80532922085699</v>
      </c>
      <c r="AA608" s="72">
        <f t="shared" si="266"/>
        <v>97.19467077914301</v>
      </c>
      <c r="AB608" s="110">
        <f t="shared" ca="1" si="267"/>
        <v>-29.077332952780722</v>
      </c>
      <c r="AC608" s="111">
        <f t="shared" ca="1" si="268"/>
        <v>-134.20436582829404</v>
      </c>
      <c r="AD608" s="72">
        <f t="shared" ca="1" si="269"/>
        <v>45.795634171705956</v>
      </c>
    </row>
    <row r="609" spans="1:30">
      <c r="A609" s="118">
        <v>630960</v>
      </c>
      <c r="B609" s="101">
        <f t="shared" ca="1" si="243"/>
        <v>10326.41688514429</v>
      </c>
      <c r="C609" s="102">
        <f t="shared" ca="1" si="244"/>
        <v>1.5706994877835836</v>
      </c>
      <c r="D609" s="102">
        <f t="shared" si="245"/>
        <v>1052.5589225066601</v>
      </c>
      <c r="E609" s="103">
        <f t="shared" si="246"/>
        <v>1.569846261075007</v>
      </c>
      <c r="F609" s="101">
        <f t="shared" si="247"/>
        <v>85631.873698619762</v>
      </c>
      <c r="G609" s="104">
        <f t="shared" si="248"/>
        <v>1.5707846489002433</v>
      </c>
      <c r="H609" s="113">
        <f t="shared" si="249"/>
        <v>10307.936844274802</v>
      </c>
      <c r="I609" s="114">
        <f t="shared" si="250"/>
        <v>1.5706993141708696</v>
      </c>
      <c r="J609" s="101">
        <f t="shared" si="251"/>
        <v>1049.8829276645488</v>
      </c>
      <c r="K609" s="104">
        <f t="shared" si="252"/>
        <v>1.5698438394985941</v>
      </c>
      <c r="L609" s="102">
        <f t="shared" si="253"/>
        <v>45.800184082149102</v>
      </c>
      <c r="M609" s="103">
        <f t="shared" si="254"/>
        <v>1.5489606182530242</v>
      </c>
      <c r="N609" s="101">
        <f t="shared" si="255"/>
        <v>7.3942150135185996</v>
      </c>
      <c r="O609" s="104">
        <f t="shared" si="256"/>
        <v>1.4351397746522798</v>
      </c>
      <c r="P609" s="105">
        <f t="shared" ca="1" si="257"/>
        <v>53.121448865355639</v>
      </c>
      <c r="Q609" s="106">
        <f t="shared" ca="1" si="258"/>
        <v>2.3900109731124983</v>
      </c>
      <c r="R609" s="107">
        <f t="shared" ca="1" si="259"/>
        <v>-45.115901803853632</v>
      </c>
      <c r="S609" s="108">
        <f t="shared" ca="1" si="260"/>
        <v>-220.41529014931126</v>
      </c>
      <c r="T609" s="116">
        <f t="shared" ca="1" si="261"/>
        <v>-40.415290149311261</v>
      </c>
      <c r="V609" s="72">
        <f t="shared" ca="1" si="262"/>
        <v>630960</v>
      </c>
      <c r="W609" s="72">
        <f t="shared" si="263"/>
        <v>398110521600</v>
      </c>
      <c r="Y609" s="110">
        <f t="shared" si="264"/>
        <v>1.1098111921238809</v>
      </c>
      <c r="Z609" s="111">
        <f t="shared" si="265"/>
        <v>-83.428861954111099</v>
      </c>
      <c r="AA609" s="72">
        <f t="shared" si="266"/>
        <v>96.571138045888901</v>
      </c>
      <c r="AB609" s="110">
        <f t="shared" ca="1" si="267"/>
        <v>-30.30811264909601</v>
      </c>
      <c r="AC609" s="111">
        <f t="shared" ca="1" si="268"/>
        <v>-136.98642819520012</v>
      </c>
      <c r="AD609" s="72">
        <f t="shared" ca="1" si="269"/>
        <v>43.013571804799881</v>
      </c>
    </row>
    <row r="610" spans="1:30">
      <c r="A610" s="118">
        <v>691830</v>
      </c>
      <c r="B610" s="101">
        <f t="shared" ca="1" si="243"/>
        <v>11322.627405880085</v>
      </c>
      <c r="C610" s="102">
        <f t="shared" ca="1" si="244"/>
        <v>1.570708008071207</v>
      </c>
      <c r="D610" s="102">
        <f t="shared" si="245"/>
        <v>1154.1013440968825</v>
      </c>
      <c r="E610" s="103">
        <f t="shared" si="246"/>
        <v>1.5699298516536582</v>
      </c>
      <c r="F610" s="101">
        <f t="shared" si="247"/>
        <v>93892.955465063613</v>
      </c>
      <c r="G610" s="104">
        <f t="shared" si="248"/>
        <v>1.5707856763686205</v>
      </c>
      <c r="H610" s="113">
        <f t="shared" si="249"/>
        <v>11302.364557704541</v>
      </c>
      <c r="I610" s="114">
        <f t="shared" si="250"/>
        <v>1.5707078497336411</v>
      </c>
      <c r="J610" s="101">
        <f t="shared" si="251"/>
        <v>1151.167190343024</v>
      </c>
      <c r="K610" s="104">
        <f t="shared" si="252"/>
        <v>1.5699276431369906</v>
      </c>
      <c r="L610" s="102">
        <f t="shared" si="253"/>
        <v>50.216607647091102</v>
      </c>
      <c r="M610" s="103">
        <f t="shared" si="254"/>
        <v>1.550881279733106</v>
      </c>
      <c r="N610" s="101">
        <f t="shared" si="255"/>
        <v>8.0950674302130654</v>
      </c>
      <c r="O610" s="104">
        <f t="shared" si="256"/>
        <v>1.4469479469979021</v>
      </c>
      <c r="P610" s="105">
        <f t="shared" ca="1" si="257"/>
        <v>61.46380260274438</v>
      </c>
      <c r="Q610" s="106">
        <f t="shared" ca="1" si="258"/>
        <v>2.4378824089885498</v>
      </c>
      <c r="R610" s="107">
        <f t="shared" ca="1" si="259"/>
        <v>-47.169808293082902</v>
      </c>
      <c r="S610" s="108">
        <f t="shared" ca="1" si="260"/>
        <v>-223.72470423233125</v>
      </c>
      <c r="T610" s="116">
        <f t="shared" ca="1" si="261"/>
        <v>-43.724704232331248</v>
      </c>
      <c r="V610" s="72">
        <f t="shared" ca="1" si="262"/>
        <v>691830</v>
      </c>
      <c r="W610" s="72">
        <f t="shared" si="263"/>
        <v>478628748900</v>
      </c>
      <c r="Y610" s="110">
        <f t="shared" si="264"/>
        <v>0.32289562908193037</v>
      </c>
      <c r="Z610" s="111">
        <f t="shared" si="265"/>
        <v>-83.999746009915683</v>
      </c>
      <c r="AA610" s="72">
        <f t="shared" si="266"/>
        <v>96.000253990084317</v>
      </c>
      <c r="AB610" s="110">
        <f t="shared" ca="1" si="267"/>
        <v>-31.575103575283325</v>
      </c>
      <c r="AC610" s="111">
        <f t="shared" ca="1" si="268"/>
        <v>-139.72495822241558</v>
      </c>
      <c r="AD610" s="72">
        <f t="shared" ca="1" si="269"/>
        <v>40.27504177758442</v>
      </c>
    </row>
    <row r="611" spans="1:30">
      <c r="A611" s="118">
        <v>758580</v>
      </c>
      <c r="B611" s="101">
        <f t="shared" ca="1" si="243"/>
        <v>12415.071176324549</v>
      </c>
      <c r="C611" s="102">
        <f t="shared" ca="1" si="244"/>
        <v>1.5707157795320674</v>
      </c>
      <c r="D611" s="102">
        <f t="shared" si="245"/>
        <v>1265.4527012596272</v>
      </c>
      <c r="E611" s="103">
        <f t="shared" si="246"/>
        <v>1.5700060956759603</v>
      </c>
      <c r="F611" s="101">
        <f t="shared" si="247"/>
        <v>102952.05203013503</v>
      </c>
      <c r="G611" s="104">
        <f t="shared" si="248"/>
        <v>1.5707866135353714</v>
      </c>
      <c r="H611" s="113">
        <f t="shared" si="249"/>
        <v>12392.853302888721</v>
      </c>
      <c r="I611" s="114">
        <f t="shared" si="250"/>
        <v>1.5707156351271552</v>
      </c>
      <c r="J611" s="101">
        <f t="shared" si="251"/>
        <v>1262.2354506409283</v>
      </c>
      <c r="K611" s="104">
        <f t="shared" si="252"/>
        <v>1.570004081493831</v>
      </c>
      <c r="L611" s="102">
        <f t="shared" si="253"/>
        <v>55.059831820566878</v>
      </c>
      <c r="M611" s="103">
        <f t="shared" si="254"/>
        <v>1.5526332675948271</v>
      </c>
      <c r="N611" s="101">
        <f t="shared" si="255"/>
        <v>8.8647040588388073</v>
      </c>
      <c r="O611" s="104">
        <f t="shared" si="256"/>
        <v>1.4577487696851934</v>
      </c>
      <c r="P611" s="105">
        <f t="shared" ca="1" si="257"/>
        <v>71.406357571637429</v>
      </c>
      <c r="Q611" s="106">
        <f t="shared" ca="1" si="258"/>
        <v>2.484657011563133</v>
      </c>
      <c r="R611" s="107">
        <f t="shared" ca="1" si="259"/>
        <v>-49.261322570507467</v>
      </c>
      <c r="S611" s="108">
        <f t="shared" ca="1" si="260"/>
        <v>-226.92321562889379</v>
      </c>
      <c r="T611" s="116">
        <f t="shared" ca="1" si="261"/>
        <v>-46.923215628893786</v>
      </c>
      <c r="V611" s="72">
        <f t="shared" ca="1" si="262"/>
        <v>758580</v>
      </c>
      <c r="W611" s="72">
        <f t="shared" si="263"/>
        <v>575443616400</v>
      </c>
      <c r="Y611" s="110">
        <f t="shared" si="264"/>
        <v>-0.46626900672092553</v>
      </c>
      <c r="Z611" s="111">
        <f t="shared" si="265"/>
        <v>-84.522193276277974</v>
      </c>
      <c r="AA611" s="72">
        <f t="shared" si="266"/>
        <v>95.477806723722026</v>
      </c>
      <c r="AB611" s="110">
        <f t="shared" ca="1" si="267"/>
        <v>-32.877453216905039</v>
      </c>
      <c r="AC611" s="111">
        <f t="shared" ca="1" si="268"/>
        <v>-142.40102235261568</v>
      </c>
      <c r="AD611" s="72">
        <f t="shared" ca="1" si="269"/>
        <v>37.598977647384316</v>
      </c>
    </row>
    <row r="612" spans="1:30">
      <c r="A612" s="118">
        <v>831760</v>
      </c>
      <c r="B612" s="101">
        <f t="shared" ca="1" si="243"/>
        <v>13612.749605822144</v>
      </c>
      <c r="C612" s="102">
        <f t="shared" ca="1" si="244"/>
        <v>1.5707228662501973</v>
      </c>
      <c r="D612" s="102">
        <f t="shared" si="245"/>
        <v>1387.5304958139714</v>
      </c>
      <c r="E612" s="103">
        <f t="shared" si="246"/>
        <v>1.5700756218521323</v>
      </c>
      <c r="F612" s="101">
        <f t="shared" si="247"/>
        <v>112883.80763519413</v>
      </c>
      <c r="G612" s="104">
        <f t="shared" si="248"/>
        <v>1.5707874681284415</v>
      </c>
      <c r="H612" s="113">
        <f t="shared" si="249"/>
        <v>13588.388380349437</v>
      </c>
      <c r="I612" s="114">
        <f t="shared" si="250"/>
        <v>1.5707227345503336</v>
      </c>
      <c r="J612" s="101">
        <f t="shared" si="251"/>
        <v>1384.002877743995</v>
      </c>
      <c r="K612" s="104">
        <f t="shared" si="252"/>
        <v>1.5700737848818038</v>
      </c>
      <c r="L612" s="102">
        <f t="shared" si="253"/>
        <v>60.369763329311155</v>
      </c>
      <c r="M612" s="103">
        <f t="shared" si="254"/>
        <v>1.5542309854484668</v>
      </c>
      <c r="N612" s="101">
        <f t="shared" si="255"/>
        <v>9.7094702793503771</v>
      </c>
      <c r="O612" s="104">
        <f t="shared" si="256"/>
        <v>1.4676211417912894</v>
      </c>
      <c r="P612" s="105">
        <f t="shared" ca="1" si="257"/>
        <v>83.276909001519471</v>
      </c>
      <c r="Q612" s="106">
        <f t="shared" ca="1" si="258"/>
        <v>2.5300163765368771</v>
      </c>
      <c r="R612" s="107">
        <f t="shared" ca="1" si="259"/>
        <v>-51.387943801993373</v>
      </c>
      <c r="S612" s="108">
        <f t="shared" ca="1" si="260"/>
        <v>-229.99627696250866</v>
      </c>
      <c r="T612" s="116">
        <f t="shared" ca="1" si="261"/>
        <v>-49.996276962508659</v>
      </c>
      <c r="V612" s="72">
        <f t="shared" ca="1" si="262"/>
        <v>831760</v>
      </c>
      <c r="W612" s="72">
        <f t="shared" si="263"/>
        <v>691824697600</v>
      </c>
      <c r="Y612" s="110">
        <f t="shared" si="264"/>
        <v>-1.257135452614333</v>
      </c>
      <c r="Z612" s="111">
        <f t="shared" si="265"/>
        <v>-84.999931949959247</v>
      </c>
      <c r="AA612" s="72">
        <f t="shared" si="266"/>
        <v>95.000068050040753</v>
      </c>
      <c r="AB612" s="110">
        <f t="shared" ca="1" si="267"/>
        <v>-34.213208002497545</v>
      </c>
      <c r="AC612" s="111">
        <f t="shared" ca="1" si="268"/>
        <v>-144.99634501254945</v>
      </c>
      <c r="AD612" s="72">
        <f t="shared" ca="1" si="269"/>
        <v>35.003654987450545</v>
      </c>
    </row>
    <row r="613" spans="1:30">
      <c r="A613" s="118">
        <v>912010</v>
      </c>
      <c r="B613" s="101">
        <f t="shared" ca="1" si="243"/>
        <v>14926.137061616344</v>
      </c>
      <c r="C613" s="102">
        <f t="shared" ca="1" si="244"/>
        <v>1.5707293302239407</v>
      </c>
      <c r="D613" s="102">
        <f t="shared" si="245"/>
        <v>1521.4023663019655</v>
      </c>
      <c r="E613" s="103">
        <f t="shared" si="246"/>
        <v>1.570139038431112</v>
      </c>
      <c r="F613" s="101">
        <f t="shared" si="247"/>
        <v>123775.08103382439</v>
      </c>
      <c r="G613" s="104">
        <f t="shared" si="248"/>
        <v>1.5707882476242618</v>
      </c>
      <c r="H613" s="113">
        <f t="shared" si="249"/>
        <v>14899.425412518689</v>
      </c>
      <c r="I613" s="114">
        <f t="shared" si="250"/>
        <v>1.5707292101126713</v>
      </c>
      <c r="J613" s="101">
        <f t="shared" si="251"/>
        <v>1517.5343958574501</v>
      </c>
      <c r="K613" s="104">
        <f t="shared" si="252"/>
        <v>1.5701373631001678</v>
      </c>
      <c r="L613" s="102">
        <f t="shared" si="253"/>
        <v>66.192840502049279</v>
      </c>
      <c r="M613" s="103">
        <f t="shared" si="254"/>
        <v>1.5556883780331563</v>
      </c>
      <c r="N613" s="101">
        <f t="shared" si="255"/>
        <v>10.636756959876504</v>
      </c>
      <c r="O613" s="104">
        <f t="shared" si="256"/>
        <v>1.476643664740247</v>
      </c>
      <c r="P613" s="105">
        <f t="shared" ca="1" si="257"/>
        <v>97.475955307302698</v>
      </c>
      <c r="Q613" s="106">
        <f t="shared" ca="1" si="258"/>
        <v>2.5737086908617903</v>
      </c>
      <c r="R613" s="107">
        <f t="shared" ca="1" si="259"/>
        <v>-53.547876339694149</v>
      </c>
      <c r="S613" s="108">
        <f t="shared" ca="1" si="260"/>
        <v>-232.93316547427762</v>
      </c>
      <c r="T613" s="116">
        <f t="shared" ca="1" si="261"/>
        <v>-52.933165474277615</v>
      </c>
      <c r="V613" s="72">
        <f t="shared" ca="1" si="262"/>
        <v>912010</v>
      </c>
      <c r="W613" s="72">
        <f t="shared" si="263"/>
        <v>831762240100</v>
      </c>
      <c r="Y613" s="110">
        <f t="shared" si="264"/>
        <v>-2.0496095524573961</v>
      </c>
      <c r="Z613" s="111">
        <f t="shared" si="265"/>
        <v>-85.436698394807095</v>
      </c>
      <c r="AA613" s="72">
        <f t="shared" si="266"/>
        <v>94.563301605192905</v>
      </c>
      <c r="AB613" s="110">
        <f t="shared" ca="1" si="267"/>
        <v>-35.580666440355245</v>
      </c>
      <c r="AC613" s="111">
        <f t="shared" ca="1" si="268"/>
        <v>-147.49646707947051</v>
      </c>
      <c r="AD613" s="72">
        <f t="shared" ca="1" si="269"/>
        <v>32.503532920529494</v>
      </c>
    </row>
    <row r="614" spans="1:30">
      <c r="A614" s="118">
        <v>1000000</v>
      </c>
      <c r="B614" s="101">
        <f t="shared" ca="1" si="243"/>
        <v>16366.198896920723</v>
      </c>
      <c r="C614" s="102">
        <f t="shared" ca="1" si="244"/>
        <v>1.5707352252522035</v>
      </c>
      <c r="D614" s="102">
        <f t="shared" si="245"/>
        <v>1668.1859968767969</v>
      </c>
      <c r="E614" s="103">
        <f t="shared" si="246"/>
        <v>1.570196873219718</v>
      </c>
      <c r="F614" s="101">
        <f t="shared" si="247"/>
        <v>135716.80248368415</v>
      </c>
      <c r="G614" s="104">
        <f t="shared" si="248"/>
        <v>1.5707889585104859</v>
      </c>
      <c r="H614" s="113">
        <f t="shared" si="249"/>
        <v>16336.910129135546</v>
      </c>
      <c r="I614" s="114">
        <f t="shared" si="250"/>
        <v>1.5707351157095248</v>
      </c>
      <c r="J614" s="101">
        <f t="shared" si="251"/>
        <v>1663.9448475632562</v>
      </c>
      <c r="K614" s="104">
        <f t="shared" si="252"/>
        <v>1.5701953453010322</v>
      </c>
      <c r="L614" s="102">
        <f t="shared" si="253"/>
        <v>72.577679712357437</v>
      </c>
      <c r="M614" s="103">
        <f t="shared" si="254"/>
        <v>1.5570175500812815</v>
      </c>
      <c r="N614" s="101">
        <f t="shared" si="255"/>
        <v>11.654308283471664</v>
      </c>
      <c r="O614" s="104">
        <f t="shared" si="256"/>
        <v>1.4848855076223828</v>
      </c>
      <c r="P614" s="105">
        <f t="shared" ca="1" si="257"/>
        <v>114.47963251325822</v>
      </c>
      <c r="Q614" s="106">
        <f t="shared" ca="1" si="258"/>
        <v>2.6155136954858387</v>
      </c>
      <c r="R614" s="107">
        <f t="shared" ca="1" si="259"/>
        <v>-55.738202946108132</v>
      </c>
      <c r="S614" s="108">
        <f t="shared" ca="1" si="260"/>
        <v>-235.72453124024702</v>
      </c>
      <c r="T614" s="116">
        <f t="shared" ca="1" si="261"/>
        <v>-55.724531240247018</v>
      </c>
      <c r="V614" s="72">
        <f t="shared" ca="1" si="262"/>
        <v>1000000</v>
      </c>
      <c r="W614" s="72">
        <f t="shared" si="263"/>
        <v>1000000000000</v>
      </c>
      <c r="Y614" s="110">
        <f t="shared" si="264"/>
        <v>-2.8433213168201958</v>
      </c>
      <c r="Z614" s="111">
        <f t="shared" si="265"/>
        <v>-85.835789759616674</v>
      </c>
      <c r="AA614" s="72">
        <f t="shared" si="266"/>
        <v>94.164210240383326</v>
      </c>
      <c r="AB614" s="110">
        <f t="shared" ca="1" si="267"/>
        <v>-36.977281282406437</v>
      </c>
      <c r="AC614" s="111">
        <f t="shared" ca="1" si="268"/>
        <v>-149.8887414806303</v>
      </c>
      <c r="AD614" s="72">
        <f t="shared" ca="1" si="269"/>
        <v>30.111258519369699</v>
      </c>
    </row>
    <row r="615" spans="1:30">
      <c r="A615" s="120"/>
      <c r="B615" s="101"/>
      <c r="C615" s="102"/>
      <c r="D615" s="102"/>
      <c r="E615" s="103"/>
      <c r="F615" s="101"/>
      <c r="G615" s="104"/>
      <c r="H615" s="113"/>
      <c r="I615" s="114"/>
      <c r="J615" s="101"/>
      <c r="K615" s="104"/>
      <c r="L615" s="102"/>
      <c r="M615" s="103"/>
      <c r="N615" s="101"/>
      <c r="O615" s="104"/>
      <c r="P615" s="105"/>
      <c r="Q615" s="106"/>
      <c r="R615" s="107"/>
      <c r="S615" s="108"/>
      <c r="T615" s="116"/>
      <c r="Y615" s="110"/>
      <c r="Z615" s="111"/>
      <c r="AB615" s="110"/>
      <c r="AC615" s="111"/>
    </row>
    <row r="616" spans="1:30">
      <c r="A616" s="121"/>
      <c r="B616" s="101"/>
      <c r="C616" s="102"/>
      <c r="D616" s="102"/>
      <c r="E616" s="103"/>
      <c r="F616" s="101"/>
      <c r="G616" s="104"/>
      <c r="H616" s="113"/>
      <c r="I616" s="114"/>
      <c r="J616" s="101"/>
      <c r="K616" s="104"/>
      <c r="L616" s="102"/>
      <c r="M616" s="103"/>
      <c r="N616" s="101"/>
      <c r="O616" s="104"/>
      <c r="P616" s="105"/>
      <c r="Q616" s="106"/>
      <c r="R616" s="107"/>
      <c r="S616" s="108"/>
      <c r="T616" s="116"/>
      <c r="Y616" s="110"/>
      <c r="Z616" s="111"/>
      <c r="AB616" s="110"/>
      <c r="AC616" s="111"/>
    </row>
    <row r="617" spans="1:30">
      <c r="A617" s="122" t="s">
        <v>133</v>
      </c>
      <c r="B617" s="101"/>
      <c r="C617" s="102"/>
      <c r="D617" s="102"/>
      <c r="E617" s="103"/>
      <c r="F617" s="101"/>
      <c r="G617" s="104"/>
      <c r="H617" s="113"/>
      <c r="I617" s="114"/>
      <c r="J617" s="101"/>
      <c r="K617" s="104"/>
      <c r="L617" s="102"/>
      <c r="M617" s="103"/>
      <c r="N617" s="101"/>
      <c r="O617" s="104"/>
      <c r="P617" s="105"/>
      <c r="Q617" s="106"/>
      <c r="R617" s="107"/>
      <c r="S617" s="108"/>
      <c r="T617" s="116"/>
      <c r="Y617" s="110"/>
      <c r="Z617" s="111"/>
      <c r="AB617" s="110"/>
      <c r="AC617" s="111"/>
    </row>
    <row r="618" spans="1:30">
      <c r="A618" s="123">
        <f ca="1">R4*1000</f>
        <v>34674</v>
      </c>
      <c r="B618" s="101">
        <f t="shared" ref="B618:B623" ca="1" si="270">SQRT(1+(A618/Pole1)^2)</f>
        <v>567.48246057769563</v>
      </c>
      <c r="C618" s="102">
        <f t="shared" ref="C618:C623" ca="1" si="271">ATAN(A618/Pole1)</f>
        <v>1.5690341568830324</v>
      </c>
      <c r="D618" s="102">
        <f t="shared" ref="D618:D623" ca="1" si="272">SQRT(1+(A618/Zero1)^2)</f>
        <v>57.851314354670741</v>
      </c>
      <c r="E618" s="103">
        <f t="shared" ref="E618:E623" ca="1" si="273">ATAN(A618/Zero1)</f>
        <v>1.553509773895559</v>
      </c>
      <c r="F618" s="101">
        <f t="shared" ref="F618:F623" ca="1" si="274">SQRT(1+(A618/Pole2)^2)</f>
        <v>4705.8445154423753</v>
      </c>
      <c r="G618" s="104">
        <f t="shared" ref="G618:G623" ca="1" si="275">ATAN(A618/Pole2)</f>
        <v>1.570583825084684</v>
      </c>
      <c r="H618" s="113">
        <f t="shared" ref="H618:H623" ca="1" si="276">SQRT(1+(A618/Zero2)^2)</f>
        <v>566.46690342121792</v>
      </c>
      <c r="I618" s="114">
        <f t="shared" ref="I618:I623" ca="1" si="277">ATAN(A618/Zero2)</f>
        <v>1.5690309976761811</v>
      </c>
      <c r="J618" s="101">
        <f t="shared" ref="J618:J623" ca="1" si="278">SQRT(1+(A618/pole4)^2)</f>
        <v>57.704278744569152</v>
      </c>
      <c r="K618" s="104">
        <f t="shared" ref="K618:K623" ca="1" si="279">ATAN(A618/pole4)</f>
        <v>1.5534657218237755</v>
      </c>
      <c r="L618" s="102">
        <f t="shared" ref="L618:L623" ca="1" si="280">SQRT(1+(A618/Zerofeed)^2)</f>
        <v>2.7077415364585944</v>
      </c>
      <c r="M618" s="103">
        <f t="shared" ref="M618:M623" ca="1" si="281">ATAN(A618/Zerofeed)</f>
        <v>1.1925283261309576</v>
      </c>
      <c r="N618" s="101">
        <f t="shared" ref="N618:N623" ca="1" si="282">SQRT(1+(A618/Polefeed)^2)</f>
        <v>1.0780054379471082</v>
      </c>
      <c r="O618" s="104">
        <f t="shared" ref="O618:O623" ca="1" si="283">ATAN(A618/Polefeed)</f>
        <v>0.38275532492587305</v>
      </c>
      <c r="P618" s="105">
        <f t="shared" ref="P618:P623" ca="1" si="284">SQRT((1-(W618/pterm2))^2+(A618/pterm1)^2)</f>
        <v>2.1787740535439593</v>
      </c>
      <c r="Q618" s="106">
        <f t="shared" ref="Q618:Q623" ca="1" si="285">IF((ATAN((A618/pterm1)/(1-A618^2/pterm2))&gt;0),ATAN((A618/pterm1)/(1-A618^2/pterm2)),PI()+ATAN((A618/pterm1)/(1-A618^2/pterm2)))</f>
        <v>1.1551383958098915</v>
      </c>
      <c r="R618" s="107">
        <f t="shared" ref="R618:R623" ca="1" si="286">20*LOG10(((D618*H618*L618)/(B618*F618*P618*J618*N618))*Adc)</f>
        <v>-1.4574416079450264E-2</v>
      </c>
      <c r="S618" s="108">
        <f t="shared" ref="S618:S623" ca="1" si="287">((E618+I618+M618)-(C618+G618+Q618+K618+O618))*radconv</f>
        <v>-109.77346118645282</v>
      </c>
      <c r="T618" s="116">
        <f t="shared" ref="T618:T623" ca="1" si="288">IF(S618&gt;0,S618,S618+180)</f>
        <v>70.22653881354718</v>
      </c>
      <c r="U618" s="72" t="s">
        <v>134</v>
      </c>
      <c r="W618" s="72">
        <f ca="1">A618^2</f>
        <v>1202286276</v>
      </c>
      <c r="Y618" s="110">
        <f t="shared" ref="Y618:Y623" ca="1" si="289">20*LOG10(((H618*L618)/(F618*J618*N618))*Aea)</f>
        <v>18.468703760567927</v>
      </c>
      <c r="Z618" s="111">
        <f t="shared" ref="Z618:Z623" ca="1" si="290">(I618+M618-(G618+K618+O618))*radconv</f>
        <v>-42.699424651663513</v>
      </c>
      <c r="AA618" s="72">
        <f t="shared" ref="AA618:AA623" ca="1" si="291">IF(Z618&gt;0,Z618,Z618+180)</f>
        <v>137.30057534833648</v>
      </c>
      <c r="AB618" s="110">
        <f t="shared" ref="AB618:AB623" ca="1" si="292">20*LOG10((D618/(B618*P618))*Acs*Am)</f>
        <v>-2.5656778297658702</v>
      </c>
      <c r="AC618" s="111">
        <f t="shared" ref="AC618:AC623" ca="1" si="293">(E618-(C618+Q618))*radconv</f>
        <v>-67.074036534789329</v>
      </c>
      <c r="AD618" s="72">
        <f t="shared" ref="AD618:AD623" ca="1" si="294">IF(AC618&gt;0,AC618,AC618+180)</f>
        <v>112.92596346521067</v>
      </c>
    </row>
    <row r="619" spans="1:30">
      <c r="A619" s="122">
        <f ca="1">Pole1</f>
        <v>61.101542769032818</v>
      </c>
      <c r="B619" s="101">
        <f t="shared" ca="1" si="270"/>
        <v>1.4142135623730951</v>
      </c>
      <c r="C619" s="102">
        <f t="shared" ca="1" si="271"/>
        <v>0.78539816339744828</v>
      </c>
      <c r="D619" s="102">
        <f t="shared" ca="1" si="272"/>
        <v>1.0051813089706665</v>
      </c>
      <c r="E619" s="103">
        <f t="shared" ca="1" si="273"/>
        <v>0.10157790906092154</v>
      </c>
      <c r="F619" s="101">
        <f t="shared" ca="1" si="274"/>
        <v>8.3525837886202883</v>
      </c>
      <c r="G619" s="104">
        <f t="shared" ca="1" si="275"/>
        <v>1.4507850204377377</v>
      </c>
      <c r="H619" s="113">
        <f t="shared" ca="1" si="276"/>
        <v>1.4129486985827844</v>
      </c>
      <c r="I619" s="114">
        <f t="shared" ca="1" si="277"/>
        <v>0.78450256781231209</v>
      </c>
      <c r="J619" s="101">
        <f t="shared" ca="1" si="278"/>
        <v>1.0051550642937539</v>
      </c>
      <c r="K619" s="104">
        <f t="shared" ca="1" si="279"/>
        <v>0.10132142619848448</v>
      </c>
      <c r="L619" s="102">
        <f t="shared" ca="1" si="280"/>
        <v>1.0000098309599252</v>
      </c>
      <c r="M619" s="103">
        <f t="shared" ca="1" si="281"/>
        <v>4.4341581807596031E-3</v>
      </c>
      <c r="N619" s="101">
        <f t="shared" ca="1" si="282"/>
        <v>1.0000002516737794</v>
      </c>
      <c r="O619" s="104">
        <f t="shared" ca="1" si="283"/>
        <v>7.0946983970005678E-4</v>
      </c>
      <c r="P619" s="105">
        <f t="shared" ca="1" si="284"/>
        <v>1.000006168649715</v>
      </c>
      <c r="Q619" s="106">
        <f t="shared" ca="1" si="285"/>
        <v>3.5124414902178414E-3</v>
      </c>
      <c r="R619" s="107">
        <f t="shared" ca="1" si="286"/>
        <v>53.752217136683917</v>
      </c>
      <c r="S619" s="108">
        <f t="shared" ca="1" si="287"/>
        <v>-83.148316359769638</v>
      </c>
      <c r="T619" s="116">
        <f t="shared" ca="1" si="288"/>
        <v>96.851683640230362</v>
      </c>
      <c r="U619" s="72" t="s">
        <v>107</v>
      </c>
      <c r="Y619" s="110">
        <f t="shared" ca="1" si="289"/>
        <v>48.603932611223435</v>
      </c>
      <c r="Z619" s="111">
        <f t="shared" ca="1" si="290"/>
        <v>-43.767053722548368</v>
      </c>
      <c r="AA619" s="72">
        <f t="shared" ca="1" si="291"/>
        <v>136.23294627745162</v>
      </c>
      <c r="AB619" s="110">
        <f t="shared" ca="1" si="292"/>
        <v>21.065884872341986</v>
      </c>
      <c r="AC619" s="111">
        <f t="shared" ca="1" si="293"/>
        <v>-39.381262637221283</v>
      </c>
      <c r="AD619" s="72">
        <f t="shared" ca="1" si="294"/>
        <v>140.61873736277872</v>
      </c>
    </row>
    <row r="620" spans="1:30">
      <c r="A620" s="122">
        <f>Zero1</f>
        <v>599.45364698213314</v>
      </c>
      <c r="B620" s="101">
        <f t="shared" ca="1" si="270"/>
        <v>9.8616102676563955</v>
      </c>
      <c r="C620" s="102">
        <f t="shared" ca="1" si="271"/>
        <v>1.4692184177339751</v>
      </c>
      <c r="D620" s="102">
        <f t="shared" si="272"/>
        <v>1.4142135623730951</v>
      </c>
      <c r="E620" s="103">
        <f t="shared" si="273"/>
        <v>0.78539816339744828</v>
      </c>
      <c r="F620" s="101">
        <f t="shared" si="274"/>
        <v>81.362077804604766</v>
      </c>
      <c r="G620" s="104">
        <f t="shared" si="275"/>
        <v>1.5585052791012244</v>
      </c>
      <c r="H620" s="113">
        <f t="shared" si="276"/>
        <v>9.8441436706232235</v>
      </c>
      <c r="I620" s="114">
        <f t="shared" si="277"/>
        <v>1.4690375625623453</v>
      </c>
      <c r="J620" s="101">
        <f t="shared" si="278"/>
        <v>1.4124169773466884</v>
      </c>
      <c r="K620" s="104">
        <f t="shared" si="279"/>
        <v>0.7841253596723865</v>
      </c>
      <c r="L620" s="102">
        <f t="shared" si="280"/>
        <v>1.0009458006159433</v>
      </c>
      <c r="M620" s="103">
        <f t="shared" si="281"/>
        <v>4.3475413007432948E-2</v>
      </c>
      <c r="N620" s="101">
        <f t="shared" si="282"/>
        <v>1.0000242236524721</v>
      </c>
      <c r="O620" s="104">
        <f t="shared" si="283"/>
        <v>6.9603395742605986E-3</v>
      </c>
      <c r="P620" s="105">
        <f t="shared" ca="1" si="284"/>
        <v>1.0005935665770325</v>
      </c>
      <c r="Q620" s="106">
        <f t="shared" ca="1" si="285"/>
        <v>3.4447517503636442E-2</v>
      </c>
      <c r="R620" s="107">
        <f t="shared" ca="1" si="286"/>
        <v>33.986199257299432</v>
      </c>
      <c r="S620" s="108">
        <f t="shared" ca="1" si="287"/>
        <v>-89.114748670960282</v>
      </c>
      <c r="T620" s="116">
        <f t="shared" ca="1" si="288"/>
        <v>90.885251329039718</v>
      </c>
      <c r="U620" s="72" t="s">
        <v>101</v>
      </c>
      <c r="Y620" s="110">
        <f t="shared" si="289"/>
        <v>42.74626015432333</v>
      </c>
      <c r="Z620" s="111">
        <f t="shared" si="290"/>
        <v>-47.961036737228405</v>
      </c>
      <c r="AA620" s="72">
        <f t="shared" si="291"/>
        <v>132.0389632627716</v>
      </c>
      <c r="AB620" s="110">
        <f t="shared" ca="1" si="292"/>
        <v>7.157539449857607</v>
      </c>
      <c r="AC620" s="111">
        <f t="shared" ca="1" si="293"/>
        <v>-41.153711933731884</v>
      </c>
      <c r="AD620" s="72">
        <f t="shared" ca="1" si="294"/>
        <v>138.84628806626813</v>
      </c>
    </row>
    <row r="621" spans="1:30">
      <c r="A621" s="122">
        <f>Pole2</f>
        <v>7.3682844108220547</v>
      </c>
      <c r="B621" s="101">
        <f t="shared" ca="1" si="270"/>
        <v>1.0072448277192672</v>
      </c>
      <c r="C621" s="102">
        <f t="shared" ca="1" si="271"/>
        <v>0.12001130635715898</v>
      </c>
      <c r="D621" s="102">
        <f t="shared" si="272"/>
        <v>1.0000755396816003</v>
      </c>
      <c r="E621" s="103">
        <f t="shared" si="273"/>
        <v>1.2291047693672274E-2</v>
      </c>
      <c r="F621" s="101">
        <f t="shared" si="274"/>
        <v>1.4142135623730951</v>
      </c>
      <c r="G621" s="104">
        <f t="shared" si="275"/>
        <v>0.78539816339744828</v>
      </c>
      <c r="H621" s="113">
        <f t="shared" si="276"/>
        <v>1.007219013236446</v>
      </c>
      <c r="I621" s="114">
        <f t="shared" si="277"/>
        <v>0.11979858625907987</v>
      </c>
      <c r="J621" s="101">
        <f t="shared" si="278"/>
        <v>1.0000751560842016</v>
      </c>
      <c r="K621" s="104">
        <f t="shared" si="279"/>
        <v>1.2259802402377675E-2</v>
      </c>
      <c r="L621" s="102">
        <f t="shared" si="280"/>
        <v>1.0000001429639171</v>
      </c>
      <c r="M621" s="103">
        <f t="shared" si="281"/>
        <v>5.3472217125823834E-4</v>
      </c>
      <c r="N621" s="101">
        <f t="shared" si="282"/>
        <v>1.0000000036598764</v>
      </c>
      <c r="O621" s="104">
        <f t="shared" si="283"/>
        <v>8.555555534680705E-5</v>
      </c>
      <c r="P621" s="105">
        <f t="shared" ca="1" si="284"/>
        <v>1.0000000897056587</v>
      </c>
      <c r="Q621" s="106">
        <f t="shared" ca="1" si="285"/>
        <v>4.2356971798765273E-4</v>
      </c>
      <c r="R621" s="107">
        <f t="shared" ca="1" si="286"/>
        <v>69.185630820691557</v>
      </c>
      <c r="S621" s="108">
        <f t="shared" ca="1" si="287"/>
        <v>-45.008931197727243</v>
      </c>
      <c r="T621" s="116">
        <f t="shared" ca="1" si="288"/>
        <v>134.99106880227276</v>
      </c>
      <c r="U621" s="72" t="s">
        <v>111</v>
      </c>
      <c r="X621" s="72">
        <f>Pole2</f>
        <v>7.3682844108220547</v>
      </c>
      <c r="Y621" s="110">
        <f t="shared" si="289"/>
        <v>61.133926440299213</v>
      </c>
      <c r="Z621" s="111">
        <f t="shared" si="290"/>
        <v>-38.812746244001502</v>
      </c>
      <c r="AA621" s="72">
        <f t="shared" si="291"/>
        <v>141.18725375599848</v>
      </c>
      <c r="AB621" s="110">
        <f t="shared" ca="1" si="292"/>
        <v>23.969304727273844</v>
      </c>
      <c r="AC621" s="111">
        <f t="shared" ca="1" si="293"/>
        <v>-6.1961849537257425</v>
      </c>
      <c r="AD621" s="72">
        <f t="shared" ca="1" si="294"/>
        <v>173.80381504627425</v>
      </c>
    </row>
    <row r="622" spans="1:30">
      <c r="A622" s="122">
        <f>Zero2</f>
        <v>61.211085448158286</v>
      </c>
      <c r="B622" s="101">
        <f t="shared" ca="1" si="270"/>
        <v>1.4154818291535569</v>
      </c>
      <c r="C622" s="102">
        <f t="shared" ca="1" si="271"/>
        <v>0.78629375898258447</v>
      </c>
      <c r="D622" s="102">
        <f t="shared" si="272"/>
        <v>1.0051998556018868</v>
      </c>
      <c r="E622" s="103">
        <f t="shared" si="273"/>
        <v>0.10175876423255122</v>
      </c>
      <c r="F622" s="101">
        <f t="shared" si="274"/>
        <v>8.3673438275094174</v>
      </c>
      <c r="G622" s="104">
        <f t="shared" si="275"/>
        <v>1.4509977405358168</v>
      </c>
      <c r="H622" s="113">
        <f t="shared" si="276"/>
        <v>1.4142135623730951</v>
      </c>
      <c r="I622" s="114">
        <f t="shared" si="277"/>
        <v>0.78539816339744828</v>
      </c>
      <c r="J622" s="101">
        <f t="shared" si="278"/>
        <v>1.0051735172225995</v>
      </c>
      <c r="K622" s="104">
        <f t="shared" si="279"/>
        <v>0.10150183100595321</v>
      </c>
      <c r="L622" s="102">
        <f t="shared" si="280"/>
        <v>1.0000098662411852</v>
      </c>
      <c r="M622" s="103">
        <f t="shared" si="281"/>
        <v>4.4421076229635582E-3</v>
      </c>
      <c r="N622" s="101">
        <f t="shared" si="282"/>
        <v>1.0000002525769884</v>
      </c>
      <c r="O622" s="104">
        <f t="shared" si="283"/>
        <v>7.1074177486450728E-4</v>
      </c>
      <c r="P622" s="105">
        <f t="shared" ca="1" si="284"/>
        <v>1.0000061907877502</v>
      </c>
      <c r="Q622" s="106">
        <f t="shared" ca="1" si="285"/>
        <v>3.518738538518531E-3</v>
      </c>
      <c r="R622" s="107">
        <f t="shared" ca="1" si="286"/>
        <v>53.736868629442185</v>
      </c>
      <c r="S622" s="108">
        <f t="shared" ca="1" si="287"/>
        <v>-83.160456720975375</v>
      </c>
      <c r="T622" s="116">
        <f t="shared" ca="1" si="288"/>
        <v>96.839543279024625</v>
      </c>
      <c r="U622" s="72" t="s">
        <v>105</v>
      </c>
      <c r="X622" s="72">
        <f>Zero2</f>
        <v>61.211085448158286</v>
      </c>
      <c r="Y622" s="110">
        <f t="shared" si="289"/>
        <v>48.596210049584975</v>
      </c>
      <c r="Z622" s="111">
        <f t="shared" si="290"/>
        <v>-43.737881680274505</v>
      </c>
      <c r="AA622" s="72">
        <f t="shared" si="291"/>
        <v>136.26211831972549</v>
      </c>
      <c r="AB622" s="110">
        <f t="shared" ca="1" si="292"/>
        <v>21.058258926738709</v>
      </c>
      <c r="AC622" s="111">
        <f t="shared" ca="1" si="293"/>
        <v>-39.42257504070087</v>
      </c>
      <c r="AD622" s="72">
        <f t="shared" ca="1" si="294"/>
        <v>140.57742495929912</v>
      </c>
    </row>
    <row r="623" spans="1:30">
      <c r="A623" s="122">
        <f>Pole3</f>
        <v>100000</v>
      </c>
      <c r="B623" s="101">
        <f t="shared" ca="1" si="270"/>
        <v>1636.6201921446805</v>
      </c>
      <c r="C623" s="102">
        <f t="shared" ca="1" si="271"/>
        <v>1.5701853114432451</v>
      </c>
      <c r="D623" s="102">
        <f t="shared" si="272"/>
        <v>166.82156695630914</v>
      </c>
      <c r="E623" s="103">
        <f t="shared" si="273"/>
        <v>1.5648018621270192</v>
      </c>
      <c r="F623" s="101">
        <f t="shared" si="274"/>
        <v>13571.680284841423</v>
      </c>
      <c r="G623" s="104">
        <f t="shared" si="275"/>
        <v>1.5707226439509216</v>
      </c>
      <c r="H623" s="113">
        <f t="shared" si="276"/>
        <v>1633.6913159083988</v>
      </c>
      <c r="I623" s="114">
        <f t="shared" si="277"/>
        <v>1.5701842160168635</v>
      </c>
      <c r="J623" s="101">
        <f t="shared" si="278"/>
        <v>166.39745958794887</v>
      </c>
      <c r="K623" s="104">
        <f t="shared" si="279"/>
        <v>1.564786583485088</v>
      </c>
      <c r="L623" s="102">
        <f t="shared" si="280"/>
        <v>7.3256532762816038</v>
      </c>
      <c r="M623" s="103">
        <f t="shared" si="281"/>
        <v>1.4338621897294936</v>
      </c>
      <c r="N623" s="101">
        <f t="shared" si="282"/>
        <v>1.5323932314069919</v>
      </c>
      <c r="O623" s="104">
        <f t="shared" si="283"/>
        <v>0.85981981073624869</v>
      </c>
      <c r="P623" s="105">
        <f t="shared" ca="1" si="284"/>
        <v>5.834883255362227</v>
      </c>
      <c r="Q623" s="106" t="e">
        <f t="shared" ca="1" si="285"/>
        <v>#DIV/0!</v>
      </c>
      <c r="R623" s="107">
        <f t="shared" ca="1" si="286"/>
        <v>-12.181091505537708</v>
      </c>
      <c r="S623" s="108" t="e">
        <f t="shared" ca="1" si="287"/>
        <v>#DIV/0!</v>
      </c>
      <c r="T623" s="116" t="e">
        <f t="shared" ca="1" si="288"/>
        <v>#DIV/0!</v>
      </c>
      <c r="U623" s="72" t="s">
        <v>102</v>
      </c>
      <c r="Y623" s="110">
        <f t="shared" si="289"/>
        <v>14.859716119755008</v>
      </c>
      <c r="Z623" s="111">
        <f t="shared" si="290"/>
        <v>-56.796311207521498</v>
      </c>
      <c r="AA623" s="72">
        <f t="shared" si="291"/>
        <v>123.2036887924785</v>
      </c>
      <c r="AB623" s="110">
        <f t="shared" ca="1" si="292"/>
        <v>-11.123207278411213</v>
      </c>
      <c r="AC623" s="111" t="e">
        <f t="shared" ca="1" si="293"/>
        <v>#DIV/0!</v>
      </c>
      <c r="AD623" s="72" t="e">
        <f t="shared" ca="1" si="294"/>
        <v>#DIV/0!</v>
      </c>
    </row>
    <row r="624" spans="1:30" ht="13.5" thickBot="1">
      <c r="A624" s="122"/>
      <c r="M624" s="103"/>
      <c r="Y624" s="124"/>
      <c r="Z624" s="125"/>
    </row>
    <row r="625" spans="1:13">
      <c r="A625" s="122"/>
      <c r="M625" s="103"/>
    </row>
    <row r="626" spans="1:13">
      <c r="A626" s="122"/>
      <c r="C626" s="126"/>
      <c r="D626" s="126"/>
      <c r="M626" s="103"/>
    </row>
    <row r="627" spans="1:13">
      <c r="A627" s="122"/>
      <c r="C627" s="126"/>
      <c r="D627" s="126"/>
      <c r="M627" s="103"/>
    </row>
    <row r="628" spans="1:13">
      <c r="A628" s="122"/>
      <c r="C628" s="126"/>
      <c r="D628" s="126"/>
      <c r="M628" s="103"/>
    </row>
    <row r="629" spans="1:13">
      <c r="A629" s="122"/>
      <c r="C629" s="126"/>
      <c r="D629" s="126"/>
      <c r="M629" s="103"/>
    </row>
    <row r="630" spans="1:13">
      <c r="A630" s="122"/>
      <c r="C630" s="126"/>
      <c r="D630" s="126"/>
      <c r="M630" s="103"/>
    </row>
    <row r="631" spans="1:13">
      <c r="A631" s="122"/>
      <c r="M631" s="103"/>
    </row>
    <row r="632" spans="1:13">
      <c r="M632" s="103"/>
    </row>
    <row r="633" spans="1:13">
      <c r="M633" s="103"/>
    </row>
    <row r="634" spans="1:13">
      <c r="M634" s="103"/>
    </row>
  </sheetData>
  <mergeCells count="19">
    <mergeCell ref="P11:Q11"/>
    <mergeCell ref="L12:M12"/>
    <mergeCell ref="N12:O12"/>
    <mergeCell ref="AB11:AC11"/>
    <mergeCell ref="Y11:Z11"/>
    <mergeCell ref="A2:C2"/>
    <mergeCell ref="G2:I2"/>
    <mergeCell ref="D2:F2"/>
    <mergeCell ref="A11:A13"/>
    <mergeCell ref="R11:T11"/>
    <mergeCell ref="H12:I12"/>
    <mergeCell ref="F11:I11"/>
    <mergeCell ref="B12:C12"/>
    <mergeCell ref="D12:E12"/>
    <mergeCell ref="B11:E11"/>
    <mergeCell ref="F12:G12"/>
    <mergeCell ref="J2:P2"/>
    <mergeCell ref="J12:K12"/>
    <mergeCell ref="P12:Q12"/>
  </mergeCells>
  <phoneticPr fontId="20" type="noConversion"/>
  <pageMargins left="0.75" right="0.75" top="1" bottom="1" header="0.5" footer="0.5"/>
  <pageSetup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P17"/>
  <sheetViews>
    <sheetView workbookViewId="0">
      <selection activeCell="C13" sqref="C13"/>
    </sheetView>
  </sheetViews>
  <sheetFormatPr defaultRowHeight="14.25"/>
  <cols>
    <col min="1" max="1" width="10.625" customWidth="1"/>
    <col min="2" max="2" width="11.75" customWidth="1"/>
    <col min="3" max="3" width="9.75" customWidth="1"/>
    <col min="4" max="4" width="11.125" customWidth="1"/>
    <col min="5" max="5" width="17.375" customWidth="1"/>
    <col min="6" max="6" width="16.625" customWidth="1"/>
    <col min="7" max="7" width="8.75" customWidth="1"/>
    <col min="9" max="9" width="10" customWidth="1"/>
    <col min="15" max="15" width="10.125" customWidth="1"/>
    <col min="16" max="16" width="10" customWidth="1"/>
    <col min="20" max="20" width="13.5" customWidth="1"/>
    <col min="21" max="21" width="13.75" customWidth="1"/>
    <col min="22" max="22" width="8" customWidth="1"/>
    <col min="23" max="23" width="7.625" customWidth="1"/>
    <col min="24" max="27" width="8.125" customWidth="1"/>
    <col min="37" max="37" width="9.5" customWidth="1"/>
    <col min="38" max="39" width="9.625" customWidth="1"/>
  </cols>
  <sheetData>
    <row r="1" spans="1:42" ht="71.25" customHeight="1">
      <c r="A1" s="31" t="s">
        <v>31</v>
      </c>
      <c r="B1" s="67" t="s">
        <v>68</v>
      </c>
      <c r="C1" s="65" t="s">
        <v>69</v>
      </c>
      <c r="D1" s="65" t="s">
        <v>34</v>
      </c>
      <c r="E1" s="65" t="s">
        <v>61</v>
      </c>
      <c r="F1" s="65" t="s">
        <v>70</v>
      </c>
      <c r="G1" s="66" t="s">
        <v>62</v>
      </c>
      <c r="H1" s="66" t="s">
        <v>63</v>
      </c>
      <c r="I1" s="65" t="s">
        <v>153</v>
      </c>
      <c r="J1" s="65" t="s">
        <v>139</v>
      </c>
      <c r="K1" s="66" t="s">
        <v>66</v>
      </c>
      <c r="L1" s="66" t="s">
        <v>67</v>
      </c>
      <c r="M1" s="66" t="s">
        <v>64</v>
      </c>
      <c r="N1" s="66" t="s">
        <v>65</v>
      </c>
      <c r="O1" s="66" t="s">
        <v>71</v>
      </c>
      <c r="P1" s="66" t="s">
        <v>72</v>
      </c>
      <c r="Q1" s="65" t="s">
        <v>73</v>
      </c>
      <c r="R1" s="65" t="s">
        <v>86</v>
      </c>
      <c r="S1" s="65" t="s">
        <v>87</v>
      </c>
      <c r="T1" s="65" t="s">
        <v>88</v>
      </c>
      <c r="U1" s="65" t="s">
        <v>89</v>
      </c>
      <c r="V1" s="65" t="s">
        <v>90</v>
      </c>
      <c r="W1" s="65" t="s">
        <v>91</v>
      </c>
      <c r="X1" s="66" t="s">
        <v>151</v>
      </c>
      <c r="Y1" s="66" t="s">
        <v>152</v>
      </c>
      <c r="Z1" s="65" t="s">
        <v>93</v>
      </c>
      <c r="AA1" s="65" t="s">
        <v>94</v>
      </c>
      <c r="AB1" s="66" t="s">
        <v>92</v>
      </c>
      <c r="AC1" s="65" t="s">
        <v>32</v>
      </c>
      <c r="AD1" s="149" t="s">
        <v>141</v>
      </c>
      <c r="AE1" s="150" t="s">
        <v>144</v>
      </c>
      <c r="AF1" s="150" t="s">
        <v>142</v>
      </c>
      <c r="AG1" s="152" t="s">
        <v>140</v>
      </c>
      <c r="AH1" s="149" t="s">
        <v>143</v>
      </c>
      <c r="AI1" s="150" t="s">
        <v>145</v>
      </c>
      <c r="AJ1" s="150" t="s">
        <v>146</v>
      </c>
      <c r="AK1" s="150" t="s">
        <v>147</v>
      </c>
      <c r="AL1" s="150" t="s">
        <v>148</v>
      </c>
      <c r="AM1" s="149" t="s">
        <v>157</v>
      </c>
      <c r="AN1" s="149" t="s">
        <v>155</v>
      </c>
      <c r="AO1" s="150" t="s">
        <v>163</v>
      </c>
      <c r="AP1" s="168" t="s">
        <v>164</v>
      </c>
    </row>
    <row r="2" spans="1:42">
      <c r="A2" s="31" t="s">
        <v>243</v>
      </c>
      <c r="B2" s="68"/>
      <c r="C2" s="31">
        <v>0.52</v>
      </c>
      <c r="D2" s="31">
        <v>2</v>
      </c>
      <c r="E2" s="32">
        <v>200</v>
      </c>
      <c r="F2" s="32">
        <v>8</v>
      </c>
      <c r="G2" s="32">
        <v>36</v>
      </c>
      <c r="H2" s="32">
        <v>6.3</v>
      </c>
      <c r="I2" s="32">
        <v>5</v>
      </c>
      <c r="J2" s="32">
        <v>6</v>
      </c>
      <c r="K2" s="32"/>
      <c r="L2" s="32"/>
      <c r="M2" s="32"/>
      <c r="N2" s="32"/>
      <c r="O2" s="32">
        <v>80</v>
      </c>
      <c r="P2" s="32"/>
      <c r="Q2" s="32">
        <v>0.8</v>
      </c>
      <c r="R2" s="32">
        <v>0.9</v>
      </c>
      <c r="S2" s="32"/>
      <c r="T2" s="32">
        <v>14</v>
      </c>
      <c r="U2" s="32"/>
      <c r="V2" s="32">
        <f>R2+('EZBuck design calculator'!N17/T2)</f>
        <v>0.95714285714285718</v>
      </c>
      <c r="W2" s="32" t="e">
        <f>S2+('EZBuck design calculator'!N17/U2)</f>
        <v>#DIV/0!</v>
      </c>
      <c r="X2" s="32">
        <f ca="1">((O2/1000)/POWER((5-R2),0.433))*(1+(2*'EZBuck design calculator'!N80)*0.0048)</f>
        <v>5.4585737880211448E-2</v>
      </c>
      <c r="Y2" s="32">
        <f ca="1">((P2/1000)/POWER(('EZBuck design calculator'!N15-S2),0.433))*(1+(2*'EZBuck design calculator'!N81)*0.0048)</f>
        <v>0</v>
      </c>
      <c r="Z2" s="32">
        <v>1.6</v>
      </c>
      <c r="AA2" s="32"/>
      <c r="AB2" s="31">
        <v>1</v>
      </c>
      <c r="AC2" s="245" t="s">
        <v>237</v>
      </c>
      <c r="AD2" s="31">
        <v>3</v>
      </c>
      <c r="AE2" s="31">
        <v>0.5</v>
      </c>
      <c r="AF2" s="31">
        <v>0.4</v>
      </c>
      <c r="AG2" s="31">
        <v>62</v>
      </c>
      <c r="AH2" s="31"/>
      <c r="AI2" s="31"/>
      <c r="AJ2" s="31"/>
      <c r="AK2" s="31" t="e">
        <f ca="1">1*dieTemp('EZBuck design calculator'!$N$17,AG2,O2,'EZBuck design calculator'!$N$19,'EZBuck design calculator'!$N$16/'EZBuck design calculator'!$N$15,0.0048,'Efficiency calculations'!$K$301)</f>
        <v>#NAME?</v>
      </c>
      <c r="AL2" s="31" t="e">
        <f ca="1">1*dieTemp('EZBuck design calculator'!$N$17,AG2,P2,'EZBuck design calculator'!$N$19,'EZBuck design calculator'!$N$16/'EZBuck design calculator'!$N$15,0.0048,'Efficiency calculations'!$K$301)</f>
        <v>#NAME?</v>
      </c>
      <c r="AM2" s="245">
        <v>0</v>
      </c>
      <c r="AN2" s="31"/>
      <c r="AO2" s="31">
        <v>4</v>
      </c>
      <c r="AP2" s="31">
        <v>36</v>
      </c>
    </row>
    <row r="5" spans="1:42">
      <c r="A5" s="243"/>
    </row>
    <row r="17" spans="18:18">
      <c r="R17">
        <f>((O2/1000)/POWER(('EZBuck design calculator'!N15-R2),0.433))*(1+(2*25)*0.0048)</f>
        <v>3.498539827819435E-2</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User Guide</vt:lpstr>
      <vt:lpstr>EZBuck design calculator</vt:lpstr>
      <vt:lpstr>Sheet3</vt:lpstr>
      <vt:lpstr>Sheet2</vt:lpstr>
      <vt:lpstr>Sheet1 select</vt:lpstr>
      <vt:lpstr>Efficiency calculations</vt:lpstr>
      <vt:lpstr>Bode Plot Calculations</vt:lpstr>
      <vt:lpstr>Controller parameters</vt:lpstr>
      <vt:lpstr>Acs</vt:lpstr>
      <vt:lpstr>Adc</vt:lpstr>
      <vt:lpstr>Aea</vt:lpstr>
      <vt:lpstr>Afb</vt:lpstr>
      <vt:lpstr>Am</vt:lpstr>
      <vt:lpstr>CColHead</vt:lpstr>
      <vt:lpstr>CData</vt:lpstr>
      <vt:lpstr>ControllerList</vt:lpstr>
      <vt:lpstr>'Bode Plot Calculations'!Fcross</vt:lpstr>
      <vt:lpstr>N</vt:lpstr>
      <vt:lpstr>'Bode Plot Calculations'!PM</vt:lpstr>
      <vt:lpstr>Pole1</vt:lpstr>
      <vt:lpstr>Pole2</vt:lpstr>
      <vt:lpstr>Pole3</vt:lpstr>
      <vt:lpstr>pole4</vt:lpstr>
      <vt:lpstr>Polefeed</vt:lpstr>
      <vt:lpstr>pterm1</vt:lpstr>
      <vt:lpstr>pterm2</vt:lpstr>
      <vt:lpstr>radconv</vt:lpstr>
      <vt:lpstr>Zero1</vt:lpstr>
      <vt:lpstr>Zero2</vt:lpstr>
      <vt:lpstr>Zerofeed</vt:lpstr>
    </vt:vector>
  </TitlesOfParts>
  <Company>HOME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Jie</dc:creator>
  <cp:lastModifiedBy>User</cp:lastModifiedBy>
  <dcterms:created xsi:type="dcterms:W3CDTF">2008-04-24T14:54:09Z</dcterms:created>
  <dcterms:modified xsi:type="dcterms:W3CDTF">2026-07-20T22:25:09Z</dcterms:modified>
</cp:coreProperties>
</file>