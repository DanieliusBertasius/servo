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8C4F1C90-05EB-6A55-5F09-09C24B55AC0B}"/>
  <workbookPr codeName="ThisWorkbook" defaultThemeVersion="124226"/>
  <mc:AlternateContent xmlns:mc="http://schemas.openxmlformats.org/markup-compatibility/2006">
    <mc:Choice Requires="x15">
      <x15ac:absPath xmlns:x15ac="http://schemas.microsoft.com/office/spreadsheetml/2010/11/ac" url="C:\Users\12Lab\Desktop\servo\hardware\compensation\"/>
    </mc:Choice>
  </mc:AlternateContent>
  <workbookProtection workbookPassword="E072" lockStructure="1"/>
  <bookViews>
    <workbookView xWindow="480" yWindow="36" windowWidth="10620" windowHeight="9000" tabRatio="643" activeTab="1"/>
  </bookViews>
  <sheets>
    <sheet name="User Guide" sheetId="14" r:id="rId1"/>
    <sheet name="EZBuck design calculator" sheetId="1" r:id="rId2"/>
    <sheet name="Sheet3" sheetId="13" state="hidden" r:id="rId3"/>
    <sheet name="Sheet2" sheetId="11" state="hidden" r:id="rId4"/>
    <sheet name="Sheet1 select" sheetId="4" state="hidden" r:id="rId5"/>
    <sheet name="Efficiency calculations" sheetId="5" state="hidden" r:id="rId6"/>
    <sheet name="Bode Plot Calculations" sheetId="7" state="hidden" r:id="rId7"/>
    <sheet name="Controller parameters" sheetId="3" state="hidden" r:id="rId8"/>
  </sheets>
  <externalReferences>
    <externalReference r:id="rId9"/>
    <externalReference r:id="rId10"/>
  </externalReferences>
  <definedNames>
    <definedName name="_pic1">OFFSET(#REF!,MATCH(#REF!,faceno,0)-1,1,1,1)</definedName>
    <definedName name="Acs">'Bode Plot Calculations'!$E$3</definedName>
    <definedName name="Adc">'Bode Plot Calculations'!$R$3</definedName>
    <definedName name="Aea">'Bode Plot Calculations'!$B$6</definedName>
    <definedName name="Afb">'Bode Plot Calculations'!$B$3</definedName>
    <definedName name="Am">'Bode Plot Calculations'!$E$4</definedName>
    <definedName name="CColHead">'Controller parameters'!$A$1:$AP$1</definedName>
    <definedName name="CData">'Controller parameters'!$A$2:$AP$2</definedName>
    <definedName name="ControllerList">'Controller parameters'!$A$2</definedName>
    <definedName name="faceno">#REF!</definedName>
    <definedName name="Fcross" localSheetId="6">'Bode Plot Calculations'!$R$4</definedName>
    <definedName name="Fsw" localSheetId="6">'[1]Main Page'!$B$18</definedName>
    <definedName name="N">'Bode Plot Calculations'!$R$4</definedName>
    <definedName name="pic">OFFSET(#REF!,Sheet1 #REF!-1,1,1,1)</definedName>
    <definedName name="PM" localSheetId="6">'Bode Plot Calculations'!$R$5</definedName>
    <definedName name="Pole1">'Bode Plot Calculations'!$H$4</definedName>
    <definedName name="Pole2">'Bode Plot Calculations'!$B$5</definedName>
    <definedName name="Pole3">'Bode Plot Calculations'!$K$3</definedName>
    <definedName name="pole4">'Bode Plot Calculations'!$B$7</definedName>
    <definedName name="Polefeed">'Bode Plot Calculations'!$B$9</definedName>
    <definedName name="pterm1">'Bode Plot Calculations'!$K$4</definedName>
    <definedName name="pterm2">'Bode Plot Calculations'!$K$5</definedName>
    <definedName name="radconv">'Bode Plot Calculations'!$R$6</definedName>
    <definedName name="Vout" localSheetId="6">'[1]Main Page'!$B$6</definedName>
    <definedName name="x" localSheetId="2">OFFSET(Sheet3!$A$1,[2]Sheet2!$A$1-1,NOW()*0)</definedName>
    <definedName name="x">OFFSET(Sheet3!$A$1,Sheet2!$A$2-1,NOW()*0)</definedName>
    <definedName name="Zero1">'Bode Plot Calculations'!$H$3</definedName>
    <definedName name="Zero2">'Bode Plot Calculations'!$B$4</definedName>
    <definedName name="Zerofeed">'Bode Plot Calculations'!$B$8</definedName>
  </definedNames>
  <calcPr calcId="152511" iterate="1" iterateCount="1000" iterateDelta="1E-4"/>
</workbook>
</file>

<file path=xl/calcChain.xml><?xml version="1.0" encoding="utf-8"?>
<calcChain xmlns="http://schemas.openxmlformats.org/spreadsheetml/2006/main">
  <c r="N23" i="1" l="1"/>
  <c r="N28" i="1"/>
  <c r="N37" i="1"/>
  <c r="N38" i="1"/>
  <c r="N39" i="1"/>
  <c r="N44" i="1"/>
  <c r="N49" i="1"/>
  <c r="B8" i="7" s="1"/>
  <c r="F86" i="1"/>
  <c r="F89" i="1"/>
  <c r="B2" i="4"/>
  <c r="B6" i="4" s="1"/>
  <c r="B41" i="4"/>
  <c r="I154" i="5" s="1"/>
  <c r="B1" i="5"/>
  <c r="B2" i="5" s="1"/>
  <c r="B3" i="5"/>
  <c r="B8" i="5"/>
  <c r="B10" i="5"/>
  <c r="B11" i="5"/>
  <c r="B12" i="5"/>
  <c r="B13" i="5"/>
  <c r="B14" i="5"/>
  <c r="B15" i="5"/>
  <c r="B16" i="5"/>
  <c r="F20" i="5"/>
  <c r="F35" i="5"/>
  <c r="I35" i="5" s="1"/>
  <c r="F64" i="5"/>
  <c r="F65" i="5"/>
  <c r="F69" i="5"/>
  <c r="F79" i="5"/>
  <c r="G79" i="5" s="1"/>
  <c r="F83" i="5"/>
  <c r="F87" i="5"/>
  <c r="F88" i="5"/>
  <c r="F89" i="5"/>
  <c r="I89" i="5" s="1"/>
  <c r="F91" i="5"/>
  <c r="F93" i="5"/>
  <c r="F96" i="5"/>
  <c r="F97" i="5"/>
  <c r="F99" i="5"/>
  <c r="F102" i="5"/>
  <c r="F103" i="5"/>
  <c r="F105" i="5"/>
  <c r="F107" i="5"/>
  <c r="F109" i="5"/>
  <c r="F111" i="5"/>
  <c r="F112" i="5"/>
  <c r="F114" i="5"/>
  <c r="F116" i="5"/>
  <c r="F117" i="5"/>
  <c r="F118" i="5"/>
  <c r="F120" i="5"/>
  <c r="F121" i="5"/>
  <c r="F122" i="5"/>
  <c r="F124" i="5"/>
  <c r="F125" i="5"/>
  <c r="F126" i="5"/>
  <c r="F127" i="5"/>
  <c r="F128" i="5"/>
  <c r="F129" i="5"/>
  <c r="F131" i="5"/>
  <c r="F132" i="5"/>
  <c r="F133" i="5"/>
  <c r="F135" i="5"/>
  <c r="F136" i="5"/>
  <c r="F137" i="5"/>
  <c r="F139" i="5"/>
  <c r="F140" i="5"/>
  <c r="F141" i="5"/>
  <c r="F143" i="5"/>
  <c r="F144" i="5"/>
  <c r="F145" i="5"/>
  <c r="F147" i="5"/>
  <c r="F148" i="5"/>
  <c r="F150" i="5"/>
  <c r="F151" i="5"/>
  <c r="F152" i="5"/>
  <c r="F153" i="5"/>
  <c r="F154" i="5"/>
  <c r="F156" i="5"/>
  <c r="F157" i="5"/>
  <c r="F159" i="5"/>
  <c r="F160" i="5"/>
  <c r="F161" i="5"/>
  <c r="F163" i="5"/>
  <c r="F164" i="5"/>
  <c r="F166" i="5"/>
  <c r="F167" i="5"/>
  <c r="F168" i="5"/>
  <c r="F170" i="5"/>
  <c r="F171" i="5"/>
  <c r="F172" i="5"/>
  <c r="F174" i="5"/>
  <c r="F175" i="5"/>
  <c r="F176" i="5"/>
  <c r="F178" i="5"/>
  <c r="F179" i="5"/>
  <c r="F180" i="5"/>
  <c r="F182" i="5"/>
  <c r="F183" i="5"/>
  <c r="F184" i="5"/>
  <c r="F186" i="5"/>
  <c r="F187" i="5"/>
  <c r="F188" i="5"/>
  <c r="F190" i="5"/>
  <c r="F191" i="5"/>
  <c r="F193" i="5"/>
  <c r="F194" i="5"/>
  <c r="F195" i="5"/>
  <c r="F197" i="5"/>
  <c r="F198" i="5"/>
  <c r="F199" i="5"/>
  <c r="F201" i="5"/>
  <c r="F202" i="5"/>
  <c r="F203" i="5"/>
  <c r="F204" i="5"/>
  <c r="F205" i="5"/>
  <c r="F207" i="5"/>
  <c r="F208" i="5"/>
  <c r="F209" i="5"/>
  <c r="F211" i="5"/>
  <c r="F212" i="5"/>
  <c r="F213" i="5"/>
  <c r="F215" i="5"/>
  <c r="F216" i="5"/>
  <c r="F217" i="5"/>
  <c r="F219" i="5"/>
  <c r="F220" i="5"/>
  <c r="F222" i="5"/>
  <c r="F223" i="5"/>
  <c r="F225" i="5"/>
  <c r="F226" i="5"/>
  <c r="F227" i="5"/>
  <c r="F228" i="5"/>
  <c r="F229" i="5"/>
  <c r="F230" i="5"/>
  <c r="F232" i="5"/>
  <c r="F233" i="5"/>
  <c r="F234" i="5"/>
  <c r="F236" i="5"/>
  <c r="F237" i="5"/>
  <c r="F239" i="5"/>
  <c r="F240" i="5"/>
  <c r="F241" i="5"/>
  <c r="F243" i="5"/>
  <c r="F244" i="5"/>
  <c r="F246" i="5"/>
  <c r="F247" i="5"/>
  <c r="F248" i="5"/>
  <c r="F250" i="5"/>
  <c r="F251" i="5"/>
  <c r="F253" i="5"/>
  <c r="F254" i="5"/>
  <c r="F255" i="5"/>
  <c r="F256" i="5"/>
  <c r="F257" i="5"/>
  <c r="F258" i="5"/>
  <c r="F260" i="5"/>
  <c r="F261" i="5"/>
  <c r="F262" i="5"/>
  <c r="F264" i="5"/>
  <c r="F265" i="5"/>
  <c r="F266" i="5"/>
  <c r="F268" i="5"/>
  <c r="F269" i="5"/>
  <c r="F271" i="5"/>
  <c r="F272" i="5"/>
  <c r="F273" i="5"/>
  <c r="F275" i="5"/>
  <c r="F276" i="5"/>
  <c r="F278" i="5"/>
  <c r="F279" i="5"/>
  <c r="F280" i="5"/>
  <c r="F282" i="5"/>
  <c r="F283" i="5"/>
  <c r="F284" i="5"/>
  <c r="F286" i="5"/>
  <c r="F287" i="5"/>
  <c r="F288" i="5"/>
  <c r="F290" i="5"/>
  <c r="F291" i="5"/>
  <c r="F292" i="5"/>
  <c r="F294" i="5"/>
  <c r="F295" i="5"/>
  <c r="F296" i="5"/>
  <c r="F298" i="5"/>
  <c r="F299" i="5"/>
  <c r="F300" i="5"/>
  <c r="H3" i="7"/>
  <c r="K3" i="7"/>
  <c r="K5" i="7" s="1"/>
  <c r="B4" i="7"/>
  <c r="I115" i="7" s="1"/>
  <c r="R6" i="7"/>
  <c r="G7" i="7"/>
  <c r="B7" i="7" s="1"/>
  <c r="W14" i="7"/>
  <c r="W15" i="7"/>
  <c r="W16" i="7"/>
  <c r="W17" i="7"/>
  <c r="W18" i="7"/>
  <c r="W19" i="7"/>
  <c r="W20" i="7"/>
  <c r="W21" i="7"/>
  <c r="W22" i="7"/>
  <c r="W23" i="7"/>
  <c r="W24" i="7"/>
  <c r="W25" i="7"/>
  <c r="W26" i="7"/>
  <c r="W27" i="7"/>
  <c r="W28" i="7"/>
  <c r="W29" i="7"/>
  <c r="W30" i="7"/>
  <c r="W31" i="7"/>
  <c r="W32" i="7"/>
  <c r="W33" i="7"/>
  <c r="W34" i="7"/>
  <c r="W35" i="7"/>
  <c r="W36" i="7"/>
  <c r="W37" i="7"/>
  <c r="W38" i="7"/>
  <c r="W39" i="7"/>
  <c r="W40" i="7"/>
  <c r="W41" i="7"/>
  <c r="W42" i="7"/>
  <c r="W43" i="7"/>
  <c r="W44" i="7"/>
  <c r="W45" i="7"/>
  <c r="W46" i="7"/>
  <c r="W47" i="7"/>
  <c r="W48" i="7"/>
  <c r="W49" i="7"/>
  <c r="W50" i="7"/>
  <c r="W51" i="7"/>
  <c r="W52" i="7"/>
  <c r="W53" i="7"/>
  <c r="W54" i="7"/>
  <c r="W55" i="7"/>
  <c r="W56" i="7"/>
  <c r="W57" i="7"/>
  <c r="W58" i="7"/>
  <c r="W59" i="7"/>
  <c r="W60" i="7"/>
  <c r="W61" i="7"/>
  <c r="W62" i="7"/>
  <c r="W63" i="7"/>
  <c r="W64" i="7"/>
  <c r="W65" i="7"/>
  <c r="W66" i="7"/>
  <c r="W67" i="7"/>
  <c r="W68" i="7"/>
  <c r="W69" i="7"/>
  <c r="W70" i="7"/>
  <c r="W71" i="7"/>
  <c r="W72" i="7"/>
  <c r="W73" i="7"/>
  <c r="W74" i="7"/>
  <c r="W75" i="7"/>
  <c r="W76" i="7"/>
  <c r="W77" i="7"/>
  <c r="W78" i="7"/>
  <c r="W79" i="7"/>
  <c r="W80" i="7"/>
  <c r="W81" i="7"/>
  <c r="W82" i="7"/>
  <c r="W83" i="7"/>
  <c r="W84" i="7"/>
  <c r="W85" i="7"/>
  <c r="W86" i="7"/>
  <c r="W87" i="7"/>
  <c r="W88" i="7"/>
  <c r="W89" i="7"/>
  <c r="W90" i="7"/>
  <c r="W91" i="7"/>
  <c r="W92" i="7"/>
  <c r="W93" i="7"/>
  <c r="I94" i="7"/>
  <c r="W94" i="7"/>
  <c r="W95" i="7"/>
  <c r="W96" i="7"/>
  <c r="H97" i="7"/>
  <c r="W97" i="7"/>
  <c r="W98" i="7"/>
  <c r="W99" i="7"/>
  <c r="W100" i="7"/>
  <c r="W101" i="7"/>
  <c r="W102" i="7"/>
  <c r="W103" i="7"/>
  <c r="W104" i="7"/>
  <c r="H105" i="7"/>
  <c r="W105" i="7"/>
  <c r="W106" i="7"/>
  <c r="W107" i="7"/>
  <c r="H108" i="7"/>
  <c r="W108" i="7"/>
  <c r="W109" i="7"/>
  <c r="W110" i="7"/>
  <c r="W111" i="7"/>
  <c r="W112" i="7"/>
  <c r="D113" i="7"/>
  <c r="I113" i="7"/>
  <c r="W113" i="7"/>
  <c r="W114" i="7"/>
  <c r="W115" i="7"/>
  <c r="W116" i="7"/>
  <c r="W117" i="7"/>
  <c r="W118" i="7"/>
  <c r="E119" i="7"/>
  <c r="W119" i="7"/>
  <c r="W120" i="7"/>
  <c r="W121" i="7"/>
  <c r="W122" i="7"/>
  <c r="H123" i="7"/>
  <c r="W123" i="7"/>
  <c r="W124" i="7"/>
  <c r="D125" i="7"/>
  <c r="W125" i="7"/>
  <c r="W126" i="7"/>
  <c r="W127" i="7"/>
  <c r="W128" i="7"/>
  <c r="W129" i="7"/>
  <c r="W130" i="7"/>
  <c r="W131" i="7"/>
  <c r="I132" i="7"/>
  <c r="W132" i="7"/>
  <c r="W133" i="7"/>
  <c r="W134" i="7"/>
  <c r="D135" i="7"/>
  <c r="W135" i="7"/>
  <c r="W136" i="7"/>
  <c r="W137" i="7"/>
  <c r="W138" i="7"/>
  <c r="W139" i="7"/>
  <c r="W140" i="7"/>
  <c r="W141" i="7"/>
  <c r="J142" i="7"/>
  <c r="W142" i="7"/>
  <c r="J143" i="7"/>
  <c r="K143" i="7"/>
  <c r="W143" i="7"/>
  <c r="W144" i="7"/>
  <c r="E145" i="7"/>
  <c r="K145" i="7"/>
  <c r="W145" i="7"/>
  <c r="J146" i="7"/>
  <c r="W146" i="7"/>
  <c r="E147" i="7"/>
  <c r="J147" i="7"/>
  <c r="K147" i="7"/>
  <c r="W147" i="7"/>
  <c r="W148" i="7"/>
  <c r="K149" i="7"/>
  <c r="W149" i="7"/>
  <c r="J150" i="7"/>
  <c r="K150" i="7"/>
  <c r="W150" i="7"/>
  <c r="J151" i="7"/>
  <c r="K151" i="7"/>
  <c r="W151" i="7"/>
  <c r="W152" i="7"/>
  <c r="K153" i="7"/>
  <c r="W153" i="7"/>
  <c r="J154" i="7"/>
  <c r="K154" i="7"/>
  <c r="W154" i="7"/>
  <c r="J155" i="7"/>
  <c r="K155" i="7"/>
  <c r="W155" i="7"/>
  <c r="K156" i="7"/>
  <c r="W156" i="7"/>
  <c r="I157" i="7"/>
  <c r="K157" i="7"/>
  <c r="W157" i="7"/>
  <c r="E158" i="7"/>
  <c r="H158" i="7"/>
  <c r="J158" i="7"/>
  <c r="W158" i="7"/>
  <c r="E159" i="7"/>
  <c r="I159" i="7"/>
  <c r="K159" i="7"/>
  <c r="W159" i="7"/>
  <c r="K160" i="7"/>
  <c r="W160" i="7"/>
  <c r="K161" i="7"/>
  <c r="W161" i="7"/>
  <c r="E162" i="7"/>
  <c r="J162" i="7"/>
  <c r="K162" i="7"/>
  <c r="W162" i="7"/>
  <c r="K163" i="7"/>
  <c r="W163" i="7"/>
  <c r="E164" i="7"/>
  <c r="K164" i="7"/>
  <c r="W164" i="7"/>
  <c r="E165" i="7"/>
  <c r="J165" i="7"/>
  <c r="K165" i="7"/>
  <c r="W165" i="7"/>
  <c r="E166" i="7"/>
  <c r="J166" i="7"/>
  <c r="K166" i="7"/>
  <c r="W166" i="7"/>
  <c r="D167" i="7"/>
  <c r="J167" i="7"/>
  <c r="K167" i="7"/>
  <c r="W167" i="7"/>
  <c r="D168" i="7"/>
  <c r="J168" i="7"/>
  <c r="K168" i="7"/>
  <c r="W168" i="7"/>
  <c r="D169" i="7"/>
  <c r="I169" i="7"/>
  <c r="J169" i="7"/>
  <c r="K169" i="7"/>
  <c r="W169" i="7"/>
  <c r="D170" i="7"/>
  <c r="J170" i="7"/>
  <c r="K170" i="7"/>
  <c r="W170" i="7"/>
  <c r="E171" i="7"/>
  <c r="J171" i="7"/>
  <c r="K171" i="7"/>
  <c r="W171" i="7"/>
  <c r="D172" i="7"/>
  <c r="E172" i="7"/>
  <c r="J172" i="7"/>
  <c r="K172" i="7"/>
  <c r="W172" i="7"/>
  <c r="J173" i="7"/>
  <c r="K173" i="7"/>
  <c r="W173" i="7"/>
  <c r="E174" i="7"/>
  <c r="J174" i="7"/>
  <c r="K174" i="7"/>
  <c r="W174" i="7"/>
  <c r="D175" i="7"/>
  <c r="J175" i="7"/>
  <c r="K175" i="7"/>
  <c r="W175" i="7"/>
  <c r="E176" i="7"/>
  <c r="J176" i="7"/>
  <c r="K176" i="7"/>
  <c r="W176" i="7"/>
  <c r="D177" i="7"/>
  <c r="J177" i="7"/>
  <c r="K177" i="7"/>
  <c r="L177" i="7"/>
  <c r="W177" i="7"/>
  <c r="D178" i="7"/>
  <c r="J178" i="7"/>
  <c r="K178" i="7"/>
  <c r="W178" i="7"/>
  <c r="E179" i="7"/>
  <c r="J179" i="7"/>
  <c r="K179" i="7"/>
  <c r="W179" i="7"/>
  <c r="E180" i="7"/>
  <c r="J180" i="7"/>
  <c r="K180" i="7"/>
  <c r="W180" i="7"/>
  <c r="E181" i="7"/>
  <c r="H181" i="7"/>
  <c r="J181" i="7"/>
  <c r="K181" i="7"/>
  <c r="W181" i="7"/>
  <c r="I182" i="7"/>
  <c r="J182" i="7"/>
  <c r="K182" i="7"/>
  <c r="W182" i="7"/>
  <c r="D183" i="7"/>
  <c r="J183" i="7"/>
  <c r="K183" i="7"/>
  <c r="W183" i="7"/>
  <c r="J184" i="7"/>
  <c r="K184" i="7"/>
  <c r="W184" i="7"/>
  <c r="D185" i="7"/>
  <c r="H185" i="7"/>
  <c r="J185" i="7"/>
  <c r="K185" i="7"/>
  <c r="W185" i="7"/>
  <c r="D186" i="7"/>
  <c r="J186" i="7"/>
  <c r="K186" i="7"/>
  <c r="W186" i="7"/>
  <c r="E187" i="7"/>
  <c r="J187" i="7"/>
  <c r="K187" i="7"/>
  <c r="W187" i="7"/>
  <c r="E188" i="7"/>
  <c r="J188" i="7"/>
  <c r="K188" i="7"/>
  <c r="W188" i="7"/>
  <c r="J189" i="7"/>
  <c r="K189" i="7"/>
  <c r="W189" i="7"/>
  <c r="D190" i="7"/>
  <c r="J190" i="7"/>
  <c r="K190" i="7"/>
  <c r="W190" i="7"/>
  <c r="E191" i="7"/>
  <c r="H191" i="7"/>
  <c r="J191" i="7"/>
  <c r="K191" i="7"/>
  <c r="W191" i="7"/>
  <c r="E192" i="7"/>
  <c r="J192" i="7"/>
  <c r="K192" i="7"/>
  <c r="W192" i="7"/>
  <c r="E193" i="7"/>
  <c r="J193" i="7"/>
  <c r="K193" i="7"/>
  <c r="W193" i="7"/>
  <c r="D194" i="7"/>
  <c r="J194" i="7"/>
  <c r="K194" i="7"/>
  <c r="W194" i="7"/>
  <c r="E195" i="7"/>
  <c r="J195" i="7"/>
  <c r="K195" i="7"/>
  <c r="W195" i="7"/>
  <c r="J196" i="7"/>
  <c r="K196" i="7"/>
  <c r="W196" i="7"/>
  <c r="E197" i="7"/>
  <c r="J197" i="7"/>
  <c r="K197" i="7"/>
  <c r="W197" i="7"/>
  <c r="J198" i="7"/>
  <c r="K198" i="7"/>
  <c r="W198" i="7"/>
  <c r="D199" i="7"/>
  <c r="J199" i="7"/>
  <c r="K199" i="7"/>
  <c r="W199" i="7"/>
  <c r="E200" i="7"/>
  <c r="J200" i="7"/>
  <c r="K200" i="7"/>
  <c r="W200" i="7"/>
  <c r="E201" i="7"/>
  <c r="J201" i="7"/>
  <c r="K201" i="7"/>
  <c r="W201" i="7"/>
  <c r="E202" i="7"/>
  <c r="J202" i="7"/>
  <c r="K202" i="7"/>
  <c r="W202" i="7"/>
  <c r="D203" i="7"/>
  <c r="J203" i="7"/>
  <c r="K203" i="7"/>
  <c r="W203" i="7"/>
  <c r="E204" i="7"/>
  <c r="J204" i="7"/>
  <c r="K204" i="7"/>
  <c r="W204" i="7"/>
  <c r="D205" i="7"/>
  <c r="E205" i="7"/>
  <c r="J205" i="7"/>
  <c r="K205" i="7"/>
  <c r="W205" i="7"/>
  <c r="J206" i="7"/>
  <c r="K206" i="7"/>
  <c r="W206" i="7"/>
  <c r="J207" i="7"/>
  <c r="K207" i="7"/>
  <c r="W207" i="7"/>
  <c r="J208" i="7"/>
  <c r="K208" i="7"/>
  <c r="W208" i="7"/>
  <c r="D209" i="7"/>
  <c r="J209" i="7"/>
  <c r="K209" i="7"/>
  <c r="W209" i="7"/>
  <c r="D210" i="7"/>
  <c r="J210" i="7"/>
  <c r="K210" i="7"/>
  <c r="W210" i="7"/>
  <c r="D211" i="7"/>
  <c r="J211" i="7"/>
  <c r="K211" i="7"/>
  <c r="L211" i="7"/>
  <c r="W211" i="7"/>
  <c r="E212" i="7"/>
  <c r="J212" i="7"/>
  <c r="K212" i="7"/>
  <c r="W212" i="7"/>
  <c r="J213" i="7"/>
  <c r="K213" i="7"/>
  <c r="W213" i="7"/>
  <c r="E214" i="7"/>
  <c r="J214" i="7"/>
  <c r="K214" i="7"/>
  <c r="W214" i="7"/>
  <c r="D215" i="7"/>
  <c r="J215" i="7"/>
  <c r="K215" i="7"/>
  <c r="W215" i="7"/>
  <c r="E216" i="7"/>
  <c r="J216" i="7"/>
  <c r="K216" i="7"/>
  <c r="W216" i="7"/>
  <c r="D217" i="7"/>
  <c r="E217" i="7"/>
  <c r="J217" i="7"/>
  <c r="K217" i="7"/>
  <c r="W217" i="7"/>
  <c r="E218" i="7"/>
  <c r="J218" i="7"/>
  <c r="K218" i="7"/>
  <c r="W218" i="7"/>
  <c r="J219" i="7"/>
  <c r="K219" i="7"/>
  <c r="W219" i="7"/>
  <c r="E220" i="7"/>
  <c r="J220" i="7"/>
  <c r="K220" i="7"/>
  <c r="W220" i="7"/>
  <c r="D221" i="7"/>
  <c r="J221" i="7"/>
  <c r="K221" i="7"/>
  <c r="W221" i="7"/>
  <c r="D222" i="7"/>
  <c r="E222" i="7"/>
  <c r="J222" i="7"/>
  <c r="K222" i="7"/>
  <c r="W222" i="7"/>
  <c r="D223" i="7"/>
  <c r="J223" i="7"/>
  <c r="K223" i="7"/>
  <c r="W223" i="7"/>
  <c r="E224" i="7"/>
  <c r="J224" i="7"/>
  <c r="K224" i="7"/>
  <c r="M224" i="7"/>
  <c r="W224" i="7"/>
  <c r="E225" i="7"/>
  <c r="J225" i="7"/>
  <c r="K225" i="7"/>
  <c r="W225" i="7"/>
  <c r="E226" i="7"/>
  <c r="J226" i="7"/>
  <c r="K226" i="7"/>
  <c r="W226" i="7"/>
  <c r="D227" i="7"/>
  <c r="J227" i="7"/>
  <c r="K227" i="7"/>
  <c r="W227" i="7"/>
  <c r="E228" i="7"/>
  <c r="J228" i="7"/>
  <c r="K228" i="7"/>
  <c r="W228" i="7"/>
  <c r="D229" i="7"/>
  <c r="E229" i="7"/>
  <c r="J229" i="7"/>
  <c r="K229" i="7"/>
  <c r="W229" i="7"/>
  <c r="J230" i="7"/>
  <c r="K230" i="7"/>
  <c r="W230" i="7"/>
  <c r="J231" i="7"/>
  <c r="K231" i="7"/>
  <c r="W231" i="7"/>
  <c r="J232" i="7"/>
  <c r="K232" i="7"/>
  <c r="L232" i="7"/>
  <c r="W232" i="7"/>
  <c r="D233" i="7"/>
  <c r="J233" i="7"/>
  <c r="K233" i="7"/>
  <c r="W233" i="7"/>
  <c r="D234" i="7"/>
  <c r="J234" i="7"/>
  <c r="K234" i="7"/>
  <c r="W234" i="7"/>
  <c r="D235" i="7"/>
  <c r="J235" i="7"/>
  <c r="K235" i="7"/>
  <c r="W235" i="7"/>
  <c r="E236" i="7"/>
  <c r="J236" i="7"/>
  <c r="K236" i="7"/>
  <c r="W236" i="7"/>
  <c r="J237" i="7"/>
  <c r="K237" i="7"/>
  <c r="W237" i="7"/>
  <c r="E238" i="7"/>
  <c r="J238" i="7"/>
  <c r="K238" i="7"/>
  <c r="W238" i="7"/>
  <c r="D239" i="7"/>
  <c r="J239" i="7"/>
  <c r="K239" i="7"/>
  <c r="W239" i="7"/>
  <c r="E240" i="7"/>
  <c r="J240" i="7"/>
  <c r="K240" i="7"/>
  <c r="W240" i="7"/>
  <c r="D241" i="7"/>
  <c r="E241" i="7"/>
  <c r="J241" i="7"/>
  <c r="K241" i="7"/>
  <c r="W241" i="7"/>
  <c r="D242" i="7"/>
  <c r="E242" i="7"/>
  <c r="J242" i="7"/>
  <c r="K242" i="7"/>
  <c r="W242" i="7"/>
  <c r="D243" i="7"/>
  <c r="J243" i="7"/>
  <c r="K243" i="7"/>
  <c r="W243" i="7"/>
  <c r="E244" i="7"/>
  <c r="J244" i="7"/>
  <c r="K244" i="7"/>
  <c r="W244" i="7"/>
  <c r="D245" i="7"/>
  <c r="E245" i="7"/>
  <c r="J245" i="7"/>
  <c r="K245" i="7"/>
  <c r="W245" i="7"/>
  <c r="D246" i="7"/>
  <c r="E246" i="7"/>
  <c r="J246" i="7"/>
  <c r="K246" i="7"/>
  <c r="W246" i="7"/>
  <c r="D247" i="7"/>
  <c r="J247" i="7"/>
  <c r="K247" i="7"/>
  <c r="W247" i="7"/>
  <c r="E248" i="7"/>
  <c r="J248" i="7"/>
  <c r="K248" i="7"/>
  <c r="W248" i="7"/>
  <c r="D249" i="7"/>
  <c r="E249" i="7"/>
  <c r="J249" i="7"/>
  <c r="K249" i="7"/>
  <c r="W249" i="7"/>
  <c r="D250" i="7"/>
  <c r="E250" i="7"/>
  <c r="J250" i="7"/>
  <c r="K250" i="7"/>
  <c r="W250" i="7"/>
  <c r="D251" i="7"/>
  <c r="J251" i="7"/>
  <c r="K251" i="7"/>
  <c r="W251" i="7"/>
  <c r="E252" i="7"/>
  <c r="J252" i="7"/>
  <c r="K252" i="7"/>
  <c r="W252" i="7"/>
  <c r="D253" i="7"/>
  <c r="E253" i="7"/>
  <c r="J253" i="7"/>
  <c r="K253" i="7"/>
  <c r="W253" i="7"/>
  <c r="D254" i="7"/>
  <c r="E254" i="7"/>
  <c r="J254" i="7"/>
  <c r="K254" i="7"/>
  <c r="W254" i="7"/>
  <c r="D255" i="7"/>
  <c r="J255" i="7"/>
  <c r="K255" i="7"/>
  <c r="W255" i="7"/>
  <c r="E256" i="7"/>
  <c r="J256" i="7"/>
  <c r="K256" i="7"/>
  <c r="W256" i="7"/>
  <c r="D257" i="7"/>
  <c r="E257" i="7"/>
  <c r="J257" i="7"/>
  <c r="K257" i="7"/>
  <c r="W257" i="7"/>
  <c r="D258" i="7"/>
  <c r="E258" i="7"/>
  <c r="J258" i="7"/>
  <c r="K258" i="7"/>
  <c r="W258" i="7"/>
  <c r="D259" i="7"/>
  <c r="J259" i="7"/>
  <c r="K259" i="7"/>
  <c r="W259" i="7"/>
  <c r="E260" i="7"/>
  <c r="J260" i="7"/>
  <c r="K260" i="7"/>
  <c r="W260" i="7"/>
  <c r="D261" i="7"/>
  <c r="E261" i="7"/>
  <c r="J261" i="7"/>
  <c r="K261" i="7"/>
  <c r="W261" i="7"/>
  <c r="D262" i="7"/>
  <c r="E262" i="7"/>
  <c r="J262" i="7"/>
  <c r="K262" i="7"/>
  <c r="W262" i="7"/>
  <c r="D263" i="7"/>
  <c r="J263" i="7"/>
  <c r="K263" i="7"/>
  <c r="W263" i="7"/>
  <c r="E264" i="7"/>
  <c r="J264" i="7"/>
  <c r="K264" i="7"/>
  <c r="W264" i="7"/>
  <c r="D265" i="7"/>
  <c r="E265" i="7"/>
  <c r="J265" i="7"/>
  <c r="K265" i="7"/>
  <c r="W265" i="7"/>
  <c r="D266" i="7"/>
  <c r="E266" i="7"/>
  <c r="J266" i="7"/>
  <c r="K266" i="7"/>
  <c r="W266" i="7"/>
  <c r="D267" i="7"/>
  <c r="J267" i="7"/>
  <c r="K267" i="7"/>
  <c r="W267" i="7"/>
  <c r="E268" i="7"/>
  <c r="J268" i="7"/>
  <c r="K268" i="7"/>
  <c r="W268" i="7"/>
  <c r="D269" i="7"/>
  <c r="E269" i="7"/>
  <c r="J269" i="7"/>
  <c r="K269" i="7"/>
  <c r="W269" i="7"/>
  <c r="D270" i="7"/>
  <c r="E270" i="7"/>
  <c r="J270" i="7"/>
  <c r="K270" i="7"/>
  <c r="W270" i="7"/>
  <c r="D271" i="7"/>
  <c r="J271" i="7"/>
  <c r="K271" i="7"/>
  <c r="W271" i="7"/>
  <c r="E272" i="7"/>
  <c r="J272" i="7"/>
  <c r="K272" i="7"/>
  <c r="M272" i="7"/>
  <c r="W272" i="7"/>
  <c r="D273" i="7"/>
  <c r="E273" i="7"/>
  <c r="J273" i="7"/>
  <c r="K273" i="7"/>
  <c r="W273" i="7"/>
  <c r="D274" i="7"/>
  <c r="E274" i="7"/>
  <c r="J274" i="7"/>
  <c r="K274" i="7"/>
  <c r="W274" i="7"/>
  <c r="D275" i="7"/>
  <c r="J275" i="7"/>
  <c r="K275" i="7"/>
  <c r="W275" i="7"/>
  <c r="E276" i="7"/>
  <c r="J276" i="7"/>
  <c r="K276" i="7"/>
  <c r="W276" i="7"/>
  <c r="D277" i="7"/>
  <c r="E277" i="7"/>
  <c r="J277" i="7"/>
  <c r="K277" i="7"/>
  <c r="W277" i="7"/>
  <c r="D278" i="7"/>
  <c r="E278" i="7"/>
  <c r="J278" i="7"/>
  <c r="K278" i="7"/>
  <c r="W278" i="7"/>
  <c r="D279" i="7"/>
  <c r="J279" i="7"/>
  <c r="K279" i="7"/>
  <c r="W279" i="7"/>
  <c r="E280" i="7"/>
  <c r="J280" i="7"/>
  <c r="K280" i="7"/>
  <c r="W280" i="7"/>
  <c r="D281" i="7"/>
  <c r="E281" i="7"/>
  <c r="J281" i="7"/>
  <c r="K281" i="7"/>
  <c r="W281" i="7"/>
  <c r="D282" i="7"/>
  <c r="E282" i="7"/>
  <c r="J282" i="7"/>
  <c r="K282" i="7"/>
  <c r="W282" i="7"/>
  <c r="D283" i="7"/>
  <c r="J283" i="7"/>
  <c r="K283" i="7"/>
  <c r="M283" i="7"/>
  <c r="W283" i="7"/>
  <c r="E284" i="7"/>
  <c r="J284" i="7"/>
  <c r="K284" i="7"/>
  <c r="W284" i="7"/>
  <c r="D285" i="7"/>
  <c r="E285" i="7"/>
  <c r="J285" i="7"/>
  <c r="K285" i="7"/>
  <c r="W285" i="7"/>
  <c r="D286" i="7"/>
  <c r="E286" i="7"/>
  <c r="J286" i="7"/>
  <c r="K286" i="7"/>
  <c r="W286" i="7"/>
  <c r="D287" i="7"/>
  <c r="J287" i="7"/>
  <c r="K287" i="7"/>
  <c r="W287" i="7"/>
  <c r="E288" i="7"/>
  <c r="J288" i="7"/>
  <c r="K288" i="7"/>
  <c r="W288" i="7"/>
  <c r="D289" i="7"/>
  <c r="E289" i="7"/>
  <c r="J289" i="7"/>
  <c r="K289" i="7"/>
  <c r="M289" i="7"/>
  <c r="W289" i="7"/>
  <c r="D290" i="7"/>
  <c r="E290" i="7"/>
  <c r="J290" i="7"/>
  <c r="K290" i="7"/>
  <c r="W290" i="7"/>
  <c r="D291" i="7"/>
  <c r="J291" i="7"/>
  <c r="K291" i="7"/>
  <c r="W291" i="7"/>
  <c r="E292" i="7"/>
  <c r="J292" i="7"/>
  <c r="K292" i="7"/>
  <c r="W292" i="7"/>
  <c r="D293" i="7"/>
  <c r="E293" i="7"/>
  <c r="J293" i="7"/>
  <c r="K293" i="7"/>
  <c r="W293" i="7"/>
  <c r="D294" i="7"/>
  <c r="E294" i="7"/>
  <c r="J294" i="7"/>
  <c r="K294" i="7"/>
  <c r="W294" i="7"/>
  <c r="D295" i="7"/>
  <c r="J295" i="7"/>
  <c r="K295" i="7"/>
  <c r="W295" i="7"/>
  <c r="E296" i="7"/>
  <c r="J296" i="7"/>
  <c r="K296" i="7"/>
  <c r="L296" i="7"/>
  <c r="W296" i="7"/>
  <c r="D297" i="7"/>
  <c r="E297" i="7"/>
  <c r="J297" i="7"/>
  <c r="K297" i="7"/>
  <c r="W297" i="7"/>
  <c r="D298" i="7"/>
  <c r="E298" i="7"/>
  <c r="J298" i="7"/>
  <c r="K298" i="7"/>
  <c r="W298" i="7"/>
  <c r="D299" i="7"/>
  <c r="J299" i="7"/>
  <c r="K299" i="7"/>
  <c r="W299" i="7"/>
  <c r="E300" i="7"/>
  <c r="J300" i="7"/>
  <c r="K300" i="7"/>
  <c r="W300" i="7"/>
  <c r="D301" i="7"/>
  <c r="E301" i="7"/>
  <c r="J301" i="7"/>
  <c r="K301" i="7"/>
  <c r="W301" i="7"/>
  <c r="D302" i="7"/>
  <c r="E302" i="7"/>
  <c r="J302" i="7"/>
  <c r="K302" i="7"/>
  <c r="W302" i="7"/>
  <c r="D303" i="7"/>
  <c r="J303" i="7"/>
  <c r="K303" i="7"/>
  <c r="W303" i="7"/>
  <c r="E304" i="7"/>
  <c r="J304" i="7"/>
  <c r="K304" i="7"/>
  <c r="W304" i="7"/>
  <c r="D305" i="7"/>
  <c r="E305" i="7"/>
  <c r="J305" i="7"/>
  <c r="K305" i="7"/>
  <c r="W305" i="7"/>
  <c r="D306" i="7"/>
  <c r="E306" i="7"/>
  <c r="J306" i="7"/>
  <c r="K306" i="7"/>
  <c r="W306" i="7"/>
  <c r="D307" i="7"/>
  <c r="J307" i="7"/>
  <c r="K307" i="7"/>
  <c r="W307" i="7"/>
  <c r="E308" i="7"/>
  <c r="J308" i="7"/>
  <c r="K308" i="7"/>
  <c r="W308" i="7"/>
  <c r="D309" i="7"/>
  <c r="E309" i="7"/>
  <c r="J309" i="7"/>
  <c r="K309" i="7"/>
  <c r="W309" i="7"/>
  <c r="D310" i="7"/>
  <c r="E310" i="7"/>
  <c r="J310" i="7"/>
  <c r="K310" i="7"/>
  <c r="W310" i="7"/>
  <c r="D311" i="7"/>
  <c r="J311" i="7"/>
  <c r="K311" i="7"/>
  <c r="W311" i="7"/>
  <c r="E312" i="7"/>
  <c r="J312" i="7"/>
  <c r="K312" i="7"/>
  <c r="W312" i="7"/>
  <c r="D313" i="7"/>
  <c r="E313" i="7"/>
  <c r="J313" i="7"/>
  <c r="K313" i="7"/>
  <c r="W313" i="7"/>
  <c r="D314" i="7"/>
  <c r="E314" i="7"/>
  <c r="J314" i="7"/>
  <c r="K314" i="7"/>
  <c r="W314" i="7"/>
  <c r="D315" i="7"/>
  <c r="J315" i="7"/>
  <c r="K315" i="7"/>
  <c r="W315" i="7"/>
  <c r="E316" i="7"/>
  <c r="J316" i="7"/>
  <c r="K316" i="7"/>
  <c r="W316" i="7"/>
  <c r="D317" i="7"/>
  <c r="E317" i="7"/>
  <c r="J317" i="7"/>
  <c r="K317" i="7"/>
  <c r="W317" i="7"/>
  <c r="D318" i="7"/>
  <c r="E318" i="7"/>
  <c r="J318" i="7"/>
  <c r="K318" i="7"/>
  <c r="W318" i="7"/>
  <c r="D319" i="7"/>
  <c r="J319" i="7"/>
  <c r="K319" i="7"/>
  <c r="W319" i="7"/>
  <c r="E320" i="7"/>
  <c r="J320" i="7"/>
  <c r="K320" i="7"/>
  <c r="W320" i="7"/>
  <c r="D321" i="7"/>
  <c r="E321" i="7"/>
  <c r="J321" i="7"/>
  <c r="K321" i="7"/>
  <c r="W321" i="7"/>
  <c r="D322" i="7"/>
  <c r="E322" i="7"/>
  <c r="J322" i="7"/>
  <c r="K322" i="7"/>
  <c r="W322" i="7"/>
  <c r="D323" i="7"/>
  <c r="J323" i="7"/>
  <c r="K323" i="7"/>
  <c r="W323" i="7"/>
  <c r="E324" i="7"/>
  <c r="J324" i="7"/>
  <c r="K324" i="7"/>
  <c r="W324" i="7"/>
  <c r="D325" i="7"/>
  <c r="E325" i="7"/>
  <c r="J325" i="7"/>
  <c r="K325" i="7"/>
  <c r="W325" i="7"/>
  <c r="D326" i="7"/>
  <c r="E326" i="7"/>
  <c r="J326" i="7"/>
  <c r="K326" i="7"/>
  <c r="W326" i="7"/>
  <c r="D327" i="7"/>
  <c r="J327" i="7"/>
  <c r="K327" i="7"/>
  <c r="W327" i="7"/>
  <c r="E328" i="7"/>
  <c r="J328" i="7"/>
  <c r="K328" i="7"/>
  <c r="W328" i="7"/>
  <c r="D329" i="7"/>
  <c r="E329" i="7"/>
  <c r="J329" i="7"/>
  <c r="K329" i="7"/>
  <c r="M329" i="7"/>
  <c r="W329" i="7"/>
  <c r="D330" i="7"/>
  <c r="E330" i="7"/>
  <c r="J330" i="7"/>
  <c r="K330" i="7"/>
  <c r="W330" i="7"/>
  <c r="D331" i="7"/>
  <c r="J331" i="7"/>
  <c r="K331" i="7"/>
  <c r="W331" i="7"/>
  <c r="E332" i="7"/>
  <c r="J332" i="7"/>
  <c r="K332" i="7"/>
  <c r="W332" i="7"/>
  <c r="D333" i="7"/>
  <c r="E333" i="7"/>
  <c r="J333" i="7"/>
  <c r="K333" i="7"/>
  <c r="W333" i="7"/>
  <c r="D334" i="7"/>
  <c r="E334" i="7"/>
  <c r="J334" i="7"/>
  <c r="K334" i="7"/>
  <c r="W334" i="7"/>
  <c r="D335" i="7"/>
  <c r="J335" i="7"/>
  <c r="K335" i="7"/>
  <c r="W335" i="7"/>
  <c r="E336" i="7"/>
  <c r="J336" i="7"/>
  <c r="K336" i="7"/>
  <c r="W336" i="7"/>
  <c r="D337" i="7"/>
  <c r="E337" i="7"/>
  <c r="J337" i="7"/>
  <c r="K337" i="7"/>
  <c r="W337" i="7"/>
  <c r="D338" i="7"/>
  <c r="E338" i="7"/>
  <c r="J338" i="7"/>
  <c r="K338" i="7"/>
  <c r="W338" i="7"/>
  <c r="D339" i="7"/>
  <c r="J339" i="7"/>
  <c r="K339" i="7"/>
  <c r="W339" i="7"/>
  <c r="E340" i="7"/>
  <c r="J340" i="7"/>
  <c r="K340" i="7"/>
  <c r="W340" i="7"/>
  <c r="D341" i="7"/>
  <c r="E341" i="7"/>
  <c r="J341" i="7"/>
  <c r="K341" i="7"/>
  <c r="W341" i="7"/>
  <c r="D342" i="7"/>
  <c r="E342" i="7"/>
  <c r="J342" i="7"/>
  <c r="K342" i="7"/>
  <c r="W342" i="7"/>
  <c r="D343" i="7"/>
  <c r="J343" i="7"/>
  <c r="K343" i="7"/>
  <c r="W343" i="7"/>
  <c r="E344" i="7"/>
  <c r="J344" i="7"/>
  <c r="K344" i="7"/>
  <c r="W344" i="7"/>
  <c r="D345" i="7"/>
  <c r="E345" i="7"/>
  <c r="J345" i="7"/>
  <c r="K345" i="7"/>
  <c r="W345" i="7"/>
  <c r="D346" i="7"/>
  <c r="E346" i="7"/>
  <c r="J346" i="7"/>
  <c r="K346" i="7"/>
  <c r="W346" i="7"/>
  <c r="D347" i="7"/>
  <c r="J347" i="7"/>
  <c r="K347" i="7"/>
  <c r="W347" i="7"/>
  <c r="E348" i="7"/>
  <c r="J348" i="7"/>
  <c r="K348" i="7"/>
  <c r="W348" i="7"/>
  <c r="D349" i="7"/>
  <c r="E349" i="7"/>
  <c r="J349" i="7"/>
  <c r="K349" i="7"/>
  <c r="W349" i="7"/>
  <c r="D350" i="7"/>
  <c r="E350" i="7"/>
  <c r="J350" i="7"/>
  <c r="K350" i="7"/>
  <c r="W350" i="7"/>
  <c r="D351" i="7"/>
  <c r="J351" i="7"/>
  <c r="K351" i="7"/>
  <c r="W351" i="7"/>
  <c r="E352" i="7"/>
  <c r="I352" i="7"/>
  <c r="J352" i="7"/>
  <c r="K352" i="7"/>
  <c r="W352" i="7"/>
  <c r="D353" i="7"/>
  <c r="E353" i="7"/>
  <c r="J353" i="7"/>
  <c r="K353" i="7"/>
  <c r="W353" i="7"/>
  <c r="D354" i="7"/>
  <c r="E354" i="7"/>
  <c r="J354" i="7"/>
  <c r="K354" i="7"/>
  <c r="W354" i="7"/>
  <c r="D355" i="7"/>
  <c r="J355" i="7"/>
  <c r="K355" i="7"/>
  <c r="W355" i="7"/>
  <c r="E356" i="7"/>
  <c r="J356" i="7"/>
  <c r="K356" i="7"/>
  <c r="W356" i="7"/>
  <c r="D357" i="7"/>
  <c r="E357" i="7"/>
  <c r="J357" i="7"/>
  <c r="K357" i="7"/>
  <c r="M357" i="7"/>
  <c r="W357" i="7"/>
  <c r="D358" i="7"/>
  <c r="E358" i="7"/>
  <c r="J358" i="7"/>
  <c r="K358" i="7"/>
  <c r="W358" i="7"/>
  <c r="D359" i="7"/>
  <c r="J359" i="7"/>
  <c r="K359" i="7"/>
  <c r="W359" i="7"/>
  <c r="E360" i="7"/>
  <c r="J360" i="7"/>
  <c r="K360" i="7"/>
  <c r="W360" i="7"/>
  <c r="D361" i="7"/>
  <c r="E361" i="7"/>
  <c r="H361" i="7"/>
  <c r="J361" i="7"/>
  <c r="K361" i="7"/>
  <c r="W361" i="7"/>
  <c r="D362" i="7"/>
  <c r="E362" i="7"/>
  <c r="J362" i="7"/>
  <c r="K362" i="7"/>
  <c r="W362" i="7"/>
  <c r="D363" i="7"/>
  <c r="J363" i="7"/>
  <c r="K363" i="7"/>
  <c r="W363" i="7"/>
  <c r="E364" i="7"/>
  <c r="J364" i="7"/>
  <c r="K364" i="7"/>
  <c r="W364" i="7"/>
  <c r="D365" i="7"/>
  <c r="E365" i="7"/>
  <c r="J365" i="7"/>
  <c r="K365" i="7"/>
  <c r="W365" i="7"/>
  <c r="D366" i="7"/>
  <c r="E366" i="7"/>
  <c r="J366" i="7"/>
  <c r="K366" i="7"/>
  <c r="W366" i="7"/>
  <c r="D367" i="7"/>
  <c r="J367" i="7"/>
  <c r="K367" i="7"/>
  <c r="W367" i="7"/>
  <c r="E368" i="7"/>
  <c r="J368" i="7"/>
  <c r="K368" i="7"/>
  <c r="W368" i="7"/>
  <c r="D369" i="7"/>
  <c r="E369" i="7"/>
  <c r="H369" i="7"/>
  <c r="J369" i="7"/>
  <c r="K369" i="7"/>
  <c r="W369" i="7"/>
  <c r="D370" i="7"/>
  <c r="E370" i="7"/>
  <c r="J370" i="7"/>
  <c r="K370" i="7"/>
  <c r="W370" i="7"/>
  <c r="D371" i="7"/>
  <c r="J371" i="7"/>
  <c r="K371" i="7"/>
  <c r="W371" i="7"/>
  <c r="E372" i="7"/>
  <c r="J372" i="7"/>
  <c r="K372" i="7"/>
  <c r="W372" i="7"/>
  <c r="D373" i="7"/>
  <c r="E373" i="7"/>
  <c r="J373" i="7"/>
  <c r="K373" i="7"/>
  <c r="W373" i="7"/>
  <c r="D374" i="7"/>
  <c r="E374" i="7"/>
  <c r="J374" i="7"/>
  <c r="K374" i="7"/>
  <c r="W374" i="7"/>
  <c r="D375" i="7"/>
  <c r="J375" i="7"/>
  <c r="K375" i="7"/>
  <c r="W375" i="7"/>
  <c r="E376" i="7"/>
  <c r="J376" i="7"/>
  <c r="K376" i="7"/>
  <c r="W376" i="7"/>
  <c r="D377" i="7"/>
  <c r="E377" i="7"/>
  <c r="J377" i="7"/>
  <c r="K377" i="7"/>
  <c r="W377" i="7"/>
  <c r="D378" i="7"/>
  <c r="E378" i="7"/>
  <c r="J378" i="7"/>
  <c r="K378" i="7"/>
  <c r="W378" i="7"/>
  <c r="D379" i="7"/>
  <c r="J379" i="7"/>
  <c r="K379" i="7"/>
  <c r="W379" i="7"/>
  <c r="E380" i="7"/>
  <c r="J380" i="7"/>
  <c r="K380" i="7"/>
  <c r="W380" i="7"/>
  <c r="D381" i="7"/>
  <c r="E381" i="7"/>
  <c r="J381" i="7"/>
  <c r="K381" i="7"/>
  <c r="W381" i="7"/>
  <c r="D382" i="7"/>
  <c r="E382" i="7"/>
  <c r="J382" i="7"/>
  <c r="K382" i="7"/>
  <c r="W382" i="7"/>
  <c r="D383" i="7"/>
  <c r="J383" i="7"/>
  <c r="K383" i="7"/>
  <c r="W383" i="7"/>
  <c r="E384" i="7"/>
  <c r="J384" i="7"/>
  <c r="K384" i="7"/>
  <c r="W384" i="7"/>
  <c r="D385" i="7"/>
  <c r="E385" i="7"/>
  <c r="H385" i="7"/>
  <c r="J385" i="7"/>
  <c r="K385" i="7"/>
  <c r="W385" i="7"/>
  <c r="D386" i="7"/>
  <c r="E386" i="7"/>
  <c r="J386" i="7"/>
  <c r="K386" i="7"/>
  <c r="W386" i="7"/>
  <c r="D387" i="7"/>
  <c r="J387" i="7"/>
  <c r="K387" i="7"/>
  <c r="W387" i="7"/>
  <c r="E388" i="7"/>
  <c r="J388" i="7"/>
  <c r="K388" i="7"/>
  <c r="W388" i="7"/>
  <c r="D389" i="7"/>
  <c r="E389" i="7"/>
  <c r="J389" i="7"/>
  <c r="K389" i="7"/>
  <c r="W389" i="7"/>
  <c r="D390" i="7"/>
  <c r="E390" i="7"/>
  <c r="J390" i="7"/>
  <c r="K390" i="7"/>
  <c r="W390" i="7"/>
  <c r="D391" i="7"/>
  <c r="J391" i="7"/>
  <c r="K391" i="7"/>
  <c r="W391" i="7"/>
  <c r="E392" i="7"/>
  <c r="I392" i="7"/>
  <c r="J392" i="7"/>
  <c r="K392" i="7"/>
  <c r="W392" i="7"/>
  <c r="D393" i="7"/>
  <c r="E393" i="7"/>
  <c r="J393" i="7"/>
  <c r="K393" i="7"/>
  <c r="W393" i="7"/>
  <c r="D394" i="7"/>
  <c r="E394" i="7"/>
  <c r="J394" i="7"/>
  <c r="K394" i="7"/>
  <c r="W394" i="7"/>
  <c r="D395" i="7"/>
  <c r="J395" i="7"/>
  <c r="K395" i="7"/>
  <c r="W395" i="7"/>
  <c r="E396" i="7"/>
  <c r="J396" i="7"/>
  <c r="K396" i="7"/>
  <c r="W396" i="7"/>
  <c r="D397" i="7"/>
  <c r="E397" i="7"/>
  <c r="J397" i="7"/>
  <c r="K397" i="7"/>
  <c r="W397" i="7"/>
  <c r="D398" i="7"/>
  <c r="E398" i="7"/>
  <c r="J398" i="7"/>
  <c r="K398" i="7"/>
  <c r="L398" i="7"/>
  <c r="W398" i="7"/>
  <c r="D399" i="7"/>
  <c r="J399" i="7"/>
  <c r="K399" i="7"/>
  <c r="W399" i="7"/>
  <c r="E400" i="7"/>
  <c r="I400" i="7"/>
  <c r="J400" i="7"/>
  <c r="K400" i="7"/>
  <c r="W400" i="7"/>
  <c r="D401" i="7"/>
  <c r="E401" i="7"/>
  <c r="J401" i="7"/>
  <c r="K401" i="7"/>
  <c r="W401" i="7"/>
  <c r="D402" i="7"/>
  <c r="E402" i="7"/>
  <c r="J402" i="7"/>
  <c r="K402" i="7"/>
  <c r="W402" i="7"/>
  <c r="D403" i="7"/>
  <c r="J403" i="7"/>
  <c r="K403" i="7"/>
  <c r="W403" i="7"/>
  <c r="E404" i="7"/>
  <c r="J404" i="7"/>
  <c r="K404" i="7"/>
  <c r="W404" i="7"/>
  <c r="D405" i="7"/>
  <c r="E405" i="7"/>
  <c r="J405" i="7"/>
  <c r="K405" i="7"/>
  <c r="W405" i="7"/>
  <c r="D406" i="7"/>
  <c r="E406" i="7"/>
  <c r="J406" i="7"/>
  <c r="K406" i="7"/>
  <c r="W406" i="7"/>
  <c r="D407" i="7"/>
  <c r="J407" i="7"/>
  <c r="K407" i="7"/>
  <c r="W407" i="7"/>
  <c r="E408" i="7"/>
  <c r="I408" i="7"/>
  <c r="J408" i="7"/>
  <c r="K408" i="7"/>
  <c r="M408" i="7"/>
  <c r="W408" i="7"/>
  <c r="D409" i="7"/>
  <c r="E409" i="7"/>
  <c r="H409" i="7"/>
  <c r="J409" i="7"/>
  <c r="K409" i="7"/>
  <c r="W409" i="7"/>
  <c r="D410" i="7"/>
  <c r="E410" i="7"/>
  <c r="J410" i="7"/>
  <c r="K410" i="7"/>
  <c r="W410" i="7"/>
  <c r="D411" i="7"/>
  <c r="J411" i="7"/>
  <c r="K411" i="7"/>
  <c r="W411" i="7"/>
  <c r="E412" i="7"/>
  <c r="J412" i="7"/>
  <c r="K412" i="7"/>
  <c r="W412" i="7"/>
  <c r="D413" i="7"/>
  <c r="E413" i="7"/>
  <c r="J413" i="7"/>
  <c r="K413" i="7"/>
  <c r="W413" i="7"/>
  <c r="D414" i="7"/>
  <c r="E414" i="7"/>
  <c r="J414" i="7"/>
  <c r="K414" i="7"/>
  <c r="W414" i="7"/>
  <c r="D415" i="7"/>
  <c r="J415" i="7"/>
  <c r="K415" i="7"/>
  <c r="W415" i="7"/>
  <c r="E416" i="7"/>
  <c r="I416" i="7"/>
  <c r="J416" i="7"/>
  <c r="K416" i="7"/>
  <c r="W416" i="7"/>
  <c r="D417" i="7"/>
  <c r="E417" i="7"/>
  <c r="J417" i="7"/>
  <c r="K417" i="7"/>
  <c r="W417" i="7"/>
  <c r="D418" i="7"/>
  <c r="E418" i="7"/>
  <c r="J418" i="7"/>
  <c r="K418" i="7"/>
  <c r="W418" i="7"/>
  <c r="D419" i="7"/>
  <c r="J419" i="7"/>
  <c r="K419" i="7"/>
  <c r="W419" i="7"/>
  <c r="E420" i="7"/>
  <c r="J420" i="7"/>
  <c r="K420" i="7"/>
  <c r="W420" i="7"/>
  <c r="D421" i="7"/>
  <c r="E421" i="7"/>
  <c r="J421" i="7"/>
  <c r="K421" i="7"/>
  <c r="W421" i="7"/>
  <c r="D422" i="7"/>
  <c r="E422" i="7"/>
  <c r="J422" i="7"/>
  <c r="K422" i="7"/>
  <c r="W422" i="7"/>
  <c r="D423" i="7"/>
  <c r="J423" i="7"/>
  <c r="K423" i="7"/>
  <c r="W423" i="7"/>
  <c r="E424" i="7"/>
  <c r="J424" i="7"/>
  <c r="K424" i="7"/>
  <c r="M424" i="7"/>
  <c r="W424" i="7"/>
  <c r="D425" i="7"/>
  <c r="E425" i="7"/>
  <c r="H425" i="7"/>
  <c r="J425" i="7"/>
  <c r="K425" i="7"/>
  <c r="W425" i="7"/>
  <c r="D426" i="7"/>
  <c r="E426" i="7"/>
  <c r="J426" i="7"/>
  <c r="K426" i="7"/>
  <c r="W426" i="7"/>
  <c r="D427" i="7"/>
  <c r="J427" i="7"/>
  <c r="K427" i="7"/>
  <c r="W427" i="7"/>
  <c r="E428" i="7"/>
  <c r="J428" i="7"/>
  <c r="K428" i="7"/>
  <c r="W428" i="7"/>
  <c r="D429" i="7"/>
  <c r="E429" i="7"/>
  <c r="J429" i="7"/>
  <c r="K429" i="7"/>
  <c r="W429" i="7"/>
  <c r="D430" i="7"/>
  <c r="E430" i="7"/>
  <c r="J430" i="7"/>
  <c r="K430" i="7"/>
  <c r="W430" i="7"/>
  <c r="D431" i="7"/>
  <c r="J431" i="7"/>
  <c r="K431" i="7"/>
  <c r="W431" i="7"/>
  <c r="E432" i="7"/>
  <c r="J432" i="7"/>
  <c r="K432" i="7"/>
  <c r="W432" i="7"/>
  <c r="D433" i="7"/>
  <c r="E433" i="7"/>
  <c r="H433" i="7"/>
  <c r="J433" i="7"/>
  <c r="K433" i="7"/>
  <c r="W433" i="7"/>
  <c r="D434" i="7"/>
  <c r="E434" i="7"/>
  <c r="J434" i="7"/>
  <c r="K434" i="7"/>
  <c r="W434" i="7"/>
  <c r="D435" i="7"/>
  <c r="J435" i="7"/>
  <c r="K435" i="7"/>
  <c r="W435" i="7"/>
  <c r="E436" i="7"/>
  <c r="J436" i="7"/>
  <c r="K436" i="7"/>
  <c r="W436" i="7"/>
  <c r="D437" i="7"/>
  <c r="E437" i="7"/>
  <c r="J437" i="7"/>
  <c r="K437" i="7"/>
  <c r="W437" i="7"/>
  <c r="D438" i="7"/>
  <c r="E438" i="7"/>
  <c r="J438" i="7"/>
  <c r="K438" i="7"/>
  <c r="W438" i="7"/>
  <c r="D439" i="7"/>
  <c r="J439" i="7"/>
  <c r="K439" i="7"/>
  <c r="L439" i="7"/>
  <c r="W439" i="7"/>
  <c r="E440" i="7"/>
  <c r="J440" i="7"/>
  <c r="K440" i="7"/>
  <c r="W440" i="7"/>
  <c r="D441" i="7"/>
  <c r="E441" i="7"/>
  <c r="J441" i="7"/>
  <c r="K441" i="7"/>
  <c r="W441" i="7"/>
  <c r="D442" i="7"/>
  <c r="E442" i="7"/>
  <c r="J442" i="7"/>
  <c r="K442" i="7"/>
  <c r="W442" i="7"/>
  <c r="D443" i="7"/>
  <c r="J443" i="7"/>
  <c r="K443" i="7"/>
  <c r="W443" i="7"/>
  <c r="E444" i="7"/>
  <c r="J444" i="7"/>
  <c r="K444" i="7"/>
  <c r="W444" i="7"/>
  <c r="D445" i="7"/>
  <c r="E445" i="7"/>
  <c r="J445" i="7"/>
  <c r="K445" i="7"/>
  <c r="W445" i="7"/>
  <c r="D446" i="7"/>
  <c r="E446" i="7"/>
  <c r="J446" i="7"/>
  <c r="K446" i="7"/>
  <c r="L446" i="7"/>
  <c r="W446" i="7"/>
  <c r="D447" i="7"/>
  <c r="J447" i="7"/>
  <c r="K447" i="7"/>
  <c r="W447" i="7"/>
  <c r="E448" i="7"/>
  <c r="J448" i="7"/>
  <c r="K448" i="7"/>
  <c r="W448" i="7"/>
  <c r="D449" i="7"/>
  <c r="E449" i="7"/>
  <c r="H449" i="7"/>
  <c r="J449" i="7"/>
  <c r="K449" i="7"/>
  <c r="L449" i="7"/>
  <c r="W449" i="7"/>
  <c r="D450" i="7"/>
  <c r="E450" i="7"/>
  <c r="J450" i="7"/>
  <c r="K450" i="7"/>
  <c r="W450" i="7"/>
  <c r="D451" i="7"/>
  <c r="J451" i="7"/>
  <c r="K451" i="7"/>
  <c r="W451" i="7"/>
  <c r="E452" i="7"/>
  <c r="J452" i="7"/>
  <c r="K452" i="7"/>
  <c r="W452" i="7"/>
  <c r="D453" i="7"/>
  <c r="E453" i="7"/>
  <c r="J453" i="7"/>
  <c r="K453" i="7"/>
  <c r="M453" i="7"/>
  <c r="W453" i="7"/>
  <c r="D454" i="7"/>
  <c r="E454" i="7"/>
  <c r="J454" i="7"/>
  <c r="K454" i="7"/>
  <c r="W454" i="7"/>
  <c r="D455" i="7"/>
  <c r="J455" i="7"/>
  <c r="K455" i="7"/>
  <c r="W455" i="7"/>
  <c r="E456" i="7"/>
  <c r="J456" i="7"/>
  <c r="K456" i="7"/>
  <c r="M456" i="7"/>
  <c r="W456" i="7"/>
  <c r="D457" i="7"/>
  <c r="E457" i="7"/>
  <c r="H457" i="7"/>
  <c r="J457" i="7"/>
  <c r="K457" i="7"/>
  <c r="W457" i="7"/>
  <c r="D458" i="7"/>
  <c r="E458" i="7"/>
  <c r="J458" i="7"/>
  <c r="K458" i="7"/>
  <c r="W458" i="7"/>
  <c r="D459" i="7"/>
  <c r="J459" i="7"/>
  <c r="K459" i="7"/>
  <c r="W459" i="7"/>
  <c r="E460" i="7"/>
  <c r="J460" i="7"/>
  <c r="K460" i="7"/>
  <c r="W460" i="7"/>
  <c r="D461" i="7"/>
  <c r="E461" i="7"/>
  <c r="J461" i="7"/>
  <c r="K461" i="7"/>
  <c r="W461" i="7"/>
  <c r="D462" i="7"/>
  <c r="E462" i="7"/>
  <c r="J462" i="7"/>
  <c r="K462" i="7"/>
  <c r="W462" i="7"/>
  <c r="D463" i="7"/>
  <c r="J463" i="7"/>
  <c r="K463" i="7"/>
  <c r="W463" i="7"/>
  <c r="E464" i="7"/>
  <c r="I464" i="7"/>
  <c r="J464" i="7"/>
  <c r="K464" i="7"/>
  <c r="M464" i="7"/>
  <c r="W464" i="7"/>
  <c r="D465" i="7"/>
  <c r="E465" i="7"/>
  <c r="H465" i="7"/>
  <c r="J465" i="7"/>
  <c r="K465" i="7"/>
  <c r="W465" i="7"/>
  <c r="D466" i="7"/>
  <c r="E466" i="7"/>
  <c r="J466" i="7"/>
  <c r="K466" i="7"/>
  <c r="L466" i="7"/>
  <c r="W466" i="7"/>
  <c r="D467" i="7"/>
  <c r="J467" i="7"/>
  <c r="K467" i="7"/>
  <c r="W467" i="7"/>
  <c r="E468" i="7"/>
  <c r="J468" i="7"/>
  <c r="K468" i="7"/>
  <c r="W468" i="7"/>
  <c r="D469" i="7"/>
  <c r="E469" i="7"/>
  <c r="J469" i="7"/>
  <c r="K469" i="7"/>
  <c r="M469" i="7"/>
  <c r="W469" i="7"/>
  <c r="D470" i="7"/>
  <c r="E470" i="7"/>
  <c r="J470" i="7"/>
  <c r="K470" i="7"/>
  <c r="W470" i="7"/>
  <c r="D471" i="7"/>
  <c r="J471" i="7"/>
  <c r="K471" i="7"/>
  <c r="W471" i="7"/>
  <c r="E472" i="7"/>
  <c r="I472" i="7"/>
  <c r="J472" i="7"/>
  <c r="K472" i="7"/>
  <c r="M472" i="7"/>
  <c r="W472" i="7"/>
  <c r="D473" i="7"/>
  <c r="E473" i="7"/>
  <c r="H473" i="7"/>
  <c r="J473" i="7"/>
  <c r="K473" i="7"/>
  <c r="W473" i="7"/>
  <c r="D474" i="7"/>
  <c r="E474" i="7"/>
  <c r="J474" i="7"/>
  <c r="K474" i="7"/>
  <c r="W474" i="7"/>
  <c r="D475" i="7"/>
  <c r="J475" i="7"/>
  <c r="K475" i="7"/>
  <c r="L475" i="7"/>
  <c r="W475" i="7"/>
  <c r="E476" i="7"/>
  <c r="J476" i="7"/>
  <c r="K476" i="7"/>
  <c r="W476" i="7"/>
  <c r="D477" i="7"/>
  <c r="E477" i="7"/>
  <c r="J477" i="7"/>
  <c r="K477" i="7"/>
  <c r="W477" i="7"/>
  <c r="D478" i="7"/>
  <c r="E478" i="7"/>
  <c r="J478" i="7"/>
  <c r="K478" i="7"/>
  <c r="W478" i="7"/>
  <c r="D479" i="7"/>
  <c r="J479" i="7"/>
  <c r="K479" i="7"/>
  <c r="W479" i="7"/>
  <c r="E480" i="7"/>
  <c r="J480" i="7"/>
  <c r="K480" i="7"/>
  <c r="M480" i="7"/>
  <c r="W480" i="7"/>
  <c r="D481" i="7"/>
  <c r="E481" i="7"/>
  <c r="H481" i="7"/>
  <c r="J481" i="7"/>
  <c r="K481" i="7"/>
  <c r="W481" i="7"/>
  <c r="D482" i="7"/>
  <c r="E482" i="7"/>
  <c r="J482" i="7"/>
  <c r="K482" i="7"/>
  <c r="L482" i="7"/>
  <c r="W482" i="7"/>
  <c r="D483" i="7"/>
  <c r="J483" i="7"/>
  <c r="K483" i="7"/>
  <c r="W483" i="7"/>
  <c r="E484" i="7"/>
  <c r="J484" i="7"/>
  <c r="K484" i="7"/>
  <c r="W484" i="7"/>
  <c r="D485" i="7"/>
  <c r="E485" i="7"/>
  <c r="J485" i="7"/>
  <c r="K485" i="7"/>
  <c r="M485" i="7"/>
  <c r="W485" i="7"/>
  <c r="D486" i="7"/>
  <c r="E486" i="7"/>
  <c r="J486" i="7"/>
  <c r="K486" i="7"/>
  <c r="W486" i="7"/>
  <c r="D487" i="7"/>
  <c r="J487" i="7"/>
  <c r="K487" i="7"/>
  <c r="W487" i="7"/>
  <c r="E488" i="7"/>
  <c r="I488" i="7"/>
  <c r="J488" i="7"/>
  <c r="K488" i="7"/>
  <c r="M488" i="7"/>
  <c r="W488" i="7"/>
  <c r="D489" i="7"/>
  <c r="E489" i="7"/>
  <c r="H489" i="7"/>
  <c r="J489" i="7"/>
  <c r="K489" i="7"/>
  <c r="W489" i="7"/>
  <c r="D490" i="7"/>
  <c r="E490" i="7"/>
  <c r="J490" i="7"/>
  <c r="K490" i="7"/>
  <c r="W490" i="7"/>
  <c r="D491" i="7"/>
  <c r="J491" i="7"/>
  <c r="K491" i="7"/>
  <c r="L491" i="7"/>
  <c r="W491" i="7"/>
  <c r="E492" i="7"/>
  <c r="J492" i="7"/>
  <c r="K492" i="7"/>
  <c r="W492" i="7"/>
  <c r="D493" i="7"/>
  <c r="E493" i="7"/>
  <c r="J493" i="7"/>
  <c r="K493" i="7"/>
  <c r="W493" i="7"/>
  <c r="D494" i="7"/>
  <c r="E494" i="7"/>
  <c r="J494" i="7"/>
  <c r="K494" i="7"/>
  <c r="L494" i="7"/>
  <c r="W494" i="7"/>
  <c r="D495" i="7"/>
  <c r="J495" i="7"/>
  <c r="K495" i="7"/>
  <c r="W495" i="7"/>
  <c r="E496" i="7"/>
  <c r="I496" i="7"/>
  <c r="J496" i="7"/>
  <c r="K496" i="7"/>
  <c r="W496" i="7"/>
  <c r="D497" i="7"/>
  <c r="E497" i="7"/>
  <c r="H497" i="7"/>
  <c r="J497" i="7"/>
  <c r="K497" i="7"/>
  <c r="W497" i="7"/>
  <c r="D498" i="7"/>
  <c r="E498" i="7"/>
  <c r="J498" i="7"/>
  <c r="K498" i="7"/>
  <c r="L498" i="7"/>
  <c r="W498" i="7"/>
  <c r="D499" i="7"/>
  <c r="J499" i="7"/>
  <c r="K499" i="7"/>
  <c r="M499" i="7"/>
  <c r="W499" i="7"/>
  <c r="E500" i="7"/>
  <c r="J500" i="7"/>
  <c r="K500" i="7"/>
  <c r="W500" i="7"/>
  <c r="D501" i="7"/>
  <c r="E501" i="7"/>
  <c r="J501" i="7"/>
  <c r="K501" i="7"/>
  <c r="L501" i="7"/>
  <c r="M501" i="7"/>
  <c r="W501" i="7"/>
  <c r="D502" i="7"/>
  <c r="E502" i="7"/>
  <c r="J502" i="7"/>
  <c r="K502" i="7"/>
  <c r="W502" i="7"/>
  <c r="D503" i="7"/>
  <c r="J503" i="7"/>
  <c r="K503" i="7"/>
  <c r="L503" i="7"/>
  <c r="W503" i="7"/>
  <c r="E504" i="7"/>
  <c r="I504" i="7"/>
  <c r="J504" i="7"/>
  <c r="K504" i="7"/>
  <c r="W504" i="7"/>
  <c r="D505" i="7"/>
  <c r="E505" i="7"/>
  <c r="H505" i="7"/>
  <c r="J505" i="7"/>
  <c r="K505" i="7"/>
  <c r="W505" i="7"/>
  <c r="D506" i="7"/>
  <c r="E506" i="7"/>
  <c r="J506" i="7"/>
  <c r="K506" i="7"/>
  <c r="L506" i="7"/>
  <c r="W506" i="7"/>
  <c r="D507" i="7"/>
  <c r="J507" i="7"/>
  <c r="K507" i="7"/>
  <c r="M507" i="7"/>
  <c r="W507" i="7"/>
  <c r="E508" i="7"/>
  <c r="J508" i="7"/>
  <c r="K508" i="7"/>
  <c r="L508" i="7"/>
  <c r="W508" i="7"/>
  <c r="D509" i="7"/>
  <c r="E509" i="7"/>
  <c r="J509" i="7"/>
  <c r="K509" i="7"/>
  <c r="L509" i="7"/>
  <c r="M509" i="7"/>
  <c r="W509" i="7"/>
  <c r="D510" i="7"/>
  <c r="E510" i="7"/>
  <c r="J510" i="7"/>
  <c r="K510" i="7"/>
  <c r="M510" i="7"/>
  <c r="W510" i="7"/>
  <c r="D511" i="7"/>
  <c r="J511" i="7"/>
  <c r="K511" i="7"/>
  <c r="L511" i="7"/>
  <c r="W511" i="7"/>
  <c r="E512" i="7"/>
  <c r="I512" i="7"/>
  <c r="J512" i="7"/>
  <c r="K512" i="7"/>
  <c r="L512" i="7"/>
  <c r="M512" i="7"/>
  <c r="W512" i="7"/>
  <c r="D513" i="7"/>
  <c r="E513" i="7"/>
  <c r="H513" i="7"/>
  <c r="J513" i="7"/>
  <c r="K513" i="7"/>
  <c r="L513" i="7"/>
  <c r="M513" i="7"/>
  <c r="W513" i="7"/>
  <c r="D514" i="7"/>
  <c r="E514" i="7"/>
  <c r="J514" i="7"/>
  <c r="K514" i="7"/>
  <c r="M514" i="7"/>
  <c r="W514" i="7"/>
  <c r="D515" i="7"/>
  <c r="J515" i="7"/>
  <c r="K515" i="7"/>
  <c r="L515" i="7"/>
  <c r="W515" i="7"/>
  <c r="E516" i="7"/>
  <c r="J516" i="7"/>
  <c r="K516" i="7"/>
  <c r="M516" i="7"/>
  <c r="W516" i="7"/>
  <c r="D517" i="7"/>
  <c r="E517" i="7"/>
  <c r="J517" i="7"/>
  <c r="K517" i="7"/>
  <c r="W517" i="7"/>
  <c r="D518" i="7"/>
  <c r="E518" i="7"/>
  <c r="J518" i="7"/>
  <c r="K518" i="7"/>
  <c r="L518" i="7"/>
  <c r="W518" i="7"/>
  <c r="D519" i="7"/>
  <c r="J519" i="7"/>
  <c r="K519" i="7"/>
  <c r="M519" i="7"/>
  <c r="W519" i="7"/>
  <c r="E520" i="7"/>
  <c r="I520" i="7"/>
  <c r="J520" i="7"/>
  <c r="K520" i="7"/>
  <c r="W520" i="7"/>
  <c r="D521" i="7"/>
  <c r="E521" i="7"/>
  <c r="H521" i="7"/>
  <c r="J521" i="7"/>
  <c r="K521" i="7"/>
  <c r="W521" i="7"/>
  <c r="D522" i="7"/>
  <c r="E522" i="7"/>
  <c r="J522" i="7"/>
  <c r="K522" i="7"/>
  <c r="L522" i="7"/>
  <c r="W522" i="7"/>
  <c r="D523" i="7"/>
  <c r="J523" i="7"/>
  <c r="K523" i="7"/>
  <c r="M523" i="7"/>
  <c r="W523" i="7"/>
  <c r="E524" i="7"/>
  <c r="J524" i="7"/>
  <c r="K524" i="7"/>
  <c r="L524" i="7"/>
  <c r="W524" i="7"/>
  <c r="D525" i="7"/>
  <c r="E525" i="7"/>
  <c r="J525" i="7"/>
  <c r="K525" i="7"/>
  <c r="L525" i="7"/>
  <c r="M525" i="7"/>
  <c r="W525" i="7"/>
  <c r="D526" i="7"/>
  <c r="E526" i="7"/>
  <c r="J526" i="7"/>
  <c r="K526" i="7"/>
  <c r="M526" i="7"/>
  <c r="W526" i="7"/>
  <c r="D527" i="7"/>
  <c r="J527" i="7"/>
  <c r="K527" i="7"/>
  <c r="L527" i="7"/>
  <c r="W527" i="7"/>
  <c r="D528" i="7"/>
  <c r="E528" i="7"/>
  <c r="I528" i="7"/>
  <c r="J528" i="7"/>
  <c r="K528" i="7"/>
  <c r="L528" i="7"/>
  <c r="W528" i="7"/>
  <c r="D529" i="7"/>
  <c r="E529" i="7"/>
  <c r="H529" i="7"/>
  <c r="J529" i="7"/>
  <c r="K529" i="7"/>
  <c r="L529" i="7"/>
  <c r="W529" i="7"/>
  <c r="D530" i="7"/>
  <c r="J530" i="7"/>
  <c r="K530" i="7"/>
  <c r="M530" i="7"/>
  <c r="W530" i="7"/>
  <c r="E531" i="7"/>
  <c r="J531" i="7"/>
  <c r="K531" i="7"/>
  <c r="L531" i="7"/>
  <c r="W531" i="7"/>
  <c r="D532" i="7"/>
  <c r="E532" i="7"/>
  <c r="J532" i="7"/>
  <c r="K532" i="7"/>
  <c r="L532" i="7"/>
  <c r="M532" i="7"/>
  <c r="W532" i="7"/>
  <c r="D533" i="7"/>
  <c r="E533" i="7"/>
  <c r="J533" i="7"/>
  <c r="K533" i="7"/>
  <c r="M533" i="7"/>
  <c r="W533" i="7"/>
  <c r="D534" i="7"/>
  <c r="J534" i="7"/>
  <c r="K534" i="7"/>
  <c r="L534" i="7"/>
  <c r="W534" i="7"/>
  <c r="E535" i="7"/>
  <c r="J535" i="7"/>
  <c r="K535" i="7"/>
  <c r="M535" i="7"/>
  <c r="W535" i="7"/>
  <c r="D536" i="7"/>
  <c r="E536" i="7"/>
  <c r="I536" i="7"/>
  <c r="J536" i="7"/>
  <c r="K536" i="7"/>
  <c r="M536" i="7"/>
  <c r="W536" i="7"/>
  <c r="D537" i="7"/>
  <c r="E537" i="7"/>
  <c r="H537" i="7"/>
  <c r="J537" i="7"/>
  <c r="K537" i="7"/>
  <c r="M537" i="7"/>
  <c r="W537" i="7"/>
  <c r="D538" i="7"/>
  <c r="J538" i="7"/>
  <c r="K538" i="7"/>
  <c r="L538" i="7"/>
  <c r="W538" i="7"/>
  <c r="E539" i="7"/>
  <c r="J539" i="7"/>
  <c r="K539" i="7"/>
  <c r="M539" i="7"/>
  <c r="W539" i="7"/>
  <c r="D540" i="7"/>
  <c r="E540" i="7"/>
  <c r="J540" i="7"/>
  <c r="K540" i="7"/>
  <c r="W540" i="7"/>
  <c r="D541" i="7"/>
  <c r="J541" i="7"/>
  <c r="K541" i="7"/>
  <c r="L541" i="7"/>
  <c r="M541" i="7"/>
  <c r="W541" i="7"/>
  <c r="E542" i="7"/>
  <c r="J542" i="7"/>
  <c r="K542" i="7"/>
  <c r="W542" i="7"/>
  <c r="D543" i="7"/>
  <c r="E543" i="7"/>
  <c r="I543" i="7"/>
  <c r="J543" i="7"/>
  <c r="K543" i="7"/>
  <c r="W543" i="7"/>
  <c r="D544" i="7"/>
  <c r="E544" i="7"/>
  <c r="H544" i="7"/>
  <c r="J544" i="7"/>
  <c r="K544" i="7"/>
  <c r="W544" i="7"/>
  <c r="D545" i="7"/>
  <c r="J545" i="7"/>
  <c r="K545" i="7"/>
  <c r="L545" i="7"/>
  <c r="M545" i="7"/>
  <c r="W545" i="7"/>
  <c r="E546" i="7"/>
  <c r="J546" i="7"/>
  <c r="K546" i="7"/>
  <c r="W546" i="7"/>
  <c r="D547" i="7"/>
  <c r="E547" i="7"/>
  <c r="J547" i="7"/>
  <c r="K547" i="7"/>
  <c r="L547" i="7"/>
  <c r="W547" i="7"/>
  <c r="D548" i="7"/>
  <c r="E548" i="7"/>
  <c r="J548" i="7"/>
  <c r="K548" i="7"/>
  <c r="L548" i="7"/>
  <c r="M548" i="7"/>
  <c r="W548" i="7"/>
  <c r="D549" i="7"/>
  <c r="J549" i="7"/>
  <c r="K549" i="7"/>
  <c r="W549" i="7"/>
  <c r="E550" i="7"/>
  <c r="J550" i="7"/>
  <c r="K550" i="7"/>
  <c r="L550" i="7"/>
  <c r="M550" i="7"/>
  <c r="W550" i="7"/>
  <c r="D551" i="7"/>
  <c r="E551" i="7"/>
  <c r="I551" i="7"/>
  <c r="J551" i="7"/>
  <c r="K551" i="7"/>
  <c r="L551" i="7"/>
  <c r="M551" i="7"/>
  <c r="W551" i="7"/>
  <c r="D552" i="7"/>
  <c r="E552" i="7"/>
  <c r="H552" i="7"/>
  <c r="J552" i="7"/>
  <c r="K552" i="7"/>
  <c r="L552" i="7"/>
  <c r="M552" i="7"/>
  <c r="W552" i="7"/>
  <c r="D553" i="7"/>
  <c r="J553" i="7"/>
  <c r="K553" i="7"/>
  <c r="W553" i="7"/>
  <c r="E554" i="7"/>
  <c r="J554" i="7"/>
  <c r="K554" i="7"/>
  <c r="L554" i="7"/>
  <c r="M554" i="7"/>
  <c r="W554" i="7"/>
  <c r="D555" i="7"/>
  <c r="E555" i="7"/>
  <c r="J555" i="7"/>
  <c r="K555" i="7"/>
  <c r="M555" i="7"/>
  <c r="W555" i="7"/>
  <c r="D556" i="7"/>
  <c r="E556" i="7"/>
  <c r="J556" i="7"/>
  <c r="K556" i="7"/>
  <c r="W556" i="7"/>
  <c r="D557" i="7"/>
  <c r="J557" i="7"/>
  <c r="K557" i="7"/>
  <c r="L557" i="7"/>
  <c r="M557" i="7"/>
  <c r="W557" i="7"/>
  <c r="E558" i="7"/>
  <c r="J558" i="7"/>
  <c r="K558" i="7"/>
  <c r="W558" i="7"/>
  <c r="D559" i="7"/>
  <c r="E559" i="7"/>
  <c r="I559" i="7"/>
  <c r="J559" i="7"/>
  <c r="K559" i="7"/>
  <c r="W559" i="7"/>
  <c r="D560" i="7"/>
  <c r="E560" i="7"/>
  <c r="H560" i="7"/>
  <c r="J560" i="7"/>
  <c r="K560" i="7"/>
  <c r="W560" i="7"/>
  <c r="D561" i="7"/>
  <c r="J561" i="7"/>
  <c r="K561" i="7"/>
  <c r="L561" i="7"/>
  <c r="M561" i="7"/>
  <c r="W561" i="7"/>
  <c r="E562" i="7"/>
  <c r="J562" i="7"/>
  <c r="K562" i="7"/>
  <c r="W562" i="7"/>
  <c r="D563" i="7"/>
  <c r="E563" i="7"/>
  <c r="J563" i="7"/>
  <c r="K563" i="7"/>
  <c r="L563" i="7"/>
  <c r="W563" i="7"/>
  <c r="D564" i="7"/>
  <c r="E564" i="7"/>
  <c r="J564" i="7"/>
  <c r="K564" i="7"/>
  <c r="L564" i="7"/>
  <c r="M564" i="7"/>
  <c r="W564" i="7"/>
  <c r="D565" i="7"/>
  <c r="J565" i="7"/>
  <c r="K565" i="7"/>
  <c r="W565" i="7"/>
  <c r="E566" i="7"/>
  <c r="J566" i="7"/>
  <c r="K566" i="7"/>
  <c r="L566" i="7"/>
  <c r="M566" i="7"/>
  <c r="W566" i="7"/>
  <c r="D567" i="7"/>
  <c r="E567" i="7"/>
  <c r="I567" i="7"/>
  <c r="J567" i="7"/>
  <c r="K567" i="7"/>
  <c r="L567" i="7"/>
  <c r="M567" i="7"/>
  <c r="W567" i="7"/>
  <c r="D568" i="7"/>
  <c r="E568" i="7"/>
  <c r="H568" i="7"/>
  <c r="J568" i="7"/>
  <c r="K568" i="7"/>
  <c r="L568" i="7"/>
  <c r="M568" i="7"/>
  <c r="W568" i="7"/>
  <c r="D569" i="7"/>
  <c r="J569" i="7"/>
  <c r="K569" i="7"/>
  <c r="W569" i="7"/>
  <c r="E570" i="7"/>
  <c r="J570" i="7"/>
  <c r="K570" i="7"/>
  <c r="L570" i="7"/>
  <c r="M570" i="7"/>
  <c r="W570" i="7"/>
  <c r="D571" i="7"/>
  <c r="E571" i="7"/>
  <c r="J571" i="7"/>
  <c r="K571" i="7"/>
  <c r="M571" i="7"/>
  <c r="W571" i="7"/>
  <c r="D572" i="7"/>
  <c r="E572" i="7"/>
  <c r="J572" i="7"/>
  <c r="K572" i="7"/>
  <c r="W572" i="7"/>
  <c r="D573" i="7"/>
  <c r="J573" i="7"/>
  <c r="K573" i="7"/>
  <c r="L573" i="7"/>
  <c r="M573" i="7"/>
  <c r="W573" i="7"/>
  <c r="E574" i="7"/>
  <c r="J574" i="7"/>
  <c r="K574" i="7"/>
  <c r="W574" i="7"/>
  <c r="D575" i="7"/>
  <c r="E575" i="7"/>
  <c r="I575" i="7"/>
  <c r="J575" i="7"/>
  <c r="K575" i="7"/>
  <c r="W575" i="7"/>
  <c r="D576" i="7"/>
  <c r="E576" i="7"/>
  <c r="H576" i="7"/>
  <c r="I576" i="7"/>
  <c r="J576" i="7"/>
  <c r="K576" i="7"/>
  <c r="M576" i="7"/>
  <c r="W576" i="7"/>
  <c r="D577" i="7"/>
  <c r="H577" i="7"/>
  <c r="I577" i="7"/>
  <c r="J577" i="7"/>
  <c r="K577" i="7"/>
  <c r="M577" i="7"/>
  <c r="W577" i="7"/>
  <c r="E578" i="7"/>
  <c r="H578" i="7"/>
  <c r="I578" i="7"/>
  <c r="J578" i="7"/>
  <c r="K578" i="7"/>
  <c r="M578" i="7"/>
  <c r="W578" i="7"/>
  <c r="D579" i="7"/>
  <c r="E579" i="7"/>
  <c r="H579" i="7"/>
  <c r="J579" i="7"/>
  <c r="K579" i="7"/>
  <c r="M579" i="7"/>
  <c r="W579" i="7"/>
  <c r="D580" i="7"/>
  <c r="E580" i="7"/>
  <c r="J580" i="7"/>
  <c r="K580" i="7"/>
  <c r="W580" i="7"/>
  <c r="D581" i="7"/>
  <c r="J581" i="7"/>
  <c r="K581" i="7"/>
  <c r="L581" i="7"/>
  <c r="M581" i="7"/>
  <c r="W581" i="7"/>
  <c r="E582" i="7"/>
  <c r="J582" i="7"/>
  <c r="K582" i="7"/>
  <c r="W582" i="7"/>
  <c r="D583" i="7"/>
  <c r="E583" i="7"/>
  <c r="I583" i="7"/>
  <c r="J583" i="7"/>
  <c r="K583" i="7"/>
  <c r="W583" i="7"/>
  <c r="D584" i="7"/>
  <c r="E584" i="7"/>
  <c r="H584" i="7"/>
  <c r="I584" i="7"/>
  <c r="J584" i="7"/>
  <c r="K584" i="7"/>
  <c r="L584" i="7"/>
  <c r="M584" i="7"/>
  <c r="W584" i="7"/>
  <c r="D585" i="7"/>
  <c r="H585" i="7"/>
  <c r="I585" i="7"/>
  <c r="J585" i="7"/>
  <c r="K585" i="7"/>
  <c r="L585" i="7"/>
  <c r="M585" i="7"/>
  <c r="W585" i="7"/>
  <c r="E586" i="7"/>
  <c r="H586" i="7"/>
  <c r="I586" i="7"/>
  <c r="J586" i="7"/>
  <c r="K586" i="7"/>
  <c r="L586" i="7"/>
  <c r="M586" i="7"/>
  <c r="W586" i="7"/>
  <c r="D587" i="7"/>
  <c r="E587" i="7"/>
  <c r="H587" i="7"/>
  <c r="J587" i="7"/>
  <c r="K587" i="7"/>
  <c r="L587" i="7"/>
  <c r="M587" i="7"/>
  <c r="W587" i="7"/>
  <c r="D588" i="7"/>
  <c r="E588" i="7"/>
  <c r="J588" i="7"/>
  <c r="K588" i="7"/>
  <c r="M588" i="7"/>
  <c r="W588" i="7"/>
  <c r="D589" i="7"/>
  <c r="J589" i="7"/>
  <c r="K589" i="7"/>
  <c r="L589" i="7"/>
  <c r="M589" i="7"/>
  <c r="W589" i="7"/>
  <c r="E590" i="7"/>
  <c r="J590" i="7"/>
  <c r="K590" i="7"/>
  <c r="M590" i="7"/>
  <c r="W590" i="7"/>
  <c r="D591" i="7"/>
  <c r="E591" i="7"/>
  <c r="I591" i="7"/>
  <c r="J591" i="7"/>
  <c r="K591" i="7"/>
  <c r="M591" i="7"/>
  <c r="W591" i="7"/>
  <c r="D592" i="7"/>
  <c r="E592" i="7"/>
  <c r="H592" i="7"/>
  <c r="I592" i="7"/>
  <c r="J592" i="7"/>
  <c r="K592" i="7"/>
  <c r="L592" i="7"/>
  <c r="M592" i="7"/>
  <c r="W592" i="7"/>
  <c r="D593" i="7"/>
  <c r="H593" i="7"/>
  <c r="I593" i="7"/>
  <c r="J593" i="7"/>
  <c r="K593" i="7"/>
  <c r="L593" i="7"/>
  <c r="M593" i="7"/>
  <c r="W593" i="7"/>
  <c r="E594" i="7"/>
  <c r="H594" i="7"/>
  <c r="I594" i="7"/>
  <c r="J594" i="7"/>
  <c r="K594" i="7"/>
  <c r="L594" i="7"/>
  <c r="M594" i="7"/>
  <c r="W594" i="7"/>
  <c r="D595" i="7"/>
  <c r="E595" i="7"/>
  <c r="H595" i="7"/>
  <c r="J595" i="7"/>
  <c r="K595" i="7"/>
  <c r="L595" i="7"/>
  <c r="M595" i="7"/>
  <c r="W595" i="7"/>
  <c r="D596" i="7"/>
  <c r="E596" i="7"/>
  <c r="J596" i="7"/>
  <c r="K596" i="7"/>
  <c r="M596" i="7"/>
  <c r="W596" i="7"/>
  <c r="D597" i="7"/>
  <c r="J597" i="7"/>
  <c r="K597" i="7"/>
  <c r="L597" i="7"/>
  <c r="M597" i="7"/>
  <c r="W597" i="7"/>
  <c r="E598" i="7"/>
  <c r="J598" i="7"/>
  <c r="K598" i="7"/>
  <c r="M598" i="7"/>
  <c r="W598" i="7"/>
  <c r="D599" i="7"/>
  <c r="E599" i="7"/>
  <c r="I599" i="7"/>
  <c r="J599" i="7"/>
  <c r="K599" i="7"/>
  <c r="M599" i="7"/>
  <c r="W599" i="7"/>
  <c r="D600" i="7"/>
  <c r="H600" i="7"/>
  <c r="I600" i="7"/>
  <c r="J600" i="7"/>
  <c r="K600" i="7"/>
  <c r="M600" i="7"/>
  <c r="W600" i="7"/>
  <c r="E601" i="7"/>
  <c r="H601" i="7"/>
  <c r="I601" i="7"/>
  <c r="J601" i="7"/>
  <c r="K601" i="7"/>
  <c r="M601" i="7"/>
  <c r="W601" i="7"/>
  <c r="D602" i="7"/>
  <c r="E602" i="7"/>
  <c r="H602" i="7"/>
  <c r="J602" i="7"/>
  <c r="K602" i="7"/>
  <c r="M602" i="7"/>
  <c r="W602" i="7"/>
  <c r="D603" i="7"/>
  <c r="E603" i="7"/>
  <c r="J603" i="7"/>
  <c r="K603" i="7"/>
  <c r="L603" i="7"/>
  <c r="W603" i="7"/>
  <c r="D604" i="7"/>
  <c r="J604" i="7"/>
  <c r="K604" i="7"/>
  <c r="L604" i="7"/>
  <c r="M604" i="7"/>
  <c r="W604" i="7"/>
  <c r="E605" i="7"/>
  <c r="J605" i="7"/>
  <c r="K605" i="7"/>
  <c r="L605" i="7"/>
  <c r="W605" i="7"/>
  <c r="D606" i="7"/>
  <c r="E606" i="7"/>
  <c r="I606" i="7"/>
  <c r="J606" i="7"/>
  <c r="K606" i="7"/>
  <c r="L606" i="7"/>
  <c r="M606" i="7"/>
  <c r="W606" i="7"/>
  <c r="D607" i="7"/>
  <c r="E607" i="7"/>
  <c r="H607" i="7"/>
  <c r="I607" i="7"/>
  <c r="J607" i="7"/>
  <c r="K607" i="7"/>
  <c r="L607" i="7"/>
  <c r="M607" i="7"/>
  <c r="W607" i="7"/>
  <c r="D608" i="7"/>
  <c r="H608" i="7"/>
  <c r="I608" i="7"/>
  <c r="J608" i="7"/>
  <c r="K608" i="7"/>
  <c r="L608" i="7"/>
  <c r="M608" i="7"/>
  <c r="W608" i="7"/>
  <c r="E609" i="7"/>
  <c r="H609" i="7"/>
  <c r="I609" i="7"/>
  <c r="J609" i="7"/>
  <c r="K609" i="7"/>
  <c r="L609" i="7"/>
  <c r="M609" i="7"/>
  <c r="W609" i="7"/>
  <c r="D610" i="7"/>
  <c r="E610" i="7"/>
  <c r="H610" i="7"/>
  <c r="J610" i="7"/>
  <c r="K610" i="7"/>
  <c r="L610" i="7"/>
  <c r="M610" i="7"/>
  <c r="W610" i="7"/>
  <c r="D611" i="7"/>
  <c r="E611" i="7"/>
  <c r="J611" i="7"/>
  <c r="K611" i="7"/>
  <c r="L611" i="7"/>
  <c r="M611" i="7"/>
  <c r="W611" i="7"/>
  <c r="D612" i="7"/>
  <c r="J612" i="7"/>
  <c r="K612" i="7"/>
  <c r="L612" i="7"/>
  <c r="M612" i="7"/>
  <c r="W612" i="7"/>
  <c r="D613" i="7"/>
  <c r="E613" i="7"/>
  <c r="H613" i="7"/>
  <c r="I613" i="7"/>
  <c r="J613" i="7"/>
  <c r="K613" i="7"/>
  <c r="L613" i="7"/>
  <c r="M613" i="7"/>
  <c r="W613" i="7"/>
  <c r="D614" i="7"/>
  <c r="E614" i="7"/>
  <c r="H614" i="7"/>
  <c r="J614" i="7"/>
  <c r="K614" i="7"/>
  <c r="L614" i="7"/>
  <c r="M614" i="7"/>
  <c r="W614" i="7"/>
  <c r="A620" i="7"/>
  <c r="M620" i="7" s="1"/>
  <c r="A622" i="7"/>
  <c r="H622" i="7" s="1"/>
  <c r="A623" i="7"/>
  <c r="V2" i="3"/>
  <c r="W2" i="3"/>
  <c r="R17" i="3"/>
  <c r="AK2" i="3"/>
  <c r="AL2" i="3"/>
  <c r="G243" i="5" l="1"/>
  <c r="G163" i="5"/>
  <c r="G102" i="5"/>
  <c r="G269" i="5"/>
  <c r="G157" i="5"/>
  <c r="L71" i="7"/>
  <c r="L65" i="7"/>
  <c r="L159" i="7"/>
  <c r="M188" i="7"/>
  <c r="M200" i="7"/>
  <c r="L208" i="7"/>
  <c r="M222" i="7"/>
  <c r="L235" i="7"/>
  <c r="L246" i="7"/>
  <c r="L254" i="7"/>
  <c r="L261" i="7"/>
  <c r="L270" i="7"/>
  <c r="L278" i="7"/>
  <c r="L285" i="7"/>
  <c r="L294" i="7"/>
  <c r="L302" i="7"/>
  <c r="L309" i="7"/>
  <c r="L318" i="7"/>
  <c r="L326" i="7"/>
  <c r="L333" i="7"/>
  <c r="L342" i="7"/>
  <c r="L350" i="7"/>
  <c r="L353" i="7"/>
  <c r="M373" i="7"/>
  <c r="M376" i="7"/>
  <c r="L407" i="7"/>
  <c r="L414" i="7"/>
  <c r="L417" i="7"/>
  <c r="M437" i="7"/>
  <c r="M440" i="7"/>
  <c r="M98" i="7"/>
  <c r="L140" i="7"/>
  <c r="L175" i="7"/>
  <c r="L183" i="7"/>
  <c r="M192" i="7"/>
  <c r="L206" i="7"/>
  <c r="M209" i="7"/>
  <c r="M217" i="7"/>
  <c r="L219" i="7"/>
  <c r="L224" i="7"/>
  <c r="M235" i="7"/>
  <c r="L237" i="7"/>
  <c r="L243" i="7"/>
  <c r="M246" i="7"/>
  <c r="L256" i="7"/>
  <c r="L259" i="7"/>
  <c r="L267" i="7"/>
  <c r="M270" i="7"/>
  <c r="L280" i="7"/>
  <c r="L283" i="7"/>
  <c r="L291" i="7"/>
  <c r="M294" i="7"/>
  <c r="L304" i="7"/>
  <c r="L307" i="7"/>
  <c r="L315" i="7"/>
  <c r="M318" i="7"/>
  <c r="L328" i="7"/>
  <c r="L331" i="7"/>
  <c r="L339" i="7"/>
  <c r="M342" i="7"/>
  <c r="L359" i="7"/>
  <c r="L366" i="7"/>
  <c r="L369" i="7"/>
  <c r="M389" i="7"/>
  <c r="M392" i="7"/>
  <c r="L423" i="7"/>
  <c r="L430" i="7"/>
  <c r="L433" i="7"/>
  <c r="L450" i="7"/>
  <c r="L459" i="7"/>
  <c r="L465" i="7"/>
  <c r="M473" i="7"/>
  <c r="L173" i="7"/>
  <c r="L185" i="7"/>
  <c r="M241" i="7"/>
  <c r="L248" i="7"/>
  <c r="M281" i="7"/>
  <c r="M320" i="7"/>
  <c r="M331" i="7"/>
  <c r="M337" i="7"/>
  <c r="L344" i="7"/>
  <c r="M360" i="7"/>
  <c r="L382" i="7"/>
  <c r="L401" i="7"/>
  <c r="M421" i="7"/>
  <c r="L452" i="7"/>
  <c r="L455" i="7"/>
  <c r="M457" i="7"/>
  <c r="L462" i="7"/>
  <c r="L478" i="7"/>
  <c r="L481" i="7"/>
  <c r="M489" i="7"/>
  <c r="M496" i="7"/>
  <c r="M502" i="7"/>
  <c r="M504" i="7"/>
  <c r="M505" i="7"/>
  <c r="L507" i="7"/>
  <c r="L510" i="7"/>
  <c r="L514" i="7"/>
  <c r="L516" i="7"/>
  <c r="M517" i="7"/>
  <c r="L519" i="7"/>
  <c r="M520" i="7"/>
  <c r="M521" i="7"/>
  <c r="L523" i="7"/>
  <c r="L526" i="7"/>
  <c r="L530" i="7"/>
  <c r="L533" i="7"/>
  <c r="L535" i="7"/>
  <c r="L536" i="7"/>
  <c r="L537" i="7"/>
  <c r="L539" i="7"/>
  <c r="M540" i="7"/>
  <c r="M542" i="7"/>
  <c r="M543" i="7"/>
  <c r="M544" i="7"/>
  <c r="M546" i="7"/>
  <c r="M549" i="7"/>
  <c r="M553" i="7"/>
  <c r="L555" i="7"/>
  <c r="M556" i="7"/>
  <c r="M558" i="7"/>
  <c r="M559" i="7"/>
  <c r="M560" i="7"/>
  <c r="M562" i="7"/>
  <c r="M565" i="7"/>
  <c r="M569" i="7"/>
  <c r="L571" i="7"/>
  <c r="M572" i="7"/>
  <c r="M574" i="7"/>
  <c r="M575" i="7"/>
  <c r="L576" i="7"/>
  <c r="L577" i="7"/>
  <c r="L578" i="7"/>
  <c r="L579" i="7"/>
  <c r="M580" i="7"/>
  <c r="M582" i="7"/>
  <c r="M583" i="7"/>
  <c r="L135" i="7"/>
  <c r="L222" i="7"/>
  <c r="M248" i="7"/>
  <c r="M259" i="7"/>
  <c r="M265" i="7"/>
  <c r="L272" i="7"/>
  <c r="M305" i="7"/>
  <c r="M344" i="7"/>
  <c r="L171" i="7"/>
  <c r="L200" i="7"/>
  <c r="M211" i="7"/>
  <c r="L213" i="7"/>
  <c r="L230" i="7"/>
  <c r="M233" i="7"/>
  <c r="M257" i="7"/>
  <c r="M296" i="7"/>
  <c r="M307" i="7"/>
  <c r="M313" i="7"/>
  <c r="L320" i="7"/>
  <c r="L375" i="7"/>
  <c r="L385" i="7"/>
  <c r="L391" i="7"/>
  <c r="M405" i="7"/>
  <c r="M448" i="7"/>
  <c r="L468" i="7"/>
  <c r="L471" i="7"/>
  <c r="L484" i="7"/>
  <c r="L487" i="7"/>
  <c r="M492" i="7"/>
  <c r="L497" i="7"/>
  <c r="L500" i="7"/>
  <c r="L504" i="7"/>
  <c r="L505" i="7"/>
  <c r="M506" i="7"/>
  <c r="M508" i="7"/>
  <c r="M511" i="7"/>
  <c r="M515" i="7"/>
  <c r="L517" i="7"/>
  <c r="M518" i="7"/>
  <c r="L520" i="7"/>
  <c r="L521" i="7"/>
  <c r="M522" i="7"/>
  <c r="M524" i="7"/>
  <c r="M527" i="7"/>
  <c r="M528" i="7"/>
  <c r="M529" i="7"/>
  <c r="M531" i="7"/>
  <c r="M534" i="7"/>
  <c r="M538" i="7"/>
  <c r="L540" i="7"/>
  <c r="L542" i="7"/>
  <c r="L543" i="7"/>
  <c r="L544" i="7"/>
  <c r="L546" i="7"/>
  <c r="M547" i="7"/>
  <c r="L549" i="7"/>
  <c r="L553" i="7"/>
  <c r="L556" i="7"/>
  <c r="L558" i="7"/>
  <c r="L559" i="7"/>
  <c r="L560" i="7"/>
  <c r="L562" i="7"/>
  <c r="M563" i="7"/>
  <c r="L565" i="7"/>
  <c r="L569" i="7"/>
  <c r="L572" i="7"/>
  <c r="L574" i="7"/>
  <c r="L575" i="7"/>
  <c r="L580" i="7"/>
  <c r="L582" i="7"/>
  <c r="L583" i="7"/>
  <c r="L588" i="7"/>
  <c r="L590" i="7"/>
  <c r="L591" i="7"/>
  <c r="L596" i="7"/>
  <c r="L598" i="7"/>
  <c r="L599" i="7"/>
  <c r="L600" i="7"/>
  <c r="L601" i="7"/>
  <c r="L602" i="7"/>
  <c r="M603" i="7"/>
  <c r="M605" i="7"/>
  <c r="L85" i="7"/>
  <c r="G227" i="5"/>
  <c r="G222" i="5"/>
  <c r="I217" i="5"/>
  <c r="G212" i="5"/>
  <c r="I202" i="5"/>
  <c r="G236" i="5"/>
  <c r="H175" i="7"/>
  <c r="H169" i="7"/>
  <c r="I156" i="7"/>
  <c r="H143" i="7"/>
  <c r="I219" i="5"/>
  <c r="G203" i="5"/>
  <c r="G178" i="5"/>
  <c r="G154" i="5"/>
  <c r="G150" i="5"/>
  <c r="G300" i="5"/>
  <c r="I290" i="5"/>
  <c r="G255" i="5"/>
  <c r="G246" i="5"/>
  <c r="I240" i="5"/>
  <c r="G147" i="5"/>
  <c r="I131" i="5"/>
  <c r="G126" i="5"/>
  <c r="G109" i="5"/>
  <c r="I88" i="5"/>
  <c r="I20" i="5"/>
  <c r="H99" i="7"/>
  <c r="H107" i="7"/>
  <c r="I109" i="7"/>
  <c r="I114" i="7"/>
  <c r="H117" i="7"/>
  <c r="I119" i="7"/>
  <c r="I147" i="7"/>
  <c r="H148" i="7"/>
  <c r="H155" i="7"/>
  <c r="H162" i="7"/>
  <c r="H165" i="7"/>
  <c r="I84" i="7"/>
  <c r="H90" i="7"/>
  <c r="I93" i="7"/>
  <c r="H98" i="7"/>
  <c r="I100" i="7"/>
  <c r="H116" i="7"/>
  <c r="I142" i="7"/>
  <c r="I161" i="7"/>
  <c r="I185" i="7"/>
  <c r="H194" i="7"/>
  <c r="H197" i="7"/>
  <c r="I198" i="7"/>
  <c r="I360" i="7"/>
  <c r="I368" i="7"/>
  <c r="H377" i="7"/>
  <c r="H401" i="7"/>
  <c r="I424" i="7"/>
  <c r="I432" i="7"/>
  <c r="H441" i="7"/>
  <c r="H104" i="7"/>
  <c r="H115" i="7"/>
  <c r="I116" i="7"/>
  <c r="H132" i="7"/>
  <c r="I148" i="7"/>
  <c r="I150" i="7"/>
  <c r="H153" i="7"/>
  <c r="H157" i="7"/>
  <c r="I166" i="7"/>
  <c r="H178" i="7"/>
  <c r="H353" i="7"/>
  <c r="I376" i="7"/>
  <c r="I384" i="7"/>
  <c r="H393" i="7"/>
  <c r="H417" i="7"/>
  <c r="I440" i="7"/>
  <c r="I448" i="7"/>
  <c r="I456" i="7"/>
  <c r="I480" i="7"/>
  <c r="G294" i="5"/>
  <c r="G278" i="5"/>
  <c r="G273" i="5"/>
  <c r="G264" i="5"/>
  <c r="I199" i="5"/>
  <c r="G184" i="5"/>
  <c r="G120" i="5"/>
  <c r="G107" i="5"/>
  <c r="I93" i="5"/>
  <c r="I292" i="5"/>
  <c r="G287" i="5"/>
  <c r="G282" i="5"/>
  <c r="G272" i="5"/>
  <c r="G262" i="5"/>
  <c r="I257" i="5"/>
  <c r="G239" i="5"/>
  <c r="G211" i="5"/>
  <c r="G205" i="5"/>
  <c r="G201" i="5"/>
  <c r="I191" i="5"/>
  <c r="G161" i="5"/>
  <c r="I153" i="5"/>
  <c r="G148" i="5"/>
  <c r="G144" i="5"/>
  <c r="G139" i="5"/>
  <c r="G128" i="5"/>
  <c r="G118" i="5"/>
  <c r="G105" i="5"/>
  <c r="I99" i="5"/>
  <c r="G64" i="5"/>
  <c r="F53" i="5"/>
  <c r="F51" i="5"/>
  <c r="F66" i="5"/>
  <c r="G66" i="5" s="1"/>
  <c r="F75" i="5"/>
  <c r="I75" i="5" s="1"/>
  <c r="F86" i="5"/>
  <c r="G86" i="5" s="1"/>
  <c r="F90" i="5"/>
  <c r="F95" i="5"/>
  <c r="G95" i="5" s="1"/>
  <c r="F100" i="5"/>
  <c r="F104" i="5"/>
  <c r="G104" i="5" s="1"/>
  <c r="F110" i="5"/>
  <c r="F115" i="5"/>
  <c r="F119" i="5"/>
  <c r="G119" i="5" s="1"/>
  <c r="F123" i="5"/>
  <c r="I123" i="5" s="1"/>
  <c r="F130" i="5"/>
  <c r="I130" i="5" s="1"/>
  <c r="F134" i="5"/>
  <c r="F138" i="5"/>
  <c r="I138" i="5" s="1"/>
  <c r="F142" i="5"/>
  <c r="I142" i="5" s="1"/>
  <c r="F146" i="5"/>
  <c r="F149" i="5"/>
  <c r="F155" i="5"/>
  <c r="I155" i="5" s="1"/>
  <c r="F158" i="5"/>
  <c r="G158" i="5" s="1"/>
  <c r="F162" i="5"/>
  <c r="I162" i="5" s="1"/>
  <c r="F165" i="5"/>
  <c r="G165" i="5" s="1"/>
  <c r="F169" i="5"/>
  <c r="I169" i="5" s="1"/>
  <c r="F173" i="5"/>
  <c r="G173" i="5" s="1"/>
  <c r="F177" i="5"/>
  <c r="G177" i="5" s="1"/>
  <c r="F181" i="5"/>
  <c r="F185" i="5"/>
  <c r="F189" i="5"/>
  <c r="G189" i="5" s="1"/>
  <c r="F192" i="5"/>
  <c r="F196" i="5"/>
  <c r="F200" i="5"/>
  <c r="I200" i="5" s="1"/>
  <c r="F206" i="5"/>
  <c r="G206" i="5" s="1"/>
  <c r="F210" i="5"/>
  <c r="F214" i="5"/>
  <c r="G214" i="5" s="1"/>
  <c r="F218" i="5"/>
  <c r="F221" i="5"/>
  <c r="G221" i="5" s="1"/>
  <c r="F224" i="5"/>
  <c r="I224" i="5" s="1"/>
  <c r="F231" i="5"/>
  <c r="F235" i="5"/>
  <c r="I235" i="5" s="1"/>
  <c r="F238" i="5"/>
  <c r="I238" i="5" s="1"/>
  <c r="F242" i="5"/>
  <c r="F245" i="5"/>
  <c r="F249" i="5"/>
  <c r="I249" i="5" s="1"/>
  <c r="F252" i="5"/>
  <c r="F259" i="5"/>
  <c r="G259" i="5" s="1"/>
  <c r="F263" i="5"/>
  <c r="F267" i="5"/>
  <c r="F270" i="5"/>
  <c r="G270" i="5" s="1"/>
  <c r="F274" i="5"/>
  <c r="I274" i="5" s="1"/>
  <c r="F277" i="5"/>
  <c r="G277" i="5" s="1"/>
  <c r="F281" i="5"/>
  <c r="F285" i="5"/>
  <c r="I285" i="5" s="1"/>
  <c r="F289" i="5"/>
  <c r="G289" i="5" s="1"/>
  <c r="F293" i="5"/>
  <c r="G293" i="5" s="1"/>
  <c r="F297" i="5"/>
  <c r="I297" i="5" s="1"/>
  <c r="F301" i="5"/>
  <c r="G301" i="5" s="1"/>
  <c r="F6" i="5"/>
  <c r="K96" i="7"/>
  <c r="K141" i="7"/>
  <c r="K152" i="7"/>
  <c r="K158" i="7"/>
  <c r="J159" i="7"/>
  <c r="J160" i="7"/>
  <c r="J161" i="7"/>
  <c r="J163" i="7"/>
  <c r="J164" i="7"/>
  <c r="D18" i="7"/>
  <c r="E122" i="7"/>
  <c r="D139" i="7"/>
  <c r="D156" i="7"/>
  <c r="E157" i="7"/>
  <c r="I291" i="5"/>
  <c r="G286" i="5"/>
  <c r="G280" i="5"/>
  <c r="I275" i="5"/>
  <c r="G256" i="5"/>
  <c r="I247" i="5"/>
  <c r="G237" i="5"/>
  <c r="I233" i="5"/>
  <c r="I228" i="5"/>
  <c r="G223" i="5"/>
  <c r="G209" i="5"/>
  <c r="G195" i="5"/>
  <c r="G190" i="5"/>
  <c r="I186" i="5"/>
  <c r="G175" i="5"/>
  <c r="G156" i="5"/>
  <c r="G152" i="5"/>
  <c r="G143" i="5"/>
  <c r="I137" i="5"/>
  <c r="G127" i="5"/>
  <c r="G122" i="5"/>
  <c r="G117" i="5"/>
  <c r="I111" i="5"/>
  <c r="G103" i="5"/>
  <c r="I97" i="5"/>
  <c r="F85" i="5"/>
  <c r="F73" i="5"/>
  <c r="I73" i="5" s="1"/>
  <c r="F59" i="5"/>
  <c r="I116" i="5"/>
  <c r="D152" i="7"/>
  <c r="D143" i="7"/>
  <c r="D129" i="7"/>
  <c r="E152" i="7"/>
  <c r="D124" i="7"/>
  <c r="E233" i="7"/>
  <c r="E221" i="7"/>
  <c r="E209" i="7"/>
  <c r="E194" i="7"/>
  <c r="D192" i="7"/>
  <c r="E142" i="7"/>
  <c r="D122" i="7"/>
  <c r="E237" i="7"/>
  <c r="E230" i="7"/>
  <c r="D225" i="7"/>
  <c r="D218" i="7"/>
  <c r="E213" i="7"/>
  <c r="E206" i="7"/>
  <c r="D201" i="7"/>
  <c r="E196" i="7"/>
  <c r="E189" i="7"/>
  <c r="D187" i="7"/>
  <c r="E173" i="7"/>
  <c r="D171" i="7"/>
  <c r="E163" i="7"/>
  <c r="D144" i="7"/>
  <c r="E141" i="7"/>
  <c r="E126" i="7"/>
  <c r="D115" i="7"/>
  <c r="D237" i="7"/>
  <c r="D230" i="7"/>
  <c r="D213" i="7"/>
  <c r="D206" i="7"/>
  <c r="D189" i="7"/>
  <c r="E182" i="7"/>
  <c r="E177" i="7"/>
  <c r="E175" i="7"/>
  <c r="D173" i="7"/>
  <c r="D155" i="7"/>
  <c r="E234" i="7"/>
  <c r="E232" i="7"/>
  <c r="E210" i="7"/>
  <c r="E208" i="7"/>
  <c r="E198" i="7"/>
  <c r="D193" i="7"/>
  <c r="D191" i="7"/>
  <c r="D184" i="7"/>
  <c r="D238" i="7"/>
  <c r="D231" i="7"/>
  <c r="D226" i="7"/>
  <c r="D219" i="7"/>
  <c r="D214" i="7"/>
  <c r="D207" i="7"/>
  <c r="D202" i="7"/>
  <c r="E190" i="7"/>
  <c r="D188" i="7"/>
  <c r="E178" i="7"/>
  <c r="D176" i="7"/>
  <c r="D174" i="7"/>
  <c r="E150" i="7"/>
  <c r="D137" i="7"/>
  <c r="D118" i="7"/>
  <c r="E114" i="7"/>
  <c r="E117" i="7"/>
  <c r="D127" i="7"/>
  <c r="M251" i="5"/>
  <c r="M233" i="5"/>
  <c r="M209" i="5"/>
  <c r="M186" i="5"/>
  <c r="G179" i="5"/>
  <c r="I179" i="5"/>
  <c r="G167" i="5"/>
  <c r="I167" i="5"/>
  <c r="I284" i="5"/>
  <c r="G284" i="5"/>
  <c r="G187" i="5"/>
  <c r="I187" i="5"/>
  <c r="L16" i="7"/>
  <c r="L155" i="7"/>
  <c r="M199" i="7"/>
  <c r="L201" i="7"/>
  <c r="M210" i="7"/>
  <c r="M212" i="7"/>
  <c r="M223" i="7"/>
  <c r="L225" i="7"/>
  <c r="M234" i="7"/>
  <c r="M236" i="7"/>
  <c r="M247" i="7"/>
  <c r="L249" i="7"/>
  <c r="M258" i="7"/>
  <c r="M260" i="7"/>
  <c r="M271" i="7"/>
  <c r="L273" i="7"/>
  <c r="M282" i="7"/>
  <c r="M284" i="7"/>
  <c r="M295" i="7"/>
  <c r="L297" i="7"/>
  <c r="M306" i="7"/>
  <c r="M308" i="7"/>
  <c r="M319" i="7"/>
  <c r="L321" i="7"/>
  <c r="M330" i="7"/>
  <c r="M332" i="7"/>
  <c r="M343" i="7"/>
  <c r="L345" i="7"/>
  <c r="L361" i="7"/>
  <c r="L377" i="7"/>
  <c r="L393" i="7"/>
  <c r="L409" i="7"/>
  <c r="L425" i="7"/>
  <c r="L441" i="7"/>
  <c r="L457" i="7"/>
  <c r="L473" i="7"/>
  <c r="L489" i="7"/>
  <c r="L68" i="7"/>
  <c r="L165" i="7"/>
  <c r="M180" i="7"/>
  <c r="L197" i="7"/>
  <c r="M201" i="7"/>
  <c r="L203" i="7"/>
  <c r="L214" i="7"/>
  <c r="L216" i="7"/>
  <c r="M225" i="7"/>
  <c r="L227" i="7"/>
  <c r="L238" i="7"/>
  <c r="L240" i="7"/>
  <c r="M249" i="7"/>
  <c r="L251" i="7"/>
  <c r="L262" i="7"/>
  <c r="L264" i="7"/>
  <c r="M273" i="7"/>
  <c r="L275" i="7"/>
  <c r="L286" i="7"/>
  <c r="L288" i="7"/>
  <c r="M297" i="7"/>
  <c r="L299" i="7"/>
  <c r="L310" i="7"/>
  <c r="L312" i="7"/>
  <c r="M321" i="7"/>
  <c r="L323" i="7"/>
  <c r="L334" i="7"/>
  <c r="L336" i="7"/>
  <c r="M345" i="7"/>
  <c r="L347" i="7"/>
  <c r="L354" i="7"/>
  <c r="L356" i="7"/>
  <c r="M361" i="7"/>
  <c r="L363" i="7"/>
  <c r="L370" i="7"/>
  <c r="L372" i="7"/>
  <c r="M377" i="7"/>
  <c r="L379" i="7"/>
  <c r="L386" i="7"/>
  <c r="L388" i="7"/>
  <c r="M393" i="7"/>
  <c r="L395" i="7"/>
  <c r="L402" i="7"/>
  <c r="L404" i="7"/>
  <c r="M409" i="7"/>
  <c r="L411" i="7"/>
  <c r="L418" i="7"/>
  <c r="L420" i="7"/>
  <c r="M425" i="7"/>
  <c r="L427" i="7"/>
  <c r="L434" i="7"/>
  <c r="L436" i="7"/>
  <c r="M441" i="7"/>
  <c r="L443" i="7"/>
  <c r="L163" i="7"/>
  <c r="L195" i="7"/>
  <c r="M203" i="7"/>
  <c r="L205" i="7"/>
  <c r="M214" i="7"/>
  <c r="M216" i="7"/>
  <c r="M227" i="7"/>
  <c r="L229" i="7"/>
  <c r="M238" i="7"/>
  <c r="M240" i="7"/>
  <c r="M251" i="7"/>
  <c r="L253" i="7"/>
  <c r="M262" i="7"/>
  <c r="M264" i="7"/>
  <c r="M275" i="7"/>
  <c r="L277" i="7"/>
  <c r="M286" i="7"/>
  <c r="M288" i="7"/>
  <c r="M299" i="7"/>
  <c r="L301" i="7"/>
  <c r="M310" i="7"/>
  <c r="M312" i="7"/>
  <c r="M323" i="7"/>
  <c r="L325" i="7"/>
  <c r="M334" i="7"/>
  <c r="M336" i="7"/>
  <c r="M347" i="7"/>
  <c r="L349" i="7"/>
  <c r="M354" i="7"/>
  <c r="M356" i="7"/>
  <c r="M363" i="7"/>
  <c r="L365" i="7"/>
  <c r="M370" i="7"/>
  <c r="M372" i="7"/>
  <c r="M379" i="7"/>
  <c r="L381" i="7"/>
  <c r="M386" i="7"/>
  <c r="M388" i="7"/>
  <c r="M395" i="7"/>
  <c r="L397" i="7"/>
  <c r="M402" i="7"/>
  <c r="M404" i="7"/>
  <c r="M411" i="7"/>
  <c r="L413" i="7"/>
  <c r="M418" i="7"/>
  <c r="M420" i="7"/>
  <c r="M427" i="7"/>
  <c r="L429" i="7"/>
  <c r="M434" i="7"/>
  <c r="M436" i="7"/>
  <c r="M443" i="7"/>
  <c r="L445" i="7"/>
  <c r="M450" i="7"/>
  <c r="M452" i="7"/>
  <c r="M459" i="7"/>
  <c r="L461" i="7"/>
  <c r="M466" i="7"/>
  <c r="M468" i="7"/>
  <c r="M475" i="7"/>
  <c r="L477" i="7"/>
  <c r="M482" i="7"/>
  <c r="M484" i="7"/>
  <c r="M491" i="7"/>
  <c r="L493" i="7"/>
  <c r="M498" i="7"/>
  <c r="M500" i="7"/>
  <c r="M104" i="7"/>
  <c r="M119" i="7"/>
  <c r="M153" i="7"/>
  <c r="L158" i="7"/>
  <c r="M172" i="7"/>
  <c r="M176" i="7"/>
  <c r="L187" i="7"/>
  <c r="L189" i="7"/>
  <c r="L191" i="7"/>
  <c r="L193" i="7"/>
  <c r="M205" i="7"/>
  <c r="L207" i="7"/>
  <c r="L218" i="7"/>
  <c r="L220" i="7"/>
  <c r="M229" i="7"/>
  <c r="L231" i="7"/>
  <c r="L242" i="7"/>
  <c r="L244" i="7"/>
  <c r="M253" i="7"/>
  <c r="L255" i="7"/>
  <c r="L266" i="7"/>
  <c r="L268" i="7"/>
  <c r="M277" i="7"/>
  <c r="L279" i="7"/>
  <c r="L290" i="7"/>
  <c r="L292" i="7"/>
  <c r="M301" i="7"/>
  <c r="L303" i="7"/>
  <c r="L314" i="7"/>
  <c r="L316" i="7"/>
  <c r="M325" i="7"/>
  <c r="L327" i="7"/>
  <c r="L338" i="7"/>
  <c r="L340" i="7"/>
  <c r="M349" i="7"/>
  <c r="L351" i="7"/>
  <c r="L358" i="7"/>
  <c r="M365" i="7"/>
  <c r="L367" i="7"/>
  <c r="L374" i="7"/>
  <c r="M381" i="7"/>
  <c r="L383" i="7"/>
  <c r="L390" i="7"/>
  <c r="M397" i="7"/>
  <c r="L399" i="7"/>
  <c r="L406" i="7"/>
  <c r="M413" i="7"/>
  <c r="L415" i="7"/>
  <c r="L422" i="7"/>
  <c r="M429" i="7"/>
  <c r="L431" i="7"/>
  <c r="L438" i="7"/>
  <c r="M445" i="7"/>
  <c r="L447" i="7"/>
  <c r="L454" i="7"/>
  <c r="M461" i="7"/>
  <c r="L463" i="7"/>
  <c r="L470" i="7"/>
  <c r="M477" i="7"/>
  <c r="L479" i="7"/>
  <c r="L486" i="7"/>
  <c r="M493" i="7"/>
  <c r="L495" i="7"/>
  <c r="L502" i="7"/>
  <c r="M150" i="7"/>
  <c r="M168" i="7"/>
  <c r="M207" i="7"/>
  <c r="L209" i="7"/>
  <c r="M218" i="7"/>
  <c r="M220" i="7"/>
  <c r="M231" i="7"/>
  <c r="L233" i="7"/>
  <c r="M242" i="7"/>
  <c r="M244" i="7"/>
  <c r="M255" i="7"/>
  <c r="L257" i="7"/>
  <c r="M266" i="7"/>
  <c r="M268" i="7"/>
  <c r="M279" i="7"/>
  <c r="L281" i="7"/>
  <c r="M290" i="7"/>
  <c r="M292" i="7"/>
  <c r="M303" i="7"/>
  <c r="L305" i="7"/>
  <c r="M314" i="7"/>
  <c r="M316" i="7"/>
  <c r="M327" i="7"/>
  <c r="L329" i="7"/>
  <c r="M338" i="7"/>
  <c r="M340" i="7"/>
  <c r="M351" i="7"/>
  <c r="M358" i="7"/>
  <c r="L360" i="7"/>
  <c r="M367" i="7"/>
  <c r="M374" i="7"/>
  <c r="L376" i="7"/>
  <c r="M383" i="7"/>
  <c r="M390" i="7"/>
  <c r="L392" i="7"/>
  <c r="M399" i="7"/>
  <c r="M406" i="7"/>
  <c r="L408" i="7"/>
  <c r="M415" i="7"/>
  <c r="M422" i="7"/>
  <c r="L424" i="7"/>
  <c r="M431" i="7"/>
  <c r="M438" i="7"/>
  <c r="L440" i="7"/>
  <c r="M447" i="7"/>
  <c r="M454" i="7"/>
  <c r="L456" i="7"/>
  <c r="M463" i="7"/>
  <c r="M470" i="7"/>
  <c r="L472" i="7"/>
  <c r="M479" i="7"/>
  <c r="M486" i="7"/>
  <c r="L488" i="7"/>
  <c r="M495" i="7"/>
  <c r="L51" i="7"/>
  <c r="M92" i="7"/>
  <c r="M121" i="7"/>
  <c r="M164" i="7"/>
  <c r="L181" i="7"/>
  <c r="M196" i="7"/>
  <c r="L202" i="7"/>
  <c r="L204" i="7"/>
  <c r="M213" i="7"/>
  <c r="L215" i="7"/>
  <c r="L226" i="7"/>
  <c r="L228" i="7"/>
  <c r="M237" i="7"/>
  <c r="L239" i="7"/>
  <c r="L250" i="7"/>
  <c r="L252" i="7"/>
  <c r="M261" i="7"/>
  <c r="L263" i="7"/>
  <c r="L274" i="7"/>
  <c r="L276" i="7"/>
  <c r="M285" i="7"/>
  <c r="L287" i="7"/>
  <c r="L298" i="7"/>
  <c r="L300" i="7"/>
  <c r="M309" i="7"/>
  <c r="L311" i="7"/>
  <c r="L322" i="7"/>
  <c r="L324" i="7"/>
  <c r="M333" i="7"/>
  <c r="L335" i="7"/>
  <c r="L346" i="7"/>
  <c r="L348" i="7"/>
  <c r="M353" i="7"/>
  <c r="L355" i="7"/>
  <c r="L362" i="7"/>
  <c r="L364" i="7"/>
  <c r="M369" i="7"/>
  <c r="L371" i="7"/>
  <c r="L378" i="7"/>
  <c r="L380" i="7"/>
  <c r="M385" i="7"/>
  <c r="L387" i="7"/>
  <c r="L394" i="7"/>
  <c r="L396" i="7"/>
  <c r="M401" i="7"/>
  <c r="L403" i="7"/>
  <c r="L410" i="7"/>
  <c r="L412" i="7"/>
  <c r="M417" i="7"/>
  <c r="L419" i="7"/>
  <c r="L426" i="7"/>
  <c r="L428" i="7"/>
  <c r="M433" i="7"/>
  <c r="L435" i="7"/>
  <c r="L442" i="7"/>
  <c r="L444" i="7"/>
  <c r="M449" i="7"/>
  <c r="L451" i="7"/>
  <c r="L458" i="7"/>
  <c r="L460" i="7"/>
  <c r="M465" i="7"/>
  <c r="L467" i="7"/>
  <c r="L474" i="7"/>
  <c r="L476" i="7"/>
  <c r="M481" i="7"/>
  <c r="L483" i="7"/>
  <c r="L490" i="7"/>
  <c r="L492" i="7"/>
  <c r="M497" i="7"/>
  <c r="L499" i="7"/>
  <c r="L179" i="7"/>
  <c r="M202" i="7"/>
  <c r="M204" i="7"/>
  <c r="M215" i="7"/>
  <c r="L217" i="7"/>
  <c r="M226" i="7"/>
  <c r="M228" i="7"/>
  <c r="M239" i="7"/>
  <c r="L241" i="7"/>
  <c r="M250" i="7"/>
  <c r="M252" i="7"/>
  <c r="M263" i="7"/>
  <c r="L265" i="7"/>
  <c r="M274" i="7"/>
  <c r="M276" i="7"/>
  <c r="M287" i="7"/>
  <c r="L289" i="7"/>
  <c r="M298" i="7"/>
  <c r="M300" i="7"/>
  <c r="M311" i="7"/>
  <c r="L313" i="7"/>
  <c r="M322" i="7"/>
  <c r="M324" i="7"/>
  <c r="M335" i="7"/>
  <c r="L337" i="7"/>
  <c r="M346" i="7"/>
  <c r="M348" i="7"/>
  <c r="M355" i="7"/>
  <c r="L357" i="7"/>
  <c r="M362" i="7"/>
  <c r="M364" i="7"/>
  <c r="M371" i="7"/>
  <c r="L373" i="7"/>
  <c r="M378" i="7"/>
  <c r="M380" i="7"/>
  <c r="M387" i="7"/>
  <c r="L389" i="7"/>
  <c r="M394" i="7"/>
  <c r="M396" i="7"/>
  <c r="M403" i="7"/>
  <c r="L405" i="7"/>
  <c r="M410" i="7"/>
  <c r="M412" i="7"/>
  <c r="M419" i="7"/>
  <c r="L421" i="7"/>
  <c r="M426" i="7"/>
  <c r="M428" i="7"/>
  <c r="M435" i="7"/>
  <c r="L437" i="7"/>
  <c r="M442" i="7"/>
  <c r="M444" i="7"/>
  <c r="M451" i="7"/>
  <c r="L453" i="7"/>
  <c r="M458" i="7"/>
  <c r="M460" i="7"/>
  <c r="M467" i="7"/>
  <c r="L469" i="7"/>
  <c r="M474" i="7"/>
  <c r="M476" i="7"/>
  <c r="M483" i="7"/>
  <c r="L485" i="7"/>
  <c r="M490" i="7"/>
  <c r="M114" i="7"/>
  <c r="M184" i="7"/>
  <c r="M206" i="7"/>
  <c r="M208" i="7"/>
  <c r="M219" i="7"/>
  <c r="L221" i="7"/>
  <c r="M230" i="7"/>
  <c r="M232" i="7"/>
  <c r="M243" i="7"/>
  <c r="L245" i="7"/>
  <c r="M254" i="7"/>
  <c r="M256" i="7"/>
  <c r="M267" i="7"/>
  <c r="L269" i="7"/>
  <c r="M278" i="7"/>
  <c r="M280" i="7"/>
  <c r="M291" i="7"/>
  <c r="L293" i="7"/>
  <c r="M302" i="7"/>
  <c r="M304" i="7"/>
  <c r="M315" i="7"/>
  <c r="L317" i="7"/>
  <c r="M326" i="7"/>
  <c r="M328" i="7"/>
  <c r="M339" i="7"/>
  <c r="L341" i="7"/>
  <c r="M350" i="7"/>
  <c r="L352" i="7"/>
  <c r="M359" i="7"/>
  <c r="M366" i="7"/>
  <c r="L368" i="7"/>
  <c r="M375" i="7"/>
  <c r="M382" i="7"/>
  <c r="L384" i="7"/>
  <c r="M391" i="7"/>
  <c r="M398" i="7"/>
  <c r="L400" i="7"/>
  <c r="M407" i="7"/>
  <c r="M414" i="7"/>
  <c r="L416" i="7"/>
  <c r="M423" i="7"/>
  <c r="M430" i="7"/>
  <c r="L432" i="7"/>
  <c r="M439" i="7"/>
  <c r="M446" i="7"/>
  <c r="L448" i="7"/>
  <c r="M455" i="7"/>
  <c r="M462" i="7"/>
  <c r="L464" i="7"/>
  <c r="M471" i="7"/>
  <c r="M478" i="7"/>
  <c r="L480" i="7"/>
  <c r="M487" i="7"/>
  <c r="M494" i="7"/>
  <c r="L496" i="7"/>
  <c r="M503" i="7"/>
  <c r="M118" i="7"/>
  <c r="L129" i="7"/>
  <c r="L167" i="7"/>
  <c r="L169" i="7"/>
  <c r="L199" i="7"/>
  <c r="L210" i="7"/>
  <c r="L212" i="7"/>
  <c r="M221" i="7"/>
  <c r="L223" i="7"/>
  <c r="L234" i="7"/>
  <c r="L236" i="7"/>
  <c r="M245" i="7"/>
  <c r="L247" i="7"/>
  <c r="L258" i="7"/>
  <c r="L260" i="7"/>
  <c r="M269" i="7"/>
  <c r="L271" i="7"/>
  <c r="L282" i="7"/>
  <c r="L284" i="7"/>
  <c r="M293" i="7"/>
  <c r="L295" i="7"/>
  <c r="L306" i="7"/>
  <c r="L308" i="7"/>
  <c r="M317" i="7"/>
  <c r="L319" i="7"/>
  <c r="L330" i="7"/>
  <c r="L332" i="7"/>
  <c r="M341" i="7"/>
  <c r="L343" i="7"/>
  <c r="M352" i="7"/>
  <c r="M368" i="7"/>
  <c r="M384" i="7"/>
  <c r="M400" i="7"/>
  <c r="M416" i="7"/>
  <c r="M432" i="7"/>
  <c r="M292" i="5"/>
  <c r="G248" i="5"/>
  <c r="I248" i="5"/>
  <c r="I104" i="5"/>
  <c r="M194" i="5"/>
  <c r="G129" i="5"/>
  <c r="I129" i="5"/>
  <c r="G225" i="5"/>
  <c r="I225" i="5"/>
  <c r="G298" i="5"/>
  <c r="I298" i="5"/>
  <c r="G192" i="5"/>
  <c r="I192" i="5"/>
  <c r="G268" i="5"/>
  <c r="I251" i="5"/>
  <c r="G245" i="5"/>
  <c r="I236" i="5"/>
  <c r="G228" i="5"/>
  <c r="I203" i="5"/>
  <c r="I196" i="5"/>
  <c r="G180" i="5"/>
  <c r="I171" i="5"/>
  <c r="G155" i="5"/>
  <c r="I140" i="5"/>
  <c r="G132" i="5"/>
  <c r="G116" i="5"/>
  <c r="F108" i="5"/>
  <c r="I108" i="5" s="1"/>
  <c r="F101" i="5"/>
  <c r="I101" i="5" s="1"/>
  <c r="F92" i="5"/>
  <c r="I92" i="5" s="1"/>
  <c r="F81" i="5"/>
  <c r="G81" i="5" s="1"/>
  <c r="B8" i="4"/>
  <c r="I212" i="5"/>
  <c r="I124" i="5"/>
  <c r="I115" i="5"/>
  <c r="I91" i="5"/>
  <c r="B7" i="4"/>
  <c r="B5" i="7" s="1"/>
  <c r="F14" i="7" s="1"/>
  <c r="G274" i="5"/>
  <c r="G265" i="5"/>
  <c r="I243" i="5"/>
  <c r="G235" i="5"/>
  <c r="I227" i="5"/>
  <c r="I168" i="5"/>
  <c r="G160" i="5"/>
  <c r="I147" i="5"/>
  <c r="F113" i="5"/>
  <c r="I113" i="5" s="1"/>
  <c r="F106" i="5"/>
  <c r="F98" i="5"/>
  <c r="F77" i="5"/>
  <c r="I77" i="5" s="1"/>
  <c r="F55" i="5"/>
  <c r="F7" i="5"/>
  <c r="I299" i="5"/>
  <c r="I273" i="5"/>
  <c r="I264" i="5"/>
  <c r="I234" i="5"/>
  <c r="I201" i="5"/>
  <c r="I178" i="5"/>
  <c r="I159" i="5"/>
  <c r="I122" i="5"/>
  <c r="G6" i="5"/>
  <c r="B9" i="7"/>
  <c r="N540" i="7" s="1"/>
  <c r="I279" i="5"/>
  <c r="I262" i="5"/>
  <c r="I255" i="5"/>
  <c r="G200" i="5"/>
  <c r="I175" i="5"/>
  <c r="I166" i="5"/>
  <c r="I157" i="5"/>
  <c r="I152" i="5"/>
  <c r="I143" i="5"/>
  <c r="I128" i="5"/>
  <c r="I119" i="5"/>
  <c r="I103" i="5"/>
  <c r="G73" i="5"/>
  <c r="M132" i="5"/>
  <c r="B43" i="4"/>
  <c r="I278" i="5"/>
  <c r="I231" i="5"/>
  <c r="I214" i="5"/>
  <c r="I156" i="5"/>
  <c r="I135" i="5"/>
  <c r="I109" i="5"/>
  <c r="I95" i="5"/>
  <c r="I269" i="5"/>
  <c r="I230" i="5"/>
  <c r="I85" i="5"/>
  <c r="G97" i="5"/>
  <c r="B40" i="4"/>
  <c r="I237" i="5"/>
  <c r="I229" i="5"/>
  <c r="I205" i="5"/>
  <c r="I150" i="5"/>
  <c r="I133" i="5"/>
  <c r="B27" i="4"/>
  <c r="I294" i="5"/>
  <c r="I260" i="5"/>
  <c r="I245" i="5"/>
  <c r="G204" i="5"/>
  <c r="G197" i="5"/>
  <c r="I181" i="5"/>
  <c r="G172" i="5"/>
  <c r="I163" i="5"/>
  <c r="I149" i="5"/>
  <c r="I141" i="5"/>
  <c r="G133" i="5"/>
  <c r="I126" i="5"/>
  <c r="I102" i="5"/>
  <c r="I53" i="5"/>
  <c r="B22" i="4"/>
  <c r="L143" i="7"/>
  <c r="L137" i="7"/>
  <c r="L134" i="7"/>
  <c r="L128" i="7"/>
  <c r="L124" i="7"/>
  <c r="M117" i="7"/>
  <c r="L116" i="7"/>
  <c r="M115" i="7"/>
  <c r="L112" i="7"/>
  <c r="L110" i="7"/>
  <c r="L103" i="7"/>
  <c r="M100" i="7"/>
  <c r="L97" i="7"/>
  <c r="M88" i="7"/>
  <c r="L77" i="7"/>
  <c r="M55" i="7"/>
  <c r="M49" i="7"/>
  <c r="L146" i="7"/>
  <c r="L139" i="7"/>
  <c r="L136" i="7"/>
  <c r="L123" i="7"/>
  <c r="L120" i="7"/>
  <c r="L91" i="7"/>
  <c r="M86" i="7"/>
  <c r="L81" i="7"/>
  <c r="M145" i="7"/>
  <c r="M138" i="7"/>
  <c r="L133" i="7"/>
  <c r="M111" i="7"/>
  <c r="M107" i="7"/>
  <c r="L105" i="7"/>
  <c r="M76" i="7"/>
  <c r="L73" i="7"/>
  <c r="L93" i="7"/>
  <c r="M79" i="7"/>
  <c r="L74" i="7"/>
  <c r="L70" i="7"/>
  <c r="L62" i="7"/>
  <c r="L56" i="7"/>
  <c r="H14" i="7"/>
  <c r="I59" i="7"/>
  <c r="I65" i="7"/>
  <c r="I73" i="7"/>
  <c r="H77" i="7"/>
  <c r="H78" i="7"/>
  <c r="H82" i="7"/>
  <c r="H84" i="7"/>
  <c r="I85" i="7"/>
  <c r="I86" i="7"/>
  <c r="I87" i="7"/>
  <c r="H91" i="7"/>
  <c r="H92" i="7"/>
  <c r="H93" i="7"/>
  <c r="H94" i="7"/>
  <c r="I95" i="7"/>
  <c r="H100" i="7"/>
  <c r="H101" i="7"/>
  <c r="I102" i="7"/>
  <c r="H109" i="7"/>
  <c r="I110" i="7"/>
  <c r="I111" i="7"/>
  <c r="I112" i="7"/>
  <c r="H113" i="7"/>
  <c r="H114" i="7"/>
  <c r="I118" i="7"/>
  <c r="H119" i="7"/>
  <c r="H120" i="7"/>
  <c r="H121" i="7"/>
  <c r="I125" i="7"/>
  <c r="I126" i="7"/>
  <c r="I127" i="7"/>
  <c r="I129" i="7"/>
  <c r="I130" i="7"/>
  <c r="H133" i="7"/>
  <c r="H134" i="7"/>
  <c r="I139" i="7"/>
  <c r="I140" i="7"/>
  <c r="H141" i="7"/>
  <c r="H147" i="7"/>
  <c r="H149" i="7"/>
  <c r="I151" i="7"/>
  <c r="I154" i="7"/>
  <c r="H156" i="7"/>
  <c r="I160" i="7"/>
  <c r="H161" i="7"/>
  <c r="H163" i="7"/>
  <c r="I164" i="7"/>
  <c r="I167" i="7"/>
  <c r="H170" i="7"/>
  <c r="I171" i="7"/>
  <c r="I172" i="7"/>
  <c r="I173" i="7"/>
  <c r="I174" i="7"/>
  <c r="H179" i="7"/>
  <c r="I180" i="7"/>
  <c r="I183" i="7"/>
  <c r="H186" i="7"/>
  <c r="I187" i="7"/>
  <c r="I188" i="7"/>
  <c r="I189" i="7"/>
  <c r="I190" i="7"/>
  <c r="H195" i="7"/>
  <c r="I196" i="7"/>
  <c r="I199" i="7"/>
  <c r="I200" i="7"/>
  <c r="H201" i="7"/>
  <c r="I206" i="7"/>
  <c r="I207" i="7"/>
  <c r="I208" i="7"/>
  <c r="H209" i="7"/>
  <c r="I214" i="7"/>
  <c r="I215" i="7"/>
  <c r="I216" i="7"/>
  <c r="H217" i="7"/>
  <c r="I222" i="7"/>
  <c r="I223" i="7"/>
  <c r="I224" i="7"/>
  <c r="H225" i="7"/>
  <c r="I230" i="7"/>
  <c r="I231" i="7"/>
  <c r="I232" i="7"/>
  <c r="H233" i="7"/>
  <c r="I238" i="7"/>
  <c r="I239" i="7"/>
  <c r="I240" i="7"/>
  <c r="H241" i="7"/>
  <c r="I246" i="7"/>
  <c r="I247" i="7"/>
  <c r="I248" i="7"/>
  <c r="H249" i="7"/>
  <c r="I254" i="7"/>
  <c r="I255" i="7"/>
  <c r="I256" i="7"/>
  <c r="H257" i="7"/>
  <c r="I262" i="7"/>
  <c r="I263" i="7"/>
  <c r="I264" i="7"/>
  <c r="H265" i="7"/>
  <c r="I270" i="7"/>
  <c r="I271" i="7"/>
  <c r="I272" i="7"/>
  <c r="H273" i="7"/>
  <c r="I278" i="7"/>
  <c r="I279" i="7"/>
  <c r="I280" i="7"/>
  <c r="H281" i="7"/>
  <c r="I286" i="7"/>
  <c r="I287" i="7"/>
  <c r="I288" i="7"/>
  <c r="H289" i="7"/>
  <c r="I294" i="7"/>
  <c r="I295" i="7"/>
  <c r="I296" i="7"/>
  <c r="H297" i="7"/>
  <c r="I302" i="7"/>
  <c r="I303" i="7"/>
  <c r="I304" i="7"/>
  <c r="H305" i="7"/>
  <c r="I310" i="7"/>
  <c r="I311" i="7"/>
  <c r="I312" i="7"/>
  <c r="H313" i="7"/>
  <c r="I318" i="7"/>
  <c r="I319" i="7"/>
  <c r="I320" i="7"/>
  <c r="H321" i="7"/>
  <c r="I326" i="7"/>
  <c r="I327" i="7"/>
  <c r="I328" i="7"/>
  <c r="H329" i="7"/>
  <c r="I334" i="7"/>
  <c r="I335" i="7"/>
  <c r="I336" i="7"/>
  <c r="H337" i="7"/>
  <c r="I342" i="7"/>
  <c r="I343" i="7"/>
  <c r="I344" i="7"/>
  <c r="H345" i="7"/>
  <c r="I53" i="7"/>
  <c r="I69" i="7"/>
  <c r="H85" i="7"/>
  <c r="H86" i="7"/>
  <c r="H87" i="7"/>
  <c r="I88" i="7"/>
  <c r="I89" i="7"/>
  <c r="H95" i="7"/>
  <c r="I96" i="7"/>
  <c r="H102" i="7"/>
  <c r="I103" i="7"/>
  <c r="I104" i="7"/>
  <c r="I105" i="7"/>
  <c r="I106" i="7"/>
  <c r="H110" i="7"/>
  <c r="H111" i="7"/>
  <c r="H112" i="7"/>
  <c r="I117" i="7"/>
  <c r="H118" i="7"/>
  <c r="I122" i="7"/>
  <c r="I124" i="7"/>
  <c r="H125" i="7"/>
  <c r="H126" i="7"/>
  <c r="H127" i="7"/>
  <c r="I128" i="7"/>
  <c r="H129" i="7"/>
  <c r="H130" i="7"/>
  <c r="I131" i="7"/>
  <c r="I137" i="7"/>
  <c r="I138" i="7"/>
  <c r="H139" i="7"/>
  <c r="H140" i="7"/>
  <c r="I143" i="7"/>
  <c r="I146" i="7"/>
  <c r="H151" i="7"/>
  <c r="I152" i="7"/>
  <c r="I153" i="7"/>
  <c r="H154" i="7"/>
  <c r="I158" i="7"/>
  <c r="H160" i="7"/>
  <c r="I162" i="7"/>
  <c r="H164" i="7"/>
  <c r="I165" i="7"/>
  <c r="H167" i="7"/>
  <c r="I168" i="7"/>
  <c r="H171" i="7"/>
  <c r="H172" i="7"/>
  <c r="H173" i="7"/>
  <c r="H174" i="7"/>
  <c r="I175" i="7"/>
  <c r="I176" i="7"/>
  <c r="I177" i="7"/>
  <c r="I178" i="7"/>
  <c r="H180" i="7"/>
  <c r="I181" i="7"/>
  <c r="H183" i="7"/>
  <c r="I184" i="7"/>
  <c r="H187" i="7"/>
  <c r="H188" i="7"/>
  <c r="H189" i="7"/>
  <c r="H190" i="7"/>
  <c r="I191" i="7"/>
  <c r="I192" i="7"/>
  <c r="I193" i="7"/>
  <c r="I194" i="7"/>
  <c r="H196" i="7"/>
  <c r="I197" i="7"/>
  <c r="H199" i="7"/>
  <c r="H200" i="7"/>
  <c r="I205" i="7"/>
  <c r="H206" i="7"/>
  <c r="H207" i="7"/>
  <c r="H208" i="7"/>
  <c r="I213" i="7"/>
  <c r="H214" i="7"/>
  <c r="H215" i="7"/>
  <c r="H216" i="7"/>
  <c r="I221" i="7"/>
  <c r="H222" i="7"/>
  <c r="H223" i="7"/>
  <c r="H224" i="7"/>
  <c r="I229" i="7"/>
  <c r="H230" i="7"/>
  <c r="H231" i="7"/>
  <c r="H232" i="7"/>
  <c r="I237" i="7"/>
  <c r="H238" i="7"/>
  <c r="H239" i="7"/>
  <c r="H240" i="7"/>
  <c r="I245" i="7"/>
  <c r="H246" i="7"/>
  <c r="H247" i="7"/>
  <c r="H248" i="7"/>
  <c r="I253" i="7"/>
  <c r="H254" i="7"/>
  <c r="H255" i="7"/>
  <c r="H256" i="7"/>
  <c r="I261" i="7"/>
  <c r="H262" i="7"/>
  <c r="H263" i="7"/>
  <c r="H264" i="7"/>
  <c r="I269" i="7"/>
  <c r="H270" i="7"/>
  <c r="H271" i="7"/>
  <c r="H272" i="7"/>
  <c r="I277" i="7"/>
  <c r="H278" i="7"/>
  <c r="H279" i="7"/>
  <c r="H280" i="7"/>
  <c r="I285" i="7"/>
  <c r="H286" i="7"/>
  <c r="H287" i="7"/>
  <c r="H288" i="7"/>
  <c r="I293" i="7"/>
  <c r="H294" i="7"/>
  <c r="H295" i="7"/>
  <c r="H296" i="7"/>
  <c r="I301" i="7"/>
  <c r="H302" i="7"/>
  <c r="H303" i="7"/>
  <c r="H304" i="7"/>
  <c r="I309" i="7"/>
  <c r="H310" i="7"/>
  <c r="H311" i="7"/>
  <c r="H312" i="7"/>
  <c r="I317" i="7"/>
  <c r="H318" i="7"/>
  <c r="H319" i="7"/>
  <c r="H320" i="7"/>
  <c r="I325" i="7"/>
  <c r="H326" i="7"/>
  <c r="H327" i="7"/>
  <c r="H328" i="7"/>
  <c r="I333" i="7"/>
  <c r="H334" i="7"/>
  <c r="H335" i="7"/>
  <c r="H336" i="7"/>
  <c r="I341" i="7"/>
  <c r="H342" i="7"/>
  <c r="H343" i="7"/>
  <c r="H344" i="7"/>
  <c r="I349" i="7"/>
  <c r="H350" i="7"/>
  <c r="H351" i="7"/>
  <c r="H352" i="7"/>
  <c r="I357" i="7"/>
  <c r="H358" i="7"/>
  <c r="H359" i="7"/>
  <c r="H360" i="7"/>
  <c r="I365" i="7"/>
  <c r="H366" i="7"/>
  <c r="H367" i="7"/>
  <c r="H368" i="7"/>
  <c r="I373" i="7"/>
  <c r="H374" i="7"/>
  <c r="H375" i="7"/>
  <c r="H376" i="7"/>
  <c r="I381" i="7"/>
  <c r="H382" i="7"/>
  <c r="H383" i="7"/>
  <c r="H384" i="7"/>
  <c r="I389" i="7"/>
  <c r="H390" i="7"/>
  <c r="H391" i="7"/>
  <c r="H392" i="7"/>
  <c r="I397" i="7"/>
  <c r="H398" i="7"/>
  <c r="H399" i="7"/>
  <c r="H400" i="7"/>
  <c r="I405" i="7"/>
  <c r="H406" i="7"/>
  <c r="H407" i="7"/>
  <c r="H408" i="7"/>
  <c r="I413" i="7"/>
  <c r="H414" i="7"/>
  <c r="H415" i="7"/>
  <c r="H416" i="7"/>
  <c r="I421" i="7"/>
  <c r="H422" i="7"/>
  <c r="H423" i="7"/>
  <c r="H424" i="7"/>
  <c r="I429" i="7"/>
  <c r="H430" i="7"/>
  <c r="H431" i="7"/>
  <c r="H432" i="7"/>
  <c r="I437" i="7"/>
  <c r="H438" i="7"/>
  <c r="H439" i="7"/>
  <c r="H440" i="7"/>
  <c r="I445" i="7"/>
  <c r="H446" i="7"/>
  <c r="H447" i="7"/>
  <c r="H448" i="7"/>
  <c r="I453" i="7"/>
  <c r="H454" i="7"/>
  <c r="H455" i="7"/>
  <c r="H456" i="7"/>
  <c r="I461" i="7"/>
  <c r="H462" i="7"/>
  <c r="H463" i="7"/>
  <c r="H464" i="7"/>
  <c r="I469" i="7"/>
  <c r="H470" i="7"/>
  <c r="H471" i="7"/>
  <c r="H472" i="7"/>
  <c r="I477" i="7"/>
  <c r="H478" i="7"/>
  <c r="H479" i="7"/>
  <c r="H480" i="7"/>
  <c r="I485" i="7"/>
  <c r="H486" i="7"/>
  <c r="H487" i="7"/>
  <c r="H488" i="7"/>
  <c r="I493" i="7"/>
  <c r="H494" i="7"/>
  <c r="H495" i="7"/>
  <c r="H496" i="7"/>
  <c r="I501" i="7"/>
  <c r="H502" i="7"/>
  <c r="H503" i="7"/>
  <c r="H504" i="7"/>
  <c r="I509" i="7"/>
  <c r="H510" i="7"/>
  <c r="H511" i="7"/>
  <c r="H512" i="7"/>
  <c r="I517" i="7"/>
  <c r="H518" i="7"/>
  <c r="H519" i="7"/>
  <c r="H520" i="7"/>
  <c r="I525" i="7"/>
  <c r="H526" i="7"/>
  <c r="H527" i="7"/>
  <c r="I529" i="7"/>
  <c r="I530" i="7"/>
  <c r="I531" i="7"/>
  <c r="H532" i="7"/>
  <c r="I537" i="7"/>
  <c r="I538" i="7"/>
  <c r="I539" i="7"/>
  <c r="H540" i="7"/>
  <c r="I544" i="7"/>
  <c r="I545" i="7"/>
  <c r="I546" i="7"/>
  <c r="H547" i="7"/>
  <c r="I552" i="7"/>
  <c r="I553" i="7"/>
  <c r="I554" i="7"/>
  <c r="H555" i="7"/>
  <c r="I560" i="7"/>
  <c r="I561" i="7"/>
  <c r="I562" i="7"/>
  <c r="H563" i="7"/>
  <c r="I568" i="7"/>
  <c r="I569" i="7"/>
  <c r="I570" i="7"/>
  <c r="H571" i="7"/>
  <c r="I614" i="7"/>
  <c r="I610" i="7"/>
  <c r="H604" i="7"/>
  <c r="H598" i="7"/>
  <c r="H596" i="7"/>
  <c r="H589" i="7"/>
  <c r="H582" i="7"/>
  <c r="H580" i="7"/>
  <c r="H572" i="7"/>
  <c r="H570" i="7"/>
  <c r="I563" i="7"/>
  <c r="H558" i="7"/>
  <c r="H556" i="7"/>
  <c r="H550" i="7"/>
  <c r="I547" i="7"/>
  <c r="H542" i="7"/>
  <c r="H539" i="7"/>
  <c r="H535" i="7"/>
  <c r="I532" i="7"/>
  <c r="H524" i="7"/>
  <c r="I521" i="7"/>
  <c r="H516" i="7"/>
  <c r="H514" i="7"/>
  <c r="H508" i="7"/>
  <c r="H506" i="7"/>
  <c r="H498" i="7"/>
  <c r="H490" i="7"/>
  <c r="H484" i="7"/>
  <c r="I481" i="7"/>
  <c r="H475" i="7"/>
  <c r="I471" i="7"/>
  <c r="H468" i="7"/>
  <c r="I465" i="7"/>
  <c r="H460" i="7"/>
  <c r="I455" i="7"/>
  <c r="H450" i="7"/>
  <c r="I447" i="7"/>
  <c r="H444" i="7"/>
  <c r="H442" i="7"/>
  <c r="H436" i="7"/>
  <c r="H435" i="7"/>
  <c r="H434" i="7"/>
  <c r="I433" i="7"/>
  <c r="I431" i="7"/>
  <c r="H428" i="7"/>
  <c r="H427" i="7"/>
  <c r="H426" i="7"/>
  <c r="I425" i="7"/>
  <c r="I423" i="7"/>
  <c r="H420" i="7"/>
  <c r="H419" i="7"/>
  <c r="I417" i="7"/>
  <c r="I415" i="7"/>
  <c r="H412" i="7"/>
  <c r="H411" i="7"/>
  <c r="H410" i="7"/>
  <c r="I409" i="7"/>
  <c r="I407" i="7"/>
  <c r="H404" i="7"/>
  <c r="H403" i="7"/>
  <c r="H402" i="7"/>
  <c r="I401" i="7"/>
  <c r="I399" i="7"/>
  <c r="H396" i="7"/>
  <c r="H395" i="7"/>
  <c r="H394" i="7"/>
  <c r="I393" i="7"/>
  <c r="I391" i="7"/>
  <c r="H388" i="7"/>
  <c r="H387" i="7"/>
  <c r="H386" i="7"/>
  <c r="I385" i="7"/>
  <c r="I383" i="7"/>
  <c r="H380" i="7"/>
  <c r="H379" i="7"/>
  <c r="H378" i="7"/>
  <c r="I377" i="7"/>
  <c r="I375" i="7"/>
  <c r="H372" i="7"/>
  <c r="H371" i="7"/>
  <c r="H370" i="7"/>
  <c r="I369" i="7"/>
  <c r="I367" i="7"/>
  <c r="H364" i="7"/>
  <c r="H363" i="7"/>
  <c r="H362" i="7"/>
  <c r="I361" i="7"/>
  <c r="I359" i="7"/>
  <c r="H356" i="7"/>
  <c r="H355" i="7"/>
  <c r="H354" i="7"/>
  <c r="I353" i="7"/>
  <c r="I351" i="7"/>
  <c r="H348" i="7"/>
  <c r="H347" i="7"/>
  <c r="H346" i="7"/>
  <c r="I345" i="7"/>
  <c r="H340" i="7"/>
  <c r="H339" i="7"/>
  <c r="H338" i="7"/>
  <c r="I337" i="7"/>
  <c r="H332" i="7"/>
  <c r="H331" i="7"/>
  <c r="H330" i="7"/>
  <c r="I329" i="7"/>
  <c r="H324" i="7"/>
  <c r="H323" i="7"/>
  <c r="H322" i="7"/>
  <c r="I321" i="7"/>
  <c r="H316" i="7"/>
  <c r="H315" i="7"/>
  <c r="H314" i="7"/>
  <c r="I313" i="7"/>
  <c r="H308" i="7"/>
  <c r="H307" i="7"/>
  <c r="H306" i="7"/>
  <c r="I305" i="7"/>
  <c r="H300" i="7"/>
  <c r="H299" i="7"/>
  <c r="H298" i="7"/>
  <c r="I297" i="7"/>
  <c r="H292" i="7"/>
  <c r="H291" i="7"/>
  <c r="H290" i="7"/>
  <c r="I289" i="7"/>
  <c r="H284" i="7"/>
  <c r="H283" i="7"/>
  <c r="H282" i="7"/>
  <c r="I281" i="7"/>
  <c r="H276" i="7"/>
  <c r="H275" i="7"/>
  <c r="H274" i="7"/>
  <c r="I273" i="7"/>
  <c r="H268" i="7"/>
  <c r="H267" i="7"/>
  <c r="H266" i="7"/>
  <c r="I265" i="7"/>
  <c r="H260" i="7"/>
  <c r="H259" i="7"/>
  <c r="H258" i="7"/>
  <c r="I257" i="7"/>
  <c r="H252" i="7"/>
  <c r="H251" i="7"/>
  <c r="H250" i="7"/>
  <c r="I249" i="7"/>
  <c r="H244" i="7"/>
  <c r="H243" i="7"/>
  <c r="H242" i="7"/>
  <c r="I241" i="7"/>
  <c r="H236" i="7"/>
  <c r="H235" i="7"/>
  <c r="H234" i="7"/>
  <c r="I233" i="7"/>
  <c r="H228" i="7"/>
  <c r="H227" i="7"/>
  <c r="H226" i="7"/>
  <c r="I225" i="7"/>
  <c r="H220" i="7"/>
  <c r="H219" i="7"/>
  <c r="H218" i="7"/>
  <c r="I217" i="7"/>
  <c r="H212" i="7"/>
  <c r="H211" i="7"/>
  <c r="H210" i="7"/>
  <c r="I209" i="7"/>
  <c r="H204" i="7"/>
  <c r="H203" i="7"/>
  <c r="H202" i="7"/>
  <c r="I201" i="7"/>
  <c r="I195" i="7"/>
  <c r="H193" i="7"/>
  <c r="H184" i="7"/>
  <c r="I179" i="7"/>
  <c r="H177" i="7"/>
  <c r="H168" i="7"/>
  <c r="I163" i="7"/>
  <c r="I155" i="7"/>
  <c r="H152" i="7"/>
  <c r="H145" i="7"/>
  <c r="H144" i="7"/>
  <c r="H138" i="7"/>
  <c r="H136" i="7"/>
  <c r="H135" i="7"/>
  <c r="I134" i="7"/>
  <c r="H131" i="7"/>
  <c r="H124" i="7"/>
  <c r="I123" i="7"/>
  <c r="I121" i="7"/>
  <c r="I108" i="7"/>
  <c r="I107" i="7"/>
  <c r="H103" i="7"/>
  <c r="I99" i="7"/>
  <c r="I98" i="7"/>
  <c r="I97" i="7"/>
  <c r="I92" i="7"/>
  <c r="H89" i="7"/>
  <c r="I83" i="7"/>
  <c r="I81" i="7"/>
  <c r="I72" i="7"/>
  <c r="I90" i="7"/>
  <c r="H70" i="7"/>
  <c r="X622" i="7"/>
  <c r="H612" i="7"/>
  <c r="H611" i="7"/>
  <c r="H605" i="7"/>
  <c r="H603" i="7"/>
  <c r="I602" i="7"/>
  <c r="H597" i="7"/>
  <c r="I595" i="7"/>
  <c r="H590" i="7"/>
  <c r="H588" i="7"/>
  <c r="I587" i="7"/>
  <c r="H581" i="7"/>
  <c r="I579" i="7"/>
  <c r="H574" i="7"/>
  <c r="H573" i="7"/>
  <c r="I571" i="7"/>
  <c r="H566" i="7"/>
  <c r="H565" i="7"/>
  <c r="H564" i="7"/>
  <c r="H562" i="7"/>
  <c r="H557" i="7"/>
  <c r="I555" i="7"/>
  <c r="H554" i="7"/>
  <c r="H549" i="7"/>
  <c r="H548" i="7"/>
  <c r="H546" i="7"/>
  <c r="H541" i="7"/>
  <c r="I540" i="7"/>
  <c r="H534" i="7"/>
  <c r="H533" i="7"/>
  <c r="H531" i="7"/>
  <c r="I527" i="7"/>
  <c r="H523" i="7"/>
  <c r="H522" i="7"/>
  <c r="I519" i="7"/>
  <c r="H515" i="7"/>
  <c r="I513" i="7"/>
  <c r="I511" i="7"/>
  <c r="H507" i="7"/>
  <c r="I505" i="7"/>
  <c r="I503" i="7"/>
  <c r="H500" i="7"/>
  <c r="H499" i="7"/>
  <c r="I497" i="7"/>
  <c r="I495" i="7"/>
  <c r="H492" i="7"/>
  <c r="H491" i="7"/>
  <c r="I489" i="7"/>
  <c r="I487" i="7"/>
  <c r="H483" i="7"/>
  <c r="H482" i="7"/>
  <c r="I479" i="7"/>
  <c r="H476" i="7"/>
  <c r="H474" i="7"/>
  <c r="I473" i="7"/>
  <c r="H467" i="7"/>
  <c r="H466" i="7"/>
  <c r="I463" i="7"/>
  <c r="H459" i="7"/>
  <c r="H458" i="7"/>
  <c r="I457" i="7"/>
  <c r="H452" i="7"/>
  <c r="H451" i="7"/>
  <c r="I449" i="7"/>
  <c r="H443" i="7"/>
  <c r="I441" i="7"/>
  <c r="I439" i="7"/>
  <c r="H418" i="7"/>
  <c r="I612" i="7"/>
  <c r="I611" i="7"/>
  <c r="H606" i="7"/>
  <c r="I605" i="7"/>
  <c r="I604" i="7"/>
  <c r="I603" i="7"/>
  <c r="H599" i="7"/>
  <c r="I598" i="7"/>
  <c r="I597" i="7"/>
  <c r="I596" i="7"/>
  <c r="H591" i="7"/>
  <c r="I590" i="7"/>
  <c r="I589" i="7"/>
  <c r="I588" i="7"/>
  <c r="H583" i="7"/>
  <c r="I582" i="7"/>
  <c r="I581" i="7"/>
  <c r="I580" i="7"/>
  <c r="H575" i="7"/>
  <c r="I574" i="7"/>
  <c r="I573" i="7"/>
  <c r="I572" i="7"/>
  <c r="H569" i="7"/>
  <c r="H567" i="7"/>
  <c r="I566" i="7"/>
  <c r="I565" i="7"/>
  <c r="I564" i="7"/>
  <c r="H561" i="7"/>
  <c r="H559" i="7"/>
  <c r="I558" i="7"/>
  <c r="I557" i="7"/>
  <c r="I556" i="7"/>
  <c r="H553" i="7"/>
  <c r="H551" i="7"/>
  <c r="I550" i="7"/>
  <c r="I549" i="7"/>
  <c r="I548" i="7"/>
  <c r="H545" i="7"/>
  <c r="H543" i="7"/>
  <c r="I542" i="7"/>
  <c r="I541" i="7"/>
  <c r="H538" i="7"/>
  <c r="H536" i="7"/>
  <c r="I535" i="7"/>
  <c r="I534" i="7"/>
  <c r="I533" i="7"/>
  <c r="H530" i="7"/>
  <c r="H528" i="7"/>
  <c r="I526" i="7"/>
  <c r="H525" i="7"/>
  <c r="I524" i="7"/>
  <c r="I523" i="7"/>
  <c r="I522" i="7"/>
  <c r="I518" i="7"/>
  <c r="H517" i="7"/>
  <c r="I516" i="7"/>
  <c r="I515" i="7"/>
  <c r="I514" i="7"/>
  <c r="I510" i="7"/>
  <c r="H509" i="7"/>
  <c r="I508" i="7"/>
  <c r="I507" i="7"/>
  <c r="I506" i="7"/>
  <c r="I502" i="7"/>
  <c r="H501" i="7"/>
  <c r="I500" i="7"/>
  <c r="I499" i="7"/>
  <c r="I498" i="7"/>
  <c r="I494" i="7"/>
  <c r="H493" i="7"/>
  <c r="I492" i="7"/>
  <c r="I491" i="7"/>
  <c r="I490" i="7"/>
  <c r="I486" i="7"/>
  <c r="H485" i="7"/>
  <c r="I484" i="7"/>
  <c r="I483" i="7"/>
  <c r="I482" i="7"/>
  <c r="I478" i="7"/>
  <c r="H477" i="7"/>
  <c r="I476" i="7"/>
  <c r="I475" i="7"/>
  <c r="I474" i="7"/>
  <c r="I470" i="7"/>
  <c r="H469" i="7"/>
  <c r="I468" i="7"/>
  <c r="I467" i="7"/>
  <c r="I466" i="7"/>
  <c r="I462" i="7"/>
  <c r="H461" i="7"/>
  <c r="I460" i="7"/>
  <c r="I459" i="7"/>
  <c r="I458" i="7"/>
  <c r="I454" i="7"/>
  <c r="H453" i="7"/>
  <c r="I452" i="7"/>
  <c r="I451" i="7"/>
  <c r="I450" i="7"/>
  <c r="I446" i="7"/>
  <c r="H445" i="7"/>
  <c r="I444" i="7"/>
  <c r="I443" i="7"/>
  <c r="I442" i="7"/>
  <c r="I438" i="7"/>
  <c r="H437" i="7"/>
  <c r="I436" i="7"/>
  <c r="I435" i="7"/>
  <c r="I434" i="7"/>
  <c r="I430" i="7"/>
  <c r="H429" i="7"/>
  <c r="I428" i="7"/>
  <c r="I427" i="7"/>
  <c r="I426" i="7"/>
  <c r="I422" i="7"/>
  <c r="H421" i="7"/>
  <c r="I420" i="7"/>
  <c r="I419" i="7"/>
  <c r="I418" i="7"/>
  <c r="I414" i="7"/>
  <c r="H413" i="7"/>
  <c r="I412" i="7"/>
  <c r="I411" i="7"/>
  <c r="I410" i="7"/>
  <c r="I406" i="7"/>
  <c r="H405" i="7"/>
  <c r="I404" i="7"/>
  <c r="I403" i="7"/>
  <c r="I402" i="7"/>
  <c r="I398" i="7"/>
  <c r="H397" i="7"/>
  <c r="I396" i="7"/>
  <c r="I395" i="7"/>
  <c r="I394" i="7"/>
  <c r="I390" i="7"/>
  <c r="H389" i="7"/>
  <c r="I388" i="7"/>
  <c r="I387" i="7"/>
  <c r="I386" i="7"/>
  <c r="I382" i="7"/>
  <c r="H381" i="7"/>
  <c r="I380" i="7"/>
  <c r="I379" i="7"/>
  <c r="I378" i="7"/>
  <c r="I374" i="7"/>
  <c r="H373" i="7"/>
  <c r="I372" i="7"/>
  <c r="I371" i="7"/>
  <c r="I370" i="7"/>
  <c r="I366" i="7"/>
  <c r="H365" i="7"/>
  <c r="I364" i="7"/>
  <c r="I363" i="7"/>
  <c r="I362" i="7"/>
  <c r="I358" i="7"/>
  <c r="H357" i="7"/>
  <c r="I356" i="7"/>
  <c r="I355" i="7"/>
  <c r="I354" i="7"/>
  <c r="I350" i="7"/>
  <c r="H349" i="7"/>
  <c r="I348" i="7"/>
  <c r="I347" i="7"/>
  <c r="I346" i="7"/>
  <c r="H341" i="7"/>
  <c r="I340" i="7"/>
  <c r="I339" i="7"/>
  <c r="I338" i="7"/>
  <c r="H333" i="7"/>
  <c r="I332" i="7"/>
  <c r="I331" i="7"/>
  <c r="I330" i="7"/>
  <c r="H325" i="7"/>
  <c r="I324" i="7"/>
  <c r="I323" i="7"/>
  <c r="I322" i="7"/>
  <c r="H317" i="7"/>
  <c r="I316" i="7"/>
  <c r="I315" i="7"/>
  <c r="I314" i="7"/>
  <c r="H309" i="7"/>
  <c r="I308" i="7"/>
  <c r="I307" i="7"/>
  <c r="I306" i="7"/>
  <c r="H301" i="7"/>
  <c r="I300" i="7"/>
  <c r="I299" i="7"/>
  <c r="I298" i="7"/>
  <c r="H293" i="7"/>
  <c r="I292" i="7"/>
  <c r="I291" i="7"/>
  <c r="I290" i="7"/>
  <c r="H285" i="7"/>
  <c r="I284" i="7"/>
  <c r="I283" i="7"/>
  <c r="I282" i="7"/>
  <c r="H277" i="7"/>
  <c r="I276" i="7"/>
  <c r="I275" i="7"/>
  <c r="I274" i="7"/>
  <c r="H269" i="7"/>
  <c r="I268" i="7"/>
  <c r="I267" i="7"/>
  <c r="I266" i="7"/>
  <c r="H261" i="7"/>
  <c r="I260" i="7"/>
  <c r="I259" i="7"/>
  <c r="I258" i="7"/>
  <c r="H253" i="7"/>
  <c r="I252" i="7"/>
  <c r="I251" i="7"/>
  <c r="I250" i="7"/>
  <c r="H245" i="7"/>
  <c r="I244" i="7"/>
  <c r="I243" i="7"/>
  <c r="I242" i="7"/>
  <c r="H237" i="7"/>
  <c r="I236" i="7"/>
  <c r="I235" i="7"/>
  <c r="I234" i="7"/>
  <c r="H229" i="7"/>
  <c r="I228" i="7"/>
  <c r="I227" i="7"/>
  <c r="I226" i="7"/>
  <c r="H221" i="7"/>
  <c r="I220" i="7"/>
  <c r="I219" i="7"/>
  <c r="I218" i="7"/>
  <c r="H213" i="7"/>
  <c r="I212" i="7"/>
  <c r="I211" i="7"/>
  <c r="I210" i="7"/>
  <c r="H205" i="7"/>
  <c r="I204" i="7"/>
  <c r="I203" i="7"/>
  <c r="I202" i="7"/>
  <c r="H198" i="7"/>
  <c r="H192" i="7"/>
  <c r="I186" i="7"/>
  <c r="H182" i="7"/>
  <c r="H176" i="7"/>
  <c r="I170" i="7"/>
  <c r="H166" i="7"/>
  <c r="H159" i="7"/>
  <c r="H150" i="7"/>
  <c r="I149" i="7"/>
  <c r="H146" i="7"/>
  <c r="I145" i="7"/>
  <c r="I144" i="7"/>
  <c r="H142" i="7"/>
  <c r="I141" i="7"/>
  <c r="H137" i="7"/>
  <c r="I136" i="7"/>
  <c r="I135" i="7"/>
  <c r="I133" i="7"/>
  <c r="H128" i="7"/>
  <c r="H122" i="7"/>
  <c r="I120" i="7"/>
  <c r="H106" i="7"/>
  <c r="I101" i="7"/>
  <c r="H96" i="7"/>
  <c r="I91" i="7"/>
  <c r="H88" i="7"/>
  <c r="I77" i="7"/>
  <c r="E612" i="7"/>
  <c r="D609" i="7"/>
  <c r="E608" i="7"/>
  <c r="D605" i="7"/>
  <c r="E604" i="7"/>
  <c r="D601" i="7"/>
  <c r="E600" i="7"/>
  <c r="D598" i="7"/>
  <c r="E597" i="7"/>
  <c r="D594" i="7"/>
  <c r="E593" i="7"/>
  <c r="D590" i="7"/>
  <c r="E589" i="7"/>
  <c r="D586" i="7"/>
  <c r="E585" i="7"/>
  <c r="D582" i="7"/>
  <c r="E581" i="7"/>
  <c r="D578" i="7"/>
  <c r="E577" i="7"/>
  <c r="D574" i="7"/>
  <c r="E573" i="7"/>
  <c r="D570" i="7"/>
  <c r="E569" i="7"/>
  <c r="D566" i="7"/>
  <c r="E565" i="7"/>
  <c r="D562" i="7"/>
  <c r="E561" i="7"/>
  <c r="D558" i="7"/>
  <c r="E557" i="7"/>
  <c r="D554" i="7"/>
  <c r="E553" i="7"/>
  <c r="D550" i="7"/>
  <c r="E549" i="7"/>
  <c r="D546" i="7"/>
  <c r="E545" i="7"/>
  <c r="D542" i="7"/>
  <c r="E541" i="7"/>
  <c r="D539" i="7"/>
  <c r="E538" i="7"/>
  <c r="D535" i="7"/>
  <c r="E534" i="7"/>
  <c r="D531" i="7"/>
  <c r="E530" i="7"/>
  <c r="E527" i="7"/>
  <c r="D524" i="7"/>
  <c r="E523" i="7"/>
  <c r="D520" i="7"/>
  <c r="E519" i="7"/>
  <c r="D516" i="7"/>
  <c r="E515" i="7"/>
  <c r="D512" i="7"/>
  <c r="E511" i="7"/>
  <c r="D508" i="7"/>
  <c r="E507" i="7"/>
  <c r="D504" i="7"/>
  <c r="E503" i="7"/>
  <c r="D500" i="7"/>
  <c r="E499" i="7"/>
  <c r="D496" i="7"/>
  <c r="E495" i="7"/>
  <c r="D492" i="7"/>
  <c r="E491" i="7"/>
  <c r="D488" i="7"/>
  <c r="E487" i="7"/>
  <c r="D484" i="7"/>
  <c r="E483" i="7"/>
  <c r="D480" i="7"/>
  <c r="E479" i="7"/>
  <c r="D476" i="7"/>
  <c r="E475" i="7"/>
  <c r="D472" i="7"/>
  <c r="E471" i="7"/>
  <c r="D468" i="7"/>
  <c r="E467" i="7"/>
  <c r="D464" i="7"/>
  <c r="E463" i="7"/>
  <c r="D460" i="7"/>
  <c r="E459" i="7"/>
  <c r="D456" i="7"/>
  <c r="E455" i="7"/>
  <c r="D452" i="7"/>
  <c r="E451" i="7"/>
  <c r="D448" i="7"/>
  <c r="E447" i="7"/>
  <c r="D444" i="7"/>
  <c r="E443" i="7"/>
  <c r="D440" i="7"/>
  <c r="E439" i="7"/>
  <c r="D436" i="7"/>
  <c r="E435" i="7"/>
  <c r="D432" i="7"/>
  <c r="E431" i="7"/>
  <c r="D428" i="7"/>
  <c r="E427" i="7"/>
  <c r="D424" i="7"/>
  <c r="E423" i="7"/>
  <c r="D420" i="7"/>
  <c r="E419" i="7"/>
  <c r="D416" i="7"/>
  <c r="E415" i="7"/>
  <c r="D412" i="7"/>
  <c r="E411" i="7"/>
  <c r="D408" i="7"/>
  <c r="E407" i="7"/>
  <c r="D404" i="7"/>
  <c r="E403" i="7"/>
  <c r="D400" i="7"/>
  <c r="E399" i="7"/>
  <c r="D396" i="7"/>
  <c r="E395" i="7"/>
  <c r="D392" i="7"/>
  <c r="E391" i="7"/>
  <c r="D388" i="7"/>
  <c r="E387" i="7"/>
  <c r="D384" i="7"/>
  <c r="E383" i="7"/>
  <c r="D380" i="7"/>
  <c r="E379" i="7"/>
  <c r="D376" i="7"/>
  <c r="E375" i="7"/>
  <c r="D372" i="7"/>
  <c r="E371" i="7"/>
  <c r="D368" i="7"/>
  <c r="E367" i="7"/>
  <c r="D364" i="7"/>
  <c r="E363" i="7"/>
  <c r="D360" i="7"/>
  <c r="E359" i="7"/>
  <c r="D356" i="7"/>
  <c r="E355" i="7"/>
  <c r="D352" i="7"/>
  <c r="E351" i="7"/>
  <c r="D348" i="7"/>
  <c r="E347" i="7"/>
  <c r="D344" i="7"/>
  <c r="E343" i="7"/>
  <c r="D340" i="7"/>
  <c r="E339" i="7"/>
  <c r="D336" i="7"/>
  <c r="E335" i="7"/>
  <c r="D332" i="7"/>
  <c r="E331" i="7"/>
  <c r="D328" i="7"/>
  <c r="E327" i="7"/>
  <c r="D324" i="7"/>
  <c r="E323" i="7"/>
  <c r="D320" i="7"/>
  <c r="E319" i="7"/>
  <c r="D316" i="7"/>
  <c r="E315" i="7"/>
  <c r="D312" i="7"/>
  <c r="E311" i="7"/>
  <c r="D308" i="7"/>
  <c r="E307" i="7"/>
  <c r="D304" i="7"/>
  <c r="E303" i="7"/>
  <c r="D300" i="7"/>
  <c r="E299" i="7"/>
  <c r="D296" i="7"/>
  <c r="E295" i="7"/>
  <c r="D292" i="7"/>
  <c r="E291" i="7"/>
  <c r="D288" i="7"/>
  <c r="E287" i="7"/>
  <c r="D284" i="7"/>
  <c r="E283" i="7"/>
  <c r="D280" i="7"/>
  <c r="E279" i="7"/>
  <c r="D276" i="7"/>
  <c r="E275" i="7"/>
  <c r="D272" i="7"/>
  <c r="E271" i="7"/>
  <c r="D268" i="7"/>
  <c r="E267" i="7"/>
  <c r="D264" i="7"/>
  <c r="E263" i="7"/>
  <c r="D260" i="7"/>
  <c r="E259" i="7"/>
  <c r="D256" i="7"/>
  <c r="E255" i="7"/>
  <c r="D252" i="7"/>
  <c r="E251" i="7"/>
  <c r="D248" i="7"/>
  <c r="E247" i="7"/>
  <c r="D244" i="7"/>
  <c r="E243" i="7"/>
  <c r="D240" i="7"/>
  <c r="E239" i="7"/>
  <c r="D236" i="7"/>
  <c r="E235" i="7"/>
  <c r="D232" i="7"/>
  <c r="E231" i="7"/>
  <c r="D228" i="7"/>
  <c r="E227" i="7"/>
  <c r="D224" i="7"/>
  <c r="E223" i="7"/>
  <c r="D220" i="7"/>
  <c r="E219" i="7"/>
  <c r="D216" i="7"/>
  <c r="E215" i="7"/>
  <c r="D212" i="7"/>
  <c r="E211" i="7"/>
  <c r="D208" i="7"/>
  <c r="E207" i="7"/>
  <c r="D204" i="7"/>
  <c r="E203" i="7"/>
  <c r="D200" i="7"/>
  <c r="E199" i="7"/>
  <c r="D198" i="7"/>
  <c r="D197" i="7"/>
  <c r="D196" i="7"/>
  <c r="D195" i="7"/>
  <c r="E186" i="7"/>
  <c r="E185" i="7"/>
  <c r="E184" i="7"/>
  <c r="E183" i="7"/>
  <c r="D182" i="7"/>
  <c r="D181" i="7"/>
  <c r="D180" i="7"/>
  <c r="D179" i="7"/>
  <c r="E170" i="7"/>
  <c r="E169" i="7"/>
  <c r="E168" i="7"/>
  <c r="E167" i="7"/>
  <c r="D166" i="7"/>
  <c r="D165" i="7"/>
  <c r="D164" i="7"/>
  <c r="D151" i="7"/>
  <c r="D149" i="7"/>
  <c r="D148" i="7"/>
  <c r="D146" i="7"/>
  <c r="E140" i="7"/>
  <c r="D134" i="7"/>
  <c r="D132" i="7"/>
  <c r="E131" i="7"/>
  <c r="D130" i="7"/>
  <c r="E120" i="7"/>
  <c r="D117" i="7"/>
  <c r="L42" i="7"/>
  <c r="L39" i="7"/>
  <c r="L54" i="7"/>
  <c r="L52" i="7"/>
  <c r="M30" i="7"/>
  <c r="L59" i="7"/>
  <c r="L41" i="7"/>
  <c r="H66" i="7"/>
  <c r="H65" i="7"/>
  <c r="I61" i="7"/>
  <c r="H30" i="7"/>
  <c r="H76" i="7"/>
  <c r="H74" i="7"/>
  <c r="I71" i="7"/>
  <c r="H64" i="7"/>
  <c r="H62" i="7"/>
  <c r="I60" i="7"/>
  <c r="I37" i="7"/>
  <c r="I28" i="7"/>
  <c r="I35" i="7"/>
  <c r="J114" i="7"/>
  <c r="H54" i="7"/>
  <c r="I49" i="7"/>
  <c r="H42" i="7"/>
  <c r="H19" i="7"/>
  <c r="J139" i="7"/>
  <c r="H58" i="7"/>
  <c r="I47" i="7"/>
  <c r="I41" i="7"/>
  <c r="J136" i="7"/>
  <c r="K125" i="7"/>
  <c r="K107" i="7"/>
  <c r="H34" i="7"/>
  <c r="J120" i="7"/>
  <c r="I57" i="7"/>
  <c r="H52" i="7"/>
  <c r="H46" i="7"/>
  <c r="H40" i="7"/>
  <c r="J130" i="7"/>
  <c r="K122" i="7"/>
  <c r="I33" i="7"/>
  <c r="I45" i="7"/>
  <c r="H50" i="7"/>
  <c r="H38" i="7"/>
  <c r="M162" i="7"/>
  <c r="M154" i="7"/>
  <c r="M144" i="7"/>
  <c r="L121" i="7"/>
  <c r="L119" i="7"/>
  <c r="L117" i="7"/>
  <c r="L115" i="7"/>
  <c r="M113" i="7"/>
  <c r="L111" i="7"/>
  <c r="L104" i="7"/>
  <c r="M99" i="7"/>
  <c r="L92" i="7"/>
  <c r="M87" i="7"/>
  <c r="M82" i="7"/>
  <c r="L79" i="7"/>
  <c r="L76" i="7"/>
  <c r="M66" i="7"/>
  <c r="M60" i="7"/>
  <c r="M57" i="7"/>
  <c r="M47" i="7"/>
  <c r="M44" i="7"/>
  <c r="M28" i="7"/>
  <c r="M198" i="7"/>
  <c r="M194" i="7"/>
  <c r="M190" i="7"/>
  <c r="M186" i="7"/>
  <c r="M182" i="7"/>
  <c r="M178" i="7"/>
  <c r="M174" i="7"/>
  <c r="M170" i="7"/>
  <c r="M166" i="7"/>
  <c r="L162" i="7"/>
  <c r="L154" i="7"/>
  <c r="M152" i="7"/>
  <c r="M149" i="7"/>
  <c r="L144" i="7"/>
  <c r="L113" i="7"/>
  <c r="M106" i="7"/>
  <c r="L99" i="7"/>
  <c r="M94" i="7"/>
  <c r="L87" i="7"/>
  <c r="L82" i="7"/>
  <c r="L66" i="7"/>
  <c r="M63" i="7"/>
  <c r="L60" i="7"/>
  <c r="L57" i="7"/>
  <c r="M50" i="7"/>
  <c r="L47" i="7"/>
  <c r="L44" i="7"/>
  <c r="M37" i="7"/>
  <c r="L33" i="7"/>
  <c r="L198" i="7"/>
  <c r="L194" i="7"/>
  <c r="L190" i="7"/>
  <c r="L186" i="7"/>
  <c r="L182" i="7"/>
  <c r="L178" i="7"/>
  <c r="L174" i="7"/>
  <c r="L170" i="7"/>
  <c r="L166" i="7"/>
  <c r="M157" i="7"/>
  <c r="L152" i="7"/>
  <c r="L149" i="7"/>
  <c r="M147" i="7"/>
  <c r="M142" i="7"/>
  <c r="M108" i="7"/>
  <c r="L106" i="7"/>
  <c r="M101" i="7"/>
  <c r="L94" i="7"/>
  <c r="M89" i="7"/>
  <c r="M78" i="7"/>
  <c r="M72" i="7"/>
  <c r="M69" i="7"/>
  <c r="L63" i="7"/>
  <c r="M53" i="7"/>
  <c r="L50" i="7"/>
  <c r="M40" i="7"/>
  <c r="L37" i="7"/>
  <c r="M160" i="7"/>
  <c r="L157" i="7"/>
  <c r="L147" i="7"/>
  <c r="L142" i="7"/>
  <c r="M132" i="7"/>
  <c r="M130" i="7"/>
  <c r="M126" i="7"/>
  <c r="M122" i="7"/>
  <c r="L108" i="7"/>
  <c r="L101" i="7"/>
  <c r="M96" i="7"/>
  <c r="L89" i="7"/>
  <c r="M84" i="7"/>
  <c r="L78" i="7"/>
  <c r="M75" i="7"/>
  <c r="L72" i="7"/>
  <c r="L69" i="7"/>
  <c r="L53" i="7"/>
  <c r="M43" i="7"/>
  <c r="L40" i="7"/>
  <c r="M195" i="7"/>
  <c r="M191" i="7"/>
  <c r="M187" i="7"/>
  <c r="M183" i="7"/>
  <c r="M179" i="7"/>
  <c r="M175" i="7"/>
  <c r="M171" i="7"/>
  <c r="M167" i="7"/>
  <c r="M163" i="7"/>
  <c r="L160" i="7"/>
  <c r="M155" i="7"/>
  <c r="M140" i="7"/>
  <c r="M136" i="7"/>
  <c r="M134" i="7"/>
  <c r="L132" i="7"/>
  <c r="L130" i="7"/>
  <c r="M128" i="7"/>
  <c r="L126" i="7"/>
  <c r="M124" i="7"/>
  <c r="L122" i="7"/>
  <c r="M120" i="7"/>
  <c r="M110" i="7"/>
  <c r="M103" i="7"/>
  <c r="L96" i="7"/>
  <c r="M91" i="7"/>
  <c r="L84" i="7"/>
  <c r="M81" i="7"/>
  <c r="L75" i="7"/>
  <c r="M65" i="7"/>
  <c r="M62" i="7"/>
  <c r="M59" i="7"/>
  <c r="M56" i="7"/>
  <c r="M46" i="7"/>
  <c r="L43" i="7"/>
  <c r="M32" i="7"/>
  <c r="L46" i="7"/>
  <c r="M158" i="7"/>
  <c r="L150" i="7"/>
  <c r="L145" i="7"/>
  <c r="M143" i="7"/>
  <c r="L138" i="7"/>
  <c r="L118" i="7"/>
  <c r="M116" i="7"/>
  <c r="L114" i="7"/>
  <c r="M112" i="7"/>
  <c r="M105" i="7"/>
  <c r="L98" i="7"/>
  <c r="M93" i="7"/>
  <c r="L86" i="7"/>
  <c r="M77" i="7"/>
  <c r="M74" i="7"/>
  <c r="M71" i="7"/>
  <c r="M68" i="7"/>
  <c r="M52" i="7"/>
  <c r="L49" i="7"/>
  <c r="M42" i="7"/>
  <c r="M39" i="7"/>
  <c r="L35" i="7"/>
  <c r="L196" i="7"/>
  <c r="L192" i="7"/>
  <c r="L188" i="7"/>
  <c r="L184" i="7"/>
  <c r="L180" i="7"/>
  <c r="L176" i="7"/>
  <c r="L172" i="7"/>
  <c r="L168" i="7"/>
  <c r="L164" i="7"/>
  <c r="M161" i="7"/>
  <c r="L153" i="7"/>
  <c r="M148" i="7"/>
  <c r="L107" i="7"/>
  <c r="L100" i="7"/>
  <c r="M95" i="7"/>
  <c r="L88" i="7"/>
  <c r="M83" i="7"/>
  <c r="M80" i="7"/>
  <c r="M61" i="7"/>
  <c r="M58" i="7"/>
  <c r="L55" i="7"/>
  <c r="M45" i="7"/>
  <c r="L161" i="7"/>
  <c r="M156" i="7"/>
  <c r="M151" i="7"/>
  <c r="L148" i="7"/>
  <c r="M141" i="7"/>
  <c r="M131" i="7"/>
  <c r="M127" i="7"/>
  <c r="M125" i="7"/>
  <c r="M109" i="7"/>
  <c r="M102" i="7"/>
  <c r="L95" i="7"/>
  <c r="M90" i="7"/>
  <c r="L83" i="7"/>
  <c r="L80" i="7"/>
  <c r="M67" i="7"/>
  <c r="M64" i="7"/>
  <c r="L61" i="7"/>
  <c r="L58" i="7"/>
  <c r="M48" i="7"/>
  <c r="L45" i="7"/>
  <c r="M38" i="7"/>
  <c r="M34" i="7"/>
  <c r="L21" i="7"/>
  <c r="M197" i="7"/>
  <c r="M193" i="7"/>
  <c r="M189" i="7"/>
  <c r="M185" i="7"/>
  <c r="M181" i="7"/>
  <c r="M177" i="7"/>
  <c r="M173" i="7"/>
  <c r="M169" i="7"/>
  <c r="M165" i="7"/>
  <c r="M159" i="7"/>
  <c r="L156" i="7"/>
  <c r="L151" i="7"/>
  <c r="M146" i="7"/>
  <c r="L141" i="7"/>
  <c r="M139" i="7"/>
  <c r="M137" i="7"/>
  <c r="M135" i="7"/>
  <c r="M133" i="7"/>
  <c r="L131" i="7"/>
  <c r="M129" i="7"/>
  <c r="L127" i="7"/>
  <c r="L125" i="7"/>
  <c r="M123" i="7"/>
  <c r="L109" i="7"/>
  <c r="L102" i="7"/>
  <c r="M97" i="7"/>
  <c r="L90" i="7"/>
  <c r="M85" i="7"/>
  <c r="M73" i="7"/>
  <c r="M70" i="7"/>
  <c r="L67" i="7"/>
  <c r="L64" i="7"/>
  <c r="M54" i="7"/>
  <c r="M51" i="7"/>
  <c r="L48" i="7"/>
  <c r="M41" i="7"/>
  <c r="L38" i="7"/>
  <c r="L34" i="7"/>
  <c r="L29" i="7"/>
  <c r="M36" i="7"/>
  <c r="M35" i="7"/>
  <c r="L31" i="7"/>
  <c r="L20" i="7"/>
  <c r="L32" i="7"/>
  <c r="M26" i="7"/>
  <c r="M25" i="7"/>
  <c r="L30" i="7"/>
  <c r="L24" i="7"/>
  <c r="M33" i="7"/>
  <c r="M15" i="7"/>
  <c r="L36" i="7"/>
  <c r="M14" i="7"/>
  <c r="M19" i="7"/>
  <c r="M216" i="5"/>
  <c r="M276" i="5"/>
  <c r="M260" i="5"/>
  <c r="M246" i="5"/>
  <c r="M258" i="5"/>
  <c r="M181" i="5"/>
  <c r="M94" i="5"/>
  <c r="M171" i="5"/>
  <c r="D163" i="7"/>
  <c r="D159" i="7"/>
  <c r="E156" i="7"/>
  <c r="E149" i="7"/>
  <c r="E146" i="7"/>
  <c r="E143" i="7"/>
  <c r="D140" i="7"/>
  <c r="E135" i="7"/>
  <c r="E130" i="7"/>
  <c r="E125" i="7"/>
  <c r="E115" i="7"/>
  <c r="E160" i="7"/>
  <c r="E153" i="7"/>
  <c r="E138" i="7"/>
  <c r="E133" i="7"/>
  <c r="E128" i="7"/>
  <c r="E123" i="7"/>
  <c r="D120" i="7"/>
  <c r="E102" i="7"/>
  <c r="D160" i="7"/>
  <c r="D153" i="7"/>
  <c r="E144" i="7"/>
  <c r="D138" i="7"/>
  <c r="D133" i="7"/>
  <c r="D128" i="7"/>
  <c r="D123" i="7"/>
  <c r="E118" i="7"/>
  <c r="E113" i="7"/>
  <c r="E161" i="7"/>
  <c r="D157" i="7"/>
  <c r="D150" i="7"/>
  <c r="D147" i="7"/>
  <c r="D141" i="7"/>
  <c r="E136" i="7"/>
  <c r="D131" i="7"/>
  <c r="D126" i="7"/>
  <c r="E121" i="7"/>
  <c r="E116" i="7"/>
  <c r="D161" i="7"/>
  <c r="E154" i="7"/>
  <c r="D136" i="7"/>
  <c r="D121" i="7"/>
  <c r="D116" i="7"/>
  <c r="E108" i="7"/>
  <c r="D154" i="7"/>
  <c r="E151" i="7"/>
  <c r="E148" i="7"/>
  <c r="E139" i="7"/>
  <c r="E134" i="7"/>
  <c r="E129" i="7"/>
  <c r="E124" i="7"/>
  <c r="D162" i="7"/>
  <c r="D158" i="7"/>
  <c r="E155" i="7"/>
  <c r="D145" i="7"/>
  <c r="D142" i="7"/>
  <c r="E137" i="7"/>
  <c r="E132" i="7"/>
  <c r="E127" i="7"/>
  <c r="D119" i="7"/>
  <c r="D114" i="7"/>
  <c r="M290" i="5"/>
  <c r="M249" i="5"/>
  <c r="M228" i="5"/>
  <c r="M296" i="5"/>
  <c r="M184" i="5"/>
  <c r="M256" i="5"/>
  <c r="M204" i="5"/>
  <c r="M190" i="5"/>
  <c r="M176" i="5"/>
  <c r="M197" i="5"/>
  <c r="M242" i="5"/>
  <c r="M42" i="5"/>
  <c r="J156" i="7"/>
  <c r="J152" i="7"/>
  <c r="J148" i="7"/>
  <c r="J144" i="7"/>
  <c r="J140" i="7"/>
  <c r="K134" i="7"/>
  <c r="J131" i="7"/>
  <c r="J134" i="7"/>
  <c r="J123" i="7"/>
  <c r="K120" i="7"/>
  <c r="J157" i="7"/>
  <c r="J153" i="7"/>
  <c r="J149" i="7"/>
  <c r="J145" i="7"/>
  <c r="J141" i="7"/>
  <c r="K138" i="7"/>
  <c r="J135" i="7"/>
  <c r="J132" i="7"/>
  <c r="K99" i="7"/>
  <c r="K146" i="7"/>
  <c r="K142" i="7"/>
  <c r="J138" i="7"/>
  <c r="K124" i="7"/>
  <c r="K121" i="7"/>
  <c r="K112" i="7"/>
  <c r="K87" i="7"/>
  <c r="K118" i="7"/>
  <c r="K115" i="7"/>
  <c r="J118" i="7"/>
  <c r="K130" i="7"/>
  <c r="J119" i="7"/>
  <c r="K116" i="7"/>
  <c r="K100" i="7"/>
  <c r="K148" i="7"/>
  <c r="K144" i="7"/>
  <c r="K140" i="7"/>
  <c r="J111" i="7"/>
  <c r="M29" i="7"/>
  <c r="M24" i="7"/>
  <c r="L18" i="7"/>
  <c r="L17" i="7"/>
  <c r="L28" i="7"/>
  <c r="M31" i="7"/>
  <c r="L27" i="7"/>
  <c r="H81" i="7"/>
  <c r="I76" i="7"/>
  <c r="H69" i="7"/>
  <c r="I64" i="7"/>
  <c r="H57" i="7"/>
  <c r="I52" i="7"/>
  <c r="H45" i="7"/>
  <c r="I40" i="7"/>
  <c r="H33" i="7"/>
  <c r="H28" i="7"/>
  <c r="H83" i="7"/>
  <c r="I78" i="7"/>
  <c r="H71" i="7"/>
  <c r="I66" i="7"/>
  <c r="H59" i="7"/>
  <c r="I54" i="7"/>
  <c r="H47" i="7"/>
  <c r="I42" i="7"/>
  <c r="H35" i="7"/>
  <c r="I30" i="7"/>
  <c r="I23" i="7"/>
  <c r="I18" i="7"/>
  <c r="I80" i="7"/>
  <c r="H73" i="7"/>
  <c r="I68" i="7"/>
  <c r="H61" i="7"/>
  <c r="I56" i="7"/>
  <c r="H49" i="7"/>
  <c r="I44" i="7"/>
  <c r="H37" i="7"/>
  <c r="I32" i="7"/>
  <c r="H80" i="7"/>
  <c r="I75" i="7"/>
  <c r="H68" i="7"/>
  <c r="I63" i="7"/>
  <c r="H56" i="7"/>
  <c r="I51" i="7"/>
  <c r="H44" i="7"/>
  <c r="I39" i="7"/>
  <c r="H32" i="7"/>
  <c r="I26" i="7"/>
  <c r="H17" i="7"/>
  <c r="I82" i="7"/>
  <c r="H75" i="7"/>
  <c r="I70" i="7"/>
  <c r="H63" i="7"/>
  <c r="I58" i="7"/>
  <c r="H51" i="7"/>
  <c r="I46" i="7"/>
  <c r="H39" i="7"/>
  <c r="I34" i="7"/>
  <c r="I29" i="7"/>
  <c r="H53" i="7"/>
  <c r="I48" i="7"/>
  <c r="H41" i="7"/>
  <c r="I36" i="7"/>
  <c r="I25" i="7"/>
  <c r="I20" i="7"/>
  <c r="I79" i="7"/>
  <c r="H72" i="7"/>
  <c r="I67" i="7"/>
  <c r="H60" i="7"/>
  <c r="I55" i="7"/>
  <c r="H48" i="7"/>
  <c r="I43" i="7"/>
  <c r="H36" i="7"/>
  <c r="I31" i="7"/>
  <c r="H25" i="7"/>
  <c r="H79" i="7"/>
  <c r="I74" i="7"/>
  <c r="H67" i="7"/>
  <c r="I62" i="7"/>
  <c r="H55" i="7"/>
  <c r="I50" i="7"/>
  <c r="H43" i="7"/>
  <c r="I38" i="7"/>
  <c r="H31" i="7"/>
  <c r="H29" i="7"/>
  <c r="I17" i="7"/>
  <c r="H20" i="7"/>
  <c r="I16" i="7"/>
  <c r="H24" i="7"/>
  <c r="I19" i="7"/>
  <c r="H15" i="7"/>
  <c r="K622" i="7"/>
  <c r="H22" i="7"/>
  <c r="H21" i="7"/>
  <c r="H27" i="7"/>
  <c r="L26" i="7"/>
  <c r="M23" i="7"/>
  <c r="L23" i="7"/>
  <c r="L25" i="7"/>
  <c r="M22" i="7"/>
  <c r="L19" i="7"/>
  <c r="M27" i="7"/>
  <c r="M21" i="7"/>
  <c r="H23" i="7"/>
  <c r="M622" i="7"/>
  <c r="L622" i="7"/>
  <c r="I24" i="7"/>
  <c r="H26" i="7"/>
  <c r="I622" i="7"/>
  <c r="I27" i="7"/>
  <c r="I22" i="7"/>
  <c r="E622" i="7"/>
  <c r="D622" i="7"/>
  <c r="E112" i="7"/>
  <c r="D109" i="7"/>
  <c r="D98" i="7"/>
  <c r="D112" i="7"/>
  <c r="E105" i="7"/>
  <c r="E103" i="7"/>
  <c r="D103" i="7"/>
  <c r="E101" i="7"/>
  <c r="E87" i="7"/>
  <c r="D85" i="7"/>
  <c r="E110" i="7"/>
  <c r="E99" i="7"/>
  <c r="E78" i="7"/>
  <c r="D110" i="7"/>
  <c r="D99" i="7"/>
  <c r="E95" i="7"/>
  <c r="D93" i="7"/>
  <c r="E91" i="7"/>
  <c r="D108" i="7"/>
  <c r="D106" i="7"/>
  <c r="D104" i="7"/>
  <c r="E111" i="7"/>
  <c r="E100" i="7"/>
  <c r="E86" i="7"/>
  <c r="E84" i="7"/>
  <c r="D111" i="7"/>
  <c r="E109" i="7"/>
  <c r="E98" i="7"/>
  <c r="D96" i="7"/>
  <c r="D94" i="7"/>
  <c r="E92" i="7"/>
  <c r="E57" i="7"/>
  <c r="D21" i="7"/>
  <c r="E54" i="7"/>
  <c r="E52" i="7"/>
  <c r="D58" i="7"/>
  <c r="E93" i="7"/>
  <c r="E89" i="7"/>
  <c r="D83" i="7"/>
  <c r="E76" i="7"/>
  <c r="D55" i="7"/>
  <c r="D53" i="7"/>
  <c r="D90" i="7"/>
  <c r="D88" i="7"/>
  <c r="D82" i="7"/>
  <c r="D52" i="7"/>
  <c r="E50" i="7"/>
  <c r="E48" i="7"/>
  <c r="E46" i="7"/>
  <c r="D32" i="7"/>
  <c r="D30" i="7"/>
  <c r="E81" i="7"/>
  <c r="D79" i="7"/>
  <c r="D77" i="7"/>
  <c r="D46" i="7"/>
  <c r="D81" i="7"/>
  <c r="E75" i="7"/>
  <c r="D73" i="7"/>
  <c r="D71" i="7"/>
  <c r="D44" i="7"/>
  <c r="D42" i="7"/>
  <c r="E23" i="7"/>
  <c r="E69" i="7"/>
  <c r="D67" i="7"/>
  <c r="D65" i="7"/>
  <c r="E40" i="7"/>
  <c r="D38" i="7"/>
  <c r="E25" i="7"/>
  <c r="D69" i="7"/>
  <c r="E63" i="7"/>
  <c r="D61" i="7"/>
  <c r="D59" i="7"/>
  <c r="D40" i="7"/>
  <c r="E82" i="7"/>
  <c r="D57" i="7"/>
  <c r="E51" i="7"/>
  <c r="D49" i="7"/>
  <c r="D47" i="7"/>
  <c r="E31" i="7"/>
  <c r="D76" i="7"/>
  <c r="E74" i="7"/>
  <c r="E72" i="7"/>
  <c r="E70" i="7"/>
  <c r="E45" i="7"/>
  <c r="E43" i="7"/>
  <c r="E41" i="7"/>
  <c r="E35" i="7"/>
  <c r="D70" i="7"/>
  <c r="E66" i="7"/>
  <c r="E64" i="7"/>
  <c r="D41" i="7"/>
  <c r="E37" i="7"/>
  <c r="D26" i="7"/>
  <c r="D64" i="7"/>
  <c r="E62" i="7"/>
  <c r="E60" i="7"/>
  <c r="E58" i="7"/>
  <c r="E104" i="7"/>
  <c r="E94" i="7"/>
  <c r="D89" i="7"/>
  <c r="D84" i="7"/>
  <c r="E77" i="7"/>
  <c r="D72" i="7"/>
  <c r="E65" i="7"/>
  <c r="D60" i="7"/>
  <c r="E53" i="7"/>
  <c r="D48" i="7"/>
  <c r="D43" i="7"/>
  <c r="E36" i="7"/>
  <c r="D31" i="7"/>
  <c r="E24" i="7"/>
  <c r="E22" i="7"/>
  <c r="E20" i="7"/>
  <c r="D36" i="7"/>
  <c r="E29" i="7"/>
  <c r="D24" i="7"/>
  <c r="D22" i="7"/>
  <c r="E34" i="7"/>
  <c r="D29" i="7"/>
  <c r="E107" i="7"/>
  <c r="D102" i="7"/>
  <c r="E97" i="7"/>
  <c r="D92" i="7"/>
  <c r="D87" i="7"/>
  <c r="E80" i="7"/>
  <c r="D75" i="7"/>
  <c r="E68" i="7"/>
  <c r="D63" i="7"/>
  <c r="E56" i="7"/>
  <c r="D51" i="7"/>
  <c r="E39" i="7"/>
  <c r="D34" i="7"/>
  <c r="E27" i="7"/>
  <c r="E17" i="7"/>
  <c r="D107" i="7"/>
  <c r="D97" i="7"/>
  <c r="E90" i="7"/>
  <c r="E85" i="7"/>
  <c r="D80" i="7"/>
  <c r="E73" i="7"/>
  <c r="D68" i="7"/>
  <c r="E61" i="7"/>
  <c r="D56" i="7"/>
  <c r="E49" i="7"/>
  <c r="E44" i="7"/>
  <c r="D39" i="7"/>
  <c r="E32" i="7"/>
  <c r="D27" i="7"/>
  <c r="D105" i="7"/>
  <c r="D100" i="7"/>
  <c r="D95" i="7"/>
  <c r="E88" i="7"/>
  <c r="E83" i="7"/>
  <c r="D78" i="7"/>
  <c r="E71" i="7"/>
  <c r="D66" i="7"/>
  <c r="E59" i="7"/>
  <c r="D54" i="7"/>
  <c r="E47" i="7"/>
  <c r="E42" i="7"/>
  <c r="D37" i="7"/>
  <c r="E30" i="7"/>
  <c r="D25" i="7"/>
  <c r="E21" i="7"/>
  <c r="E19" i="7"/>
  <c r="D35" i="7"/>
  <c r="E28" i="7"/>
  <c r="E33" i="7"/>
  <c r="D28" i="7"/>
  <c r="E106" i="7"/>
  <c r="D101" i="7"/>
  <c r="E96" i="7"/>
  <c r="D91" i="7"/>
  <c r="D86" i="7"/>
  <c r="E79" i="7"/>
  <c r="D74" i="7"/>
  <c r="E67" i="7"/>
  <c r="D62" i="7"/>
  <c r="E55" i="7"/>
  <c r="D50" i="7"/>
  <c r="D45" i="7"/>
  <c r="E38" i="7"/>
  <c r="D33" i="7"/>
  <c r="E26" i="7"/>
  <c r="N541" i="7"/>
  <c r="O559" i="7"/>
  <c r="O463" i="7"/>
  <c r="O185" i="7"/>
  <c r="N207" i="7"/>
  <c r="N266" i="7"/>
  <c r="N229" i="7"/>
  <c r="N156" i="7"/>
  <c r="N203" i="7"/>
  <c r="N166" i="7"/>
  <c r="O30" i="7"/>
  <c r="N213" i="7"/>
  <c r="N417" i="7"/>
  <c r="N164" i="7"/>
  <c r="N308" i="7"/>
  <c r="N452" i="7"/>
  <c r="N500" i="7"/>
  <c r="O550" i="7"/>
  <c r="N586" i="7"/>
  <c r="N307" i="7"/>
  <c r="L22" i="7"/>
  <c r="M18" i="7"/>
  <c r="L15" i="7"/>
  <c r="L14" i="7"/>
  <c r="H16" i="7"/>
  <c r="H18" i="7"/>
  <c r="K88" i="7"/>
  <c r="I15" i="7"/>
  <c r="I21" i="7"/>
  <c r="I14" i="7"/>
  <c r="L620" i="7"/>
  <c r="K620" i="7"/>
  <c r="J620" i="7"/>
  <c r="I620" i="7"/>
  <c r="H620" i="7"/>
  <c r="E620" i="7"/>
  <c r="D620" i="7"/>
  <c r="M147" i="5"/>
  <c r="M72" i="5"/>
  <c r="M84" i="5"/>
  <c r="M158" i="5"/>
  <c r="M130" i="5"/>
  <c r="M98" i="5"/>
  <c r="G292" i="5"/>
  <c r="G275" i="5"/>
  <c r="G260" i="5"/>
  <c r="G247" i="5"/>
  <c r="G202" i="5"/>
  <c r="G181" i="5"/>
  <c r="G166" i="5"/>
  <c r="G138" i="5"/>
  <c r="G131" i="5"/>
  <c r="G115" i="5"/>
  <c r="G101" i="5"/>
  <c r="G75" i="5"/>
  <c r="G290" i="5"/>
  <c r="G281" i="5"/>
  <c r="G258" i="5"/>
  <c r="G238" i="5"/>
  <c r="G224" i="5"/>
  <c r="G215" i="5"/>
  <c r="G164" i="5"/>
  <c r="G130" i="5"/>
  <c r="G113" i="5"/>
  <c r="G93" i="5"/>
  <c r="G85" i="5"/>
  <c r="G295" i="5"/>
  <c r="G271" i="5"/>
  <c r="G249" i="5"/>
  <c r="G244" i="5"/>
  <c r="G199" i="5"/>
  <c r="G191" i="5"/>
  <c r="G169" i="5"/>
  <c r="G142" i="5"/>
  <c r="G91" i="5"/>
  <c r="G83" i="5"/>
  <c r="G69" i="5"/>
  <c r="M64" i="5"/>
  <c r="G250" i="5"/>
  <c r="I250" i="5"/>
  <c r="G121" i="5"/>
  <c r="I121" i="5"/>
  <c r="G296" i="5"/>
  <c r="I296" i="5"/>
  <c r="G213" i="5"/>
  <c r="I213" i="5"/>
  <c r="G261" i="5"/>
  <c r="I261" i="5"/>
  <c r="I65" i="5"/>
  <c r="G65" i="5"/>
  <c r="I239" i="5"/>
  <c r="I195" i="5"/>
  <c r="F50" i="5"/>
  <c r="I50" i="5" s="1"/>
  <c r="I282" i="5"/>
  <c r="G234" i="5"/>
  <c r="I223" i="5"/>
  <c r="I271" i="5"/>
  <c r="I259" i="5"/>
  <c r="I215" i="5"/>
  <c r="I211" i="5"/>
  <c r="F84" i="5"/>
  <c r="I84" i="5" s="1"/>
  <c r="F78" i="5"/>
  <c r="F63" i="5"/>
  <c r="F19" i="5"/>
  <c r="G19" i="5" s="1"/>
  <c r="I66" i="5"/>
  <c r="I177" i="5"/>
  <c r="G153" i="5"/>
  <c r="G135" i="5"/>
  <c r="F94" i="5"/>
  <c r="G94" i="5" s="1"/>
  <c r="G89" i="5"/>
  <c r="I83" i="5"/>
  <c r="G77" i="5"/>
  <c r="F71" i="5"/>
  <c r="F62" i="5"/>
  <c r="F17" i="5"/>
  <c r="I286" i="5"/>
  <c r="I280" i="5"/>
  <c r="I117" i="5"/>
  <c r="G88" i="5"/>
  <c r="F82" i="5"/>
  <c r="G82" i="5" s="1"/>
  <c r="F76" i="5"/>
  <c r="F70" i="5"/>
  <c r="I70" i="5" s="1"/>
  <c r="F61" i="5"/>
  <c r="I61" i="5" s="1"/>
  <c r="G291" i="5"/>
  <c r="G279" i="5"/>
  <c r="F80" i="5"/>
  <c r="F74" i="5"/>
  <c r="G74" i="5" s="1"/>
  <c r="M100" i="5"/>
  <c r="M40" i="5"/>
  <c r="M144" i="5"/>
  <c r="M149" i="5"/>
  <c r="M108" i="5"/>
  <c r="M102" i="5"/>
  <c r="I79" i="5"/>
  <c r="M285" i="5"/>
  <c r="M270" i="5"/>
  <c r="M265" i="5"/>
  <c r="M261" i="5"/>
  <c r="M253" i="5"/>
  <c r="M226" i="5"/>
  <c r="M218" i="5"/>
  <c r="M205" i="5"/>
  <c r="M173" i="5"/>
  <c r="M160" i="5"/>
  <c r="M140" i="5"/>
  <c r="M128" i="5"/>
  <c r="M124" i="5"/>
  <c r="M120" i="5"/>
  <c r="M116" i="5"/>
  <c r="M112" i="5"/>
  <c r="M103" i="5"/>
  <c r="M95" i="5"/>
  <c r="M88" i="5"/>
  <c r="M76" i="5"/>
  <c r="M71" i="5"/>
  <c r="M39" i="5"/>
  <c r="M297" i="5"/>
  <c r="M281" i="5"/>
  <c r="M257" i="5"/>
  <c r="M241" i="5"/>
  <c r="M237" i="5"/>
  <c r="M234" i="5"/>
  <c r="M229" i="5"/>
  <c r="M193" i="5"/>
  <c r="M177" i="5"/>
  <c r="M168" i="5"/>
  <c r="M164" i="5"/>
  <c r="M152" i="5"/>
  <c r="M136" i="5"/>
  <c r="M131" i="5"/>
  <c r="M99" i="5"/>
  <c r="M91" i="5"/>
  <c r="M79" i="5"/>
  <c r="M65" i="5"/>
  <c r="M60" i="5"/>
  <c r="M293" i="5"/>
  <c r="M277" i="5"/>
  <c r="M273" i="5"/>
  <c r="M269" i="5"/>
  <c r="M264" i="5"/>
  <c r="M252" i="5"/>
  <c r="M245" i="5"/>
  <c r="M225" i="5"/>
  <c r="M222" i="5"/>
  <c r="M217" i="5"/>
  <c r="M213" i="5"/>
  <c r="M210" i="5"/>
  <c r="M201" i="5"/>
  <c r="M198" i="5"/>
  <c r="M189" i="5"/>
  <c r="M185" i="5"/>
  <c r="M172" i="5"/>
  <c r="M159" i="5"/>
  <c r="M155" i="5"/>
  <c r="M148" i="5"/>
  <c r="M143" i="5"/>
  <c r="M111" i="5"/>
  <c r="M107" i="5"/>
  <c r="M83" i="5"/>
  <c r="M75" i="5"/>
  <c r="M301" i="5"/>
  <c r="M289" i="5"/>
  <c r="M284" i="5"/>
  <c r="M280" i="5"/>
  <c r="M248" i="5"/>
  <c r="M240" i="5"/>
  <c r="M192" i="5"/>
  <c r="M180" i="5"/>
  <c r="M167" i="5"/>
  <c r="M163" i="5"/>
  <c r="M139" i="5"/>
  <c r="M135" i="5"/>
  <c r="M127" i="5"/>
  <c r="M123" i="5"/>
  <c r="M119" i="5"/>
  <c r="M115" i="5"/>
  <c r="M87" i="5"/>
  <c r="M70" i="5"/>
  <c r="M58" i="5"/>
  <c r="M300" i="5"/>
  <c r="M288" i="5"/>
  <c r="M244" i="5"/>
  <c r="M236" i="5"/>
  <c r="M221" i="5"/>
  <c r="M188" i="5"/>
  <c r="M151" i="5"/>
  <c r="M110" i="5"/>
  <c r="M106" i="5"/>
  <c r="M90" i="5"/>
  <c r="M86" i="5"/>
  <c r="M82" i="5"/>
  <c r="M78" i="5"/>
  <c r="M275" i="5"/>
  <c r="M272" i="5"/>
  <c r="M268" i="5"/>
  <c r="M263" i="5"/>
  <c r="M255" i="5"/>
  <c r="M239" i="5"/>
  <c r="M232" i="5"/>
  <c r="M224" i="5"/>
  <c r="M215" i="5"/>
  <c r="M212" i="5"/>
  <c r="M208" i="5"/>
  <c r="M203" i="5"/>
  <c r="M200" i="5"/>
  <c r="M196" i="5"/>
  <c r="M179" i="5"/>
  <c r="M175" i="5"/>
  <c r="M157" i="5"/>
  <c r="M154" i="5"/>
  <c r="M142" i="5"/>
  <c r="M138" i="5"/>
  <c r="M134" i="5"/>
  <c r="M126" i="5"/>
  <c r="M122" i="5"/>
  <c r="M97" i="5"/>
  <c r="M93" i="5"/>
  <c r="M74" i="5"/>
  <c r="M69" i="5"/>
  <c r="M299" i="5"/>
  <c r="M287" i="5"/>
  <c r="M283" i="5"/>
  <c r="M279" i="5"/>
  <c r="M259" i="5"/>
  <c r="M250" i="5"/>
  <c r="M247" i="5"/>
  <c r="M243" i="5"/>
  <c r="M220" i="5"/>
  <c r="M191" i="5"/>
  <c r="M187" i="5"/>
  <c r="M183" i="5"/>
  <c r="M170" i="5"/>
  <c r="M166" i="5"/>
  <c r="M162" i="5"/>
  <c r="M150" i="5"/>
  <c r="M146" i="5"/>
  <c r="M118" i="5"/>
  <c r="M114" i="5"/>
  <c r="M109" i="5"/>
  <c r="M105" i="5"/>
  <c r="M85" i="5"/>
  <c r="M81" i="5"/>
  <c r="M63" i="5"/>
  <c r="M295" i="5"/>
  <c r="M291" i="5"/>
  <c r="M271" i="5"/>
  <c r="M267" i="5"/>
  <c r="M262" i="5"/>
  <c r="M231" i="5"/>
  <c r="M227" i="5"/>
  <c r="M207" i="5"/>
  <c r="M195" i="5"/>
  <c r="M133" i="5"/>
  <c r="M129" i="5"/>
  <c r="M101" i="5"/>
  <c r="M67" i="5"/>
  <c r="M286" i="5"/>
  <c r="M282" i="5"/>
  <c r="M238" i="5"/>
  <c r="M235" i="5"/>
  <c r="M219" i="5"/>
  <c r="M182" i="5"/>
  <c r="M169" i="5"/>
  <c r="M145" i="5"/>
  <c r="M121" i="5"/>
  <c r="M117" i="5"/>
  <c r="M113" i="5"/>
  <c r="M104" i="5"/>
  <c r="M89" i="5"/>
  <c r="M77" i="5"/>
  <c r="M66" i="5"/>
  <c r="M62" i="5"/>
  <c r="M44" i="5"/>
  <c r="M298" i="5"/>
  <c r="M294" i="5"/>
  <c r="M278" i="5"/>
  <c r="M274" i="5"/>
  <c r="M266" i="5"/>
  <c r="M254" i="5"/>
  <c r="M230" i="5"/>
  <c r="M223" i="5"/>
  <c r="M214" i="5"/>
  <c r="M211" i="5"/>
  <c r="M206" i="5"/>
  <c r="M202" i="5"/>
  <c r="M199" i="5"/>
  <c r="M178" i="5"/>
  <c r="M174" i="5"/>
  <c r="M165" i="5"/>
  <c r="M161" i="5"/>
  <c r="M156" i="5"/>
  <c r="M153" i="5"/>
  <c r="M141" i="5"/>
  <c r="M137" i="5"/>
  <c r="M125" i="5"/>
  <c r="M96" i="5"/>
  <c r="M92" i="5"/>
  <c r="M80" i="5"/>
  <c r="D623" i="7"/>
  <c r="E623" i="7"/>
  <c r="H623" i="7"/>
  <c r="I623" i="7"/>
  <c r="J623" i="7"/>
  <c r="K623" i="7"/>
  <c r="L623" i="7"/>
  <c r="M623" i="7"/>
  <c r="O622" i="7"/>
  <c r="J622" i="7"/>
  <c r="K139" i="7"/>
  <c r="K135" i="7"/>
  <c r="K131" i="7"/>
  <c r="J112" i="7"/>
  <c r="K108" i="7"/>
  <c r="K114" i="7"/>
  <c r="J108" i="7"/>
  <c r="K92" i="7"/>
  <c r="K84" i="7"/>
  <c r="K73" i="7"/>
  <c r="K127" i="7"/>
  <c r="J115" i="7"/>
  <c r="K104" i="7"/>
  <c r="K91" i="7"/>
  <c r="K137" i="7"/>
  <c r="K133" i="7"/>
  <c r="K129" i="7"/>
  <c r="K128" i="7"/>
  <c r="J127" i="7"/>
  <c r="K126" i="7"/>
  <c r="K110" i="7"/>
  <c r="J137" i="7"/>
  <c r="J133" i="7"/>
  <c r="J128" i="7"/>
  <c r="J126" i="7"/>
  <c r="K123" i="7"/>
  <c r="K111" i="7"/>
  <c r="J110" i="7"/>
  <c r="J17" i="7"/>
  <c r="J21" i="7"/>
  <c r="J14" i="7"/>
  <c r="J18" i="7"/>
  <c r="J22" i="7"/>
  <c r="K15" i="7"/>
  <c r="K17" i="7"/>
  <c r="J27" i="7"/>
  <c r="J31" i="7"/>
  <c r="J35" i="7"/>
  <c r="J39" i="7"/>
  <c r="J43" i="7"/>
  <c r="J47" i="7"/>
  <c r="J51" i="7"/>
  <c r="J55" i="7"/>
  <c r="J59" i="7"/>
  <c r="J63" i="7"/>
  <c r="J67" i="7"/>
  <c r="J71" i="7"/>
  <c r="J75" i="7"/>
  <c r="J79" i="7"/>
  <c r="K27" i="7"/>
  <c r="K31" i="7"/>
  <c r="K35" i="7"/>
  <c r="K39" i="7"/>
  <c r="K43" i="7"/>
  <c r="K47" i="7"/>
  <c r="K51" i="7"/>
  <c r="K55" i="7"/>
  <c r="K59" i="7"/>
  <c r="K63" i="7"/>
  <c r="K67" i="7"/>
  <c r="K71" i="7"/>
  <c r="K75" i="7"/>
  <c r="K79" i="7"/>
  <c r="K21" i="7"/>
  <c r="K22" i="7"/>
  <c r="J23" i="7"/>
  <c r="J20" i="7"/>
  <c r="K23" i="7"/>
  <c r="J24" i="7"/>
  <c r="J28" i="7"/>
  <c r="J32" i="7"/>
  <c r="J36" i="7"/>
  <c r="J40" i="7"/>
  <c r="J44" i="7"/>
  <c r="J48" i="7"/>
  <c r="J52" i="7"/>
  <c r="J56" i="7"/>
  <c r="J60" i="7"/>
  <c r="K14" i="7"/>
  <c r="K20" i="7"/>
  <c r="K24" i="7"/>
  <c r="K28" i="7"/>
  <c r="K32" i="7"/>
  <c r="K36" i="7"/>
  <c r="K40" i="7"/>
  <c r="K44" i="7"/>
  <c r="K48" i="7"/>
  <c r="K52" i="7"/>
  <c r="K56" i="7"/>
  <c r="K60" i="7"/>
  <c r="K64" i="7"/>
  <c r="K68" i="7"/>
  <c r="K72" i="7"/>
  <c r="K76" i="7"/>
  <c r="K80" i="7"/>
  <c r="J16" i="7"/>
  <c r="K16" i="7"/>
  <c r="J19" i="7"/>
  <c r="J25" i="7"/>
  <c r="J29" i="7"/>
  <c r="J33" i="7"/>
  <c r="J37" i="7"/>
  <c r="J41" i="7"/>
  <c r="J45" i="7"/>
  <c r="J49" i="7"/>
  <c r="J53" i="7"/>
  <c r="J57" i="7"/>
  <c r="J61" i="7"/>
  <c r="J65" i="7"/>
  <c r="J69" i="7"/>
  <c r="J73" i="7"/>
  <c r="K19" i="7"/>
  <c r="K25" i="7"/>
  <c r="K29" i="7"/>
  <c r="K33" i="7"/>
  <c r="K37" i="7"/>
  <c r="K41" i="7"/>
  <c r="K45" i="7"/>
  <c r="K49" i="7"/>
  <c r="K53" i="7"/>
  <c r="K57" i="7"/>
  <c r="K61" i="7"/>
  <c r="K65" i="7"/>
  <c r="K69" i="7"/>
  <c r="K18" i="7"/>
  <c r="J26" i="7"/>
  <c r="J30" i="7"/>
  <c r="J34" i="7"/>
  <c r="J38" i="7"/>
  <c r="J42" i="7"/>
  <c r="J46" i="7"/>
  <c r="J50" i="7"/>
  <c r="J54" i="7"/>
  <c r="J58" i="7"/>
  <c r="J62" i="7"/>
  <c r="K42" i="7"/>
  <c r="J80" i="7"/>
  <c r="J64" i="7"/>
  <c r="J72" i="7"/>
  <c r="J81" i="7"/>
  <c r="J85" i="7"/>
  <c r="J89" i="7"/>
  <c r="J93" i="7"/>
  <c r="J97" i="7"/>
  <c r="J101" i="7"/>
  <c r="J105" i="7"/>
  <c r="J109" i="7"/>
  <c r="J113" i="7"/>
  <c r="J117" i="7"/>
  <c r="J121" i="7"/>
  <c r="J125" i="7"/>
  <c r="J129" i="7"/>
  <c r="J15" i="7"/>
  <c r="K46" i="7"/>
  <c r="J78" i="7"/>
  <c r="K81" i="7"/>
  <c r="K85" i="7"/>
  <c r="K89" i="7"/>
  <c r="K93" i="7"/>
  <c r="K97" i="7"/>
  <c r="K101" i="7"/>
  <c r="K105" i="7"/>
  <c r="K109" i="7"/>
  <c r="K113" i="7"/>
  <c r="K117" i="7"/>
  <c r="J66" i="7"/>
  <c r="K78" i="7"/>
  <c r="K26" i="7"/>
  <c r="K50" i="7"/>
  <c r="K66" i="7"/>
  <c r="J68" i="7"/>
  <c r="J77" i="7"/>
  <c r="J82" i="7"/>
  <c r="J86" i="7"/>
  <c r="J90" i="7"/>
  <c r="J94" i="7"/>
  <c r="J98" i="7"/>
  <c r="J102" i="7"/>
  <c r="J106" i="7"/>
  <c r="K58" i="7"/>
  <c r="K62" i="7"/>
  <c r="J76" i="7"/>
  <c r="K77" i="7"/>
  <c r="K82" i="7"/>
  <c r="K86" i="7"/>
  <c r="K90" i="7"/>
  <c r="K94" i="7"/>
  <c r="K98" i="7"/>
  <c r="K102" i="7"/>
  <c r="K106" i="7"/>
  <c r="K30" i="7"/>
  <c r="K54" i="7"/>
  <c r="J70" i="7"/>
  <c r="K70" i="7"/>
  <c r="J83" i="7"/>
  <c r="J87" i="7"/>
  <c r="J91" i="7"/>
  <c r="J95" i="7"/>
  <c r="J99" i="7"/>
  <c r="J103" i="7"/>
  <c r="K34" i="7"/>
  <c r="J74" i="7"/>
  <c r="K83" i="7"/>
  <c r="K74" i="7"/>
  <c r="K38" i="7"/>
  <c r="J84" i="7"/>
  <c r="J88" i="7"/>
  <c r="J92" i="7"/>
  <c r="J96" i="7"/>
  <c r="J100" i="7"/>
  <c r="J104" i="7"/>
  <c r="K136" i="7"/>
  <c r="K132" i="7"/>
  <c r="J124" i="7"/>
  <c r="J122" i="7"/>
  <c r="K119" i="7"/>
  <c r="J116" i="7"/>
  <c r="J107" i="7"/>
  <c r="K103" i="7"/>
  <c r="K95" i="7"/>
  <c r="D15" i="7"/>
  <c r="D19" i="7"/>
  <c r="D23" i="7"/>
  <c r="E15" i="7"/>
  <c r="D16" i="7"/>
  <c r="D20" i="7"/>
  <c r="I283" i="5"/>
  <c r="G283" i="5"/>
  <c r="O21" i="7"/>
  <c r="E18" i="7"/>
  <c r="D17" i="7"/>
  <c r="I295" i="5"/>
  <c r="I288" i="5"/>
  <c r="G288" i="5"/>
  <c r="I253" i="5"/>
  <c r="G253" i="5"/>
  <c r="E14" i="7"/>
  <c r="G263" i="5"/>
  <c r="I263" i="5"/>
  <c r="E16" i="7"/>
  <c r="D14" i="7"/>
  <c r="G299" i="5"/>
  <c r="I300" i="5"/>
  <c r="G276" i="5"/>
  <c r="G252" i="5"/>
  <c r="I241" i="5"/>
  <c r="G266" i="5"/>
  <c r="I265" i="5"/>
  <c r="G242" i="5"/>
  <c r="I242" i="5"/>
  <c r="G216" i="5"/>
  <c r="I216" i="5"/>
  <c r="G297" i="5"/>
  <c r="I287" i="5"/>
  <c r="G254" i="5"/>
  <c r="I254" i="5"/>
  <c r="G229" i="5"/>
  <c r="I221" i="5"/>
  <c r="I301" i="5"/>
  <c r="I289" i="5"/>
  <c r="I277" i="5"/>
  <c r="G183" i="5"/>
  <c r="I183" i="5"/>
  <c r="I258" i="5"/>
  <c r="M17" i="7"/>
  <c r="G257" i="5"/>
  <c r="I246" i="5"/>
  <c r="G207" i="5"/>
  <c r="I207" i="5"/>
  <c r="G182" i="5"/>
  <c r="I182" i="5"/>
  <c r="I151" i="5"/>
  <c r="G151" i="5"/>
  <c r="I106" i="5"/>
  <c r="G106" i="5"/>
  <c r="I134" i="5"/>
  <c r="G134" i="5"/>
  <c r="I293" i="5"/>
  <c r="I281" i="5"/>
  <c r="I267" i="5"/>
  <c r="M20" i="7"/>
  <c r="M16" i="7"/>
  <c r="I276" i="5"/>
  <c r="I272" i="5"/>
  <c r="G251" i="5"/>
  <c r="G240" i="5"/>
  <c r="G267" i="5"/>
  <c r="I266" i="5"/>
  <c r="I252" i="5"/>
  <c r="G241" i="5"/>
  <c r="I232" i="5"/>
  <c r="G232" i="5"/>
  <c r="G226" i="5"/>
  <c r="I226" i="5"/>
  <c r="G217" i="5"/>
  <c r="I220" i="5"/>
  <c r="G220" i="5"/>
  <c r="I208" i="5"/>
  <c r="G208" i="5"/>
  <c r="I206" i="5"/>
  <c r="G231" i="5"/>
  <c r="I222" i="5"/>
  <c r="G194" i="5"/>
  <c r="I194" i="5"/>
  <c r="G230" i="5"/>
  <c r="G193" i="5"/>
  <c r="I193" i="5"/>
  <c r="I268" i="5"/>
  <c r="I256" i="5"/>
  <c r="I244" i="5"/>
  <c r="G218" i="5"/>
  <c r="I218" i="5"/>
  <c r="G198" i="5"/>
  <c r="I198" i="5"/>
  <c r="G210" i="5"/>
  <c r="I210" i="5"/>
  <c r="G233" i="5"/>
  <c r="G219" i="5"/>
  <c r="G170" i="5"/>
  <c r="I170" i="5"/>
  <c r="G196" i="5"/>
  <c r="I190" i="5"/>
  <c r="G188" i="5"/>
  <c r="I188" i="5"/>
  <c r="G185" i="5"/>
  <c r="I184" i="5"/>
  <c r="G174" i="5"/>
  <c r="G137" i="5"/>
  <c r="G186" i="5"/>
  <c r="G176" i="5"/>
  <c r="I176" i="5"/>
  <c r="I160" i="5"/>
  <c r="G171" i="5"/>
  <c r="G141" i="5"/>
  <c r="I158" i="5"/>
  <c r="G146" i="5"/>
  <c r="I146" i="5"/>
  <c r="I144" i="5"/>
  <c r="I136" i="5"/>
  <c r="I209" i="5"/>
  <c r="I197" i="5"/>
  <c r="I204" i="5"/>
  <c r="I172" i="5"/>
  <c r="G168" i="5"/>
  <c r="G136" i="5"/>
  <c r="G125" i="5"/>
  <c r="I125" i="5"/>
  <c r="G162" i="5"/>
  <c r="G159" i="5"/>
  <c r="I185" i="5"/>
  <c r="I180" i="5"/>
  <c r="I174" i="5"/>
  <c r="I165" i="5"/>
  <c r="G145" i="5"/>
  <c r="I145" i="5"/>
  <c r="I164" i="5"/>
  <c r="G140" i="5"/>
  <c r="I139" i="5"/>
  <c r="I114" i="5"/>
  <c r="I161" i="5"/>
  <c r="G149" i="5"/>
  <c r="I148" i="5"/>
  <c r="I112" i="5"/>
  <c r="G112" i="5"/>
  <c r="I132" i="5"/>
  <c r="G114" i="5"/>
  <c r="I105" i="5"/>
  <c r="I100" i="5"/>
  <c r="G100" i="5"/>
  <c r="I127" i="5"/>
  <c r="I120" i="5"/>
  <c r="G111" i="5"/>
  <c r="G110" i="5"/>
  <c r="I110" i="5"/>
  <c r="G108" i="5"/>
  <c r="G99" i="5"/>
  <c r="G98" i="5"/>
  <c r="I98" i="5"/>
  <c r="I7" i="5"/>
  <c r="G7" i="5"/>
  <c r="G124" i="5"/>
  <c r="G59" i="5"/>
  <c r="I59" i="5"/>
  <c r="I118" i="5"/>
  <c r="G63" i="5"/>
  <c r="I63" i="5"/>
  <c r="I51" i="5"/>
  <c r="G51" i="5"/>
  <c r="I81" i="5"/>
  <c r="G62" i="5"/>
  <c r="I62" i="5"/>
  <c r="I96" i="5"/>
  <c r="I107" i="5"/>
  <c r="G87" i="5"/>
  <c r="I87" i="5"/>
  <c r="I55" i="5"/>
  <c r="G55" i="5"/>
  <c r="G96" i="5"/>
  <c r="G84" i="5"/>
  <c r="I76" i="5"/>
  <c r="G70" i="5"/>
  <c r="G76" i="5"/>
  <c r="G35" i="5"/>
  <c r="I6" i="5"/>
  <c r="M3" i="5"/>
  <c r="M23" i="5"/>
  <c r="M35" i="5"/>
  <c r="M47" i="5"/>
  <c r="M6" i="5"/>
  <c r="M26" i="5"/>
  <c r="M38" i="5"/>
  <c r="M50" i="5"/>
  <c r="M2" i="5"/>
  <c r="M17" i="5"/>
  <c r="M29" i="5"/>
  <c r="M41" i="5"/>
  <c r="M53" i="5"/>
  <c r="M9" i="5"/>
  <c r="M11" i="5"/>
  <c r="M13" i="5"/>
  <c r="M15" i="5"/>
  <c r="M22" i="5"/>
  <c r="M34" i="5"/>
  <c r="M46" i="5"/>
  <c r="M7" i="5"/>
  <c r="M18" i="5"/>
  <c r="M36" i="5"/>
  <c r="M68" i="5"/>
  <c r="M10" i="5"/>
  <c r="M12" i="5"/>
  <c r="M14" i="5"/>
  <c r="M16" i="5"/>
  <c r="M51" i="5"/>
  <c r="M52" i="5"/>
  <c r="M54" i="5"/>
  <c r="M61" i="5"/>
  <c r="M73" i="5"/>
  <c r="M5" i="5"/>
  <c r="M8" i="5"/>
  <c r="M32" i="5"/>
  <c r="M33" i="5"/>
  <c r="M4" i="5"/>
  <c r="M31" i="5"/>
  <c r="M49" i="5"/>
  <c r="M55" i="5"/>
  <c r="M59" i="5"/>
  <c r="M30" i="5"/>
  <c r="M48" i="5"/>
  <c r="M27" i="5"/>
  <c r="M28" i="5"/>
  <c r="M56" i="5"/>
  <c r="M25" i="5"/>
  <c r="M43" i="5"/>
  <c r="M20" i="5"/>
  <c r="M21" i="5"/>
  <c r="M19" i="5"/>
  <c r="M37" i="5"/>
  <c r="I69" i="5"/>
  <c r="G17" i="5"/>
  <c r="I17" i="5"/>
  <c r="I64" i="5"/>
  <c r="M57" i="5"/>
  <c r="M24" i="5"/>
  <c r="F9" i="5"/>
  <c r="F11" i="5"/>
  <c r="F13" i="5"/>
  <c r="F15" i="5"/>
  <c r="F22" i="5"/>
  <c r="F34" i="5"/>
  <c r="F46" i="5"/>
  <c r="F5" i="5"/>
  <c r="F25" i="5"/>
  <c r="F37" i="5"/>
  <c r="F49" i="5"/>
  <c r="F10" i="5"/>
  <c r="F12" i="5"/>
  <c r="F14" i="5"/>
  <c r="F16" i="5"/>
  <c r="F28" i="5"/>
  <c r="F40" i="5"/>
  <c r="F52" i="5"/>
  <c r="F8" i="5"/>
  <c r="F21" i="5"/>
  <c r="F33" i="5"/>
  <c r="F45" i="5"/>
  <c r="F57" i="5"/>
  <c r="F29" i="5"/>
  <c r="F47" i="5"/>
  <c r="F56" i="5"/>
  <c r="F67" i="5"/>
  <c r="F26" i="5"/>
  <c r="F27" i="5"/>
  <c r="F60" i="5"/>
  <c r="F72" i="5"/>
  <c r="F43" i="5"/>
  <c r="F44" i="5"/>
  <c r="F24" i="5"/>
  <c r="F42" i="5"/>
  <c r="F23" i="5"/>
  <c r="F41" i="5"/>
  <c r="F58" i="5"/>
  <c r="F38" i="5"/>
  <c r="F39" i="5"/>
  <c r="F68" i="5"/>
  <c r="F18" i="5"/>
  <c r="F36" i="5"/>
  <c r="F54" i="5"/>
  <c r="F4" i="5"/>
  <c r="F31" i="5"/>
  <c r="F32" i="5"/>
  <c r="F2" i="5"/>
  <c r="F3" i="5"/>
  <c r="F30" i="5"/>
  <c r="F48" i="5"/>
  <c r="G53" i="5"/>
  <c r="M45" i="5"/>
  <c r="G20" i="5"/>
  <c r="B31" i="4"/>
  <c r="B12" i="4"/>
  <c r="B28" i="4"/>
  <c r="B9" i="4"/>
  <c r="B24" i="4"/>
  <c r="B10" i="4"/>
  <c r="B23" i="4"/>
  <c r="B35" i="4"/>
  <c r="B14" i="4"/>
  <c r="B38" i="4"/>
  <c r="B4" i="4"/>
  <c r="E5" i="7" s="1"/>
  <c r="B17" i="4"/>
  <c r="B29" i="4"/>
  <c r="N9" i="5" s="1"/>
  <c r="B5" i="4"/>
  <c r="B18" i="4"/>
  <c r="B3" i="7" s="1"/>
  <c r="B30" i="4"/>
  <c r="A2" i="11" s="1"/>
  <c r="B42" i="4"/>
  <c r="N27" i="1" s="1"/>
  <c r="B39" i="4"/>
  <c r="B21" i="4"/>
  <c r="B37" i="4"/>
  <c r="B20" i="4"/>
  <c r="B36" i="4"/>
  <c r="B19" i="4"/>
  <c r="B34" i="4"/>
  <c r="B16" i="4"/>
  <c r="B33" i="4"/>
  <c r="B15" i="4"/>
  <c r="B32" i="4"/>
  <c r="B13" i="4"/>
  <c r="L61" i="5" s="1"/>
  <c r="I19" i="5" l="1"/>
  <c r="I82" i="5"/>
  <c r="I74" i="5"/>
  <c r="I94" i="5"/>
  <c r="I86" i="5"/>
  <c r="I189" i="5"/>
  <c r="G285" i="5"/>
  <c r="N16" i="7"/>
  <c r="O16" i="7"/>
  <c r="N620" i="7"/>
  <c r="O479" i="7"/>
  <c r="N37" i="7"/>
  <c r="N597" i="7"/>
  <c r="O537" i="7"/>
  <c r="O405" i="7"/>
  <c r="O261" i="7"/>
  <c r="O128" i="7"/>
  <c r="N369" i="7"/>
  <c r="N153" i="7"/>
  <c r="N394" i="7"/>
  <c r="N42" i="7"/>
  <c r="O445" i="7"/>
  <c r="O51" i="7"/>
  <c r="N79" i="7"/>
  <c r="N120" i="7"/>
  <c r="O80" i="7"/>
  <c r="N28" i="7"/>
  <c r="N294" i="7"/>
  <c r="O140" i="7"/>
  <c r="O541" i="7"/>
  <c r="I173" i="5"/>
  <c r="I270" i="5"/>
  <c r="N15" i="7"/>
  <c r="G123" i="5"/>
  <c r="B6" i="7"/>
  <c r="N514" i="7"/>
  <c r="O478" i="7"/>
  <c r="O188" i="7"/>
  <c r="N572" i="7"/>
  <c r="N380" i="7"/>
  <c r="N236" i="7"/>
  <c r="O94" i="7"/>
  <c r="N321" i="7"/>
  <c r="N107" i="7"/>
  <c r="N346" i="7"/>
  <c r="N419" i="7"/>
  <c r="N372" i="7"/>
  <c r="N445" i="7"/>
  <c r="N27" i="7"/>
  <c r="N423" i="7"/>
  <c r="O28" i="7"/>
  <c r="N365" i="7"/>
  <c r="O106" i="7"/>
  <c r="O472" i="7"/>
  <c r="N65" i="7"/>
  <c r="O551" i="7"/>
  <c r="N525" i="7"/>
  <c r="N463" i="7"/>
  <c r="O609" i="7"/>
  <c r="O333" i="7"/>
  <c r="O189" i="7"/>
  <c r="O442" i="7"/>
  <c r="O250" i="7"/>
  <c r="O62" i="7"/>
  <c r="O239" i="7"/>
  <c r="O276" i="7"/>
  <c r="O229" i="7"/>
  <c r="O302" i="7"/>
  <c r="O339" i="7"/>
  <c r="O280" i="7"/>
  <c r="N304" i="7"/>
  <c r="O186" i="7"/>
  <c r="O548" i="7"/>
  <c r="O471" i="7"/>
  <c r="G90" i="5"/>
  <c r="I90" i="5"/>
  <c r="N163" i="7"/>
  <c r="N490" i="7"/>
  <c r="N562" i="7"/>
  <c r="N85" i="7"/>
  <c r="O526" i="7"/>
  <c r="O598" i="7"/>
  <c r="N476" i="7"/>
  <c r="N548" i="7"/>
  <c r="O596" i="7"/>
  <c r="N404" i="7"/>
  <c r="N332" i="7"/>
  <c r="N260" i="7"/>
  <c r="N188" i="7"/>
  <c r="N123" i="7"/>
  <c r="N441" i="7"/>
  <c r="N357" i="7"/>
  <c r="N249" i="7"/>
  <c r="N141" i="7"/>
  <c r="O58" i="7"/>
  <c r="O383" i="7"/>
  <c r="N238" i="7"/>
  <c r="N38" i="7"/>
  <c r="N275" i="7"/>
  <c r="N444" i="7"/>
  <c r="N228" i="7"/>
  <c r="O47" i="7"/>
  <c r="N301" i="7"/>
  <c r="N75" i="7"/>
  <c r="N338" i="7"/>
  <c r="O114" i="7"/>
  <c r="N279" i="7"/>
  <c r="O76" i="7"/>
  <c r="N268" i="7"/>
  <c r="O438" i="7"/>
  <c r="O150" i="7"/>
  <c r="N258" i="7"/>
  <c r="N102" i="7"/>
  <c r="N484" i="7"/>
  <c r="N542" i="7"/>
  <c r="N612" i="7"/>
  <c r="N575" i="7"/>
  <c r="N14" i="7"/>
  <c r="O176" i="7"/>
  <c r="O491" i="7"/>
  <c r="O563" i="7"/>
  <c r="O123" i="7"/>
  <c r="N537" i="7"/>
  <c r="N609" i="7"/>
  <c r="O477" i="7"/>
  <c r="O549" i="7"/>
  <c r="O465" i="7"/>
  <c r="O393" i="7"/>
  <c r="O321" i="7"/>
  <c r="O249" i="7"/>
  <c r="O177" i="7"/>
  <c r="N111" i="7"/>
  <c r="O430" i="7"/>
  <c r="O346" i="7"/>
  <c r="O238" i="7"/>
  <c r="N134" i="7"/>
  <c r="O54" i="7"/>
  <c r="N382" i="7"/>
  <c r="O203" i="7"/>
  <c r="O456" i="7"/>
  <c r="O240" i="7"/>
  <c r="O409" i="7"/>
  <c r="O193" i="7"/>
  <c r="O27" i="7"/>
  <c r="O266" i="7"/>
  <c r="N55" i="7"/>
  <c r="O303" i="7"/>
  <c r="O460" i="7"/>
  <c r="O244" i="7"/>
  <c r="O56" i="7"/>
  <c r="O257" i="7"/>
  <c r="N437" i="7"/>
  <c r="N149" i="7"/>
  <c r="O247" i="7"/>
  <c r="N187" i="7"/>
  <c r="O485" i="7"/>
  <c r="O543" i="7"/>
  <c r="O613" i="7"/>
  <c r="O588" i="7"/>
  <c r="N18" i="7"/>
  <c r="O19" i="7"/>
  <c r="N19" i="7"/>
  <c r="N235" i="7"/>
  <c r="N502" i="7"/>
  <c r="N574" i="7"/>
  <c r="O468" i="7"/>
  <c r="O538" i="7"/>
  <c r="N57" i="7"/>
  <c r="N488" i="7"/>
  <c r="N560" i="7"/>
  <c r="N464" i="7"/>
  <c r="N392" i="7"/>
  <c r="N320" i="7"/>
  <c r="N248" i="7"/>
  <c r="N176" i="7"/>
  <c r="O107" i="7"/>
  <c r="N429" i="7"/>
  <c r="O334" i="7"/>
  <c r="N237" i="7"/>
  <c r="O124" i="7"/>
  <c r="O50" i="7"/>
  <c r="O371" i="7"/>
  <c r="N202" i="7"/>
  <c r="N455" i="7"/>
  <c r="N239" i="7"/>
  <c r="N408" i="7"/>
  <c r="N192" i="7"/>
  <c r="O23" i="7"/>
  <c r="N265" i="7"/>
  <c r="N51" i="7"/>
  <c r="N302" i="7"/>
  <c r="N459" i="7"/>
  <c r="N243" i="7"/>
  <c r="O52" i="7"/>
  <c r="N232" i="7"/>
  <c r="O402" i="7"/>
  <c r="N115" i="7"/>
  <c r="N186" i="7"/>
  <c r="O487" i="7"/>
  <c r="N556" i="7"/>
  <c r="N106" i="7"/>
  <c r="N20" i="7"/>
  <c r="O15" i="7"/>
  <c r="O14" i="7"/>
  <c r="O248" i="7"/>
  <c r="O503" i="7"/>
  <c r="O575" i="7"/>
  <c r="N477" i="7"/>
  <c r="N549" i="7"/>
  <c r="N175" i="7"/>
  <c r="O489" i="7"/>
  <c r="O561" i="7"/>
  <c r="O453" i="7"/>
  <c r="O381" i="7"/>
  <c r="O309" i="7"/>
  <c r="O237" i="7"/>
  <c r="O165" i="7"/>
  <c r="O98" i="7"/>
  <c r="O418" i="7"/>
  <c r="O322" i="7"/>
  <c r="N225" i="7"/>
  <c r="O112" i="7"/>
  <c r="O34" i="7"/>
  <c r="O347" i="7"/>
  <c r="O167" i="7"/>
  <c r="O420" i="7"/>
  <c r="O204" i="7"/>
  <c r="O373" i="7"/>
  <c r="O157" i="7"/>
  <c r="O446" i="7"/>
  <c r="O230" i="7"/>
  <c r="N31" i="7"/>
  <c r="O267" i="7"/>
  <c r="O424" i="7"/>
  <c r="O208" i="7"/>
  <c r="O32" i="7"/>
  <c r="N196" i="7"/>
  <c r="O366" i="7"/>
  <c r="O17" i="7"/>
  <c r="O175" i="7"/>
  <c r="N498" i="7"/>
  <c r="O557" i="7"/>
  <c r="O470" i="7"/>
  <c r="O620" i="7"/>
  <c r="O320" i="7"/>
  <c r="O515" i="7"/>
  <c r="O587" i="7"/>
  <c r="N489" i="7"/>
  <c r="N561" i="7"/>
  <c r="N247" i="7"/>
  <c r="O501" i="7"/>
  <c r="O573" i="7"/>
  <c r="O441" i="7"/>
  <c r="O369" i="7"/>
  <c r="O297" i="7"/>
  <c r="O225" i="7"/>
  <c r="O153" i="7"/>
  <c r="O90" i="7"/>
  <c r="O406" i="7"/>
  <c r="O310" i="7"/>
  <c r="O202" i="7"/>
  <c r="O103" i="7"/>
  <c r="N466" i="7"/>
  <c r="N322" i="7"/>
  <c r="O135" i="7"/>
  <c r="O384" i="7"/>
  <c r="O168" i="7"/>
  <c r="O337" i="7"/>
  <c r="N129" i="7"/>
  <c r="O410" i="7"/>
  <c r="O194" i="7"/>
  <c r="O447" i="7"/>
  <c r="O231" i="7"/>
  <c r="O388" i="7"/>
  <c r="O172" i="7"/>
  <c r="N448" i="7"/>
  <c r="N160" i="7"/>
  <c r="O330" i="7"/>
  <c r="N438" i="7"/>
  <c r="O102" i="7"/>
  <c r="N570" i="7"/>
  <c r="N483" i="7"/>
  <c r="O542" i="7"/>
  <c r="O18" i="7"/>
  <c r="O623" i="7"/>
  <c r="N379" i="7"/>
  <c r="N526" i="7"/>
  <c r="N598" i="7"/>
  <c r="O490" i="7"/>
  <c r="O562" i="7"/>
  <c r="O260" i="7"/>
  <c r="N512" i="7"/>
  <c r="N584" i="7"/>
  <c r="N440" i="7"/>
  <c r="N368" i="7"/>
  <c r="N296" i="7"/>
  <c r="N224" i="7"/>
  <c r="N152" i="7"/>
  <c r="O22" i="7"/>
  <c r="N405" i="7"/>
  <c r="N309" i="7"/>
  <c r="O190" i="7"/>
  <c r="N98" i="7"/>
  <c r="O455" i="7"/>
  <c r="O311" i="7"/>
  <c r="N124" i="7"/>
  <c r="N383" i="7"/>
  <c r="N167" i="7"/>
  <c r="N336" i="7"/>
  <c r="N125" i="7"/>
  <c r="N409" i="7"/>
  <c r="N193" i="7"/>
  <c r="N446" i="7"/>
  <c r="N230" i="7"/>
  <c r="N387" i="7"/>
  <c r="N171" i="7"/>
  <c r="N412" i="7"/>
  <c r="N121" i="7"/>
  <c r="O294" i="7"/>
  <c r="N402" i="7"/>
  <c r="O57" i="7"/>
  <c r="N473" i="7"/>
  <c r="O544" i="7"/>
  <c r="N613" i="7"/>
  <c r="N551" i="7"/>
  <c r="N623" i="7"/>
  <c r="O392" i="7"/>
  <c r="O527" i="7"/>
  <c r="O599" i="7"/>
  <c r="N501" i="7"/>
  <c r="N573" i="7"/>
  <c r="N319" i="7"/>
  <c r="O513" i="7"/>
  <c r="O585" i="7"/>
  <c r="O429" i="7"/>
  <c r="O357" i="7"/>
  <c r="O285" i="7"/>
  <c r="O213" i="7"/>
  <c r="O141" i="7"/>
  <c r="O466" i="7"/>
  <c r="O394" i="7"/>
  <c r="N297" i="7"/>
  <c r="O178" i="7"/>
  <c r="N90" i="7"/>
  <c r="N454" i="7"/>
  <c r="N310" i="7"/>
  <c r="O99" i="7"/>
  <c r="O348" i="7"/>
  <c r="N135" i="7"/>
  <c r="O301" i="7"/>
  <c r="O100" i="7"/>
  <c r="O374" i="7"/>
  <c r="O158" i="7"/>
  <c r="O411" i="7"/>
  <c r="O195" i="7"/>
  <c r="O352" i="7"/>
  <c r="O137" i="7"/>
  <c r="O401" i="7"/>
  <c r="O115" i="7"/>
  <c r="N293" i="7"/>
  <c r="O391" i="7"/>
  <c r="O53" i="7"/>
  <c r="O474" i="7"/>
  <c r="N555" i="7"/>
  <c r="O614" i="7"/>
  <c r="O564" i="7"/>
  <c r="N451" i="7"/>
  <c r="N538" i="7"/>
  <c r="N610" i="7"/>
  <c r="O502" i="7"/>
  <c r="O574" i="7"/>
  <c r="O332" i="7"/>
  <c r="N524" i="7"/>
  <c r="N596" i="7"/>
  <c r="N428" i="7"/>
  <c r="N356" i="7"/>
  <c r="N284" i="7"/>
  <c r="N212" i="7"/>
  <c r="N140" i="7"/>
  <c r="N465" i="7"/>
  <c r="N393" i="7"/>
  <c r="N285" i="7"/>
  <c r="N177" i="7"/>
  <c r="O82" i="7"/>
  <c r="O443" i="7"/>
  <c r="O299" i="7"/>
  <c r="N86" i="7"/>
  <c r="N347" i="7"/>
  <c r="O129" i="7"/>
  <c r="N300" i="7"/>
  <c r="N95" i="7"/>
  <c r="N373" i="7"/>
  <c r="N157" i="7"/>
  <c r="N410" i="7"/>
  <c r="N194" i="7"/>
  <c r="N351" i="7"/>
  <c r="N131" i="7"/>
  <c r="N376" i="7"/>
  <c r="N76" i="7"/>
  <c r="O258" i="7"/>
  <c r="N366" i="7"/>
  <c r="N475" i="7"/>
  <c r="N545" i="7"/>
  <c r="O579" i="7"/>
  <c r="N439" i="7"/>
  <c r="O464" i="7"/>
  <c r="O539" i="7"/>
  <c r="O611" i="7"/>
  <c r="N513" i="7"/>
  <c r="N585" i="7"/>
  <c r="N391" i="7"/>
  <c r="O525" i="7"/>
  <c r="O597" i="7"/>
  <c r="O417" i="7"/>
  <c r="O345" i="7"/>
  <c r="O273" i="7"/>
  <c r="O201" i="7"/>
  <c r="O134" i="7"/>
  <c r="O454" i="7"/>
  <c r="O382" i="7"/>
  <c r="O274" i="7"/>
  <c r="O166" i="7"/>
  <c r="O78" i="7"/>
  <c r="O419" i="7"/>
  <c r="O275" i="7"/>
  <c r="N66" i="7"/>
  <c r="O312" i="7"/>
  <c r="O95" i="7"/>
  <c r="O265" i="7"/>
  <c r="O75" i="7"/>
  <c r="O338" i="7"/>
  <c r="O120" i="7"/>
  <c r="O375" i="7"/>
  <c r="O159" i="7"/>
  <c r="O316" i="7"/>
  <c r="O105" i="7"/>
  <c r="N340" i="7"/>
  <c r="N52" i="7"/>
  <c r="O222" i="7"/>
  <c r="N330" i="7"/>
  <c r="O476" i="7"/>
  <c r="O546" i="7"/>
  <c r="N33" i="7"/>
  <c r="O452" i="7"/>
  <c r="N478" i="7"/>
  <c r="N550" i="7"/>
  <c r="O610" i="7"/>
  <c r="O514" i="7"/>
  <c r="O586" i="7"/>
  <c r="O404" i="7"/>
  <c r="N536" i="7"/>
  <c r="N608" i="7"/>
  <c r="N416" i="7"/>
  <c r="N344" i="7"/>
  <c r="N272" i="7"/>
  <c r="N200" i="7"/>
  <c r="N133" i="7"/>
  <c r="N453" i="7"/>
  <c r="N381" i="7"/>
  <c r="O262" i="7"/>
  <c r="N165" i="7"/>
  <c r="O70" i="7"/>
  <c r="N418" i="7"/>
  <c r="N274" i="7"/>
  <c r="N62" i="7"/>
  <c r="N311" i="7"/>
  <c r="O91" i="7"/>
  <c r="N264" i="7"/>
  <c r="O71" i="7"/>
  <c r="N337" i="7"/>
  <c r="N119" i="7"/>
  <c r="N374" i="7"/>
  <c r="N158" i="7"/>
  <c r="N315" i="7"/>
  <c r="O101" i="7"/>
  <c r="O329" i="7"/>
  <c r="N48" i="7"/>
  <c r="N221" i="7"/>
  <c r="O319" i="7"/>
  <c r="N547" i="7"/>
  <c r="O133" i="7"/>
  <c r="O440" i="7"/>
  <c r="N599" i="7"/>
  <c r="O528" i="7"/>
  <c r="N563" i="7"/>
  <c r="N539" i="7"/>
  <c r="O577" i="7"/>
  <c r="O505" i="7"/>
  <c r="O236" i="7"/>
  <c r="O578" i="7"/>
  <c r="O506" i="7"/>
  <c r="N590" i="7"/>
  <c r="O507" i="7"/>
  <c r="N283" i="7"/>
  <c r="N591" i="7"/>
  <c r="N519" i="7"/>
  <c r="O593" i="7"/>
  <c r="O521" i="7"/>
  <c r="O356" i="7"/>
  <c r="O582" i="7"/>
  <c r="O510" i="7"/>
  <c r="N606" i="7"/>
  <c r="N534" i="7"/>
  <c r="N403" i="7"/>
  <c r="O584" i="7"/>
  <c r="O512" i="7"/>
  <c r="O29" i="7"/>
  <c r="O77" i="7"/>
  <c r="O139" i="7"/>
  <c r="O211" i="7"/>
  <c r="O283" i="7"/>
  <c r="O355" i="7"/>
  <c r="O427" i="7"/>
  <c r="O110" i="7"/>
  <c r="N185" i="7"/>
  <c r="N257" i="7"/>
  <c r="N329" i="7"/>
  <c r="N401" i="7"/>
  <c r="N24" i="7"/>
  <c r="N72" i="7"/>
  <c r="O149" i="7"/>
  <c r="O221" i="7"/>
  <c r="O293" i="7"/>
  <c r="O365" i="7"/>
  <c r="O437" i="7"/>
  <c r="N515" i="7"/>
  <c r="O504" i="7"/>
  <c r="O480" i="7"/>
  <c r="N576" i="7"/>
  <c r="N504" i="7"/>
  <c r="N223" i="7"/>
  <c r="N577" i="7"/>
  <c r="N505" i="7"/>
  <c r="N578" i="7"/>
  <c r="N506" i="7"/>
  <c r="O224" i="7"/>
  <c r="O580" i="7"/>
  <c r="O508" i="7"/>
  <c r="N592" i="7"/>
  <c r="N520" i="7"/>
  <c r="N343" i="7"/>
  <c r="N581" i="7"/>
  <c r="N509" i="7"/>
  <c r="O595" i="7"/>
  <c r="O523" i="7"/>
  <c r="O344" i="7"/>
  <c r="N583" i="7"/>
  <c r="N511" i="7"/>
  <c r="O33" i="7"/>
  <c r="O81" i="7"/>
  <c r="N150" i="7"/>
  <c r="N222" i="7"/>
  <c r="O469" i="7"/>
  <c r="N491" i="7"/>
  <c r="O565" i="7"/>
  <c r="O493" i="7"/>
  <c r="O164" i="7"/>
  <c r="O566" i="7"/>
  <c r="O494" i="7"/>
  <c r="O567" i="7"/>
  <c r="O495" i="7"/>
  <c r="N211" i="7"/>
  <c r="N579" i="7"/>
  <c r="N507" i="7"/>
  <c r="O581" i="7"/>
  <c r="O509" i="7"/>
  <c r="O284" i="7"/>
  <c r="O570" i="7"/>
  <c r="O498" i="7"/>
  <c r="N594" i="7"/>
  <c r="N522" i="7"/>
  <c r="N331" i="7"/>
  <c r="O572" i="7"/>
  <c r="O500" i="7"/>
  <c r="O37" i="7"/>
  <c r="O85" i="7"/>
  <c r="O151" i="7"/>
  <c r="O223" i="7"/>
  <c r="O295" i="7"/>
  <c r="O367" i="7"/>
  <c r="O439" i="7"/>
  <c r="O122" i="7"/>
  <c r="N197" i="7"/>
  <c r="N269" i="7"/>
  <c r="N341" i="7"/>
  <c r="N413" i="7"/>
  <c r="N32" i="7"/>
  <c r="N80" i="7"/>
  <c r="O161" i="7"/>
  <c r="O233" i="7"/>
  <c r="O305" i="7"/>
  <c r="O377" i="7"/>
  <c r="O449" i="7"/>
  <c r="O60" i="7"/>
  <c r="N109" i="7"/>
  <c r="N183" i="7"/>
  <c r="N255" i="7"/>
  <c r="N327" i="7"/>
  <c r="N399" i="7"/>
  <c r="O88" i="7"/>
  <c r="N170" i="7"/>
  <c r="N242" i="7"/>
  <c r="N314" i="7"/>
  <c r="N386" i="7"/>
  <c r="N458" i="7"/>
  <c r="N59" i="7"/>
  <c r="N130" i="7"/>
  <c r="N205" i="7"/>
  <c r="N277" i="7"/>
  <c r="N349" i="7"/>
  <c r="N421" i="7"/>
  <c r="O31" i="7"/>
  <c r="O79" i="7"/>
  <c r="O130" i="7"/>
  <c r="N204" i="7"/>
  <c r="N276" i="7"/>
  <c r="N348" i="7"/>
  <c r="N420" i="7"/>
  <c r="N99" i="7"/>
  <c r="N179" i="7"/>
  <c r="N251" i="7"/>
  <c r="N323" i="7"/>
  <c r="N395" i="7"/>
  <c r="N467" i="7"/>
  <c r="N70" i="7"/>
  <c r="N142" i="7"/>
  <c r="N214" i="7"/>
  <c r="N286" i="7"/>
  <c r="N358" i="7"/>
  <c r="N430" i="7"/>
  <c r="O38" i="7"/>
  <c r="O86" i="7"/>
  <c r="O142" i="7"/>
  <c r="O214" i="7"/>
  <c r="O286" i="7"/>
  <c r="O358" i="7"/>
  <c r="N45" i="7"/>
  <c r="N564" i="7"/>
  <c r="N492" i="7"/>
  <c r="N151" i="7"/>
  <c r="N565" i="7"/>
  <c r="N493" i="7"/>
  <c r="N566" i="7"/>
  <c r="N494" i="7"/>
  <c r="O152" i="7"/>
  <c r="O568" i="7"/>
  <c r="O496" i="7"/>
  <c r="N580" i="7"/>
  <c r="N508" i="7"/>
  <c r="N271" i="7"/>
  <c r="N569" i="7"/>
  <c r="N497" i="7"/>
  <c r="O583" i="7"/>
  <c r="O511" i="7"/>
  <c r="O272" i="7"/>
  <c r="N571" i="7"/>
  <c r="N499" i="7"/>
  <c r="O41" i="7"/>
  <c r="N89" i="7"/>
  <c r="N162" i="7"/>
  <c r="N234" i="7"/>
  <c r="N306" i="7"/>
  <c r="N378" i="7"/>
  <c r="N450" i="7"/>
  <c r="O127" i="7"/>
  <c r="O198" i="7"/>
  <c r="O270" i="7"/>
  <c r="O342" i="7"/>
  <c r="O414" i="7"/>
  <c r="N36" i="7"/>
  <c r="N84" i="7"/>
  <c r="N172" i="7"/>
  <c r="N244" i="7"/>
  <c r="N316" i="7"/>
  <c r="N388" i="7"/>
  <c r="N460" i="7"/>
  <c r="O64" i="7"/>
  <c r="N114" i="7"/>
  <c r="O184" i="7"/>
  <c r="O256" i="7"/>
  <c r="O328" i="7"/>
  <c r="O400" i="7"/>
  <c r="O92" i="7"/>
  <c r="O171" i="7"/>
  <c r="O243" i="7"/>
  <c r="O315" i="7"/>
  <c r="O387" i="7"/>
  <c r="O459" i="7"/>
  <c r="N63" i="7"/>
  <c r="N136" i="7"/>
  <c r="O206" i="7"/>
  <c r="O278" i="7"/>
  <c r="O350" i="7"/>
  <c r="O422" i="7"/>
  <c r="O35" i="7"/>
  <c r="O83" i="7"/>
  <c r="O136" i="7"/>
  <c r="O205" i="7"/>
  <c r="O277" i="7"/>
  <c r="O349" i="7"/>
  <c r="O421" i="7"/>
  <c r="O108" i="7"/>
  <c r="O180" i="7"/>
  <c r="O252" i="7"/>
  <c r="O324" i="7"/>
  <c r="O396" i="7"/>
  <c r="N26" i="7"/>
  <c r="N74" i="7"/>
  <c r="O143" i="7"/>
  <c r="O215" i="7"/>
  <c r="O287" i="7"/>
  <c r="O359" i="7"/>
  <c r="O431" i="7"/>
  <c r="O42" i="7"/>
  <c r="O553" i="7"/>
  <c r="O481" i="7"/>
  <c r="N73" i="7"/>
  <c r="O554" i="7"/>
  <c r="O482" i="7"/>
  <c r="O555" i="7"/>
  <c r="O483" i="7"/>
  <c r="N139" i="7"/>
  <c r="N567" i="7"/>
  <c r="N495" i="7"/>
  <c r="O569" i="7"/>
  <c r="O497" i="7"/>
  <c r="O212" i="7"/>
  <c r="O558" i="7"/>
  <c r="O486" i="7"/>
  <c r="N582" i="7"/>
  <c r="N510" i="7"/>
  <c r="N259" i="7"/>
  <c r="O560" i="7"/>
  <c r="O488" i="7"/>
  <c r="O45" i="7"/>
  <c r="N93" i="7"/>
  <c r="O163" i="7"/>
  <c r="O235" i="7"/>
  <c r="O307" i="7"/>
  <c r="O379" i="7"/>
  <c r="O451" i="7"/>
  <c r="N132" i="7"/>
  <c r="N209" i="7"/>
  <c r="N281" i="7"/>
  <c r="N353" i="7"/>
  <c r="N425" i="7"/>
  <c r="N40" i="7"/>
  <c r="N101" i="7"/>
  <c r="O173" i="7"/>
  <c r="O245" i="7"/>
  <c r="O317" i="7"/>
  <c r="O389" i="7"/>
  <c r="O461" i="7"/>
  <c r="O68" i="7"/>
  <c r="O121" i="7"/>
  <c r="N195" i="7"/>
  <c r="N267" i="7"/>
  <c r="N339" i="7"/>
  <c r="N411" i="7"/>
  <c r="O96" i="7"/>
  <c r="N182" i="7"/>
  <c r="N254" i="7"/>
  <c r="N326" i="7"/>
  <c r="N398" i="7"/>
  <c r="N470" i="7"/>
  <c r="N67" i="7"/>
  <c r="N145" i="7"/>
  <c r="N217" i="7"/>
  <c r="N289" i="7"/>
  <c r="N361" i="7"/>
  <c r="N433" i="7"/>
  <c r="O39" i="7"/>
  <c r="N87" i="7"/>
  <c r="N144" i="7"/>
  <c r="N216" i="7"/>
  <c r="N288" i="7"/>
  <c r="N360" i="7"/>
  <c r="N432" i="7"/>
  <c r="N118" i="7"/>
  <c r="N191" i="7"/>
  <c r="N263" i="7"/>
  <c r="N335" i="7"/>
  <c r="N407" i="7"/>
  <c r="N30" i="7"/>
  <c r="N78" i="7"/>
  <c r="N154" i="7"/>
  <c r="N226" i="7"/>
  <c r="N298" i="7"/>
  <c r="N370" i="7"/>
  <c r="N442" i="7"/>
  <c r="O46" i="7"/>
  <c r="N94" i="7"/>
  <c r="O154" i="7"/>
  <c r="O226" i="7"/>
  <c r="O298" i="7"/>
  <c r="O370" i="7"/>
  <c r="N552" i="7"/>
  <c r="N480" i="7"/>
  <c r="N25" i="7"/>
  <c r="N553" i="7"/>
  <c r="N481" i="7"/>
  <c r="N554" i="7"/>
  <c r="N482" i="7"/>
  <c r="N81" i="7"/>
  <c r="O556" i="7"/>
  <c r="O484" i="7"/>
  <c r="N568" i="7"/>
  <c r="N496" i="7"/>
  <c r="N199" i="7"/>
  <c r="N557" i="7"/>
  <c r="N485" i="7"/>
  <c r="O571" i="7"/>
  <c r="O499" i="7"/>
  <c r="O200" i="7"/>
  <c r="N559" i="7"/>
  <c r="N487" i="7"/>
  <c r="O49" i="7"/>
  <c r="N97" i="7"/>
  <c r="N174" i="7"/>
  <c r="N246" i="7"/>
  <c r="N318" i="7"/>
  <c r="N390" i="7"/>
  <c r="N462" i="7"/>
  <c r="N138" i="7"/>
  <c r="O210" i="7"/>
  <c r="O282" i="7"/>
  <c r="O354" i="7"/>
  <c r="O426" i="7"/>
  <c r="N44" i="7"/>
  <c r="N105" i="7"/>
  <c r="N184" i="7"/>
  <c r="N256" i="7"/>
  <c r="N328" i="7"/>
  <c r="N400" i="7"/>
  <c r="O24" i="7"/>
  <c r="O72" i="7"/>
  <c r="N126" i="7"/>
  <c r="O196" i="7"/>
  <c r="O268" i="7"/>
  <c r="O340" i="7"/>
  <c r="O412" i="7"/>
  <c r="O109" i="7"/>
  <c r="O183" i="7"/>
  <c r="O255" i="7"/>
  <c r="O327" i="7"/>
  <c r="O399" i="7"/>
  <c r="N23" i="7"/>
  <c r="N71" i="7"/>
  <c r="O146" i="7"/>
  <c r="O218" i="7"/>
  <c r="O290" i="7"/>
  <c r="O362" i="7"/>
  <c r="O434" i="7"/>
  <c r="O43" i="7"/>
  <c r="N91" i="7"/>
  <c r="O145" i="7"/>
  <c r="O217" i="7"/>
  <c r="O289" i="7"/>
  <c r="O361" i="7"/>
  <c r="O433" i="7"/>
  <c r="O125" i="7"/>
  <c r="O192" i="7"/>
  <c r="O264" i="7"/>
  <c r="O336" i="7"/>
  <c r="O408" i="7"/>
  <c r="N34" i="7"/>
  <c r="N82" i="7"/>
  <c r="O155" i="7"/>
  <c r="O227" i="7"/>
  <c r="N527" i="7"/>
  <c r="O516" i="7"/>
  <c r="O492" i="7"/>
  <c r="O601" i="7"/>
  <c r="O529" i="7"/>
  <c r="O380" i="7"/>
  <c r="O602" i="7"/>
  <c r="O530" i="7"/>
  <c r="N53" i="7"/>
  <c r="O531" i="7"/>
  <c r="N427" i="7"/>
  <c r="N622" i="7"/>
  <c r="N543" i="7"/>
  <c r="N471" i="7"/>
  <c r="O545" i="7"/>
  <c r="O473" i="7"/>
  <c r="N41" i="7"/>
  <c r="O534" i="7"/>
  <c r="N69" i="7"/>
  <c r="N558" i="7"/>
  <c r="N486" i="7"/>
  <c r="N49" i="7"/>
  <c r="O536" i="7"/>
  <c r="N116" i="7"/>
  <c r="O61" i="7"/>
  <c r="N110" i="7"/>
  <c r="O187" i="7"/>
  <c r="O259" i="7"/>
  <c r="O331" i="7"/>
  <c r="O403" i="7"/>
  <c r="N21" i="7"/>
  <c r="N161" i="7"/>
  <c r="N233" i="7"/>
  <c r="N305" i="7"/>
  <c r="N377" i="7"/>
  <c r="N449" i="7"/>
  <c r="N56" i="7"/>
  <c r="O132" i="7"/>
  <c r="O197" i="7"/>
  <c r="O269" i="7"/>
  <c r="O341" i="7"/>
  <c r="O413" i="7"/>
  <c r="O36" i="7"/>
  <c r="O84" i="7"/>
  <c r="N147" i="7"/>
  <c r="N219" i="7"/>
  <c r="N291" i="7"/>
  <c r="N363" i="7"/>
  <c r="N435" i="7"/>
  <c r="O126" i="7"/>
  <c r="N206" i="7"/>
  <c r="N278" i="7"/>
  <c r="N350" i="7"/>
  <c r="N422" i="7"/>
  <c r="N35" i="7"/>
  <c r="N83" i="7"/>
  <c r="N169" i="7"/>
  <c r="N241" i="7"/>
  <c r="N313" i="7"/>
  <c r="N385" i="7"/>
  <c r="N457" i="7"/>
  <c r="O55" i="7"/>
  <c r="O104" i="7"/>
  <c r="N168" i="7"/>
  <c r="N240" i="7"/>
  <c r="N312" i="7"/>
  <c r="N384" i="7"/>
  <c r="N456" i="7"/>
  <c r="N143" i="7"/>
  <c r="N215" i="7"/>
  <c r="N287" i="7"/>
  <c r="N359" i="7"/>
  <c r="N431" i="7"/>
  <c r="N46" i="7"/>
  <c r="N103" i="7"/>
  <c r="N178" i="7"/>
  <c r="N250" i="7"/>
  <c r="O111" i="7"/>
  <c r="N503" i="7"/>
  <c r="N479" i="7"/>
  <c r="N600" i="7"/>
  <c r="N528" i="7"/>
  <c r="N367" i="7"/>
  <c r="N601" i="7"/>
  <c r="N529" i="7"/>
  <c r="O603" i="7"/>
  <c r="N530" i="7"/>
  <c r="O368" i="7"/>
  <c r="O604" i="7"/>
  <c r="O532" i="7"/>
  <c r="N61" i="7"/>
  <c r="N544" i="7"/>
  <c r="N472" i="7"/>
  <c r="N605" i="7"/>
  <c r="N533" i="7"/>
  <c r="N614" i="7"/>
  <c r="O547" i="7"/>
  <c r="O475" i="7"/>
  <c r="O608" i="7"/>
  <c r="N535" i="7"/>
  <c r="N77" i="7"/>
  <c r="O65" i="7"/>
  <c r="O116" i="7"/>
  <c r="N198" i="7"/>
  <c r="N270" i="7"/>
  <c r="N342" i="7"/>
  <c r="N414" i="7"/>
  <c r="O89" i="7"/>
  <c r="O162" i="7"/>
  <c r="O234" i="7"/>
  <c r="O306" i="7"/>
  <c r="O378" i="7"/>
  <c r="O450" i="7"/>
  <c r="N60" i="7"/>
  <c r="N137" i="7"/>
  <c r="N208" i="7"/>
  <c r="N280" i="7"/>
  <c r="N352" i="7"/>
  <c r="N424" i="7"/>
  <c r="O40" i="7"/>
  <c r="N88" i="7"/>
  <c r="O148" i="7"/>
  <c r="O220" i="7"/>
  <c r="O292" i="7"/>
  <c r="O364" i="7"/>
  <c r="O436" i="7"/>
  <c r="O131" i="7"/>
  <c r="O207" i="7"/>
  <c r="O279" i="7"/>
  <c r="O351" i="7"/>
  <c r="O423" i="7"/>
  <c r="N39" i="7"/>
  <c r="N100" i="7"/>
  <c r="O170" i="7"/>
  <c r="O242" i="7"/>
  <c r="O314" i="7"/>
  <c r="O386" i="7"/>
  <c r="O458" i="7"/>
  <c r="O59" i="7"/>
  <c r="N108" i="7"/>
  <c r="O169" i="7"/>
  <c r="O241" i="7"/>
  <c r="O313" i="7"/>
  <c r="O385" i="7"/>
  <c r="O457" i="7"/>
  <c r="O144" i="7"/>
  <c r="O216" i="7"/>
  <c r="O288" i="7"/>
  <c r="O360" i="7"/>
  <c r="O432" i="7"/>
  <c r="N50" i="7"/>
  <c r="N112" i="7"/>
  <c r="O179" i="7"/>
  <c r="O251" i="7"/>
  <c r="O323" i="7"/>
  <c r="O395" i="7"/>
  <c r="O467" i="7"/>
  <c r="O66" i="7"/>
  <c r="O117" i="7"/>
  <c r="N189" i="7"/>
  <c r="N261" i="7"/>
  <c r="N333" i="7"/>
  <c r="O612" i="7"/>
  <c r="O600" i="7"/>
  <c r="N611" i="7"/>
  <c r="O589" i="7"/>
  <c r="O517" i="7"/>
  <c r="O308" i="7"/>
  <c r="O590" i="7"/>
  <c r="O518" i="7"/>
  <c r="N602" i="7"/>
  <c r="O519" i="7"/>
  <c r="N355" i="7"/>
  <c r="N603" i="7"/>
  <c r="N531" i="7"/>
  <c r="O605" i="7"/>
  <c r="O533" i="7"/>
  <c r="O428" i="7"/>
  <c r="O594" i="7"/>
  <c r="O522" i="7"/>
  <c r="O606" i="7"/>
  <c r="N546" i="7"/>
  <c r="N474" i="7"/>
  <c r="N607" i="7"/>
  <c r="O524" i="7"/>
  <c r="N17" i="7"/>
  <c r="O69" i="7"/>
  <c r="N122" i="7"/>
  <c r="O199" i="7"/>
  <c r="O271" i="7"/>
  <c r="O343" i="7"/>
  <c r="O415" i="7"/>
  <c r="O93" i="7"/>
  <c r="N173" i="7"/>
  <c r="N245" i="7"/>
  <c r="N317" i="7"/>
  <c r="N389" i="7"/>
  <c r="N461" i="7"/>
  <c r="N64" i="7"/>
  <c r="O138" i="7"/>
  <c r="O209" i="7"/>
  <c r="O281" i="7"/>
  <c r="O353" i="7"/>
  <c r="O425" i="7"/>
  <c r="O44" i="7"/>
  <c r="N92" i="7"/>
  <c r="N159" i="7"/>
  <c r="N231" i="7"/>
  <c r="N303" i="7"/>
  <c r="N375" i="7"/>
  <c r="N447" i="7"/>
  <c r="N146" i="7"/>
  <c r="N218" i="7"/>
  <c r="N290" i="7"/>
  <c r="N362" i="7"/>
  <c r="N434" i="7"/>
  <c r="N43" i="7"/>
  <c r="N104" i="7"/>
  <c r="N181" i="7"/>
  <c r="N253" i="7"/>
  <c r="N325" i="7"/>
  <c r="N397" i="7"/>
  <c r="N469" i="7"/>
  <c r="O63" i="7"/>
  <c r="O113" i="7"/>
  <c r="N180" i="7"/>
  <c r="N252" i="7"/>
  <c r="N324" i="7"/>
  <c r="N396" i="7"/>
  <c r="N468" i="7"/>
  <c r="N155" i="7"/>
  <c r="N227" i="7"/>
  <c r="N299" i="7"/>
  <c r="N371" i="7"/>
  <c r="N443" i="7"/>
  <c r="N54" i="7"/>
  <c r="N117" i="7"/>
  <c r="N190" i="7"/>
  <c r="N262" i="7"/>
  <c r="N334" i="7"/>
  <c r="N406" i="7"/>
  <c r="N22" i="7"/>
  <c r="N587" i="7"/>
  <c r="O576" i="7"/>
  <c r="O552" i="7"/>
  <c r="N588" i="7"/>
  <c r="N516" i="7"/>
  <c r="N295" i="7"/>
  <c r="N589" i="7"/>
  <c r="N517" i="7"/>
  <c r="O591" i="7"/>
  <c r="N518" i="7"/>
  <c r="O296" i="7"/>
  <c r="O592" i="7"/>
  <c r="O520" i="7"/>
  <c r="N604" i="7"/>
  <c r="N532" i="7"/>
  <c r="N415" i="7"/>
  <c r="N593" i="7"/>
  <c r="N521" i="7"/>
  <c r="O607" i="7"/>
  <c r="O535" i="7"/>
  <c r="O416" i="7"/>
  <c r="N595" i="7"/>
  <c r="N523" i="7"/>
  <c r="O25" i="7"/>
  <c r="O73" i="7"/>
  <c r="N127" i="7"/>
  <c r="N210" i="7"/>
  <c r="N282" i="7"/>
  <c r="N354" i="7"/>
  <c r="N426" i="7"/>
  <c r="O97" i="7"/>
  <c r="O174" i="7"/>
  <c r="O246" i="7"/>
  <c r="O318" i="7"/>
  <c r="O390" i="7"/>
  <c r="O462" i="7"/>
  <c r="N68" i="7"/>
  <c r="N148" i="7"/>
  <c r="N220" i="7"/>
  <c r="N292" i="7"/>
  <c r="N364" i="7"/>
  <c r="N436" i="7"/>
  <c r="O48" i="7"/>
  <c r="N96" i="7"/>
  <c r="O160" i="7"/>
  <c r="O232" i="7"/>
  <c r="O304" i="7"/>
  <c r="O376" i="7"/>
  <c r="O448" i="7"/>
  <c r="O147" i="7"/>
  <c r="O219" i="7"/>
  <c r="O291" i="7"/>
  <c r="O363" i="7"/>
  <c r="O435" i="7"/>
  <c r="N47" i="7"/>
  <c r="N113" i="7"/>
  <c r="O182" i="7"/>
  <c r="O254" i="7"/>
  <c r="O326" i="7"/>
  <c r="O398" i="7"/>
  <c r="O20" i="7"/>
  <c r="O67" i="7"/>
  <c r="O119" i="7"/>
  <c r="O181" i="7"/>
  <c r="O253" i="7"/>
  <c r="O325" i="7"/>
  <c r="O397" i="7"/>
  <c r="O87" i="7"/>
  <c r="O156" i="7"/>
  <c r="O228" i="7"/>
  <c r="O300" i="7"/>
  <c r="O372" i="7"/>
  <c r="O444" i="7"/>
  <c r="N58" i="7"/>
  <c r="O118" i="7"/>
  <c r="O191" i="7"/>
  <c r="O263" i="7"/>
  <c r="O335" i="7"/>
  <c r="O407" i="7"/>
  <c r="O26" i="7"/>
  <c r="O74" i="7"/>
  <c r="N128" i="7"/>
  <c r="N201" i="7"/>
  <c r="N273" i="7"/>
  <c r="N345" i="7"/>
  <c r="K29" i="5"/>
  <c r="K10" i="5"/>
  <c r="G92" i="5"/>
  <c r="N29" i="7"/>
  <c r="O540" i="7"/>
  <c r="G61" i="5"/>
  <c r="G50" i="5"/>
  <c r="N7" i="5"/>
  <c r="L215" i="5"/>
  <c r="K240" i="5"/>
  <c r="G623" i="7"/>
  <c r="G19" i="7"/>
  <c r="Z19" i="7" s="1"/>
  <c r="AA19" i="7" s="1"/>
  <c r="F623" i="7"/>
  <c r="G15" i="7"/>
  <c r="Z15" i="7" s="1"/>
  <c r="AA15" i="7" s="1"/>
  <c r="G22" i="7"/>
  <c r="Z22" i="7" s="1"/>
  <c r="AA22" i="7" s="1"/>
  <c r="G18" i="7"/>
  <c r="Z18" i="7" s="1"/>
  <c r="AA18" i="7" s="1"/>
  <c r="G14" i="7"/>
  <c r="F18" i="7"/>
  <c r="Y14" i="7"/>
  <c r="K32" i="5"/>
  <c r="N41" i="5"/>
  <c r="L124" i="5"/>
  <c r="L210" i="5"/>
  <c r="K24" i="5"/>
  <c r="N17" i="5"/>
  <c r="L300" i="5"/>
  <c r="K33" i="5"/>
  <c r="K25" i="5"/>
  <c r="L91" i="5"/>
  <c r="N45" i="5"/>
  <c r="L96" i="5"/>
  <c r="L100" i="5"/>
  <c r="K21" i="5"/>
  <c r="K5" i="5"/>
  <c r="N42" i="5"/>
  <c r="L125" i="5"/>
  <c r="K8" i="5"/>
  <c r="K46" i="5"/>
  <c r="N40" i="5"/>
  <c r="N18" i="5"/>
  <c r="K18" i="5"/>
  <c r="N62" i="5"/>
  <c r="L278" i="5"/>
  <c r="L53" i="5"/>
  <c r="L66" i="5"/>
  <c r="N46" i="5"/>
  <c r="K26" i="5"/>
  <c r="N55" i="5"/>
  <c r="L295" i="5"/>
  <c r="N32" i="5"/>
  <c r="K283" i="5"/>
  <c r="K11" i="5"/>
  <c r="N12" i="5"/>
  <c r="L110" i="5"/>
  <c r="N15" i="5"/>
  <c r="L219" i="5"/>
  <c r="L252" i="5"/>
  <c r="G80" i="5"/>
  <c r="I80" i="5"/>
  <c r="F25" i="7"/>
  <c r="G26" i="7"/>
  <c r="F37" i="7"/>
  <c r="G38" i="7"/>
  <c r="Z38" i="7" s="1"/>
  <c r="AA38" i="7" s="1"/>
  <c r="F49" i="7"/>
  <c r="G50" i="7"/>
  <c r="Z50" i="7" s="1"/>
  <c r="AA50" i="7" s="1"/>
  <c r="F61" i="7"/>
  <c r="G62" i="7"/>
  <c r="F73" i="7"/>
  <c r="Y73" i="7" s="1"/>
  <c r="G74" i="7"/>
  <c r="F85" i="7"/>
  <c r="G86" i="7"/>
  <c r="F99" i="7"/>
  <c r="F100" i="7"/>
  <c r="F101" i="7"/>
  <c r="G102" i="7"/>
  <c r="F129" i="7"/>
  <c r="Y129" i="7" s="1"/>
  <c r="G130" i="7"/>
  <c r="F134" i="7"/>
  <c r="F138" i="7"/>
  <c r="G149" i="7"/>
  <c r="Z149" i="7" s="1"/>
  <c r="AA149" i="7" s="1"/>
  <c r="F150" i="7"/>
  <c r="G161" i="7"/>
  <c r="F162" i="7"/>
  <c r="G171" i="7"/>
  <c r="Z171" i="7" s="1"/>
  <c r="AA171" i="7" s="1"/>
  <c r="F172" i="7"/>
  <c r="F181" i="7"/>
  <c r="G190" i="7"/>
  <c r="Z190" i="7" s="1"/>
  <c r="AA190" i="7" s="1"/>
  <c r="G199" i="7"/>
  <c r="F200" i="7"/>
  <c r="G208" i="7"/>
  <c r="Z208" i="7" s="1"/>
  <c r="AA208" i="7" s="1"/>
  <c r="F209" i="7"/>
  <c r="Y209" i="7" s="1"/>
  <c r="G217" i="7"/>
  <c r="Z217" i="7" s="1"/>
  <c r="AA217" i="7" s="1"/>
  <c r="F218" i="7"/>
  <c r="G226" i="7"/>
  <c r="F227" i="7"/>
  <c r="G237" i="7"/>
  <c r="Z237" i="7" s="1"/>
  <c r="AA237" i="7" s="1"/>
  <c r="F238" i="7"/>
  <c r="Y238" i="7" s="1"/>
  <c r="F247" i="7"/>
  <c r="Y247" i="7" s="1"/>
  <c r="G256" i="7"/>
  <c r="F257" i="7"/>
  <c r="Y257" i="7" s="1"/>
  <c r="G267" i="7"/>
  <c r="Z267" i="7" s="1"/>
  <c r="AA267" i="7" s="1"/>
  <c r="F268" i="7"/>
  <c r="Y268" i="7" s="1"/>
  <c r="G279" i="7"/>
  <c r="G290" i="7"/>
  <c r="Z290" i="7" s="1"/>
  <c r="AA290" i="7" s="1"/>
  <c r="F291" i="7"/>
  <c r="G301" i="7"/>
  <c r="Z301" i="7" s="1"/>
  <c r="AA301" i="7" s="1"/>
  <c r="F302" i="7"/>
  <c r="Y302" i="7" s="1"/>
  <c r="G313" i="7"/>
  <c r="F15" i="7"/>
  <c r="F17" i="7"/>
  <c r="F24" i="7"/>
  <c r="Y24" i="7" s="1"/>
  <c r="G25" i="7"/>
  <c r="F36" i="7"/>
  <c r="Y36" i="7" s="1"/>
  <c r="G37" i="7"/>
  <c r="Z37" i="7" s="1"/>
  <c r="AA37" i="7" s="1"/>
  <c r="F48" i="7"/>
  <c r="Y48" i="7" s="1"/>
  <c r="G49" i="7"/>
  <c r="Z49" i="7" s="1"/>
  <c r="AA49" i="7" s="1"/>
  <c r="F60" i="7"/>
  <c r="G61" i="7"/>
  <c r="Z61" i="7" s="1"/>
  <c r="AA61" i="7" s="1"/>
  <c r="F72" i="7"/>
  <c r="G73" i="7"/>
  <c r="Z73" i="7" s="1"/>
  <c r="AA73" i="7" s="1"/>
  <c r="F84" i="7"/>
  <c r="G85" i="7"/>
  <c r="F98" i="7"/>
  <c r="Y98" i="7" s="1"/>
  <c r="G99" i="7"/>
  <c r="Z99" i="7" s="1"/>
  <c r="AA99" i="7" s="1"/>
  <c r="G100" i="7"/>
  <c r="Z100" i="7" s="1"/>
  <c r="AA100" i="7" s="1"/>
  <c r="G101" i="7"/>
  <c r="Z101" i="7" s="1"/>
  <c r="AA101" i="7" s="1"/>
  <c r="F118" i="7"/>
  <c r="Y118" i="7" s="1"/>
  <c r="F128" i="7"/>
  <c r="Y128" i="7" s="1"/>
  <c r="G129" i="7"/>
  <c r="F131" i="7"/>
  <c r="Y131" i="7" s="1"/>
  <c r="F132" i="7"/>
  <c r="Y132" i="7" s="1"/>
  <c r="F133" i="7"/>
  <c r="Y133" i="7" s="1"/>
  <c r="G134" i="7"/>
  <c r="Z134" i="7" s="1"/>
  <c r="AA134" i="7" s="1"/>
  <c r="F135" i="7"/>
  <c r="Y135" i="7" s="1"/>
  <c r="F136" i="7"/>
  <c r="Y136" i="7" s="1"/>
  <c r="F137" i="7"/>
  <c r="Y137" i="7" s="1"/>
  <c r="G138" i="7"/>
  <c r="Z138" i="7" s="1"/>
  <c r="AA138" i="7" s="1"/>
  <c r="F139" i="7"/>
  <c r="F140" i="7"/>
  <c r="Y140" i="7" s="1"/>
  <c r="G150" i="7"/>
  <c r="Z150" i="7" s="1"/>
  <c r="AA150" i="7" s="1"/>
  <c r="F151" i="7"/>
  <c r="G162" i="7"/>
  <c r="Z162" i="7" s="1"/>
  <c r="AA162" i="7" s="1"/>
  <c r="F163" i="7"/>
  <c r="Y163" i="7" s="1"/>
  <c r="G172" i="7"/>
  <c r="Z172" i="7" s="1"/>
  <c r="AA172" i="7" s="1"/>
  <c r="G181" i="7"/>
  <c r="F182" i="7"/>
  <c r="Y182" i="7" s="1"/>
  <c r="F191" i="7"/>
  <c r="G200" i="7"/>
  <c r="F201" i="7"/>
  <c r="G209" i="7"/>
  <c r="Z209" i="7" s="1"/>
  <c r="AA209" i="7" s="1"/>
  <c r="F210" i="7"/>
  <c r="G218" i="7"/>
  <c r="Z218" i="7" s="1"/>
  <c r="AA218" i="7" s="1"/>
  <c r="G227" i="7"/>
  <c r="Z227" i="7" s="1"/>
  <c r="AA227" i="7" s="1"/>
  <c r="F228" i="7"/>
  <c r="Y228" i="7" s="1"/>
  <c r="G238" i="7"/>
  <c r="Z238" i="7" s="1"/>
  <c r="AA238" i="7" s="1"/>
  <c r="F239" i="7"/>
  <c r="Y239" i="7" s="1"/>
  <c r="G247" i="7"/>
  <c r="Z247" i="7" s="1"/>
  <c r="AA247" i="7" s="1"/>
  <c r="F248" i="7"/>
  <c r="Y248" i="7" s="1"/>
  <c r="G257" i="7"/>
  <c r="Z257" i="7" s="1"/>
  <c r="AA257" i="7" s="1"/>
  <c r="F258" i="7"/>
  <c r="G268" i="7"/>
  <c r="F269" i="7"/>
  <c r="F280" i="7"/>
  <c r="G291" i="7"/>
  <c r="Z291" i="7" s="1"/>
  <c r="AA291" i="7" s="1"/>
  <c r="F292" i="7"/>
  <c r="G302" i="7"/>
  <c r="F303" i="7"/>
  <c r="F314" i="7"/>
  <c r="Y314" i="7" s="1"/>
  <c r="G17" i="7"/>
  <c r="F23" i="7"/>
  <c r="Y23" i="7" s="1"/>
  <c r="G24" i="7"/>
  <c r="Z24" i="7" s="1"/>
  <c r="AA24" i="7" s="1"/>
  <c r="F35" i="7"/>
  <c r="Y35" i="7" s="1"/>
  <c r="G36" i="7"/>
  <c r="F47" i="7"/>
  <c r="Y47" i="7" s="1"/>
  <c r="G48" i="7"/>
  <c r="F59" i="7"/>
  <c r="Y59" i="7" s="1"/>
  <c r="G60" i="7"/>
  <c r="Z60" i="7" s="1"/>
  <c r="AA60" i="7" s="1"/>
  <c r="F71" i="7"/>
  <c r="G72" i="7"/>
  <c r="F83" i="7"/>
  <c r="Y83" i="7" s="1"/>
  <c r="G84" i="7"/>
  <c r="Z84" i="7" s="1"/>
  <c r="AA84" i="7" s="1"/>
  <c r="F97" i="7"/>
  <c r="G98" i="7"/>
  <c r="Z98" i="7" s="1"/>
  <c r="AA98" i="7" s="1"/>
  <c r="F114" i="7"/>
  <c r="Y114" i="7" s="1"/>
  <c r="F115" i="7"/>
  <c r="Y115" i="7" s="1"/>
  <c r="F116" i="7"/>
  <c r="Y116" i="7" s="1"/>
  <c r="F117" i="7"/>
  <c r="G118" i="7"/>
  <c r="Z118" i="7" s="1"/>
  <c r="AA118" i="7" s="1"/>
  <c r="F119" i="7"/>
  <c r="Y119" i="7" s="1"/>
  <c r="F120" i="7"/>
  <c r="Y120" i="7" s="1"/>
  <c r="F127" i="7"/>
  <c r="G128" i="7"/>
  <c r="Z128" i="7" s="1"/>
  <c r="AA128" i="7" s="1"/>
  <c r="G131" i="7"/>
  <c r="G132" i="7"/>
  <c r="Z132" i="7" s="1"/>
  <c r="AA132" i="7" s="1"/>
  <c r="G133" i="7"/>
  <c r="Z133" i="7" s="1"/>
  <c r="AA133" i="7" s="1"/>
  <c r="G135" i="7"/>
  <c r="Z135" i="7" s="1"/>
  <c r="AA135" i="7" s="1"/>
  <c r="G136" i="7"/>
  <c r="Z136" i="7" s="1"/>
  <c r="AA136" i="7" s="1"/>
  <c r="G137" i="7"/>
  <c r="Z137" i="7" s="1"/>
  <c r="AA137" i="7" s="1"/>
  <c r="G139" i="7"/>
  <c r="Z139" i="7" s="1"/>
  <c r="AA139" i="7" s="1"/>
  <c r="G140" i="7"/>
  <c r="Z140" i="7" s="1"/>
  <c r="AA140" i="7" s="1"/>
  <c r="F141" i="7"/>
  <c r="Y141" i="7" s="1"/>
  <c r="G151" i="7"/>
  <c r="F152" i="7"/>
  <c r="Y152" i="7" s="1"/>
  <c r="G163" i="7"/>
  <c r="Z163" i="7" s="1"/>
  <c r="AA163" i="7" s="1"/>
  <c r="F164" i="7"/>
  <c r="Y164" i="7" s="1"/>
  <c r="F173" i="7"/>
  <c r="Y173" i="7" s="1"/>
  <c r="G182" i="7"/>
  <c r="G191" i="7"/>
  <c r="F192" i="7"/>
  <c r="Y192" i="7" s="1"/>
  <c r="G201" i="7"/>
  <c r="Z201" i="7" s="1"/>
  <c r="AA201" i="7" s="1"/>
  <c r="F202" i="7"/>
  <c r="Y202" i="7" s="1"/>
  <c r="G210" i="7"/>
  <c r="Z210" i="7" s="1"/>
  <c r="AA210" i="7" s="1"/>
  <c r="F219" i="7"/>
  <c r="G228" i="7"/>
  <c r="F229" i="7"/>
  <c r="Y229" i="7" s="1"/>
  <c r="G239" i="7"/>
  <c r="Z239" i="7" s="1"/>
  <c r="AA239" i="7" s="1"/>
  <c r="F240" i="7"/>
  <c r="G248" i="7"/>
  <c r="Z248" i="7" s="1"/>
  <c r="AA248" i="7" s="1"/>
  <c r="G258" i="7"/>
  <c r="F259" i="7"/>
  <c r="Y259" i="7" s="1"/>
  <c r="G269" i="7"/>
  <c r="Z269" i="7" s="1"/>
  <c r="AA269" i="7" s="1"/>
  <c r="F270" i="7"/>
  <c r="Y270" i="7" s="1"/>
  <c r="G280" i="7"/>
  <c r="Z280" i="7" s="1"/>
  <c r="AA280" i="7" s="1"/>
  <c r="F281" i="7"/>
  <c r="Y281" i="7" s="1"/>
  <c r="G292" i="7"/>
  <c r="Z292" i="7" s="1"/>
  <c r="AA292" i="7" s="1"/>
  <c r="F293" i="7"/>
  <c r="G303" i="7"/>
  <c r="Z303" i="7" s="1"/>
  <c r="AA303" i="7" s="1"/>
  <c r="F304" i="7"/>
  <c r="Y304" i="7" s="1"/>
  <c r="G314" i="7"/>
  <c r="Z314" i="7" s="1"/>
  <c r="AA314" i="7" s="1"/>
  <c r="F315" i="7"/>
  <c r="Y315" i="7" s="1"/>
  <c r="F19" i="7"/>
  <c r="Y19" i="7" s="1"/>
  <c r="G23" i="7"/>
  <c r="Z23" i="7" s="1"/>
  <c r="AA23" i="7" s="1"/>
  <c r="F34" i="7"/>
  <c r="G35" i="7"/>
  <c r="Z35" i="7" s="1"/>
  <c r="AA35" i="7" s="1"/>
  <c r="F46" i="7"/>
  <c r="G47" i="7"/>
  <c r="Z47" i="7" s="1"/>
  <c r="AA47" i="7" s="1"/>
  <c r="F58" i="7"/>
  <c r="Y58" i="7" s="1"/>
  <c r="G59" i="7"/>
  <c r="F70" i="7"/>
  <c r="Y70" i="7" s="1"/>
  <c r="G71" i="7"/>
  <c r="Z71" i="7" s="1"/>
  <c r="AA71" i="7" s="1"/>
  <c r="F82" i="7"/>
  <c r="Y82" i="7" s="1"/>
  <c r="G83" i="7"/>
  <c r="F96" i="7"/>
  <c r="Y96" i="7" s="1"/>
  <c r="G97" i="7"/>
  <c r="F111" i="7"/>
  <c r="F112" i="7"/>
  <c r="Y112" i="7" s="1"/>
  <c r="F113" i="7"/>
  <c r="Y113" i="7" s="1"/>
  <c r="G114" i="7"/>
  <c r="Z114" i="7" s="1"/>
  <c r="AA114" i="7" s="1"/>
  <c r="G115" i="7"/>
  <c r="Z115" i="7" s="1"/>
  <c r="AA115" i="7" s="1"/>
  <c r="G116" i="7"/>
  <c r="G117" i="7"/>
  <c r="G119" i="7"/>
  <c r="G120" i="7"/>
  <c r="F121" i="7"/>
  <c r="Y121" i="7" s="1"/>
  <c r="F122" i="7"/>
  <c r="Y122" i="7" s="1"/>
  <c r="F123" i="7"/>
  <c r="Y123" i="7" s="1"/>
  <c r="F124" i="7"/>
  <c r="Y124" i="7" s="1"/>
  <c r="F125" i="7"/>
  <c r="Y125" i="7" s="1"/>
  <c r="F126" i="7"/>
  <c r="Y126" i="7" s="1"/>
  <c r="G127" i="7"/>
  <c r="G141" i="7"/>
  <c r="Z141" i="7" s="1"/>
  <c r="AA141" i="7" s="1"/>
  <c r="F142" i="7"/>
  <c r="G152" i="7"/>
  <c r="Z152" i="7" s="1"/>
  <c r="AA152" i="7" s="1"/>
  <c r="F153" i="7"/>
  <c r="Y153" i="7" s="1"/>
  <c r="G164" i="7"/>
  <c r="Z164" i="7" s="1"/>
  <c r="AA164" i="7" s="1"/>
  <c r="G173" i="7"/>
  <c r="Z173" i="7" s="1"/>
  <c r="AA173" i="7" s="1"/>
  <c r="F174" i="7"/>
  <c r="Y174" i="7" s="1"/>
  <c r="F183" i="7"/>
  <c r="Y183" i="7" s="1"/>
  <c r="G192" i="7"/>
  <c r="Z192" i="7" s="1"/>
  <c r="AA192" i="7" s="1"/>
  <c r="F193" i="7"/>
  <c r="G202" i="7"/>
  <c r="Z202" i="7" s="1"/>
  <c r="AA202" i="7" s="1"/>
  <c r="F211" i="7"/>
  <c r="Y211" i="7" s="1"/>
  <c r="G219" i="7"/>
  <c r="F220" i="7"/>
  <c r="G229" i="7"/>
  <c r="Z229" i="7" s="1"/>
  <c r="AA229" i="7" s="1"/>
  <c r="F230" i="7"/>
  <c r="Y230" i="7" s="1"/>
  <c r="G240" i="7"/>
  <c r="Z240" i="7" s="1"/>
  <c r="AA240" i="7" s="1"/>
  <c r="F241" i="7"/>
  <c r="Y241" i="7" s="1"/>
  <c r="F249" i="7"/>
  <c r="Y249" i="7" s="1"/>
  <c r="G259" i="7"/>
  <c r="F260" i="7"/>
  <c r="G270" i="7"/>
  <c r="F271" i="7"/>
  <c r="G281" i="7"/>
  <c r="Z281" i="7" s="1"/>
  <c r="AA281" i="7" s="1"/>
  <c r="F282" i="7"/>
  <c r="G293" i="7"/>
  <c r="F294" i="7"/>
  <c r="G304" i="7"/>
  <c r="Z304" i="7" s="1"/>
  <c r="AA304" i="7" s="1"/>
  <c r="F305" i="7"/>
  <c r="Y305" i="7" s="1"/>
  <c r="G315" i="7"/>
  <c r="F33" i="7"/>
  <c r="Y33" i="7" s="1"/>
  <c r="G34" i="7"/>
  <c r="Z34" i="7" s="1"/>
  <c r="AA34" i="7" s="1"/>
  <c r="F45" i="7"/>
  <c r="Y45" i="7" s="1"/>
  <c r="G46" i="7"/>
  <c r="Z46" i="7" s="1"/>
  <c r="AA46" i="7" s="1"/>
  <c r="F57" i="7"/>
  <c r="G58" i="7"/>
  <c r="Z58" i="7" s="1"/>
  <c r="AA58" i="7" s="1"/>
  <c r="F69" i="7"/>
  <c r="G70" i="7"/>
  <c r="Z70" i="7" s="1"/>
  <c r="AA70" i="7" s="1"/>
  <c r="F81" i="7"/>
  <c r="G82" i="7"/>
  <c r="Z82" i="7" s="1"/>
  <c r="AA82" i="7" s="1"/>
  <c r="F95" i="7"/>
  <c r="Y95" i="7" s="1"/>
  <c r="G96" i="7"/>
  <c r="F110" i="7"/>
  <c r="G111" i="7"/>
  <c r="G112" i="7"/>
  <c r="Z112" i="7" s="1"/>
  <c r="AA112" i="7" s="1"/>
  <c r="G113" i="7"/>
  <c r="Z113" i="7" s="1"/>
  <c r="AA113" i="7" s="1"/>
  <c r="G121" i="7"/>
  <c r="Z121" i="7" s="1"/>
  <c r="AA121" i="7" s="1"/>
  <c r="G122" i="7"/>
  <c r="Z122" i="7" s="1"/>
  <c r="AA122" i="7" s="1"/>
  <c r="G123" i="7"/>
  <c r="Z123" i="7" s="1"/>
  <c r="AA123" i="7" s="1"/>
  <c r="G124" i="7"/>
  <c r="G125" i="7"/>
  <c r="Z125" i="7" s="1"/>
  <c r="AA125" i="7" s="1"/>
  <c r="G126" i="7"/>
  <c r="G142" i="7"/>
  <c r="Z142" i="7" s="1"/>
  <c r="AA142" i="7" s="1"/>
  <c r="F143" i="7"/>
  <c r="G153" i="7"/>
  <c r="Z153" i="7" s="1"/>
  <c r="AA153" i="7" s="1"/>
  <c r="F154" i="7"/>
  <c r="Y154" i="7" s="1"/>
  <c r="F165" i="7"/>
  <c r="Y165" i="7" s="1"/>
  <c r="G174" i="7"/>
  <c r="Z174" i="7" s="1"/>
  <c r="AA174" i="7" s="1"/>
  <c r="G183" i="7"/>
  <c r="Z183" i="7" s="1"/>
  <c r="AA183" i="7" s="1"/>
  <c r="F184" i="7"/>
  <c r="Y184" i="7" s="1"/>
  <c r="G193" i="7"/>
  <c r="Z193" i="7" s="1"/>
  <c r="AA193" i="7" s="1"/>
  <c r="F194" i="7"/>
  <c r="Y194" i="7" s="1"/>
  <c r="F203" i="7"/>
  <c r="Y203" i="7" s="1"/>
  <c r="G211" i="7"/>
  <c r="Z211" i="7" s="1"/>
  <c r="AA211" i="7" s="1"/>
  <c r="F212" i="7"/>
  <c r="Y212" i="7" s="1"/>
  <c r="G220" i="7"/>
  <c r="G230" i="7"/>
  <c r="Z230" i="7" s="1"/>
  <c r="AA230" i="7" s="1"/>
  <c r="F231" i="7"/>
  <c r="G241" i="7"/>
  <c r="Z241" i="7" s="1"/>
  <c r="AA241" i="7" s="1"/>
  <c r="F242" i="7"/>
  <c r="Y242" i="7" s="1"/>
  <c r="G249" i="7"/>
  <c r="Z249" i="7" s="1"/>
  <c r="AA249" i="7" s="1"/>
  <c r="F250" i="7"/>
  <c r="Y250" i="7" s="1"/>
  <c r="G260" i="7"/>
  <c r="Z260" i="7" s="1"/>
  <c r="AA260" i="7" s="1"/>
  <c r="G271" i="7"/>
  <c r="F272" i="7"/>
  <c r="Y272" i="7" s="1"/>
  <c r="G282" i="7"/>
  <c r="F283" i="7"/>
  <c r="G294" i="7"/>
  <c r="Z294" i="7" s="1"/>
  <c r="AA294" i="7" s="1"/>
  <c r="F295" i="7"/>
  <c r="Y295" i="7" s="1"/>
  <c r="G305" i="7"/>
  <c r="Z305" i="7" s="1"/>
  <c r="AA305" i="7" s="1"/>
  <c r="F306" i="7"/>
  <c r="F22" i="7"/>
  <c r="F32" i="7"/>
  <c r="Y32" i="7" s="1"/>
  <c r="G33" i="7"/>
  <c r="Z33" i="7" s="1"/>
  <c r="AA33" i="7" s="1"/>
  <c r="F44" i="7"/>
  <c r="Y44" i="7" s="1"/>
  <c r="G45" i="7"/>
  <c r="F56" i="7"/>
  <c r="G57" i="7"/>
  <c r="Z57" i="7" s="1"/>
  <c r="AA57" i="7" s="1"/>
  <c r="F68" i="7"/>
  <c r="G69" i="7"/>
  <c r="F80" i="7"/>
  <c r="G81" i="7"/>
  <c r="F94" i="7"/>
  <c r="G95" i="7"/>
  <c r="F109" i="7"/>
  <c r="Y109" i="7" s="1"/>
  <c r="G110" i="7"/>
  <c r="Z110" i="7" s="1"/>
  <c r="AA110" i="7" s="1"/>
  <c r="G143" i="7"/>
  <c r="Z143" i="7" s="1"/>
  <c r="AA143" i="7" s="1"/>
  <c r="F144" i="7"/>
  <c r="Y144" i="7" s="1"/>
  <c r="G154" i="7"/>
  <c r="Z154" i="7" s="1"/>
  <c r="AA154" i="7" s="1"/>
  <c r="F155" i="7"/>
  <c r="Y155" i="7" s="1"/>
  <c r="G165" i="7"/>
  <c r="Z165" i="7" s="1"/>
  <c r="AA165" i="7" s="1"/>
  <c r="F166" i="7"/>
  <c r="Y166" i="7" s="1"/>
  <c r="F175" i="7"/>
  <c r="Y175" i="7" s="1"/>
  <c r="G184" i="7"/>
  <c r="F185" i="7"/>
  <c r="Y185" i="7" s="1"/>
  <c r="G194" i="7"/>
  <c r="Z194" i="7" s="1"/>
  <c r="AA194" i="7" s="1"/>
  <c r="F195" i="7"/>
  <c r="G203" i="7"/>
  <c r="Z203" i="7" s="1"/>
  <c r="AA203" i="7" s="1"/>
  <c r="F204" i="7"/>
  <c r="Y204" i="7" s="1"/>
  <c r="G212" i="7"/>
  <c r="F221" i="7"/>
  <c r="Y221" i="7" s="1"/>
  <c r="G231" i="7"/>
  <c r="Z231" i="7" s="1"/>
  <c r="AA231" i="7" s="1"/>
  <c r="F232" i="7"/>
  <c r="Y232" i="7" s="1"/>
  <c r="G242" i="7"/>
  <c r="F243" i="7"/>
  <c r="Y243" i="7" s="1"/>
  <c r="G250" i="7"/>
  <c r="Z250" i="7" s="1"/>
  <c r="AA250" i="7" s="1"/>
  <c r="F251" i="7"/>
  <c r="Y251" i="7" s="1"/>
  <c r="F261" i="7"/>
  <c r="G272" i="7"/>
  <c r="Z272" i="7" s="1"/>
  <c r="AA272" i="7" s="1"/>
  <c r="F273" i="7"/>
  <c r="Y273" i="7" s="1"/>
  <c r="G283" i="7"/>
  <c r="Z283" i="7" s="1"/>
  <c r="AA283" i="7" s="1"/>
  <c r="F284" i="7"/>
  <c r="Y284" i="7" s="1"/>
  <c r="G295" i="7"/>
  <c r="Z295" i="7" s="1"/>
  <c r="AA295" i="7" s="1"/>
  <c r="G306" i="7"/>
  <c r="Z306" i="7" s="1"/>
  <c r="AA306" i="7" s="1"/>
  <c r="F307" i="7"/>
  <c r="Y307" i="7" s="1"/>
  <c r="F31" i="7"/>
  <c r="G32" i="7"/>
  <c r="F43" i="7"/>
  <c r="Y43" i="7" s="1"/>
  <c r="G44" i="7"/>
  <c r="F55" i="7"/>
  <c r="Y55" i="7" s="1"/>
  <c r="G56" i="7"/>
  <c r="Z56" i="7" s="1"/>
  <c r="AA56" i="7" s="1"/>
  <c r="F16" i="7"/>
  <c r="Y16" i="7" s="1"/>
  <c r="F21" i="7"/>
  <c r="F30" i="7"/>
  <c r="G31" i="7"/>
  <c r="F42" i="7"/>
  <c r="Y42" i="7" s="1"/>
  <c r="G43" i="7"/>
  <c r="F54" i="7"/>
  <c r="G55" i="7"/>
  <c r="Z55" i="7" s="1"/>
  <c r="AA55" i="7" s="1"/>
  <c r="F66" i="7"/>
  <c r="Y66" i="7" s="1"/>
  <c r="G67" i="7"/>
  <c r="F78" i="7"/>
  <c r="Y78" i="7" s="1"/>
  <c r="G79" i="7"/>
  <c r="Z79" i="7" s="1"/>
  <c r="AA79" i="7" s="1"/>
  <c r="F92" i="7"/>
  <c r="Y92" i="7" s="1"/>
  <c r="G93" i="7"/>
  <c r="Z93" i="7" s="1"/>
  <c r="AA93" i="7" s="1"/>
  <c r="F106" i="7"/>
  <c r="Y106" i="7" s="1"/>
  <c r="G107" i="7"/>
  <c r="G108" i="7"/>
  <c r="Z108" i="7" s="1"/>
  <c r="AA108" i="7" s="1"/>
  <c r="G145" i="7"/>
  <c r="F146" i="7"/>
  <c r="Y146" i="7" s="1"/>
  <c r="G156" i="7"/>
  <c r="F157" i="7"/>
  <c r="Y157" i="7" s="1"/>
  <c r="F167" i="7"/>
  <c r="G176" i="7"/>
  <c r="Z176" i="7" s="1"/>
  <c r="AA176" i="7" s="1"/>
  <c r="F177" i="7"/>
  <c r="Y177" i="7" s="1"/>
  <c r="G186" i="7"/>
  <c r="Z186" i="7" s="1"/>
  <c r="AA186" i="7" s="1"/>
  <c r="F187" i="7"/>
  <c r="Y187" i="7" s="1"/>
  <c r="G196" i="7"/>
  <c r="F205" i="7"/>
  <c r="G213" i="7"/>
  <c r="Z213" i="7" s="1"/>
  <c r="AA213" i="7" s="1"/>
  <c r="F214" i="7"/>
  <c r="Y214" i="7" s="1"/>
  <c r="G222" i="7"/>
  <c r="Z222" i="7" s="1"/>
  <c r="AA222" i="7" s="1"/>
  <c r="G233" i="7"/>
  <c r="F234" i="7"/>
  <c r="Y234" i="7" s="1"/>
  <c r="F244" i="7"/>
  <c r="Y244" i="7" s="1"/>
  <c r="G252" i="7"/>
  <c r="G262" i="7"/>
  <c r="F263" i="7"/>
  <c r="Y263" i="7" s="1"/>
  <c r="G274" i="7"/>
  <c r="Z274" i="7" s="1"/>
  <c r="AA274" i="7" s="1"/>
  <c r="F275" i="7"/>
  <c r="Y275" i="7" s="1"/>
  <c r="G285" i="7"/>
  <c r="Z285" i="7" s="1"/>
  <c r="AA285" i="7" s="1"/>
  <c r="F286" i="7"/>
  <c r="G296" i="7"/>
  <c r="Z296" i="7" s="1"/>
  <c r="AA296" i="7" s="1"/>
  <c r="F297" i="7"/>
  <c r="Y297" i="7" s="1"/>
  <c r="G308" i="7"/>
  <c r="Z308" i="7" s="1"/>
  <c r="AA308" i="7" s="1"/>
  <c r="F309" i="7"/>
  <c r="Y309" i="7" s="1"/>
  <c r="G16" i="7"/>
  <c r="Z16" i="7" s="1"/>
  <c r="AA16" i="7" s="1"/>
  <c r="G21" i="7"/>
  <c r="Z21" i="7" s="1"/>
  <c r="AA21" i="7" s="1"/>
  <c r="F29" i="7"/>
  <c r="G30" i="7"/>
  <c r="Z30" i="7" s="1"/>
  <c r="AA30" i="7" s="1"/>
  <c r="F41" i="7"/>
  <c r="Y41" i="7" s="1"/>
  <c r="G42" i="7"/>
  <c r="Z42" i="7" s="1"/>
  <c r="AA42" i="7" s="1"/>
  <c r="F53" i="7"/>
  <c r="G54" i="7"/>
  <c r="Z54" i="7" s="1"/>
  <c r="AA54" i="7" s="1"/>
  <c r="F65" i="7"/>
  <c r="Y65" i="7" s="1"/>
  <c r="G66" i="7"/>
  <c r="Z66" i="7" s="1"/>
  <c r="AA66" i="7" s="1"/>
  <c r="F77" i="7"/>
  <c r="Y77" i="7" s="1"/>
  <c r="G78" i="7"/>
  <c r="Z78" i="7" s="1"/>
  <c r="AA78" i="7" s="1"/>
  <c r="F91" i="7"/>
  <c r="Y91" i="7" s="1"/>
  <c r="G92" i="7"/>
  <c r="F105" i="7"/>
  <c r="G106" i="7"/>
  <c r="Z106" i="7" s="1"/>
  <c r="AA106" i="7" s="1"/>
  <c r="G146" i="7"/>
  <c r="Z146" i="7" s="1"/>
  <c r="AA146" i="7" s="1"/>
  <c r="F147" i="7"/>
  <c r="G157" i="7"/>
  <c r="Z157" i="7" s="1"/>
  <c r="AA157" i="7" s="1"/>
  <c r="F158" i="7"/>
  <c r="Y158" i="7" s="1"/>
  <c r="G167" i="7"/>
  <c r="Z167" i="7" s="1"/>
  <c r="AA167" i="7" s="1"/>
  <c r="F168" i="7"/>
  <c r="Y168" i="7" s="1"/>
  <c r="G177" i="7"/>
  <c r="Z177" i="7" s="1"/>
  <c r="AA177" i="7" s="1"/>
  <c r="F178" i="7"/>
  <c r="Y178" i="7" s="1"/>
  <c r="G187" i="7"/>
  <c r="F188" i="7"/>
  <c r="Y188" i="7" s="1"/>
  <c r="F197" i="7"/>
  <c r="Y197" i="7" s="1"/>
  <c r="G205" i="7"/>
  <c r="F206" i="7"/>
  <c r="G214" i="7"/>
  <c r="F223" i="7"/>
  <c r="Y223" i="7" s="1"/>
  <c r="G234" i="7"/>
  <c r="F235" i="7"/>
  <c r="Y235" i="7" s="1"/>
  <c r="G244" i="7"/>
  <c r="Z244" i="7" s="1"/>
  <c r="AA244" i="7" s="1"/>
  <c r="F253" i="7"/>
  <c r="Y253" i="7" s="1"/>
  <c r="G263" i="7"/>
  <c r="Z263" i="7" s="1"/>
  <c r="AA263" i="7" s="1"/>
  <c r="F264" i="7"/>
  <c r="G275" i="7"/>
  <c r="Z275" i="7" s="1"/>
  <c r="AA275" i="7" s="1"/>
  <c r="F276" i="7"/>
  <c r="G286" i="7"/>
  <c r="Z286" i="7" s="1"/>
  <c r="AA286" i="7" s="1"/>
  <c r="F287" i="7"/>
  <c r="G297" i="7"/>
  <c r="Z297" i="7" s="1"/>
  <c r="AA297" i="7" s="1"/>
  <c r="F298" i="7"/>
  <c r="G309" i="7"/>
  <c r="Z309" i="7" s="1"/>
  <c r="AA309" i="7" s="1"/>
  <c r="F310" i="7"/>
  <c r="Y310" i="7" s="1"/>
  <c r="F28" i="7"/>
  <c r="Y28" i="7" s="1"/>
  <c r="G29" i="7"/>
  <c r="Z29" i="7" s="1"/>
  <c r="AA29" i="7" s="1"/>
  <c r="F40" i="7"/>
  <c r="Y40" i="7" s="1"/>
  <c r="G41" i="7"/>
  <c r="Z41" i="7" s="1"/>
  <c r="AA41" i="7" s="1"/>
  <c r="F52" i="7"/>
  <c r="Y52" i="7" s="1"/>
  <c r="G53" i="7"/>
  <c r="Z53" i="7" s="1"/>
  <c r="AA53" i="7" s="1"/>
  <c r="F64" i="7"/>
  <c r="Y64" i="7" s="1"/>
  <c r="G65" i="7"/>
  <c r="Z65" i="7" s="1"/>
  <c r="AA65" i="7" s="1"/>
  <c r="F76" i="7"/>
  <c r="Y76" i="7" s="1"/>
  <c r="G77" i="7"/>
  <c r="F90" i="7"/>
  <c r="Y90" i="7" s="1"/>
  <c r="G91" i="7"/>
  <c r="Z91" i="7" s="1"/>
  <c r="AA91" i="7" s="1"/>
  <c r="F104" i="7"/>
  <c r="Y104" i="7" s="1"/>
  <c r="G105" i="7"/>
  <c r="G147" i="7"/>
  <c r="F148" i="7"/>
  <c r="Y148" i="7" s="1"/>
  <c r="G158" i="7"/>
  <c r="Z158" i="7" s="1"/>
  <c r="AA158" i="7" s="1"/>
  <c r="F159" i="7"/>
  <c r="G168" i="7"/>
  <c r="Z168" i="7" s="1"/>
  <c r="AA168" i="7" s="1"/>
  <c r="F169" i="7"/>
  <c r="G178" i="7"/>
  <c r="Z178" i="7" s="1"/>
  <c r="AA178" i="7" s="1"/>
  <c r="F179" i="7"/>
  <c r="G188" i="7"/>
  <c r="Z188" i="7" s="1"/>
  <c r="AA188" i="7" s="1"/>
  <c r="G197" i="7"/>
  <c r="F198" i="7"/>
  <c r="Y198" i="7" s="1"/>
  <c r="G206" i="7"/>
  <c r="Z206" i="7" s="1"/>
  <c r="AA206" i="7" s="1"/>
  <c r="F215" i="7"/>
  <c r="G223" i="7"/>
  <c r="F224" i="7"/>
  <c r="Y224" i="7" s="1"/>
  <c r="G235" i="7"/>
  <c r="Z235" i="7" s="1"/>
  <c r="AA235" i="7" s="1"/>
  <c r="F236" i="7"/>
  <c r="Y236" i="7" s="1"/>
  <c r="F245" i="7"/>
  <c r="G253" i="7"/>
  <c r="F254" i="7"/>
  <c r="Y254" i="7" s="1"/>
  <c r="G264" i="7"/>
  <c r="Z264" i="7" s="1"/>
  <c r="AA264" i="7" s="1"/>
  <c r="F265" i="7"/>
  <c r="Y265" i="7" s="1"/>
  <c r="G276" i="7"/>
  <c r="Z276" i="7" s="1"/>
  <c r="AA276" i="7" s="1"/>
  <c r="F277" i="7"/>
  <c r="Y277" i="7" s="1"/>
  <c r="G287" i="7"/>
  <c r="Z287" i="7" s="1"/>
  <c r="AA287" i="7" s="1"/>
  <c r="F288" i="7"/>
  <c r="G298" i="7"/>
  <c r="Z298" i="7" s="1"/>
  <c r="AA298" i="7" s="1"/>
  <c r="F299" i="7"/>
  <c r="G310" i="7"/>
  <c r="Z310" i="7" s="1"/>
  <c r="AA310" i="7" s="1"/>
  <c r="F311" i="7"/>
  <c r="Y311" i="7" s="1"/>
  <c r="F20" i="7"/>
  <c r="Y20" i="7" s="1"/>
  <c r="F27" i="7"/>
  <c r="Y27" i="7" s="1"/>
  <c r="G28" i="7"/>
  <c r="Z28" i="7" s="1"/>
  <c r="AA28" i="7" s="1"/>
  <c r="F39" i="7"/>
  <c r="Y39" i="7" s="1"/>
  <c r="G40" i="7"/>
  <c r="F51" i="7"/>
  <c r="Y51" i="7" s="1"/>
  <c r="G52" i="7"/>
  <c r="Z52" i="7" s="1"/>
  <c r="AA52" i="7" s="1"/>
  <c r="F63" i="7"/>
  <c r="Y63" i="7" s="1"/>
  <c r="G64" i="7"/>
  <c r="Z64" i="7" s="1"/>
  <c r="AA64" i="7" s="1"/>
  <c r="F75" i="7"/>
  <c r="G76" i="7"/>
  <c r="Z76" i="7" s="1"/>
  <c r="AA76" i="7" s="1"/>
  <c r="F87" i="7"/>
  <c r="Y87" i="7" s="1"/>
  <c r="F88" i="7"/>
  <c r="Y88" i="7" s="1"/>
  <c r="F89" i="7"/>
  <c r="Y89" i="7" s="1"/>
  <c r="G90" i="7"/>
  <c r="Z90" i="7" s="1"/>
  <c r="AA90" i="7" s="1"/>
  <c r="F103" i="7"/>
  <c r="G104" i="7"/>
  <c r="G148" i="7"/>
  <c r="Z148" i="7" s="1"/>
  <c r="AA148" i="7" s="1"/>
  <c r="G159" i="7"/>
  <c r="Z159" i="7" s="1"/>
  <c r="AA159" i="7" s="1"/>
  <c r="F160" i="7"/>
  <c r="Y160" i="7" s="1"/>
  <c r="G169" i="7"/>
  <c r="Z169" i="7" s="1"/>
  <c r="AA169" i="7" s="1"/>
  <c r="F170" i="7"/>
  <c r="Y170" i="7" s="1"/>
  <c r="G179" i="7"/>
  <c r="F180" i="7"/>
  <c r="Y180" i="7" s="1"/>
  <c r="F189" i="7"/>
  <c r="G198" i="7"/>
  <c r="Z198" i="7" s="1"/>
  <c r="AA198" i="7" s="1"/>
  <c r="F207" i="7"/>
  <c r="Y207" i="7" s="1"/>
  <c r="G215" i="7"/>
  <c r="F216" i="7"/>
  <c r="Y216" i="7" s="1"/>
  <c r="G224" i="7"/>
  <c r="F225" i="7"/>
  <c r="Y225" i="7" s="1"/>
  <c r="G236" i="7"/>
  <c r="Z236" i="7" s="1"/>
  <c r="AA236" i="7" s="1"/>
  <c r="G245" i="7"/>
  <c r="Z245" i="7" s="1"/>
  <c r="AA245" i="7" s="1"/>
  <c r="F246" i="7"/>
  <c r="G254" i="7"/>
  <c r="Z254" i="7" s="1"/>
  <c r="AA254" i="7" s="1"/>
  <c r="F255" i="7"/>
  <c r="Y255" i="7" s="1"/>
  <c r="G265" i="7"/>
  <c r="Z265" i="7" s="1"/>
  <c r="AA265" i="7" s="1"/>
  <c r="F266" i="7"/>
  <c r="Y266" i="7" s="1"/>
  <c r="G277" i="7"/>
  <c r="Z277" i="7" s="1"/>
  <c r="AA277" i="7" s="1"/>
  <c r="F278" i="7"/>
  <c r="Y278" i="7" s="1"/>
  <c r="G288" i="7"/>
  <c r="Z288" i="7" s="1"/>
  <c r="AA288" i="7" s="1"/>
  <c r="F289" i="7"/>
  <c r="Y289" i="7" s="1"/>
  <c r="G299" i="7"/>
  <c r="Z299" i="7" s="1"/>
  <c r="AA299" i="7" s="1"/>
  <c r="F300" i="7"/>
  <c r="Y300" i="7" s="1"/>
  <c r="G311" i="7"/>
  <c r="Z311" i="7" s="1"/>
  <c r="AA311" i="7" s="1"/>
  <c r="F312" i="7"/>
  <c r="Y312" i="7" s="1"/>
  <c r="G68" i="7"/>
  <c r="Z68" i="7" s="1"/>
  <c r="AA68" i="7" s="1"/>
  <c r="G155" i="7"/>
  <c r="F156" i="7"/>
  <c r="Y156" i="7" s="1"/>
  <c r="G175" i="7"/>
  <c r="F176" i="7"/>
  <c r="Y176" i="7" s="1"/>
  <c r="G251" i="7"/>
  <c r="Z251" i="7" s="1"/>
  <c r="AA251" i="7" s="1"/>
  <c r="F252" i="7"/>
  <c r="G289" i="7"/>
  <c r="Z289" i="7" s="1"/>
  <c r="AA289" i="7" s="1"/>
  <c r="F290" i="7"/>
  <c r="G321" i="7"/>
  <c r="Z321" i="7" s="1"/>
  <c r="AA321" i="7" s="1"/>
  <c r="F322" i="7"/>
  <c r="F332" i="7"/>
  <c r="Y332" i="7" s="1"/>
  <c r="G342" i="7"/>
  <c r="Z342" i="7" s="1"/>
  <c r="AA342" i="7" s="1"/>
  <c r="F343" i="7"/>
  <c r="Y343" i="7" s="1"/>
  <c r="G353" i="7"/>
  <c r="F354" i="7"/>
  <c r="G365" i="7"/>
  <c r="Z365" i="7" s="1"/>
  <c r="AA365" i="7" s="1"/>
  <c r="F366" i="7"/>
  <c r="Y366" i="7" s="1"/>
  <c r="G377" i="7"/>
  <c r="F378" i="7"/>
  <c r="Y378" i="7" s="1"/>
  <c r="G388" i="7"/>
  <c r="Z388" i="7" s="1"/>
  <c r="AA388" i="7" s="1"/>
  <c r="G398" i="7"/>
  <c r="Z398" i="7" s="1"/>
  <c r="AA398" i="7" s="1"/>
  <c r="F399" i="7"/>
  <c r="Y399" i="7" s="1"/>
  <c r="G409" i="7"/>
  <c r="Z409" i="7" s="1"/>
  <c r="AA409" i="7" s="1"/>
  <c r="F410" i="7"/>
  <c r="Y410" i="7" s="1"/>
  <c r="G420" i="7"/>
  <c r="Z420" i="7" s="1"/>
  <c r="AA420" i="7" s="1"/>
  <c r="F421" i="7"/>
  <c r="Y421" i="7" s="1"/>
  <c r="G430" i="7"/>
  <c r="Z430" i="7" s="1"/>
  <c r="AA430" i="7" s="1"/>
  <c r="F431" i="7"/>
  <c r="Y431" i="7" s="1"/>
  <c r="G441" i="7"/>
  <c r="Z441" i="7" s="1"/>
  <c r="AA441" i="7" s="1"/>
  <c r="G452" i="7"/>
  <c r="F453" i="7"/>
  <c r="Y453" i="7" s="1"/>
  <c r="G462" i="7"/>
  <c r="F463" i="7"/>
  <c r="Y463" i="7" s="1"/>
  <c r="G473" i="7"/>
  <c r="Z473" i="7" s="1"/>
  <c r="AA473" i="7" s="1"/>
  <c r="F474" i="7"/>
  <c r="G483" i="7"/>
  <c r="Z483" i="7" s="1"/>
  <c r="AA483" i="7" s="1"/>
  <c r="F484" i="7"/>
  <c r="Y484" i="7" s="1"/>
  <c r="G494" i="7"/>
  <c r="Z494" i="7" s="1"/>
  <c r="AA494" i="7" s="1"/>
  <c r="F495" i="7"/>
  <c r="G506" i="7"/>
  <c r="Z506" i="7" s="1"/>
  <c r="AA506" i="7" s="1"/>
  <c r="F507" i="7"/>
  <c r="G517" i="7"/>
  <c r="F518" i="7"/>
  <c r="Y518" i="7" s="1"/>
  <c r="G529" i="7"/>
  <c r="F530" i="7"/>
  <c r="G540" i="7"/>
  <c r="Z540" i="7" s="1"/>
  <c r="AA540" i="7" s="1"/>
  <c r="F541" i="7"/>
  <c r="Y541" i="7" s="1"/>
  <c r="G551" i="7"/>
  <c r="Z551" i="7" s="1"/>
  <c r="AA551" i="7" s="1"/>
  <c r="F552" i="7"/>
  <c r="Y552" i="7" s="1"/>
  <c r="G563" i="7"/>
  <c r="Z563" i="7" s="1"/>
  <c r="AA563" i="7" s="1"/>
  <c r="F564" i="7"/>
  <c r="G575" i="7"/>
  <c r="Z575" i="7" s="1"/>
  <c r="AA575" i="7" s="1"/>
  <c r="F576" i="7"/>
  <c r="Y576" i="7" s="1"/>
  <c r="G586" i="7"/>
  <c r="Z586" i="7" s="1"/>
  <c r="AA586" i="7" s="1"/>
  <c r="F587" i="7"/>
  <c r="G597" i="7"/>
  <c r="Z597" i="7" s="1"/>
  <c r="AA597" i="7" s="1"/>
  <c r="F50" i="7"/>
  <c r="G63" i="7"/>
  <c r="Z63" i="7" s="1"/>
  <c r="AA63" i="7" s="1"/>
  <c r="G232" i="7"/>
  <c r="Z232" i="7" s="1"/>
  <c r="AA232" i="7" s="1"/>
  <c r="F233" i="7"/>
  <c r="G322" i="7"/>
  <c r="F323" i="7"/>
  <c r="Y323" i="7" s="1"/>
  <c r="G332" i="7"/>
  <c r="F333" i="7"/>
  <c r="Y333" i="7" s="1"/>
  <c r="G343" i="7"/>
  <c r="F344" i="7"/>
  <c r="Y344" i="7" s="1"/>
  <c r="G354" i="7"/>
  <c r="Z354" i="7" s="1"/>
  <c r="AA354" i="7" s="1"/>
  <c r="F355" i="7"/>
  <c r="G366" i="7"/>
  <c r="Z366" i="7" s="1"/>
  <c r="AA366" i="7" s="1"/>
  <c r="F367" i="7"/>
  <c r="G378" i="7"/>
  <c r="Z378" i="7" s="1"/>
  <c r="AA378" i="7" s="1"/>
  <c r="F379" i="7"/>
  <c r="Y379" i="7" s="1"/>
  <c r="F389" i="7"/>
  <c r="Y389" i="7" s="1"/>
  <c r="G399" i="7"/>
  <c r="Z399" i="7" s="1"/>
  <c r="AA399" i="7" s="1"/>
  <c r="F400" i="7"/>
  <c r="Y400" i="7" s="1"/>
  <c r="G410" i="7"/>
  <c r="Z410" i="7" s="1"/>
  <c r="AA410" i="7" s="1"/>
  <c r="F411" i="7"/>
  <c r="Y411" i="7" s="1"/>
  <c r="G421" i="7"/>
  <c r="Z421" i="7" s="1"/>
  <c r="AA421" i="7" s="1"/>
  <c r="F422" i="7"/>
  <c r="Y422" i="7" s="1"/>
  <c r="G431" i="7"/>
  <c r="Z431" i="7" s="1"/>
  <c r="AA431" i="7" s="1"/>
  <c r="F432" i="7"/>
  <c r="Y432" i="7" s="1"/>
  <c r="F442" i="7"/>
  <c r="Y442" i="7" s="1"/>
  <c r="G453" i="7"/>
  <c r="Z453" i="7" s="1"/>
  <c r="AA453" i="7" s="1"/>
  <c r="F454" i="7"/>
  <c r="Y454" i="7" s="1"/>
  <c r="G463" i="7"/>
  <c r="Z463" i="7" s="1"/>
  <c r="AA463" i="7" s="1"/>
  <c r="F464" i="7"/>
  <c r="Y464" i="7" s="1"/>
  <c r="G474" i="7"/>
  <c r="Z474" i="7" s="1"/>
  <c r="AA474" i="7" s="1"/>
  <c r="F475" i="7"/>
  <c r="Y475" i="7" s="1"/>
  <c r="G484" i="7"/>
  <c r="F485" i="7"/>
  <c r="Y485" i="7" s="1"/>
  <c r="G495" i="7"/>
  <c r="Z495" i="7" s="1"/>
  <c r="AA495" i="7" s="1"/>
  <c r="F496" i="7"/>
  <c r="G507" i="7"/>
  <c r="Z507" i="7" s="1"/>
  <c r="AA507" i="7" s="1"/>
  <c r="F508" i="7"/>
  <c r="Y508" i="7" s="1"/>
  <c r="G518" i="7"/>
  <c r="F519" i="7"/>
  <c r="Y519" i="7" s="1"/>
  <c r="G530" i="7"/>
  <c r="Z530" i="7" s="1"/>
  <c r="AA530" i="7" s="1"/>
  <c r="F531" i="7"/>
  <c r="G541" i="7"/>
  <c r="Z541" i="7" s="1"/>
  <c r="AA541" i="7" s="1"/>
  <c r="F542" i="7"/>
  <c r="Y542" i="7" s="1"/>
  <c r="G552" i="7"/>
  <c r="F553" i="7"/>
  <c r="G564" i="7"/>
  <c r="Z564" i="7" s="1"/>
  <c r="AA564" i="7" s="1"/>
  <c r="F565" i="7"/>
  <c r="Y565" i="7" s="1"/>
  <c r="G576" i="7"/>
  <c r="Z576" i="7" s="1"/>
  <c r="AA576" i="7" s="1"/>
  <c r="G587" i="7"/>
  <c r="Z587" i="7" s="1"/>
  <c r="AA587" i="7" s="1"/>
  <c r="F588" i="7"/>
  <c r="Y588" i="7" s="1"/>
  <c r="F67" i="7"/>
  <c r="Y67" i="7" s="1"/>
  <c r="G170" i="7"/>
  <c r="Z170" i="7" s="1"/>
  <c r="AA170" i="7" s="1"/>
  <c r="F171" i="7"/>
  <c r="G323" i="7"/>
  <c r="F324" i="7"/>
  <c r="Y324" i="7" s="1"/>
  <c r="G333" i="7"/>
  <c r="F334" i="7"/>
  <c r="Y334" i="7" s="1"/>
  <c r="G344" i="7"/>
  <c r="Z344" i="7" s="1"/>
  <c r="AA344" i="7" s="1"/>
  <c r="F345" i="7"/>
  <c r="G355" i="7"/>
  <c r="F356" i="7"/>
  <c r="G367" i="7"/>
  <c r="F368" i="7"/>
  <c r="Y368" i="7" s="1"/>
  <c r="G379" i="7"/>
  <c r="F380" i="7"/>
  <c r="Y380" i="7" s="1"/>
  <c r="G389" i="7"/>
  <c r="F390" i="7"/>
  <c r="Y390" i="7" s="1"/>
  <c r="G400" i="7"/>
  <c r="Z400" i="7" s="1"/>
  <c r="AA400" i="7" s="1"/>
  <c r="F401" i="7"/>
  <c r="G411" i="7"/>
  <c r="Z411" i="7" s="1"/>
  <c r="AA411" i="7" s="1"/>
  <c r="F412" i="7"/>
  <c r="Y412" i="7" s="1"/>
  <c r="G422" i="7"/>
  <c r="Z422" i="7" s="1"/>
  <c r="AA422" i="7" s="1"/>
  <c r="G432" i="7"/>
  <c r="Z432" i="7" s="1"/>
  <c r="AA432" i="7" s="1"/>
  <c r="F433" i="7"/>
  <c r="Y433" i="7" s="1"/>
  <c r="G442" i="7"/>
  <c r="Z442" i="7" s="1"/>
  <c r="AA442" i="7" s="1"/>
  <c r="F443" i="7"/>
  <c r="G454" i="7"/>
  <c r="Z454" i="7" s="1"/>
  <c r="AA454" i="7" s="1"/>
  <c r="F455" i="7"/>
  <c r="G464" i="7"/>
  <c r="Z464" i="7" s="1"/>
  <c r="AA464" i="7" s="1"/>
  <c r="G475" i="7"/>
  <c r="Z475" i="7" s="1"/>
  <c r="AA475" i="7" s="1"/>
  <c r="F476" i="7"/>
  <c r="Y476" i="7" s="1"/>
  <c r="G485" i="7"/>
  <c r="F486" i="7"/>
  <c r="G496" i="7"/>
  <c r="Z496" i="7" s="1"/>
  <c r="AA496" i="7" s="1"/>
  <c r="F497" i="7"/>
  <c r="G508" i="7"/>
  <c r="Z508" i="7" s="1"/>
  <c r="AA508" i="7" s="1"/>
  <c r="F509" i="7"/>
  <c r="Y509" i="7" s="1"/>
  <c r="G519" i="7"/>
  <c r="Z519" i="7" s="1"/>
  <c r="AA519" i="7" s="1"/>
  <c r="F520" i="7"/>
  <c r="G531" i="7"/>
  <c r="Z531" i="7" s="1"/>
  <c r="AA531" i="7" s="1"/>
  <c r="F532" i="7"/>
  <c r="Y532" i="7" s="1"/>
  <c r="G542" i="7"/>
  <c r="Z542" i="7" s="1"/>
  <c r="AA542" i="7" s="1"/>
  <c r="F543" i="7"/>
  <c r="Y543" i="7" s="1"/>
  <c r="G553" i="7"/>
  <c r="Z553" i="7" s="1"/>
  <c r="AA553" i="7" s="1"/>
  <c r="F554" i="7"/>
  <c r="G565" i="7"/>
  <c r="Z565" i="7" s="1"/>
  <c r="AA565" i="7" s="1"/>
  <c r="F566" i="7"/>
  <c r="Y566" i="7" s="1"/>
  <c r="F62" i="7"/>
  <c r="Y62" i="7" s="1"/>
  <c r="G189" i="7"/>
  <c r="Z189" i="7" s="1"/>
  <c r="AA189" i="7" s="1"/>
  <c r="F190" i="7"/>
  <c r="Y190" i="7" s="1"/>
  <c r="G207" i="7"/>
  <c r="Z207" i="7" s="1"/>
  <c r="AA207" i="7" s="1"/>
  <c r="F208" i="7"/>
  <c r="Y208" i="7" s="1"/>
  <c r="G266" i="7"/>
  <c r="Z266" i="7" s="1"/>
  <c r="AA266" i="7" s="1"/>
  <c r="F267" i="7"/>
  <c r="Y267" i="7" s="1"/>
  <c r="G284" i="7"/>
  <c r="Z284" i="7" s="1"/>
  <c r="AA284" i="7" s="1"/>
  <c r="F285" i="7"/>
  <c r="Y285" i="7" s="1"/>
  <c r="G324" i="7"/>
  <c r="Z324" i="7" s="1"/>
  <c r="AA324" i="7" s="1"/>
  <c r="F325" i="7"/>
  <c r="Y325" i="7" s="1"/>
  <c r="G334" i="7"/>
  <c r="Z334" i="7" s="1"/>
  <c r="AA334" i="7" s="1"/>
  <c r="F335" i="7"/>
  <c r="G345" i="7"/>
  <c r="Z345" i="7" s="1"/>
  <c r="AA345" i="7" s="1"/>
  <c r="G356" i="7"/>
  <c r="Z356" i="7" s="1"/>
  <c r="AA356" i="7" s="1"/>
  <c r="F357" i="7"/>
  <c r="Y357" i="7" s="1"/>
  <c r="G368" i="7"/>
  <c r="Z368" i="7" s="1"/>
  <c r="AA368" i="7" s="1"/>
  <c r="F369" i="7"/>
  <c r="Y369" i="7" s="1"/>
  <c r="G380" i="7"/>
  <c r="Z380" i="7" s="1"/>
  <c r="AA380" i="7" s="1"/>
  <c r="G390" i="7"/>
  <c r="Z390" i="7" s="1"/>
  <c r="AA390" i="7" s="1"/>
  <c r="F391" i="7"/>
  <c r="Y391" i="7" s="1"/>
  <c r="G401" i="7"/>
  <c r="Z401" i="7" s="1"/>
  <c r="AA401" i="7" s="1"/>
  <c r="F402" i="7"/>
  <c r="G412" i="7"/>
  <c r="Z412" i="7" s="1"/>
  <c r="AA412" i="7" s="1"/>
  <c r="F423" i="7"/>
  <c r="Y423" i="7" s="1"/>
  <c r="G433" i="7"/>
  <c r="Z433" i="7" s="1"/>
  <c r="AA433" i="7" s="1"/>
  <c r="F434" i="7"/>
  <c r="Y434" i="7" s="1"/>
  <c r="G443" i="7"/>
  <c r="Z443" i="7" s="1"/>
  <c r="AA443" i="7" s="1"/>
  <c r="F444" i="7"/>
  <c r="G455" i="7"/>
  <c r="F465" i="7"/>
  <c r="G476" i="7"/>
  <c r="Z476" i="7" s="1"/>
  <c r="AA476" i="7" s="1"/>
  <c r="G486" i="7"/>
  <c r="Z486" i="7" s="1"/>
  <c r="AA486" i="7" s="1"/>
  <c r="F487" i="7"/>
  <c r="Y487" i="7" s="1"/>
  <c r="G497" i="7"/>
  <c r="Z497" i="7" s="1"/>
  <c r="AA497" i="7" s="1"/>
  <c r="F498" i="7"/>
  <c r="Y498" i="7" s="1"/>
  <c r="G509" i="7"/>
  <c r="F510" i="7"/>
  <c r="Y510" i="7" s="1"/>
  <c r="G520" i="7"/>
  <c r="F521" i="7"/>
  <c r="G532" i="7"/>
  <c r="Z532" i="7" s="1"/>
  <c r="AA532" i="7" s="1"/>
  <c r="F533" i="7"/>
  <c r="G543" i="7"/>
  <c r="Z543" i="7" s="1"/>
  <c r="AA543" i="7" s="1"/>
  <c r="F544" i="7"/>
  <c r="Y544" i="7" s="1"/>
  <c r="G554" i="7"/>
  <c r="Z554" i="7" s="1"/>
  <c r="AA554" i="7" s="1"/>
  <c r="F555" i="7"/>
  <c r="G566" i="7"/>
  <c r="Z566" i="7" s="1"/>
  <c r="AA566" i="7" s="1"/>
  <c r="F567" i="7"/>
  <c r="Y567" i="7" s="1"/>
  <c r="G577" i="7"/>
  <c r="Z577" i="7" s="1"/>
  <c r="AA577" i="7" s="1"/>
  <c r="F578" i="7"/>
  <c r="Y578" i="7" s="1"/>
  <c r="G589" i="7"/>
  <c r="Z589" i="7" s="1"/>
  <c r="AA589" i="7" s="1"/>
  <c r="F590" i="7"/>
  <c r="Y590" i="7" s="1"/>
  <c r="G80" i="7"/>
  <c r="Z80" i="7" s="1"/>
  <c r="AA80" i="7" s="1"/>
  <c r="G246" i="7"/>
  <c r="G300" i="7"/>
  <c r="Z300" i="7" s="1"/>
  <c r="AA300" i="7" s="1"/>
  <c r="F301" i="7"/>
  <c r="Y301" i="7" s="1"/>
  <c r="G325" i="7"/>
  <c r="Z325" i="7" s="1"/>
  <c r="AA325" i="7" s="1"/>
  <c r="F326" i="7"/>
  <c r="Y326" i="7" s="1"/>
  <c r="G335" i="7"/>
  <c r="Z335" i="7" s="1"/>
  <c r="AA335" i="7" s="1"/>
  <c r="F336" i="7"/>
  <c r="Y336" i="7" s="1"/>
  <c r="F346" i="7"/>
  <c r="Y346" i="7" s="1"/>
  <c r="G357" i="7"/>
  <c r="Z357" i="7" s="1"/>
  <c r="AA357" i="7" s="1"/>
  <c r="F358" i="7"/>
  <c r="Y358" i="7" s="1"/>
  <c r="G369" i="7"/>
  <c r="Z369" i="7" s="1"/>
  <c r="AA369" i="7" s="1"/>
  <c r="F370" i="7"/>
  <c r="Y370" i="7" s="1"/>
  <c r="F381" i="7"/>
  <c r="Y381" i="7" s="1"/>
  <c r="G391" i="7"/>
  <c r="Z391" i="7" s="1"/>
  <c r="AA391" i="7" s="1"/>
  <c r="F392" i="7"/>
  <c r="G402" i="7"/>
  <c r="F403" i="7"/>
  <c r="Y403" i="7" s="1"/>
  <c r="F413" i="7"/>
  <c r="Y413" i="7" s="1"/>
  <c r="G423" i="7"/>
  <c r="F424" i="7"/>
  <c r="G434" i="7"/>
  <c r="Z434" i="7" s="1"/>
  <c r="AA434" i="7" s="1"/>
  <c r="F435" i="7"/>
  <c r="Y435" i="7" s="1"/>
  <c r="G444" i="7"/>
  <c r="F445" i="7"/>
  <c r="Y445" i="7" s="1"/>
  <c r="F456" i="7"/>
  <c r="Y456" i="7" s="1"/>
  <c r="G465" i="7"/>
  <c r="Z465" i="7" s="1"/>
  <c r="AA465" i="7" s="1"/>
  <c r="F466" i="7"/>
  <c r="Y466" i="7" s="1"/>
  <c r="F477" i="7"/>
  <c r="G487" i="7"/>
  <c r="Z487" i="7" s="1"/>
  <c r="AA487" i="7" s="1"/>
  <c r="F488" i="7"/>
  <c r="Y488" i="7" s="1"/>
  <c r="G498" i="7"/>
  <c r="Z498" i="7" s="1"/>
  <c r="AA498" i="7" s="1"/>
  <c r="F499" i="7"/>
  <c r="Y499" i="7" s="1"/>
  <c r="G510" i="7"/>
  <c r="Z510" i="7" s="1"/>
  <c r="AA510" i="7" s="1"/>
  <c r="F511" i="7"/>
  <c r="G521" i="7"/>
  <c r="Z521" i="7" s="1"/>
  <c r="AA521" i="7" s="1"/>
  <c r="F522" i="7"/>
  <c r="Y522" i="7" s="1"/>
  <c r="G533" i="7"/>
  <c r="F534" i="7"/>
  <c r="Y534" i="7" s="1"/>
  <c r="G544" i="7"/>
  <c r="Z544" i="7" s="1"/>
  <c r="AA544" i="7" s="1"/>
  <c r="F545" i="7"/>
  <c r="Y545" i="7" s="1"/>
  <c r="G555" i="7"/>
  <c r="Z555" i="7" s="1"/>
  <c r="AA555" i="7" s="1"/>
  <c r="F556" i="7"/>
  <c r="G567" i="7"/>
  <c r="Z567" i="7" s="1"/>
  <c r="AA567" i="7" s="1"/>
  <c r="F568" i="7"/>
  <c r="Y568" i="7" s="1"/>
  <c r="G578" i="7"/>
  <c r="Z578" i="7" s="1"/>
  <c r="AA578" i="7" s="1"/>
  <c r="F579" i="7"/>
  <c r="Y579" i="7" s="1"/>
  <c r="G590" i="7"/>
  <c r="Z590" i="7" s="1"/>
  <c r="AA590" i="7" s="1"/>
  <c r="F591" i="7"/>
  <c r="Y591" i="7" s="1"/>
  <c r="G75" i="7"/>
  <c r="Z75" i="7" s="1"/>
  <c r="AA75" i="7" s="1"/>
  <c r="G109" i="7"/>
  <c r="F149" i="7"/>
  <c r="Y149" i="7" s="1"/>
  <c r="G166" i="7"/>
  <c r="Z166" i="7" s="1"/>
  <c r="AA166" i="7" s="1"/>
  <c r="G185" i="7"/>
  <c r="Z185" i="7" s="1"/>
  <c r="AA185" i="7" s="1"/>
  <c r="F186" i="7"/>
  <c r="Y186" i="7" s="1"/>
  <c r="G204" i="7"/>
  <c r="Z204" i="7" s="1"/>
  <c r="AA204" i="7" s="1"/>
  <c r="G243" i="7"/>
  <c r="Z243" i="7" s="1"/>
  <c r="AA243" i="7" s="1"/>
  <c r="G326" i="7"/>
  <c r="Z326" i="7" s="1"/>
  <c r="AA326" i="7" s="1"/>
  <c r="F327" i="7"/>
  <c r="Y327" i="7" s="1"/>
  <c r="G336" i="7"/>
  <c r="F337" i="7"/>
  <c r="Y337" i="7" s="1"/>
  <c r="G346" i="7"/>
  <c r="Z346" i="7" s="1"/>
  <c r="AA346" i="7" s="1"/>
  <c r="F347" i="7"/>
  <c r="G358" i="7"/>
  <c r="Z358" i="7" s="1"/>
  <c r="AA358" i="7" s="1"/>
  <c r="F359" i="7"/>
  <c r="Y359" i="7" s="1"/>
  <c r="G370" i="7"/>
  <c r="F371" i="7"/>
  <c r="Y371" i="7" s="1"/>
  <c r="G381" i="7"/>
  <c r="Z381" i="7" s="1"/>
  <c r="AA381" i="7" s="1"/>
  <c r="F382" i="7"/>
  <c r="Y382" i="7" s="1"/>
  <c r="G392" i="7"/>
  <c r="Z392" i="7" s="1"/>
  <c r="AA392" i="7" s="1"/>
  <c r="F393" i="7"/>
  <c r="Y393" i="7" s="1"/>
  <c r="G403" i="7"/>
  <c r="Z403" i="7" s="1"/>
  <c r="AA403" i="7" s="1"/>
  <c r="F404" i="7"/>
  <c r="Y404" i="7" s="1"/>
  <c r="G413" i="7"/>
  <c r="Z413" i="7" s="1"/>
  <c r="AA413" i="7" s="1"/>
  <c r="F414" i="7"/>
  <c r="G424" i="7"/>
  <c r="Z424" i="7" s="1"/>
  <c r="AA424" i="7" s="1"/>
  <c r="F425" i="7"/>
  <c r="G435" i="7"/>
  <c r="Z435" i="7" s="1"/>
  <c r="AA435" i="7" s="1"/>
  <c r="F436" i="7"/>
  <c r="Y436" i="7" s="1"/>
  <c r="G445" i="7"/>
  <c r="Z445" i="7" s="1"/>
  <c r="AA445" i="7" s="1"/>
  <c r="F446" i="7"/>
  <c r="Y446" i="7" s="1"/>
  <c r="G456" i="7"/>
  <c r="Z456" i="7" s="1"/>
  <c r="AA456" i="7" s="1"/>
  <c r="G466" i="7"/>
  <c r="F467" i="7"/>
  <c r="Y467" i="7" s="1"/>
  <c r="G477" i="7"/>
  <c r="Z477" i="7" s="1"/>
  <c r="AA477" i="7" s="1"/>
  <c r="F478" i="7"/>
  <c r="Y478" i="7" s="1"/>
  <c r="G488" i="7"/>
  <c r="F489" i="7"/>
  <c r="Y489" i="7" s="1"/>
  <c r="G499" i="7"/>
  <c r="Z499" i="7" s="1"/>
  <c r="AA499" i="7" s="1"/>
  <c r="F500" i="7"/>
  <c r="Y500" i="7" s="1"/>
  <c r="G511" i="7"/>
  <c r="Z511" i="7" s="1"/>
  <c r="AA511" i="7" s="1"/>
  <c r="F512" i="7"/>
  <c r="G522" i="7"/>
  <c r="Z522" i="7" s="1"/>
  <c r="AA522" i="7" s="1"/>
  <c r="F523" i="7"/>
  <c r="Y523" i="7" s="1"/>
  <c r="G534" i="7"/>
  <c r="Z534" i="7" s="1"/>
  <c r="AA534" i="7" s="1"/>
  <c r="F535" i="7"/>
  <c r="Y535" i="7" s="1"/>
  <c r="G545" i="7"/>
  <c r="G556" i="7"/>
  <c r="Z556" i="7" s="1"/>
  <c r="AA556" i="7" s="1"/>
  <c r="F557" i="7"/>
  <c r="Y557" i="7" s="1"/>
  <c r="G568" i="7"/>
  <c r="Z568" i="7" s="1"/>
  <c r="AA568" i="7" s="1"/>
  <c r="F569" i="7"/>
  <c r="Y569" i="7" s="1"/>
  <c r="G579" i="7"/>
  <c r="Z579" i="7" s="1"/>
  <c r="AA579" i="7" s="1"/>
  <c r="F580" i="7"/>
  <c r="G591" i="7"/>
  <c r="F592" i="7"/>
  <c r="Y592" i="7" s="1"/>
  <c r="G20" i="7"/>
  <c r="Z20" i="7" s="1"/>
  <c r="AA20" i="7" s="1"/>
  <c r="F79" i="7"/>
  <c r="G94" i="7"/>
  <c r="Z94" i="7" s="1"/>
  <c r="AA94" i="7" s="1"/>
  <c r="F130" i="7"/>
  <c r="Y130" i="7" s="1"/>
  <c r="G225" i="7"/>
  <c r="F226" i="7"/>
  <c r="Y226" i="7" s="1"/>
  <c r="G261" i="7"/>
  <c r="Z261" i="7" s="1"/>
  <c r="AA261" i="7" s="1"/>
  <c r="F262" i="7"/>
  <c r="F316" i="7"/>
  <c r="G327" i="7"/>
  <c r="Z327" i="7" s="1"/>
  <c r="AA327" i="7" s="1"/>
  <c r="G337" i="7"/>
  <c r="F338" i="7"/>
  <c r="Y338" i="7" s="1"/>
  <c r="G347" i="7"/>
  <c r="Z347" i="7" s="1"/>
  <c r="AA347" i="7" s="1"/>
  <c r="F348" i="7"/>
  <c r="Y348" i="7" s="1"/>
  <c r="G359" i="7"/>
  <c r="F360" i="7"/>
  <c r="Y360" i="7" s="1"/>
  <c r="G371" i="7"/>
  <c r="Z371" i="7" s="1"/>
  <c r="AA371" i="7" s="1"/>
  <c r="F372" i="7"/>
  <c r="Y372" i="7" s="1"/>
  <c r="G382" i="7"/>
  <c r="Z382" i="7" s="1"/>
  <c r="AA382" i="7" s="1"/>
  <c r="F383" i="7"/>
  <c r="Y383" i="7" s="1"/>
  <c r="G393" i="7"/>
  <c r="Z393" i="7" s="1"/>
  <c r="AA393" i="7" s="1"/>
  <c r="F394" i="7"/>
  <c r="G404" i="7"/>
  <c r="Z404" i="7" s="1"/>
  <c r="AA404" i="7" s="1"/>
  <c r="G414" i="7"/>
  <c r="Z414" i="7" s="1"/>
  <c r="AA414" i="7" s="1"/>
  <c r="F415" i="7"/>
  <c r="Y415" i="7" s="1"/>
  <c r="G425" i="7"/>
  <c r="Z425" i="7" s="1"/>
  <c r="AA425" i="7" s="1"/>
  <c r="F426" i="7"/>
  <c r="Y426" i="7" s="1"/>
  <c r="G436" i="7"/>
  <c r="Z436" i="7" s="1"/>
  <c r="AA436" i="7" s="1"/>
  <c r="F437" i="7"/>
  <c r="Y437" i="7" s="1"/>
  <c r="G446" i="7"/>
  <c r="Z446" i="7" s="1"/>
  <c r="AA446" i="7" s="1"/>
  <c r="F447" i="7"/>
  <c r="F457" i="7"/>
  <c r="Y457" i="7" s="1"/>
  <c r="G467" i="7"/>
  <c r="Z467" i="7" s="1"/>
  <c r="AA467" i="7" s="1"/>
  <c r="F468" i="7"/>
  <c r="Y468" i="7" s="1"/>
  <c r="G478" i="7"/>
  <c r="Z478" i="7" s="1"/>
  <c r="AA478" i="7" s="1"/>
  <c r="F479" i="7"/>
  <c r="Y479" i="7" s="1"/>
  <c r="G489" i="7"/>
  <c r="Z489" i="7" s="1"/>
  <c r="AA489" i="7" s="1"/>
  <c r="F490" i="7"/>
  <c r="Y490" i="7" s="1"/>
  <c r="G500" i="7"/>
  <c r="Z500" i="7" s="1"/>
  <c r="AA500" i="7" s="1"/>
  <c r="F501" i="7"/>
  <c r="Y501" i="7" s="1"/>
  <c r="G512" i="7"/>
  <c r="G523" i="7"/>
  <c r="Z523" i="7" s="1"/>
  <c r="AA523" i="7" s="1"/>
  <c r="F524" i="7"/>
  <c r="Y524" i="7" s="1"/>
  <c r="G535" i="7"/>
  <c r="Z535" i="7" s="1"/>
  <c r="AA535" i="7" s="1"/>
  <c r="F536" i="7"/>
  <c r="Y536" i="7" s="1"/>
  <c r="F546" i="7"/>
  <c r="Y546" i="7" s="1"/>
  <c r="G557" i="7"/>
  <c r="Z557" i="7" s="1"/>
  <c r="AA557" i="7" s="1"/>
  <c r="F558" i="7"/>
  <c r="Y558" i="7" s="1"/>
  <c r="G569" i="7"/>
  <c r="Z569" i="7" s="1"/>
  <c r="AA569" i="7" s="1"/>
  <c r="F570" i="7"/>
  <c r="Y570" i="7" s="1"/>
  <c r="G580" i="7"/>
  <c r="Z580" i="7" s="1"/>
  <c r="AA580" i="7" s="1"/>
  <c r="F581" i="7"/>
  <c r="G592" i="7"/>
  <c r="Z592" i="7" s="1"/>
  <c r="AA592" i="7" s="1"/>
  <c r="F593" i="7"/>
  <c r="G27" i="7"/>
  <c r="Z27" i="7" s="1"/>
  <c r="AA27" i="7" s="1"/>
  <c r="F74" i="7"/>
  <c r="G89" i="7"/>
  <c r="Z89" i="7" s="1"/>
  <c r="AA89" i="7" s="1"/>
  <c r="G103" i="7"/>
  <c r="Z103" i="7" s="1"/>
  <c r="AA103" i="7" s="1"/>
  <c r="F108" i="7"/>
  <c r="Y108" i="7" s="1"/>
  <c r="G278" i="7"/>
  <c r="F279" i="7"/>
  <c r="Y279" i="7" s="1"/>
  <c r="F296" i="7"/>
  <c r="G316" i="7"/>
  <c r="Z316" i="7" s="1"/>
  <c r="AA316" i="7" s="1"/>
  <c r="F317" i="7"/>
  <c r="Y317" i="7" s="1"/>
  <c r="F328" i="7"/>
  <c r="Y328" i="7" s="1"/>
  <c r="G338" i="7"/>
  <c r="Z338" i="7" s="1"/>
  <c r="AA338" i="7" s="1"/>
  <c r="F339" i="7"/>
  <c r="G348" i="7"/>
  <c r="Z348" i="7" s="1"/>
  <c r="AA348" i="7" s="1"/>
  <c r="F349" i="7"/>
  <c r="Y349" i="7" s="1"/>
  <c r="G360" i="7"/>
  <c r="Z360" i="7" s="1"/>
  <c r="AA360" i="7" s="1"/>
  <c r="F361" i="7"/>
  <c r="Y361" i="7" s="1"/>
  <c r="G372" i="7"/>
  <c r="Z372" i="7" s="1"/>
  <c r="AA372" i="7" s="1"/>
  <c r="F373" i="7"/>
  <c r="Y373" i="7" s="1"/>
  <c r="G383" i="7"/>
  <c r="F384" i="7"/>
  <c r="Y384" i="7" s="1"/>
  <c r="G394" i="7"/>
  <c r="Z394" i="7" s="1"/>
  <c r="AA394" i="7" s="1"/>
  <c r="F395" i="7"/>
  <c r="Y395" i="7" s="1"/>
  <c r="F405" i="7"/>
  <c r="G415" i="7"/>
  <c r="Z415" i="7" s="1"/>
  <c r="AA415" i="7" s="1"/>
  <c r="F416" i="7"/>
  <c r="Y416" i="7" s="1"/>
  <c r="G426" i="7"/>
  <c r="Z426" i="7" s="1"/>
  <c r="AA426" i="7" s="1"/>
  <c r="F427" i="7"/>
  <c r="G437" i="7"/>
  <c r="Z437" i="7" s="1"/>
  <c r="AA437" i="7" s="1"/>
  <c r="F438" i="7"/>
  <c r="Y438" i="7" s="1"/>
  <c r="G447" i="7"/>
  <c r="Z447" i="7" s="1"/>
  <c r="AA447" i="7" s="1"/>
  <c r="F448" i="7"/>
  <c r="G457" i="7"/>
  <c r="Z457" i="7" s="1"/>
  <c r="AA457" i="7" s="1"/>
  <c r="F458" i="7"/>
  <c r="Y458" i="7" s="1"/>
  <c r="G468" i="7"/>
  <c r="Z468" i="7" s="1"/>
  <c r="AA468" i="7" s="1"/>
  <c r="F469" i="7"/>
  <c r="G479" i="7"/>
  <c r="Z479" i="7" s="1"/>
  <c r="AA479" i="7" s="1"/>
  <c r="F480" i="7"/>
  <c r="Y480" i="7" s="1"/>
  <c r="G490" i="7"/>
  <c r="Z490" i="7" s="1"/>
  <c r="AA490" i="7" s="1"/>
  <c r="F491" i="7"/>
  <c r="G501" i="7"/>
  <c r="Z501" i="7" s="1"/>
  <c r="AA501" i="7" s="1"/>
  <c r="F502" i="7"/>
  <c r="Y502" i="7" s="1"/>
  <c r="F513" i="7"/>
  <c r="Y513" i="7" s="1"/>
  <c r="G524" i="7"/>
  <c r="Z524" i="7" s="1"/>
  <c r="AA524" i="7" s="1"/>
  <c r="F525" i="7"/>
  <c r="Y525" i="7" s="1"/>
  <c r="G536" i="7"/>
  <c r="F537" i="7"/>
  <c r="Y537" i="7" s="1"/>
  <c r="G546" i="7"/>
  <c r="Z546" i="7" s="1"/>
  <c r="AA546" i="7" s="1"/>
  <c r="F547" i="7"/>
  <c r="Y547" i="7" s="1"/>
  <c r="G558" i="7"/>
  <c r="F559" i="7"/>
  <c r="Y559" i="7" s="1"/>
  <c r="G570" i="7"/>
  <c r="F571" i="7"/>
  <c r="Y571" i="7" s="1"/>
  <c r="G581" i="7"/>
  <c r="Z581" i="7" s="1"/>
  <c r="AA581" i="7" s="1"/>
  <c r="F582" i="7"/>
  <c r="Y582" i="7" s="1"/>
  <c r="G593" i="7"/>
  <c r="Z593" i="7" s="1"/>
  <c r="AA593" i="7" s="1"/>
  <c r="F594" i="7"/>
  <c r="Y594" i="7" s="1"/>
  <c r="G88" i="7"/>
  <c r="F93" i="7"/>
  <c r="F107" i="7"/>
  <c r="G144" i="7"/>
  <c r="Z144" i="7" s="1"/>
  <c r="AA144" i="7" s="1"/>
  <c r="F145" i="7"/>
  <c r="Y145" i="7" s="1"/>
  <c r="G221" i="7"/>
  <c r="Z221" i="7" s="1"/>
  <c r="AA221" i="7" s="1"/>
  <c r="F222" i="7"/>
  <c r="G312" i="7"/>
  <c r="Z312" i="7" s="1"/>
  <c r="AA312" i="7" s="1"/>
  <c r="F313" i="7"/>
  <c r="G317" i="7"/>
  <c r="Z317" i="7" s="1"/>
  <c r="AA317" i="7" s="1"/>
  <c r="F318" i="7"/>
  <c r="Y318" i="7" s="1"/>
  <c r="G328" i="7"/>
  <c r="Z328" i="7" s="1"/>
  <c r="AA328" i="7" s="1"/>
  <c r="F329" i="7"/>
  <c r="Y329" i="7" s="1"/>
  <c r="G339" i="7"/>
  <c r="Z339" i="7" s="1"/>
  <c r="AA339" i="7" s="1"/>
  <c r="F340" i="7"/>
  <c r="Y340" i="7" s="1"/>
  <c r="G349" i="7"/>
  <c r="F350" i="7"/>
  <c r="Y350" i="7" s="1"/>
  <c r="G361" i="7"/>
  <c r="Z361" i="7" s="1"/>
  <c r="AA361" i="7" s="1"/>
  <c r="F362" i="7"/>
  <c r="G373" i="7"/>
  <c r="Z373" i="7" s="1"/>
  <c r="AA373" i="7" s="1"/>
  <c r="F374" i="7"/>
  <c r="G384" i="7"/>
  <c r="Z384" i="7" s="1"/>
  <c r="AA384" i="7" s="1"/>
  <c r="F385" i="7"/>
  <c r="Y385" i="7" s="1"/>
  <c r="G395" i="7"/>
  <c r="Z395" i="7" s="1"/>
  <c r="AA395" i="7" s="1"/>
  <c r="F396" i="7"/>
  <c r="Y396" i="7" s="1"/>
  <c r="G405" i="7"/>
  <c r="Z405" i="7" s="1"/>
  <c r="AA405" i="7" s="1"/>
  <c r="F406" i="7"/>
  <c r="Y406" i="7" s="1"/>
  <c r="G416" i="7"/>
  <c r="F417" i="7"/>
  <c r="Y417" i="7" s="1"/>
  <c r="G427" i="7"/>
  <c r="Z427" i="7" s="1"/>
  <c r="AA427" i="7" s="1"/>
  <c r="F428" i="7"/>
  <c r="Y428" i="7" s="1"/>
  <c r="G438" i="7"/>
  <c r="Z438" i="7" s="1"/>
  <c r="AA438" i="7" s="1"/>
  <c r="G448" i="7"/>
  <c r="F449" i="7"/>
  <c r="Y449" i="7" s="1"/>
  <c r="G458" i="7"/>
  <c r="Z458" i="7" s="1"/>
  <c r="AA458" i="7" s="1"/>
  <c r="F459" i="7"/>
  <c r="Y459" i="7" s="1"/>
  <c r="G469" i="7"/>
  <c r="Z469" i="7" s="1"/>
  <c r="AA469" i="7" s="1"/>
  <c r="F470" i="7"/>
  <c r="Y470" i="7" s="1"/>
  <c r="G480" i="7"/>
  <c r="F481" i="7"/>
  <c r="Y481" i="7" s="1"/>
  <c r="G491" i="7"/>
  <c r="Z491" i="7" s="1"/>
  <c r="AA491" i="7" s="1"/>
  <c r="F492" i="7"/>
  <c r="Y492" i="7" s="1"/>
  <c r="G502" i="7"/>
  <c r="Z502" i="7" s="1"/>
  <c r="AA502" i="7" s="1"/>
  <c r="F503" i="7"/>
  <c r="Y503" i="7" s="1"/>
  <c r="G513" i="7"/>
  <c r="Z513" i="7" s="1"/>
  <c r="AA513" i="7" s="1"/>
  <c r="F514" i="7"/>
  <c r="Y514" i="7" s="1"/>
  <c r="G525" i="7"/>
  <c r="F526" i="7"/>
  <c r="Y526" i="7" s="1"/>
  <c r="G537" i="7"/>
  <c r="Z537" i="7" s="1"/>
  <c r="AA537" i="7" s="1"/>
  <c r="F538" i="7"/>
  <c r="Y538" i="7" s="1"/>
  <c r="G547" i="7"/>
  <c r="Z547" i="7" s="1"/>
  <c r="AA547" i="7" s="1"/>
  <c r="F548" i="7"/>
  <c r="Y548" i="7" s="1"/>
  <c r="G559" i="7"/>
  <c r="Z559" i="7" s="1"/>
  <c r="AA559" i="7" s="1"/>
  <c r="F560" i="7"/>
  <c r="Y560" i="7" s="1"/>
  <c r="G571" i="7"/>
  <c r="F572" i="7"/>
  <c r="Y572" i="7" s="1"/>
  <c r="G582" i="7"/>
  <c r="Z582" i="7" s="1"/>
  <c r="AA582" i="7" s="1"/>
  <c r="F583" i="7"/>
  <c r="Y583" i="7" s="1"/>
  <c r="G594" i="7"/>
  <c r="F595" i="7"/>
  <c r="Y595" i="7" s="1"/>
  <c r="F26" i="7"/>
  <c r="Y26" i="7" s="1"/>
  <c r="G39" i="7"/>
  <c r="G87" i="7"/>
  <c r="Z87" i="7" s="1"/>
  <c r="AA87" i="7" s="1"/>
  <c r="F102" i="7"/>
  <c r="Y102" i="7" s="1"/>
  <c r="G160" i="7"/>
  <c r="F161" i="7"/>
  <c r="Y161" i="7" s="1"/>
  <c r="G180" i="7"/>
  <c r="Z180" i="7" s="1"/>
  <c r="AA180" i="7" s="1"/>
  <c r="F199" i="7"/>
  <c r="Y199" i="7" s="1"/>
  <c r="G318" i="7"/>
  <c r="Z318" i="7" s="1"/>
  <c r="AA318" i="7" s="1"/>
  <c r="F319" i="7"/>
  <c r="Y319" i="7" s="1"/>
  <c r="G329" i="7"/>
  <c r="F330" i="7"/>
  <c r="Y330" i="7" s="1"/>
  <c r="G340" i="7"/>
  <c r="G350" i="7"/>
  <c r="Z350" i="7" s="1"/>
  <c r="AA350" i="7" s="1"/>
  <c r="F351" i="7"/>
  <c r="G362" i="7"/>
  <c r="Z362" i="7" s="1"/>
  <c r="AA362" i="7" s="1"/>
  <c r="F363" i="7"/>
  <c r="Y363" i="7" s="1"/>
  <c r="G374" i="7"/>
  <c r="F375" i="7"/>
  <c r="Y375" i="7" s="1"/>
  <c r="G385" i="7"/>
  <c r="Z385" i="7" s="1"/>
  <c r="AA385" i="7" s="1"/>
  <c r="F386" i="7"/>
  <c r="G396" i="7"/>
  <c r="Z396" i="7" s="1"/>
  <c r="AA396" i="7" s="1"/>
  <c r="G406" i="7"/>
  <c r="Z406" i="7" s="1"/>
  <c r="AA406" i="7" s="1"/>
  <c r="F407" i="7"/>
  <c r="Y407" i="7" s="1"/>
  <c r="G417" i="7"/>
  <c r="Z417" i="7" s="1"/>
  <c r="AA417" i="7" s="1"/>
  <c r="F418" i="7"/>
  <c r="Y418" i="7" s="1"/>
  <c r="G428" i="7"/>
  <c r="Z428" i="7" s="1"/>
  <c r="AA428" i="7" s="1"/>
  <c r="F439" i="7"/>
  <c r="Y439" i="7" s="1"/>
  <c r="G449" i="7"/>
  <c r="Z449" i="7" s="1"/>
  <c r="AA449" i="7" s="1"/>
  <c r="F450" i="7"/>
  <c r="G459" i="7"/>
  <c r="F460" i="7"/>
  <c r="G470" i="7"/>
  <c r="Z470" i="7" s="1"/>
  <c r="AA470" i="7" s="1"/>
  <c r="F471" i="7"/>
  <c r="Y471" i="7" s="1"/>
  <c r="G481" i="7"/>
  <c r="G492" i="7"/>
  <c r="G503" i="7"/>
  <c r="Z503" i="7" s="1"/>
  <c r="AA503" i="7" s="1"/>
  <c r="F504" i="7"/>
  <c r="G514" i="7"/>
  <c r="F515" i="7"/>
  <c r="Y515" i="7" s="1"/>
  <c r="G526" i="7"/>
  <c r="Z526" i="7" s="1"/>
  <c r="AA526" i="7" s="1"/>
  <c r="F527" i="7"/>
  <c r="Y527" i="7" s="1"/>
  <c r="G538" i="7"/>
  <c r="Z538" i="7" s="1"/>
  <c r="AA538" i="7" s="1"/>
  <c r="F539" i="7"/>
  <c r="Y539" i="7" s="1"/>
  <c r="G548" i="7"/>
  <c r="Z548" i="7" s="1"/>
  <c r="AA548" i="7" s="1"/>
  <c r="F549" i="7"/>
  <c r="Y549" i="7" s="1"/>
  <c r="G560" i="7"/>
  <c r="Z560" i="7" s="1"/>
  <c r="AA560" i="7" s="1"/>
  <c r="F561" i="7"/>
  <c r="Y561" i="7" s="1"/>
  <c r="G572" i="7"/>
  <c r="Z572" i="7" s="1"/>
  <c r="AA572" i="7" s="1"/>
  <c r="F573" i="7"/>
  <c r="Y573" i="7" s="1"/>
  <c r="G583" i="7"/>
  <c r="Z583" i="7" s="1"/>
  <c r="AA583" i="7" s="1"/>
  <c r="F584" i="7"/>
  <c r="Y584" i="7" s="1"/>
  <c r="G595" i="7"/>
  <c r="F596" i="7"/>
  <c r="Y596" i="7" s="1"/>
  <c r="G216" i="7"/>
  <c r="F217" i="7"/>
  <c r="Y217" i="7" s="1"/>
  <c r="F237" i="7"/>
  <c r="Y237" i="7" s="1"/>
  <c r="G255" i="7"/>
  <c r="Z255" i="7" s="1"/>
  <c r="AA255" i="7" s="1"/>
  <c r="F256" i="7"/>
  <c r="G273" i="7"/>
  <c r="Z273" i="7" s="1"/>
  <c r="AA273" i="7" s="1"/>
  <c r="F274" i="7"/>
  <c r="Y274" i="7" s="1"/>
  <c r="G319" i="7"/>
  <c r="Z319" i="7" s="1"/>
  <c r="AA319" i="7" s="1"/>
  <c r="F320" i="7"/>
  <c r="Y320" i="7" s="1"/>
  <c r="G330" i="7"/>
  <c r="Z330" i="7" s="1"/>
  <c r="AA330" i="7" s="1"/>
  <c r="F331" i="7"/>
  <c r="Y331" i="7" s="1"/>
  <c r="F341" i="7"/>
  <c r="Y341" i="7" s="1"/>
  <c r="G351" i="7"/>
  <c r="Z351" i="7" s="1"/>
  <c r="AA351" i="7" s="1"/>
  <c r="F352" i="7"/>
  <c r="Y352" i="7" s="1"/>
  <c r="G363" i="7"/>
  <c r="F364" i="7"/>
  <c r="Y364" i="7" s="1"/>
  <c r="G375" i="7"/>
  <c r="Z375" i="7" s="1"/>
  <c r="AA375" i="7" s="1"/>
  <c r="F376" i="7"/>
  <c r="Y376" i="7" s="1"/>
  <c r="G386" i="7"/>
  <c r="Z386" i="7" s="1"/>
  <c r="AA386" i="7" s="1"/>
  <c r="F387" i="7"/>
  <c r="Y387" i="7" s="1"/>
  <c r="F397" i="7"/>
  <c r="Y397" i="7" s="1"/>
  <c r="G407" i="7"/>
  <c r="F408" i="7"/>
  <c r="Y408" i="7" s="1"/>
  <c r="G418" i="7"/>
  <c r="Z418" i="7" s="1"/>
  <c r="AA418" i="7" s="1"/>
  <c r="F419" i="7"/>
  <c r="Y419" i="7" s="1"/>
  <c r="F429" i="7"/>
  <c r="Y429" i="7" s="1"/>
  <c r="G439" i="7"/>
  <c r="Z439" i="7" s="1"/>
  <c r="AA439" i="7" s="1"/>
  <c r="F440" i="7"/>
  <c r="Y440" i="7" s="1"/>
  <c r="G450" i="7"/>
  <c r="Z450" i="7" s="1"/>
  <c r="AA450" i="7" s="1"/>
  <c r="F451" i="7"/>
  <c r="Y451" i="7" s="1"/>
  <c r="G460" i="7"/>
  <c r="F461" i="7"/>
  <c r="Y461" i="7" s="1"/>
  <c r="G471" i="7"/>
  <c r="Z471" i="7" s="1"/>
  <c r="AA471" i="7" s="1"/>
  <c r="F472" i="7"/>
  <c r="F482" i="7"/>
  <c r="Y482" i="7" s="1"/>
  <c r="F493" i="7"/>
  <c r="Y493" i="7" s="1"/>
  <c r="G504" i="7"/>
  <c r="Z504" i="7" s="1"/>
  <c r="AA504" i="7" s="1"/>
  <c r="F505" i="7"/>
  <c r="Y505" i="7" s="1"/>
  <c r="G515" i="7"/>
  <c r="Z515" i="7" s="1"/>
  <c r="AA515" i="7" s="1"/>
  <c r="F516" i="7"/>
  <c r="Y516" i="7" s="1"/>
  <c r="G527" i="7"/>
  <c r="F528" i="7"/>
  <c r="Y528" i="7" s="1"/>
  <c r="G539" i="7"/>
  <c r="Z539" i="7" s="1"/>
  <c r="AA539" i="7" s="1"/>
  <c r="G549" i="7"/>
  <c r="Z549" i="7" s="1"/>
  <c r="AA549" i="7" s="1"/>
  <c r="F550" i="7"/>
  <c r="Y550" i="7" s="1"/>
  <c r="G561" i="7"/>
  <c r="Z561" i="7" s="1"/>
  <c r="AA561" i="7" s="1"/>
  <c r="F562" i="7"/>
  <c r="Y562" i="7" s="1"/>
  <c r="G573" i="7"/>
  <c r="Z573" i="7" s="1"/>
  <c r="AA573" i="7" s="1"/>
  <c r="F574" i="7"/>
  <c r="Y574" i="7" s="1"/>
  <c r="G584" i="7"/>
  <c r="Z584" i="7" s="1"/>
  <c r="AA584" i="7" s="1"/>
  <c r="F585" i="7"/>
  <c r="Y585" i="7" s="1"/>
  <c r="G596" i="7"/>
  <c r="Z596" i="7" s="1"/>
  <c r="AA596" i="7" s="1"/>
  <c r="G341" i="7"/>
  <c r="Z341" i="7" s="1"/>
  <c r="AA341" i="7" s="1"/>
  <c r="F342" i="7"/>
  <c r="Y342" i="7" s="1"/>
  <c r="G429" i="7"/>
  <c r="Z429" i="7" s="1"/>
  <c r="AA429" i="7" s="1"/>
  <c r="F430" i="7"/>
  <c r="Y430" i="7" s="1"/>
  <c r="G574" i="7"/>
  <c r="Z574" i="7" s="1"/>
  <c r="AA574" i="7" s="1"/>
  <c r="F575" i="7"/>
  <c r="Y575" i="7" s="1"/>
  <c r="F577" i="7"/>
  <c r="G600" i="7"/>
  <c r="Z600" i="7" s="1"/>
  <c r="AA600" i="7" s="1"/>
  <c r="G609" i="7"/>
  <c r="Z609" i="7" s="1"/>
  <c r="AA609" i="7" s="1"/>
  <c r="F610" i="7"/>
  <c r="Y610" i="7" s="1"/>
  <c r="F612" i="7"/>
  <c r="Y612" i="7" s="1"/>
  <c r="G472" i="7"/>
  <c r="Z472" i="7" s="1"/>
  <c r="AA472" i="7" s="1"/>
  <c r="F473" i="7"/>
  <c r="Y473" i="7" s="1"/>
  <c r="G516" i="7"/>
  <c r="Z516" i="7" s="1"/>
  <c r="AA516" i="7" s="1"/>
  <c r="F517" i="7"/>
  <c r="Y517" i="7" s="1"/>
  <c r="F601" i="7"/>
  <c r="Y601" i="7" s="1"/>
  <c r="G610" i="7"/>
  <c r="Z610" i="7" s="1"/>
  <c r="AA610" i="7" s="1"/>
  <c r="F611" i="7"/>
  <c r="F602" i="7"/>
  <c r="G611" i="7"/>
  <c r="Z611" i="7" s="1"/>
  <c r="AA611" i="7" s="1"/>
  <c r="F213" i="7"/>
  <c r="Y213" i="7" s="1"/>
  <c r="G397" i="7"/>
  <c r="Z397" i="7" s="1"/>
  <c r="AA397" i="7" s="1"/>
  <c r="F398" i="7"/>
  <c r="Y398" i="7" s="1"/>
  <c r="G601" i="7"/>
  <c r="Z601" i="7" s="1"/>
  <c r="AA601" i="7" s="1"/>
  <c r="G352" i="7"/>
  <c r="Z352" i="7" s="1"/>
  <c r="AA352" i="7" s="1"/>
  <c r="F353" i="7"/>
  <c r="Y353" i="7" s="1"/>
  <c r="G440" i="7"/>
  <c r="Z440" i="7" s="1"/>
  <c r="AA440" i="7" s="1"/>
  <c r="F441" i="7"/>
  <c r="Y441" i="7" s="1"/>
  <c r="G528" i="7"/>
  <c r="F529" i="7"/>
  <c r="Y529" i="7" s="1"/>
  <c r="G602" i="7"/>
  <c r="Z602" i="7" s="1"/>
  <c r="AA602" i="7" s="1"/>
  <c r="F603" i="7"/>
  <c r="Y603" i="7" s="1"/>
  <c r="G612" i="7"/>
  <c r="F604" i="7"/>
  <c r="Y604" i="7" s="1"/>
  <c r="G585" i="7"/>
  <c r="Z585" i="7" s="1"/>
  <c r="AA585" i="7" s="1"/>
  <c r="G604" i="7"/>
  <c r="Z604" i="7" s="1"/>
  <c r="AA604" i="7" s="1"/>
  <c r="G613" i="7"/>
  <c r="Z613" i="7" s="1"/>
  <c r="AA613" i="7" s="1"/>
  <c r="G588" i="7"/>
  <c r="Z588" i="7" s="1"/>
  <c r="AA588" i="7" s="1"/>
  <c r="F589" i="7"/>
  <c r="G603" i="7"/>
  <c r="Z603" i="7" s="1"/>
  <c r="AA603" i="7" s="1"/>
  <c r="F613" i="7"/>
  <c r="Y613" i="7" s="1"/>
  <c r="A621" i="7"/>
  <c r="G307" i="7"/>
  <c r="Z307" i="7" s="1"/>
  <c r="AA307" i="7" s="1"/>
  <c r="F308" i="7"/>
  <c r="Y308" i="7" s="1"/>
  <c r="G364" i="7"/>
  <c r="Z364" i="7" s="1"/>
  <c r="AA364" i="7" s="1"/>
  <c r="F365" i="7"/>
  <c r="Y365" i="7" s="1"/>
  <c r="G408" i="7"/>
  <c r="Z408" i="7" s="1"/>
  <c r="AA408" i="7" s="1"/>
  <c r="F409" i="7"/>
  <c r="Y409" i="7" s="1"/>
  <c r="G482" i="7"/>
  <c r="Z482" i="7" s="1"/>
  <c r="AA482" i="7" s="1"/>
  <c r="F483" i="7"/>
  <c r="Y483" i="7" s="1"/>
  <c r="F540" i="7"/>
  <c r="Y540" i="7" s="1"/>
  <c r="F586" i="7"/>
  <c r="Y586" i="7" s="1"/>
  <c r="F614" i="7"/>
  <c r="Y614" i="7" s="1"/>
  <c r="G608" i="7"/>
  <c r="Z608" i="7" s="1"/>
  <c r="AA608" i="7" s="1"/>
  <c r="G51" i="7"/>
  <c r="Z51" i="7" s="1"/>
  <c r="AA51" i="7" s="1"/>
  <c r="G195" i="7"/>
  <c r="Z195" i="7" s="1"/>
  <c r="AA195" i="7" s="1"/>
  <c r="F196" i="7"/>
  <c r="Y196" i="7" s="1"/>
  <c r="G320" i="7"/>
  <c r="Z320" i="7" s="1"/>
  <c r="AA320" i="7" s="1"/>
  <c r="F321" i="7"/>
  <c r="Y321" i="7" s="1"/>
  <c r="G451" i="7"/>
  <c r="Z451" i="7" s="1"/>
  <c r="AA451" i="7" s="1"/>
  <c r="F452" i="7"/>
  <c r="Y452" i="7" s="1"/>
  <c r="F605" i="7"/>
  <c r="Y605" i="7" s="1"/>
  <c r="G614" i="7"/>
  <c r="Z614" i="7" s="1"/>
  <c r="AA614" i="7" s="1"/>
  <c r="X621" i="7"/>
  <c r="G605" i="7"/>
  <c r="Z605" i="7" s="1"/>
  <c r="AA605" i="7" s="1"/>
  <c r="F620" i="7"/>
  <c r="Y620" i="7" s="1"/>
  <c r="G376" i="7"/>
  <c r="Z376" i="7" s="1"/>
  <c r="AA376" i="7" s="1"/>
  <c r="F377" i="7"/>
  <c r="F606" i="7"/>
  <c r="Y606" i="7" s="1"/>
  <c r="F38" i="7"/>
  <c r="Y38" i="7" s="1"/>
  <c r="G419" i="7"/>
  <c r="F420" i="7"/>
  <c r="Y420" i="7" s="1"/>
  <c r="G493" i="7"/>
  <c r="F494" i="7"/>
  <c r="Y494" i="7" s="1"/>
  <c r="G550" i="7"/>
  <c r="Z550" i="7" s="1"/>
  <c r="AA550" i="7" s="1"/>
  <c r="F551" i="7"/>
  <c r="Y551" i="7" s="1"/>
  <c r="G606" i="7"/>
  <c r="Z606" i="7" s="1"/>
  <c r="AA606" i="7" s="1"/>
  <c r="F607" i="7"/>
  <c r="Y607" i="7" s="1"/>
  <c r="G620" i="7"/>
  <c r="F388" i="7"/>
  <c r="Y388" i="7" s="1"/>
  <c r="G461" i="7"/>
  <c r="Z461" i="7" s="1"/>
  <c r="AA461" i="7" s="1"/>
  <c r="G505" i="7"/>
  <c r="Z505" i="7" s="1"/>
  <c r="AA505" i="7" s="1"/>
  <c r="G562" i="7"/>
  <c r="Z562" i="7" s="1"/>
  <c r="AA562" i="7" s="1"/>
  <c r="G598" i="7"/>
  <c r="Z598" i="7" s="1"/>
  <c r="AA598" i="7" s="1"/>
  <c r="G599" i="7"/>
  <c r="Z599" i="7" s="1"/>
  <c r="AA599" i="7" s="1"/>
  <c r="F609" i="7"/>
  <c r="G622" i="7"/>
  <c r="Z622" i="7" s="1"/>
  <c r="AA622" i="7" s="1"/>
  <c r="G331" i="7"/>
  <c r="Z331" i="7" s="1"/>
  <c r="AA331" i="7" s="1"/>
  <c r="F597" i="7"/>
  <c r="Y597" i="7" s="1"/>
  <c r="F598" i="7"/>
  <c r="Y598" i="7" s="1"/>
  <c r="G607" i="7"/>
  <c r="F608" i="7"/>
  <c r="Y608" i="7" s="1"/>
  <c r="F86" i="7"/>
  <c r="Y86" i="7" s="1"/>
  <c r="G387" i="7"/>
  <c r="Z387" i="7" s="1"/>
  <c r="AA387" i="7" s="1"/>
  <c r="F462" i="7"/>
  <c r="Y462" i="7" s="1"/>
  <c r="F506" i="7"/>
  <c r="Y506" i="7" s="1"/>
  <c r="F563" i="7"/>
  <c r="Y563" i="7" s="1"/>
  <c r="F599" i="7"/>
  <c r="Y599" i="7" s="1"/>
  <c r="F622" i="7"/>
  <c r="Y622" i="7" s="1"/>
  <c r="F600" i="7"/>
  <c r="Y17" i="7"/>
  <c r="Z127" i="7"/>
  <c r="AA127" i="7" s="1"/>
  <c r="G78" i="5"/>
  <c r="I78" i="5"/>
  <c r="Y54" i="7"/>
  <c r="Z40" i="7"/>
  <c r="AA40" i="7" s="1"/>
  <c r="Y79" i="7"/>
  <c r="Y110" i="7"/>
  <c r="Z129" i="7"/>
  <c r="AA129" i="7" s="1"/>
  <c r="Z92" i="7"/>
  <c r="AA92" i="7" s="1"/>
  <c r="G71" i="5"/>
  <c r="I71" i="5"/>
  <c r="K200" i="5"/>
  <c r="K267" i="5"/>
  <c r="O5" i="5"/>
  <c r="O25" i="5"/>
  <c r="O37" i="5"/>
  <c r="O49" i="5"/>
  <c r="O10" i="5"/>
  <c r="O12" i="5"/>
  <c r="O14" i="5"/>
  <c r="O16" i="5"/>
  <c r="O28" i="5"/>
  <c r="O40" i="5"/>
  <c r="O52" i="5"/>
  <c r="O19" i="5"/>
  <c r="O31" i="5"/>
  <c r="O43" i="5"/>
  <c r="O4" i="5"/>
  <c r="O24" i="5"/>
  <c r="O36" i="5"/>
  <c r="O48" i="5"/>
  <c r="O20" i="5"/>
  <c r="O38" i="5"/>
  <c r="O58" i="5"/>
  <c r="O17" i="5"/>
  <c r="O18" i="5"/>
  <c r="O53" i="5"/>
  <c r="O63" i="5"/>
  <c r="O75" i="5"/>
  <c r="O7" i="5"/>
  <c r="O9" i="5"/>
  <c r="O11" i="5"/>
  <c r="O13" i="5"/>
  <c r="O15" i="5"/>
  <c r="O34" i="5"/>
  <c r="O35" i="5"/>
  <c r="O6" i="5"/>
  <c r="O8" i="5"/>
  <c r="O33" i="5"/>
  <c r="O51" i="5"/>
  <c r="O54" i="5"/>
  <c r="O61" i="5"/>
  <c r="O2" i="5"/>
  <c r="O32" i="5"/>
  <c r="O50" i="5"/>
  <c r="O3" i="5"/>
  <c r="O29" i="5"/>
  <c r="O30" i="5"/>
  <c r="O55" i="5"/>
  <c r="O59" i="5"/>
  <c r="O27" i="5"/>
  <c r="O45" i="5"/>
  <c r="O56" i="5"/>
  <c r="O22" i="5"/>
  <c r="O23" i="5"/>
  <c r="O21" i="5"/>
  <c r="O39" i="5"/>
  <c r="O72" i="5"/>
  <c r="O83" i="5"/>
  <c r="O95" i="5"/>
  <c r="O107" i="5"/>
  <c r="O119" i="5"/>
  <c r="O62" i="5"/>
  <c r="O69" i="5"/>
  <c r="O88" i="5"/>
  <c r="O100" i="5"/>
  <c r="O112" i="5"/>
  <c r="O41" i="5"/>
  <c r="O57" i="5"/>
  <c r="O76" i="5"/>
  <c r="O81" i="5"/>
  <c r="O93" i="5"/>
  <c r="O46" i="5"/>
  <c r="O73" i="5"/>
  <c r="O86" i="5"/>
  <c r="O79" i="5"/>
  <c r="O47" i="5"/>
  <c r="O26" i="5"/>
  <c r="O74" i="5"/>
  <c r="O82" i="5"/>
  <c r="O94" i="5"/>
  <c r="O106" i="5"/>
  <c r="O64" i="5"/>
  <c r="O71" i="5"/>
  <c r="O87" i="5"/>
  <c r="O65" i="5"/>
  <c r="O66" i="5"/>
  <c r="O80" i="5"/>
  <c r="O92" i="5"/>
  <c r="O104" i="5"/>
  <c r="O44" i="5"/>
  <c r="O60" i="5"/>
  <c r="O91" i="5"/>
  <c r="O77" i="5"/>
  <c r="O121" i="5"/>
  <c r="O133" i="5"/>
  <c r="O145" i="5"/>
  <c r="O118" i="5"/>
  <c r="O126" i="5"/>
  <c r="O138" i="5"/>
  <c r="O85" i="5"/>
  <c r="O131" i="5"/>
  <c r="O90" i="5"/>
  <c r="O98" i="5"/>
  <c r="O99" i="5"/>
  <c r="O101" i="5"/>
  <c r="O102" i="5"/>
  <c r="O103" i="5"/>
  <c r="O108" i="5"/>
  <c r="O109" i="5"/>
  <c r="O110" i="5"/>
  <c r="O111" i="5"/>
  <c r="O113" i="5"/>
  <c r="O124" i="5"/>
  <c r="O136" i="5"/>
  <c r="O84" i="5"/>
  <c r="O96" i="5"/>
  <c r="O97" i="5"/>
  <c r="O105" i="5"/>
  <c r="O114" i="5"/>
  <c r="O129" i="5"/>
  <c r="O141" i="5"/>
  <c r="O153" i="5"/>
  <c r="O67" i="5"/>
  <c r="O89" i="5"/>
  <c r="O70" i="5"/>
  <c r="O120" i="5"/>
  <c r="O132" i="5"/>
  <c r="O42" i="5"/>
  <c r="O78" i="5"/>
  <c r="O116" i="5"/>
  <c r="O125" i="5"/>
  <c r="O149" i="5"/>
  <c r="O166" i="5"/>
  <c r="O178" i="5"/>
  <c r="O190" i="5"/>
  <c r="O115" i="5"/>
  <c r="O130" i="5"/>
  <c r="O134" i="5"/>
  <c r="O137" i="5"/>
  <c r="O139" i="5"/>
  <c r="O154" i="5"/>
  <c r="O164" i="5"/>
  <c r="O140" i="5"/>
  <c r="O150" i="5"/>
  <c r="O157" i="5"/>
  <c r="O169" i="5"/>
  <c r="O181" i="5"/>
  <c r="O128" i="5"/>
  <c r="O127" i="5"/>
  <c r="O146" i="5"/>
  <c r="O155" i="5"/>
  <c r="O167" i="5"/>
  <c r="O117" i="5"/>
  <c r="O123" i="5"/>
  <c r="O151" i="5"/>
  <c r="O160" i="5"/>
  <c r="O172" i="5"/>
  <c r="O184" i="5"/>
  <c r="O68" i="5"/>
  <c r="O122" i="5"/>
  <c r="O147" i="5"/>
  <c r="O158" i="5"/>
  <c r="O170" i="5"/>
  <c r="O182" i="5"/>
  <c r="O161" i="5"/>
  <c r="O192" i="5"/>
  <c r="O202" i="5"/>
  <c r="O214" i="5"/>
  <c r="O226" i="5"/>
  <c r="O148" i="5"/>
  <c r="O171" i="5"/>
  <c r="O195" i="5"/>
  <c r="O200" i="5"/>
  <c r="O212" i="5"/>
  <c r="O135" i="5"/>
  <c r="O143" i="5"/>
  <c r="O165" i="5"/>
  <c r="O175" i="5"/>
  <c r="O177" i="5"/>
  <c r="O186" i="5"/>
  <c r="O193" i="5"/>
  <c r="O205" i="5"/>
  <c r="O217" i="5"/>
  <c r="O174" i="5"/>
  <c r="O176" i="5"/>
  <c r="O185" i="5"/>
  <c r="O187" i="5"/>
  <c r="O189" i="5"/>
  <c r="O198" i="5"/>
  <c r="O156" i="5"/>
  <c r="O179" i="5"/>
  <c r="O180" i="5"/>
  <c r="O183" i="5"/>
  <c r="O188" i="5"/>
  <c r="O203" i="5"/>
  <c r="O215" i="5"/>
  <c r="O227" i="5"/>
  <c r="O159" i="5"/>
  <c r="O196" i="5"/>
  <c r="O208" i="5"/>
  <c r="O142" i="5"/>
  <c r="O191" i="5"/>
  <c r="O194" i="5"/>
  <c r="O206" i="5"/>
  <c r="O144" i="5"/>
  <c r="O162" i="5"/>
  <c r="O168" i="5"/>
  <c r="O204" i="5"/>
  <c r="O216" i="5"/>
  <c r="O228" i="5"/>
  <c r="O235" i="5"/>
  <c r="O247" i="5"/>
  <c r="O259" i="5"/>
  <c r="O173" i="5"/>
  <c r="O240" i="5"/>
  <c r="O252" i="5"/>
  <c r="O264" i="5"/>
  <c r="O197" i="5"/>
  <c r="O199" i="5"/>
  <c r="O222" i="5"/>
  <c r="O230" i="5"/>
  <c r="O231" i="5"/>
  <c r="O238" i="5"/>
  <c r="O250" i="5"/>
  <c r="O262" i="5"/>
  <c r="O274" i="5"/>
  <c r="O201" i="5"/>
  <c r="O223" i="5"/>
  <c r="O236" i="5"/>
  <c r="O248" i="5"/>
  <c r="O211" i="5"/>
  <c r="O219" i="5"/>
  <c r="O233" i="5"/>
  <c r="O241" i="5"/>
  <c r="O253" i="5"/>
  <c r="O207" i="5"/>
  <c r="O218" i="5"/>
  <c r="O163" i="5"/>
  <c r="O234" i="5"/>
  <c r="O152" i="5"/>
  <c r="O209" i="5"/>
  <c r="O243" i="5"/>
  <c r="O260" i="5"/>
  <c r="O270" i="5"/>
  <c r="O277" i="5"/>
  <c r="O289" i="5"/>
  <c r="O301" i="5"/>
  <c r="O254" i="5"/>
  <c r="O261" i="5"/>
  <c r="O282" i="5"/>
  <c r="O294" i="5"/>
  <c r="O287" i="5"/>
  <c r="O299" i="5"/>
  <c r="O210" i="5"/>
  <c r="O232" i="5"/>
  <c r="O242" i="5"/>
  <c r="O263" i="5"/>
  <c r="O275" i="5"/>
  <c r="O280" i="5"/>
  <c r="O292" i="5"/>
  <c r="O224" i="5"/>
  <c r="O237" i="5"/>
  <c r="O265" i="5"/>
  <c r="O271" i="5"/>
  <c r="O285" i="5"/>
  <c r="O297" i="5"/>
  <c r="O220" i="5"/>
  <c r="O267" i="5"/>
  <c r="O278" i="5"/>
  <c r="O290" i="5"/>
  <c r="O251" i="5"/>
  <c r="O266" i="5"/>
  <c r="O272" i="5"/>
  <c r="O283" i="5"/>
  <c r="O295" i="5"/>
  <c r="O276" i="5"/>
  <c r="O288" i="5"/>
  <c r="O213" i="5"/>
  <c r="O249" i="5"/>
  <c r="O268" i="5"/>
  <c r="O281" i="5"/>
  <c r="O293" i="5"/>
  <c r="O221" i="5"/>
  <c r="O239" i="5"/>
  <c r="O229" i="5"/>
  <c r="O255" i="5"/>
  <c r="O258" i="5"/>
  <c r="O269" i="5"/>
  <c r="O273" i="5"/>
  <c r="O279" i="5"/>
  <c r="O225" i="5"/>
  <c r="O244" i="5"/>
  <c r="O245" i="5"/>
  <c r="O256" i="5"/>
  <c r="O257" i="5"/>
  <c r="O284" i="5"/>
  <c r="O246" i="5"/>
  <c r="O300" i="5"/>
  <c r="O296" i="5"/>
  <c r="O291" i="5"/>
  <c r="O298" i="5"/>
  <c r="O286" i="5"/>
  <c r="G68" i="5"/>
  <c r="I68" i="5"/>
  <c r="K68" i="5"/>
  <c r="L68" i="5"/>
  <c r="L27" i="5"/>
  <c r="G27" i="5"/>
  <c r="I27" i="5"/>
  <c r="L40" i="5"/>
  <c r="G40" i="5"/>
  <c r="I40" i="5"/>
  <c r="K40" i="5"/>
  <c r="I22" i="5"/>
  <c r="L22" i="5"/>
  <c r="G22" i="5"/>
  <c r="K22" i="5"/>
  <c r="L79" i="5"/>
  <c r="N39" i="5"/>
  <c r="N10" i="5"/>
  <c r="N13" i="5"/>
  <c r="K14" i="5"/>
  <c r="N4" i="5"/>
  <c r="L75" i="5"/>
  <c r="K96" i="5"/>
  <c r="K111" i="5"/>
  <c r="K86" i="5"/>
  <c r="L98" i="5"/>
  <c r="K73" i="5"/>
  <c r="K166" i="5"/>
  <c r="K176" i="5"/>
  <c r="K196" i="5"/>
  <c r="K125" i="5"/>
  <c r="L159" i="5"/>
  <c r="K165" i="5"/>
  <c r="L222" i="5"/>
  <c r="K233" i="5"/>
  <c r="K222" i="5"/>
  <c r="L251" i="5"/>
  <c r="K278" i="5"/>
  <c r="K246" i="5"/>
  <c r="K229" i="5"/>
  <c r="K272" i="5"/>
  <c r="K285" i="5"/>
  <c r="K295" i="5"/>
  <c r="L280" i="5"/>
  <c r="L52" i="5"/>
  <c r="G52" i="5"/>
  <c r="I52" i="5"/>
  <c r="L39" i="5"/>
  <c r="I39" i="5"/>
  <c r="G39" i="5"/>
  <c r="G26" i="5"/>
  <c r="I26" i="5"/>
  <c r="L26" i="5"/>
  <c r="L28" i="5"/>
  <c r="G28" i="5"/>
  <c r="I28" i="5"/>
  <c r="I15" i="5"/>
  <c r="L15" i="5"/>
  <c r="G15" i="5"/>
  <c r="K84" i="5"/>
  <c r="K19" i="5"/>
  <c r="N5" i="5"/>
  <c r="N6" i="5"/>
  <c r="N11" i="5"/>
  <c r="K13" i="5"/>
  <c r="N29" i="5"/>
  <c r="N57" i="5"/>
  <c r="N30" i="5"/>
  <c r="L83" i="5"/>
  <c r="K102" i="5"/>
  <c r="K100" i="5"/>
  <c r="K153" i="5"/>
  <c r="L173" i="5"/>
  <c r="L203" i="5"/>
  <c r="L146" i="5"/>
  <c r="L168" i="5"/>
  <c r="K231" i="5"/>
  <c r="K171" i="5"/>
  <c r="L239" i="5"/>
  <c r="L230" i="5"/>
  <c r="L231" i="5"/>
  <c r="K217" i="5"/>
  <c r="K248" i="5"/>
  <c r="L290" i="5"/>
  <c r="L266" i="5"/>
  <c r="L281" i="5"/>
  <c r="L262" i="5"/>
  <c r="K212" i="5"/>
  <c r="K177" i="5"/>
  <c r="K241" i="5"/>
  <c r="K243" i="5"/>
  <c r="G48" i="5"/>
  <c r="I48" i="5"/>
  <c r="L48" i="5"/>
  <c r="L38" i="5"/>
  <c r="G38" i="5"/>
  <c r="I38" i="5"/>
  <c r="K38" i="5"/>
  <c r="G67" i="5"/>
  <c r="L67" i="5"/>
  <c r="I67" i="5"/>
  <c r="L16" i="5"/>
  <c r="G16" i="5"/>
  <c r="I16" i="5"/>
  <c r="I13" i="5"/>
  <c r="L13" i="5"/>
  <c r="G13" i="5"/>
  <c r="N59" i="5"/>
  <c r="N61" i="5"/>
  <c r="K3" i="5"/>
  <c r="K12" i="5"/>
  <c r="K20" i="5"/>
  <c r="K48" i="5"/>
  <c r="L78" i="5"/>
  <c r="L62" i="5"/>
  <c r="L51" i="5"/>
  <c r="K75" i="5"/>
  <c r="K115" i="5"/>
  <c r="L140" i="5"/>
  <c r="L139" i="5"/>
  <c r="K178" i="5"/>
  <c r="K168" i="5"/>
  <c r="K170" i="5"/>
  <c r="K232" i="5"/>
  <c r="L285" i="5"/>
  <c r="K293" i="5"/>
  <c r="L293" i="5"/>
  <c r="L205" i="5"/>
  <c r="G60" i="5"/>
  <c r="I60" i="5"/>
  <c r="L60" i="5"/>
  <c r="K60" i="5"/>
  <c r="K55" i="5"/>
  <c r="K2" i="5"/>
  <c r="K83" i="5"/>
  <c r="K88" i="5"/>
  <c r="L99" i="5"/>
  <c r="K91" i="5"/>
  <c r="K103" i="5"/>
  <c r="L105" i="5"/>
  <c r="L145" i="5"/>
  <c r="K159" i="5"/>
  <c r="K236" i="5"/>
  <c r="L208" i="5"/>
  <c r="L275" i="5"/>
  <c r="K252" i="5"/>
  <c r="L272" i="5"/>
  <c r="L255" i="5"/>
  <c r="K122" i="5"/>
  <c r="K270" i="5"/>
  <c r="I30" i="5"/>
  <c r="G30" i="5"/>
  <c r="L30" i="5"/>
  <c r="N23" i="5"/>
  <c r="N69" i="5"/>
  <c r="N88" i="5"/>
  <c r="N100" i="5"/>
  <c r="N112" i="5"/>
  <c r="N76" i="5"/>
  <c r="N81" i="5"/>
  <c r="N93" i="5"/>
  <c r="N105" i="5"/>
  <c r="N117" i="5"/>
  <c r="N73" i="5"/>
  <c r="N86" i="5"/>
  <c r="N79" i="5"/>
  <c r="N91" i="5"/>
  <c r="N25" i="5"/>
  <c r="N70" i="5"/>
  <c r="N84" i="5"/>
  <c r="N74" i="5"/>
  <c r="N43" i="5"/>
  <c r="N56" i="5"/>
  <c r="N71" i="5"/>
  <c r="N87" i="5"/>
  <c r="N99" i="5"/>
  <c r="N111" i="5"/>
  <c r="N22" i="5"/>
  <c r="N65" i="5"/>
  <c r="N66" i="5"/>
  <c r="N80" i="5"/>
  <c r="N58" i="5"/>
  <c r="N67" i="5"/>
  <c r="N85" i="5"/>
  <c r="N97" i="5"/>
  <c r="N109" i="5"/>
  <c r="N77" i="5"/>
  <c r="N92" i="5"/>
  <c r="N118" i="5"/>
  <c r="N126" i="5"/>
  <c r="N138" i="5"/>
  <c r="N150" i="5"/>
  <c r="N131" i="5"/>
  <c r="N143" i="5"/>
  <c r="N82" i="5"/>
  <c r="N90" i="5"/>
  <c r="N98" i="5"/>
  <c r="N101" i="5"/>
  <c r="N102" i="5"/>
  <c r="N103" i="5"/>
  <c r="N108" i="5"/>
  <c r="N110" i="5"/>
  <c r="N113" i="5"/>
  <c r="N124" i="5"/>
  <c r="N96" i="5"/>
  <c r="N107" i="5"/>
  <c r="N114" i="5"/>
  <c r="N119" i="5"/>
  <c r="N129" i="5"/>
  <c r="N141" i="5"/>
  <c r="N89" i="5"/>
  <c r="N104" i="5"/>
  <c r="N106" i="5"/>
  <c r="N115" i="5"/>
  <c r="N122" i="5"/>
  <c r="N134" i="5"/>
  <c r="N146" i="5"/>
  <c r="N72" i="5"/>
  <c r="N95" i="5"/>
  <c r="N120" i="5"/>
  <c r="N116" i="5"/>
  <c r="N125" i="5"/>
  <c r="N83" i="5"/>
  <c r="N60" i="5"/>
  <c r="N159" i="5"/>
  <c r="N171" i="5"/>
  <c r="N183" i="5"/>
  <c r="N121" i="5"/>
  <c r="N130" i="5"/>
  <c r="N137" i="5"/>
  <c r="N139" i="5"/>
  <c r="N154" i="5"/>
  <c r="N136" i="5"/>
  <c r="N140" i="5"/>
  <c r="N157" i="5"/>
  <c r="N169" i="5"/>
  <c r="N78" i="5"/>
  <c r="N94" i="5"/>
  <c r="N128" i="5"/>
  <c r="N135" i="5"/>
  <c r="N142" i="5"/>
  <c r="N144" i="5"/>
  <c r="N162" i="5"/>
  <c r="N174" i="5"/>
  <c r="N186" i="5"/>
  <c r="N127" i="5"/>
  <c r="N75" i="5"/>
  <c r="N123" i="5"/>
  <c r="N145" i="5"/>
  <c r="N151" i="5"/>
  <c r="N160" i="5"/>
  <c r="N172" i="5"/>
  <c r="N133" i="5"/>
  <c r="N165" i="5"/>
  <c r="N177" i="5"/>
  <c r="N189" i="5"/>
  <c r="N152" i="5"/>
  <c r="N163" i="5"/>
  <c r="N175" i="5"/>
  <c r="N187" i="5"/>
  <c r="N148" i="5"/>
  <c r="N195" i="5"/>
  <c r="N207" i="5"/>
  <c r="N219" i="5"/>
  <c r="N231" i="5"/>
  <c r="N166" i="5"/>
  <c r="N200" i="5"/>
  <c r="N153" i="5"/>
  <c r="N193" i="5"/>
  <c r="N205" i="5"/>
  <c r="N217" i="5"/>
  <c r="N170" i="5"/>
  <c r="N176" i="5"/>
  <c r="N178" i="5"/>
  <c r="N185" i="5"/>
  <c r="N198" i="5"/>
  <c r="N210" i="5"/>
  <c r="N222" i="5"/>
  <c r="N147" i="5"/>
  <c r="N156" i="5"/>
  <c r="N179" i="5"/>
  <c r="N180" i="5"/>
  <c r="N184" i="5"/>
  <c r="N188" i="5"/>
  <c r="N190" i="5"/>
  <c r="N203" i="5"/>
  <c r="N181" i="5"/>
  <c r="N182" i="5"/>
  <c r="N196" i="5"/>
  <c r="N208" i="5"/>
  <c r="N220" i="5"/>
  <c r="N232" i="5"/>
  <c r="N155" i="5"/>
  <c r="N164" i="5"/>
  <c r="N173" i="5"/>
  <c r="N201" i="5"/>
  <c r="N149" i="5"/>
  <c r="N168" i="5"/>
  <c r="N199" i="5"/>
  <c r="N211" i="5"/>
  <c r="N158" i="5"/>
  <c r="N197" i="5"/>
  <c r="N209" i="5"/>
  <c r="N221" i="5"/>
  <c r="N233" i="5"/>
  <c r="N216" i="5"/>
  <c r="N227" i="5"/>
  <c r="N240" i="5"/>
  <c r="N252" i="5"/>
  <c r="N264" i="5"/>
  <c r="N206" i="5"/>
  <c r="N215" i="5"/>
  <c r="N228" i="5"/>
  <c r="N229" i="5"/>
  <c r="N245" i="5"/>
  <c r="N257" i="5"/>
  <c r="N269" i="5"/>
  <c r="N202" i="5"/>
  <c r="N204" i="5"/>
  <c r="N132" i="5"/>
  <c r="N167" i="5"/>
  <c r="N213" i="5"/>
  <c r="N214" i="5"/>
  <c r="N243" i="5"/>
  <c r="N255" i="5"/>
  <c r="N267" i="5"/>
  <c r="N212" i="5"/>
  <c r="N241" i="5"/>
  <c r="N253" i="5"/>
  <c r="N224" i="5"/>
  <c r="N246" i="5"/>
  <c r="N258" i="5"/>
  <c r="N234" i="5"/>
  <c r="N191" i="5"/>
  <c r="N225" i="5"/>
  <c r="N237" i="5"/>
  <c r="N161" i="5"/>
  <c r="N194" i="5"/>
  <c r="N226" i="5"/>
  <c r="N235" i="5"/>
  <c r="N238" i="5"/>
  <c r="N254" i="5"/>
  <c r="N259" i="5"/>
  <c r="N261" i="5"/>
  <c r="N274" i="5"/>
  <c r="N282" i="5"/>
  <c r="N294" i="5"/>
  <c r="N262" i="5"/>
  <c r="N287" i="5"/>
  <c r="N299" i="5"/>
  <c r="N192" i="5"/>
  <c r="N242" i="5"/>
  <c r="N263" i="5"/>
  <c r="N275" i="5"/>
  <c r="N280" i="5"/>
  <c r="N292" i="5"/>
  <c r="N265" i="5"/>
  <c r="N271" i="5"/>
  <c r="N285" i="5"/>
  <c r="N297" i="5"/>
  <c r="N230" i="5"/>
  <c r="N278" i="5"/>
  <c r="N290" i="5"/>
  <c r="N251" i="5"/>
  <c r="N266" i="5"/>
  <c r="N272" i="5"/>
  <c r="N283" i="5"/>
  <c r="N276" i="5"/>
  <c r="N288" i="5"/>
  <c r="N300" i="5"/>
  <c r="N218" i="5"/>
  <c r="N249" i="5"/>
  <c r="N250" i="5"/>
  <c r="N268" i="5"/>
  <c r="N281" i="5"/>
  <c r="N293" i="5"/>
  <c r="N223" i="5"/>
  <c r="N236" i="5"/>
  <c r="N239" i="5"/>
  <c r="N248" i="5"/>
  <c r="N286" i="5"/>
  <c r="N244" i="5"/>
  <c r="N247" i="5"/>
  <c r="N256" i="5"/>
  <c r="N284" i="5"/>
  <c r="N260" i="5"/>
  <c r="N270" i="5"/>
  <c r="N277" i="5"/>
  <c r="N289" i="5"/>
  <c r="N301" i="5"/>
  <c r="N296" i="5"/>
  <c r="N273" i="5"/>
  <c r="N279" i="5"/>
  <c r="N295" i="5"/>
  <c r="N291" i="5"/>
  <c r="N298" i="5"/>
  <c r="L20" i="5"/>
  <c r="L70" i="5"/>
  <c r="L84" i="5"/>
  <c r="L77" i="5"/>
  <c r="L89" i="5"/>
  <c r="L64" i="5"/>
  <c r="L65" i="5"/>
  <c r="L85" i="5"/>
  <c r="L97" i="5"/>
  <c r="L109" i="5"/>
  <c r="L69" i="5"/>
  <c r="L71" i="5"/>
  <c r="L80" i="5"/>
  <c r="L90" i="5"/>
  <c r="L101" i="5"/>
  <c r="L113" i="5"/>
  <c r="L87" i="5"/>
  <c r="L104" i="5"/>
  <c r="L76" i="5"/>
  <c r="L94" i="5"/>
  <c r="L81" i="5"/>
  <c r="L123" i="5"/>
  <c r="L92" i="5"/>
  <c r="L93" i="5"/>
  <c r="L131" i="5"/>
  <c r="L121" i="5"/>
  <c r="L130" i="5"/>
  <c r="L118" i="5"/>
  <c r="L88" i="5"/>
  <c r="L128" i="5"/>
  <c r="L135" i="5"/>
  <c r="L138" i="5"/>
  <c r="L142" i="5"/>
  <c r="L150" i="5"/>
  <c r="L143" i="5"/>
  <c r="L155" i="5"/>
  <c r="L167" i="5"/>
  <c r="L117" i="5"/>
  <c r="L147" i="5"/>
  <c r="L152" i="5"/>
  <c r="L163" i="5"/>
  <c r="L175" i="5"/>
  <c r="L187" i="5"/>
  <c r="L116" i="5"/>
  <c r="L153" i="5"/>
  <c r="L165" i="5"/>
  <c r="L178" i="5"/>
  <c r="L156" i="5"/>
  <c r="L174" i="5"/>
  <c r="L179" i="5"/>
  <c r="L180" i="5"/>
  <c r="L188" i="5"/>
  <c r="L189" i="5"/>
  <c r="L190" i="5"/>
  <c r="L133" i="5"/>
  <c r="L164" i="5"/>
  <c r="L201" i="5"/>
  <c r="L191" i="5"/>
  <c r="L149" i="5"/>
  <c r="L199" i="5"/>
  <c r="L197" i="5"/>
  <c r="L209" i="5"/>
  <c r="L126" i="5"/>
  <c r="L154" i="5"/>
  <c r="L192" i="5"/>
  <c r="L202" i="5"/>
  <c r="L204" i="5"/>
  <c r="L213" i="5"/>
  <c r="L214" i="5"/>
  <c r="L162" i="5"/>
  <c r="L223" i="5"/>
  <c r="L212" i="5"/>
  <c r="L171" i="5"/>
  <c r="L234" i="5"/>
  <c r="L244" i="5"/>
  <c r="L256" i="5"/>
  <c r="L166" i="5"/>
  <c r="L200" i="5"/>
  <c r="L235" i="5"/>
  <c r="L228" i="5"/>
  <c r="L271" i="5"/>
  <c r="L224" i="5"/>
  <c r="L237" i="5"/>
  <c r="L240" i="5"/>
  <c r="L249" i="5"/>
  <c r="L268" i="5"/>
  <c r="L236" i="5"/>
  <c r="L248" i="5"/>
  <c r="L286" i="5"/>
  <c r="L298" i="5"/>
  <c r="L246" i="5"/>
  <c r="L273" i="5"/>
  <c r="L279" i="5"/>
  <c r="L291" i="5"/>
  <c r="L211" i="5"/>
  <c r="L227" i="5"/>
  <c r="L233" i="5"/>
  <c r="L247" i="5"/>
  <c r="L258" i="5"/>
  <c r="L269" i="5"/>
  <c r="L284" i="5"/>
  <c r="L296" i="5"/>
  <c r="L225" i="5"/>
  <c r="L254" i="5"/>
  <c r="L259" i="5"/>
  <c r="L261" i="5"/>
  <c r="L274" i="5"/>
  <c r="L282" i="5"/>
  <c r="L287" i="5"/>
  <c r="L301" i="5"/>
  <c r="L270" i="5"/>
  <c r="L294" i="5"/>
  <c r="L260" i="5"/>
  <c r="L257" i="5"/>
  <c r="L299" i="5"/>
  <c r="L245" i="5"/>
  <c r="L277" i="5"/>
  <c r="L289" i="5"/>
  <c r="L241" i="5"/>
  <c r="L292" i="5"/>
  <c r="L232" i="5"/>
  <c r="G3" i="5"/>
  <c r="I3" i="5"/>
  <c r="L3" i="5"/>
  <c r="G41" i="5"/>
  <c r="I41" i="5"/>
  <c r="L41" i="5"/>
  <c r="G47" i="5"/>
  <c r="I47" i="5"/>
  <c r="L47" i="5"/>
  <c r="L12" i="5"/>
  <c r="G12" i="5"/>
  <c r="I12" i="5"/>
  <c r="I9" i="5"/>
  <c r="L9" i="5"/>
  <c r="G9" i="5"/>
  <c r="N44" i="5"/>
  <c r="N49" i="5"/>
  <c r="N54" i="5"/>
  <c r="K71" i="5"/>
  <c r="K66" i="5"/>
  <c r="N2" i="5"/>
  <c r="K36" i="5"/>
  <c r="N27" i="5"/>
  <c r="L95" i="5"/>
  <c r="K107" i="5"/>
  <c r="L107" i="5"/>
  <c r="K105" i="5"/>
  <c r="L112" i="5"/>
  <c r="K145" i="5"/>
  <c r="K186" i="5"/>
  <c r="L170" i="5"/>
  <c r="K230" i="5"/>
  <c r="L194" i="5"/>
  <c r="L181" i="5"/>
  <c r="K208" i="5"/>
  <c r="K290" i="5"/>
  <c r="K276" i="5"/>
  <c r="L151" i="5"/>
  <c r="K207" i="5"/>
  <c r="K255" i="5"/>
  <c r="L183" i="5"/>
  <c r="K300" i="5"/>
  <c r="K90" i="5"/>
  <c r="G56" i="5"/>
  <c r="I56" i="5"/>
  <c r="L56" i="5"/>
  <c r="I11" i="5"/>
  <c r="L11" i="5"/>
  <c r="G11" i="5"/>
  <c r="Q7" i="5"/>
  <c r="Q27" i="5"/>
  <c r="Q39" i="5"/>
  <c r="Q51" i="5"/>
  <c r="Q18" i="5"/>
  <c r="Q30" i="5"/>
  <c r="Q42" i="5"/>
  <c r="Q54" i="5"/>
  <c r="Q8" i="5"/>
  <c r="Q21" i="5"/>
  <c r="Q33" i="5"/>
  <c r="Q45" i="5"/>
  <c r="Q6" i="5"/>
  <c r="Q26" i="5"/>
  <c r="Q38" i="5"/>
  <c r="Q50" i="5"/>
  <c r="Q22" i="5"/>
  <c r="Q40" i="5"/>
  <c r="Q60" i="5"/>
  <c r="Q19" i="5"/>
  <c r="Q20" i="5"/>
  <c r="Q65" i="5"/>
  <c r="Q36" i="5"/>
  <c r="Q37" i="5"/>
  <c r="Q58" i="5"/>
  <c r="Q17" i="5"/>
  <c r="Q35" i="5"/>
  <c r="Q53" i="5"/>
  <c r="Q63" i="5"/>
  <c r="Q9" i="5"/>
  <c r="Q10" i="5"/>
  <c r="Q11" i="5"/>
  <c r="Q12" i="5"/>
  <c r="Q13" i="5"/>
  <c r="Q14" i="5"/>
  <c r="Q15" i="5"/>
  <c r="Q16" i="5"/>
  <c r="Q34" i="5"/>
  <c r="Q52" i="5"/>
  <c r="Q4" i="5"/>
  <c r="Q5" i="5"/>
  <c r="Q31" i="5"/>
  <c r="Q32" i="5"/>
  <c r="Q61" i="5"/>
  <c r="Q29" i="5"/>
  <c r="Q47" i="5"/>
  <c r="Q59" i="5"/>
  <c r="Q24" i="5"/>
  <c r="Q25" i="5"/>
  <c r="Q23" i="5"/>
  <c r="Q41" i="5"/>
  <c r="Q3" i="5"/>
  <c r="Q49" i="5"/>
  <c r="Q67" i="5"/>
  <c r="Q68" i="5"/>
  <c r="Q75" i="5"/>
  <c r="Q85" i="5"/>
  <c r="Q97" i="5"/>
  <c r="Q109" i="5"/>
  <c r="Q28" i="5"/>
  <c r="Q78" i="5"/>
  <c r="Q90" i="5"/>
  <c r="Q102" i="5"/>
  <c r="Q114" i="5"/>
  <c r="Q55" i="5"/>
  <c r="Q72" i="5"/>
  <c r="Q83" i="5"/>
  <c r="Q95" i="5"/>
  <c r="Q62" i="5"/>
  <c r="Q69" i="5"/>
  <c r="Q88" i="5"/>
  <c r="Q46" i="5"/>
  <c r="Q57" i="5"/>
  <c r="Q76" i="5"/>
  <c r="Q81" i="5"/>
  <c r="Q70" i="5"/>
  <c r="Q84" i="5"/>
  <c r="Q96" i="5"/>
  <c r="Q108" i="5"/>
  <c r="Q2" i="5"/>
  <c r="Q43" i="5"/>
  <c r="Q77" i="5"/>
  <c r="Q89" i="5"/>
  <c r="Q48" i="5"/>
  <c r="Q56" i="5"/>
  <c r="Q64" i="5"/>
  <c r="Q74" i="5"/>
  <c r="Q82" i="5"/>
  <c r="Q94" i="5"/>
  <c r="Q106" i="5"/>
  <c r="Q93" i="5"/>
  <c r="Q44" i="5"/>
  <c r="Q73" i="5"/>
  <c r="Q117" i="5"/>
  <c r="Q123" i="5"/>
  <c r="Q135" i="5"/>
  <c r="Q147" i="5"/>
  <c r="Q66" i="5"/>
  <c r="Q91" i="5"/>
  <c r="Q92" i="5"/>
  <c r="Q128" i="5"/>
  <c r="Q140" i="5"/>
  <c r="Q71" i="5"/>
  <c r="Q121" i="5"/>
  <c r="Q133" i="5"/>
  <c r="Q80" i="5"/>
  <c r="Q87" i="5"/>
  <c r="Q100" i="5"/>
  <c r="Q112" i="5"/>
  <c r="Q118" i="5"/>
  <c r="Q126" i="5"/>
  <c r="Q138" i="5"/>
  <c r="Q99" i="5"/>
  <c r="Q101" i="5"/>
  <c r="Q107" i="5"/>
  <c r="Q111" i="5"/>
  <c r="Q113" i="5"/>
  <c r="Q119" i="5"/>
  <c r="Q131" i="5"/>
  <c r="Q143" i="5"/>
  <c r="Q98" i="5"/>
  <c r="Q79" i="5"/>
  <c r="Q104" i="5"/>
  <c r="Q105" i="5"/>
  <c r="Q115" i="5"/>
  <c r="Q122" i="5"/>
  <c r="Q86" i="5"/>
  <c r="Q110" i="5"/>
  <c r="Q116" i="5"/>
  <c r="Q125" i="5"/>
  <c r="Q153" i="5"/>
  <c r="Q156" i="5"/>
  <c r="Q168" i="5"/>
  <c r="Q180" i="5"/>
  <c r="Q192" i="5"/>
  <c r="Q129" i="5"/>
  <c r="Q141" i="5"/>
  <c r="Q149" i="5"/>
  <c r="Q166" i="5"/>
  <c r="Q124" i="5"/>
  <c r="Q136" i="5"/>
  <c r="Q159" i="5"/>
  <c r="Q171" i="5"/>
  <c r="Q183" i="5"/>
  <c r="Q120" i="5"/>
  <c r="Q130" i="5"/>
  <c r="Q150" i="5"/>
  <c r="Q157" i="5"/>
  <c r="Q169" i="5"/>
  <c r="Q103" i="5"/>
  <c r="Q127" i="5"/>
  <c r="Q142" i="5"/>
  <c r="Q144" i="5"/>
  <c r="Q145" i="5"/>
  <c r="Q162" i="5"/>
  <c r="Q174" i="5"/>
  <c r="Q186" i="5"/>
  <c r="Q151" i="5"/>
  <c r="Q160" i="5"/>
  <c r="Q172" i="5"/>
  <c r="Q184" i="5"/>
  <c r="Q132" i="5"/>
  <c r="Q167" i="5"/>
  <c r="Q204" i="5"/>
  <c r="Q216" i="5"/>
  <c r="Q228" i="5"/>
  <c r="Q137" i="5"/>
  <c r="Q139" i="5"/>
  <c r="Q161" i="5"/>
  <c r="Q197" i="5"/>
  <c r="Q148" i="5"/>
  <c r="Q202" i="5"/>
  <c r="Q214" i="5"/>
  <c r="Q195" i="5"/>
  <c r="Q207" i="5"/>
  <c r="Q219" i="5"/>
  <c r="Q165" i="5"/>
  <c r="Q177" i="5"/>
  <c r="Q200" i="5"/>
  <c r="Q170" i="5"/>
  <c r="Q175" i="5"/>
  <c r="Q176" i="5"/>
  <c r="Q178" i="5"/>
  <c r="Q185" i="5"/>
  <c r="Q189" i="5"/>
  <c r="Q193" i="5"/>
  <c r="Q205" i="5"/>
  <c r="Q217" i="5"/>
  <c r="Q229" i="5"/>
  <c r="Q179" i="5"/>
  <c r="Q187" i="5"/>
  <c r="Q188" i="5"/>
  <c r="Q190" i="5"/>
  <c r="Q198" i="5"/>
  <c r="Q146" i="5"/>
  <c r="Q152" i="5"/>
  <c r="Q173" i="5"/>
  <c r="Q196" i="5"/>
  <c r="Q208" i="5"/>
  <c r="Q163" i="5"/>
  <c r="Q134" i="5"/>
  <c r="Q191" i="5"/>
  <c r="Q194" i="5"/>
  <c r="Q206" i="5"/>
  <c r="Q218" i="5"/>
  <c r="Q230" i="5"/>
  <c r="Q155" i="5"/>
  <c r="Q209" i="5"/>
  <c r="Q225" i="5"/>
  <c r="Q237" i="5"/>
  <c r="Q249" i="5"/>
  <c r="Q261" i="5"/>
  <c r="Q164" i="5"/>
  <c r="Q226" i="5"/>
  <c r="Q242" i="5"/>
  <c r="Q254" i="5"/>
  <c r="Q266" i="5"/>
  <c r="Q158" i="5"/>
  <c r="Q181" i="5"/>
  <c r="Q199" i="5"/>
  <c r="Q215" i="5"/>
  <c r="Q240" i="5"/>
  <c r="Q252" i="5"/>
  <c r="Q264" i="5"/>
  <c r="Q213" i="5"/>
  <c r="Q221" i="5"/>
  <c r="Q231" i="5"/>
  <c r="Q238" i="5"/>
  <c r="Q250" i="5"/>
  <c r="Q182" i="5"/>
  <c r="Q201" i="5"/>
  <c r="Q212" i="5"/>
  <c r="Q220" i="5"/>
  <c r="Q223" i="5"/>
  <c r="Q232" i="5"/>
  <c r="Q243" i="5"/>
  <c r="Q255" i="5"/>
  <c r="Q203" i="5"/>
  <c r="Q210" i="5"/>
  <c r="Q233" i="5"/>
  <c r="Q224" i="5"/>
  <c r="Q245" i="5"/>
  <c r="Q257" i="5"/>
  <c r="Q258" i="5"/>
  <c r="Q273" i="5"/>
  <c r="Q279" i="5"/>
  <c r="Q291" i="5"/>
  <c r="Q244" i="5"/>
  <c r="Q256" i="5"/>
  <c r="Q259" i="5"/>
  <c r="Q260" i="5"/>
  <c r="Q284" i="5"/>
  <c r="Q296" i="5"/>
  <c r="Q222" i="5"/>
  <c r="Q270" i="5"/>
  <c r="Q274" i="5"/>
  <c r="Q277" i="5"/>
  <c r="Q289" i="5"/>
  <c r="Q301" i="5"/>
  <c r="Q253" i="5"/>
  <c r="Q262" i="5"/>
  <c r="Q282" i="5"/>
  <c r="Q294" i="5"/>
  <c r="Q234" i="5"/>
  <c r="Q287" i="5"/>
  <c r="Q299" i="5"/>
  <c r="Q154" i="5"/>
  <c r="Q241" i="5"/>
  <c r="Q263" i="5"/>
  <c r="Q271" i="5"/>
  <c r="Q275" i="5"/>
  <c r="Q280" i="5"/>
  <c r="Q292" i="5"/>
  <c r="Q265" i="5"/>
  <c r="Q285" i="5"/>
  <c r="Q297" i="5"/>
  <c r="Q267" i="5"/>
  <c r="Q278" i="5"/>
  <c r="Q290" i="5"/>
  <c r="Q251" i="5"/>
  <c r="Q272" i="5"/>
  <c r="Q283" i="5"/>
  <c r="Q295" i="5"/>
  <c r="Q236" i="5"/>
  <c r="Q211" i="5"/>
  <c r="Q227" i="5"/>
  <c r="Q239" i="5"/>
  <c r="Q268" i="5"/>
  <c r="Q281" i="5"/>
  <c r="Q235" i="5"/>
  <c r="Q246" i="5"/>
  <c r="Q247" i="5"/>
  <c r="Q269" i="5"/>
  <c r="Q286" i="5"/>
  <c r="Q298" i="5"/>
  <c r="Q300" i="5"/>
  <c r="Q276" i="5"/>
  <c r="Q288" i="5"/>
  <c r="Q293" i="5"/>
  <c r="Q248" i="5"/>
  <c r="G2" i="5"/>
  <c r="I2" i="5"/>
  <c r="L2" i="5"/>
  <c r="G23" i="5"/>
  <c r="I23" i="5"/>
  <c r="L23" i="5"/>
  <c r="G29" i="5"/>
  <c r="I29" i="5"/>
  <c r="L29" i="5"/>
  <c r="L10" i="5"/>
  <c r="G10" i="5"/>
  <c r="I10" i="5"/>
  <c r="L103" i="5"/>
  <c r="L17" i="5"/>
  <c r="L6" i="5"/>
  <c r="K41" i="5"/>
  <c r="N52" i="5"/>
  <c r="N68" i="5"/>
  <c r="N63" i="5"/>
  <c r="K9" i="5"/>
  <c r="K51" i="5"/>
  <c r="N33" i="5"/>
  <c r="L82" i="5"/>
  <c r="L111" i="5"/>
  <c r="L120" i="5"/>
  <c r="K143" i="5"/>
  <c r="K112" i="5"/>
  <c r="K146" i="5"/>
  <c r="K204" i="5"/>
  <c r="L160" i="5"/>
  <c r="L137" i="5"/>
  <c r="K174" i="5"/>
  <c r="K189" i="5"/>
  <c r="L198" i="5"/>
  <c r="K194" i="5"/>
  <c r="L264" i="5"/>
  <c r="K151" i="5"/>
  <c r="Z17" i="7"/>
  <c r="AA17" i="7" s="1"/>
  <c r="K183" i="5"/>
  <c r="L229" i="5"/>
  <c r="L216" i="5"/>
  <c r="K15" i="5"/>
  <c r="G32" i="5"/>
  <c r="I32" i="5"/>
  <c r="L32" i="5"/>
  <c r="I42" i="5"/>
  <c r="G42" i="5"/>
  <c r="L42" i="5"/>
  <c r="K42" i="5"/>
  <c r="G57" i="5"/>
  <c r="I57" i="5"/>
  <c r="L57" i="5"/>
  <c r="K57" i="5"/>
  <c r="I49" i="5"/>
  <c r="L49" i="5"/>
  <c r="G49" i="5"/>
  <c r="N26" i="5"/>
  <c r="N31" i="5"/>
  <c r="N51" i="5"/>
  <c r="K59" i="5"/>
  <c r="K52" i="5"/>
  <c r="K6" i="5"/>
  <c r="N48" i="5"/>
  <c r="L35" i="5"/>
  <c r="L19" i="5"/>
  <c r="K82" i="5"/>
  <c r="K98" i="5"/>
  <c r="L119" i="5"/>
  <c r="K120" i="5"/>
  <c r="L169" i="5"/>
  <c r="K162" i="5"/>
  <c r="K129" i="5"/>
  <c r="K160" i="5"/>
  <c r="K137" i="5"/>
  <c r="K180" i="5"/>
  <c r="K198" i="5"/>
  <c r="L206" i="5"/>
  <c r="L217" i="5"/>
  <c r="K264" i="5"/>
  <c r="L297" i="5"/>
  <c r="K266" i="5"/>
  <c r="L207" i="5"/>
  <c r="K258" i="5"/>
  <c r="L238" i="5"/>
  <c r="K242" i="5"/>
  <c r="I18" i="5"/>
  <c r="L18" i="5"/>
  <c r="G18" i="5"/>
  <c r="K210" i="5"/>
  <c r="K77" i="5"/>
  <c r="K89" i="5"/>
  <c r="K53" i="5"/>
  <c r="K64" i="5"/>
  <c r="K80" i="5"/>
  <c r="K101" i="5"/>
  <c r="K85" i="5"/>
  <c r="K104" i="5"/>
  <c r="K109" i="5"/>
  <c r="K61" i="5"/>
  <c r="K76" i="5"/>
  <c r="K97" i="5"/>
  <c r="K62" i="5"/>
  <c r="K95" i="5"/>
  <c r="K116" i="5"/>
  <c r="K65" i="5"/>
  <c r="K94" i="5"/>
  <c r="K81" i="5"/>
  <c r="K123" i="5"/>
  <c r="K93" i="5"/>
  <c r="K117" i="5"/>
  <c r="K128" i="5"/>
  <c r="K121" i="5"/>
  <c r="K130" i="5"/>
  <c r="K118" i="5"/>
  <c r="K139" i="5"/>
  <c r="K140" i="5"/>
  <c r="K135" i="5"/>
  <c r="K138" i="5"/>
  <c r="K142" i="5"/>
  <c r="K150" i="5"/>
  <c r="K113" i="5"/>
  <c r="K124" i="5"/>
  <c r="K133" i="5"/>
  <c r="K92" i="5"/>
  <c r="K152" i="5"/>
  <c r="K163" i="5"/>
  <c r="K175" i="5"/>
  <c r="K126" i="5"/>
  <c r="K156" i="5"/>
  <c r="K157" i="5"/>
  <c r="K179" i="5"/>
  <c r="K185" i="5"/>
  <c r="K188" i="5"/>
  <c r="K203" i="5"/>
  <c r="K147" i="5"/>
  <c r="K184" i="5"/>
  <c r="K187" i="5"/>
  <c r="K164" i="5"/>
  <c r="K181" i="5"/>
  <c r="K201" i="5"/>
  <c r="K213" i="5"/>
  <c r="K173" i="5"/>
  <c r="K191" i="5"/>
  <c r="K169" i="5"/>
  <c r="K199" i="5"/>
  <c r="K211" i="5"/>
  <c r="K223" i="5"/>
  <c r="K154" i="5"/>
  <c r="K192" i="5"/>
  <c r="K202" i="5"/>
  <c r="K161" i="5"/>
  <c r="K167" i="5"/>
  <c r="K195" i="5"/>
  <c r="K148" i="5"/>
  <c r="K158" i="5"/>
  <c r="K197" i="5"/>
  <c r="K214" i="5"/>
  <c r="K220" i="5"/>
  <c r="K218" i="5"/>
  <c r="K234" i="5"/>
  <c r="K244" i="5"/>
  <c r="K225" i="5"/>
  <c r="K237" i="5"/>
  <c r="K249" i="5"/>
  <c r="K261" i="5"/>
  <c r="K235" i="5"/>
  <c r="K209" i="5"/>
  <c r="K227" i="5"/>
  <c r="K131" i="5"/>
  <c r="K215" i="5"/>
  <c r="K238" i="5"/>
  <c r="K271" i="5"/>
  <c r="K228" i="5"/>
  <c r="K251" i="5"/>
  <c r="K268" i="5"/>
  <c r="K250" i="5"/>
  <c r="K286" i="5"/>
  <c r="K239" i="5"/>
  <c r="K273" i="5"/>
  <c r="K279" i="5"/>
  <c r="K291" i="5"/>
  <c r="K247" i="5"/>
  <c r="K269" i="5"/>
  <c r="K284" i="5"/>
  <c r="K296" i="5"/>
  <c r="K245" i="5"/>
  <c r="K256" i="5"/>
  <c r="K257" i="5"/>
  <c r="K277" i="5"/>
  <c r="K289" i="5"/>
  <c r="K287" i="5"/>
  <c r="K205" i="5"/>
  <c r="K219" i="5"/>
  <c r="K262" i="5"/>
  <c r="K275" i="5"/>
  <c r="K280" i="5"/>
  <c r="K292" i="5"/>
  <c r="K294" i="5"/>
  <c r="K299" i="5"/>
  <c r="K254" i="5"/>
  <c r="K282" i="5"/>
  <c r="K298" i="5"/>
  <c r="K274" i="5"/>
  <c r="K301" i="5"/>
  <c r="K259" i="5"/>
  <c r="K297" i="5"/>
  <c r="K263" i="5"/>
  <c r="I58" i="5"/>
  <c r="G58" i="5"/>
  <c r="K58" i="5"/>
  <c r="L58" i="5"/>
  <c r="L14" i="5"/>
  <c r="G14" i="5"/>
  <c r="I14" i="5"/>
  <c r="I31" i="5"/>
  <c r="L31" i="5"/>
  <c r="G31" i="5"/>
  <c r="G24" i="5"/>
  <c r="I24" i="5"/>
  <c r="L24" i="5"/>
  <c r="G45" i="5"/>
  <c r="I45" i="5"/>
  <c r="L45" i="5"/>
  <c r="I37" i="5"/>
  <c r="G37" i="5"/>
  <c r="L37" i="5"/>
  <c r="K37" i="5"/>
  <c r="L115" i="5"/>
  <c r="N38" i="5"/>
  <c r="K23" i="5"/>
  <c r="K28" i="5"/>
  <c r="K31" i="5"/>
  <c r="K50" i="5"/>
  <c r="N37" i="5"/>
  <c r="K39" i="5"/>
  <c r="N21" i="5"/>
  <c r="K99" i="5"/>
  <c r="L129" i="5"/>
  <c r="L86" i="5"/>
  <c r="K108" i="5"/>
  <c r="L114" i="5"/>
  <c r="L176" i="5"/>
  <c r="L196" i="5"/>
  <c r="L172" i="5"/>
  <c r="L158" i="5"/>
  <c r="K190" i="5"/>
  <c r="L218" i="5"/>
  <c r="K206" i="5"/>
  <c r="L226" i="5"/>
  <c r="K265" i="5"/>
  <c r="L134" i="5"/>
  <c r="L221" i="5"/>
  <c r="L288" i="5"/>
  <c r="I34" i="5"/>
  <c r="L34" i="5"/>
  <c r="G34" i="5"/>
  <c r="I4" i="5"/>
  <c r="L4" i="5"/>
  <c r="G4" i="5"/>
  <c r="G44" i="5"/>
  <c r="I44" i="5"/>
  <c r="L44" i="5"/>
  <c r="L33" i="5"/>
  <c r="I33" i="5"/>
  <c r="G33" i="5"/>
  <c r="I25" i="5"/>
  <c r="G25" i="5"/>
  <c r="L25" i="5"/>
  <c r="K35" i="5"/>
  <c r="K67" i="5"/>
  <c r="N3" i="5"/>
  <c r="K30" i="5"/>
  <c r="K49" i="5"/>
  <c r="K34" i="5"/>
  <c r="K56" i="5"/>
  <c r="N36" i="5"/>
  <c r="N8" i="5"/>
  <c r="K69" i="5"/>
  <c r="L55" i="5"/>
  <c r="L102" i="5"/>
  <c r="L74" i="5"/>
  <c r="K78" i="5"/>
  <c r="L63" i="5"/>
  <c r="L7" i="5"/>
  <c r="K155" i="5"/>
  <c r="L148" i="5"/>
  <c r="L177" i="5"/>
  <c r="K136" i="5"/>
  <c r="K172" i="5"/>
  <c r="K144" i="5"/>
  <c r="L141" i="5"/>
  <c r="L184" i="5"/>
  <c r="L220" i="5"/>
  <c r="K226" i="5"/>
  <c r="L242" i="5"/>
  <c r="K134" i="5"/>
  <c r="K221" i="5"/>
  <c r="L265" i="5"/>
  <c r="L263" i="5"/>
  <c r="K288" i="5"/>
  <c r="K87" i="5"/>
  <c r="K127" i="5"/>
  <c r="N28" i="5"/>
  <c r="I54" i="5"/>
  <c r="L54" i="5"/>
  <c r="K54" i="5"/>
  <c r="G54" i="5"/>
  <c r="I43" i="5"/>
  <c r="L43" i="5"/>
  <c r="G43" i="5"/>
  <c r="K43" i="5"/>
  <c r="G21" i="5"/>
  <c r="I21" i="5"/>
  <c r="L21" i="5"/>
  <c r="I5" i="5"/>
  <c r="L5" i="5"/>
  <c r="G5" i="5"/>
  <c r="K70" i="5"/>
  <c r="N20" i="5"/>
  <c r="N64" i="5"/>
  <c r="N50" i="5"/>
  <c r="N16" i="5"/>
  <c r="N35" i="5"/>
  <c r="N19" i="5"/>
  <c r="N53" i="5"/>
  <c r="K27" i="5"/>
  <c r="K4" i="5"/>
  <c r="K79" i="5"/>
  <c r="K74" i="5"/>
  <c r="K63" i="5"/>
  <c r="K119" i="5"/>
  <c r="K114" i="5"/>
  <c r="K149" i="5"/>
  <c r="L186" i="5"/>
  <c r="K141" i="5"/>
  <c r="L195" i="5"/>
  <c r="K193" i="5"/>
  <c r="L250" i="5"/>
  <c r="L106" i="5"/>
  <c r="L182" i="5"/>
  <c r="L276" i="5"/>
  <c r="K260" i="5"/>
  <c r="K253" i="5"/>
  <c r="K7" i="5"/>
  <c r="K110" i="5"/>
  <c r="K132" i="5"/>
  <c r="K281" i="5"/>
  <c r="P20" i="5"/>
  <c r="P32" i="5"/>
  <c r="P44" i="5"/>
  <c r="P3" i="5"/>
  <c r="P23" i="5"/>
  <c r="P35" i="5"/>
  <c r="P47" i="5"/>
  <c r="P6" i="5"/>
  <c r="P26" i="5"/>
  <c r="P38" i="5"/>
  <c r="P50" i="5"/>
  <c r="P19" i="5"/>
  <c r="P31" i="5"/>
  <c r="P43" i="5"/>
  <c r="P55" i="5"/>
  <c r="P21" i="5"/>
  <c r="P39" i="5"/>
  <c r="P65" i="5"/>
  <c r="P36" i="5"/>
  <c r="P37" i="5"/>
  <c r="P58" i="5"/>
  <c r="P70" i="5"/>
  <c r="P17" i="5"/>
  <c r="P18" i="5"/>
  <c r="P53" i="5"/>
  <c r="P63" i="5"/>
  <c r="P7" i="5"/>
  <c r="P9" i="5"/>
  <c r="P10" i="5"/>
  <c r="P11" i="5"/>
  <c r="P12" i="5"/>
  <c r="P13" i="5"/>
  <c r="P14" i="5"/>
  <c r="P15" i="5"/>
  <c r="P16" i="5"/>
  <c r="P34" i="5"/>
  <c r="P52" i="5"/>
  <c r="P4" i="5"/>
  <c r="P5" i="5"/>
  <c r="P8" i="5"/>
  <c r="P33" i="5"/>
  <c r="P51" i="5"/>
  <c r="P54" i="5"/>
  <c r="P61" i="5"/>
  <c r="P2" i="5"/>
  <c r="P48" i="5"/>
  <c r="P49" i="5"/>
  <c r="P66" i="5"/>
  <c r="P28" i="5"/>
  <c r="P46" i="5"/>
  <c r="P64" i="5"/>
  <c r="P41" i="5"/>
  <c r="P42" i="5"/>
  <c r="P22" i="5"/>
  <c r="P40" i="5"/>
  <c r="P60" i="5"/>
  <c r="P78" i="5"/>
  <c r="P90" i="5"/>
  <c r="P102" i="5"/>
  <c r="P114" i="5"/>
  <c r="P45" i="5"/>
  <c r="P72" i="5"/>
  <c r="P83" i="5"/>
  <c r="P95" i="5"/>
  <c r="P107" i="5"/>
  <c r="P119" i="5"/>
  <c r="P24" i="5"/>
  <c r="P62" i="5"/>
  <c r="P69" i="5"/>
  <c r="P88" i="5"/>
  <c r="P29" i="5"/>
  <c r="P57" i="5"/>
  <c r="P59" i="5"/>
  <c r="P76" i="5"/>
  <c r="P81" i="5"/>
  <c r="P73" i="5"/>
  <c r="P86" i="5"/>
  <c r="P25" i="5"/>
  <c r="P30" i="5"/>
  <c r="P77" i="5"/>
  <c r="P89" i="5"/>
  <c r="P101" i="5"/>
  <c r="P113" i="5"/>
  <c r="P56" i="5"/>
  <c r="P74" i="5"/>
  <c r="P82" i="5"/>
  <c r="P71" i="5"/>
  <c r="P87" i="5"/>
  <c r="P99" i="5"/>
  <c r="P111" i="5"/>
  <c r="P27" i="5"/>
  <c r="P75" i="5"/>
  <c r="P91" i="5"/>
  <c r="P92" i="5"/>
  <c r="P128" i="5"/>
  <c r="P140" i="5"/>
  <c r="P152" i="5"/>
  <c r="P121" i="5"/>
  <c r="P133" i="5"/>
  <c r="P145" i="5"/>
  <c r="P80" i="5"/>
  <c r="P100" i="5"/>
  <c r="P112" i="5"/>
  <c r="P118" i="5"/>
  <c r="P126" i="5"/>
  <c r="P85" i="5"/>
  <c r="P131" i="5"/>
  <c r="P143" i="5"/>
  <c r="P98" i="5"/>
  <c r="P103" i="5"/>
  <c r="P108" i="5"/>
  <c r="P109" i="5"/>
  <c r="P110" i="5"/>
  <c r="P124" i="5"/>
  <c r="P136" i="5"/>
  <c r="P148" i="5"/>
  <c r="P79" i="5"/>
  <c r="P84" i="5"/>
  <c r="P96" i="5"/>
  <c r="P97" i="5"/>
  <c r="P67" i="5"/>
  <c r="P115" i="5"/>
  <c r="P122" i="5"/>
  <c r="P127" i="5"/>
  <c r="P68" i="5"/>
  <c r="P94" i="5"/>
  <c r="P106" i="5"/>
  <c r="P116" i="5"/>
  <c r="P125" i="5"/>
  <c r="P93" i="5"/>
  <c r="P104" i="5"/>
  <c r="P161" i="5"/>
  <c r="P173" i="5"/>
  <c r="P185" i="5"/>
  <c r="P129" i="5"/>
  <c r="P141" i="5"/>
  <c r="P149" i="5"/>
  <c r="P159" i="5"/>
  <c r="P171" i="5"/>
  <c r="P120" i="5"/>
  <c r="P130" i="5"/>
  <c r="P134" i="5"/>
  <c r="P137" i="5"/>
  <c r="P138" i="5"/>
  <c r="P139" i="5"/>
  <c r="P154" i="5"/>
  <c r="P164" i="5"/>
  <c r="P176" i="5"/>
  <c r="P188" i="5"/>
  <c r="P105" i="5"/>
  <c r="P135" i="5"/>
  <c r="P142" i="5"/>
  <c r="P144" i="5"/>
  <c r="P162" i="5"/>
  <c r="P174" i="5"/>
  <c r="P146" i="5"/>
  <c r="P155" i="5"/>
  <c r="P167" i="5"/>
  <c r="P179" i="5"/>
  <c r="P132" i="5"/>
  <c r="P165" i="5"/>
  <c r="P177" i="5"/>
  <c r="P189" i="5"/>
  <c r="P123" i="5"/>
  <c r="P197" i="5"/>
  <c r="P209" i="5"/>
  <c r="P221" i="5"/>
  <c r="P192" i="5"/>
  <c r="P202" i="5"/>
  <c r="P117" i="5"/>
  <c r="P157" i="5"/>
  <c r="P160" i="5"/>
  <c r="P166" i="5"/>
  <c r="P195" i="5"/>
  <c r="P207" i="5"/>
  <c r="P219" i="5"/>
  <c r="P153" i="5"/>
  <c r="P200" i="5"/>
  <c r="P212" i="5"/>
  <c r="P150" i="5"/>
  <c r="P170" i="5"/>
  <c r="P175" i="5"/>
  <c r="P178" i="5"/>
  <c r="P186" i="5"/>
  <c r="P193" i="5"/>
  <c r="P205" i="5"/>
  <c r="P147" i="5"/>
  <c r="P184" i="5"/>
  <c r="P187" i="5"/>
  <c r="P190" i="5"/>
  <c r="P198" i="5"/>
  <c r="P210" i="5"/>
  <c r="P222" i="5"/>
  <c r="P234" i="5"/>
  <c r="P156" i="5"/>
  <c r="P180" i="5"/>
  <c r="P181" i="5"/>
  <c r="P182" i="5"/>
  <c r="P183" i="5"/>
  <c r="P203" i="5"/>
  <c r="P163" i="5"/>
  <c r="P201" i="5"/>
  <c r="P213" i="5"/>
  <c r="P172" i="5"/>
  <c r="P191" i="5"/>
  <c r="P194" i="5"/>
  <c r="P151" i="5"/>
  <c r="P158" i="5"/>
  <c r="P168" i="5"/>
  <c r="P199" i="5"/>
  <c r="P211" i="5"/>
  <c r="P223" i="5"/>
  <c r="P226" i="5"/>
  <c r="P242" i="5"/>
  <c r="P254" i="5"/>
  <c r="P266" i="5"/>
  <c r="P216" i="5"/>
  <c r="P227" i="5"/>
  <c r="P235" i="5"/>
  <c r="P247" i="5"/>
  <c r="P259" i="5"/>
  <c r="P271" i="5"/>
  <c r="P206" i="5"/>
  <c r="P215" i="5"/>
  <c r="P204" i="5"/>
  <c r="P208" i="5"/>
  <c r="P229" i="5"/>
  <c r="P245" i="5"/>
  <c r="P257" i="5"/>
  <c r="P269" i="5"/>
  <c r="P220" i="5"/>
  <c r="P232" i="5"/>
  <c r="P243" i="5"/>
  <c r="P236" i="5"/>
  <c r="P248" i="5"/>
  <c r="P260" i="5"/>
  <c r="P196" i="5"/>
  <c r="P224" i="5"/>
  <c r="P218" i="5"/>
  <c r="P239" i="5"/>
  <c r="P169" i="5"/>
  <c r="P225" i="5"/>
  <c r="P237" i="5"/>
  <c r="P244" i="5"/>
  <c r="P256" i="5"/>
  <c r="P284" i="5"/>
  <c r="P296" i="5"/>
  <c r="P238" i="5"/>
  <c r="P270" i="5"/>
  <c r="P274" i="5"/>
  <c r="P277" i="5"/>
  <c r="P289" i="5"/>
  <c r="P301" i="5"/>
  <c r="P214" i="5"/>
  <c r="P253" i="5"/>
  <c r="P261" i="5"/>
  <c r="P262" i="5"/>
  <c r="P282" i="5"/>
  <c r="P294" i="5"/>
  <c r="P217" i="5"/>
  <c r="P287" i="5"/>
  <c r="P299" i="5"/>
  <c r="P241" i="5"/>
  <c r="P263" i="5"/>
  <c r="P264" i="5"/>
  <c r="P275" i="5"/>
  <c r="P280" i="5"/>
  <c r="P292" i="5"/>
  <c r="P228" i="5"/>
  <c r="P230" i="5"/>
  <c r="P252" i="5"/>
  <c r="P265" i="5"/>
  <c r="P285" i="5"/>
  <c r="P267" i="5"/>
  <c r="P278" i="5"/>
  <c r="P290" i="5"/>
  <c r="P240" i="5"/>
  <c r="P251" i="5"/>
  <c r="P272" i="5"/>
  <c r="P283" i="5"/>
  <c r="P295" i="5"/>
  <c r="P250" i="5"/>
  <c r="P276" i="5"/>
  <c r="P288" i="5"/>
  <c r="P231" i="5"/>
  <c r="P233" i="5"/>
  <c r="P246" i="5"/>
  <c r="P286" i="5"/>
  <c r="P255" i="5"/>
  <c r="P258" i="5"/>
  <c r="P273" i="5"/>
  <c r="P279" i="5"/>
  <c r="P291" i="5"/>
  <c r="P297" i="5"/>
  <c r="P281" i="5"/>
  <c r="P249" i="5"/>
  <c r="P300" i="5"/>
  <c r="P268" i="5"/>
  <c r="P293" i="5"/>
  <c r="P298" i="5"/>
  <c r="L36" i="5"/>
  <c r="G36" i="5"/>
  <c r="I36" i="5"/>
  <c r="G72" i="5"/>
  <c r="I72" i="5"/>
  <c r="K72" i="5"/>
  <c r="L72" i="5"/>
  <c r="L8" i="5"/>
  <c r="I8" i="5"/>
  <c r="G8" i="5"/>
  <c r="I46" i="5"/>
  <c r="L46" i="5"/>
  <c r="G46" i="5"/>
  <c r="L73" i="5"/>
  <c r="L50" i="5"/>
  <c r="K17" i="5"/>
  <c r="N47" i="5"/>
  <c r="K47" i="5"/>
  <c r="N14" i="5"/>
  <c r="N34" i="5"/>
  <c r="K16" i="5"/>
  <c r="K44" i="5"/>
  <c r="N24" i="5"/>
  <c r="K45" i="5"/>
  <c r="L108" i="5"/>
  <c r="L59" i="5"/>
  <c r="L127" i="5"/>
  <c r="L122" i="5"/>
  <c r="L132" i="5"/>
  <c r="L161" i="5"/>
  <c r="L136" i="5"/>
  <c r="L144" i="5"/>
  <c r="L157" i="5"/>
  <c r="L185" i="5"/>
  <c r="L193" i="5"/>
  <c r="K224" i="5"/>
  <c r="K106" i="5"/>
  <c r="K182" i="5"/>
  <c r="L243" i="5"/>
  <c r="K216" i="5"/>
  <c r="L267" i="5"/>
  <c r="L253" i="5"/>
  <c r="L283" i="5"/>
  <c r="Z623" i="7"/>
  <c r="AA623" i="7" s="1"/>
  <c r="Y15" i="7"/>
  <c r="Y623" i="7"/>
  <c r="Z363" i="7" l="1"/>
  <c r="AA363" i="7" s="1"/>
  <c r="Z340" i="7"/>
  <c r="AA340" i="7" s="1"/>
  <c r="Z448" i="7"/>
  <c r="AA448" i="7" s="1"/>
  <c r="Z88" i="7"/>
  <c r="AA88" i="7" s="1"/>
  <c r="Z558" i="7"/>
  <c r="AA558" i="7" s="1"/>
  <c r="Z278" i="7"/>
  <c r="AA278" i="7" s="1"/>
  <c r="Y74" i="7"/>
  <c r="Z485" i="7"/>
  <c r="AA485" i="7" s="1"/>
  <c r="Z389" i="7"/>
  <c r="AA389" i="7" s="1"/>
  <c r="Z332" i="7"/>
  <c r="AA332" i="7" s="1"/>
  <c r="Z175" i="7"/>
  <c r="AA175" i="7" s="1"/>
  <c r="Z224" i="7"/>
  <c r="AA224" i="7" s="1"/>
  <c r="Y75" i="7"/>
  <c r="Y179" i="7"/>
  <c r="Y29" i="7"/>
  <c r="Y205" i="7"/>
  <c r="Z107" i="7"/>
  <c r="AA107" i="7" s="1"/>
  <c r="Z31" i="7"/>
  <c r="AA31" i="7" s="1"/>
  <c r="Z32" i="7"/>
  <c r="AA32" i="7" s="1"/>
  <c r="Y195" i="7"/>
  <c r="Y80" i="7"/>
  <c r="Y57" i="7"/>
  <c r="Y294" i="7"/>
  <c r="Y191" i="7"/>
  <c r="Z256" i="7"/>
  <c r="AA256" i="7" s="1"/>
  <c r="Z62" i="7"/>
  <c r="AA62" i="7" s="1"/>
  <c r="Y447" i="7"/>
  <c r="Z336" i="7"/>
  <c r="AA336" i="7" s="1"/>
  <c r="Y520" i="7"/>
  <c r="Y553" i="7"/>
  <c r="Y531" i="7"/>
  <c r="Z452" i="7"/>
  <c r="AA452" i="7" s="1"/>
  <c r="Y322" i="7"/>
  <c r="Z253" i="7"/>
  <c r="AA253" i="7" s="1"/>
  <c r="Z252" i="7"/>
  <c r="AA252" i="7" s="1"/>
  <c r="Z95" i="7"/>
  <c r="AA95" i="7" s="1"/>
  <c r="Z69" i="7"/>
  <c r="AA69" i="7" s="1"/>
  <c r="Z124" i="7"/>
  <c r="AA124" i="7" s="1"/>
  <c r="Y193" i="7"/>
  <c r="Z116" i="7"/>
  <c r="AA116" i="7" s="1"/>
  <c r="Z83" i="7"/>
  <c r="AA83" i="7" s="1"/>
  <c r="Z59" i="7"/>
  <c r="AA59" i="7" s="1"/>
  <c r="Y293" i="7"/>
  <c r="Z302" i="7"/>
  <c r="AA302" i="7" s="1"/>
  <c r="Y269" i="7"/>
  <c r="Z85" i="7"/>
  <c r="AA85" i="7" s="1"/>
  <c r="Y85" i="7"/>
  <c r="Y61" i="7"/>
  <c r="Y37" i="7"/>
  <c r="Z612" i="7"/>
  <c r="AA612" i="7" s="1"/>
  <c r="Z481" i="7"/>
  <c r="AA481" i="7" s="1"/>
  <c r="Y351" i="7"/>
  <c r="Z329" i="7"/>
  <c r="AA329" i="7" s="1"/>
  <c r="Z571" i="7"/>
  <c r="AA571" i="7" s="1"/>
  <c r="Z480" i="7"/>
  <c r="AA480" i="7" s="1"/>
  <c r="Y222" i="7"/>
  <c r="Y107" i="7"/>
  <c r="Y469" i="7"/>
  <c r="Y448" i="7"/>
  <c r="Y405" i="7"/>
  <c r="Z383" i="7"/>
  <c r="AA383" i="7" s="1"/>
  <c r="Y296" i="7"/>
  <c r="Y593" i="7"/>
  <c r="Y394" i="7"/>
  <c r="Y580" i="7"/>
  <c r="Y556" i="7"/>
  <c r="Y511" i="7"/>
  <c r="Y465" i="7"/>
  <c r="Y402" i="7"/>
  <c r="Y443" i="7"/>
  <c r="Z379" i="7"/>
  <c r="AA379" i="7" s="1"/>
  <c r="Z355" i="7"/>
  <c r="AA355" i="7" s="1"/>
  <c r="Z333" i="7"/>
  <c r="AA333" i="7" s="1"/>
  <c r="Y507" i="7"/>
  <c r="Y264" i="7"/>
  <c r="Y167" i="7"/>
  <c r="Y21" i="7"/>
  <c r="Y69" i="7"/>
  <c r="Y282" i="7"/>
  <c r="Z120" i="7"/>
  <c r="AA120" i="7" s="1"/>
  <c r="Y111" i="7"/>
  <c r="Y219" i="7"/>
  <c r="Y292" i="7"/>
  <c r="Y84" i="7"/>
  <c r="Y60" i="7"/>
  <c r="Y200" i="7"/>
  <c r="Y172" i="7"/>
  <c r="Y150" i="7"/>
  <c r="Z14" i="7"/>
  <c r="AA14" i="7" s="1"/>
  <c r="Z419" i="7"/>
  <c r="AA419" i="7" s="1"/>
  <c r="Y374" i="7"/>
  <c r="Z518" i="7"/>
  <c r="AA518" i="7" s="1"/>
  <c r="Y299" i="7"/>
  <c r="Z262" i="7"/>
  <c r="AA262" i="7" s="1"/>
  <c r="Y46" i="7"/>
  <c r="Y210" i="7"/>
  <c r="Z337" i="7"/>
  <c r="AA337" i="7" s="1"/>
  <c r="Y512" i="7"/>
  <c r="Y356" i="7"/>
  <c r="Y261" i="7"/>
  <c r="Y22" i="7"/>
  <c r="Z270" i="7"/>
  <c r="AA270" i="7" s="1"/>
  <c r="Y134" i="7"/>
  <c r="Y18" i="7"/>
  <c r="Y260" i="7"/>
  <c r="Z374" i="7"/>
  <c r="AA374" i="7" s="1"/>
  <c r="Y555" i="7"/>
  <c r="Z184" i="7"/>
  <c r="AA184" i="7" s="1"/>
  <c r="Y258" i="7"/>
  <c r="Z620" i="7"/>
  <c r="AA620" i="7" s="1"/>
  <c r="Y477" i="7"/>
  <c r="Z402" i="7"/>
  <c r="AA402" i="7" s="1"/>
  <c r="Z105" i="7"/>
  <c r="AA105" i="7" s="1"/>
  <c r="Z258" i="7"/>
  <c r="AA258" i="7" s="1"/>
  <c r="Z102" i="7"/>
  <c r="AA102" i="7" s="1"/>
  <c r="Y392" i="7"/>
  <c r="Y31" i="7"/>
  <c r="Z514" i="7"/>
  <c r="AA514" i="7" s="1"/>
  <c r="Y347" i="7"/>
  <c r="Z552" i="7"/>
  <c r="AA552" i="7" s="1"/>
  <c r="Y240" i="7"/>
  <c r="Z225" i="7"/>
  <c r="AA225" i="7" s="1"/>
  <c r="Z455" i="7"/>
  <c r="AA455" i="7" s="1"/>
  <c r="Z234" i="7"/>
  <c r="AA234" i="7" s="1"/>
  <c r="Z282" i="7"/>
  <c r="AA282" i="7" s="1"/>
  <c r="Z126" i="7"/>
  <c r="AA126" i="7" s="1"/>
  <c r="Z119" i="7"/>
  <c r="AA119" i="7" s="1"/>
  <c r="Y99" i="7"/>
  <c r="Y25" i="7"/>
  <c r="Z460" i="7"/>
  <c r="AA460" i="7" s="1"/>
  <c r="Y444" i="7"/>
  <c r="Y455" i="7"/>
  <c r="Y609" i="7"/>
  <c r="Y171" i="7"/>
  <c r="Z212" i="7"/>
  <c r="AA212" i="7" s="1"/>
  <c r="Z293" i="7"/>
  <c r="AA293" i="7" s="1"/>
  <c r="Z527" i="7"/>
  <c r="AA527" i="7" s="1"/>
  <c r="Z525" i="7"/>
  <c r="AA525" i="7" s="1"/>
  <c r="Z466" i="7"/>
  <c r="AA466" i="7" s="1"/>
  <c r="Z322" i="7"/>
  <c r="AA322" i="7" s="1"/>
  <c r="Z219" i="7"/>
  <c r="AA219" i="7" s="1"/>
  <c r="Y139" i="7"/>
  <c r="Y491" i="7"/>
  <c r="Y50" i="7"/>
  <c r="Z223" i="7"/>
  <c r="AA223" i="7" s="1"/>
  <c r="Z67" i="7"/>
  <c r="AA67" i="7" s="1"/>
  <c r="Z44" i="7"/>
  <c r="AA44" i="7" s="1"/>
  <c r="Y94" i="7"/>
  <c r="Z36" i="7"/>
  <c r="AA36" i="7" s="1"/>
  <c r="Z268" i="7"/>
  <c r="AA268" i="7" s="1"/>
  <c r="Y201" i="7"/>
  <c r="Z607" i="7"/>
  <c r="AA607" i="7" s="1"/>
  <c r="Y425" i="7"/>
  <c r="Z233" i="7"/>
  <c r="AA233" i="7" s="1"/>
  <c r="Y611" i="7"/>
  <c r="Y472" i="7"/>
  <c r="Z407" i="7"/>
  <c r="AA407" i="7" s="1"/>
  <c r="Y339" i="7"/>
  <c r="Y401" i="7"/>
  <c r="Z315" i="7"/>
  <c r="AA315" i="7" s="1"/>
  <c r="Z488" i="7"/>
  <c r="AA488" i="7" s="1"/>
  <c r="Z109" i="7"/>
  <c r="AA109" i="7" s="1"/>
  <c r="Z484" i="7"/>
  <c r="AA484" i="7" s="1"/>
  <c r="Z215" i="7"/>
  <c r="AA215" i="7" s="1"/>
  <c r="Z43" i="7"/>
  <c r="AA43" i="7" s="1"/>
  <c r="Y283" i="7"/>
  <c r="Z131" i="7"/>
  <c r="AA131" i="7" s="1"/>
  <c r="Z181" i="7"/>
  <c r="AA181" i="7" s="1"/>
  <c r="Y100" i="7"/>
  <c r="Y600" i="7"/>
  <c r="Z512" i="7"/>
  <c r="AA512" i="7" s="1"/>
  <c r="Z533" i="7"/>
  <c r="AA533" i="7" s="1"/>
  <c r="Y504" i="7"/>
  <c r="Y589" i="7"/>
  <c r="Y581" i="7"/>
  <c r="Y564" i="7"/>
  <c r="Y354" i="7"/>
  <c r="Y56" i="7"/>
  <c r="Y81" i="7"/>
  <c r="Y127" i="7"/>
  <c r="Y227" i="7"/>
  <c r="Y162" i="7"/>
  <c r="Z86" i="7"/>
  <c r="AA86" i="7" s="1"/>
  <c r="Y233" i="7"/>
  <c r="Z179" i="7"/>
  <c r="AA179" i="7" s="1"/>
  <c r="Z205" i="7"/>
  <c r="AA205" i="7" s="1"/>
  <c r="Z509" i="7"/>
  <c r="AA509" i="7" s="1"/>
  <c r="Y335" i="7"/>
  <c r="Y105" i="7"/>
  <c r="Y271" i="7"/>
  <c r="Z591" i="7"/>
  <c r="AA591" i="7" s="1"/>
  <c r="Z423" i="7"/>
  <c r="AA423" i="7" s="1"/>
  <c r="Y497" i="7"/>
  <c r="Y367" i="7"/>
  <c r="Z216" i="7"/>
  <c r="AA216" i="7" s="1"/>
  <c r="Z459" i="7"/>
  <c r="AA459" i="7" s="1"/>
  <c r="Y362" i="7"/>
  <c r="Z570" i="7"/>
  <c r="AA570" i="7" s="1"/>
  <c r="Y427" i="7"/>
  <c r="Y530" i="7"/>
  <c r="Y288" i="7"/>
  <c r="Z187" i="7"/>
  <c r="AA187" i="7" s="1"/>
  <c r="Y306" i="7"/>
  <c r="Y34" i="7"/>
  <c r="Z130" i="7"/>
  <c r="AA130" i="7" s="1"/>
  <c r="Y460" i="7"/>
  <c r="Y377" i="7"/>
  <c r="Y450" i="7"/>
  <c r="Y316" i="7"/>
  <c r="Z370" i="7"/>
  <c r="AA370" i="7" s="1"/>
  <c r="Y554" i="7"/>
  <c r="Y486" i="7"/>
  <c r="Y345" i="7"/>
  <c r="Y496" i="7"/>
  <c r="Y355" i="7"/>
  <c r="Z529" i="7"/>
  <c r="AA529" i="7" s="1"/>
  <c r="Z462" i="7"/>
  <c r="AA462" i="7" s="1"/>
  <c r="Y290" i="7"/>
  <c r="Y215" i="7"/>
  <c r="Z147" i="7"/>
  <c r="AA147" i="7" s="1"/>
  <c r="Z81" i="7"/>
  <c r="AA81" i="7" s="1"/>
  <c r="Y231" i="7"/>
  <c r="Z111" i="7"/>
  <c r="AA111" i="7" s="1"/>
  <c r="Z259" i="7"/>
  <c r="AA259" i="7" s="1"/>
  <c r="Z97" i="7"/>
  <c r="AA97" i="7" s="1"/>
  <c r="Z191" i="7"/>
  <c r="AA191" i="7" s="1"/>
  <c r="Z200" i="7"/>
  <c r="AA200" i="7" s="1"/>
  <c r="Z25" i="7"/>
  <c r="AA25" i="7" s="1"/>
  <c r="Z199" i="7"/>
  <c r="AA199" i="7" s="1"/>
  <c r="Y49" i="7"/>
  <c r="Y602" i="7"/>
  <c r="Y577" i="7"/>
  <c r="Z595" i="7"/>
  <c r="AA595" i="7" s="1"/>
  <c r="Z160" i="7"/>
  <c r="AA160" i="7" s="1"/>
  <c r="Y262" i="7"/>
  <c r="Y587" i="7"/>
  <c r="Z156" i="7"/>
  <c r="AA156" i="7" s="1"/>
  <c r="Z182" i="7"/>
  <c r="AA182" i="7" s="1"/>
  <c r="Z416" i="7"/>
  <c r="AA416" i="7" s="1"/>
  <c r="Z349" i="7"/>
  <c r="AA349" i="7" s="1"/>
  <c r="Z517" i="7"/>
  <c r="AA517" i="7" s="1"/>
  <c r="Z377" i="7"/>
  <c r="AA377" i="7" s="1"/>
  <c r="Y252" i="7"/>
  <c r="Z104" i="7"/>
  <c r="AA104" i="7" s="1"/>
  <c r="Z242" i="7"/>
  <c r="AA242" i="7" s="1"/>
  <c r="Z220" i="7"/>
  <c r="AA220" i="7" s="1"/>
  <c r="Y143" i="7"/>
  <c r="Z96" i="7"/>
  <c r="AA96" i="7" s="1"/>
  <c r="Y97" i="7"/>
  <c r="Y181" i="7"/>
  <c r="Y101" i="7"/>
  <c r="Z528" i="7"/>
  <c r="AA528" i="7" s="1"/>
  <c r="Y414" i="7"/>
  <c r="Z343" i="7"/>
  <c r="AA343" i="7" s="1"/>
  <c r="Y103" i="7"/>
  <c r="Z197" i="7"/>
  <c r="AA197" i="7" s="1"/>
  <c r="Z145" i="7"/>
  <c r="AA145" i="7" s="1"/>
  <c r="Y68" i="7"/>
  <c r="Z26" i="7"/>
  <c r="AA26" i="7" s="1"/>
  <c r="Y93" i="7"/>
  <c r="Y533" i="7"/>
  <c r="Y286" i="7"/>
  <c r="Z313" i="7"/>
  <c r="AA313" i="7" s="1"/>
  <c r="Z536" i="7"/>
  <c r="AA536" i="7" s="1"/>
  <c r="Z545" i="7"/>
  <c r="AA545" i="7" s="1"/>
  <c r="Z323" i="7"/>
  <c r="AA323" i="7" s="1"/>
  <c r="Y495" i="7"/>
  <c r="Z77" i="7"/>
  <c r="AA77" i="7" s="1"/>
  <c r="Y298" i="7"/>
  <c r="Y53" i="7"/>
  <c r="Z117" i="7"/>
  <c r="AA117" i="7" s="1"/>
  <c r="Z72" i="7"/>
  <c r="AA72" i="7" s="1"/>
  <c r="Y303" i="7"/>
  <c r="Y72" i="7"/>
  <c r="Z39" i="7"/>
  <c r="AA39" i="7" s="1"/>
  <c r="Z492" i="7"/>
  <c r="AA492" i="7" s="1"/>
  <c r="Z359" i="7"/>
  <c r="AA359" i="7" s="1"/>
  <c r="Z444" i="7"/>
  <c r="AA444" i="7" s="1"/>
  <c r="Y521" i="7"/>
  <c r="Z353" i="7"/>
  <c r="AA353" i="7" s="1"/>
  <c r="Y189" i="7"/>
  <c r="Z214" i="7"/>
  <c r="AA214" i="7" s="1"/>
  <c r="Y147" i="7"/>
  <c r="Z196" i="7"/>
  <c r="AA196" i="7" s="1"/>
  <c r="Y30" i="7"/>
  <c r="Z45" i="7"/>
  <c r="AA45" i="7" s="1"/>
  <c r="Z271" i="7"/>
  <c r="AA271" i="7" s="1"/>
  <c r="Y220" i="7"/>
  <c r="Y142" i="7"/>
  <c r="Z228" i="7"/>
  <c r="AA228" i="7" s="1"/>
  <c r="Z151" i="7"/>
  <c r="AA151" i="7" s="1"/>
  <c r="Y71" i="7"/>
  <c r="Z226" i="7"/>
  <c r="AA226" i="7" s="1"/>
  <c r="Z161" i="7"/>
  <c r="AA161" i="7" s="1"/>
  <c r="Z246" i="7"/>
  <c r="AA246" i="7" s="1"/>
  <c r="Z493" i="7"/>
  <c r="AA493" i="7" s="1"/>
  <c r="Y256" i="7"/>
  <c r="Z594" i="7"/>
  <c r="AA594" i="7" s="1"/>
  <c r="Z520" i="7"/>
  <c r="AA520" i="7" s="1"/>
  <c r="Z155" i="7"/>
  <c r="AA155" i="7" s="1"/>
  <c r="Y245" i="7"/>
  <c r="Y169" i="7"/>
  <c r="Y287" i="7"/>
  <c r="Y206" i="7"/>
  <c r="Y151" i="7"/>
  <c r="Y291" i="7"/>
  <c r="Y218" i="7"/>
  <c r="Z74" i="7"/>
  <c r="AA74" i="7" s="1"/>
  <c r="Y386" i="7"/>
  <c r="Y313" i="7"/>
  <c r="Y424" i="7"/>
  <c r="Z367" i="7"/>
  <c r="AA367" i="7" s="1"/>
  <c r="Y474" i="7"/>
  <c r="Y246" i="7"/>
  <c r="Y159" i="7"/>
  <c r="Y276" i="7"/>
  <c r="Y117" i="7"/>
  <c r="Z48" i="7"/>
  <c r="AA48" i="7" s="1"/>
  <c r="Y280" i="7"/>
  <c r="Z279" i="7"/>
  <c r="AA279" i="7" s="1"/>
  <c r="Y138" i="7"/>
  <c r="J621" i="7"/>
  <c r="K621" i="7"/>
  <c r="L621" i="7"/>
  <c r="M621" i="7"/>
  <c r="O621" i="7"/>
  <c r="N621" i="7"/>
  <c r="D621" i="7"/>
  <c r="E621" i="7"/>
  <c r="F621" i="7"/>
  <c r="H621" i="7"/>
  <c r="G621" i="7"/>
  <c r="I621" i="7"/>
  <c r="Z621" i="7" l="1"/>
  <c r="AA621" i="7" s="1"/>
  <c r="Y621" i="7"/>
  <c r="N55" i="1" l="1"/>
  <c r="E3" i="7"/>
  <c r="R3" i="7"/>
  <c r="E4" i="7"/>
  <c r="H4" i="7"/>
  <c r="K4" i="7"/>
  <c r="R4" i="7"/>
  <c r="T4" i="7"/>
  <c r="R5" i="7"/>
  <c r="E6" i="7"/>
  <c r="K6" i="7"/>
  <c r="E7" i="7"/>
  <c r="B14" i="7"/>
  <c r="C14" i="7"/>
  <c r="P14" i="7"/>
  <c r="Q14" i="7"/>
  <c r="R14" i="7"/>
  <c r="S14" i="7"/>
  <c r="T14" i="7"/>
  <c r="V14" i="7"/>
  <c r="AB14" i="7"/>
  <c r="AC14" i="7"/>
  <c r="AD14" i="7"/>
  <c r="B15" i="7"/>
  <c r="C15" i="7"/>
  <c r="P15" i="7"/>
  <c r="Q15" i="7"/>
  <c r="R15" i="7"/>
  <c r="S15" i="7"/>
  <c r="T15" i="7"/>
  <c r="V15" i="7"/>
  <c r="AB15" i="7"/>
  <c r="AC15" i="7"/>
  <c r="AD15" i="7"/>
  <c r="B16" i="7"/>
  <c r="C16" i="7"/>
  <c r="P16" i="7"/>
  <c r="Q16" i="7"/>
  <c r="R16" i="7"/>
  <c r="S16" i="7"/>
  <c r="T16" i="7"/>
  <c r="V16" i="7"/>
  <c r="AB16" i="7"/>
  <c r="AC16" i="7"/>
  <c r="AD16" i="7"/>
  <c r="B17" i="7"/>
  <c r="C17" i="7"/>
  <c r="P17" i="7"/>
  <c r="Q17" i="7"/>
  <c r="R17" i="7"/>
  <c r="S17" i="7"/>
  <c r="T17" i="7"/>
  <c r="V17" i="7"/>
  <c r="AB17" i="7"/>
  <c r="AC17" i="7"/>
  <c r="AD17" i="7"/>
  <c r="B18" i="7"/>
  <c r="C18" i="7"/>
  <c r="P18" i="7"/>
  <c r="Q18" i="7"/>
  <c r="R18" i="7"/>
  <c r="S18" i="7"/>
  <c r="T18" i="7"/>
  <c r="V18" i="7"/>
  <c r="AB18" i="7"/>
  <c r="AC18" i="7"/>
  <c r="AD18" i="7"/>
  <c r="B19" i="7"/>
  <c r="C19" i="7"/>
  <c r="P19" i="7"/>
  <c r="Q19" i="7"/>
  <c r="R19" i="7"/>
  <c r="S19" i="7"/>
  <c r="T19" i="7"/>
  <c r="V19" i="7"/>
  <c r="AB19" i="7"/>
  <c r="AC19" i="7"/>
  <c r="AD19" i="7"/>
  <c r="B20" i="7"/>
  <c r="C20" i="7"/>
  <c r="P20" i="7"/>
  <c r="Q20" i="7"/>
  <c r="R20" i="7"/>
  <c r="S20" i="7"/>
  <c r="T20" i="7"/>
  <c r="V20" i="7"/>
  <c r="AB20" i="7"/>
  <c r="AC20" i="7"/>
  <c r="AD20" i="7"/>
  <c r="B21" i="7"/>
  <c r="C21" i="7"/>
  <c r="P21" i="7"/>
  <c r="Q21" i="7"/>
  <c r="R21" i="7"/>
  <c r="S21" i="7"/>
  <c r="T21" i="7"/>
  <c r="V21" i="7"/>
  <c r="AB21" i="7"/>
  <c r="AC21" i="7"/>
  <c r="AD21" i="7"/>
  <c r="B22" i="7"/>
  <c r="C22" i="7"/>
  <c r="P22" i="7"/>
  <c r="Q22" i="7"/>
  <c r="R22" i="7"/>
  <c r="S22" i="7"/>
  <c r="T22" i="7"/>
  <c r="V22" i="7"/>
  <c r="AB22" i="7"/>
  <c r="AC22" i="7"/>
  <c r="AD22" i="7"/>
  <c r="B23" i="7"/>
  <c r="C23" i="7"/>
  <c r="P23" i="7"/>
  <c r="Q23" i="7"/>
  <c r="R23" i="7"/>
  <c r="S23" i="7"/>
  <c r="T23" i="7"/>
  <c r="V23" i="7"/>
  <c r="AB23" i="7"/>
  <c r="AC23" i="7"/>
  <c r="AD23" i="7"/>
  <c r="B24" i="7"/>
  <c r="C24" i="7"/>
  <c r="P24" i="7"/>
  <c r="Q24" i="7"/>
  <c r="R24" i="7"/>
  <c r="S24" i="7"/>
  <c r="T24" i="7"/>
  <c r="V24" i="7"/>
  <c r="AB24" i="7"/>
  <c r="AC24" i="7"/>
  <c r="AD24" i="7"/>
  <c r="B25" i="7"/>
  <c r="C25" i="7"/>
  <c r="P25" i="7"/>
  <c r="Q25" i="7"/>
  <c r="R25" i="7"/>
  <c r="S25" i="7"/>
  <c r="T25" i="7"/>
  <c r="V25" i="7"/>
  <c r="AB25" i="7"/>
  <c r="AC25" i="7"/>
  <c r="AD25" i="7"/>
  <c r="B26" i="7"/>
  <c r="C26" i="7"/>
  <c r="P26" i="7"/>
  <c r="Q26" i="7"/>
  <c r="R26" i="7"/>
  <c r="S26" i="7"/>
  <c r="T26" i="7"/>
  <c r="V26" i="7"/>
  <c r="AB26" i="7"/>
  <c r="AC26" i="7"/>
  <c r="AD26" i="7"/>
  <c r="B27" i="7"/>
  <c r="C27" i="7"/>
  <c r="P27" i="7"/>
  <c r="Q27" i="7"/>
  <c r="R27" i="7"/>
  <c r="S27" i="7"/>
  <c r="T27" i="7"/>
  <c r="V27" i="7"/>
  <c r="AB27" i="7"/>
  <c r="AC27" i="7"/>
  <c r="AD27" i="7"/>
  <c r="B28" i="7"/>
  <c r="C28" i="7"/>
  <c r="P28" i="7"/>
  <c r="Q28" i="7"/>
  <c r="R28" i="7"/>
  <c r="S28" i="7"/>
  <c r="T28" i="7"/>
  <c r="V28" i="7"/>
  <c r="AB28" i="7"/>
  <c r="AC28" i="7"/>
  <c r="AD28" i="7"/>
  <c r="B29" i="7"/>
  <c r="C29" i="7"/>
  <c r="P29" i="7"/>
  <c r="Q29" i="7"/>
  <c r="R29" i="7"/>
  <c r="S29" i="7"/>
  <c r="T29" i="7"/>
  <c r="V29" i="7"/>
  <c r="AB29" i="7"/>
  <c r="AC29" i="7"/>
  <c r="AD29" i="7"/>
  <c r="B30" i="7"/>
  <c r="C30" i="7"/>
  <c r="P30" i="7"/>
  <c r="Q30" i="7"/>
  <c r="R30" i="7"/>
  <c r="S30" i="7"/>
  <c r="T30" i="7"/>
  <c r="V30" i="7"/>
  <c r="AB30" i="7"/>
  <c r="AC30" i="7"/>
  <c r="AD30" i="7"/>
  <c r="B31" i="7"/>
  <c r="C31" i="7"/>
  <c r="P31" i="7"/>
  <c r="Q31" i="7"/>
  <c r="R31" i="7"/>
  <c r="S31" i="7"/>
  <c r="T31" i="7"/>
  <c r="V31" i="7"/>
  <c r="AB31" i="7"/>
  <c r="AC31" i="7"/>
  <c r="AD31" i="7"/>
  <c r="B32" i="7"/>
  <c r="C32" i="7"/>
  <c r="P32" i="7"/>
  <c r="Q32" i="7"/>
  <c r="R32" i="7"/>
  <c r="S32" i="7"/>
  <c r="T32" i="7"/>
  <c r="V32" i="7"/>
  <c r="AB32" i="7"/>
  <c r="AC32" i="7"/>
  <c r="AD32" i="7"/>
  <c r="B33" i="7"/>
  <c r="C33" i="7"/>
  <c r="P33" i="7"/>
  <c r="Q33" i="7"/>
  <c r="R33" i="7"/>
  <c r="S33" i="7"/>
  <c r="T33" i="7"/>
  <c r="V33" i="7"/>
  <c r="AB33" i="7"/>
  <c r="AC33" i="7"/>
  <c r="AD33" i="7"/>
  <c r="B34" i="7"/>
  <c r="C34" i="7"/>
  <c r="P34" i="7"/>
  <c r="Q34" i="7"/>
  <c r="R34" i="7"/>
  <c r="S34" i="7"/>
  <c r="T34" i="7"/>
  <c r="V34" i="7"/>
  <c r="AB34" i="7"/>
  <c r="AC34" i="7"/>
  <c r="AD34" i="7"/>
  <c r="B35" i="7"/>
  <c r="C35" i="7"/>
  <c r="P35" i="7"/>
  <c r="Q35" i="7"/>
  <c r="R35" i="7"/>
  <c r="S35" i="7"/>
  <c r="T35" i="7"/>
  <c r="V35" i="7"/>
  <c r="AB35" i="7"/>
  <c r="AC35" i="7"/>
  <c r="AD35" i="7"/>
  <c r="B36" i="7"/>
  <c r="C36" i="7"/>
  <c r="P36" i="7"/>
  <c r="Q36" i="7"/>
  <c r="R36" i="7"/>
  <c r="S36" i="7"/>
  <c r="T36" i="7"/>
  <c r="V36" i="7"/>
  <c r="AB36" i="7"/>
  <c r="AC36" i="7"/>
  <c r="AD36" i="7"/>
  <c r="B37" i="7"/>
  <c r="C37" i="7"/>
  <c r="P37" i="7"/>
  <c r="Q37" i="7"/>
  <c r="R37" i="7"/>
  <c r="S37" i="7"/>
  <c r="T37" i="7"/>
  <c r="V37" i="7"/>
  <c r="AB37" i="7"/>
  <c r="AC37" i="7"/>
  <c r="AD37" i="7"/>
  <c r="B38" i="7"/>
  <c r="C38" i="7"/>
  <c r="P38" i="7"/>
  <c r="Q38" i="7"/>
  <c r="R38" i="7"/>
  <c r="S38" i="7"/>
  <c r="T38" i="7"/>
  <c r="V38" i="7"/>
  <c r="AB38" i="7"/>
  <c r="AC38" i="7"/>
  <c r="AD38" i="7"/>
  <c r="B39" i="7"/>
  <c r="C39" i="7"/>
  <c r="P39" i="7"/>
  <c r="Q39" i="7"/>
  <c r="R39" i="7"/>
  <c r="S39" i="7"/>
  <c r="T39" i="7"/>
  <c r="V39" i="7"/>
  <c r="AB39" i="7"/>
  <c r="AC39" i="7"/>
  <c r="AD39" i="7"/>
  <c r="B40" i="7"/>
  <c r="C40" i="7"/>
  <c r="P40" i="7"/>
  <c r="Q40" i="7"/>
  <c r="R40" i="7"/>
  <c r="S40" i="7"/>
  <c r="T40" i="7"/>
  <c r="V40" i="7"/>
  <c r="AB40" i="7"/>
  <c r="AC40" i="7"/>
  <c r="AD40" i="7"/>
  <c r="B41" i="7"/>
  <c r="C41" i="7"/>
  <c r="P41" i="7"/>
  <c r="Q41" i="7"/>
  <c r="R41" i="7"/>
  <c r="S41" i="7"/>
  <c r="T41" i="7"/>
  <c r="V41" i="7"/>
  <c r="AB41" i="7"/>
  <c r="AC41" i="7"/>
  <c r="AD41" i="7"/>
  <c r="B42" i="7"/>
  <c r="C42" i="7"/>
  <c r="P42" i="7"/>
  <c r="Q42" i="7"/>
  <c r="R42" i="7"/>
  <c r="S42" i="7"/>
  <c r="T42" i="7"/>
  <c r="V42" i="7"/>
  <c r="AB42" i="7"/>
  <c r="AC42" i="7"/>
  <c r="AD42" i="7"/>
  <c r="B43" i="7"/>
  <c r="C43" i="7"/>
  <c r="P43" i="7"/>
  <c r="Q43" i="7"/>
  <c r="R43" i="7"/>
  <c r="S43" i="7"/>
  <c r="T43" i="7"/>
  <c r="V43" i="7"/>
  <c r="AB43" i="7"/>
  <c r="AC43" i="7"/>
  <c r="AD43" i="7"/>
  <c r="B44" i="7"/>
  <c r="C44" i="7"/>
  <c r="P44" i="7"/>
  <c r="Q44" i="7"/>
  <c r="R44" i="7"/>
  <c r="S44" i="7"/>
  <c r="T44" i="7"/>
  <c r="V44" i="7"/>
  <c r="AB44" i="7"/>
  <c r="AC44" i="7"/>
  <c r="AD44" i="7"/>
  <c r="B45" i="7"/>
  <c r="C45" i="7"/>
  <c r="P45" i="7"/>
  <c r="Q45" i="7"/>
  <c r="R45" i="7"/>
  <c r="S45" i="7"/>
  <c r="T45" i="7"/>
  <c r="V45" i="7"/>
  <c r="AB45" i="7"/>
  <c r="AC45" i="7"/>
  <c r="AD45" i="7"/>
  <c r="B46" i="7"/>
  <c r="C46" i="7"/>
  <c r="P46" i="7"/>
  <c r="Q46" i="7"/>
  <c r="R46" i="7"/>
  <c r="S46" i="7"/>
  <c r="T46" i="7"/>
  <c r="V46" i="7"/>
  <c r="AB46" i="7"/>
  <c r="AC46" i="7"/>
  <c r="AD46" i="7"/>
  <c r="B47" i="7"/>
  <c r="C47" i="7"/>
  <c r="P47" i="7"/>
  <c r="Q47" i="7"/>
  <c r="R47" i="7"/>
  <c r="S47" i="7"/>
  <c r="T47" i="7"/>
  <c r="V47" i="7"/>
  <c r="AB47" i="7"/>
  <c r="AC47" i="7"/>
  <c r="AD47" i="7"/>
  <c r="B48" i="7"/>
  <c r="C48" i="7"/>
  <c r="P48" i="7"/>
  <c r="Q48" i="7"/>
  <c r="R48" i="7"/>
  <c r="S48" i="7"/>
  <c r="T48" i="7"/>
  <c r="V48" i="7"/>
  <c r="AB48" i="7"/>
  <c r="AC48" i="7"/>
  <c r="AD48" i="7"/>
  <c r="B49" i="7"/>
  <c r="C49" i="7"/>
  <c r="P49" i="7"/>
  <c r="Q49" i="7"/>
  <c r="R49" i="7"/>
  <c r="S49" i="7"/>
  <c r="T49" i="7"/>
  <c r="V49" i="7"/>
  <c r="AB49" i="7"/>
  <c r="AC49" i="7"/>
  <c r="AD49" i="7"/>
  <c r="B50" i="7"/>
  <c r="C50" i="7"/>
  <c r="P50" i="7"/>
  <c r="Q50" i="7"/>
  <c r="R50" i="7"/>
  <c r="S50" i="7"/>
  <c r="T50" i="7"/>
  <c r="V50" i="7"/>
  <c r="AB50" i="7"/>
  <c r="AC50" i="7"/>
  <c r="AD50" i="7"/>
  <c r="B51" i="7"/>
  <c r="C51" i="7"/>
  <c r="P51" i="7"/>
  <c r="Q51" i="7"/>
  <c r="R51" i="7"/>
  <c r="S51" i="7"/>
  <c r="T51" i="7"/>
  <c r="V51" i="7"/>
  <c r="AB51" i="7"/>
  <c r="AC51" i="7"/>
  <c r="AD51" i="7"/>
  <c r="B52" i="7"/>
  <c r="C52" i="7"/>
  <c r="P52" i="7"/>
  <c r="Q52" i="7"/>
  <c r="R52" i="7"/>
  <c r="S52" i="7"/>
  <c r="T52" i="7"/>
  <c r="V52" i="7"/>
  <c r="AB52" i="7"/>
  <c r="AC52" i="7"/>
  <c r="AD52" i="7"/>
  <c r="B53" i="7"/>
  <c r="C53" i="7"/>
  <c r="P53" i="7"/>
  <c r="Q53" i="7"/>
  <c r="R53" i="7"/>
  <c r="S53" i="7"/>
  <c r="T53" i="7"/>
  <c r="V53" i="7"/>
  <c r="AB53" i="7"/>
  <c r="AC53" i="7"/>
  <c r="AD53" i="7"/>
  <c r="B54" i="7"/>
  <c r="C54" i="7"/>
  <c r="P54" i="7"/>
  <c r="Q54" i="7"/>
  <c r="R54" i="7"/>
  <c r="S54" i="7"/>
  <c r="T54" i="7"/>
  <c r="V54" i="7"/>
  <c r="AB54" i="7"/>
  <c r="AC54" i="7"/>
  <c r="AD54" i="7"/>
  <c r="B55" i="7"/>
  <c r="C55" i="7"/>
  <c r="P55" i="7"/>
  <c r="Q55" i="7"/>
  <c r="R55" i="7"/>
  <c r="S55" i="7"/>
  <c r="T55" i="7"/>
  <c r="V55" i="7"/>
  <c r="AB55" i="7"/>
  <c r="AC55" i="7"/>
  <c r="AD55" i="7"/>
  <c r="B56" i="7"/>
  <c r="C56" i="7"/>
  <c r="P56" i="7"/>
  <c r="Q56" i="7"/>
  <c r="R56" i="7"/>
  <c r="S56" i="7"/>
  <c r="T56" i="7"/>
  <c r="V56" i="7"/>
  <c r="AB56" i="7"/>
  <c r="AC56" i="7"/>
  <c r="AD56" i="7"/>
  <c r="B57" i="7"/>
  <c r="C57" i="7"/>
  <c r="P57" i="7"/>
  <c r="Q57" i="7"/>
  <c r="R57" i="7"/>
  <c r="S57" i="7"/>
  <c r="T57" i="7"/>
  <c r="V57" i="7"/>
  <c r="AB57" i="7"/>
  <c r="AC57" i="7"/>
  <c r="AD57" i="7"/>
  <c r="B58" i="7"/>
  <c r="C58" i="7"/>
  <c r="P58" i="7"/>
  <c r="Q58" i="7"/>
  <c r="R58" i="7"/>
  <c r="S58" i="7"/>
  <c r="T58" i="7"/>
  <c r="V58" i="7"/>
  <c r="AB58" i="7"/>
  <c r="AC58" i="7"/>
  <c r="AD58" i="7"/>
  <c r="B59" i="7"/>
  <c r="C59" i="7"/>
  <c r="P59" i="7"/>
  <c r="Q59" i="7"/>
  <c r="R59" i="7"/>
  <c r="S59" i="7"/>
  <c r="T59" i="7"/>
  <c r="V59" i="7"/>
  <c r="AB59" i="7"/>
  <c r="AC59" i="7"/>
  <c r="AD59" i="7"/>
  <c r="B60" i="7"/>
  <c r="C60" i="7"/>
  <c r="P60" i="7"/>
  <c r="Q60" i="7"/>
  <c r="R60" i="7"/>
  <c r="S60" i="7"/>
  <c r="T60" i="7"/>
  <c r="V60" i="7"/>
  <c r="AB60" i="7"/>
  <c r="AC60" i="7"/>
  <c r="AD60" i="7"/>
  <c r="B61" i="7"/>
  <c r="C61" i="7"/>
  <c r="P61" i="7"/>
  <c r="Q61" i="7"/>
  <c r="R61" i="7"/>
  <c r="S61" i="7"/>
  <c r="T61" i="7"/>
  <c r="V61" i="7"/>
  <c r="AB61" i="7"/>
  <c r="AC61" i="7"/>
  <c r="AD61" i="7"/>
  <c r="B62" i="7"/>
  <c r="C62" i="7"/>
  <c r="P62" i="7"/>
  <c r="Q62" i="7"/>
  <c r="R62" i="7"/>
  <c r="S62" i="7"/>
  <c r="T62" i="7"/>
  <c r="V62" i="7"/>
  <c r="AB62" i="7"/>
  <c r="AC62" i="7"/>
  <c r="AD62" i="7"/>
  <c r="B63" i="7"/>
  <c r="C63" i="7"/>
  <c r="P63" i="7"/>
  <c r="Q63" i="7"/>
  <c r="R63" i="7"/>
  <c r="S63" i="7"/>
  <c r="T63" i="7"/>
  <c r="V63" i="7"/>
  <c r="AB63" i="7"/>
  <c r="AC63" i="7"/>
  <c r="AD63" i="7"/>
  <c r="B64" i="7"/>
  <c r="C64" i="7"/>
  <c r="P64" i="7"/>
  <c r="Q64" i="7"/>
  <c r="R64" i="7"/>
  <c r="S64" i="7"/>
  <c r="T64" i="7"/>
  <c r="V64" i="7"/>
  <c r="AB64" i="7"/>
  <c r="AC64" i="7"/>
  <c r="AD64" i="7"/>
  <c r="B65" i="7"/>
  <c r="C65" i="7"/>
  <c r="P65" i="7"/>
  <c r="Q65" i="7"/>
  <c r="R65" i="7"/>
  <c r="S65" i="7"/>
  <c r="T65" i="7"/>
  <c r="V65" i="7"/>
  <c r="AB65" i="7"/>
  <c r="AC65" i="7"/>
  <c r="AD65" i="7"/>
  <c r="B66" i="7"/>
  <c r="C66" i="7"/>
  <c r="P66" i="7"/>
  <c r="Q66" i="7"/>
  <c r="R66" i="7"/>
  <c r="S66" i="7"/>
  <c r="T66" i="7"/>
  <c r="V66" i="7"/>
  <c r="AB66" i="7"/>
  <c r="AC66" i="7"/>
  <c r="AD66" i="7"/>
  <c r="B67" i="7"/>
  <c r="C67" i="7"/>
  <c r="P67" i="7"/>
  <c r="Q67" i="7"/>
  <c r="R67" i="7"/>
  <c r="S67" i="7"/>
  <c r="T67" i="7"/>
  <c r="V67" i="7"/>
  <c r="AB67" i="7"/>
  <c r="AC67" i="7"/>
  <c r="AD67" i="7"/>
  <c r="B68" i="7"/>
  <c r="C68" i="7"/>
  <c r="P68" i="7"/>
  <c r="Q68" i="7"/>
  <c r="R68" i="7"/>
  <c r="S68" i="7"/>
  <c r="T68" i="7"/>
  <c r="V68" i="7"/>
  <c r="AB68" i="7"/>
  <c r="AC68" i="7"/>
  <c r="AD68" i="7"/>
  <c r="B69" i="7"/>
  <c r="C69" i="7"/>
  <c r="P69" i="7"/>
  <c r="Q69" i="7"/>
  <c r="R69" i="7"/>
  <c r="S69" i="7"/>
  <c r="T69" i="7"/>
  <c r="V69" i="7"/>
  <c r="AB69" i="7"/>
  <c r="AC69" i="7"/>
  <c r="AD69" i="7"/>
  <c r="B70" i="7"/>
  <c r="C70" i="7"/>
  <c r="P70" i="7"/>
  <c r="Q70" i="7"/>
  <c r="R70" i="7"/>
  <c r="S70" i="7"/>
  <c r="T70" i="7"/>
  <c r="V70" i="7"/>
  <c r="AB70" i="7"/>
  <c r="AC70" i="7"/>
  <c r="AD70" i="7"/>
  <c r="B71" i="7"/>
  <c r="C71" i="7"/>
  <c r="P71" i="7"/>
  <c r="Q71" i="7"/>
  <c r="R71" i="7"/>
  <c r="S71" i="7"/>
  <c r="T71" i="7"/>
  <c r="V71" i="7"/>
  <c r="AB71" i="7"/>
  <c r="AC71" i="7"/>
  <c r="AD71" i="7"/>
  <c r="B72" i="7"/>
  <c r="C72" i="7"/>
  <c r="P72" i="7"/>
  <c r="Q72" i="7"/>
  <c r="R72" i="7"/>
  <c r="S72" i="7"/>
  <c r="T72" i="7"/>
  <c r="V72" i="7"/>
  <c r="AB72" i="7"/>
  <c r="AC72" i="7"/>
  <c r="AD72" i="7"/>
  <c r="B73" i="7"/>
  <c r="C73" i="7"/>
  <c r="P73" i="7"/>
  <c r="Q73" i="7"/>
  <c r="R73" i="7"/>
  <c r="S73" i="7"/>
  <c r="T73" i="7"/>
  <c r="V73" i="7"/>
  <c r="AB73" i="7"/>
  <c r="AC73" i="7"/>
  <c r="AD73" i="7"/>
  <c r="B74" i="7"/>
  <c r="C74" i="7"/>
  <c r="P74" i="7"/>
  <c r="Q74" i="7"/>
  <c r="R74" i="7"/>
  <c r="S74" i="7"/>
  <c r="T74" i="7"/>
  <c r="V74" i="7"/>
  <c r="AB74" i="7"/>
  <c r="AC74" i="7"/>
  <c r="AD74" i="7"/>
  <c r="B75" i="7"/>
  <c r="C75" i="7"/>
  <c r="P75" i="7"/>
  <c r="Q75" i="7"/>
  <c r="R75" i="7"/>
  <c r="S75" i="7"/>
  <c r="T75" i="7"/>
  <c r="V75" i="7"/>
  <c r="AB75" i="7"/>
  <c r="AC75" i="7"/>
  <c r="AD75" i="7"/>
  <c r="B76" i="7"/>
  <c r="C76" i="7"/>
  <c r="P76" i="7"/>
  <c r="Q76" i="7"/>
  <c r="R76" i="7"/>
  <c r="S76" i="7"/>
  <c r="T76" i="7"/>
  <c r="V76" i="7"/>
  <c r="AB76" i="7"/>
  <c r="AC76" i="7"/>
  <c r="AD76" i="7"/>
  <c r="B77" i="7"/>
  <c r="C77" i="7"/>
  <c r="P77" i="7"/>
  <c r="Q77" i="7"/>
  <c r="R77" i="7"/>
  <c r="S77" i="7"/>
  <c r="T77" i="7"/>
  <c r="V77" i="7"/>
  <c r="AB77" i="7"/>
  <c r="AC77" i="7"/>
  <c r="AD77" i="7"/>
  <c r="B78" i="7"/>
  <c r="C78" i="7"/>
  <c r="P78" i="7"/>
  <c r="Q78" i="7"/>
  <c r="R78" i="7"/>
  <c r="S78" i="7"/>
  <c r="T78" i="7"/>
  <c r="V78" i="7"/>
  <c r="AB78" i="7"/>
  <c r="AC78" i="7"/>
  <c r="AD78" i="7"/>
  <c r="B79" i="7"/>
  <c r="C79" i="7"/>
  <c r="P79" i="7"/>
  <c r="Q79" i="7"/>
  <c r="R79" i="7"/>
  <c r="S79" i="7"/>
  <c r="T79" i="7"/>
  <c r="V79" i="7"/>
  <c r="AB79" i="7"/>
  <c r="AC79" i="7"/>
  <c r="AD79" i="7"/>
  <c r="B80" i="7"/>
  <c r="C80" i="7"/>
  <c r="P80" i="7"/>
  <c r="Q80" i="7"/>
  <c r="R80" i="7"/>
  <c r="S80" i="7"/>
  <c r="T80" i="7"/>
  <c r="V80" i="7"/>
  <c r="AB80" i="7"/>
  <c r="AC80" i="7"/>
  <c r="AD80" i="7"/>
  <c r="B81" i="7"/>
  <c r="C81" i="7"/>
  <c r="P81" i="7"/>
  <c r="Q81" i="7"/>
  <c r="R81" i="7"/>
  <c r="S81" i="7"/>
  <c r="T81" i="7"/>
  <c r="V81" i="7"/>
  <c r="AB81" i="7"/>
  <c r="AC81" i="7"/>
  <c r="AD81" i="7"/>
  <c r="B82" i="7"/>
  <c r="C82" i="7"/>
  <c r="P82" i="7"/>
  <c r="Q82" i="7"/>
  <c r="R82" i="7"/>
  <c r="S82" i="7"/>
  <c r="T82" i="7"/>
  <c r="V82" i="7"/>
  <c r="AB82" i="7"/>
  <c r="AC82" i="7"/>
  <c r="AD82" i="7"/>
  <c r="B83" i="7"/>
  <c r="C83" i="7"/>
  <c r="P83" i="7"/>
  <c r="Q83" i="7"/>
  <c r="R83" i="7"/>
  <c r="S83" i="7"/>
  <c r="T83" i="7"/>
  <c r="V83" i="7"/>
  <c r="AB83" i="7"/>
  <c r="AC83" i="7"/>
  <c r="AD83" i="7"/>
  <c r="B84" i="7"/>
  <c r="C84" i="7"/>
  <c r="P84" i="7"/>
  <c r="Q84" i="7"/>
  <c r="R84" i="7"/>
  <c r="S84" i="7"/>
  <c r="T84" i="7"/>
  <c r="V84" i="7"/>
  <c r="AB84" i="7"/>
  <c r="AC84" i="7"/>
  <c r="AD84" i="7"/>
  <c r="B85" i="7"/>
  <c r="C85" i="7"/>
  <c r="P85" i="7"/>
  <c r="Q85" i="7"/>
  <c r="R85" i="7"/>
  <c r="S85" i="7"/>
  <c r="T85" i="7"/>
  <c r="V85" i="7"/>
  <c r="AB85" i="7"/>
  <c r="AC85" i="7"/>
  <c r="AD85" i="7"/>
  <c r="B86" i="7"/>
  <c r="C86" i="7"/>
  <c r="P86" i="7"/>
  <c r="Q86" i="7"/>
  <c r="R86" i="7"/>
  <c r="S86" i="7"/>
  <c r="T86" i="7"/>
  <c r="V86" i="7"/>
  <c r="AB86" i="7"/>
  <c r="AC86" i="7"/>
  <c r="AD86" i="7"/>
  <c r="B87" i="7"/>
  <c r="C87" i="7"/>
  <c r="P87" i="7"/>
  <c r="Q87" i="7"/>
  <c r="R87" i="7"/>
  <c r="S87" i="7"/>
  <c r="T87" i="7"/>
  <c r="V87" i="7"/>
  <c r="AB87" i="7"/>
  <c r="AC87" i="7"/>
  <c r="AD87" i="7"/>
  <c r="B88" i="7"/>
  <c r="C88" i="7"/>
  <c r="P88" i="7"/>
  <c r="Q88" i="7"/>
  <c r="R88" i="7"/>
  <c r="S88" i="7"/>
  <c r="T88" i="7"/>
  <c r="V88" i="7"/>
  <c r="AB88" i="7"/>
  <c r="AC88" i="7"/>
  <c r="AD88" i="7"/>
  <c r="B89" i="7"/>
  <c r="C89" i="7"/>
  <c r="P89" i="7"/>
  <c r="Q89" i="7"/>
  <c r="R89" i="7"/>
  <c r="S89" i="7"/>
  <c r="T89" i="7"/>
  <c r="V89" i="7"/>
  <c r="AB89" i="7"/>
  <c r="AC89" i="7"/>
  <c r="AD89" i="7"/>
  <c r="B90" i="7"/>
  <c r="C90" i="7"/>
  <c r="P90" i="7"/>
  <c r="Q90" i="7"/>
  <c r="R90" i="7"/>
  <c r="S90" i="7"/>
  <c r="T90" i="7"/>
  <c r="V90" i="7"/>
  <c r="AB90" i="7"/>
  <c r="AC90" i="7"/>
  <c r="AD90" i="7"/>
  <c r="B91" i="7"/>
  <c r="C91" i="7"/>
  <c r="P91" i="7"/>
  <c r="Q91" i="7"/>
  <c r="R91" i="7"/>
  <c r="S91" i="7"/>
  <c r="T91" i="7"/>
  <c r="V91" i="7"/>
  <c r="AB91" i="7"/>
  <c r="AC91" i="7"/>
  <c r="AD91" i="7"/>
  <c r="B92" i="7"/>
  <c r="C92" i="7"/>
  <c r="P92" i="7"/>
  <c r="Q92" i="7"/>
  <c r="R92" i="7"/>
  <c r="S92" i="7"/>
  <c r="T92" i="7"/>
  <c r="V92" i="7"/>
  <c r="AB92" i="7"/>
  <c r="AC92" i="7"/>
  <c r="AD92" i="7"/>
  <c r="B93" i="7"/>
  <c r="C93" i="7"/>
  <c r="P93" i="7"/>
  <c r="Q93" i="7"/>
  <c r="R93" i="7"/>
  <c r="S93" i="7"/>
  <c r="T93" i="7"/>
  <c r="V93" i="7"/>
  <c r="AB93" i="7"/>
  <c r="AC93" i="7"/>
  <c r="AD93" i="7"/>
  <c r="B94" i="7"/>
  <c r="C94" i="7"/>
  <c r="P94" i="7"/>
  <c r="Q94" i="7"/>
  <c r="R94" i="7"/>
  <c r="S94" i="7"/>
  <c r="T94" i="7"/>
  <c r="V94" i="7"/>
  <c r="AB94" i="7"/>
  <c r="AC94" i="7"/>
  <c r="AD94" i="7"/>
  <c r="B95" i="7"/>
  <c r="C95" i="7"/>
  <c r="P95" i="7"/>
  <c r="Q95" i="7"/>
  <c r="R95" i="7"/>
  <c r="S95" i="7"/>
  <c r="T95" i="7"/>
  <c r="V95" i="7"/>
  <c r="AB95" i="7"/>
  <c r="AC95" i="7"/>
  <c r="AD95" i="7"/>
  <c r="B96" i="7"/>
  <c r="C96" i="7"/>
  <c r="P96" i="7"/>
  <c r="Q96" i="7"/>
  <c r="R96" i="7"/>
  <c r="S96" i="7"/>
  <c r="T96" i="7"/>
  <c r="V96" i="7"/>
  <c r="AB96" i="7"/>
  <c r="AC96" i="7"/>
  <c r="AD96" i="7"/>
  <c r="B97" i="7"/>
  <c r="C97" i="7"/>
  <c r="P97" i="7"/>
  <c r="Q97" i="7"/>
  <c r="R97" i="7"/>
  <c r="S97" i="7"/>
  <c r="T97" i="7"/>
  <c r="V97" i="7"/>
  <c r="AB97" i="7"/>
  <c r="AC97" i="7"/>
  <c r="AD97" i="7"/>
  <c r="B98" i="7"/>
  <c r="C98" i="7"/>
  <c r="P98" i="7"/>
  <c r="Q98" i="7"/>
  <c r="R98" i="7"/>
  <c r="S98" i="7"/>
  <c r="T98" i="7"/>
  <c r="V98" i="7"/>
  <c r="AB98" i="7"/>
  <c r="AC98" i="7"/>
  <c r="AD98" i="7"/>
  <c r="B99" i="7"/>
  <c r="C99" i="7"/>
  <c r="P99" i="7"/>
  <c r="Q99" i="7"/>
  <c r="R99" i="7"/>
  <c r="S99" i="7"/>
  <c r="T99" i="7"/>
  <c r="V99" i="7"/>
  <c r="AB99" i="7"/>
  <c r="AC99" i="7"/>
  <c r="AD99" i="7"/>
  <c r="B100" i="7"/>
  <c r="C100" i="7"/>
  <c r="P100" i="7"/>
  <c r="Q100" i="7"/>
  <c r="R100" i="7"/>
  <c r="S100" i="7"/>
  <c r="T100" i="7"/>
  <c r="V100" i="7"/>
  <c r="AB100" i="7"/>
  <c r="AC100" i="7"/>
  <c r="AD100" i="7"/>
  <c r="B101" i="7"/>
  <c r="C101" i="7"/>
  <c r="P101" i="7"/>
  <c r="Q101" i="7"/>
  <c r="R101" i="7"/>
  <c r="S101" i="7"/>
  <c r="T101" i="7"/>
  <c r="V101" i="7"/>
  <c r="AB101" i="7"/>
  <c r="AC101" i="7"/>
  <c r="AD101" i="7"/>
  <c r="B102" i="7"/>
  <c r="C102" i="7"/>
  <c r="P102" i="7"/>
  <c r="Q102" i="7"/>
  <c r="R102" i="7"/>
  <c r="S102" i="7"/>
  <c r="T102" i="7"/>
  <c r="V102" i="7"/>
  <c r="AB102" i="7"/>
  <c r="AC102" i="7"/>
  <c r="AD102" i="7"/>
  <c r="B103" i="7"/>
  <c r="C103" i="7"/>
  <c r="P103" i="7"/>
  <c r="Q103" i="7"/>
  <c r="R103" i="7"/>
  <c r="S103" i="7"/>
  <c r="T103" i="7"/>
  <c r="V103" i="7"/>
  <c r="AB103" i="7"/>
  <c r="AC103" i="7"/>
  <c r="AD103" i="7"/>
  <c r="B104" i="7"/>
  <c r="C104" i="7"/>
  <c r="P104" i="7"/>
  <c r="Q104" i="7"/>
  <c r="R104" i="7"/>
  <c r="S104" i="7"/>
  <c r="T104" i="7"/>
  <c r="V104" i="7"/>
  <c r="AB104" i="7"/>
  <c r="AC104" i="7"/>
  <c r="AD104" i="7"/>
  <c r="B105" i="7"/>
  <c r="C105" i="7"/>
  <c r="P105" i="7"/>
  <c r="Q105" i="7"/>
  <c r="R105" i="7"/>
  <c r="S105" i="7"/>
  <c r="T105" i="7"/>
  <c r="V105" i="7"/>
  <c r="AB105" i="7"/>
  <c r="AC105" i="7"/>
  <c r="AD105" i="7"/>
  <c r="B106" i="7"/>
  <c r="C106" i="7"/>
  <c r="P106" i="7"/>
  <c r="Q106" i="7"/>
  <c r="R106" i="7"/>
  <c r="S106" i="7"/>
  <c r="T106" i="7"/>
  <c r="V106" i="7"/>
  <c r="AB106" i="7"/>
  <c r="AC106" i="7"/>
  <c r="AD106" i="7"/>
  <c r="B107" i="7"/>
  <c r="C107" i="7"/>
  <c r="P107" i="7"/>
  <c r="Q107" i="7"/>
  <c r="R107" i="7"/>
  <c r="S107" i="7"/>
  <c r="T107" i="7"/>
  <c r="V107" i="7"/>
  <c r="AB107" i="7"/>
  <c r="AC107" i="7"/>
  <c r="AD107" i="7"/>
  <c r="B108" i="7"/>
  <c r="C108" i="7"/>
  <c r="P108" i="7"/>
  <c r="Q108" i="7"/>
  <c r="R108" i="7"/>
  <c r="S108" i="7"/>
  <c r="T108" i="7"/>
  <c r="V108" i="7"/>
  <c r="AB108" i="7"/>
  <c r="AC108" i="7"/>
  <c r="AD108" i="7"/>
  <c r="B109" i="7"/>
  <c r="C109" i="7"/>
  <c r="P109" i="7"/>
  <c r="Q109" i="7"/>
  <c r="R109" i="7"/>
  <c r="S109" i="7"/>
  <c r="T109" i="7"/>
  <c r="V109" i="7"/>
  <c r="AB109" i="7"/>
  <c r="AC109" i="7"/>
  <c r="AD109" i="7"/>
  <c r="B110" i="7"/>
  <c r="C110" i="7"/>
  <c r="P110" i="7"/>
  <c r="Q110" i="7"/>
  <c r="R110" i="7"/>
  <c r="S110" i="7"/>
  <c r="T110" i="7"/>
  <c r="V110" i="7"/>
  <c r="AB110" i="7"/>
  <c r="AC110" i="7"/>
  <c r="AD110" i="7"/>
  <c r="B111" i="7"/>
  <c r="C111" i="7"/>
  <c r="P111" i="7"/>
  <c r="Q111" i="7"/>
  <c r="R111" i="7"/>
  <c r="S111" i="7"/>
  <c r="T111" i="7"/>
  <c r="V111" i="7"/>
  <c r="AB111" i="7"/>
  <c r="AC111" i="7"/>
  <c r="AD111" i="7"/>
  <c r="B112" i="7"/>
  <c r="C112" i="7"/>
  <c r="P112" i="7"/>
  <c r="Q112" i="7"/>
  <c r="R112" i="7"/>
  <c r="S112" i="7"/>
  <c r="T112" i="7"/>
  <c r="V112" i="7"/>
  <c r="AB112" i="7"/>
  <c r="AC112" i="7"/>
  <c r="AD112" i="7"/>
  <c r="B113" i="7"/>
  <c r="C113" i="7"/>
  <c r="P113" i="7"/>
  <c r="Q113" i="7"/>
  <c r="R113" i="7"/>
  <c r="S113" i="7"/>
  <c r="T113" i="7"/>
  <c r="V113" i="7"/>
  <c r="AB113" i="7"/>
  <c r="AC113" i="7"/>
  <c r="AD113" i="7"/>
  <c r="B114" i="7"/>
  <c r="C114" i="7"/>
  <c r="P114" i="7"/>
  <c r="Q114" i="7"/>
  <c r="R114" i="7"/>
  <c r="S114" i="7"/>
  <c r="T114" i="7"/>
  <c r="V114" i="7"/>
  <c r="AB114" i="7"/>
  <c r="AC114" i="7"/>
  <c r="AD114" i="7"/>
  <c r="B115" i="7"/>
  <c r="C115" i="7"/>
  <c r="P115" i="7"/>
  <c r="Q115" i="7"/>
  <c r="R115" i="7"/>
  <c r="S115" i="7"/>
  <c r="T115" i="7"/>
  <c r="V115" i="7"/>
  <c r="AB115" i="7"/>
  <c r="AC115" i="7"/>
  <c r="AD115" i="7"/>
  <c r="B116" i="7"/>
  <c r="C116" i="7"/>
  <c r="P116" i="7"/>
  <c r="Q116" i="7"/>
  <c r="R116" i="7"/>
  <c r="S116" i="7"/>
  <c r="T116" i="7"/>
  <c r="V116" i="7"/>
  <c r="AB116" i="7"/>
  <c r="AC116" i="7"/>
  <c r="AD116" i="7"/>
  <c r="B117" i="7"/>
  <c r="C117" i="7"/>
  <c r="P117" i="7"/>
  <c r="Q117" i="7"/>
  <c r="R117" i="7"/>
  <c r="S117" i="7"/>
  <c r="T117" i="7"/>
  <c r="V117" i="7"/>
  <c r="AB117" i="7"/>
  <c r="AC117" i="7"/>
  <c r="AD117" i="7"/>
  <c r="B118" i="7"/>
  <c r="C118" i="7"/>
  <c r="P118" i="7"/>
  <c r="Q118" i="7"/>
  <c r="R118" i="7"/>
  <c r="S118" i="7"/>
  <c r="T118" i="7"/>
  <c r="V118" i="7"/>
  <c r="AB118" i="7"/>
  <c r="AC118" i="7"/>
  <c r="AD118" i="7"/>
  <c r="B119" i="7"/>
  <c r="C119" i="7"/>
  <c r="P119" i="7"/>
  <c r="Q119" i="7"/>
  <c r="R119" i="7"/>
  <c r="S119" i="7"/>
  <c r="T119" i="7"/>
  <c r="V119" i="7"/>
  <c r="AB119" i="7"/>
  <c r="AC119" i="7"/>
  <c r="AD119" i="7"/>
  <c r="B120" i="7"/>
  <c r="C120" i="7"/>
  <c r="P120" i="7"/>
  <c r="Q120" i="7"/>
  <c r="R120" i="7"/>
  <c r="S120" i="7"/>
  <c r="T120" i="7"/>
  <c r="V120" i="7"/>
  <c r="AB120" i="7"/>
  <c r="AC120" i="7"/>
  <c r="AD120" i="7"/>
  <c r="B121" i="7"/>
  <c r="C121" i="7"/>
  <c r="P121" i="7"/>
  <c r="Q121" i="7"/>
  <c r="R121" i="7"/>
  <c r="S121" i="7"/>
  <c r="T121" i="7"/>
  <c r="V121" i="7"/>
  <c r="AB121" i="7"/>
  <c r="AC121" i="7"/>
  <c r="AD121" i="7"/>
  <c r="B122" i="7"/>
  <c r="C122" i="7"/>
  <c r="P122" i="7"/>
  <c r="Q122" i="7"/>
  <c r="R122" i="7"/>
  <c r="S122" i="7"/>
  <c r="T122" i="7"/>
  <c r="V122" i="7"/>
  <c r="AB122" i="7"/>
  <c r="AC122" i="7"/>
  <c r="AD122" i="7"/>
  <c r="B123" i="7"/>
  <c r="C123" i="7"/>
  <c r="P123" i="7"/>
  <c r="Q123" i="7"/>
  <c r="R123" i="7"/>
  <c r="S123" i="7"/>
  <c r="T123" i="7"/>
  <c r="V123" i="7"/>
  <c r="AB123" i="7"/>
  <c r="AC123" i="7"/>
  <c r="AD123" i="7"/>
  <c r="B124" i="7"/>
  <c r="C124" i="7"/>
  <c r="P124" i="7"/>
  <c r="Q124" i="7"/>
  <c r="R124" i="7"/>
  <c r="S124" i="7"/>
  <c r="T124" i="7"/>
  <c r="V124" i="7"/>
  <c r="AB124" i="7"/>
  <c r="AC124" i="7"/>
  <c r="AD124" i="7"/>
  <c r="B125" i="7"/>
  <c r="C125" i="7"/>
  <c r="P125" i="7"/>
  <c r="Q125" i="7"/>
  <c r="R125" i="7"/>
  <c r="S125" i="7"/>
  <c r="T125" i="7"/>
  <c r="V125" i="7"/>
  <c r="AB125" i="7"/>
  <c r="AC125" i="7"/>
  <c r="AD125" i="7"/>
  <c r="B126" i="7"/>
  <c r="C126" i="7"/>
  <c r="P126" i="7"/>
  <c r="Q126" i="7"/>
  <c r="R126" i="7"/>
  <c r="S126" i="7"/>
  <c r="T126" i="7"/>
  <c r="V126" i="7"/>
  <c r="AB126" i="7"/>
  <c r="AC126" i="7"/>
  <c r="AD126" i="7"/>
  <c r="B127" i="7"/>
  <c r="C127" i="7"/>
  <c r="P127" i="7"/>
  <c r="Q127" i="7"/>
  <c r="R127" i="7"/>
  <c r="S127" i="7"/>
  <c r="T127" i="7"/>
  <c r="V127" i="7"/>
  <c r="AB127" i="7"/>
  <c r="AC127" i="7"/>
  <c r="AD127" i="7"/>
  <c r="B128" i="7"/>
  <c r="C128" i="7"/>
  <c r="P128" i="7"/>
  <c r="Q128" i="7"/>
  <c r="R128" i="7"/>
  <c r="S128" i="7"/>
  <c r="T128" i="7"/>
  <c r="V128" i="7"/>
  <c r="AB128" i="7"/>
  <c r="AC128" i="7"/>
  <c r="AD128" i="7"/>
  <c r="B129" i="7"/>
  <c r="C129" i="7"/>
  <c r="P129" i="7"/>
  <c r="Q129" i="7"/>
  <c r="R129" i="7"/>
  <c r="S129" i="7"/>
  <c r="T129" i="7"/>
  <c r="V129" i="7"/>
  <c r="AB129" i="7"/>
  <c r="AC129" i="7"/>
  <c r="AD129" i="7"/>
  <c r="B130" i="7"/>
  <c r="C130" i="7"/>
  <c r="P130" i="7"/>
  <c r="Q130" i="7"/>
  <c r="R130" i="7"/>
  <c r="S130" i="7"/>
  <c r="T130" i="7"/>
  <c r="V130" i="7"/>
  <c r="AB130" i="7"/>
  <c r="AC130" i="7"/>
  <c r="AD130" i="7"/>
  <c r="B131" i="7"/>
  <c r="C131" i="7"/>
  <c r="P131" i="7"/>
  <c r="Q131" i="7"/>
  <c r="R131" i="7"/>
  <c r="S131" i="7"/>
  <c r="T131" i="7"/>
  <c r="V131" i="7"/>
  <c r="AB131" i="7"/>
  <c r="AC131" i="7"/>
  <c r="AD131" i="7"/>
  <c r="B132" i="7"/>
  <c r="C132" i="7"/>
  <c r="P132" i="7"/>
  <c r="Q132" i="7"/>
  <c r="R132" i="7"/>
  <c r="S132" i="7"/>
  <c r="T132" i="7"/>
  <c r="V132" i="7"/>
  <c r="AB132" i="7"/>
  <c r="AC132" i="7"/>
  <c r="AD132" i="7"/>
  <c r="B133" i="7"/>
  <c r="C133" i="7"/>
  <c r="P133" i="7"/>
  <c r="Q133" i="7"/>
  <c r="R133" i="7"/>
  <c r="S133" i="7"/>
  <c r="T133" i="7"/>
  <c r="V133" i="7"/>
  <c r="AB133" i="7"/>
  <c r="AC133" i="7"/>
  <c r="AD133" i="7"/>
  <c r="B134" i="7"/>
  <c r="C134" i="7"/>
  <c r="P134" i="7"/>
  <c r="Q134" i="7"/>
  <c r="R134" i="7"/>
  <c r="S134" i="7"/>
  <c r="T134" i="7"/>
  <c r="V134" i="7"/>
  <c r="AB134" i="7"/>
  <c r="AC134" i="7"/>
  <c r="AD134" i="7"/>
  <c r="B135" i="7"/>
  <c r="C135" i="7"/>
  <c r="P135" i="7"/>
  <c r="Q135" i="7"/>
  <c r="R135" i="7"/>
  <c r="S135" i="7"/>
  <c r="T135" i="7"/>
  <c r="V135" i="7"/>
  <c r="AB135" i="7"/>
  <c r="AC135" i="7"/>
  <c r="AD135" i="7"/>
  <c r="B136" i="7"/>
  <c r="C136" i="7"/>
  <c r="P136" i="7"/>
  <c r="Q136" i="7"/>
  <c r="R136" i="7"/>
  <c r="S136" i="7"/>
  <c r="T136" i="7"/>
  <c r="V136" i="7"/>
  <c r="AB136" i="7"/>
  <c r="AC136" i="7"/>
  <c r="AD136" i="7"/>
  <c r="B137" i="7"/>
  <c r="C137" i="7"/>
  <c r="P137" i="7"/>
  <c r="Q137" i="7"/>
  <c r="R137" i="7"/>
  <c r="S137" i="7"/>
  <c r="T137" i="7"/>
  <c r="V137" i="7"/>
  <c r="AB137" i="7"/>
  <c r="AC137" i="7"/>
  <c r="AD137" i="7"/>
  <c r="B138" i="7"/>
  <c r="C138" i="7"/>
  <c r="P138" i="7"/>
  <c r="Q138" i="7"/>
  <c r="R138" i="7"/>
  <c r="S138" i="7"/>
  <c r="T138" i="7"/>
  <c r="V138" i="7"/>
  <c r="AB138" i="7"/>
  <c r="AC138" i="7"/>
  <c r="AD138" i="7"/>
  <c r="B139" i="7"/>
  <c r="C139" i="7"/>
  <c r="P139" i="7"/>
  <c r="Q139" i="7"/>
  <c r="R139" i="7"/>
  <c r="S139" i="7"/>
  <c r="T139" i="7"/>
  <c r="V139" i="7"/>
  <c r="AB139" i="7"/>
  <c r="AC139" i="7"/>
  <c r="AD139" i="7"/>
  <c r="B140" i="7"/>
  <c r="C140" i="7"/>
  <c r="P140" i="7"/>
  <c r="Q140" i="7"/>
  <c r="R140" i="7"/>
  <c r="S140" i="7"/>
  <c r="T140" i="7"/>
  <c r="V140" i="7"/>
  <c r="AB140" i="7"/>
  <c r="AC140" i="7"/>
  <c r="AD140" i="7"/>
  <c r="B141" i="7"/>
  <c r="C141" i="7"/>
  <c r="P141" i="7"/>
  <c r="Q141" i="7"/>
  <c r="R141" i="7"/>
  <c r="S141" i="7"/>
  <c r="T141" i="7"/>
  <c r="V141" i="7"/>
  <c r="AB141" i="7"/>
  <c r="AC141" i="7"/>
  <c r="AD141" i="7"/>
  <c r="B142" i="7"/>
  <c r="C142" i="7"/>
  <c r="P142" i="7"/>
  <c r="Q142" i="7"/>
  <c r="R142" i="7"/>
  <c r="S142" i="7"/>
  <c r="T142" i="7"/>
  <c r="V142" i="7"/>
  <c r="AB142" i="7"/>
  <c r="AC142" i="7"/>
  <c r="AD142" i="7"/>
  <c r="B143" i="7"/>
  <c r="C143" i="7"/>
  <c r="P143" i="7"/>
  <c r="Q143" i="7"/>
  <c r="R143" i="7"/>
  <c r="S143" i="7"/>
  <c r="T143" i="7"/>
  <c r="V143" i="7"/>
  <c r="AB143" i="7"/>
  <c r="AC143" i="7"/>
  <c r="AD143" i="7"/>
  <c r="B144" i="7"/>
  <c r="C144" i="7"/>
  <c r="P144" i="7"/>
  <c r="Q144" i="7"/>
  <c r="R144" i="7"/>
  <c r="S144" i="7"/>
  <c r="T144" i="7"/>
  <c r="V144" i="7"/>
  <c r="AB144" i="7"/>
  <c r="AC144" i="7"/>
  <c r="AD144" i="7"/>
  <c r="B145" i="7"/>
  <c r="C145" i="7"/>
  <c r="P145" i="7"/>
  <c r="Q145" i="7"/>
  <c r="R145" i="7"/>
  <c r="S145" i="7"/>
  <c r="T145" i="7"/>
  <c r="V145" i="7"/>
  <c r="AB145" i="7"/>
  <c r="AC145" i="7"/>
  <c r="AD145" i="7"/>
  <c r="B146" i="7"/>
  <c r="C146" i="7"/>
  <c r="P146" i="7"/>
  <c r="Q146" i="7"/>
  <c r="R146" i="7"/>
  <c r="S146" i="7"/>
  <c r="T146" i="7"/>
  <c r="V146" i="7"/>
  <c r="AB146" i="7"/>
  <c r="AC146" i="7"/>
  <c r="AD146" i="7"/>
  <c r="B147" i="7"/>
  <c r="C147" i="7"/>
  <c r="P147" i="7"/>
  <c r="Q147" i="7"/>
  <c r="R147" i="7"/>
  <c r="S147" i="7"/>
  <c r="T147" i="7"/>
  <c r="V147" i="7"/>
  <c r="AB147" i="7"/>
  <c r="AC147" i="7"/>
  <c r="AD147" i="7"/>
  <c r="B148" i="7"/>
  <c r="C148" i="7"/>
  <c r="P148" i="7"/>
  <c r="Q148" i="7"/>
  <c r="R148" i="7"/>
  <c r="S148" i="7"/>
  <c r="T148" i="7"/>
  <c r="V148" i="7"/>
  <c r="AB148" i="7"/>
  <c r="AC148" i="7"/>
  <c r="AD148" i="7"/>
  <c r="B149" i="7"/>
  <c r="C149" i="7"/>
  <c r="P149" i="7"/>
  <c r="Q149" i="7"/>
  <c r="R149" i="7"/>
  <c r="S149" i="7"/>
  <c r="T149" i="7"/>
  <c r="V149" i="7"/>
  <c r="AB149" i="7"/>
  <c r="AC149" i="7"/>
  <c r="AD149" i="7"/>
  <c r="B150" i="7"/>
  <c r="C150" i="7"/>
  <c r="P150" i="7"/>
  <c r="Q150" i="7"/>
  <c r="R150" i="7"/>
  <c r="S150" i="7"/>
  <c r="T150" i="7"/>
  <c r="V150" i="7"/>
  <c r="AB150" i="7"/>
  <c r="AC150" i="7"/>
  <c r="AD150" i="7"/>
  <c r="B151" i="7"/>
  <c r="C151" i="7"/>
  <c r="P151" i="7"/>
  <c r="Q151" i="7"/>
  <c r="R151" i="7"/>
  <c r="S151" i="7"/>
  <c r="T151" i="7"/>
  <c r="V151" i="7"/>
  <c r="AB151" i="7"/>
  <c r="AC151" i="7"/>
  <c r="AD151" i="7"/>
  <c r="B152" i="7"/>
  <c r="C152" i="7"/>
  <c r="P152" i="7"/>
  <c r="Q152" i="7"/>
  <c r="R152" i="7"/>
  <c r="S152" i="7"/>
  <c r="T152" i="7"/>
  <c r="V152" i="7"/>
  <c r="AB152" i="7"/>
  <c r="AC152" i="7"/>
  <c r="AD152" i="7"/>
  <c r="B153" i="7"/>
  <c r="C153" i="7"/>
  <c r="P153" i="7"/>
  <c r="Q153" i="7"/>
  <c r="R153" i="7"/>
  <c r="S153" i="7"/>
  <c r="T153" i="7"/>
  <c r="V153" i="7"/>
  <c r="AB153" i="7"/>
  <c r="AC153" i="7"/>
  <c r="AD153" i="7"/>
  <c r="B154" i="7"/>
  <c r="C154" i="7"/>
  <c r="P154" i="7"/>
  <c r="Q154" i="7"/>
  <c r="R154" i="7"/>
  <c r="S154" i="7"/>
  <c r="T154" i="7"/>
  <c r="V154" i="7"/>
  <c r="AB154" i="7"/>
  <c r="AC154" i="7"/>
  <c r="AD154" i="7"/>
  <c r="B155" i="7"/>
  <c r="C155" i="7"/>
  <c r="P155" i="7"/>
  <c r="Q155" i="7"/>
  <c r="R155" i="7"/>
  <c r="S155" i="7"/>
  <c r="T155" i="7"/>
  <c r="V155" i="7"/>
  <c r="AB155" i="7"/>
  <c r="AC155" i="7"/>
  <c r="AD155" i="7"/>
  <c r="B156" i="7"/>
  <c r="C156" i="7"/>
  <c r="P156" i="7"/>
  <c r="Q156" i="7"/>
  <c r="R156" i="7"/>
  <c r="S156" i="7"/>
  <c r="T156" i="7"/>
  <c r="V156" i="7"/>
  <c r="AB156" i="7"/>
  <c r="AC156" i="7"/>
  <c r="AD156" i="7"/>
  <c r="B157" i="7"/>
  <c r="C157" i="7"/>
  <c r="P157" i="7"/>
  <c r="Q157" i="7"/>
  <c r="R157" i="7"/>
  <c r="S157" i="7"/>
  <c r="T157" i="7"/>
  <c r="V157" i="7"/>
  <c r="AB157" i="7"/>
  <c r="AC157" i="7"/>
  <c r="AD157" i="7"/>
  <c r="B158" i="7"/>
  <c r="C158" i="7"/>
  <c r="P158" i="7"/>
  <c r="Q158" i="7"/>
  <c r="R158" i="7"/>
  <c r="S158" i="7"/>
  <c r="T158" i="7"/>
  <c r="V158" i="7"/>
  <c r="AB158" i="7"/>
  <c r="AC158" i="7"/>
  <c r="AD158" i="7"/>
  <c r="B159" i="7"/>
  <c r="C159" i="7"/>
  <c r="P159" i="7"/>
  <c r="Q159" i="7"/>
  <c r="R159" i="7"/>
  <c r="S159" i="7"/>
  <c r="T159" i="7"/>
  <c r="V159" i="7"/>
  <c r="AB159" i="7"/>
  <c r="AC159" i="7"/>
  <c r="AD159" i="7"/>
  <c r="B160" i="7"/>
  <c r="C160" i="7"/>
  <c r="P160" i="7"/>
  <c r="Q160" i="7"/>
  <c r="R160" i="7"/>
  <c r="S160" i="7"/>
  <c r="T160" i="7"/>
  <c r="V160" i="7"/>
  <c r="AB160" i="7"/>
  <c r="AC160" i="7"/>
  <c r="AD160" i="7"/>
  <c r="B161" i="7"/>
  <c r="C161" i="7"/>
  <c r="P161" i="7"/>
  <c r="Q161" i="7"/>
  <c r="R161" i="7"/>
  <c r="S161" i="7"/>
  <c r="T161" i="7"/>
  <c r="V161" i="7"/>
  <c r="AB161" i="7"/>
  <c r="AC161" i="7"/>
  <c r="AD161" i="7"/>
  <c r="B162" i="7"/>
  <c r="C162" i="7"/>
  <c r="P162" i="7"/>
  <c r="Q162" i="7"/>
  <c r="R162" i="7"/>
  <c r="S162" i="7"/>
  <c r="T162" i="7"/>
  <c r="V162" i="7"/>
  <c r="AB162" i="7"/>
  <c r="AC162" i="7"/>
  <c r="AD162" i="7"/>
  <c r="B163" i="7"/>
  <c r="C163" i="7"/>
  <c r="P163" i="7"/>
  <c r="Q163" i="7"/>
  <c r="R163" i="7"/>
  <c r="S163" i="7"/>
  <c r="T163" i="7"/>
  <c r="V163" i="7"/>
  <c r="AB163" i="7"/>
  <c r="AC163" i="7"/>
  <c r="AD163" i="7"/>
  <c r="B164" i="7"/>
  <c r="C164" i="7"/>
  <c r="P164" i="7"/>
  <c r="Q164" i="7"/>
  <c r="R164" i="7"/>
  <c r="S164" i="7"/>
  <c r="T164" i="7"/>
  <c r="V164" i="7"/>
  <c r="AB164" i="7"/>
  <c r="AC164" i="7"/>
  <c r="AD164" i="7"/>
  <c r="B165" i="7"/>
  <c r="C165" i="7"/>
  <c r="P165" i="7"/>
  <c r="Q165" i="7"/>
  <c r="R165" i="7"/>
  <c r="S165" i="7"/>
  <c r="T165" i="7"/>
  <c r="V165" i="7"/>
  <c r="AB165" i="7"/>
  <c r="AC165" i="7"/>
  <c r="AD165" i="7"/>
  <c r="B166" i="7"/>
  <c r="C166" i="7"/>
  <c r="P166" i="7"/>
  <c r="Q166" i="7"/>
  <c r="R166" i="7"/>
  <c r="S166" i="7"/>
  <c r="T166" i="7"/>
  <c r="V166" i="7"/>
  <c r="AB166" i="7"/>
  <c r="AC166" i="7"/>
  <c r="AD166" i="7"/>
  <c r="B167" i="7"/>
  <c r="C167" i="7"/>
  <c r="P167" i="7"/>
  <c r="Q167" i="7"/>
  <c r="R167" i="7"/>
  <c r="S167" i="7"/>
  <c r="T167" i="7"/>
  <c r="V167" i="7"/>
  <c r="AB167" i="7"/>
  <c r="AC167" i="7"/>
  <c r="AD167" i="7"/>
  <c r="B168" i="7"/>
  <c r="C168" i="7"/>
  <c r="P168" i="7"/>
  <c r="Q168" i="7"/>
  <c r="R168" i="7"/>
  <c r="S168" i="7"/>
  <c r="T168" i="7"/>
  <c r="V168" i="7"/>
  <c r="AB168" i="7"/>
  <c r="AC168" i="7"/>
  <c r="AD168" i="7"/>
  <c r="B169" i="7"/>
  <c r="C169" i="7"/>
  <c r="P169" i="7"/>
  <c r="Q169" i="7"/>
  <c r="R169" i="7"/>
  <c r="S169" i="7"/>
  <c r="T169" i="7"/>
  <c r="V169" i="7"/>
  <c r="AB169" i="7"/>
  <c r="AC169" i="7"/>
  <c r="AD169" i="7"/>
  <c r="B170" i="7"/>
  <c r="C170" i="7"/>
  <c r="P170" i="7"/>
  <c r="Q170" i="7"/>
  <c r="R170" i="7"/>
  <c r="S170" i="7"/>
  <c r="T170" i="7"/>
  <c r="V170" i="7"/>
  <c r="AB170" i="7"/>
  <c r="AC170" i="7"/>
  <c r="AD170" i="7"/>
  <c r="B171" i="7"/>
  <c r="C171" i="7"/>
  <c r="P171" i="7"/>
  <c r="Q171" i="7"/>
  <c r="R171" i="7"/>
  <c r="S171" i="7"/>
  <c r="T171" i="7"/>
  <c r="V171" i="7"/>
  <c r="AB171" i="7"/>
  <c r="AC171" i="7"/>
  <c r="AD171" i="7"/>
  <c r="B172" i="7"/>
  <c r="C172" i="7"/>
  <c r="P172" i="7"/>
  <c r="Q172" i="7"/>
  <c r="R172" i="7"/>
  <c r="S172" i="7"/>
  <c r="T172" i="7"/>
  <c r="V172" i="7"/>
  <c r="AB172" i="7"/>
  <c r="AC172" i="7"/>
  <c r="AD172" i="7"/>
  <c r="B173" i="7"/>
  <c r="C173" i="7"/>
  <c r="P173" i="7"/>
  <c r="Q173" i="7"/>
  <c r="R173" i="7"/>
  <c r="S173" i="7"/>
  <c r="T173" i="7"/>
  <c r="V173" i="7"/>
  <c r="AB173" i="7"/>
  <c r="AC173" i="7"/>
  <c r="AD173" i="7"/>
  <c r="B174" i="7"/>
  <c r="C174" i="7"/>
  <c r="P174" i="7"/>
  <c r="Q174" i="7"/>
  <c r="R174" i="7"/>
  <c r="S174" i="7"/>
  <c r="T174" i="7"/>
  <c r="V174" i="7"/>
  <c r="AB174" i="7"/>
  <c r="AC174" i="7"/>
  <c r="AD174" i="7"/>
  <c r="B175" i="7"/>
  <c r="C175" i="7"/>
  <c r="P175" i="7"/>
  <c r="Q175" i="7"/>
  <c r="R175" i="7"/>
  <c r="S175" i="7"/>
  <c r="T175" i="7"/>
  <c r="V175" i="7"/>
  <c r="AB175" i="7"/>
  <c r="AC175" i="7"/>
  <c r="AD175" i="7"/>
  <c r="B176" i="7"/>
  <c r="C176" i="7"/>
  <c r="P176" i="7"/>
  <c r="Q176" i="7"/>
  <c r="R176" i="7"/>
  <c r="S176" i="7"/>
  <c r="T176" i="7"/>
  <c r="V176" i="7"/>
  <c r="AB176" i="7"/>
  <c r="AC176" i="7"/>
  <c r="AD176" i="7"/>
  <c r="B177" i="7"/>
  <c r="C177" i="7"/>
  <c r="P177" i="7"/>
  <c r="Q177" i="7"/>
  <c r="R177" i="7"/>
  <c r="S177" i="7"/>
  <c r="T177" i="7"/>
  <c r="V177" i="7"/>
  <c r="AB177" i="7"/>
  <c r="AC177" i="7"/>
  <c r="AD177" i="7"/>
  <c r="B178" i="7"/>
  <c r="C178" i="7"/>
  <c r="P178" i="7"/>
  <c r="Q178" i="7"/>
  <c r="R178" i="7"/>
  <c r="S178" i="7"/>
  <c r="T178" i="7"/>
  <c r="V178" i="7"/>
  <c r="AB178" i="7"/>
  <c r="AC178" i="7"/>
  <c r="AD178" i="7"/>
  <c r="B179" i="7"/>
  <c r="C179" i="7"/>
  <c r="P179" i="7"/>
  <c r="Q179" i="7"/>
  <c r="R179" i="7"/>
  <c r="S179" i="7"/>
  <c r="T179" i="7"/>
  <c r="V179" i="7"/>
  <c r="AB179" i="7"/>
  <c r="AC179" i="7"/>
  <c r="AD179" i="7"/>
  <c r="B180" i="7"/>
  <c r="C180" i="7"/>
  <c r="P180" i="7"/>
  <c r="Q180" i="7"/>
  <c r="R180" i="7"/>
  <c r="S180" i="7"/>
  <c r="T180" i="7"/>
  <c r="V180" i="7"/>
  <c r="AB180" i="7"/>
  <c r="AC180" i="7"/>
  <c r="AD180" i="7"/>
  <c r="B181" i="7"/>
  <c r="C181" i="7"/>
  <c r="P181" i="7"/>
  <c r="Q181" i="7"/>
  <c r="R181" i="7"/>
  <c r="S181" i="7"/>
  <c r="T181" i="7"/>
  <c r="V181" i="7"/>
  <c r="AB181" i="7"/>
  <c r="AC181" i="7"/>
  <c r="AD181" i="7"/>
  <c r="B182" i="7"/>
  <c r="C182" i="7"/>
  <c r="P182" i="7"/>
  <c r="Q182" i="7"/>
  <c r="R182" i="7"/>
  <c r="S182" i="7"/>
  <c r="T182" i="7"/>
  <c r="V182" i="7"/>
  <c r="AB182" i="7"/>
  <c r="AC182" i="7"/>
  <c r="AD182" i="7"/>
  <c r="B183" i="7"/>
  <c r="C183" i="7"/>
  <c r="P183" i="7"/>
  <c r="Q183" i="7"/>
  <c r="R183" i="7"/>
  <c r="S183" i="7"/>
  <c r="T183" i="7"/>
  <c r="V183" i="7"/>
  <c r="AB183" i="7"/>
  <c r="AC183" i="7"/>
  <c r="AD183" i="7"/>
  <c r="B184" i="7"/>
  <c r="C184" i="7"/>
  <c r="P184" i="7"/>
  <c r="Q184" i="7"/>
  <c r="R184" i="7"/>
  <c r="S184" i="7"/>
  <c r="T184" i="7"/>
  <c r="V184" i="7"/>
  <c r="AB184" i="7"/>
  <c r="AC184" i="7"/>
  <c r="AD184" i="7"/>
  <c r="B185" i="7"/>
  <c r="C185" i="7"/>
  <c r="P185" i="7"/>
  <c r="Q185" i="7"/>
  <c r="R185" i="7"/>
  <c r="S185" i="7"/>
  <c r="T185" i="7"/>
  <c r="V185" i="7"/>
  <c r="AB185" i="7"/>
  <c r="AC185" i="7"/>
  <c r="AD185" i="7"/>
  <c r="B186" i="7"/>
  <c r="C186" i="7"/>
  <c r="P186" i="7"/>
  <c r="Q186" i="7"/>
  <c r="R186" i="7"/>
  <c r="S186" i="7"/>
  <c r="T186" i="7"/>
  <c r="V186" i="7"/>
  <c r="AB186" i="7"/>
  <c r="AC186" i="7"/>
  <c r="AD186" i="7"/>
  <c r="B187" i="7"/>
  <c r="C187" i="7"/>
  <c r="P187" i="7"/>
  <c r="Q187" i="7"/>
  <c r="R187" i="7"/>
  <c r="S187" i="7"/>
  <c r="T187" i="7"/>
  <c r="V187" i="7"/>
  <c r="AB187" i="7"/>
  <c r="AC187" i="7"/>
  <c r="AD187" i="7"/>
  <c r="B188" i="7"/>
  <c r="C188" i="7"/>
  <c r="P188" i="7"/>
  <c r="Q188" i="7"/>
  <c r="R188" i="7"/>
  <c r="S188" i="7"/>
  <c r="T188" i="7"/>
  <c r="V188" i="7"/>
  <c r="AB188" i="7"/>
  <c r="AC188" i="7"/>
  <c r="AD188" i="7"/>
  <c r="B189" i="7"/>
  <c r="C189" i="7"/>
  <c r="P189" i="7"/>
  <c r="Q189" i="7"/>
  <c r="R189" i="7"/>
  <c r="S189" i="7"/>
  <c r="T189" i="7"/>
  <c r="V189" i="7"/>
  <c r="AB189" i="7"/>
  <c r="AC189" i="7"/>
  <c r="AD189" i="7"/>
  <c r="B190" i="7"/>
  <c r="C190" i="7"/>
  <c r="P190" i="7"/>
  <c r="Q190" i="7"/>
  <c r="R190" i="7"/>
  <c r="S190" i="7"/>
  <c r="T190" i="7"/>
  <c r="V190" i="7"/>
  <c r="AB190" i="7"/>
  <c r="AC190" i="7"/>
  <c r="AD190" i="7"/>
  <c r="B191" i="7"/>
  <c r="C191" i="7"/>
  <c r="P191" i="7"/>
  <c r="Q191" i="7"/>
  <c r="R191" i="7"/>
  <c r="S191" i="7"/>
  <c r="T191" i="7"/>
  <c r="V191" i="7"/>
  <c r="AB191" i="7"/>
  <c r="AC191" i="7"/>
  <c r="AD191" i="7"/>
  <c r="B192" i="7"/>
  <c r="C192" i="7"/>
  <c r="P192" i="7"/>
  <c r="Q192" i="7"/>
  <c r="R192" i="7"/>
  <c r="S192" i="7"/>
  <c r="T192" i="7"/>
  <c r="V192" i="7"/>
  <c r="AB192" i="7"/>
  <c r="AC192" i="7"/>
  <c r="AD192" i="7"/>
  <c r="B193" i="7"/>
  <c r="C193" i="7"/>
  <c r="P193" i="7"/>
  <c r="Q193" i="7"/>
  <c r="R193" i="7"/>
  <c r="S193" i="7"/>
  <c r="T193" i="7"/>
  <c r="V193" i="7"/>
  <c r="AB193" i="7"/>
  <c r="AC193" i="7"/>
  <c r="AD193" i="7"/>
  <c r="B194" i="7"/>
  <c r="C194" i="7"/>
  <c r="P194" i="7"/>
  <c r="Q194" i="7"/>
  <c r="R194" i="7"/>
  <c r="S194" i="7"/>
  <c r="T194" i="7"/>
  <c r="V194" i="7"/>
  <c r="AB194" i="7"/>
  <c r="AC194" i="7"/>
  <c r="AD194" i="7"/>
  <c r="B195" i="7"/>
  <c r="C195" i="7"/>
  <c r="P195" i="7"/>
  <c r="Q195" i="7"/>
  <c r="R195" i="7"/>
  <c r="S195" i="7"/>
  <c r="T195" i="7"/>
  <c r="V195" i="7"/>
  <c r="AB195" i="7"/>
  <c r="AC195" i="7"/>
  <c r="AD195" i="7"/>
  <c r="B196" i="7"/>
  <c r="C196" i="7"/>
  <c r="P196" i="7"/>
  <c r="Q196" i="7"/>
  <c r="R196" i="7"/>
  <c r="S196" i="7"/>
  <c r="T196" i="7"/>
  <c r="V196" i="7"/>
  <c r="AB196" i="7"/>
  <c r="AC196" i="7"/>
  <c r="AD196" i="7"/>
  <c r="B197" i="7"/>
  <c r="C197" i="7"/>
  <c r="P197" i="7"/>
  <c r="Q197" i="7"/>
  <c r="R197" i="7"/>
  <c r="S197" i="7"/>
  <c r="T197" i="7"/>
  <c r="V197" i="7"/>
  <c r="AB197" i="7"/>
  <c r="AC197" i="7"/>
  <c r="AD197" i="7"/>
  <c r="B198" i="7"/>
  <c r="C198" i="7"/>
  <c r="P198" i="7"/>
  <c r="Q198" i="7"/>
  <c r="R198" i="7"/>
  <c r="S198" i="7"/>
  <c r="T198" i="7"/>
  <c r="V198" i="7"/>
  <c r="AB198" i="7"/>
  <c r="AC198" i="7"/>
  <c r="AD198" i="7"/>
  <c r="B199" i="7"/>
  <c r="C199" i="7"/>
  <c r="P199" i="7"/>
  <c r="Q199" i="7"/>
  <c r="R199" i="7"/>
  <c r="S199" i="7"/>
  <c r="T199" i="7"/>
  <c r="V199" i="7"/>
  <c r="AB199" i="7"/>
  <c r="AC199" i="7"/>
  <c r="AD199" i="7"/>
  <c r="B200" i="7"/>
  <c r="C200" i="7"/>
  <c r="P200" i="7"/>
  <c r="Q200" i="7"/>
  <c r="R200" i="7"/>
  <c r="S200" i="7"/>
  <c r="T200" i="7"/>
  <c r="V200" i="7"/>
  <c r="AB200" i="7"/>
  <c r="AC200" i="7"/>
  <c r="AD200" i="7"/>
  <c r="B201" i="7"/>
  <c r="C201" i="7"/>
  <c r="P201" i="7"/>
  <c r="Q201" i="7"/>
  <c r="R201" i="7"/>
  <c r="S201" i="7"/>
  <c r="T201" i="7"/>
  <c r="V201" i="7"/>
  <c r="AB201" i="7"/>
  <c r="AC201" i="7"/>
  <c r="AD201" i="7"/>
  <c r="B202" i="7"/>
  <c r="C202" i="7"/>
  <c r="P202" i="7"/>
  <c r="Q202" i="7"/>
  <c r="R202" i="7"/>
  <c r="S202" i="7"/>
  <c r="T202" i="7"/>
  <c r="V202" i="7"/>
  <c r="AB202" i="7"/>
  <c r="AC202" i="7"/>
  <c r="AD202" i="7"/>
  <c r="B203" i="7"/>
  <c r="C203" i="7"/>
  <c r="P203" i="7"/>
  <c r="Q203" i="7"/>
  <c r="R203" i="7"/>
  <c r="S203" i="7"/>
  <c r="T203" i="7"/>
  <c r="V203" i="7"/>
  <c r="AB203" i="7"/>
  <c r="AC203" i="7"/>
  <c r="AD203" i="7"/>
  <c r="B204" i="7"/>
  <c r="C204" i="7"/>
  <c r="P204" i="7"/>
  <c r="Q204" i="7"/>
  <c r="R204" i="7"/>
  <c r="S204" i="7"/>
  <c r="T204" i="7"/>
  <c r="V204" i="7"/>
  <c r="AB204" i="7"/>
  <c r="AC204" i="7"/>
  <c r="AD204" i="7"/>
  <c r="B205" i="7"/>
  <c r="C205" i="7"/>
  <c r="P205" i="7"/>
  <c r="Q205" i="7"/>
  <c r="R205" i="7"/>
  <c r="S205" i="7"/>
  <c r="T205" i="7"/>
  <c r="V205" i="7"/>
  <c r="AB205" i="7"/>
  <c r="AC205" i="7"/>
  <c r="AD205" i="7"/>
  <c r="B206" i="7"/>
  <c r="C206" i="7"/>
  <c r="P206" i="7"/>
  <c r="Q206" i="7"/>
  <c r="R206" i="7"/>
  <c r="S206" i="7"/>
  <c r="T206" i="7"/>
  <c r="V206" i="7"/>
  <c r="AB206" i="7"/>
  <c r="AC206" i="7"/>
  <c r="AD206" i="7"/>
  <c r="B207" i="7"/>
  <c r="C207" i="7"/>
  <c r="P207" i="7"/>
  <c r="Q207" i="7"/>
  <c r="R207" i="7"/>
  <c r="S207" i="7"/>
  <c r="T207" i="7"/>
  <c r="V207" i="7"/>
  <c r="AB207" i="7"/>
  <c r="AC207" i="7"/>
  <c r="AD207" i="7"/>
  <c r="B208" i="7"/>
  <c r="C208" i="7"/>
  <c r="P208" i="7"/>
  <c r="Q208" i="7"/>
  <c r="R208" i="7"/>
  <c r="S208" i="7"/>
  <c r="T208" i="7"/>
  <c r="V208" i="7"/>
  <c r="AB208" i="7"/>
  <c r="AC208" i="7"/>
  <c r="AD208" i="7"/>
  <c r="B209" i="7"/>
  <c r="C209" i="7"/>
  <c r="P209" i="7"/>
  <c r="Q209" i="7"/>
  <c r="R209" i="7"/>
  <c r="S209" i="7"/>
  <c r="T209" i="7"/>
  <c r="V209" i="7"/>
  <c r="AB209" i="7"/>
  <c r="AC209" i="7"/>
  <c r="AD209" i="7"/>
  <c r="B210" i="7"/>
  <c r="C210" i="7"/>
  <c r="P210" i="7"/>
  <c r="Q210" i="7"/>
  <c r="R210" i="7"/>
  <c r="S210" i="7"/>
  <c r="T210" i="7"/>
  <c r="V210" i="7"/>
  <c r="AB210" i="7"/>
  <c r="AC210" i="7"/>
  <c r="AD210" i="7"/>
  <c r="B211" i="7"/>
  <c r="C211" i="7"/>
  <c r="P211" i="7"/>
  <c r="Q211" i="7"/>
  <c r="R211" i="7"/>
  <c r="S211" i="7"/>
  <c r="T211" i="7"/>
  <c r="V211" i="7"/>
  <c r="AB211" i="7"/>
  <c r="AC211" i="7"/>
  <c r="AD211" i="7"/>
  <c r="B212" i="7"/>
  <c r="C212" i="7"/>
  <c r="P212" i="7"/>
  <c r="Q212" i="7"/>
  <c r="R212" i="7"/>
  <c r="S212" i="7"/>
  <c r="T212" i="7"/>
  <c r="V212" i="7"/>
  <c r="AB212" i="7"/>
  <c r="AC212" i="7"/>
  <c r="AD212" i="7"/>
  <c r="B213" i="7"/>
  <c r="C213" i="7"/>
  <c r="P213" i="7"/>
  <c r="Q213" i="7"/>
  <c r="R213" i="7"/>
  <c r="S213" i="7"/>
  <c r="T213" i="7"/>
  <c r="V213" i="7"/>
  <c r="AB213" i="7"/>
  <c r="AC213" i="7"/>
  <c r="AD213" i="7"/>
  <c r="B214" i="7"/>
  <c r="C214" i="7"/>
  <c r="P214" i="7"/>
  <c r="Q214" i="7"/>
  <c r="R214" i="7"/>
  <c r="S214" i="7"/>
  <c r="T214" i="7"/>
  <c r="V214" i="7"/>
  <c r="AB214" i="7"/>
  <c r="AC214" i="7"/>
  <c r="AD214" i="7"/>
  <c r="B215" i="7"/>
  <c r="C215" i="7"/>
  <c r="P215" i="7"/>
  <c r="Q215" i="7"/>
  <c r="R215" i="7"/>
  <c r="S215" i="7"/>
  <c r="T215" i="7"/>
  <c r="V215" i="7"/>
  <c r="AB215" i="7"/>
  <c r="AC215" i="7"/>
  <c r="AD215" i="7"/>
  <c r="B216" i="7"/>
  <c r="C216" i="7"/>
  <c r="P216" i="7"/>
  <c r="Q216" i="7"/>
  <c r="R216" i="7"/>
  <c r="S216" i="7"/>
  <c r="T216" i="7"/>
  <c r="V216" i="7"/>
  <c r="AB216" i="7"/>
  <c r="AC216" i="7"/>
  <c r="AD216" i="7"/>
  <c r="B217" i="7"/>
  <c r="C217" i="7"/>
  <c r="P217" i="7"/>
  <c r="Q217" i="7"/>
  <c r="R217" i="7"/>
  <c r="S217" i="7"/>
  <c r="T217" i="7"/>
  <c r="V217" i="7"/>
  <c r="AB217" i="7"/>
  <c r="AC217" i="7"/>
  <c r="AD217" i="7"/>
  <c r="B218" i="7"/>
  <c r="C218" i="7"/>
  <c r="P218" i="7"/>
  <c r="Q218" i="7"/>
  <c r="R218" i="7"/>
  <c r="S218" i="7"/>
  <c r="T218" i="7"/>
  <c r="V218" i="7"/>
  <c r="AB218" i="7"/>
  <c r="AC218" i="7"/>
  <c r="AD218" i="7"/>
  <c r="B219" i="7"/>
  <c r="C219" i="7"/>
  <c r="P219" i="7"/>
  <c r="Q219" i="7"/>
  <c r="R219" i="7"/>
  <c r="S219" i="7"/>
  <c r="T219" i="7"/>
  <c r="V219" i="7"/>
  <c r="AB219" i="7"/>
  <c r="AC219" i="7"/>
  <c r="AD219" i="7"/>
  <c r="B220" i="7"/>
  <c r="C220" i="7"/>
  <c r="P220" i="7"/>
  <c r="Q220" i="7"/>
  <c r="R220" i="7"/>
  <c r="S220" i="7"/>
  <c r="T220" i="7"/>
  <c r="V220" i="7"/>
  <c r="AB220" i="7"/>
  <c r="AC220" i="7"/>
  <c r="AD220" i="7"/>
  <c r="B221" i="7"/>
  <c r="C221" i="7"/>
  <c r="P221" i="7"/>
  <c r="Q221" i="7"/>
  <c r="R221" i="7"/>
  <c r="S221" i="7"/>
  <c r="T221" i="7"/>
  <c r="V221" i="7"/>
  <c r="AB221" i="7"/>
  <c r="AC221" i="7"/>
  <c r="AD221" i="7"/>
  <c r="B222" i="7"/>
  <c r="C222" i="7"/>
  <c r="P222" i="7"/>
  <c r="Q222" i="7"/>
  <c r="R222" i="7"/>
  <c r="S222" i="7"/>
  <c r="T222" i="7"/>
  <c r="V222" i="7"/>
  <c r="AB222" i="7"/>
  <c r="AC222" i="7"/>
  <c r="AD222" i="7"/>
  <c r="B223" i="7"/>
  <c r="C223" i="7"/>
  <c r="P223" i="7"/>
  <c r="Q223" i="7"/>
  <c r="R223" i="7"/>
  <c r="S223" i="7"/>
  <c r="T223" i="7"/>
  <c r="V223" i="7"/>
  <c r="AB223" i="7"/>
  <c r="AC223" i="7"/>
  <c r="AD223" i="7"/>
  <c r="B224" i="7"/>
  <c r="C224" i="7"/>
  <c r="P224" i="7"/>
  <c r="Q224" i="7"/>
  <c r="R224" i="7"/>
  <c r="S224" i="7"/>
  <c r="T224" i="7"/>
  <c r="V224" i="7"/>
  <c r="AB224" i="7"/>
  <c r="AC224" i="7"/>
  <c r="AD224" i="7"/>
  <c r="B225" i="7"/>
  <c r="C225" i="7"/>
  <c r="P225" i="7"/>
  <c r="Q225" i="7"/>
  <c r="R225" i="7"/>
  <c r="S225" i="7"/>
  <c r="T225" i="7"/>
  <c r="V225" i="7"/>
  <c r="AB225" i="7"/>
  <c r="AC225" i="7"/>
  <c r="AD225" i="7"/>
  <c r="B226" i="7"/>
  <c r="C226" i="7"/>
  <c r="P226" i="7"/>
  <c r="Q226" i="7"/>
  <c r="R226" i="7"/>
  <c r="S226" i="7"/>
  <c r="T226" i="7"/>
  <c r="V226" i="7"/>
  <c r="AB226" i="7"/>
  <c r="AC226" i="7"/>
  <c r="AD226" i="7"/>
  <c r="B227" i="7"/>
  <c r="C227" i="7"/>
  <c r="P227" i="7"/>
  <c r="Q227" i="7"/>
  <c r="R227" i="7"/>
  <c r="S227" i="7"/>
  <c r="T227" i="7"/>
  <c r="V227" i="7"/>
  <c r="AB227" i="7"/>
  <c r="AC227" i="7"/>
  <c r="AD227" i="7"/>
  <c r="B228" i="7"/>
  <c r="C228" i="7"/>
  <c r="P228" i="7"/>
  <c r="Q228" i="7"/>
  <c r="R228" i="7"/>
  <c r="S228" i="7"/>
  <c r="T228" i="7"/>
  <c r="V228" i="7"/>
  <c r="AB228" i="7"/>
  <c r="AC228" i="7"/>
  <c r="AD228" i="7"/>
  <c r="B229" i="7"/>
  <c r="C229" i="7"/>
  <c r="P229" i="7"/>
  <c r="Q229" i="7"/>
  <c r="R229" i="7"/>
  <c r="S229" i="7"/>
  <c r="T229" i="7"/>
  <c r="V229" i="7"/>
  <c r="AB229" i="7"/>
  <c r="AC229" i="7"/>
  <c r="AD229" i="7"/>
  <c r="B230" i="7"/>
  <c r="C230" i="7"/>
  <c r="P230" i="7"/>
  <c r="Q230" i="7"/>
  <c r="R230" i="7"/>
  <c r="S230" i="7"/>
  <c r="T230" i="7"/>
  <c r="V230" i="7"/>
  <c r="AB230" i="7"/>
  <c r="AC230" i="7"/>
  <c r="AD230" i="7"/>
  <c r="B231" i="7"/>
  <c r="C231" i="7"/>
  <c r="P231" i="7"/>
  <c r="Q231" i="7"/>
  <c r="R231" i="7"/>
  <c r="S231" i="7"/>
  <c r="T231" i="7"/>
  <c r="V231" i="7"/>
  <c r="AB231" i="7"/>
  <c r="AC231" i="7"/>
  <c r="AD231" i="7"/>
  <c r="B232" i="7"/>
  <c r="C232" i="7"/>
  <c r="P232" i="7"/>
  <c r="Q232" i="7"/>
  <c r="R232" i="7"/>
  <c r="S232" i="7"/>
  <c r="T232" i="7"/>
  <c r="V232" i="7"/>
  <c r="AB232" i="7"/>
  <c r="AC232" i="7"/>
  <c r="AD232" i="7"/>
  <c r="B233" i="7"/>
  <c r="C233" i="7"/>
  <c r="P233" i="7"/>
  <c r="Q233" i="7"/>
  <c r="R233" i="7"/>
  <c r="S233" i="7"/>
  <c r="T233" i="7"/>
  <c r="V233" i="7"/>
  <c r="AB233" i="7"/>
  <c r="AC233" i="7"/>
  <c r="AD233" i="7"/>
  <c r="B234" i="7"/>
  <c r="C234" i="7"/>
  <c r="P234" i="7"/>
  <c r="Q234" i="7"/>
  <c r="R234" i="7"/>
  <c r="S234" i="7"/>
  <c r="T234" i="7"/>
  <c r="V234" i="7"/>
  <c r="AB234" i="7"/>
  <c r="AC234" i="7"/>
  <c r="AD234" i="7"/>
  <c r="B235" i="7"/>
  <c r="C235" i="7"/>
  <c r="P235" i="7"/>
  <c r="Q235" i="7"/>
  <c r="R235" i="7"/>
  <c r="S235" i="7"/>
  <c r="T235" i="7"/>
  <c r="V235" i="7"/>
  <c r="AB235" i="7"/>
  <c r="AC235" i="7"/>
  <c r="AD235" i="7"/>
  <c r="B236" i="7"/>
  <c r="C236" i="7"/>
  <c r="P236" i="7"/>
  <c r="Q236" i="7"/>
  <c r="R236" i="7"/>
  <c r="S236" i="7"/>
  <c r="T236" i="7"/>
  <c r="V236" i="7"/>
  <c r="AB236" i="7"/>
  <c r="AC236" i="7"/>
  <c r="AD236" i="7"/>
  <c r="B237" i="7"/>
  <c r="C237" i="7"/>
  <c r="P237" i="7"/>
  <c r="Q237" i="7"/>
  <c r="R237" i="7"/>
  <c r="S237" i="7"/>
  <c r="T237" i="7"/>
  <c r="V237" i="7"/>
  <c r="AB237" i="7"/>
  <c r="AC237" i="7"/>
  <c r="AD237" i="7"/>
  <c r="B238" i="7"/>
  <c r="C238" i="7"/>
  <c r="P238" i="7"/>
  <c r="Q238" i="7"/>
  <c r="R238" i="7"/>
  <c r="S238" i="7"/>
  <c r="T238" i="7"/>
  <c r="V238" i="7"/>
  <c r="AB238" i="7"/>
  <c r="AC238" i="7"/>
  <c r="AD238" i="7"/>
  <c r="B239" i="7"/>
  <c r="C239" i="7"/>
  <c r="P239" i="7"/>
  <c r="Q239" i="7"/>
  <c r="R239" i="7"/>
  <c r="S239" i="7"/>
  <c r="T239" i="7"/>
  <c r="V239" i="7"/>
  <c r="AB239" i="7"/>
  <c r="AC239" i="7"/>
  <c r="AD239" i="7"/>
  <c r="B240" i="7"/>
  <c r="C240" i="7"/>
  <c r="P240" i="7"/>
  <c r="Q240" i="7"/>
  <c r="R240" i="7"/>
  <c r="S240" i="7"/>
  <c r="T240" i="7"/>
  <c r="V240" i="7"/>
  <c r="AB240" i="7"/>
  <c r="AC240" i="7"/>
  <c r="AD240" i="7"/>
  <c r="B241" i="7"/>
  <c r="C241" i="7"/>
  <c r="P241" i="7"/>
  <c r="Q241" i="7"/>
  <c r="R241" i="7"/>
  <c r="S241" i="7"/>
  <c r="T241" i="7"/>
  <c r="V241" i="7"/>
  <c r="AB241" i="7"/>
  <c r="AC241" i="7"/>
  <c r="AD241" i="7"/>
  <c r="B242" i="7"/>
  <c r="C242" i="7"/>
  <c r="P242" i="7"/>
  <c r="Q242" i="7"/>
  <c r="R242" i="7"/>
  <c r="S242" i="7"/>
  <c r="T242" i="7"/>
  <c r="V242" i="7"/>
  <c r="AB242" i="7"/>
  <c r="AC242" i="7"/>
  <c r="AD242" i="7"/>
  <c r="B243" i="7"/>
  <c r="C243" i="7"/>
  <c r="P243" i="7"/>
  <c r="Q243" i="7"/>
  <c r="R243" i="7"/>
  <c r="S243" i="7"/>
  <c r="T243" i="7"/>
  <c r="V243" i="7"/>
  <c r="AB243" i="7"/>
  <c r="AC243" i="7"/>
  <c r="AD243" i="7"/>
  <c r="B244" i="7"/>
  <c r="C244" i="7"/>
  <c r="P244" i="7"/>
  <c r="Q244" i="7"/>
  <c r="R244" i="7"/>
  <c r="S244" i="7"/>
  <c r="T244" i="7"/>
  <c r="V244" i="7"/>
  <c r="AB244" i="7"/>
  <c r="AC244" i="7"/>
  <c r="AD244" i="7"/>
  <c r="B245" i="7"/>
  <c r="C245" i="7"/>
  <c r="P245" i="7"/>
  <c r="Q245" i="7"/>
  <c r="R245" i="7"/>
  <c r="S245" i="7"/>
  <c r="T245" i="7"/>
  <c r="V245" i="7"/>
  <c r="AB245" i="7"/>
  <c r="AC245" i="7"/>
  <c r="AD245" i="7"/>
  <c r="B246" i="7"/>
  <c r="C246" i="7"/>
  <c r="P246" i="7"/>
  <c r="Q246" i="7"/>
  <c r="R246" i="7"/>
  <c r="S246" i="7"/>
  <c r="T246" i="7"/>
  <c r="V246" i="7"/>
  <c r="AB246" i="7"/>
  <c r="AC246" i="7"/>
  <c r="AD246" i="7"/>
  <c r="B247" i="7"/>
  <c r="C247" i="7"/>
  <c r="P247" i="7"/>
  <c r="Q247" i="7"/>
  <c r="R247" i="7"/>
  <c r="S247" i="7"/>
  <c r="T247" i="7"/>
  <c r="V247" i="7"/>
  <c r="AB247" i="7"/>
  <c r="AC247" i="7"/>
  <c r="AD247" i="7"/>
  <c r="B248" i="7"/>
  <c r="C248" i="7"/>
  <c r="P248" i="7"/>
  <c r="Q248" i="7"/>
  <c r="R248" i="7"/>
  <c r="S248" i="7"/>
  <c r="T248" i="7"/>
  <c r="V248" i="7"/>
  <c r="AB248" i="7"/>
  <c r="AC248" i="7"/>
  <c r="AD248" i="7"/>
  <c r="B249" i="7"/>
  <c r="C249" i="7"/>
  <c r="P249" i="7"/>
  <c r="Q249" i="7"/>
  <c r="R249" i="7"/>
  <c r="S249" i="7"/>
  <c r="T249" i="7"/>
  <c r="V249" i="7"/>
  <c r="AB249" i="7"/>
  <c r="AC249" i="7"/>
  <c r="AD249" i="7"/>
  <c r="B250" i="7"/>
  <c r="C250" i="7"/>
  <c r="P250" i="7"/>
  <c r="Q250" i="7"/>
  <c r="R250" i="7"/>
  <c r="S250" i="7"/>
  <c r="T250" i="7"/>
  <c r="V250" i="7"/>
  <c r="AB250" i="7"/>
  <c r="AC250" i="7"/>
  <c r="AD250" i="7"/>
  <c r="B251" i="7"/>
  <c r="C251" i="7"/>
  <c r="P251" i="7"/>
  <c r="Q251" i="7"/>
  <c r="R251" i="7"/>
  <c r="S251" i="7"/>
  <c r="T251" i="7"/>
  <c r="V251" i="7"/>
  <c r="AB251" i="7"/>
  <c r="AC251" i="7"/>
  <c r="AD251" i="7"/>
  <c r="B252" i="7"/>
  <c r="C252" i="7"/>
  <c r="P252" i="7"/>
  <c r="Q252" i="7"/>
  <c r="R252" i="7"/>
  <c r="S252" i="7"/>
  <c r="T252" i="7"/>
  <c r="V252" i="7"/>
  <c r="AB252" i="7"/>
  <c r="AC252" i="7"/>
  <c r="AD252" i="7"/>
  <c r="B253" i="7"/>
  <c r="C253" i="7"/>
  <c r="P253" i="7"/>
  <c r="Q253" i="7"/>
  <c r="R253" i="7"/>
  <c r="S253" i="7"/>
  <c r="T253" i="7"/>
  <c r="V253" i="7"/>
  <c r="AB253" i="7"/>
  <c r="AC253" i="7"/>
  <c r="AD253" i="7"/>
  <c r="B254" i="7"/>
  <c r="C254" i="7"/>
  <c r="P254" i="7"/>
  <c r="Q254" i="7"/>
  <c r="R254" i="7"/>
  <c r="S254" i="7"/>
  <c r="T254" i="7"/>
  <c r="V254" i="7"/>
  <c r="AB254" i="7"/>
  <c r="AC254" i="7"/>
  <c r="AD254" i="7"/>
  <c r="B255" i="7"/>
  <c r="C255" i="7"/>
  <c r="P255" i="7"/>
  <c r="Q255" i="7"/>
  <c r="R255" i="7"/>
  <c r="S255" i="7"/>
  <c r="T255" i="7"/>
  <c r="V255" i="7"/>
  <c r="AB255" i="7"/>
  <c r="AC255" i="7"/>
  <c r="AD255" i="7"/>
  <c r="B256" i="7"/>
  <c r="C256" i="7"/>
  <c r="P256" i="7"/>
  <c r="Q256" i="7"/>
  <c r="R256" i="7"/>
  <c r="S256" i="7"/>
  <c r="T256" i="7"/>
  <c r="V256" i="7"/>
  <c r="AB256" i="7"/>
  <c r="AC256" i="7"/>
  <c r="AD256" i="7"/>
  <c r="B257" i="7"/>
  <c r="C257" i="7"/>
  <c r="P257" i="7"/>
  <c r="Q257" i="7"/>
  <c r="R257" i="7"/>
  <c r="S257" i="7"/>
  <c r="T257" i="7"/>
  <c r="V257" i="7"/>
  <c r="AB257" i="7"/>
  <c r="AC257" i="7"/>
  <c r="AD257" i="7"/>
  <c r="B258" i="7"/>
  <c r="C258" i="7"/>
  <c r="P258" i="7"/>
  <c r="Q258" i="7"/>
  <c r="R258" i="7"/>
  <c r="S258" i="7"/>
  <c r="T258" i="7"/>
  <c r="V258" i="7"/>
  <c r="AB258" i="7"/>
  <c r="AC258" i="7"/>
  <c r="AD258" i="7"/>
  <c r="B259" i="7"/>
  <c r="C259" i="7"/>
  <c r="P259" i="7"/>
  <c r="Q259" i="7"/>
  <c r="R259" i="7"/>
  <c r="S259" i="7"/>
  <c r="T259" i="7"/>
  <c r="V259" i="7"/>
  <c r="AB259" i="7"/>
  <c r="AC259" i="7"/>
  <c r="AD259" i="7"/>
  <c r="B260" i="7"/>
  <c r="C260" i="7"/>
  <c r="P260" i="7"/>
  <c r="Q260" i="7"/>
  <c r="R260" i="7"/>
  <c r="S260" i="7"/>
  <c r="T260" i="7"/>
  <c r="V260" i="7"/>
  <c r="AB260" i="7"/>
  <c r="AC260" i="7"/>
  <c r="AD260" i="7"/>
  <c r="B261" i="7"/>
  <c r="C261" i="7"/>
  <c r="P261" i="7"/>
  <c r="Q261" i="7"/>
  <c r="R261" i="7"/>
  <c r="S261" i="7"/>
  <c r="T261" i="7"/>
  <c r="V261" i="7"/>
  <c r="AB261" i="7"/>
  <c r="AC261" i="7"/>
  <c r="AD261" i="7"/>
  <c r="B262" i="7"/>
  <c r="C262" i="7"/>
  <c r="P262" i="7"/>
  <c r="Q262" i="7"/>
  <c r="R262" i="7"/>
  <c r="S262" i="7"/>
  <c r="T262" i="7"/>
  <c r="V262" i="7"/>
  <c r="AB262" i="7"/>
  <c r="AC262" i="7"/>
  <c r="AD262" i="7"/>
  <c r="B263" i="7"/>
  <c r="C263" i="7"/>
  <c r="P263" i="7"/>
  <c r="Q263" i="7"/>
  <c r="R263" i="7"/>
  <c r="S263" i="7"/>
  <c r="T263" i="7"/>
  <c r="V263" i="7"/>
  <c r="AB263" i="7"/>
  <c r="AC263" i="7"/>
  <c r="AD263" i="7"/>
  <c r="B264" i="7"/>
  <c r="C264" i="7"/>
  <c r="P264" i="7"/>
  <c r="Q264" i="7"/>
  <c r="R264" i="7"/>
  <c r="S264" i="7"/>
  <c r="T264" i="7"/>
  <c r="V264" i="7"/>
  <c r="AB264" i="7"/>
  <c r="AC264" i="7"/>
  <c r="AD264" i="7"/>
  <c r="B265" i="7"/>
  <c r="C265" i="7"/>
  <c r="P265" i="7"/>
  <c r="Q265" i="7"/>
  <c r="R265" i="7"/>
  <c r="S265" i="7"/>
  <c r="T265" i="7"/>
  <c r="V265" i="7"/>
  <c r="AB265" i="7"/>
  <c r="AC265" i="7"/>
  <c r="AD265" i="7"/>
  <c r="B266" i="7"/>
  <c r="C266" i="7"/>
  <c r="P266" i="7"/>
  <c r="Q266" i="7"/>
  <c r="R266" i="7"/>
  <c r="S266" i="7"/>
  <c r="T266" i="7"/>
  <c r="V266" i="7"/>
  <c r="AB266" i="7"/>
  <c r="AC266" i="7"/>
  <c r="AD266" i="7"/>
  <c r="B267" i="7"/>
  <c r="C267" i="7"/>
  <c r="P267" i="7"/>
  <c r="Q267" i="7"/>
  <c r="R267" i="7"/>
  <c r="S267" i="7"/>
  <c r="T267" i="7"/>
  <c r="V267" i="7"/>
  <c r="AB267" i="7"/>
  <c r="AC267" i="7"/>
  <c r="AD267" i="7"/>
  <c r="B268" i="7"/>
  <c r="C268" i="7"/>
  <c r="P268" i="7"/>
  <c r="Q268" i="7"/>
  <c r="R268" i="7"/>
  <c r="S268" i="7"/>
  <c r="T268" i="7"/>
  <c r="V268" i="7"/>
  <c r="AB268" i="7"/>
  <c r="AC268" i="7"/>
  <c r="AD268" i="7"/>
  <c r="B269" i="7"/>
  <c r="C269" i="7"/>
  <c r="P269" i="7"/>
  <c r="Q269" i="7"/>
  <c r="R269" i="7"/>
  <c r="S269" i="7"/>
  <c r="T269" i="7"/>
  <c r="V269" i="7"/>
  <c r="AB269" i="7"/>
  <c r="AC269" i="7"/>
  <c r="AD269" i="7"/>
  <c r="B270" i="7"/>
  <c r="C270" i="7"/>
  <c r="P270" i="7"/>
  <c r="Q270" i="7"/>
  <c r="R270" i="7"/>
  <c r="S270" i="7"/>
  <c r="T270" i="7"/>
  <c r="V270" i="7"/>
  <c r="AB270" i="7"/>
  <c r="AC270" i="7"/>
  <c r="AD270" i="7"/>
  <c r="B271" i="7"/>
  <c r="C271" i="7"/>
  <c r="P271" i="7"/>
  <c r="Q271" i="7"/>
  <c r="R271" i="7"/>
  <c r="S271" i="7"/>
  <c r="T271" i="7"/>
  <c r="V271" i="7"/>
  <c r="AB271" i="7"/>
  <c r="AC271" i="7"/>
  <c r="AD271" i="7"/>
  <c r="B272" i="7"/>
  <c r="C272" i="7"/>
  <c r="P272" i="7"/>
  <c r="Q272" i="7"/>
  <c r="R272" i="7"/>
  <c r="S272" i="7"/>
  <c r="T272" i="7"/>
  <c r="V272" i="7"/>
  <c r="AB272" i="7"/>
  <c r="AC272" i="7"/>
  <c r="AD272" i="7"/>
  <c r="B273" i="7"/>
  <c r="C273" i="7"/>
  <c r="P273" i="7"/>
  <c r="Q273" i="7"/>
  <c r="R273" i="7"/>
  <c r="S273" i="7"/>
  <c r="T273" i="7"/>
  <c r="V273" i="7"/>
  <c r="AB273" i="7"/>
  <c r="AC273" i="7"/>
  <c r="AD273" i="7"/>
  <c r="B274" i="7"/>
  <c r="C274" i="7"/>
  <c r="P274" i="7"/>
  <c r="Q274" i="7"/>
  <c r="R274" i="7"/>
  <c r="S274" i="7"/>
  <c r="T274" i="7"/>
  <c r="V274" i="7"/>
  <c r="AB274" i="7"/>
  <c r="AC274" i="7"/>
  <c r="AD274" i="7"/>
  <c r="B275" i="7"/>
  <c r="C275" i="7"/>
  <c r="P275" i="7"/>
  <c r="Q275" i="7"/>
  <c r="R275" i="7"/>
  <c r="S275" i="7"/>
  <c r="T275" i="7"/>
  <c r="V275" i="7"/>
  <c r="AB275" i="7"/>
  <c r="AC275" i="7"/>
  <c r="AD275" i="7"/>
  <c r="B276" i="7"/>
  <c r="C276" i="7"/>
  <c r="P276" i="7"/>
  <c r="Q276" i="7"/>
  <c r="R276" i="7"/>
  <c r="S276" i="7"/>
  <c r="T276" i="7"/>
  <c r="V276" i="7"/>
  <c r="AB276" i="7"/>
  <c r="AC276" i="7"/>
  <c r="AD276" i="7"/>
  <c r="B277" i="7"/>
  <c r="C277" i="7"/>
  <c r="P277" i="7"/>
  <c r="Q277" i="7"/>
  <c r="R277" i="7"/>
  <c r="S277" i="7"/>
  <c r="T277" i="7"/>
  <c r="V277" i="7"/>
  <c r="AB277" i="7"/>
  <c r="AC277" i="7"/>
  <c r="AD277" i="7"/>
  <c r="B278" i="7"/>
  <c r="C278" i="7"/>
  <c r="P278" i="7"/>
  <c r="Q278" i="7"/>
  <c r="R278" i="7"/>
  <c r="S278" i="7"/>
  <c r="T278" i="7"/>
  <c r="V278" i="7"/>
  <c r="AB278" i="7"/>
  <c r="AC278" i="7"/>
  <c r="AD278" i="7"/>
  <c r="B279" i="7"/>
  <c r="C279" i="7"/>
  <c r="P279" i="7"/>
  <c r="Q279" i="7"/>
  <c r="R279" i="7"/>
  <c r="S279" i="7"/>
  <c r="T279" i="7"/>
  <c r="V279" i="7"/>
  <c r="AB279" i="7"/>
  <c r="AC279" i="7"/>
  <c r="AD279" i="7"/>
  <c r="B280" i="7"/>
  <c r="C280" i="7"/>
  <c r="P280" i="7"/>
  <c r="Q280" i="7"/>
  <c r="R280" i="7"/>
  <c r="S280" i="7"/>
  <c r="T280" i="7"/>
  <c r="V280" i="7"/>
  <c r="AB280" i="7"/>
  <c r="AC280" i="7"/>
  <c r="AD280" i="7"/>
  <c r="B281" i="7"/>
  <c r="C281" i="7"/>
  <c r="P281" i="7"/>
  <c r="Q281" i="7"/>
  <c r="R281" i="7"/>
  <c r="S281" i="7"/>
  <c r="T281" i="7"/>
  <c r="V281" i="7"/>
  <c r="AB281" i="7"/>
  <c r="AC281" i="7"/>
  <c r="AD281" i="7"/>
  <c r="B282" i="7"/>
  <c r="C282" i="7"/>
  <c r="P282" i="7"/>
  <c r="Q282" i="7"/>
  <c r="R282" i="7"/>
  <c r="S282" i="7"/>
  <c r="T282" i="7"/>
  <c r="V282" i="7"/>
  <c r="AB282" i="7"/>
  <c r="AC282" i="7"/>
  <c r="AD282" i="7"/>
  <c r="B283" i="7"/>
  <c r="C283" i="7"/>
  <c r="P283" i="7"/>
  <c r="Q283" i="7"/>
  <c r="R283" i="7"/>
  <c r="S283" i="7"/>
  <c r="T283" i="7"/>
  <c r="V283" i="7"/>
  <c r="AB283" i="7"/>
  <c r="AC283" i="7"/>
  <c r="AD283" i="7"/>
  <c r="B284" i="7"/>
  <c r="C284" i="7"/>
  <c r="P284" i="7"/>
  <c r="Q284" i="7"/>
  <c r="R284" i="7"/>
  <c r="S284" i="7"/>
  <c r="T284" i="7"/>
  <c r="V284" i="7"/>
  <c r="AB284" i="7"/>
  <c r="AC284" i="7"/>
  <c r="AD284" i="7"/>
  <c r="B285" i="7"/>
  <c r="C285" i="7"/>
  <c r="P285" i="7"/>
  <c r="Q285" i="7"/>
  <c r="R285" i="7"/>
  <c r="S285" i="7"/>
  <c r="T285" i="7"/>
  <c r="V285" i="7"/>
  <c r="AB285" i="7"/>
  <c r="AC285" i="7"/>
  <c r="AD285" i="7"/>
  <c r="B286" i="7"/>
  <c r="C286" i="7"/>
  <c r="P286" i="7"/>
  <c r="Q286" i="7"/>
  <c r="R286" i="7"/>
  <c r="S286" i="7"/>
  <c r="T286" i="7"/>
  <c r="V286" i="7"/>
  <c r="AB286" i="7"/>
  <c r="AC286" i="7"/>
  <c r="AD286" i="7"/>
  <c r="B287" i="7"/>
  <c r="C287" i="7"/>
  <c r="P287" i="7"/>
  <c r="Q287" i="7"/>
  <c r="R287" i="7"/>
  <c r="S287" i="7"/>
  <c r="T287" i="7"/>
  <c r="V287" i="7"/>
  <c r="AB287" i="7"/>
  <c r="AC287" i="7"/>
  <c r="AD287" i="7"/>
  <c r="B288" i="7"/>
  <c r="C288" i="7"/>
  <c r="P288" i="7"/>
  <c r="Q288" i="7"/>
  <c r="R288" i="7"/>
  <c r="S288" i="7"/>
  <c r="T288" i="7"/>
  <c r="V288" i="7"/>
  <c r="AB288" i="7"/>
  <c r="AC288" i="7"/>
  <c r="AD288" i="7"/>
  <c r="B289" i="7"/>
  <c r="C289" i="7"/>
  <c r="P289" i="7"/>
  <c r="Q289" i="7"/>
  <c r="R289" i="7"/>
  <c r="S289" i="7"/>
  <c r="T289" i="7"/>
  <c r="V289" i="7"/>
  <c r="AB289" i="7"/>
  <c r="AC289" i="7"/>
  <c r="AD289" i="7"/>
  <c r="B290" i="7"/>
  <c r="C290" i="7"/>
  <c r="P290" i="7"/>
  <c r="Q290" i="7"/>
  <c r="R290" i="7"/>
  <c r="S290" i="7"/>
  <c r="T290" i="7"/>
  <c r="V290" i="7"/>
  <c r="AB290" i="7"/>
  <c r="AC290" i="7"/>
  <c r="AD290" i="7"/>
  <c r="B291" i="7"/>
  <c r="C291" i="7"/>
  <c r="P291" i="7"/>
  <c r="Q291" i="7"/>
  <c r="R291" i="7"/>
  <c r="S291" i="7"/>
  <c r="T291" i="7"/>
  <c r="V291" i="7"/>
  <c r="AB291" i="7"/>
  <c r="AC291" i="7"/>
  <c r="AD291" i="7"/>
  <c r="B292" i="7"/>
  <c r="C292" i="7"/>
  <c r="P292" i="7"/>
  <c r="Q292" i="7"/>
  <c r="R292" i="7"/>
  <c r="S292" i="7"/>
  <c r="T292" i="7"/>
  <c r="V292" i="7"/>
  <c r="AB292" i="7"/>
  <c r="AC292" i="7"/>
  <c r="AD292" i="7"/>
  <c r="B293" i="7"/>
  <c r="C293" i="7"/>
  <c r="P293" i="7"/>
  <c r="Q293" i="7"/>
  <c r="R293" i="7"/>
  <c r="S293" i="7"/>
  <c r="T293" i="7"/>
  <c r="V293" i="7"/>
  <c r="AB293" i="7"/>
  <c r="AC293" i="7"/>
  <c r="AD293" i="7"/>
  <c r="B294" i="7"/>
  <c r="C294" i="7"/>
  <c r="P294" i="7"/>
  <c r="Q294" i="7"/>
  <c r="R294" i="7"/>
  <c r="S294" i="7"/>
  <c r="T294" i="7"/>
  <c r="V294" i="7"/>
  <c r="AB294" i="7"/>
  <c r="AC294" i="7"/>
  <c r="AD294" i="7"/>
  <c r="B295" i="7"/>
  <c r="C295" i="7"/>
  <c r="P295" i="7"/>
  <c r="Q295" i="7"/>
  <c r="R295" i="7"/>
  <c r="S295" i="7"/>
  <c r="T295" i="7"/>
  <c r="V295" i="7"/>
  <c r="AB295" i="7"/>
  <c r="AC295" i="7"/>
  <c r="AD295" i="7"/>
  <c r="B296" i="7"/>
  <c r="C296" i="7"/>
  <c r="P296" i="7"/>
  <c r="Q296" i="7"/>
  <c r="R296" i="7"/>
  <c r="S296" i="7"/>
  <c r="T296" i="7"/>
  <c r="V296" i="7"/>
  <c r="AB296" i="7"/>
  <c r="AC296" i="7"/>
  <c r="AD296" i="7"/>
  <c r="B297" i="7"/>
  <c r="C297" i="7"/>
  <c r="P297" i="7"/>
  <c r="Q297" i="7"/>
  <c r="R297" i="7"/>
  <c r="S297" i="7"/>
  <c r="T297" i="7"/>
  <c r="V297" i="7"/>
  <c r="AB297" i="7"/>
  <c r="AC297" i="7"/>
  <c r="AD297" i="7"/>
  <c r="B298" i="7"/>
  <c r="C298" i="7"/>
  <c r="P298" i="7"/>
  <c r="Q298" i="7"/>
  <c r="R298" i="7"/>
  <c r="S298" i="7"/>
  <c r="T298" i="7"/>
  <c r="V298" i="7"/>
  <c r="AB298" i="7"/>
  <c r="AC298" i="7"/>
  <c r="AD298" i="7"/>
  <c r="B299" i="7"/>
  <c r="C299" i="7"/>
  <c r="P299" i="7"/>
  <c r="Q299" i="7"/>
  <c r="R299" i="7"/>
  <c r="S299" i="7"/>
  <c r="T299" i="7"/>
  <c r="V299" i="7"/>
  <c r="AB299" i="7"/>
  <c r="AC299" i="7"/>
  <c r="AD299" i="7"/>
  <c r="B300" i="7"/>
  <c r="C300" i="7"/>
  <c r="P300" i="7"/>
  <c r="Q300" i="7"/>
  <c r="R300" i="7"/>
  <c r="S300" i="7"/>
  <c r="T300" i="7"/>
  <c r="V300" i="7"/>
  <c r="AB300" i="7"/>
  <c r="AC300" i="7"/>
  <c r="AD300" i="7"/>
  <c r="B301" i="7"/>
  <c r="C301" i="7"/>
  <c r="P301" i="7"/>
  <c r="Q301" i="7"/>
  <c r="R301" i="7"/>
  <c r="S301" i="7"/>
  <c r="T301" i="7"/>
  <c r="V301" i="7"/>
  <c r="AB301" i="7"/>
  <c r="AC301" i="7"/>
  <c r="AD301" i="7"/>
  <c r="B302" i="7"/>
  <c r="C302" i="7"/>
  <c r="P302" i="7"/>
  <c r="Q302" i="7"/>
  <c r="R302" i="7"/>
  <c r="S302" i="7"/>
  <c r="T302" i="7"/>
  <c r="V302" i="7"/>
  <c r="AB302" i="7"/>
  <c r="AC302" i="7"/>
  <c r="AD302" i="7"/>
  <c r="B303" i="7"/>
  <c r="C303" i="7"/>
  <c r="P303" i="7"/>
  <c r="Q303" i="7"/>
  <c r="R303" i="7"/>
  <c r="S303" i="7"/>
  <c r="T303" i="7"/>
  <c r="V303" i="7"/>
  <c r="AB303" i="7"/>
  <c r="AC303" i="7"/>
  <c r="AD303" i="7"/>
  <c r="B304" i="7"/>
  <c r="C304" i="7"/>
  <c r="P304" i="7"/>
  <c r="Q304" i="7"/>
  <c r="R304" i="7"/>
  <c r="S304" i="7"/>
  <c r="T304" i="7"/>
  <c r="V304" i="7"/>
  <c r="AB304" i="7"/>
  <c r="AC304" i="7"/>
  <c r="AD304" i="7"/>
  <c r="B305" i="7"/>
  <c r="C305" i="7"/>
  <c r="P305" i="7"/>
  <c r="Q305" i="7"/>
  <c r="R305" i="7"/>
  <c r="S305" i="7"/>
  <c r="T305" i="7"/>
  <c r="V305" i="7"/>
  <c r="AB305" i="7"/>
  <c r="AC305" i="7"/>
  <c r="AD305" i="7"/>
  <c r="B306" i="7"/>
  <c r="C306" i="7"/>
  <c r="P306" i="7"/>
  <c r="Q306" i="7"/>
  <c r="R306" i="7"/>
  <c r="S306" i="7"/>
  <c r="T306" i="7"/>
  <c r="V306" i="7"/>
  <c r="AB306" i="7"/>
  <c r="AC306" i="7"/>
  <c r="AD306" i="7"/>
  <c r="B307" i="7"/>
  <c r="C307" i="7"/>
  <c r="P307" i="7"/>
  <c r="Q307" i="7"/>
  <c r="R307" i="7"/>
  <c r="S307" i="7"/>
  <c r="T307" i="7"/>
  <c r="V307" i="7"/>
  <c r="AB307" i="7"/>
  <c r="AC307" i="7"/>
  <c r="AD307" i="7"/>
  <c r="B308" i="7"/>
  <c r="C308" i="7"/>
  <c r="P308" i="7"/>
  <c r="Q308" i="7"/>
  <c r="R308" i="7"/>
  <c r="S308" i="7"/>
  <c r="T308" i="7"/>
  <c r="V308" i="7"/>
  <c r="AB308" i="7"/>
  <c r="AC308" i="7"/>
  <c r="AD308" i="7"/>
  <c r="B309" i="7"/>
  <c r="C309" i="7"/>
  <c r="P309" i="7"/>
  <c r="Q309" i="7"/>
  <c r="R309" i="7"/>
  <c r="S309" i="7"/>
  <c r="T309" i="7"/>
  <c r="V309" i="7"/>
  <c r="AB309" i="7"/>
  <c r="AC309" i="7"/>
  <c r="AD309" i="7"/>
  <c r="B310" i="7"/>
  <c r="C310" i="7"/>
  <c r="P310" i="7"/>
  <c r="Q310" i="7"/>
  <c r="R310" i="7"/>
  <c r="S310" i="7"/>
  <c r="T310" i="7"/>
  <c r="V310" i="7"/>
  <c r="AB310" i="7"/>
  <c r="AC310" i="7"/>
  <c r="AD310" i="7"/>
  <c r="B311" i="7"/>
  <c r="C311" i="7"/>
  <c r="P311" i="7"/>
  <c r="Q311" i="7"/>
  <c r="R311" i="7"/>
  <c r="S311" i="7"/>
  <c r="T311" i="7"/>
  <c r="V311" i="7"/>
  <c r="AB311" i="7"/>
  <c r="AC311" i="7"/>
  <c r="AD311" i="7"/>
  <c r="B312" i="7"/>
  <c r="C312" i="7"/>
  <c r="P312" i="7"/>
  <c r="Q312" i="7"/>
  <c r="R312" i="7"/>
  <c r="S312" i="7"/>
  <c r="T312" i="7"/>
  <c r="V312" i="7"/>
  <c r="AB312" i="7"/>
  <c r="AC312" i="7"/>
  <c r="AD312" i="7"/>
  <c r="B313" i="7"/>
  <c r="C313" i="7"/>
  <c r="P313" i="7"/>
  <c r="Q313" i="7"/>
  <c r="R313" i="7"/>
  <c r="S313" i="7"/>
  <c r="T313" i="7"/>
  <c r="V313" i="7"/>
  <c r="AB313" i="7"/>
  <c r="AC313" i="7"/>
  <c r="AD313" i="7"/>
  <c r="B314" i="7"/>
  <c r="C314" i="7"/>
  <c r="P314" i="7"/>
  <c r="Q314" i="7"/>
  <c r="R314" i="7"/>
  <c r="S314" i="7"/>
  <c r="T314" i="7"/>
  <c r="V314" i="7"/>
  <c r="AB314" i="7"/>
  <c r="AC314" i="7"/>
  <c r="AD314" i="7"/>
  <c r="B315" i="7"/>
  <c r="C315" i="7"/>
  <c r="P315" i="7"/>
  <c r="Q315" i="7"/>
  <c r="R315" i="7"/>
  <c r="S315" i="7"/>
  <c r="T315" i="7"/>
  <c r="V315" i="7"/>
  <c r="AB315" i="7"/>
  <c r="AC315" i="7"/>
  <c r="AD315" i="7"/>
  <c r="B316" i="7"/>
  <c r="C316" i="7"/>
  <c r="P316" i="7"/>
  <c r="Q316" i="7"/>
  <c r="R316" i="7"/>
  <c r="S316" i="7"/>
  <c r="T316" i="7"/>
  <c r="V316" i="7"/>
  <c r="AB316" i="7"/>
  <c r="AC316" i="7"/>
  <c r="AD316" i="7"/>
  <c r="B317" i="7"/>
  <c r="C317" i="7"/>
  <c r="P317" i="7"/>
  <c r="Q317" i="7"/>
  <c r="R317" i="7"/>
  <c r="S317" i="7"/>
  <c r="T317" i="7"/>
  <c r="V317" i="7"/>
  <c r="AB317" i="7"/>
  <c r="AC317" i="7"/>
  <c r="AD317" i="7"/>
  <c r="B318" i="7"/>
  <c r="C318" i="7"/>
  <c r="P318" i="7"/>
  <c r="Q318" i="7"/>
  <c r="R318" i="7"/>
  <c r="S318" i="7"/>
  <c r="T318" i="7"/>
  <c r="V318" i="7"/>
  <c r="AB318" i="7"/>
  <c r="AC318" i="7"/>
  <c r="AD318" i="7"/>
  <c r="B319" i="7"/>
  <c r="C319" i="7"/>
  <c r="P319" i="7"/>
  <c r="Q319" i="7"/>
  <c r="R319" i="7"/>
  <c r="S319" i="7"/>
  <c r="T319" i="7"/>
  <c r="V319" i="7"/>
  <c r="AB319" i="7"/>
  <c r="AC319" i="7"/>
  <c r="AD319" i="7"/>
  <c r="B320" i="7"/>
  <c r="C320" i="7"/>
  <c r="P320" i="7"/>
  <c r="Q320" i="7"/>
  <c r="R320" i="7"/>
  <c r="S320" i="7"/>
  <c r="T320" i="7"/>
  <c r="V320" i="7"/>
  <c r="AB320" i="7"/>
  <c r="AC320" i="7"/>
  <c r="AD320" i="7"/>
  <c r="B321" i="7"/>
  <c r="C321" i="7"/>
  <c r="P321" i="7"/>
  <c r="Q321" i="7"/>
  <c r="R321" i="7"/>
  <c r="S321" i="7"/>
  <c r="T321" i="7"/>
  <c r="V321" i="7"/>
  <c r="AB321" i="7"/>
  <c r="AC321" i="7"/>
  <c r="AD321" i="7"/>
  <c r="B322" i="7"/>
  <c r="C322" i="7"/>
  <c r="P322" i="7"/>
  <c r="Q322" i="7"/>
  <c r="R322" i="7"/>
  <c r="S322" i="7"/>
  <c r="T322" i="7"/>
  <c r="V322" i="7"/>
  <c r="AB322" i="7"/>
  <c r="AC322" i="7"/>
  <c r="AD322" i="7"/>
  <c r="B323" i="7"/>
  <c r="C323" i="7"/>
  <c r="P323" i="7"/>
  <c r="Q323" i="7"/>
  <c r="R323" i="7"/>
  <c r="S323" i="7"/>
  <c r="T323" i="7"/>
  <c r="V323" i="7"/>
  <c r="AB323" i="7"/>
  <c r="AC323" i="7"/>
  <c r="AD323" i="7"/>
  <c r="B324" i="7"/>
  <c r="C324" i="7"/>
  <c r="P324" i="7"/>
  <c r="Q324" i="7"/>
  <c r="R324" i="7"/>
  <c r="S324" i="7"/>
  <c r="T324" i="7"/>
  <c r="V324" i="7"/>
  <c r="AB324" i="7"/>
  <c r="AC324" i="7"/>
  <c r="AD324" i="7"/>
  <c r="B325" i="7"/>
  <c r="C325" i="7"/>
  <c r="P325" i="7"/>
  <c r="Q325" i="7"/>
  <c r="R325" i="7"/>
  <c r="S325" i="7"/>
  <c r="T325" i="7"/>
  <c r="V325" i="7"/>
  <c r="AB325" i="7"/>
  <c r="AC325" i="7"/>
  <c r="AD325" i="7"/>
  <c r="B326" i="7"/>
  <c r="C326" i="7"/>
  <c r="P326" i="7"/>
  <c r="Q326" i="7"/>
  <c r="R326" i="7"/>
  <c r="S326" i="7"/>
  <c r="T326" i="7"/>
  <c r="V326" i="7"/>
  <c r="AB326" i="7"/>
  <c r="AC326" i="7"/>
  <c r="AD326" i="7"/>
  <c r="B327" i="7"/>
  <c r="C327" i="7"/>
  <c r="P327" i="7"/>
  <c r="Q327" i="7"/>
  <c r="R327" i="7"/>
  <c r="S327" i="7"/>
  <c r="T327" i="7"/>
  <c r="V327" i="7"/>
  <c r="AB327" i="7"/>
  <c r="AC327" i="7"/>
  <c r="AD327" i="7"/>
  <c r="B328" i="7"/>
  <c r="C328" i="7"/>
  <c r="P328" i="7"/>
  <c r="Q328" i="7"/>
  <c r="R328" i="7"/>
  <c r="S328" i="7"/>
  <c r="T328" i="7"/>
  <c r="V328" i="7"/>
  <c r="AB328" i="7"/>
  <c r="AC328" i="7"/>
  <c r="AD328" i="7"/>
  <c r="B329" i="7"/>
  <c r="C329" i="7"/>
  <c r="P329" i="7"/>
  <c r="Q329" i="7"/>
  <c r="R329" i="7"/>
  <c r="S329" i="7"/>
  <c r="T329" i="7"/>
  <c r="V329" i="7"/>
  <c r="AB329" i="7"/>
  <c r="AC329" i="7"/>
  <c r="AD329" i="7"/>
  <c r="B330" i="7"/>
  <c r="C330" i="7"/>
  <c r="P330" i="7"/>
  <c r="Q330" i="7"/>
  <c r="R330" i="7"/>
  <c r="S330" i="7"/>
  <c r="T330" i="7"/>
  <c r="V330" i="7"/>
  <c r="AB330" i="7"/>
  <c r="AC330" i="7"/>
  <c r="AD330" i="7"/>
  <c r="B331" i="7"/>
  <c r="C331" i="7"/>
  <c r="P331" i="7"/>
  <c r="Q331" i="7"/>
  <c r="R331" i="7"/>
  <c r="S331" i="7"/>
  <c r="T331" i="7"/>
  <c r="V331" i="7"/>
  <c r="AB331" i="7"/>
  <c r="AC331" i="7"/>
  <c r="AD331" i="7"/>
  <c r="B332" i="7"/>
  <c r="C332" i="7"/>
  <c r="P332" i="7"/>
  <c r="Q332" i="7"/>
  <c r="R332" i="7"/>
  <c r="S332" i="7"/>
  <c r="T332" i="7"/>
  <c r="V332" i="7"/>
  <c r="AB332" i="7"/>
  <c r="AC332" i="7"/>
  <c r="AD332" i="7"/>
  <c r="B333" i="7"/>
  <c r="C333" i="7"/>
  <c r="P333" i="7"/>
  <c r="Q333" i="7"/>
  <c r="R333" i="7"/>
  <c r="S333" i="7"/>
  <c r="T333" i="7"/>
  <c r="V333" i="7"/>
  <c r="AB333" i="7"/>
  <c r="AC333" i="7"/>
  <c r="AD333" i="7"/>
  <c r="B334" i="7"/>
  <c r="C334" i="7"/>
  <c r="P334" i="7"/>
  <c r="Q334" i="7"/>
  <c r="R334" i="7"/>
  <c r="S334" i="7"/>
  <c r="T334" i="7"/>
  <c r="V334" i="7"/>
  <c r="AB334" i="7"/>
  <c r="AC334" i="7"/>
  <c r="AD334" i="7"/>
  <c r="B335" i="7"/>
  <c r="C335" i="7"/>
  <c r="P335" i="7"/>
  <c r="Q335" i="7"/>
  <c r="R335" i="7"/>
  <c r="S335" i="7"/>
  <c r="T335" i="7"/>
  <c r="V335" i="7"/>
  <c r="AB335" i="7"/>
  <c r="AC335" i="7"/>
  <c r="AD335" i="7"/>
  <c r="B336" i="7"/>
  <c r="C336" i="7"/>
  <c r="P336" i="7"/>
  <c r="Q336" i="7"/>
  <c r="R336" i="7"/>
  <c r="S336" i="7"/>
  <c r="T336" i="7"/>
  <c r="V336" i="7"/>
  <c r="AB336" i="7"/>
  <c r="AC336" i="7"/>
  <c r="AD336" i="7"/>
  <c r="B337" i="7"/>
  <c r="C337" i="7"/>
  <c r="P337" i="7"/>
  <c r="Q337" i="7"/>
  <c r="R337" i="7"/>
  <c r="S337" i="7"/>
  <c r="T337" i="7"/>
  <c r="V337" i="7"/>
  <c r="AB337" i="7"/>
  <c r="AC337" i="7"/>
  <c r="AD337" i="7"/>
  <c r="B338" i="7"/>
  <c r="C338" i="7"/>
  <c r="P338" i="7"/>
  <c r="Q338" i="7"/>
  <c r="R338" i="7"/>
  <c r="S338" i="7"/>
  <c r="T338" i="7"/>
  <c r="V338" i="7"/>
  <c r="AB338" i="7"/>
  <c r="AC338" i="7"/>
  <c r="AD338" i="7"/>
  <c r="B339" i="7"/>
  <c r="C339" i="7"/>
  <c r="P339" i="7"/>
  <c r="Q339" i="7"/>
  <c r="R339" i="7"/>
  <c r="S339" i="7"/>
  <c r="T339" i="7"/>
  <c r="V339" i="7"/>
  <c r="AB339" i="7"/>
  <c r="AC339" i="7"/>
  <c r="AD339" i="7"/>
  <c r="B340" i="7"/>
  <c r="C340" i="7"/>
  <c r="P340" i="7"/>
  <c r="Q340" i="7"/>
  <c r="R340" i="7"/>
  <c r="S340" i="7"/>
  <c r="T340" i="7"/>
  <c r="V340" i="7"/>
  <c r="AB340" i="7"/>
  <c r="AC340" i="7"/>
  <c r="AD340" i="7"/>
  <c r="B341" i="7"/>
  <c r="C341" i="7"/>
  <c r="P341" i="7"/>
  <c r="Q341" i="7"/>
  <c r="R341" i="7"/>
  <c r="S341" i="7"/>
  <c r="T341" i="7"/>
  <c r="V341" i="7"/>
  <c r="AB341" i="7"/>
  <c r="AC341" i="7"/>
  <c r="AD341" i="7"/>
  <c r="B342" i="7"/>
  <c r="C342" i="7"/>
  <c r="P342" i="7"/>
  <c r="Q342" i="7"/>
  <c r="R342" i="7"/>
  <c r="S342" i="7"/>
  <c r="T342" i="7"/>
  <c r="V342" i="7"/>
  <c r="AB342" i="7"/>
  <c r="AC342" i="7"/>
  <c r="AD342" i="7"/>
  <c r="B343" i="7"/>
  <c r="C343" i="7"/>
  <c r="P343" i="7"/>
  <c r="Q343" i="7"/>
  <c r="R343" i="7"/>
  <c r="S343" i="7"/>
  <c r="T343" i="7"/>
  <c r="V343" i="7"/>
  <c r="AB343" i="7"/>
  <c r="AC343" i="7"/>
  <c r="AD343" i="7"/>
  <c r="B344" i="7"/>
  <c r="C344" i="7"/>
  <c r="P344" i="7"/>
  <c r="Q344" i="7"/>
  <c r="R344" i="7"/>
  <c r="S344" i="7"/>
  <c r="T344" i="7"/>
  <c r="V344" i="7"/>
  <c r="AB344" i="7"/>
  <c r="AC344" i="7"/>
  <c r="AD344" i="7"/>
  <c r="B345" i="7"/>
  <c r="C345" i="7"/>
  <c r="P345" i="7"/>
  <c r="Q345" i="7"/>
  <c r="R345" i="7"/>
  <c r="S345" i="7"/>
  <c r="T345" i="7"/>
  <c r="V345" i="7"/>
  <c r="AB345" i="7"/>
  <c r="AC345" i="7"/>
  <c r="AD345" i="7"/>
  <c r="B346" i="7"/>
  <c r="C346" i="7"/>
  <c r="P346" i="7"/>
  <c r="Q346" i="7"/>
  <c r="R346" i="7"/>
  <c r="S346" i="7"/>
  <c r="T346" i="7"/>
  <c r="V346" i="7"/>
  <c r="AB346" i="7"/>
  <c r="AC346" i="7"/>
  <c r="AD346" i="7"/>
  <c r="B347" i="7"/>
  <c r="C347" i="7"/>
  <c r="P347" i="7"/>
  <c r="Q347" i="7"/>
  <c r="R347" i="7"/>
  <c r="S347" i="7"/>
  <c r="T347" i="7"/>
  <c r="V347" i="7"/>
  <c r="AB347" i="7"/>
  <c r="AC347" i="7"/>
  <c r="AD347" i="7"/>
  <c r="B348" i="7"/>
  <c r="C348" i="7"/>
  <c r="P348" i="7"/>
  <c r="Q348" i="7"/>
  <c r="R348" i="7"/>
  <c r="S348" i="7"/>
  <c r="T348" i="7"/>
  <c r="V348" i="7"/>
  <c r="AB348" i="7"/>
  <c r="AC348" i="7"/>
  <c r="AD348" i="7"/>
  <c r="B349" i="7"/>
  <c r="C349" i="7"/>
  <c r="P349" i="7"/>
  <c r="Q349" i="7"/>
  <c r="R349" i="7"/>
  <c r="S349" i="7"/>
  <c r="T349" i="7"/>
  <c r="V349" i="7"/>
  <c r="AB349" i="7"/>
  <c r="AC349" i="7"/>
  <c r="AD349" i="7"/>
  <c r="B350" i="7"/>
  <c r="C350" i="7"/>
  <c r="P350" i="7"/>
  <c r="Q350" i="7"/>
  <c r="R350" i="7"/>
  <c r="S350" i="7"/>
  <c r="T350" i="7"/>
  <c r="V350" i="7"/>
  <c r="AB350" i="7"/>
  <c r="AC350" i="7"/>
  <c r="AD350" i="7"/>
  <c r="B351" i="7"/>
  <c r="C351" i="7"/>
  <c r="P351" i="7"/>
  <c r="Q351" i="7"/>
  <c r="R351" i="7"/>
  <c r="S351" i="7"/>
  <c r="T351" i="7"/>
  <c r="V351" i="7"/>
  <c r="AB351" i="7"/>
  <c r="AC351" i="7"/>
  <c r="AD351" i="7"/>
  <c r="B352" i="7"/>
  <c r="C352" i="7"/>
  <c r="P352" i="7"/>
  <c r="Q352" i="7"/>
  <c r="R352" i="7"/>
  <c r="S352" i="7"/>
  <c r="T352" i="7"/>
  <c r="V352" i="7"/>
  <c r="AB352" i="7"/>
  <c r="AC352" i="7"/>
  <c r="AD352" i="7"/>
  <c r="B353" i="7"/>
  <c r="C353" i="7"/>
  <c r="P353" i="7"/>
  <c r="Q353" i="7"/>
  <c r="R353" i="7"/>
  <c r="S353" i="7"/>
  <c r="T353" i="7"/>
  <c r="V353" i="7"/>
  <c r="AB353" i="7"/>
  <c r="AC353" i="7"/>
  <c r="AD353" i="7"/>
  <c r="B354" i="7"/>
  <c r="C354" i="7"/>
  <c r="P354" i="7"/>
  <c r="Q354" i="7"/>
  <c r="R354" i="7"/>
  <c r="S354" i="7"/>
  <c r="T354" i="7"/>
  <c r="V354" i="7"/>
  <c r="AB354" i="7"/>
  <c r="AC354" i="7"/>
  <c r="AD354" i="7"/>
  <c r="B355" i="7"/>
  <c r="C355" i="7"/>
  <c r="P355" i="7"/>
  <c r="Q355" i="7"/>
  <c r="R355" i="7"/>
  <c r="S355" i="7"/>
  <c r="T355" i="7"/>
  <c r="V355" i="7"/>
  <c r="AB355" i="7"/>
  <c r="AC355" i="7"/>
  <c r="AD355" i="7"/>
  <c r="B356" i="7"/>
  <c r="C356" i="7"/>
  <c r="P356" i="7"/>
  <c r="Q356" i="7"/>
  <c r="R356" i="7"/>
  <c r="S356" i="7"/>
  <c r="T356" i="7"/>
  <c r="V356" i="7"/>
  <c r="AB356" i="7"/>
  <c r="AC356" i="7"/>
  <c r="AD356" i="7"/>
  <c r="B357" i="7"/>
  <c r="C357" i="7"/>
  <c r="P357" i="7"/>
  <c r="Q357" i="7"/>
  <c r="R357" i="7"/>
  <c r="S357" i="7"/>
  <c r="T357" i="7"/>
  <c r="V357" i="7"/>
  <c r="AB357" i="7"/>
  <c r="AC357" i="7"/>
  <c r="AD357" i="7"/>
  <c r="B358" i="7"/>
  <c r="C358" i="7"/>
  <c r="P358" i="7"/>
  <c r="Q358" i="7"/>
  <c r="R358" i="7"/>
  <c r="S358" i="7"/>
  <c r="T358" i="7"/>
  <c r="V358" i="7"/>
  <c r="AB358" i="7"/>
  <c r="AC358" i="7"/>
  <c r="AD358" i="7"/>
  <c r="B359" i="7"/>
  <c r="C359" i="7"/>
  <c r="P359" i="7"/>
  <c r="Q359" i="7"/>
  <c r="R359" i="7"/>
  <c r="S359" i="7"/>
  <c r="T359" i="7"/>
  <c r="V359" i="7"/>
  <c r="AB359" i="7"/>
  <c r="AC359" i="7"/>
  <c r="AD359" i="7"/>
  <c r="B360" i="7"/>
  <c r="C360" i="7"/>
  <c r="P360" i="7"/>
  <c r="Q360" i="7"/>
  <c r="R360" i="7"/>
  <c r="S360" i="7"/>
  <c r="T360" i="7"/>
  <c r="V360" i="7"/>
  <c r="AB360" i="7"/>
  <c r="AC360" i="7"/>
  <c r="AD360" i="7"/>
  <c r="B361" i="7"/>
  <c r="C361" i="7"/>
  <c r="P361" i="7"/>
  <c r="Q361" i="7"/>
  <c r="R361" i="7"/>
  <c r="S361" i="7"/>
  <c r="T361" i="7"/>
  <c r="V361" i="7"/>
  <c r="AB361" i="7"/>
  <c r="AC361" i="7"/>
  <c r="AD361" i="7"/>
  <c r="B362" i="7"/>
  <c r="C362" i="7"/>
  <c r="P362" i="7"/>
  <c r="Q362" i="7"/>
  <c r="R362" i="7"/>
  <c r="S362" i="7"/>
  <c r="T362" i="7"/>
  <c r="V362" i="7"/>
  <c r="AB362" i="7"/>
  <c r="AC362" i="7"/>
  <c r="AD362" i="7"/>
  <c r="B363" i="7"/>
  <c r="C363" i="7"/>
  <c r="P363" i="7"/>
  <c r="Q363" i="7"/>
  <c r="R363" i="7"/>
  <c r="S363" i="7"/>
  <c r="T363" i="7"/>
  <c r="V363" i="7"/>
  <c r="AB363" i="7"/>
  <c r="AC363" i="7"/>
  <c r="AD363" i="7"/>
  <c r="B364" i="7"/>
  <c r="C364" i="7"/>
  <c r="P364" i="7"/>
  <c r="Q364" i="7"/>
  <c r="R364" i="7"/>
  <c r="S364" i="7"/>
  <c r="T364" i="7"/>
  <c r="V364" i="7"/>
  <c r="AB364" i="7"/>
  <c r="AC364" i="7"/>
  <c r="AD364" i="7"/>
  <c r="B365" i="7"/>
  <c r="C365" i="7"/>
  <c r="P365" i="7"/>
  <c r="Q365" i="7"/>
  <c r="R365" i="7"/>
  <c r="S365" i="7"/>
  <c r="T365" i="7"/>
  <c r="V365" i="7"/>
  <c r="AB365" i="7"/>
  <c r="AC365" i="7"/>
  <c r="AD365" i="7"/>
  <c r="B366" i="7"/>
  <c r="C366" i="7"/>
  <c r="P366" i="7"/>
  <c r="Q366" i="7"/>
  <c r="R366" i="7"/>
  <c r="S366" i="7"/>
  <c r="T366" i="7"/>
  <c r="V366" i="7"/>
  <c r="AB366" i="7"/>
  <c r="AC366" i="7"/>
  <c r="AD366" i="7"/>
  <c r="B367" i="7"/>
  <c r="C367" i="7"/>
  <c r="P367" i="7"/>
  <c r="Q367" i="7"/>
  <c r="R367" i="7"/>
  <c r="S367" i="7"/>
  <c r="T367" i="7"/>
  <c r="V367" i="7"/>
  <c r="AB367" i="7"/>
  <c r="AC367" i="7"/>
  <c r="AD367" i="7"/>
  <c r="B368" i="7"/>
  <c r="C368" i="7"/>
  <c r="P368" i="7"/>
  <c r="Q368" i="7"/>
  <c r="R368" i="7"/>
  <c r="S368" i="7"/>
  <c r="T368" i="7"/>
  <c r="V368" i="7"/>
  <c r="AB368" i="7"/>
  <c r="AC368" i="7"/>
  <c r="AD368" i="7"/>
  <c r="B369" i="7"/>
  <c r="C369" i="7"/>
  <c r="P369" i="7"/>
  <c r="Q369" i="7"/>
  <c r="R369" i="7"/>
  <c r="S369" i="7"/>
  <c r="T369" i="7"/>
  <c r="V369" i="7"/>
  <c r="AB369" i="7"/>
  <c r="AC369" i="7"/>
  <c r="AD369" i="7"/>
  <c r="B370" i="7"/>
  <c r="C370" i="7"/>
  <c r="P370" i="7"/>
  <c r="Q370" i="7"/>
  <c r="R370" i="7"/>
  <c r="S370" i="7"/>
  <c r="T370" i="7"/>
  <c r="V370" i="7"/>
  <c r="AB370" i="7"/>
  <c r="AC370" i="7"/>
  <c r="AD370" i="7"/>
  <c r="B371" i="7"/>
  <c r="C371" i="7"/>
  <c r="P371" i="7"/>
  <c r="Q371" i="7"/>
  <c r="R371" i="7"/>
  <c r="S371" i="7"/>
  <c r="T371" i="7"/>
  <c r="V371" i="7"/>
  <c r="AB371" i="7"/>
  <c r="AC371" i="7"/>
  <c r="AD371" i="7"/>
  <c r="B372" i="7"/>
  <c r="C372" i="7"/>
  <c r="P372" i="7"/>
  <c r="Q372" i="7"/>
  <c r="R372" i="7"/>
  <c r="S372" i="7"/>
  <c r="T372" i="7"/>
  <c r="V372" i="7"/>
  <c r="AB372" i="7"/>
  <c r="AC372" i="7"/>
  <c r="AD372" i="7"/>
  <c r="B373" i="7"/>
  <c r="C373" i="7"/>
  <c r="P373" i="7"/>
  <c r="Q373" i="7"/>
  <c r="R373" i="7"/>
  <c r="S373" i="7"/>
  <c r="T373" i="7"/>
  <c r="V373" i="7"/>
  <c r="AB373" i="7"/>
  <c r="AC373" i="7"/>
  <c r="AD373" i="7"/>
  <c r="B374" i="7"/>
  <c r="C374" i="7"/>
  <c r="P374" i="7"/>
  <c r="Q374" i="7"/>
  <c r="R374" i="7"/>
  <c r="S374" i="7"/>
  <c r="T374" i="7"/>
  <c r="V374" i="7"/>
  <c r="AB374" i="7"/>
  <c r="AC374" i="7"/>
  <c r="AD374" i="7"/>
  <c r="B375" i="7"/>
  <c r="C375" i="7"/>
  <c r="P375" i="7"/>
  <c r="Q375" i="7"/>
  <c r="R375" i="7"/>
  <c r="S375" i="7"/>
  <c r="T375" i="7"/>
  <c r="V375" i="7"/>
  <c r="AB375" i="7"/>
  <c r="AC375" i="7"/>
  <c r="AD375" i="7"/>
  <c r="B376" i="7"/>
  <c r="C376" i="7"/>
  <c r="P376" i="7"/>
  <c r="Q376" i="7"/>
  <c r="R376" i="7"/>
  <c r="S376" i="7"/>
  <c r="T376" i="7"/>
  <c r="V376" i="7"/>
  <c r="AB376" i="7"/>
  <c r="AC376" i="7"/>
  <c r="AD376" i="7"/>
  <c r="B377" i="7"/>
  <c r="C377" i="7"/>
  <c r="P377" i="7"/>
  <c r="Q377" i="7"/>
  <c r="R377" i="7"/>
  <c r="S377" i="7"/>
  <c r="T377" i="7"/>
  <c r="V377" i="7"/>
  <c r="AB377" i="7"/>
  <c r="AC377" i="7"/>
  <c r="AD377" i="7"/>
  <c r="B378" i="7"/>
  <c r="C378" i="7"/>
  <c r="P378" i="7"/>
  <c r="Q378" i="7"/>
  <c r="R378" i="7"/>
  <c r="S378" i="7"/>
  <c r="T378" i="7"/>
  <c r="V378" i="7"/>
  <c r="AB378" i="7"/>
  <c r="AC378" i="7"/>
  <c r="AD378" i="7"/>
  <c r="B379" i="7"/>
  <c r="C379" i="7"/>
  <c r="P379" i="7"/>
  <c r="Q379" i="7"/>
  <c r="R379" i="7"/>
  <c r="S379" i="7"/>
  <c r="T379" i="7"/>
  <c r="V379" i="7"/>
  <c r="AB379" i="7"/>
  <c r="AC379" i="7"/>
  <c r="AD379" i="7"/>
  <c r="B380" i="7"/>
  <c r="C380" i="7"/>
  <c r="P380" i="7"/>
  <c r="Q380" i="7"/>
  <c r="R380" i="7"/>
  <c r="S380" i="7"/>
  <c r="T380" i="7"/>
  <c r="V380" i="7"/>
  <c r="AB380" i="7"/>
  <c r="AC380" i="7"/>
  <c r="AD380" i="7"/>
  <c r="B381" i="7"/>
  <c r="C381" i="7"/>
  <c r="P381" i="7"/>
  <c r="Q381" i="7"/>
  <c r="R381" i="7"/>
  <c r="S381" i="7"/>
  <c r="T381" i="7"/>
  <c r="V381" i="7"/>
  <c r="AB381" i="7"/>
  <c r="AC381" i="7"/>
  <c r="AD381" i="7"/>
  <c r="B382" i="7"/>
  <c r="C382" i="7"/>
  <c r="P382" i="7"/>
  <c r="Q382" i="7"/>
  <c r="R382" i="7"/>
  <c r="S382" i="7"/>
  <c r="T382" i="7"/>
  <c r="V382" i="7"/>
  <c r="AB382" i="7"/>
  <c r="AC382" i="7"/>
  <c r="AD382" i="7"/>
  <c r="B383" i="7"/>
  <c r="C383" i="7"/>
  <c r="P383" i="7"/>
  <c r="Q383" i="7"/>
  <c r="R383" i="7"/>
  <c r="S383" i="7"/>
  <c r="T383" i="7"/>
  <c r="V383" i="7"/>
  <c r="AB383" i="7"/>
  <c r="AC383" i="7"/>
  <c r="AD383" i="7"/>
  <c r="B384" i="7"/>
  <c r="C384" i="7"/>
  <c r="P384" i="7"/>
  <c r="Q384" i="7"/>
  <c r="R384" i="7"/>
  <c r="S384" i="7"/>
  <c r="T384" i="7"/>
  <c r="V384" i="7"/>
  <c r="AB384" i="7"/>
  <c r="AC384" i="7"/>
  <c r="AD384" i="7"/>
  <c r="B385" i="7"/>
  <c r="C385" i="7"/>
  <c r="P385" i="7"/>
  <c r="Q385" i="7"/>
  <c r="R385" i="7"/>
  <c r="S385" i="7"/>
  <c r="T385" i="7"/>
  <c r="V385" i="7"/>
  <c r="AB385" i="7"/>
  <c r="AC385" i="7"/>
  <c r="AD385" i="7"/>
  <c r="B386" i="7"/>
  <c r="C386" i="7"/>
  <c r="P386" i="7"/>
  <c r="Q386" i="7"/>
  <c r="R386" i="7"/>
  <c r="S386" i="7"/>
  <c r="T386" i="7"/>
  <c r="V386" i="7"/>
  <c r="AB386" i="7"/>
  <c r="AC386" i="7"/>
  <c r="AD386" i="7"/>
  <c r="B387" i="7"/>
  <c r="C387" i="7"/>
  <c r="P387" i="7"/>
  <c r="Q387" i="7"/>
  <c r="R387" i="7"/>
  <c r="S387" i="7"/>
  <c r="T387" i="7"/>
  <c r="V387" i="7"/>
  <c r="AB387" i="7"/>
  <c r="AC387" i="7"/>
  <c r="AD387" i="7"/>
  <c r="B388" i="7"/>
  <c r="C388" i="7"/>
  <c r="P388" i="7"/>
  <c r="Q388" i="7"/>
  <c r="R388" i="7"/>
  <c r="S388" i="7"/>
  <c r="T388" i="7"/>
  <c r="V388" i="7"/>
  <c r="AB388" i="7"/>
  <c r="AC388" i="7"/>
  <c r="AD388" i="7"/>
  <c r="B389" i="7"/>
  <c r="C389" i="7"/>
  <c r="P389" i="7"/>
  <c r="Q389" i="7"/>
  <c r="R389" i="7"/>
  <c r="S389" i="7"/>
  <c r="T389" i="7"/>
  <c r="V389" i="7"/>
  <c r="AB389" i="7"/>
  <c r="AC389" i="7"/>
  <c r="AD389" i="7"/>
  <c r="B390" i="7"/>
  <c r="C390" i="7"/>
  <c r="P390" i="7"/>
  <c r="Q390" i="7"/>
  <c r="R390" i="7"/>
  <c r="S390" i="7"/>
  <c r="T390" i="7"/>
  <c r="V390" i="7"/>
  <c r="AB390" i="7"/>
  <c r="AC390" i="7"/>
  <c r="AD390" i="7"/>
  <c r="B391" i="7"/>
  <c r="C391" i="7"/>
  <c r="P391" i="7"/>
  <c r="Q391" i="7"/>
  <c r="R391" i="7"/>
  <c r="S391" i="7"/>
  <c r="T391" i="7"/>
  <c r="V391" i="7"/>
  <c r="AB391" i="7"/>
  <c r="AC391" i="7"/>
  <c r="AD391" i="7"/>
  <c r="B392" i="7"/>
  <c r="C392" i="7"/>
  <c r="P392" i="7"/>
  <c r="Q392" i="7"/>
  <c r="R392" i="7"/>
  <c r="S392" i="7"/>
  <c r="T392" i="7"/>
  <c r="V392" i="7"/>
  <c r="AB392" i="7"/>
  <c r="AC392" i="7"/>
  <c r="AD392" i="7"/>
  <c r="B393" i="7"/>
  <c r="C393" i="7"/>
  <c r="P393" i="7"/>
  <c r="Q393" i="7"/>
  <c r="R393" i="7"/>
  <c r="S393" i="7"/>
  <c r="T393" i="7"/>
  <c r="V393" i="7"/>
  <c r="AB393" i="7"/>
  <c r="AC393" i="7"/>
  <c r="AD393" i="7"/>
  <c r="B394" i="7"/>
  <c r="C394" i="7"/>
  <c r="P394" i="7"/>
  <c r="Q394" i="7"/>
  <c r="R394" i="7"/>
  <c r="S394" i="7"/>
  <c r="T394" i="7"/>
  <c r="V394" i="7"/>
  <c r="AB394" i="7"/>
  <c r="AC394" i="7"/>
  <c r="AD394" i="7"/>
  <c r="B395" i="7"/>
  <c r="C395" i="7"/>
  <c r="P395" i="7"/>
  <c r="Q395" i="7"/>
  <c r="R395" i="7"/>
  <c r="S395" i="7"/>
  <c r="T395" i="7"/>
  <c r="V395" i="7"/>
  <c r="AB395" i="7"/>
  <c r="AC395" i="7"/>
  <c r="AD395" i="7"/>
  <c r="B396" i="7"/>
  <c r="C396" i="7"/>
  <c r="P396" i="7"/>
  <c r="Q396" i="7"/>
  <c r="R396" i="7"/>
  <c r="S396" i="7"/>
  <c r="T396" i="7"/>
  <c r="V396" i="7"/>
  <c r="AB396" i="7"/>
  <c r="AC396" i="7"/>
  <c r="AD396" i="7"/>
  <c r="B397" i="7"/>
  <c r="C397" i="7"/>
  <c r="P397" i="7"/>
  <c r="Q397" i="7"/>
  <c r="R397" i="7"/>
  <c r="S397" i="7"/>
  <c r="T397" i="7"/>
  <c r="V397" i="7"/>
  <c r="AB397" i="7"/>
  <c r="AC397" i="7"/>
  <c r="AD397" i="7"/>
  <c r="B398" i="7"/>
  <c r="C398" i="7"/>
  <c r="P398" i="7"/>
  <c r="Q398" i="7"/>
  <c r="R398" i="7"/>
  <c r="S398" i="7"/>
  <c r="T398" i="7"/>
  <c r="V398" i="7"/>
  <c r="AB398" i="7"/>
  <c r="AC398" i="7"/>
  <c r="AD398" i="7"/>
  <c r="B399" i="7"/>
  <c r="C399" i="7"/>
  <c r="P399" i="7"/>
  <c r="Q399" i="7"/>
  <c r="R399" i="7"/>
  <c r="S399" i="7"/>
  <c r="T399" i="7"/>
  <c r="V399" i="7"/>
  <c r="AB399" i="7"/>
  <c r="AC399" i="7"/>
  <c r="AD399" i="7"/>
  <c r="B400" i="7"/>
  <c r="C400" i="7"/>
  <c r="P400" i="7"/>
  <c r="Q400" i="7"/>
  <c r="R400" i="7"/>
  <c r="S400" i="7"/>
  <c r="T400" i="7"/>
  <c r="V400" i="7"/>
  <c r="AB400" i="7"/>
  <c r="AC400" i="7"/>
  <c r="AD400" i="7"/>
  <c r="B401" i="7"/>
  <c r="C401" i="7"/>
  <c r="P401" i="7"/>
  <c r="Q401" i="7"/>
  <c r="R401" i="7"/>
  <c r="S401" i="7"/>
  <c r="T401" i="7"/>
  <c r="V401" i="7"/>
  <c r="AB401" i="7"/>
  <c r="AC401" i="7"/>
  <c r="AD401" i="7"/>
  <c r="B402" i="7"/>
  <c r="C402" i="7"/>
  <c r="P402" i="7"/>
  <c r="Q402" i="7"/>
  <c r="R402" i="7"/>
  <c r="S402" i="7"/>
  <c r="T402" i="7"/>
  <c r="V402" i="7"/>
  <c r="AB402" i="7"/>
  <c r="AC402" i="7"/>
  <c r="AD402" i="7"/>
  <c r="B403" i="7"/>
  <c r="C403" i="7"/>
  <c r="P403" i="7"/>
  <c r="Q403" i="7"/>
  <c r="R403" i="7"/>
  <c r="S403" i="7"/>
  <c r="T403" i="7"/>
  <c r="V403" i="7"/>
  <c r="AB403" i="7"/>
  <c r="AC403" i="7"/>
  <c r="AD403" i="7"/>
  <c r="B404" i="7"/>
  <c r="C404" i="7"/>
  <c r="P404" i="7"/>
  <c r="Q404" i="7"/>
  <c r="R404" i="7"/>
  <c r="S404" i="7"/>
  <c r="T404" i="7"/>
  <c r="V404" i="7"/>
  <c r="AB404" i="7"/>
  <c r="AC404" i="7"/>
  <c r="AD404" i="7"/>
  <c r="B405" i="7"/>
  <c r="C405" i="7"/>
  <c r="P405" i="7"/>
  <c r="Q405" i="7"/>
  <c r="R405" i="7"/>
  <c r="S405" i="7"/>
  <c r="T405" i="7"/>
  <c r="V405" i="7"/>
  <c r="AB405" i="7"/>
  <c r="AC405" i="7"/>
  <c r="AD405" i="7"/>
  <c r="B406" i="7"/>
  <c r="C406" i="7"/>
  <c r="P406" i="7"/>
  <c r="Q406" i="7"/>
  <c r="R406" i="7"/>
  <c r="S406" i="7"/>
  <c r="T406" i="7"/>
  <c r="V406" i="7"/>
  <c r="AB406" i="7"/>
  <c r="AC406" i="7"/>
  <c r="AD406" i="7"/>
  <c r="B407" i="7"/>
  <c r="C407" i="7"/>
  <c r="P407" i="7"/>
  <c r="Q407" i="7"/>
  <c r="R407" i="7"/>
  <c r="S407" i="7"/>
  <c r="T407" i="7"/>
  <c r="V407" i="7"/>
  <c r="AB407" i="7"/>
  <c r="AC407" i="7"/>
  <c r="AD407" i="7"/>
  <c r="B408" i="7"/>
  <c r="C408" i="7"/>
  <c r="P408" i="7"/>
  <c r="Q408" i="7"/>
  <c r="R408" i="7"/>
  <c r="S408" i="7"/>
  <c r="T408" i="7"/>
  <c r="V408" i="7"/>
  <c r="AB408" i="7"/>
  <c r="AC408" i="7"/>
  <c r="AD408" i="7"/>
  <c r="B409" i="7"/>
  <c r="C409" i="7"/>
  <c r="P409" i="7"/>
  <c r="Q409" i="7"/>
  <c r="R409" i="7"/>
  <c r="S409" i="7"/>
  <c r="T409" i="7"/>
  <c r="V409" i="7"/>
  <c r="AB409" i="7"/>
  <c r="AC409" i="7"/>
  <c r="AD409" i="7"/>
  <c r="B410" i="7"/>
  <c r="C410" i="7"/>
  <c r="P410" i="7"/>
  <c r="Q410" i="7"/>
  <c r="R410" i="7"/>
  <c r="S410" i="7"/>
  <c r="T410" i="7"/>
  <c r="V410" i="7"/>
  <c r="AB410" i="7"/>
  <c r="AC410" i="7"/>
  <c r="AD410" i="7"/>
  <c r="B411" i="7"/>
  <c r="C411" i="7"/>
  <c r="P411" i="7"/>
  <c r="Q411" i="7"/>
  <c r="R411" i="7"/>
  <c r="S411" i="7"/>
  <c r="T411" i="7"/>
  <c r="V411" i="7"/>
  <c r="AB411" i="7"/>
  <c r="AC411" i="7"/>
  <c r="AD411" i="7"/>
  <c r="B412" i="7"/>
  <c r="C412" i="7"/>
  <c r="P412" i="7"/>
  <c r="Q412" i="7"/>
  <c r="R412" i="7"/>
  <c r="S412" i="7"/>
  <c r="T412" i="7"/>
  <c r="V412" i="7"/>
  <c r="AB412" i="7"/>
  <c r="AC412" i="7"/>
  <c r="AD412" i="7"/>
  <c r="B413" i="7"/>
  <c r="C413" i="7"/>
  <c r="P413" i="7"/>
  <c r="Q413" i="7"/>
  <c r="R413" i="7"/>
  <c r="S413" i="7"/>
  <c r="T413" i="7"/>
  <c r="V413" i="7"/>
  <c r="AB413" i="7"/>
  <c r="AC413" i="7"/>
  <c r="AD413" i="7"/>
  <c r="B414" i="7"/>
  <c r="C414" i="7"/>
  <c r="P414" i="7"/>
  <c r="Q414" i="7"/>
  <c r="R414" i="7"/>
  <c r="S414" i="7"/>
  <c r="T414" i="7"/>
  <c r="V414" i="7"/>
  <c r="AB414" i="7"/>
  <c r="AC414" i="7"/>
  <c r="AD414" i="7"/>
  <c r="B415" i="7"/>
  <c r="C415" i="7"/>
  <c r="P415" i="7"/>
  <c r="Q415" i="7"/>
  <c r="R415" i="7"/>
  <c r="S415" i="7"/>
  <c r="T415" i="7"/>
  <c r="V415" i="7"/>
  <c r="AB415" i="7"/>
  <c r="AC415" i="7"/>
  <c r="AD415" i="7"/>
  <c r="B416" i="7"/>
  <c r="C416" i="7"/>
  <c r="P416" i="7"/>
  <c r="Q416" i="7"/>
  <c r="R416" i="7"/>
  <c r="S416" i="7"/>
  <c r="T416" i="7"/>
  <c r="V416" i="7"/>
  <c r="AB416" i="7"/>
  <c r="AC416" i="7"/>
  <c r="AD416" i="7"/>
  <c r="B417" i="7"/>
  <c r="C417" i="7"/>
  <c r="P417" i="7"/>
  <c r="Q417" i="7"/>
  <c r="R417" i="7"/>
  <c r="S417" i="7"/>
  <c r="T417" i="7"/>
  <c r="V417" i="7"/>
  <c r="AB417" i="7"/>
  <c r="AC417" i="7"/>
  <c r="AD417" i="7"/>
  <c r="B418" i="7"/>
  <c r="C418" i="7"/>
  <c r="P418" i="7"/>
  <c r="Q418" i="7"/>
  <c r="R418" i="7"/>
  <c r="S418" i="7"/>
  <c r="T418" i="7"/>
  <c r="V418" i="7"/>
  <c r="AB418" i="7"/>
  <c r="AC418" i="7"/>
  <c r="AD418" i="7"/>
  <c r="B419" i="7"/>
  <c r="C419" i="7"/>
  <c r="P419" i="7"/>
  <c r="Q419" i="7"/>
  <c r="R419" i="7"/>
  <c r="S419" i="7"/>
  <c r="T419" i="7"/>
  <c r="V419" i="7"/>
  <c r="AB419" i="7"/>
  <c r="AC419" i="7"/>
  <c r="AD419" i="7"/>
  <c r="B420" i="7"/>
  <c r="C420" i="7"/>
  <c r="P420" i="7"/>
  <c r="Q420" i="7"/>
  <c r="R420" i="7"/>
  <c r="S420" i="7"/>
  <c r="T420" i="7"/>
  <c r="V420" i="7"/>
  <c r="AB420" i="7"/>
  <c r="AC420" i="7"/>
  <c r="AD420" i="7"/>
  <c r="B421" i="7"/>
  <c r="C421" i="7"/>
  <c r="P421" i="7"/>
  <c r="Q421" i="7"/>
  <c r="R421" i="7"/>
  <c r="S421" i="7"/>
  <c r="T421" i="7"/>
  <c r="V421" i="7"/>
  <c r="AB421" i="7"/>
  <c r="AC421" i="7"/>
  <c r="AD421" i="7"/>
  <c r="B422" i="7"/>
  <c r="C422" i="7"/>
  <c r="P422" i="7"/>
  <c r="Q422" i="7"/>
  <c r="R422" i="7"/>
  <c r="S422" i="7"/>
  <c r="T422" i="7"/>
  <c r="V422" i="7"/>
  <c r="AB422" i="7"/>
  <c r="AC422" i="7"/>
  <c r="AD422" i="7"/>
  <c r="B423" i="7"/>
  <c r="C423" i="7"/>
  <c r="P423" i="7"/>
  <c r="Q423" i="7"/>
  <c r="R423" i="7"/>
  <c r="S423" i="7"/>
  <c r="T423" i="7"/>
  <c r="V423" i="7"/>
  <c r="AB423" i="7"/>
  <c r="AC423" i="7"/>
  <c r="AD423" i="7"/>
  <c r="B424" i="7"/>
  <c r="C424" i="7"/>
  <c r="P424" i="7"/>
  <c r="Q424" i="7"/>
  <c r="R424" i="7"/>
  <c r="S424" i="7"/>
  <c r="T424" i="7"/>
  <c r="V424" i="7"/>
  <c r="AB424" i="7"/>
  <c r="AC424" i="7"/>
  <c r="AD424" i="7"/>
  <c r="B425" i="7"/>
  <c r="C425" i="7"/>
  <c r="P425" i="7"/>
  <c r="Q425" i="7"/>
  <c r="R425" i="7"/>
  <c r="S425" i="7"/>
  <c r="T425" i="7"/>
  <c r="V425" i="7"/>
  <c r="AB425" i="7"/>
  <c r="AC425" i="7"/>
  <c r="AD425" i="7"/>
  <c r="B426" i="7"/>
  <c r="C426" i="7"/>
  <c r="P426" i="7"/>
  <c r="Q426" i="7"/>
  <c r="R426" i="7"/>
  <c r="S426" i="7"/>
  <c r="T426" i="7"/>
  <c r="V426" i="7"/>
  <c r="AB426" i="7"/>
  <c r="AC426" i="7"/>
  <c r="AD426" i="7"/>
  <c r="B427" i="7"/>
  <c r="C427" i="7"/>
  <c r="P427" i="7"/>
  <c r="Q427" i="7"/>
  <c r="R427" i="7"/>
  <c r="S427" i="7"/>
  <c r="T427" i="7"/>
  <c r="V427" i="7"/>
  <c r="AB427" i="7"/>
  <c r="AC427" i="7"/>
  <c r="AD427" i="7"/>
  <c r="B428" i="7"/>
  <c r="C428" i="7"/>
  <c r="P428" i="7"/>
  <c r="Q428" i="7"/>
  <c r="R428" i="7"/>
  <c r="S428" i="7"/>
  <c r="T428" i="7"/>
  <c r="V428" i="7"/>
  <c r="AB428" i="7"/>
  <c r="AC428" i="7"/>
  <c r="AD428" i="7"/>
  <c r="B429" i="7"/>
  <c r="C429" i="7"/>
  <c r="P429" i="7"/>
  <c r="Q429" i="7"/>
  <c r="R429" i="7"/>
  <c r="S429" i="7"/>
  <c r="T429" i="7"/>
  <c r="V429" i="7"/>
  <c r="AB429" i="7"/>
  <c r="AC429" i="7"/>
  <c r="AD429" i="7"/>
  <c r="B430" i="7"/>
  <c r="C430" i="7"/>
  <c r="P430" i="7"/>
  <c r="Q430" i="7"/>
  <c r="R430" i="7"/>
  <c r="S430" i="7"/>
  <c r="T430" i="7"/>
  <c r="V430" i="7"/>
  <c r="AB430" i="7"/>
  <c r="AC430" i="7"/>
  <c r="AD430" i="7"/>
  <c r="B431" i="7"/>
  <c r="C431" i="7"/>
  <c r="P431" i="7"/>
  <c r="Q431" i="7"/>
  <c r="R431" i="7"/>
  <c r="S431" i="7"/>
  <c r="T431" i="7"/>
  <c r="V431" i="7"/>
  <c r="AB431" i="7"/>
  <c r="AC431" i="7"/>
  <c r="AD431" i="7"/>
  <c r="B432" i="7"/>
  <c r="C432" i="7"/>
  <c r="P432" i="7"/>
  <c r="Q432" i="7"/>
  <c r="R432" i="7"/>
  <c r="S432" i="7"/>
  <c r="T432" i="7"/>
  <c r="V432" i="7"/>
  <c r="AB432" i="7"/>
  <c r="AC432" i="7"/>
  <c r="AD432" i="7"/>
  <c r="B433" i="7"/>
  <c r="C433" i="7"/>
  <c r="P433" i="7"/>
  <c r="Q433" i="7"/>
  <c r="R433" i="7"/>
  <c r="S433" i="7"/>
  <c r="T433" i="7"/>
  <c r="V433" i="7"/>
  <c r="AB433" i="7"/>
  <c r="AC433" i="7"/>
  <c r="AD433" i="7"/>
  <c r="B434" i="7"/>
  <c r="C434" i="7"/>
  <c r="P434" i="7"/>
  <c r="Q434" i="7"/>
  <c r="R434" i="7"/>
  <c r="S434" i="7"/>
  <c r="T434" i="7"/>
  <c r="V434" i="7"/>
  <c r="AB434" i="7"/>
  <c r="AC434" i="7"/>
  <c r="AD434" i="7"/>
  <c r="B435" i="7"/>
  <c r="C435" i="7"/>
  <c r="P435" i="7"/>
  <c r="Q435" i="7"/>
  <c r="R435" i="7"/>
  <c r="S435" i="7"/>
  <c r="T435" i="7"/>
  <c r="V435" i="7"/>
  <c r="AB435" i="7"/>
  <c r="AC435" i="7"/>
  <c r="AD435" i="7"/>
  <c r="B436" i="7"/>
  <c r="C436" i="7"/>
  <c r="P436" i="7"/>
  <c r="Q436" i="7"/>
  <c r="R436" i="7"/>
  <c r="S436" i="7"/>
  <c r="T436" i="7"/>
  <c r="V436" i="7"/>
  <c r="AB436" i="7"/>
  <c r="AC436" i="7"/>
  <c r="AD436" i="7"/>
  <c r="B437" i="7"/>
  <c r="C437" i="7"/>
  <c r="P437" i="7"/>
  <c r="Q437" i="7"/>
  <c r="R437" i="7"/>
  <c r="S437" i="7"/>
  <c r="T437" i="7"/>
  <c r="V437" i="7"/>
  <c r="AB437" i="7"/>
  <c r="AC437" i="7"/>
  <c r="AD437" i="7"/>
  <c r="B438" i="7"/>
  <c r="C438" i="7"/>
  <c r="P438" i="7"/>
  <c r="Q438" i="7"/>
  <c r="R438" i="7"/>
  <c r="S438" i="7"/>
  <c r="T438" i="7"/>
  <c r="V438" i="7"/>
  <c r="AB438" i="7"/>
  <c r="AC438" i="7"/>
  <c r="AD438" i="7"/>
  <c r="B439" i="7"/>
  <c r="C439" i="7"/>
  <c r="P439" i="7"/>
  <c r="Q439" i="7"/>
  <c r="R439" i="7"/>
  <c r="S439" i="7"/>
  <c r="T439" i="7"/>
  <c r="V439" i="7"/>
  <c r="AB439" i="7"/>
  <c r="AC439" i="7"/>
  <c r="AD439" i="7"/>
  <c r="B440" i="7"/>
  <c r="C440" i="7"/>
  <c r="P440" i="7"/>
  <c r="Q440" i="7"/>
  <c r="R440" i="7"/>
  <c r="S440" i="7"/>
  <c r="T440" i="7"/>
  <c r="V440" i="7"/>
  <c r="AB440" i="7"/>
  <c r="AC440" i="7"/>
  <c r="AD440" i="7"/>
  <c r="B441" i="7"/>
  <c r="C441" i="7"/>
  <c r="P441" i="7"/>
  <c r="Q441" i="7"/>
  <c r="R441" i="7"/>
  <c r="S441" i="7"/>
  <c r="T441" i="7"/>
  <c r="V441" i="7"/>
  <c r="AB441" i="7"/>
  <c r="AC441" i="7"/>
  <c r="AD441" i="7"/>
  <c r="B442" i="7"/>
  <c r="C442" i="7"/>
  <c r="P442" i="7"/>
  <c r="Q442" i="7"/>
  <c r="R442" i="7"/>
  <c r="S442" i="7"/>
  <c r="T442" i="7"/>
  <c r="V442" i="7"/>
  <c r="AB442" i="7"/>
  <c r="AC442" i="7"/>
  <c r="AD442" i="7"/>
  <c r="B443" i="7"/>
  <c r="C443" i="7"/>
  <c r="P443" i="7"/>
  <c r="Q443" i="7"/>
  <c r="R443" i="7"/>
  <c r="S443" i="7"/>
  <c r="T443" i="7"/>
  <c r="V443" i="7"/>
  <c r="AB443" i="7"/>
  <c r="AC443" i="7"/>
  <c r="AD443" i="7"/>
  <c r="B444" i="7"/>
  <c r="C444" i="7"/>
  <c r="P444" i="7"/>
  <c r="Q444" i="7"/>
  <c r="R444" i="7"/>
  <c r="S444" i="7"/>
  <c r="T444" i="7"/>
  <c r="V444" i="7"/>
  <c r="AB444" i="7"/>
  <c r="AC444" i="7"/>
  <c r="AD444" i="7"/>
  <c r="B445" i="7"/>
  <c r="C445" i="7"/>
  <c r="P445" i="7"/>
  <c r="Q445" i="7"/>
  <c r="R445" i="7"/>
  <c r="S445" i="7"/>
  <c r="T445" i="7"/>
  <c r="V445" i="7"/>
  <c r="AB445" i="7"/>
  <c r="AC445" i="7"/>
  <c r="AD445" i="7"/>
  <c r="B446" i="7"/>
  <c r="C446" i="7"/>
  <c r="P446" i="7"/>
  <c r="Q446" i="7"/>
  <c r="R446" i="7"/>
  <c r="S446" i="7"/>
  <c r="T446" i="7"/>
  <c r="V446" i="7"/>
  <c r="AB446" i="7"/>
  <c r="AC446" i="7"/>
  <c r="AD446" i="7"/>
  <c r="B447" i="7"/>
  <c r="C447" i="7"/>
  <c r="P447" i="7"/>
  <c r="Q447" i="7"/>
  <c r="R447" i="7"/>
  <c r="S447" i="7"/>
  <c r="T447" i="7"/>
  <c r="V447" i="7"/>
  <c r="AB447" i="7"/>
  <c r="AC447" i="7"/>
  <c r="AD447" i="7"/>
  <c r="B448" i="7"/>
  <c r="C448" i="7"/>
  <c r="P448" i="7"/>
  <c r="Q448" i="7"/>
  <c r="R448" i="7"/>
  <c r="S448" i="7"/>
  <c r="T448" i="7"/>
  <c r="V448" i="7"/>
  <c r="AB448" i="7"/>
  <c r="AC448" i="7"/>
  <c r="AD448" i="7"/>
  <c r="B449" i="7"/>
  <c r="C449" i="7"/>
  <c r="P449" i="7"/>
  <c r="Q449" i="7"/>
  <c r="R449" i="7"/>
  <c r="S449" i="7"/>
  <c r="T449" i="7"/>
  <c r="V449" i="7"/>
  <c r="AB449" i="7"/>
  <c r="AC449" i="7"/>
  <c r="AD449" i="7"/>
  <c r="B450" i="7"/>
  <c r="C450" i="7"/>
  <c r="P450" i="7"/>
  <c r="Q450" i="7"/>
  <c r="R450" i="7"/>
  <c r="S450" i="7"/>
  <c r="T450" i="7"/>
  <c r="V450" i="7"/>
  <c r="AB450" i="7"/>
  <c r="AC450" i="7"/>
  <c r="AD450" i="7"/>
  <c r="B451" i="7"/>
  <c r="C451" i="7"/>
  <c r="P451" i="7"/>
  <c r="Q451" i="7"/>
  <c r="R451" i="7"/>
  <c r="S451" i="7"/>
  <c r="T451" i="7"/>
  <c r="V451" i="7"/>
  <c r="AB451" i="7"/>
  <c r="AC451" i="7"/>
  <c r="AD451" i="7"/>
  <c r="B452" i="7"/>
  <c r="C452" i="7"/>
  <c r="P452" i="7"/>
  <c r="Q452" i="7"/>
  <c r="R452" i="7"/>
  <c r="S452" i="7"/>
  <c r="T452" i="7"/>
  <c r="V452" i="7"/>
  <c r="AB452" i="7"/>
  <c r="AC452" i="7"/>
  <c r="AD452" i="7"/>
  <c r="B453" i="7"/>
  <c r="C453" i="7"/>
  <c r="P453" i="7"/>
  <c r="Q453" i="7"/>
  <c r="R453" i="7"/>
  <c r="S453" i="7"/>
  <c r="T453" i="7"/>
  <c r="V453" i="7"/>
  <c r="AB453" i="7"/>
  <c r="AC453" i="7"/>
  <c r="AD453" i="7"/>
  <c r="B454" i="7"/>
  <c r="C454" i="7"/>
  <c r="P454" i="7"/>
  <c r="Q454" i="7"/>
  <c r="R454" i="7"/>
  <c r="S454" i="7"/>
  <c r="T454" i="7"/>
  <c r="V454" i="7"/>
  <c r="AB454" i="7"/>
  <c r="AC454" i="7"/>
  <c r="AD454" i="7"/>
  <c r="B455" i="7"/>
  <c r="C455" i="7"/>
  <c r="P455" i="7"/>
  <c r="Q455" i="7"/>
  <c r="R455" i="7"/>
  <c r="S455" i="7"/>
  <c r="T455" i="7"/>
  <c r="V455" i="7"/>
  <c r="AB455" i="7"/>
  <c r="AC455" i="7"/>
  <c r="AD455" i="7"/>
  <c r="B456" i="7"/>
  <c r="C456" i="7"/>
  <c r="P456" i="7"/>
  <c r="Q456" i="7"/>
  <c r="R456" i="7"/>
  <c r="S456" i="7"/>
  <c r="T456" i="7"/>
  <c r="V456" i="7"/>
  <c r="AB456" i="7"/>
  <c r="AC456" i="7"/>
  <c r="AD456" i="7"/>
  <c r="B457" i="7"/>
  <c r="C457" i="7"/>
  <c r="P457" i="7"/>
  <c r="Q457" i="7"/>
  <c r="R457" i="7"/>
  <c r="S457" i="7"/>
  <c r="T457" i="7"/>
  <c r="V457" i="7"/>
  <c r="AB457" i="7"/>
  <c r="AC457" i="7"/>
  <c r="AD457" i="7"/>
  <c r="B458" i="7"/>
  <c r="C458" i="7"/>
  <c r="P458" i="7"/>
  <c r="Q458" i="7"/>
  <c r="R458" i="7"/>
  <c r="S458" i="7"/>
  <c r="T458" i="7"/>
  <c r="V458" i="7"/>
  <c r="AB458" i="7"/>
  <c r="AC458" i="7"/>
  <c r="AD458" i="7"/>
  <c r="B459" i="7"/>
  <c r="C459" i="7"/>
  <c r="P459" i="7"/>
  <c r="Q459" i="7"/>
  <c r="R459" i="7"/>
  <c r="S459" i="7"/>
  <c r="T459" i="7"/>
  <c r="V459" i="7"/>
  <c r="AB459" i="7"/>
  <c r="AC459" i="7"/>
  <c r="AD459" i="7"/>
  <c r="B460" i="7"/>
  <c r="C460" i="7"/>
  <c r="P460" i="7"/>
  <c r="Q460" i="7"/>
  <c r="R460" i="7"/>
  <c r="S460" i="7"/>
  <c r="T460" i="7"/>
  <c r="V460" i="7"/>
  <c r="AB460" i="7"/>
  <c r="AC460" i="7"/>
  <c r="AD460" i="7"/>
  <c r="B461" i="7"/>
  <c r="C461" i="7"/>
  <c r="P461" i="7"/>
  <c r="Q461" i="7"/>
  <c r="R461" i="7"/>
  <c r="S461" i="7"/>
  <c r="T461" i="7"/>
  <c r="V461" i="7"/>
  <c r="AB461" i="7"/>
  <c r="AC461" i="7"/>
  <c r="AD461" i="7"/>
  <c r="B462" i="7"/>
  <c r="C462" i="7"/>
  <c r="P462" i="7"/>
  <c r="Q462" i="7"/>
  <c r="R462" i="7"/>
  <c r="S462" i="7"/>
  <c r="T462" i="7"/>
  <c r="V462" i="7"/>
  <c r="AB462" i="7"/>
  <c r="AC462" i="7"/>
  <c r="AD462" i="7"/>
  <c r="B463" i="7"/>
  <c r="C463" i="7"/>
  <c r="P463" i="7"/>
  <c r="Q463" i="7"/>
  <c r="R463" i="7"/>
  <c r="S463" i="7"/>
  <c r="T463" i="7"/>
  <c r="V463" i="7"/>
  <c r="AB463" i="7"/>
  <c r="AC463" i="7"/>
  <c r="AD463" i="7"/>
  <c r="B464" i="7"/>
  <c r="C464" i="7"/>
  <c r="P464" i="7"/>
  <c r="Q464" i="7"/>
  <c r="R464" i="7"/>
  <c r="S464" i="7"/>
  <c r="T464" i="7"/>
  <c r="V464" i="7"/>
  <c r="AB464" i="7"/>
  <c r="AC464" i="7"/>
  <c r="AD464" i="7"/>
  <c r="B465" i="7"/>
  <c r="C465" i="7"/>
  <c r="P465" i="7"/>
  <c r="Q465" i="7"/>
  <c r="R465" i="7"/>
  <c r="S465" i="7"/>
  <c r="T465" i="7"/>
  <c r="V465" i="7"/>
  <c r="AB465" i="7"/>
  <c r="AC465" i="7"/>
  <c r="AD465" i="7"/>
  <c r="B466" i="7"/>
  <c r="C466" i="7"/>
  <c r="P466" i="7"/>
  <c r="Q466" i="7"/>
  <c r="R466" i="7"/>
  <c r="S466" i="7"/>
  <c r="T466" i="7"/>
  <c r="V466" i="7"/>
  <c r="AB466" i="7"/>
  <c r="AC466" i="7"/>
  <c r="AD466" i="7"/>
  <c r="B467" i="7"/>
  <c r="C467" i="7"/>
  <c r="P467" i="7"/>
  <c r="Q467" i="7"/>
  <c r="R467" i="7"/>
  <c r="S467" i="7"/>
  <c r="T467" i="7"/>
  <c r="V467" i="7"/>
  <c r="AB467" i="7"/>
  <c r="AC467" i="7"/>
  <c r="AD467" i="7"/>
  <c r="B468" i="7"/>
  <c r="C468" i="7"/>
  <c r="P468" i="7"/>
  <c r="Q468" i="7"/>
  <c r="R468" i="7"/>
  <c r="S468" i="7"/>
  <c r="T468" i="7"/>
  <c r="V468" i="7"/>
  <c r="AB468" i="7"/>
  <c r="AC468" i="7"/>
  <c r="AD468" i="7"/>
  <c r="B469" i="7"/>
  <c r="C469" i="7"/>
  <c r="P469" i="7"/>
  <c r="Q469" i="7"/>
  <c r="R469" i="7"/>
  <c r="S469" i="7"/>
  <c r="T469" i="7"/>
  <c r="V469" i="7"/>
  <c r="AB469" i="7"/>
  <c r="AC469" i="7"/>
  <c r="AD469" i="7"/>
  <c r="B470" i="7"/>
  <c r="C470" i="7"/>
  <c r="P470" i="7"/>
  <c r="Q470" i="7"/>
  <c r="R470" i="7"/>
  <c r="S470" i="7"/>
  <c r="T470" i="7"/>
  <c r="V470" i="7"/>
  <c r="AB470" i="7"/>
  <c r="AC470" i="7"/>
  <c r="AD470" i="7"/>
  <c r="B471" i="7"/>
  <c r="C471" i="7"/>
  <c r="P471" i="7"/>
  <c r="Q471" i="7"/>
  <c r="R471" i="7"/>
  <c r="S471" i="7"/>
  <c r="T471" i="7"/>
  <c r="V471" i="7"/>
  <c r="AB471" i="7"/>
  <c r="AC471" i="7"/>
  <c r="AD471" i="7"/>
  <c r="B472" i="7"/>
  <c r="C472" i="7"/>
  <c r="P472" i="7"/>
  <c r="Q472" i="7"/>
  <c r="R472" i="7"/>
  <c r="S472" i="7"/>
  <c r="T472" i="7"/>
  <c r="V472" i="7"/>
  <c r="AB472" i="7"/>
  <c r="AC472" i="7"/>
  <c r="AD472" i="7"/>
  <c r="B473" i="7"/>
  <c r="C473" i="7"/>
  <c r="P473" i="7"/>
  <c r="Q473" i="7"/>
  <c r="R473" i="7"/>
  <c r="S473" i="7"/>
  <c r="T473" i="7"/>
  <c r="V473" i="7"/>
  <c r="AB473" i="7"/>
  <c r="AC473" i="7"/>
  <c r="AD473" i="7"/>
  <c r="B474" i="7"/>
  <c r="C474" i="7"/>
  <c r="P474" i="7"/>
  <c r="Q474" i="7"/>
  <c r="R474" i="7"/>
  <c r="S474" i="7"/>
  <c r="T474" i="7"/>
  <c r="V474" i="7"/>
  <c r="AB474" i="7"/>
  <c r="AC474" i="7"/>
  <c r="AD474" i="7"/>
  <c r="B475" i="7"/>
  <c r="C475" i="7"/>
  <c r="P475" i="7"/>
  <c r="Q475" i="7"/>
  <c r="R475" i="7"/>
  <c r="S475" i="7"/>
  <c r="T475" i="7"/>
  <c r="V475" i="7"/>
  <c r="AB475" i="7"/>
  <c r="AC475" i="7"/>
  <c r="AD475" i="7"/>
  <c r="B476" i="7"/>
  <c r="C476" i="7"/>
  <c r="P476" i="7"/>
  <c r="Q476" i="7"/>
  <c r="R476" i="7"/>
  <c r="S476" i="7"/>
  <c r="T476" i="7"/>
  <c r="V476" i="7"/>
  <c r="AB476" i="7"/>
  <c r="AC476" i="7"/>
  <c r="AD476" i="7"/>
  <c r="B477" i="7"/>
  <c r="C477" i="7"/>
  <c r="P477" i="7"/>
  <c r="Q477" i="7"/>
  <c r="R477" i="7"/>
  <c r="S477" i="7"/>
  <c r="T477" i="7"/>
  <c r="V477" i="7"/>
  <c r="AB477" i="7"/>
  <c r="AC477" i="7"/>
  <c r="AD477" i="7"/>
  <c r="B478" i="7"/>
  <c r="C478" i="7"/>
  <c r="P478" i="7"/>
  <c r="Q478" i="7"/>
  <c r="R478" i="7"/>
  <c r="S478" i="7"/>
  <c r="T478" i="7"/>
  <c r="V478" i="7"/>
  <c r="AB478" i="7"/>
  <c r="AC478" i="7"/>
  <c r="AD478" i="7"/>
  <c r="B479" i="7"/>
  <c r="C479" i="7"/>
  <c r="P479" i="7"/>
  <c r="Q479" i="7"/>
  <c r="R479" i="7"/>
  <c r="S479" i="7"/>
  <c r="T479" i="7"/>
  <c r="V479" i="7"/>
  <c r="AB479" i="7"/>
  <c r="AC479" i="7"/>
  <c r="AD479" i="7"/>
  <c r="B480" i="7"/>
  <c r="C480" i="7"/>
  <c r="P480" i="7"/>
  <c r="Q480" i="7"/>
  <c r="R480" i="7"/>
  <c r="S480" i="7"/>
  <c r="T480" i="7"/>
  <c r="V480" i="7"/>
  <c r="AB480" i="7"/>
  <c r="AC480" i="7"/>
  <c r="AD480" i="7"/>
  <c r="B481" i="7"/>
  <c r="C481" i="7"/>
  <c r="P481" i="7"/>
  <c r="Q481" i="7"/>
  <c r="R481" i="7"/>
  <c r="S481" i="7"/>
  <c r="T481" i="7"/>
  <c r="V481" i="7"/>
  <c r="AB481" i="7"/>
  <c r="AC481" i="7"/>
  <c r="AD481" i="7"/>
  <c r="B482" i="7"/>
  <c r="C482" i="7"/>
  <c r="P482" i="7"/>
  <c r="Q482" i="7"/>
  <c r="R482" i="7"/>
  <c r="S482" i="7"/>
  <c r="T482" i="7"/>
  <c r="V482" i="7"/>
  <c r="AB482" i="7"/>
  <c r="AC482" i="7"/>
  <c r="AD482" i="7"/>
  <c r="B483" i="7"/>
  <c r="C483" i="7"/>
  <c r="P483" i="7"/>
  <c r="Q483" i="7"/>
  <c r="R483" i="7"/>
  <c r="S483" i="7"/>
  <c r="T483" i="7"/>
  <c r="V483" i="7"/>
  <c r="AB483" i="7"/>
  <c r="AC483" i="7"/>
  <c r="AD483" i="7"/>
  <c r="B484" i="7"/>
  <c r="C484" i="7"/>
  <c r="P484" i="7"/>
  <c r="Q484" i="7"/>
  <c r="R484" i="7"/>
  <c r="S484" i="7"/>
  <c r="T484" i="7"/>
  <c r="V484" i="7"/>
  <c r="AB484" i="7"/>
  <c r="AC484" i="7"/>
  <c r="AD484" i="7"/>
  <c r="B485" i="7"/>
  <c r="C485" i="7"/>
  <c r="P485" i="7"/>
  <c r="Q485" i="7"/>
  <c r="R485" i="7"/>
  <c r="S485" i="7"/>
  <c r="T485" i="7"/>
  <c r="V485" i="7"/>
  <c r="AB485" i="7"/>
  <c r="AC485" i="7"/>
  <c r="AD485" i="7"/>
  <c r="B486" i="7"/>
  <c r="C486" i="7"/>
  <c r="P486" i="7"/>
  <c r="Q486" i="7"/>
  <c r="R486" i="7"/>
  <c r="S486" i="7"/>
  <c r="T486" i="7"/>
  <c r="V486" i="7"/>
  <c r="AB486" i="7"/>
  <c r="AC486" i="7"/>
  <c r="AD486" i="7"/>
  <c r="B487" i="7"/>
  <c r="C487" i="7"/>
  <c r="P487" i="7"/>
  <c r="Q487" i="7"/>
  <c r="R487" i="7"/>
  <c r="S487" i="7"/>
  <c r="T487" i="7"/>
  <c r="V487" i="7"/>
  <c r="AB487" i="7"/>
  <c r="AC487" i="7"/>
  <c r="AD487" i="7"/>
  <c r="B488" i="7"/>
  <c r="C488" i="7"/>
  <c r="P488" i="7"/>
  <c r="Q488" i="7"/>
  <c r="R488" i="7"/>
  <c r="S488" i="7"/>
  <c r="T488" i="7"/>
  <c r="V488" i="7"/>
  <c r="AB488" i="7"/>
  <c r="AC488" i="7"/>
  <c r="AD488" i="7"/>
  <c r="B489" i="7"/>
  <c r="C489" i="7"/>
  <c r="P489" i="7"/>
  <c r="Q489" i="7"/>
  <c r="R489" i="7"/>
  <c r="S489" i="7"/>
  <c r="T489" i="7"/>
  <c r="V489" i="7"/>
  <c r="AB489" i="7"/>
  <c r="AC489" i="7"/>
  <c r="AD489" i="7"/>
  <c r="B490" i="7"/>
  <c r="C490" i="7"/>
  <c r="P490" i="7"/>
  <c r="Q490" i="7"/>
  <c r="R490" i="7"/>
  <c r="S490" i="7"/>
  <c r="T490" i="7"/>
  <c r="V490" i="7"/>
  <c r="AB490" i="7"/>
  <c r="AC490" i="7"/>
  <c r="AD490" i="7"/>
  <c r="B491" i="7"/>
  <c r="C491" i="7"/>
  <c r="P491" i="7"/>
  <c r="Q491" i="7"/>
  <c r="R491" i="7"/>
  <c r="S491" i="7"/>
  <c r="T491" i="7"/>
  <c r="V491" i="7"/>
  <c r="AB491" i="7"/>
  <c r="AC491" i="7"/>
  <c r="AD491" i="7"/>
  <c r="B492" i="7"/>
  <c r="C492" i="7"/>
  <c r="P492" i="7"/>
  <c r="Q492" i="7"/>
  <c r="R492" i="7"/>
  <c r="S492" i="7"/>
  <c r="T492" i="7"/>
  <c r="V492" i="7"/>
  <c r="AB492" i="7"/>
  <c r="AC492" i="7"/>
  <c r="AD492" i="7"/>
  <c r="B493" i="7"/>
  <c r="C493" i="7"/>
  <c r="P493" i="7"/>
  <c r="Q493" i="7"/>
  <c r="R493" i="7"/>
  <c r="S493" i="7"/>
  <c r="T493" i="7"/>
  <c r="V493" i="7"/>
  <c r="AB493" i="7"/>
  <c r="AC493" i="7"/>
  <c r="AD493" i="7"/>
  <c r="B494" i="7"/>
  <c r="C494" i="7"/>
  <c r="P494" i="7"/>
  <c r="Q494" i="7"/>
  <c r="R494" i="7"/>
  <c r="S494" i="7"/>
  <c r="T494" i="7"/>
  <c r="V494" i="7"/>
  <c r="AB494" i="7"/>
  <c r="AC494" i="7"/>
  <c r="AD494" i="7"/>
  <c r="B495" i="7"/>
  <c r="C495" i="7"/>
  <c r="P495" i="7"/>
  <c r="Q495" i="7"/>
  <c r="R495" i="7"/>
  <c r="S495" i="7"/>
  <c r="T495" i="7"/>
  <c r="V495" i="7"/>
  <c r="AB495" i="7"/>
  <c r="AC495" i="7"/>
  <c r="AD495" i="7"/>
  <c r="B496" i="7"/>
  <c r="C496" i="7"/>
  <c r="P496" i="7"/>
  <c r="Q496" i="7"/>
  <c r="R496" i="7"/>
  <c r="S496" i="7"/>
  <c r="T496" i="7"/>
  <c r="V496" i="7"/>
  <c r="AB496" i="7"/>
  <c r="AC496" i="7"/>
  <c r="AD496" i="7"/>
  <c r="B497" i="7"/>
  <c r="C497" i="7"/>
  <c r="P497" i="7"/>
  <c r="Q497" i="7"/>
  <c r="R497" i="7"/>
  <c r="S497" i="7"/>
  <c r="T497" i="7"/>
  <c r="V497" i="7"/>
  <c r="AB497" i="7"/>
  <c r="AC497" i="7"/>
  <c r="AD497" i="7"/>
  <c r="B498" i="7"/>
  <c r="C498" i="7"/>
  <c r="P498" i="7"/>
  <c r="Q498" i="7"/>
  <c r="R498" i="7"/>
  <c r="S498" i="7"/>
  <c r="T498" i="7"/>
  <c r="V498" i="7"/>
  <c r="AB498" i="7"/>
  <c r="AC498" i="7"/>
  <c r="AD498" i="7"/>
  <c r="B499" i="7"/>
  <c r="C499" i="7"/>
  <c r="P499" i="7"/>
  <c r="Q499" i="7"/>
  <c r="R499" i="7"/>
  <c r="S499" i="7"/>
  <c r="T499" i="7"/>
  <c r="V499" i="7"/>
  <c r="AB499" i="7"/>
  <c r="AC499" i="7"/>
  <c r="AD499" i="7"/>
  <c r="B500" i="7"/>
  <c r="C500" i="7"/>
  <c r="P500" i="7"/>
  <c r="Q500" i="7"/>
  <c r="R500" i="7"/>
  <c r="S500" i="7"/>
  <c r="T500" i="7"/>
  <c r="V500" i="7"/>
  <c r="AB500" i="7"/>
  <c r="AC500" i="7"/>
  <c r="AD500" i="7"/>
  <c r="B501" i="7"/>
  <c r="C501" i="7"/>
  <c r="P501" i="7"/>
  <c r="Q501" i="7"/>
  <c r="R501" i="7"/>
  <c r="S501" i="7"/>
  <c r="T501" i="7"/>
  <c r="V501" i="7"/>
  <c r="AB501" i="7"/>
  <c r="AC501" i="7"/>
  <c r="AD501" i="7"/>
  <c r="B502" i="7"/>
  <c r="C502" i="7"/>
  <c r="P502" i="7"/>
  <c r="Q502" i="7"/>
  <c r="R502" i="7"/>
  <c r="S502" i="7"/>
  <c r="T502" i="7"/>
  <c r="V502" i="7"/>
  <c r="AB502" i="7"/>
  <c r="AC502" i="7"/>
  <c r="AD502" i="7"/>
  <c r="B503" i="7"/>
  <c r="C503" i="7"/>
  <c r="P503" i="7"/>
  <c r="Q503" i="7"/>
  <c r="R503" i="7"/>
  <c r="S503" i="7"/>
  <c r="T503" i="7"/>
  <c r="V503" i="7"/>
  <c r="AB503" i="7"/>
  <c r="AC503" i="7"/>
  <c r="AD503" i="7"/>
  <c r="B504" i="7"/>
  <c r="C504" i="7"/>
  <c r="P504" i="7"/>
  <c r="Q504" i="7"/>
  <c r="R504" i="7"/>
  <c r="S504" i="7"/>
  <c r="T504" i="7"/>
  <c r="V504" i="7"/>
  <c r="AB504" i="7"/>
  <c r="AC504" i="7"/>
  <c r="AD504" i="7"/>
  <c r="B505" i="7"/>
  <c r="C505" i="7"/>
  <c r="P505" i="7"/>
  <c r="Q505" i="7"/>
  <c r="R505" i="7"/>
  <c r="S505" i="7"/>
  <c r="T505" i="7"/>
  <c r="V505" i="7"/>
  <c r="AB505" i="7"/>
  <c r="AC505" i="7"/>
  <c r="AD505" i="7"/>
  <c r="B506" i="7"/>
  <c r="C506" i="7"/>
  <c r="P506" i="7"/>
  <c r="Q506" i="7"/>
  <c r="R506" i="7"/>
  <c r="S506" i="7"/>
  <c r="T506" i="7"/>
  <c r="V506" i="7"/>
  <c r="AB506" i="7"/>
  <c r="AC506" i="7"/>
  <c r="AD506" i="7"/>
  <c r="B507" i="7"/>
  <c r="C507" i="7"/>
  <c r="P507" i="7"/>
  <c r="Q507" i="7"/>
  <c r="R507" i="7"/>
  <c r="S507" i="7"/>
  <c r="T507" i="7"/>
  <c r="V507" i="7"/>
  <c r="AB507" i="7"/>
  <c r="AC507" i="7"/>
  <c r="AD507" i="7"/>
  <c r="B508" i="7"/>
  <c r="C508" i="7"/>
  <c r="P508" i="7"/>
  <c r="Q508" i="7"/>
  <c r="R508" i="7"/>
  <c r="S508" i="7"/>
  <c r="T508" i="7"/>
  <c r="V508" i="7"/>
  <c r="AB508" i="7"/>
  <c r="AC508" i="7"/>
  <c r="AD508" i="7"/>
  <c r="B509" i="7"/>
  <c r="C509" i="7"/>
  <c r="P509" i="7"/>
  <c r="Q509" i="7"/>
  <c r="R509" i="7"/>
  <c r="S509" i="7"/>
  <c r="T509" i="7"/>
  <c r="V509" i="7"/>
  <c r="AB509" i="7"/>
  <c r="AC509" i="7"/>
  <c r="AD509" i="7"/>
  <c r="B510" i="7"/>
  <c r="C510" i="7"/>
  <c r="P510" i="7"/>
  <c r="Q510" i="7"/>
  <c r="R510" i="7"/>
  <c r="S510" i="7"/>
  <c r="T510" i="7"/>
  <c r="V510" i="7"/>
  <c r="AB510" i="7"/>
  <c r="AC510" i="7"/>
  <c r="AD510" i="7"/>
  <c r="B511" i="7"/>
  <c r="C511" i="7"/>
  <c r="P511" i="7"/>
  <c r="Q511" i="7"/>
  <c r="R511" i="7"/>
  <c r="S511" i="7"/>
  <c r="T511" i="7"/>
  <c r="V511" i="7"/>
  <c r="AB511" i="7"/>
  <c r="AC511" i="7"/>
  <c r="AD511" i="7"/>
  <c r="B512" i="7"/>
  <c r="C512" i="7"/>
  <c r="P512" i="7"/>
  <c r="Q512" i="7"/>
  <c r="R512" i="7"/>
  <c r="S512" i="7"/>
  <c r="T512" i="7"/>
  <c r="V512" i="7"/>
  <c r="AB512" i="7"/>
  <c r="AC512" i="7"/>
  <c r="AD512" i="7"/>
  <c r="B513" i="7"/>
  <c r="C513" i="7"/>
  <c r="P513" i="7"/>
  <c r="Q513" i="7"/>
  <c r="R513" i="7"/>
  <c r="S513" i="7"/>
  <c r="T513" i="7"/>
  <c r="V513" i="7"/>
  <c r="AB513" i="7"/>
  <c r="AC513" i="7"/>
  <c r="AD513" i="7"/>
  <c r="B514" i="7"/>
  <c r="C514" i="7"/>
  <c r="P514" i="7"/>
  <c r="Q514" i="7"/>
  <c r="R514" i="7"/>
  <c r="S514" i="7"/>
  <c r="T514" i="7"/>
  <c r="V514" i="7"/>
  <c r="AB514" i="7"/>
  <c r="AC514" i="7"/>
  <c r="AD514" i="7"/>
  <c r="B515" i="7"/>
  <c r="C515" i="7"/>
  <c r="P515" i="7"/>
  <c r="Q515" i="7"/>
  <c r="R515" i="7"/>
  <c r="S515" i="7"/>
  <c r="T515" i="7"/>
  <c r="V515" i="7"/>
  <c r="AB515" i="7"/>
  <c r="AC515" i="7"/>
  <c r="AD515" i="7"/>
  <c r="B516" i="7"/>
  <c r="C516" i="7"/>
  <c r="P516" i="7"/>
  <c r="Q516" i="7"/>
  <c r="R516" i="7"/>
  <c r="S516" i="7"/>
  <c r="T516" i="7"/>
  <c r="V516" i="7"/>
  <c r="AB516" i="7"/>
  <c r="AC516" i="7"/>
  <c r="AD516" i="7"/>
  <c r="B517" i="7"/>
  <c r="C517" i="7"/>
  <c r="P517" i="7"/>
  <c r="Q517" i="7"/>
  <c r="R517" i="7"/>
  <c r="S517" i="7"/>
  <c r="T517" i="7"/>
  <c r="V517" i="7"/>
  <c r="AB517" i="7"/>
  <c r="AC517" i="7"/>
  <c r="AD517" i="7"/>
  <c r="B518" i="7"/>
  <c r="C518" i="7"/>
  <c r="P518" i="7"/>
  <c r="Q518" i="7"/>
  <c r="R518" i="7"/>
  <c r="S518" i="7"/>
  <c r="T518" i="7"/>
  <c r="V518" i="7"/>
  <c r="AB518" i="7"/>
  <c r="AC518" i="7"/>
  <c r="AD518" i="7"/>
  <c r="B519" i="7"/>
  <c r="C519" i="7"/>
  <c r="P519" i="7"/>
  <c r="Q519" i="7"/>
  <c r="R519" i="7"/>
  <c r="S519" i="7"/>
  <c r="T519" i="7"/>
  <c r="V519" i="7"/>
  <c r="AB519" i="7"/>
  <c r="AC519" i="7"/>
  <c r="AD519" i="7"/>
  <c r="B520" i="7"/>
  <c r="C520" i="7"/>
  <c r="P520" i="7"/>
  <c r="Q520" i="7"/>
  <c r="R520" i="7"/>
  <c r="S520" i="7"/>
  <c r="T520" i="7"/>
  <c r="V520" i="7"/>
  <c r="AB520" i="7"/>
  <c r="AC520" i="7"/>
  <c r="AD520" i="7"/>
  <c r="B521" i="7"/>
  <c r="C521" i="7"/>
  <c r="P521" i="7"/>
  <c r="Q521" i="7"/>
  <c r="R521" i="7"/>
  <c r="S521" i="7"/>
  <c r="T521" i="7"/>
  <c r="V521" i="7"/>
  <c r="AB521" i="7"/>
  <c r="AC521" i="7"/>
  <c r="AD521" i="7"/>
  <c r="B522" i="7"/>
  <c r="C522" i="7"/>
  <c r="P522" i="7"/>
  <c r="Q522" i="7"/>
  <c r="R522" i="7"/>
  <c r="S522" i="7"/>
  <c r="T522" i="7"/>
  <c r="V522" i="7"/>
  <c r="AB522" i="7"/>
  <c r="AC522" i="7"/>
  <c r="AD522" i="7"/>
  <c r="B523" i="7"/>
  <c r="C523" i="7"/>
  <c r="P523" i="7"/>
  <c r="Q523" i="7"/>
  <c r="R523" i="7"/>
  <c r="S523" i="7"/>
  <c r="T523" i="7"/>
  <c r="V523" i="7"/>
  <c r="AB523" i="7"/>
  <c r="AC523" i="7"/>
  <c r="AD523" i="7"/>
  <c r="B524" i="7"/>
  <c r="C524" i="7"/>
  <c r="P524" i="7"/>
  <c r="Q524" i="7"/>
  <c r="R524" i="7"/>
  <c r="S524" i="7"/>
  <c r="T524" i="7"/>
  <c r="V524" i="7"/>
  <c r="AB524" i="7"/>
  <c r="AC524" i="7"/>
  <c r="AD524" i="7"/>
  <c r="B525" i="7"/>
  <c r="C525" i="7"/>
  <c r="P525" i="7"/>
  <c r="Q525" i="7"/>
  <c r="R525" i="7"/>
  <c r="S525" i="7"/>
  <c r="T525" i="7"/>
  <c r="V525" i="7"/>
  <c r="AB525" i="7"/>
  <c r="AC525" i="7"/>
  <c r="AD525" i="7"/>
  <c r="B526" i="7"/>
  <c r="C526" i="7"/>
  <c r="P526" i="7"/>
  <c r="Q526" i="7"/>
  <c r="R526" i="7"/>
  <c r="S526" i="7"/>
  <c r="T526" i="7"/>
  <c r="V526" i="7"/>
  <c r="AB526" i="7"/>
  <c r="AC526" i="7"/>
  <c r="AD526" i="7"/>
  <c r="B527" i="7"/>
  <c r="C527" i="7"/>
  <c r="P527" i="7"/>
  <c r="Q527" i="7"/>
  <c r="R527" i="7"/>
  <c r="S527" i="7"/>
  <c r="T527" i="7"/>
  <c r="V527" i="7"/>
  <c r="AB527" i="7"/>
  <c r="AC527" i="7"/>
  <c r="AD527" i="7"/>
  <c r="B528" i="7"/>
  <c r="C528" i="7"/>
  <c r="P528" i="7"/>
  <c r="Q528" i="7"/>
  <c r="R528" i="7"/>
  <c r="S528" i="7"/>
  <c r="T528" i="7"/>
  <c r="V528" i="7"/>
  <c r="AB528" i="7"/>
  <c r="AC528" i="7"/>
  <c r="AD528" i="7"/>
  <c r="B529" i="7"/>
  <c r="C529" i="7"/>
  <c r="P529" i="7"/>
  <c r="Q529" i="7"/>
  <c r="R529" i="7"/>
  <c r="S529" i="7"/>
  <c r="T529" i="7"/>
  <c r="V529" i="7"/>
  <c r="AB529" i="7"/>
  <c r="AC529" i="7"/>
  <c r="AD529" i="7"/>
  <c r="B530" i="7"/>
  <c r="C530" i="7"/>
  <c r="P530" i="7"/>
  <c r="Q530" i="7"/>
  <c r="R530" i="7"/>
  <c r="S530" i="7"/>
  <c r="T530" i="7"/>
  <c r="V530" i="7"/>
  <c r="AB530" i="7"/>
  <c r="AC530" i="7"/>
  <c r="AD530" i="7"/>
  <c r="B531" i="7"/>
  <c r="C531" i="7"/>
  <c r="P531" i="7"/>
  <c r="Q531" i="7"/>
  <c r="R531" i="7"/>
  <c r="S531" i="7"/>
  <c r="T531" i="7"/>
  <c r="V531" i="7"/>
  <c r="AB531" i="7"/>
  <c r="AC531" i="7"/>
  <c r="AD531" i="7"/>
  <c r="B532" i="7"/>
  <c r="C532" i="7"/>
  <c r="P532" i="7"/>
  <c r="Q532" i="7"/>
  <c r="R532" i="7"/>
  <c r="S532" i="7"/>
  <c r="T532" i="7"/>
  <c r="V532" i="7"/>
  <c r="AB532" i="7"/>
  <c r="AC532" i="7"/>
  <c r="AD532" i="7"/>
  <c r="B533" i="7"/>
  <c r="C533" i="7"/>
  <c r="P533" i="7"/>
  <c r="Q533" i="7"/>
  <c r="R533" i="7"/>
  <c r="S533" i="7"/>
  <c r="T533" i="7"/>
  <c r="V533" i="7"/>
  <c r="AB533" i="7"/>
  <c r="AC533" i="7"/>
  <c r="AD533" i="7"/>
  <c r="B534" i="7"/>
  <c r="C534" i="7"/>
  <c r="P534" i="7"/>
  <c r="Q534" i="7"/>
  <c r="R534" i="7"/>
  <c r="S534" i="7"/>
  <c r="T534" i="7"/>
  <c r="V534" i="7"/>
  <c r="AB534" i="7"/>
  <c r="AC534" i="7"/>
  <c r="AD534" i="7"/>
  <c r="B535" i="7"/>
  <c r="C535" i="7"/>
  <c r="P535" i="7"/>
  <c r="Q535" i="7"/>
  <c r="R535" i="7"/>
  <c r="S535" i="7"/>
  <c r="T535" i="7"/>
  <c r="V535" i="7"/>
  <c r="AB535" i="7"/>
  <c r="AC535" i="7"/>
  <c r="AD535" i="7"/>
  <c r="B536" i="7"/>
  <c r="C536" i="7"/>
  <c r="P536" i="7"/>
  <c r="Q536" i="7"/>
  <c r="R536" i="7"/>
  <c r="S536" i="7"/>
  <c r="T536" i="7"/>
  <c r="V536" i="7"/>
  <c r="AB536" i="7"/>
  <c r="AC536" i="7"/>
  <c r="AD536" i="7"/>
  <c r="B537" i="7"/>
  <c r="C537" i="7"/>
  <c r="P537" i="7"/>
  <c r="Q537" i="7"/>
  <c r="R537" i="7"/>
  <c r="S537" i="7"/>
  <c r="T537" i="7"/>
  <c r="V537" i="7"/>
  <c r="AB537" i="7"/>
  <c r="AC537" i="7"/>
  <c r="AD537" i="7"/>
  <c r="B538" i="7"/>
  <c r="C538" i="7"/>
  <c r="P538" i="7"/>
  <c r="Q538" i="7"/>
  <c r="R538" i="7"/>
  <c r="S538" i="7"/>
  <c r="T538" i="7"/>
  <c r="V538" i="7"/>
  <c r="AB538" i="7"/>
  <c r="AC538" i="7"/>
  <c r="AD538" i="7"/>
  <c r="B539" i="7"/>
  <c r="C539" i="7"/>
  <c r="P539" i="7"/>
  <c r="Q539" i="7"/>
  <c r="R539" i="7"/>
  <c r="S539" i="7"/>
  <c r="T539" i="7"/>
  <c r="V539" i="7"/>
  <c r="AB539" i="7"/>
  <c r="AC539" i="7"/>
  <c r="AD539" i="7"/>
  <c r="B540" i="7"/>
  <c r="C540" i="7"/>
  <c r="P540" i="7"/>
  <c r="Q540" i="7"/>
  <c r="R540" i="7"/>
  <c r="S540" i="7"/>
  <c r="T540" i="7"/>
  <c r="V540" i="7"/>
  <c r="AB540" i="7"/>
  <c r="AC540" i="7"/>
  <c r="AD540" i="7"/>
  <c r="B541" i="7"/>
  <c r="C541" i="7"/>
  <c r="P541" i="7"/>
  <c r="Q541" i="7"/>
  <c r="R541" i="7"/>
  <c r="S541" i="7"/>
  <c r="T541" i="7"/>
  <c r="V541" i="7"/>
  <c r="AB541" i="7"/>
  <c r="AC541" i="7"/>
  <c r="AD541" i="7"/>
  <c r="B542" i="7"/>
  <c r="C542" i="7"/>
  <c r="P542" i="7"/>
  <c r="Q542" i="7"/>
  <c r="R542" i="7"/>
  <c r="S542" i="7"/>
  <c r="T542" i="7"/>
  <c r="V542" i="7"/>
  <c r="AB542" i="7"/>
  <c r="AC542" i="7"/>
  <c r="AD542" i="7"/>
  <c r="B543" i="7"/>
  <c r="C543" i="7"/>
  <c r="P543" i="7"/>
  <c r="Q543" i="7"/>
  <c r="R543" i="7"/>
  <c r="S543" i="7"/>
  <c r="T543" i="7"/>
  <c r="V543" i="7"/>
  <c r="AB543" i="7"/>
  <c r="AC543" i="7"/>
  <c r="AD543" i="7"/>
  <c r="B544" i="7"/>
  <c r="C544" i="7"/>
  <c r="P544" i="7"/>
  <c r="Q544" i="7"/>
  <c r="R544" i="7"/>
  <c r="S544" i="7"/>
  <c r="T544" i="7"/>
  <c r="V544" i="7"/>
  <c r="AB544" i="7"/>
  <c r="AC544" i="7"/>
  <c r="AD544" i="7"/>
  <c r="B545" i="7"/>
  <c r="C545" i="7"/>
  <c r="P545" i="7"/>
  <c r="Q545" i="7"/>
  <c r="R545" i="7"/>
  <c r="S545" i="7"/>
  <c r="T545" i="7"/>
  <c r="V545" i="7"/>
  <c r="AB545" i="7"/>
  <c r="AC545" i="7"/>
  <c r="AD545" i="7"/>
  <c r="B546" i="7"/>
  <c r="C546" i="7"/>
  <c r="P546" i="7"/>
  <c r="Q546" i="7"/>
  <c r="R546" i="7"/>
  <c r="S546" i="7"/>
  <c r="T546" i="7"/>
  <c r="V546" i="7"/>
  <c r="AB546" i="7"/>
  <c r="AC546" i="7"/>
  <c r="AD546" i="7"/>
  <c r="B547" i="7"/>
  <c r="C547" i="7"/>
  <c r="P547" i="7"/>
  <c r="Q547" i="7"/>
  <c r="R547" i="7"/>
  <c r="S547" i="7"/>
  <c r="T547" i="7"/>
  <c r="V547" i="7"/>
  <c r="AB547" i="7"/>
  <c r="AC547" i="7"/>
  <c r="AD547" i="7"/>
  <c r="B548" i="7"/>
  <c r="C548" i="7"/>
  <c r="P548" i="7"/>
  <c r="Q548" i="7"/>
  <c r="R548" i="7"/>
  <c r="S548" i="7"/>
  <c r="T548" i="7"/>
  <c r="V548" i="7"/>
  <c r="AB548" i="7"/>
  <c r="AC548" i="7"/>
  <c r="AD548" i="7"/>
  <c r="B549" i="7"/>
  <c r="C549" i="7"/>
  <c r="P549" i="7"/>
  <c r="Q549" i="7"/>
  <c r="R549" i="7"/>
  <c r="S549" i="7"/>
  <c r="T549" i="7"/>
  <c r="V549" i="7"/>
  <c r="AB549" i="7"/>
  <c r="AC549" i="7"/>
  <c r="AD549" i="7"/>
  <c r="B550" i="7"/>
  <c r="C550" i="7"/>
  <c r="P550" i="7"/>
  <c r="Q550" i="7"/>
  <c r="R550" i="7"/>
  <c r="S550" i="7"/>
  <c r="T550" i="7"/>
  <c r="V550" i="7"/>
  <c r="AB550" i="7"/>
  <c r="AC550" i="7"/>
  <c r="AD550" i="7"/>
  <c r="B551" i="7"/>
  <c r="C551" i="7"/>
  <c r="P551" i="7"/>
  <c r="Q551" i="7"/>
  <c r="R551" i="7"/>
  <c r="S551" i="7"/>
  <c r="T551" i="7"/>
  <c r="V551" i="7"/>
  <c r="AB551" i="7"/>
  <c r="AC551" i="7"/>
  <c r="AD551" i="7"/>
  <c r="B552" i="7"/>
  <c r="C552" i="7"/>
  <c r="P552" i="7"/>
  <c r="Q552" i="7"/>
  <c r="R552" i="7"/>
  <c r="S552" i="7"/>
  <c r="T552" i="7"/>
  <c r="V552" i="7"/>
  <c r="AB552" i="7"/>
  <c r="AC552" i="7"/>
  <c r="AD552" i="7"/>
  <c r="B553" i="7"/>
  <c r="C553" i="7"/>
  <c r="P553" i="7"/>
  <c r="Q553" i="7"/>
  <c r="R553" i="7"/>
  <c r="S553" i="7"/>
  <c r="T553" i="7"/>
  <c r="V553" i="7"/>
  <c r="AB553" i="7"/>
  <c r="AC553" i="7"/>
  <c r="AD553" i="7"/>
  <c r="B554" i="7"/>
  <c r="C554" i="7"/>
  <c r="P554" i="7"/>
  <c r="Q554" i="7"/>
  <c r="R554" i="7"/>
  <c r="S554" i="7"/>
  <c r="T554" i="7"/>
  <c r="V554" i="7"/>
  <c r="AB554" i="7"/>
  <c r="AC554" i="7"/>
  <c r="AD554" i="7"/>
  <c r="B555" i="7"/>
  <c r="C555" i="7"/>
  <c r="P555" i="7"/>
  <c r="Q555" i="7"/>
  <c r="R555" i="7"/>
  <c r="S555" i="7"/>
  <c r="T555" i="7"/>
  <c r="V555" i="7"/>
  <c r="AB555" i="7"/>
  <c r="AC555" i="7"/>
  <c r="AD555" i="7"/>
  <c r="B556" i="7"/>
  <c r="C556" i="7"/>
  <c r="P556" i="7"/>
  <c r="Q556" i="7"/>
  <c r="R556" i="7"/>
  <c r="S556" i="7"/>
  <c r="T556" i="7"/>
  <c r="V556" i="7"/>
  <c r="AB556" i="7"/>
  <c r="AC556" i="7"/>
  <c r="AD556" i="7"/>
  <c r="B557" i="7"/>
  <c r="C557" i="7"/>
  <c r="P557" i="7"/>
  <c r="Q557" i="7"/>
  <c r="R557" i="7"/>
  <c r="S557" i="7"/>
  <c r="T557" i="7"/>
  <c r="V557" i="7"/>
  <c r="AB557" i="7"/>
  <c r="AC557" i="7"/>
  <c r="AD557" i="7"/>
  <c r="B558" i="7"/>
  <c r="C558" i="7"/>
  <c r="P558" i="7"/>
  <c r="Q558" i="7"/>
  <c r="R558" i="7"/>
  <c r="S558" i="7"/>
  <c r="T558" i="7"/>
  <c r="V558" i="7"/>
  <c r="AB558" i="7"/>
  <c r="AC558" i="7"/>
  <c r="AD558" i="7"/>
  <c r="B559" i="7"/>
  <c r="C559" i="7"/>
  <c r="P559" i="7"/>
  <c r="Q559" i="7"/>
  <c r="R559" i="7"/>
  <c r="S559" i="7"/>
  <c r="T559" i="7"/>
  <c r="V559" i="7"/>
  <c r="AB559" i="7"/>
  <c r="AC559" i="7"/>
  <c r="AD559" i="7"/>
  <c r="B560" i="7"/>
  <c r="C560" i="7"/>
  <c r="P560" i="7"/>
  <c r="Q560" i="7"/>
  <c r="R560" i="7"/>
  <c r="S560" i="7"/>
  <c r="T560" i="7"/>
  <c r="V560" i="7"/>
  <c r="AB560" i="7"/>
  <c r="AC560" i="7"/>
  <c r="AD560" i="7"/>
  <c r="B561" i="7"/>
  <c r="C561" i="7"/>
  <c r="P561" i="7"/>
  <c r="Q561" i="7"/>
  <c r="R561" i="7"/>
  <c r="S561" i="7"/>
  <c r="T561" i="7"/>
  <c r="V561" i="7"/>
  <c r="AB561" i="7"/>
  <c r="AC561" i="7"/>
  <c r="AD561" i="7"/>
  <c r="B562" i="7"/>
  <c r="C562" i="7"/>
  <c r="P562" i="7"/>
  <c r="Q562" i="7"/>
  <c r="R562" i="7"/>
  <c r="S562" i="7"/>
  <c r="T562" i="7"/>
  <c r="V562" i="7"/>
  <c r="AB562" i="7"/>
  <c r="AC562" i="7"/>
  <c r="AD562" i="7"/>
  <c r="B563" i="7"/>
  <c r="C563" i="7"/>
  <c r="P563" i="7"/>
  <c r="Q563" i="7"/>
  <c r="R563" i="7"/>
  <c r="S563" i="7"/>
  <c r="T563" i="7"/>
  <c r="V563" i="7"/>
  <c r="AB563" i="7"/>
  <c r="AC563" i="7"/>
  <c r="AD563" i="7"/>
  <c r="B564" i="7"/>
  <c r="C564" i="7"/>
  <c r="P564" i="7"/>
  <c r="Q564" i="7"/>
  <c r="R564" i="7"/>
  <c r="S564" i="7"/>
  <c r="T564" i="7"/>
  <c r="V564" i="7"/>
  <c r="AB564" i="7"/>
  <c r="AC564" i="7"/>
  <c r="AD564" i="7"/>
  <c r="B565" i="7"/>
  <c r="C565" i="7"/>
  <c r="P565" i="7"/>
  <c r="Q565" i="7"/>
  <c r="R565" i="7"/>
  <c r="S565" i="7"/>
  <c r="T565" i="7"/>
  <c r="V565" i="7"/>
  <c r="AB565" i="7"/>
  <c r="AC565" i="7"/>
  <c r="AD565" i="7"/>
  <c r="B566" i="7"/>
  <c r="C566" i="7"/>
  <c r="P566" i="7"/>
  <c r="Q566" i="7"/>
  <c r="R566" i="7"/>
  <c r="S566" i="7"/>
  <c r="T566" i="7"/>
  <c r="V566" i="7"/>
  <c r="AB566" i="7"/>
  <c r="AC566" i="7"/>
  <c r="AD566" i="7"/>
  <c r="B567" i="7"/>
  <c r="C567" i="7"/>
  <c r="P567" i="7"/>
  <c r="Q567" i="7"/>
  <c r="R567" i="7"/>
  <c r="S567" i="7"/>
  <c r="T567" i="7"/>
  <c r="V567" i="7"/>
  <c r="AB567" i="7"/>
  <c r="AC567" i="7"/>
  <c r="AD567" i="7"/>
  <c r="B568" i="7"/>
  <c r="C568" i="7"/>
  <c r="P568" i="7"/>
  <c r="Q568" i="7"/>
  <c r="R568" i="7"/>
  <c r="S568" i="7"/>
  <c r="T568" i="7"/>
  <c r="V568" i="7"/>
  <c r="AB568" i="7"/>
  <c r="AC568" i="7"/>
  <c r="AD568" i="7"/>
  <c r="B569" i="7"/>
  <c r="C569" i="7"/>
  <c r="P569" i="7"/>
  <c r="Q569" i="7"/>
  <c r="R569" i="7"/>
  <c r="S569" i="7"/>
  <c r="T569" i="7"/>
  <c r="V569" i="7"/>
  <c r="AB569" i="7"/>
  <c r="AC569" i="7"/>
  <c r="AD569" i="7"/>
  <c r="B570" i="7"/>
  <c r="C570" i="7"/>
  <c r="P570" i="7"/>
  <c r="Q570" i="7"/>
  <c r="R570" i="7"/>
  <c r="S570" i="7"/>
  <c r="T570" i="7"/>
  <c r="V570" i="7"/>
  <c r="AB570" i="7"/>
  <c r="AC570" i="7"/>
  <c r="AD570" i="7"/>
  <c r="B571" i="7"/>
  <c r="C571" i="7"/>
  <c r="P571" i="7"/>
  <c r="Q571" i="7"/>
  <c r="R571" i="7"/>
  <c r="S571" i="7"/>
  <c r="T571" i="7"/>
  <c r="V571" i="7"/>
  <c r="AB571" i="7"/>
  <c r="AC571" i="7"/>
  <c r="AD571" i="7"/>
  <c r="B572" i="7"/>
  <c r="C572" i="7"/>
  <c r="P572" i="7"/>
  <c r="Q572" i="7"/>
  <c r="R572" i="7"/>
  <c r="S572" i="7"/>
  <c r="T572" i="7"/>
  <c r="V572" i="7"/>
  <c r="AB572" i="7"/>
  <c r="AC572" i="7"/>
  <c r="AD572" i="7"/>
  <c r="B573" i="7"/>
  <c r="C573" i="7"/>
  <c r="P573" i="7"/>
  <c r="Q573" i="7"/>
  <c r="R573" i="7"/>
  <c r="S573" i="7"/>
  <c r="T573" i="7"/>
  <c r="V573" i="7"/>
  <c r="AB573" i="7"/>
  <c r="AC573" i="7"/>
  <c r="AD573" i="7"/>
  <c r="B574" i="7"/>
  <c r="C574" i="7"/>
  <c r="P574" i="7"/>
  <c r="Q574" i="7"/>
  <c r="R574" i="7"/>
  <c r="S574" i="7"/>
  <c r="T574" i="7"/>
  <c r="V574" i="7"/>
  <c r="AB574" i="7"/>
  <c r="AC574" i="7"/>
  <c r="AD574" i="7"/>
  <c r="B575" i="7"/>
  <c r="C575" i="7"/>
  <c r="P575" i="7"/>
  <c r="Q575" i="7"/>
  <c r="R575" i="7"/>
  <c r="S575" i="7"/>
  <c r="T575" i="7"/>
  <c r="V575" i="7"/>
  <c r="AB575" i="7"/>
  <c r="AC575" i="7"/>
  <c r="AD575" i="7"/>
  <c r="B576" i="7"/>
  <c r="C576" i="7"/>
  <c r="P576" i="7"/>
  <c r="Q576" i="7"/>
  <c r="R576" i="7"/>
  <c r="S576" i="7"/>
  <c r="T576" i="7"/>
  <c r="V576" i="7"/>
  <c r="AB576" i="7"/>
  <c r="AC576" i="7"/>
  <c r="AD576" i="7"/>
  <c r="B577" i="7"/>
  <c r="C577" i="7"/>
  <c r="P577" i="7"/>
  <c r="Q577" i="7"/>
  <c r="R577" i="7"/>
  <c r="S577" i="7"/>
  <c r="T577" i="7"/>
  <c r="V577" i="7"/>
  <c r="AB577" i="7"/>
  <c r="AC577" i="7"/>
  <c r="AD577" i="7"/>
  <c r="B578" i="7"/>
  <c r="C578" i="7"/>
  <c r="P578" i="7"/>
  <c r="Q578" i="7"/>
  <c r="R578" i="7"/>
  <c r="S578" i="7"/>
  <c r="T578" i="7"/>
  <c r="V578" i="7"/>
  <c r="AB578" i="7"/>
  <c r="AC578" i="7"/>
  <c r="AD578" i="7"/>
  <c r="B579" i="7"/>
  <c r="C579" i="7"/>
  <c r="P579" i="7"/>
  <c r="Q579" i="7"/>
  <c r="R579" i="7"/>
  <c r="S579" i="7"/>
  <c r="T579" i="7"/>
  <c r="V579" i="7"/>
  <c r="AB579" i="7"/>
  <c r="AC579" i="7"/>
  <c r="AD579" i="7"/>
  <c r="B580" i="7"/>
  <c r="C580" i="7"/>
  <c r="P580" i="7"/>
  <c r="Q580" i="7"/>
  <c r="R580" i="7"/>
  <c r="S580" i="7"/>
  <c r="T580" i="7"/>
  <c r="V580" i="7"/>
  <c r="AB580" i="7"/>
  <c r="AC580" i="7"/>
  <c r="AD580" i="7"/>
  <c r="B581" i="7"/>
  <c r="C581" i="7"/>
  <c r="P581" i="7"/>
  <c r="Q581" i="7"/>
  <c r="R581" i="7"/>
  <c r="S581" i="7"/>
  <c r="T581" i="7"/>
  <c r="V581" i="7"/>
  <c r="AB581" i="7"/>
  <c r="AC581" i="7"/>
  <c r="AD581" i="7"/>
  <c r="B582" i="7"/>
  <c r="C582" i="7"/>
  <c r="P582" i="7"/>
  <c r="Q582" i="7"/>
  <c r="R582" i="7"/>
  <c r="S582" i="7"/>
  <c r="T582" i="7"/>
  <c r="V582" i="7"/>
  <c r="AB582" i="7"/>
  <c r="AC582" i="7"/>
  <c r="AD582" i="7"/>
  <c r="B583" i="7"/>
  <c r="C583" i="7"/>
  <c r="P583" i="7"/>
  <c r="Q583" i="7"/>
  <c r="R583" i="7"/>
  <c r="S583" i="7"/>
  <c r="T583" i="7"/>
  <c r="V583" i="7"/>
  <c r="AB583" i="7"/>
  <c r="AC583" i="7"/>
  <c r="AD583" i="7"/>
  <c r="B584" i="7"/>
  <c r="C584" i="7"/>
  <c r="P584" i="7"/>
  <c r="Q584" i="7"/>
  <c r="R584" i="7"/>
  <c r="S584" i="7"/>
  <c r="T584" i="7"/>
  <c r="V584" i="7"/>
  <c r="AB584" i="7"/>
  <c r="AC584" i="7"/>
  <c r="AD584" i="7"/>
  <c r="B585" i="7"/>
  <c r="C585" i="7"/>
  <c r="P585" i="7"/>
  <c r="Q585" i="7"/>
  <c r="R585" i="7"/>
  <c r="S585" i="7"/>
  <c r="T585" i="7"/>
  <c r="V585" i="7"/>
  <c r="AB585" i="7"/>
  <c r="AC585" i="7"/>
  <c r="AD585" i="7"/>
  <c r="B586" i="7"/>
  <c r="C586" i="7"/>
  <c r="P586" i="7"/>
  <c r="Q586" i="7"/>
  <c r="R586" i="7"/>
  <c r="S586" i="7"/>
  <c r="T586" i="7"/>
  <c r="V586" i="7"/>
  <c r="AB586" i="7"/>
  <c r="AC586" i="7"/>
  <c r="AD586" i="7"/>
  <c r="B587" i="7"/>
  <c r="C587" i="7"/>
  <c r="P587" i="7"/>
  <c r="Q587" i="7"/>
  <c r="R587" i="7"/>
  <c r="S587" i="7"/>
  <c r="T587" i="7"/>
  <c r="V587" i="7"/>
  <c r="AB587" i="7"/>
  <c r="AC587" i="7"/>
  <c r="AD587" i="7"/>
  <c r="B588" i="7"/>
  <c r="C588" i="7"/>
  <c r="P588" i="7"/>
  <c r="Q588" i="7"/>
  <c r="R588" i="7"/>
  <c r="S588" i="7"/>
  <c r="T588" i="7"/>
  <c r="V588" i="7"/>
  <c r="AB588" i="7"/>
  <c r="AC588" i="7"/>
  <c r="AD588" i="7"/>
  <c r="B589" i="7"/>
  <c r="C589" i="7"/>
  <c r="P589" i="7"/>
  <c r="Q589" i="7"/>
  <c r="R589" i="7"/>
  <c r="S589" i="7"/>
  <c r="T589" i="7"/>
  <c r="V589" i="7"/>
  <c r="AB589" i="7"/>
  <c r="AC589" i="7"/>
  <c r="AD589" i="7"/>
  <c r="B590" i="7"/>
  <c r="C590" i="7"/>
  <c r="P590" i="7"/>
  <c r="Q590" i="7"/>
  <c r="R590" i="7"/>
  <c r="S590" i="7"/>
  <c r="T590" i="7"/>
  <c r="V590" i="7"/>
  <c r="AB590" i="7"/>
  <c r="AC590" i="7"/>
  <c r="AD590" i="7"/>
  <c r="B591" i="7"/>
  <c r="C591" i="7"/>
  <c r="P591" i="7"/>
  <c r="Q591" i="7"/>
  <c r="R591" i="7"/>
  <c r="S591" i="7"/>
  <c r="T591" i="7"/>
  <c r="V591" i="7"/>
  <c r="AB591" i="7"/>
  <c r="AC591" i="7"/>
  <c r="AD591" i="7"/>
  <c r="B592" i="7"/>
  <c r="C592" i="7"/>
  <c r="P592" i="7"/>
  <c r="Q592" i="7"/>
  <c r="R592" i="7"/>
  <c r="S592" i="7"/>
  <c r="T592" i="7"/>
  <c r="V592" i="7"/>
  <c r="AB592" i="7"/>
  <c r="AC592" i="7"/>
  <c r="AD592" i="7"/>
  <c r="B593" i="7"/>
  <c r="C593" i="7"/>
  <c r="P593" i="7"/>
  <c r="Q593" i="7"/>
  <c r="R593" i="7"/>
  <c r="S593" i="7"/>
  <c r="T593" i="7"/>
  <c r="V593" i="7"/>
  <c r="AB593" i="7"/>
  <c r="AC593" i="7"/>
  <c r="AD593" i="7"/>
  <c r="B594" i="7"/>
  <c r="C594" i="7"/>
  <c r="P594" i="7"/>
  <c r="Q594" i="7"/>
  <c r="R594" i="7"/>
  <c r="S594" i="7"/>
  <c r="T594" i="7"/>
  <c r="V594" i="7"/>
  <c r="AB594" i="7"/>
  <c r="AC594" i="7"/>
  <c r="AD594" i="7"/>
  <c r="B595" i="7"/>
  <c r="C595" i="7"/>
  <c r="P595" i="7"/>
  <c r="Q595" i="7"/>
  <c r="R595" i="7"/>
  <c r="S595" i="7"/>
  <c r="T595" i="7"/>
  <c r="V595" i="7"/>
  <c r="AB595" i="7"/>
  <c r="AC595" i="7"/>
  <c r="AD595" i="7"/>
  <c r="B596" i="7"/>
  <c r="C596" i="7"/>
  <c r="P596" i="7"/>
  <c r="Q596" i="7"/>
  <c r="R596" i="7"/>
  <c r="S596" i="7"/>
  <c r="T596" i="7"/>
  <c r="V596" i="7"/>
  <c r="AB596" i="7"/>
  <c r="AC596" i="7"/>
  <c r="AD596" i="7"/>
  <c r="B597" i="7"/>
  <c r="C597" i="7"/>
  <c r="P597" i="7"/>
  <c r="Q597" i="7"/>
  <c r="R597" i="7"/>
  <c r="S597" i="7"/>
  <c r="T597" i="7"/>
  <c r="V597" i="7"/>
  <c r="AB597" i="7"/>
  <c r="AC597" i="7"/>
  <c r="AD597" i="7"/>
  <c r="B598" i="7"/>
  <c r="C598" i="7"/>
  <c r="P598" i="7"/>
  <c r="Q598" i="7"/>
  <c r="R598" i="7"/>
  <c r="S598" i="7"/>
  <c r="T598" i="7"/>
  <c r="V598" i="7"/>
  <c r="AB598" i="7"/>
  <c r="AC598" i="7"/>
  <c r="AD598" i="7"/>
  <c r="B599" i="7"/>
  <c r="C599" i="7"/>
  <c r="P599" i="7"/>
  <c r="Q599" i="7"/>
  <c r="R599" i="7"/>
  <c r="S599" i="7"/>
  <c r="T599" i="7"/>
  <c r="V599" i="7"/>
  <c r="AB599" i="7"/>
  <c r="AC599" i="7"/>
  <c r="AD599" i="7"/>
  <c r="B600" i="7"/>
  <c r="C600" i="7"/>
  <c r="P600" i="7"/>
  <c r="Q600" i="7"/>
  <c r="R600" i="7"/>
  <c r="S600" i="7"/>
  <c r="T600" i="7"/>
  <c r="V600" i="7"/>
  <c r="AB600" i="7"/>
  <c r="AC600" i="7"/>
  <c r="AD600" i="7"/>
  <c r="B601" i="7"/>
  <c r="C601" i="7"/>
  <c r="P601" i="7"/>
  <c r="Q601" i="7"/>
  <c r="R601" i="7"/>
  <c r="S601" i="7"/>
  <c r="T601" i="7"/>
  <c r="V601" i="7"/>
  <c r="AB601" i="7"/>
  <c r="AC601" i="7"/>
  <c r="AD601" i="7"/>
  <c r="B602" i="7"/>
  <c r="C602" i="7"/>
  <c r="P602" i="7"/>
  <c r="Q602" i="7"/>
  <c r="R602" i="7"/>
  <c r="S602" i="7"/>
  <c r="T602" i="7"/>
  <c r="V602" i="7"/>
  <c r="AB602" i="7"/>
  <c r="AC602" i="7"/>
  <c r="AD602" i="7"/>
  <c r="B603" i="7"/>
  <c r="C603" i="7"/>
  <c r="P603" i="7"/>
  <c r="Q603" i="7"/>
  <c r="R603" i="7"/>
  <c r="S603" i="7"/>
  <c r="T603" i="7"/>
  <c r="V603" i="7"/>
  <c r="AB603" i="7"/>
  <c r="AC603" i="7"/>
  <c r="AD603" i="7"/>
  <c r="B604" i="7"/>
  <c r="C604" i="7"/>
  <c r="P604" i="7"/>
  <c r="Q604" i="7"/>
  <c r="R604" i="7"/>
  <c r="S604" i="7"/>
  <c r="T604" i="7"/>
  <c r="V604" i="7"/>
  <c r="AB604" i="7"/>
  <c r="AC604" i="7"/>
  <c r="AD604" i="7"/>
  <c r="B605" i="7"/>
  <c r="C605" i="7"/>
  <c r="P605" i="7"/>
  <c r="Q605" i="7"/>
  <c r="R605" i="7"/>
  <c r="S605" i="7"/>
  <c r="T605" i="7"/>
  <c r="V605" i="7"/>
  <c r="AB605" i="7"/>
  <c r="AC605" i="7"/>
  <c r="AD605" i="7"/>
  <c r="B606" i="7"/>
  <c r="C606" i="7"/>
  <c r="P606" i="7"/>
  <c r="Q606" i="7"/>
  <c r="R606" i="7"/>
  <c r="S606" i="7"/>
  <c r="T606" i="7"/>
  <c r="V606" i="7"/>
  <c r="AB606" i="7"/>
  <c r="AC606" i="7"/>
  <c r="AD606" i="7"/>
  <c r="B607" i="7"/>
  <c r="C607" i="7"/>
  <c r="P607" i="7"/>
  <c r="Q607" i="7"/>
  <c r="R607" i="7"/>
  <c r="S607" i="7"/>
  <c r="T607" i="7"/>
  <c r="V607" i="7"/>
  <c r="AB607" i="7"/>
  <c r="AC607" i="7"/>
  <c r="AD607" i="7"/>
  <c r="B608" i="7"/>
  <c r="C608" i="7"/>
  <c r="P608" i="7"/>
  <c r="Q608" i="7"/>
  <c r="R608" i="7"/>
  <c r="S608" i="7"/>
  <c r="T608" i="7"/>
  <c r="V608" i="7"/>
  <c r="AB608" i="7"/>
  <c r="AC608" i="7"/>
  <c r="AD608" i="7"/>
  <c r="B609" i="7"/>
  <c r="C609" i="7"/>
  <c r="P609" i="7"/>
  <c r="Q609" i="7"/>
  <c r="R609" i="7"/>
  <c r="S609" i="7"/>
  <c r="T609" i="7"/>
  <c r="V609" i="7"/>
  <c r="AB609" i="7"/>
  <c r="AC609" i="7"/>
  <c r="AD609" i="7"/>
  <c r="B610" i="7"/>
  <c r="C610" i="7"/>
  <c r="P610" i="7"/>
  <c r="Q610" i="7"/>
  <c r="R610" i="7"/>
  <c r="S610" i="7"/>
  <c r="T610" i="7"/>
  <c r="V610" i="7"/>
  <c r="AB610" i="7"/>
  <c r="AC610" i="7"/>
  <c r="AD610" i="7"/>
  <c r="B611" i="7"/>
  <c r="C611" i="7"/>
  <c r="P611" i="7"/>
  <c r="Q611" i="7"/>
  <c r="R611" i="7"/>
  <c r="S611" i="7"/>
  <c r="T611" i="7"/>
  <c r="V611" i="7"/>
  <c r="AB611" i="7"/>
  <c r="AC611" i="7"/>
  <c r="AD611" i="7"/>
  <c r="B612" i="7"/>
  <c r="C612" i="7"/>
  <c r="P612" i="7"/>
  <c r="Q612" i="7"/>
  <c r="R612" i="7"/>
  <c r="S612" i="7"/>
  <c r="T612" i="7"/>
  <c r="V612" i="7"/>
  <c r="AB612" i="7"/>
  <c r="AC612" i="7"/>
  <c r="AD612" i="7"/>
  <c r="B613" i="7"/>
  <c r="C613" i="7"/>
  <c r="P613" i="7"/>
  <c r="Q613" i="7"/>
  <c r="R613" i="7"/>
  <c r="S613" i="7"/>
  <c r="T613" i="7"/>
  <c r="V613" i="7"/>
  <c r="AB613" i="7"/>
  <c r="AC613" i="7"/>
  <c r="AD613" i="7"/>
  <c r="B614" i="7"/>
  <c r="C614" i="7"/>
  <c r="P614" i="7"/>
  <c r="Q614" i="7"/>
  <c r="R614" i="7"/>
  <c r="S614" i="7"/>
  <c r="T614" i="7"/>
  <c r="V614" i="7"/>
  <c r="AB614" i="7"/>
  <c r="AC614" i="7"/>
  <c r="AD614" i="7"/>
  <c r="A618" i="7"/>
  <c r="B618" i="7"/>
  <c r="C618" i="7"/>
  <c r="D618" i="7"/>
  <c r="E618" i="7"/>
  <c r="F618" i="7"/>
  <c r="G618" i="7"/>
  <c r="H618" i="7"/>
  <c r="I618" i="7"/>
  <c r="J618" i="7"/>
  <c r="K618" i="7"/>
  <c r="L618" i="7"/>
  <c r="M618" i="7"/>
  <c r="N618" i="7"/>
  <c r="O618" i="7"/>
  <c r="P618" i="7"/>
  <c r="Q618" i="7"/>
  <c r="R618" i="7"/>
  <c r="S618" i="7"/>
  <c r="T618" i="7"/>
  <c r="W618" i="7"/>
  <c r="Y618" i="7"/>
  <c r="Z618" i="7"/>
  <c r="AA618" i="7"/>
  <c r="AB618" i="7"/>
  <c r="AC618" i="7"/>
  <c r="AD618" i="7"/>
  <c r="A619" i="7"/>
  <c r="B619" i="7"/>
  <c r="C619" i="7"/>
  <c r="D619" i="7"/>
  <c r="E619" i="7"/>
  <c r="F619" i="7"/>
  <c r="G619" i="7"/>
  <c r="H619" i="7"/>
  <c r="I619" i="7"/>
  <c r="J619" i="7"/>
  <c r="K619" i="7"/>
  <c r="L619" i="7"/>
  <c r="M619" i="7"/>
  <c r="N619" i="7"/>
  <c r="O619" i="7"/>
  <c r="P619" i="7"/>
  <c r="Q619" i="7"/>
  <c r="R619" i="7"/>
  <c r="S619" i="7"/>
  <c r="T619" i="7"/>
  <c r="Y619" i="7"/>
  <c r="Z619" i="7"/>
  <c r="AA619" i="7"/>
  <c r="AB619" i="7"/>
  <c r="AC619" i="7"/>
  <c r="AD619" i="7"/>
  <c r="B620" i="7"/>
  <c r="C620" i="7"/>
  <c r="P620" i="7"/>
  <c r="Q620" i="7"/>
  <c r="R620" i="7"/>
  <c r="S620" i="7"/>
  <c r="T620" i="7"/>
  <c r="AB620" i="7"/>
  <c r="AC620" i="7"/>
  <c r="AD620" i="7"/>
  <c r="B621" i="7"/>
  <c r="C621" i="7"/>
  <c r="P621" i="7"/>
  <c r="Q621" i="7"/>
  <c r="R621" i="7"/>
  <c r="S621" i="7"/>
  <c r="T621" i="7"/>
  <c r="AB621" i="7"/>
  <c r="AC621" i="7"/>
  <c r="AD621" i="7"/>
  <c r="B622" i="7"/>
  <c r="C622" i="7"/>
  <c r="P622" i="7"/>
  <c r="Q622" i="7"/>
  <c r="R622" i="7"/>
  <c r="S622" i="7"/>
  <c r="T622" i="7"/>
  <c r="AB622" i="7"/>
  <c r="AC622" i="7"/>
  <c r="AD622" i="7"/>
  <c r="B623" i="7"/>
  <c r="C623" i="7"/>
  <c r="P623" i="7"/>
  <c r="Q623" i="7"/>
  <c r="R623" i="7"/>
  <c r="S623" i="7"/>
  <c r="T623" i="7"/>
  <c r="AB623" i="7"/>
  <c r="AC623" i="7"/>
  <c r="AD623" i="7"/>
  <c r="X2" i="3"/>
  <c r="Y2" i="3"/>
  <c r="H2" i="5"/>
  <c r="J2" i="5"/>
  <c r="R2" i="5"/>
  <c r="S2" i="5"/>
  <c r="T2" i="5"/>
  <c r="U2" i="5"/>
  <c r="V2" i="5"/>
  <c r="H3" i="5"/>
  <c r="J3" i="5"/>
  <c r="R3" i="5"/>
  <c r="S3" i="5"/>
  <c r="T3" i="5"/>
  <c r="U3" i="5"/>
  <c r="V3" i="5"/>
  <c r="H4" i="5"/>
  <c r="J4" i="5"/>
  <c r="R4" i="5"/>
  <c r="S4" i="5"/>
  <c r="T4" i="5"/>
  <c r="U4" i="5"/>
  <c r="V4" i="5"/>
  <c r="H5" i="5"/>
  <c r="J5" i="5"/>
  <c r="R5" i="5"/>
  <c r="S5" i="5"/>
  <c r="T5" i="5"/>
  <c r="U5" i="5"/>
  <c r="V5" i="5"/>
  <c r="H6" i="5"/>
  <c r="J6" i="5"/>
  <c r="R6" i="5"/>
  <c r="S6" i="5"/>
  <c r="T6" i="5"/>
  <c r="U6" i="5"/>
  <c r="V6" i="5"/>
  <c r="H7" i="5"/>
  <c r="J7" i="5"/>
  <c r="R7" i="5"/>
  <c r="S7" i="5"/>
  <c r="T7" i="5"/>
  <c r="U7" i="5"/>
  <c r="V7" i="5"/>
  <c r="H8" i="5"/>
  <c r="J8" i="5"/>
  <c r="R8" i="5"/>
  <c r="S8" i="5"/>
  <c r="T8" i="5"/>
  <c r="U8" i="5"/>
  <c r="V8" i="5"/>
  <c r="H9" i="5"/>
  <c r="J9" i="5"/>
  <c r="R9" i="5"/>
  <c r="S9" i="5"/>
  <c r="T9" i="5"/>
  <c r="U9" i="5"/>
  <c r="V9" i="5"/>
  <c r="H10" i="5"/>
  <c r="J10" i="5"/>
  <c r="R10" i="5"/>
  <c r="S10" i="5"/>
  <c r="T10" i="5"/>
  <c r="U10" i="5"/>
  <c r="V10" i="5"/>
  <c r="H11" i="5"/>
  <c r="J11" i="5"/>
  <c r="R11" i="5"/>
  <c r="S11" i="5"/>
  <c r="T11" i="5"/>
  <c r="U11" i="5"/>
  <c r="V11" i="5"/>
  <c r="H12" i="5"/>
  <c r="J12" i="5"/>
  <c r="R12" i="5"/>
  <c r="S12" i="5"/>
  <c r="T12" i="5"/>
  <c r="U12" i="5"/>
  <c r="V12" i="5"/>
  <c r="H13" i="5"/>
  <c r="J13" i="5"/>
  <c r="R13" i="5"/>
  <c r="S13" i="5"/>
  <c r="T13" i="5"/>
  <c r="U13" i="5"/>
  <c r="V13" i="5"/>
  <c r="H14" i="5"/>
  <c r="J14" i="5"/>
  <c r="R14" i="5"/>
  <c r="S14" i="5"/>
  <c r="T14" i="5"/>
  <c r="U14" i="5"/>
  <c r="V14" i="5"/>
  <c r="H15" i="5"/>
  <c r="J15" i="5"/>
  <c r="R15" i="5"/>
  <c r="S15" i="5"/>
  <c r="T15" i="5"/>
  <c r="U15" i="5"/>
  <c r="V15" i="5"/>
  <c r="H16" i="5"/>
  <c r="J16" i="5"/>
  <c r="R16" i="5"/>
  <c r="S16" i="5"/>
  <c r="T16" i="5"/>
  <c r="U16" i="5"/>
  <c r="V16" i="5"/>
  <c r="H17" i="5"/>
  <c r="J17" i="5"/>
  <c r="R17" i="5"/>
  <c r="S17" i="5"/>
  <c r="T17" i="5"/>
  <c r="U17" i="5"/>
  <c r="V17" i="5"/>
  <c r="H18" i="5"/>
  <c r="J18" i="5"/>
  <c r="R18" i="5"/>
  <c r="S18" i="5"/>
  <c r="T18" i="5"/>
  <c r="U18" i="5"/>
  <c r="V18" i="5"/>
  <c r="H19" i="5"/>
  <c r="J19" i="5"/>
  <c r="R19" i="5"/>
  <c r="S19" i="5"/>
  <c r="T19" i="5"/>
  <c r="U19" i="5"/>
  <c r="V19" i="5"/>
  <c r="H20" i="5"/>
  <c r="J20" i="5"/>
  <c r="R20" i="5"/>
  <c r="S20" i="5"/>
  <c r="T20" i="5"/>
  <c r="U20" i="5"/>
  <c r="V20" i="5"/>
  <c r="H21" i="5"/>
  <c r="J21" i="5"/>
  <c r="R21" i="5"/>
  <c r="S21" i="5"/>
  <c r="T21" i="5"/>
  <c r="U21" i="5"/>
  <c r="V21" i="5"/>
  <c r="H22" i="5"/>
  <c r="J22" i="5"/>
  <c r="R22" i="5"/>
  <c r="S22" i="5"/>
  <c r="T22" i="5"/>
  <c r="U22" i="5"/>
  <c r="V22" i="5"/>
  <c r="H23" i="5"/>
  <c r="J23" i="5"/>
  <c r="R23" i="5"/>
  <c r="S23" i="5"/>
  <c r="T23" i="5"/>
  <c r="U23" i="5"/>
  <c r="V23" i="5"/>
  <c r="H24" i="5"/>
  <c r="J24" i="5"/>
  <c r="R24" i="5"/>
  <c r="S24" i="5"/>
  <c r="T24" i="5"/>
  <c r="U24" i="5"/>
  <c r="V24" i="5"/>
  <c r="H25" i="5"/>
  <c r="J25" i="5"/>
  <c r="R25" i="5"/>
  <c r="S25" i="5"/>
  <c r="T25" i="5"/>
  <c r="U25" i="5"/>
  <c r="V25" i="5"/>
  <c r="H26" i="5"/>
  <c r="J26" i="5"/>
  <c r="R26" i="5"/>
  <c r="S26" i="5"/>
  <c r="T26" i="5"/>
  <c r="U26" i="5"/>
  <c r="V26" i="5"/>
  <c r="H27" i="5"/>
  <c r="J27" i="5"/>
  <c r="R27" i="5"/>
  <c r="S27" i="5"/>
  <c r="T27" i="5"/>
  <c r="U27" i="5"/>
  <c r="V27" i="5"/>
  <c r="H28" i="5"/>
  <c r="J28" i="5"/>
  <c r="R28" i="5"/>
  <c r="S28" i="5"/>
  <c r="T28" i="5"/>
  <c r="U28" i="5"/>
  <c r="V28" i="5"/>
  <c r="H29" i="5"/>
  <c r="J29" i="5"/>
  <c r="R29" i="5"/>
  <c r="S29" i="5"/>
  <c r="T29" i="5"/>
  <c r="U29" i="5"/>
  <c r="V29" i="5"/>
  <c r="H30" i="5"/>
  <c r="J30" i="5"/>
  <c r="R30" i="5"/>
  <c r="S30" i="5"/>
  <c r="T30" i="5"/>
  <c r="U30" i="5"/>
  <c r="V30" i="5"/>
  <c r="H31" i="5"/>
  <c r="J31" i="5"/>
  <c r="R31" i="5"/>
  <c r="S31" i="5"/>
  <c r="T31" i="5"/>
  <c r="U31" i="5"/>
  <c r="V31" i="5"/>
  <c r="H32" i="5"/>
  <c r="J32" i="5"/>
  <c r="R32" i="5"/>
  <c r="S32" i="5"/>
  <c r="T32" i="5"/>
  <c r="U32" i="5"/>
  <c r="V32" i="5"/>
  <c r="H33" i="5"/>
  <c r="J33" i="5"/>
  <c r="R33" i="5"/>
  <c r="S33" i="5"/>
  <c r="T33" i="5"/>
  <c r="U33" i="5"/>
  <c r="V33" i="5"/>
  <c r="H34" i="5"/>
  <c r="J34" i="5"/>
  <c r="R34" i="5"/>
  <c r="S34" i="5"/>
  <c r="T34" i="5"/>
  <c r="U34" i="5"/>
  <c r="V34" i="5"/>
  <c r="H35" i="5"/>
  <c r="J35" i="5"/>
  <c r="R35" i="5"/>
  <c r="S35" i="5"/>
  <c r="T35" i="5"/>
  <c r="U35" i="5"/>
  <c r="V35" i="5"/>
  <c r="H36" i="5"/>
  <c r="J36" i="5"/>
  <c r="R36" i="5"/>
  <c r="S36" i="5"/>
  <c r="T36" i="5"/>
  <c r="U36" i="5"/>
  <c r="V36" i="5"/>
  <c r="H37" i="5"/>
  <c r="J37" i="5"/>
  <c r="R37" i="5"/>
  <c r="S37" i="5"/>
  <c r="T37" i="5"/>
  <c r="U37" i="5"/>
  <c r="V37" i="5"/>
  <c r="H38" i="5"/>
  <c r="J38" i="5"/>
  <c r="R38" i="5"/>
  <c r="S38" i="5"/>
  <c r="T38" i="5"/>
  <c r="U38" i="5"/>
  <c r="V38" i="5"/>
  <c r="H39" i="5"/>
  <c r="J39" i="5"/>
  <c r="R39" i="5"/>
  <c r="S39" i="5"/>
  <c r="T39" i="5"/>
  <c r="U39" i="5"/>
  <c r="V39" i="5"/>
  <c r="H40" i="5"/>
  <c r="J40" i="5"/>
  <c r="R40" i="5"/>
  <c r="S40" i="5"/>
  <c r="T40" i="5"/>
  <c r="U40" i="5"/>
  <c r="V40" i="5"/>
  <c r="H41" i="5"/>
  <c r="J41" i="5"/>
  <c r="R41" i="5"/>
  <c r="S41" i="5"/>
  <c r="T41" i="5"/>
  <c r="U41" i="5"/>
  <c r="V41" i="5"/>
  <c r="H42" i="5"/>
  <c r="J42" i="5"/>
  <c r="R42" i="5"/>
  <c r="S42" i="5"/>
  <c r="T42" i="5"/>
  <c r="U42" i="5"/>
  <c r="V42" i="5"/>
  <c r="H43" i="5"/>
  <c r="J43" i="5"/>
  <c r="R43" i="5"/>
  <c r="S43" i="5"/>
  <c r="T43" i="5"/>
  <c r="U43" i="5"/>
  <c r="V43" i="5"/>
  <c r="H44" i="5"/>
  <c r="J44" i="5"/>
  <c r="R44" i="5"/>
  <c r="S44" i="5"/>
  <c r="T44" i="5"/>
  <c r="U44" i="5"/>
  <c r="V44" i="5"/>
  <c r="H45" i="5"/>
  <c r="J45" i="5"/>
  <c r="R45" i="5"/>
  <c r="S45" i="5"/>
  <c r="T45" i="5"/>
  <c r="U45" i="5"/>
  <c r="V45" i="5"/>
  <c r="H46" i="5"/>
  <c r="J46" i="5"/>
  <c r="R46" i="5"/>
  <c r="S46" i="5"/>
  <c r="T46" i="5"/>
  <c r="U46" i="5"/>
  <c r="V46" i="5"/>
  <c r="H47" i="5"/>
  <c r="J47" i="5"/>
  <c r="R47" i="5"/>
  <c r="S47" i="5"/>
  <c r="T47" i="5"/>
  <c r="U47" i="5"/>
  <c r="V47" i="5"/>
  <c r="H48" i="5"/>
  <c r="J48" i="5"/>
  <c r="R48" i="5"/>
  <c r="S48" i="5"/>
  <c r="T48" i="5"/>
  <c r="U48" i="5"/>
  <c r="V48" i="5"/>
  <c r="H49" i="5"/>
  <c r="J49" i="5"/>
  <c r="R49" i="5"/>
  <c r="S49" i="5"/>
  <c r="T49" i="5"/>
  <c r="U49" i="5"/>
  <c r="V49" i="5"/>
  <c r="H50" i="5"/>
  <c r="J50" i="5"/>
  <c r="R50" i="5"/>
  <c r="S50" i="5"/>
  <c r="T50" i="5"/>
  <c r="U50" i="5"/>
  <c r="V50" i="5"/>
  <c r="H51" i="5"/>
  <c r="J51" i="5"/>
  <c r="R51" i="5"/>
  <c r="S51" i="5"/>
  <c r="T51" i="5"/>
  <c r="U51" i="5"/>
  <c r="V51" i="5"/>
  <c r="H52" i="5"/>
  <c r="J52" i="5"/>
  <c r="R52" i="5"/>
  <c r="S52" i="5"/>
  <c r="T52" i="5"/>
  <c r="U52" i="5"/>
  <c r="V52" i="5"/>
  <c r="H53" i="5"/>
  <c r="J53" i="5"/>
  <c r="R53" i="5"/>
  <c r="S53" i="5"/>
  <c r="T53" i="5"/>
  <c r="U53" i="5"/>
  <c r="V53" i="5"/>
  <c r="H54" i="5"/>
  <c r="J54" i="5"/>
  <c r="R54" i="5"/>
  <c r="S54" i="5"/>
  <c r="T54" i="5"/>
  <c r="U54" i="5"/>
  <c r="V54" i="5"/>
  <c r="H55" i="5"/>
  <c r="J55" i="5"/>
  <c r="R55" i="5"/>
  <c r="S55" i="5"/>
  <c r="T55" i="5"/>
  <c r="U55" i="5"/>
  <c r="V55" i="5"/>
  <c r="H56" i="5"/>
  <c r="J56" i="5"/>
  <c r="R56" i="5"/>
  <c r="S56" i="5"/>
  <c r="T56" i="5"/>
  <c r="U56" i="5"/>
  <c r="V56" i="5"/>
  <c r="H57" i="5"/>
  <c r="J57" i="5"/>
  <c r="R57" i="5"/>
  <c r="S57" i="5"/>
  <c r="T57" i="5"/>
  <c r="U57" i="5"/>
  <c r="V57" i="5"/>
  <c r="H58" i="5"/>
  <c r="J58" i="5"/>
  <c r="R58" i="5"/>
  <c r="S58" i="5"/>
  <c r="T58" i="5"/>
  <c r="U58" i="5"/>
  <c r="V58" i="5"/>
  <c r="H59" i="5"/>
  <c r="J59" i="5"/>
  <c r="R59" i="5"/>
  <c r="S59" i="5"/>
  <c r="T59" i="5"/>
  <c r="U59" i="5"/>
  <c r="V59" i="5"/>
  <c r="H60" i="5"/>
  <c r="J60" i="5"/>
  <c r="R60" i="5"/>
  <c r="S60" i="5"/>
  <c r="T60" i="5"/>
  <c r="U60" i="5"/>
  <c r="V60" i="5"/>
  <c r="H61" i="5"/>
  <c r="J61" i="5"/>
  <c r="R61" i="5"/>
  <c r="S61" i="5"/>
  <c r="T61" i="5"/>
  <c r="U61" i="5"/>
  <c r="V61" i="5"/>
  <c r="H62" i="5"/>
  <c r="J62" i="5"/>
  <c r="R62" i="5"/>
  <c r="S62" i="5"/>
  <c r="T62" i="5"/>
  <c r="U62" i="5"/>
  <c r="V62" i="5"/>
  <c r="H63" i="5"/>
  <c r="J63" i="5"/>
  <c r="R63" i="5"/>
  <c r="S63" i="5"/>
  <c r="T63" i="5"/>
  <c r="U63" i="5"/>
  <c r="V63" i="5"/>
  <c r="H64" i="5"/>
  <c r="J64" i="5"/>
  <c r="R64" i="5"/>
  <c r="S64" i="5"/>
  <c r="T64" i="5"/>
  <c r="U64" i="5"/>
  <c r="V64" i="5"/>
  <c r="H65" i="5"/>
  <c r="J65" i="5"/>
  <c r="R65" i="5"/>
  <c r="S65" i="5"/>
  <c r="T65" i="5"/>
  <c r="U65" i="5"/>
  <c r="V65" i="5"/>
  <c r="H66" i="5"/>
  <c r="J66" i="5"/>
  <c r="R66" i="5"/>
  <c r="S66" i="5"/>
  <c r="T66" i="5"/>
  <c r="U66" i="5"/>
  <c r="V66" i="5"/>
  <c r="H67" i="5"/>
  <c r="J67" i="5"/>
  <c r="R67" i="5"/>
  <c r="S67" i="5"/>
  <c r="T67" i="5"/>
  <c r="U67" i="5"/>
  <c r="V67" i="5"/>
  <c r="H68" i="5"/>
  <c r="J68" i="5"/>
  <c r="R68" i="5"/>
  <c r="S68" i="5"/>
  <c r="T68" i="5"/>
  <c r="U68" i="5"/>
  <c r="V68" i="5"/>
  <c r="H69" i="5"/>
  <c r="J69" i="5"/>
  <c r="R69" i="5"/>
  <c r="S69" i="5"/>
  <c r="T69" i="5"/>
  <c r="U69" i="5"/>
  <c r="V69" i="5"/>
  <c r="H70" i="5"/>
  <c r="J70" i="5"/>
  <c r="R70" i="5"/>
  <c r="S70" i="5"/>
  <c r="T70" i="5"/>
  <c r="U70" i="5"/>
  <c r="V70" i="5"/>
  <c r="H71" i="5"/>
  <c r="J71" i="5"/>
  <c r="R71" i="5"/>
  <c r="S71" i="5"/>
  <c r="T71" i="5"/>
  <c r="U71" i="5"/>
  <c r="V71" i="5"/>
  <c r="H72" i="5"/>
  <c r="J72" i="5"/>
  <c r="R72" i="5"/>
  <c r="S72" i="5"/>
  <c r="T72" i="5"/>
  <c r="U72" i="5"/>
  <c r="V72" i="5"/>
  <c r="H73" i="5"/>
  <c r="J73" i="5"/>
  <c r="R73" i="5"/>
  <c r="S73" i="5"/>
  <c r="T73" i="5"/>
  <c r="U73" i="5"/>
  <c r="V73" i="5"/>
  <c r="H74" i="5"/>
  <c r="J74" i="5"/>
  <c r="R74" i="5"/>
  <c r="S74" i="5"/>
  <c r="T74" i="5"/>
  <c r="U74" i="5"/>
  <c r="V74" i="5"/>
  <c r="H75" i="5"/>
  <c r="J75" i="5"/>
  <c r="R75" i="5"/>
  <c r="S75" i="5"/>
  <c r="T75" i="5"/>
  <c r="U75" i="5"/>
  <c r="V75" i="5"/>
  <c r="H76" i="5"/>
  <c r="J76" i="5"/>
  <c r="R76" i="5"/>
  <c r="S76" i="5"/>
  <c r="T76" i="5"/>
  <c r="U76" i="5"/>
  <c r="V76" i="5"/>
  <c r="H77" i="5"/>
  <c r="J77" i="5"/>
  <c r="R77" i="5"/>
  <c r="S77" i="5"/>
  <c r="T77" i="5"/>
  <c r="U77" i="5"/>
  <c r="V77" i="5"/>
  <c r="H78" i="5"/>
  <c r="J78" i="5"/>
  <c r="R78" i="5"/>
  <c r="S78" i="5"/>
  <c r="T78" i="5"/>
  <c r="U78" i="5"/>
  <c r="V78" i="5"/>
  <c r="H79" i="5"/>
  <c r="J79" i="5"/>
  <c r="R79" i="5"/>
  <c r="S79" i="5"/>
  <c r="T79" i="5"/>
  <c r="U79" i="5"/>
  <c r="V79" i="5"/>
  <c r="H80" i="5"/>
  <c r="J80" i="5"/>
  <c r="R80" i="5"/>
  <c r="S80" i="5"/>
  <c r="T80" i="5"/>
  <c r="U80" i="5"/>
  <c r="V80" i="5"/>
  <c r="H81" i="5"/>
  <c r="J81" i="5"/>
  <c r="R81" i="5"/>
  <c r="S81" i="5"/>
  <c r="T81" i="5"/>
  <c r="U81" i="5"/>
  <c r="V81" i="5"/>
  <c r="H82" i="5"/>
  <c r="J82" i="5"/>
  <c r="R82" i="5"/>
  <c r="S82" i="5"/>
  <c r="T82" i="5"/>
  <c r="U82" i="5"/>
  <c r="V82" i="5"/>
  <c r="H83" i="5"/>
  <c r="J83" i="5"/>
  <c r="R83" i="5"/>
  <c r="S83" i="5"/>
  <c r="T83" i="5"/>
  <c r="U83" i="5"/>
  <c r="V83" i="5"/>
  <c r="H84" i="5"/>
  <c r="J84" i="5"/>
  <c r="R84" i="5"/>
  <c r="S84" i="5"/>
  <c r="T84" i="5"/>
  <c r="U84" i="5"/>
  <c r="V84" i="5"/>
  <c r="H85" i="5"/>
  <c r="J85" i="5"/>
  <c r="R85" i="5"/>
  <c r="S85" i="5"/>
  <c r="T85" i="5"/>
  <c r="U85" i="5"/>
  <c r="V85" i="5"/>
  <c r="H86" i="5"/>
  <c r="J86" i="5"/>
  <c r="R86" i="5"/>
  <c r="S86" i="5"/>
  <c r="T86" i="5"/>
  <c r="U86" i="5"/>
  <c r="V86" i="5"/>
  <c r="H87" i="5"/>
  <c r="J87" i="5"/>
  <c r="R87" i="5"/>
  <c r="S87" i="5"/>
  <c r="T87" i="5"/>
  <c r="U87" i="5"/>
  <c r="V87" i="5"/>
  <c r="H88" i="5"/>
  <c r="J88" i="5"/>
  <c r="R88" i="5"/>
  <c r="S88" i="5"/>
  <c r="T88" i="5"/>
  <c r="U88" i="5"/>
  <c r="V88" i="5"/>
  <c r="H89" i="5"/>
  <c r="J89" i="5"/>
  <c r="R89" i="5"/>
  <c r="S89" i="5"/>
  <c r="T89" i="5"/>
  <c r="U89" i="5"/>
  <c r="V89" i="5"/>
  <c r="H90" i="5"/>
  <c r="J90" i="5"/>
  <c r="R90" i="5"/>
  <c r="S90" i="5"/>
  <c r="T90" i="5"/>
  <c r="U90" i="5"/>
  <c r="V90" i="5"/>
  <c r="H91" i="5"/>
  <c r="J91" i="5"/>
  <c r="R91" i="5"/>
  <c r="S91" i="5"/>
  <c r="T91" i="5"/>
  <c r="U91" i="5"/>
  <c r="V91" i="5"/>
  <c r="H92" i="5"/>
  <c r="J92" i="5"/>
  <c r="R92" i="5"/>
  <c r="S92" i="5"/>
  <c r="T92" i="5"/>
  <c r="U92" i="5"/>
  <c r="V92" i="5"/>
  <c r="H93" i="5"/>
  <c r="J93" i="5"/>
  <c r="R93" i="5"/>
  <c r="S93" i="5"/>
  <c r="T93" i="5"/>
  <c r="U93" i="5"/>
  <c r="V93" i="5"/>
  <c r="H94" i="5"/>
  <c r="J94" i="5"/>
  <c r="R94" i="5"/>
  <c r="S94" i="5"/>
  <c r="T94" i="5"/>
  <c r="U94" i="5"/>
  <c r="V94" i="5"/>
  <c r="H95" i="5"/>
  <c r="J95" i="5"/>
  <c r="R95" i="5"/>
  <c r="S95" i="5"/>
  <c r="T95" i="5"/>
  <c r="U95" i="5"/>
  <c r="V95" i="5"/>
  <c r="H96" i="5"/>
  <c r="J96" i="5"/>
  <c r="R96" i="5"/>
  <c r="S96" i="5"/>
  <c r="T96" i="5"/>
  <c r="U96" i="5"/>
  <c r="V96" i="5"/>
  <c r="H97" i="5"/>
  <c r="J97" i="5"/>
  <c r="R97" i="5"/>
  <c r="S97" i="5"/>
  <c r="T97" i="5"/>
  <c r="U97" i="5"/>
  <c r="V97" i="5"/>
  <c r="H98" i="5"/>
  <c r="J98" i="5"/>
  <c r="R98" i="5"/>
  <c r="S98" i="5"/>
  <c r="T98" i="5"/>
  <c r="U98" i="5"/>
  <c r="V98" i="5"/>
  <c r="H99" i="5"/>
  <c r="J99" i="5"/>
  <c r="R99" i="5"/>
  <c r="S99" i="5"/>
  <c r="T99" i="5"/>
  <c r="U99" i="5"/>
  <c r="V99" i="5"/>
  <c r="H100" i="5"/>
  <c r="J100" i="5"/>
  <c r="R100" i="5"/>
  <c r="S100" i="5"/>
  <c r="T100" i="5"/>
  <c r="U100" i="5"/>
  <c r="V100" i="5"/>
  <c r="H101" i="5"/>
  <c r="J101" i="5"/>
  <c r="R101" i="5"/>
  <c r="S101" i="5"/>
  <c r="T101" i="5"/>
  <c r="U101" i="5"/>
  <c r="V101" i="5"/>
  <c r="H102" i="5"/>
  <c r="J102" i="5"/>
  <c r="R102" i="5"/>
  <c r="S102" i="5"/>
  <c r="T102" i="5"/>
  <c r="U102" i="5"/>
  <c r="V102" i="5"/>
  <c r="H103" i="5"/>
  <c r="J103" i="5"/>
  <c r="R103" i="5"/>
  <c r="S103" i="5"/>
  <c r="T103" i="5"/>
  <c r="U103" i="5"/>
  <c r="V103" i="5"/>
  <c r="H104" i="5"/>
  <c r="J104" i="5"/>
  <c r="R104" i="5"/>
  <c r="S104" i="5"/>
  <c r="T104" i="5"/>
  <c r="U104" i="5"/>
  <c r="V104" i="5"/>
  <c r="H105" i="5"/>
  <c r="J105" i="5"/>
  <c r="R105" i="5"/>
  <c r="S105" i="5"/>
  <c r="T105" i="5"/>
  <c r="U105" i="5"/>
  <c r="V105" i="5"/>
  <c r="H106" i="5"/>
  <c r="J106" i="5"/>
  <c r="R106" i="5"/>
  <c r="S106" i="5"/>
  <c r="T106" i="5"/>
  <c r="U106" i="5"/>
  <c r="V106" i="5"/>
  <c r="H107" i="5"/>
  <c r="J107" i="5"/>
  <c r="R107" i="5"/>
  <c r="S107" i="5"/>
  <c r="T107" i="5"/>
  <c r="U107" i="5"/>
  <c r="V107" i="5"/>
  <c r="H108" i="5"/>
  <c r="J108" i="5"/>
  <c r="R108" i="5"/>
  <c r="S108" i="5"/>
  <c r="T108" i="5"/>
  <c r="U108" i="5"/>
  <c r="V108" i="5"/>
  <c r="H109" i="5"/>
  <c r="J109" i="5"/>
  <c r="R109" i="5"/>
  <c r="S109" i="5"/>
  <c r="T109" i="5"/>
  <c r="U109" i="5"/>
  <c r="V109" i="5"/>
  <c r="H110" i="5"/>
  <c r="J110" i="5"/>
  <c r="R110" i="5"/>
  <c r="S110" i="5"/>
  <c r="T110" i="5"/>
  <c r="U110" i="5"/>
  <c r="V110" i="5"/>
  <c r="H111" i="5"/>
  <c r="J111" i="5"/>
  <c r="R111" i="5"/>
  <c r="S111" i="5"/>
  <c r="T111" i="5"/>
  <c r="U111" i="5"/>
  <c r="V111" i="5"/>
  <c r="H112" i="5"/>
  <c r="J112" i="5"/>
  <c r="R112" i="5"/>
  <c r="S112" i="5"/>
  <c r="T112" i="5"/>
  <c r="U112" i="5"/>
  <c r="V112" i="5"/>
  <c r="H113" i="5"/>
  <c r="J113" i="5"/>
  <c r="R113" i="5"/>
  <c r="S113" i="5"/>
  <c r="T113" i="5"/>
  <c r="U113" i="5"/>
  <c r="V113" i="5"/>
  <c r="H114" i="5"/>
  <c r="J114" i="5"/>
  <c r="R114" i="5"/>
  <c r="S114" i="5"/>
  <c r="T114" i="5"/>
  <c r="U114" i="5"/>
  <c r="V114" i="5"/>
  <c r="H115" i="5"/>
  <c r="J115" i="5"/>
  <c r="R115" i="5"/>
  <c r="S115" i="5"/>
  <c r="T115" i="5"/>
  <c r="U115" i="5"/>
  <c r="V115" i="5"/>
  <c r="H116" i="5"/>
  <c r="J116" i="5"/>
  <c r="R116" i="5"/>
  <c r="S116" i="5"/>
  <c r="T116" i="5"/>
  <c r="U116" i="5"/>
  <c r="V116" i="5"/>
  <c r="H117" i="5"/>
  <c r="J117" i="5"/>
  <c r="R117" i="5"/>
  <c r="S117" i="5"/>
  <c r="T117" i="5"/>
  <c r="U117" i="5"/>
  <c r="V117" i="5"/>
  <c r="H118" i="5"/>
  <c r="J118" i="5"/>
  <c r="R118" i="5"/>
  <c r="S118" i="5"/>
  <c r="T118" i="5"/>
  <c r="U118" i="5"/>
  <c r="V118" i="5"/>
  <c r="H119" i="5"/>
  <c r="J119" i="5"/>
  <c r="R119" i="5"/>
  <c r="S119" i="5"/>
  <c r="T119" i="5"/>
  <c r="U119" i="5"/>
  <c r="V119" i="5"/>
  <c r="H120" i="5"/>
  <c r="J120" i="5"/>
  <c r="R120" i="5"/>
  <c r="S120" i="5"/>
  <c r="T120" i="5"/>
  <c r="U120" i="5"/>
  <c r="V120" i="5"/>
  <c r="H121" i="5"/>
  <c r="J121" i="5"/>
  <c r="R121" i="5"/>
  <c r="S121" i="5"/>
  <c r="T121" i="5"/>
  <c r="U121" i="5"/>
  <c r="V121" i="5"/>
  <c r="H122" i="5"/>
  <c r="J122" i="5"/>
  <c r="R122" i="5"/>
  <c r="S122" i="5"/>
  <c r="T122" i="5"/>
  <c r="U122" i="5"/>
  <c r="V122" i="5"/>
  <c r="H123" i="5"/>
  <c r="J123" i="5"/>
  <c r="R123" i="5"/>
  <c r="S123" i="5"/>
  <c r="T123" i="5"/>
  <c r="U123" i="5"/>
  <c r="V123" i="5"/>
  <c r="H124" i="5"/>
  <c r="J124" i="5"/>
  <c r="R124" i="5"/>
  <c r="S124" i="5"/>
  <c r="T124" i="5"/>
  <c r="U124" i="5"/>
  <c r="V124" i="5"/>
  <c r="H125" i="5"/>
  <c r="J125" i="5"/>
  <c r="R125" i="5"/>
  <c r="S125" i="5"/>
  <c r="T125" i="5"/>
  <c r="U125" i="5"/>
  <c r="V125" i="5"/>
  <c r="H126" i="5"/>
  <c r="J126" i="5"/>
  <c r="R126" i="5"/>
  <c r="S126" i="5"/>
  <c r="T126" i="5"/>
  <c r="U126" i="5"/>
  <c r="V126" i="5"/>
  <c r="H127" i="5"/>
  <c r="J127" i="5"/>
  <c r="R127" i="5"/>
  <c r="S127" i="5"/>
  <c r="T127" i="5"/>
  <c r="U127" i="5"/>
  <c r="V127" i="5"/>
  <c r="H128" i="5"/>
  <c r="J128" i="5"/>
  <c r="R128" i="5"/>
  <c r="S128" i="5"/>
  <c r="T128" i="5"/>
  <c r="U128" i="5"/>
  <c r="V128" i="5"/>
  <c r="H129" i="5"/>
  <c r="J129" i="5"/>
  <c r="R129" i="5"/>
  <c r="S129" i="5"/>
  <c r="T129" i="5"/>
  <c r="U129" i="5"/>
  <c r="V129" i="5"/>
  <c r="H130" i="5"/>
  <c r="J130" i="5"/>
  <c r="R130" i="5"/>
  <c r="S130" i="5"/>
  <c r="T130" i="5"/>
  <c r="U130" i="5"/>
  <c r="V130" i="5"/>
  <c r="H131" i="5"/>
  <c r="J131" i="5"/>
  <c r="R131" i="5"/>
  <c r="S131" i="5"/>
  <c r="T131" i="5"/>
  <c r="U131" i="5"/>
  <c r="V131" i="5"/>
  <c r="H132" i="5"/>
  <c r="J132" i="5"/>
  <c r="R132" i="5"/>
  <c r="S132" i="5"/>
  <c r="T132" i="5"/>
  <c r="U132" i="5"/>
  <c r="V132" i="5"/>
  <c r="H133" i="5"/>
  <c r="J133" i="5"/>
  <c r="R133" i="5"/>
  <c r="S133" i="5"/>
  <c r="T133" i="5"/>
  <c r="U133" i="5"/>
  <c r="V133" i="5"/>
  <c r="H134" i="5"/>
  <c r="J134" i="5"/>
  <c r="R134" i="5"/>
  <c r="S134" i="5"/>
  <c r="T134" i="5"/>
  <c r="U134" i="5"/>
  <c r="V134" i="5"/>
  <c r="H135" i="5"/>
  <c r="J135" i="5"/>
  <c r="R135" i="5"/>
  <c r="S135" i="5"/>
  <c r="T135" i="5"/>
  <c r="U135" i="5"/>
  <c r="V135" i="5"/>
  <c r="H136" i="5"/>
  <c r="J136" i="5"/>
  <c r="R136" i="5"/>
  <c r="S136" i="5"/>
  <c r="T136" i="5"/>
  <c r="U136" i="5"/>
  <c r="V136" i="5"/>
  <c r="H137" i="5"/>
  <c r="J137" i="5"/>
  <c r="R137" i="5"/>
  <c r="S137" i="5"/>
  <c r="T137" i="5"/>
  <c r="U137" i="5"/>
  <c r="V137" i="5"/>
  <c r="H138" i="5"/>
  <c r="J138" i="5"/>
  <c r="R138" i="5"/>
  <c r="S138" i="5"/>
  <c r="T138" i="5"/>
  <c r="U138" i="5"/>
  <c r="V138" i="5"/>
  <c r="H139" i="5"/>
  <c r="J139" i="5"/>
  <c r="R139" i="5"/>
  <c r="S139" i="5"/>
  <c r="T139" i="5"/>
  <c r="U139" i="5"/>
  <c r="V139" i="5"/>
  <c r="H140" i="5"/>
  <c r="J140" i="5"/>
  <c r="R140" i="5"/>
  <c r="S140" i="5"/>
  <c r="T140" i="5"/>
  <c r="U140" i="5"/>
  <c r="V140" i="5"/>
  <c r="H141" i="5"/>
  <c r="J141" i="5"/>
  <c r="R141" i="5"/>
  <c r="S141" i="5"/>
  <c r="T141" i="5"/>
  <c r="U141" i="5"/>
  <c r="V141" i="5"/>
  <c r="H142" i="5"/>
  <c r="J142" i="5"/>
  <c r="R142" i="5"/>
  <c r="S142" i="5"/>
  <c r="T142" i="5"/>
  <c r="U142" i="5"/>
  <c r="V142" i="5"/>
  <c r="H143" i="5"/>
  <c r="J143" i="5"/>
  <c r="R143" i="5"/>
  <c r="S143" i="5"/>
  <c r="T143" i="5"/>
  <c r="U143" i="5"/>
  <c r="V143" i="5"/>
  <c r="H144" i="5"/>
  <c r="J144" i="5"/>
  <c r="R144" i="5"/>
  <c r="S144" i="5"/>
  <c r="T144" i="5"/>
  <c r="U144" i="5"/>
  <c r="V144" i="5"/>
  <c r="H145" i="5"/>
  <c r="J145" i="5"/>
  <c r="R145" i="5"/>
  <c r="S145" i="5"/>
  <c r="T145" i="5"/>
  <c r="U145" i="5"/>
  <c r="V145" i="5"/>
  <c r="H146" i="5"/>
  <c r="J146" i="5"/>
  <c r="R146" i="5"/>
  <c r="S146" i="5"/>
  <c r="T146" i="5"/>
  <c r="U146" i="5"/>
  <c r="V146" i="5"/>
  <c r="H147" i="5"/>
  <c r="J147" i="5"/>
  <c r="R147" i="5"/>
  <c r="S147" i="5"/>
  <c r="T147" i="5"/>
  <c r="U147" i="5"/>
  <c r="V147" i="5"/>
  <c r="H148" i="5"/>
  <c r="J148" i="5"/>
  <c r="R148" i="5"/>
  <c r="S148" i="5"/>
  <c r="T148" i="5"/>
  <c r="U148" i="5"/>
  <c r="V148" i="5"/>
  <c r="H149" i="5"/>
  <c r="J149" i="5"/>
  <c r="R149" i="5"/>
  <c r="S149" i="5"/>
  <c r="T149" i="5"/>
  <c r="U149" i="5"/>
  <c r="V149" i="5"/>
  <c r="H150" i="5"/>
  <c r="J150" i="5"/>
  <c r="R150" i="5"/>
  <c r="S150" i="5"/>
  <c r="T150" i="5"/>
  <c r="U150" i="5"/>
  <c r="V150" i="5"/>
  <c r="H151" i="5"/>
  <c r="J151" i="5"/>
  <c r="R151" i="5"/>
  <c r="S151" i="5"/>
  <c r="T151" i="5"/>
  <c r="U151" i="5"/>
  <c r="V151" i="5"/>
  <c r="H152" i="5"/>
  <c r="J152" i="5"/>
  <c r="R152" i="5"/>
  <c r="S152" i="5"/>
  <c r="T152" i="5"/>
  <c r="U152" i="5"/>
  <c r="V152" i="5"/>
  <c r="H153" i="5"/>
  <c r="J153" i="5"/>
  <c r="R153" i="5"/>
  <c r="S153" i="5"/>
  <c r="T153" i="5"/>
  <c r="U153" i="5"/>
  <c r="V153" i="5"/>
  <c r="H154" i="5"/>
  <c r="J154" i="5"/>
  <c r="R154" i="5"/>
  <c r="S154" i="5"/>
  <c r="T154" i="5"/>
  <c r="U154" i="5"/>
  <c r="V154" i="5"/>
  <c r="H155" i="5"/>
  <c r="J155" i="5"/>
  <c r="R155" i="5"/>
  <c r="S155" i="5"/>
  <c r="T155" i="5"/>
  <c r="U155" i="5"/>
  <c r="V155" i="5"/>
  <c r="H156" i="5"/>
  <c r="J156" i="5"/>
  <c r="R156" i="5"/>
  <c r="S156" i="5"/>
  <c r="T156" i="5"/>
  <c r="U156" i="5"/>
  <c r="V156" i="5"/>
  <c r="H157" i="5"/>
  <c r="J157" i="5"/>
  <c r="R157" i="5"/>
  <c r="S157" i="5"/>
  <c r="T157" i="5"/>
  <c r="U157" i="5"/>
  <c r="V157" i="5"/>
  <c r="H158" i="5"/>
  <c r="J158" i="5"/>
  <c r="R158" i="5"/>
  <c r="S158" i="5"/>
  <c r="T158" i="5"/>
  <c r="U158" i="5"/>
  <c r="V158" i="5"/>
  <c r="H159" i="5"/>
  <c r="J159" i="5"/>
  <c r="R159" i="5"/>
  <c r="S159" i="5"/>
  <c r="T159" i="5"/>
  <c r="U159" i="5"/>
  <c r="V159" i="5"/>
  <c r="H160" i="5"/>
  <c r="J160" i="5"/>
  <c r="R160" i="5"/>
  <c r="S160" i="5"/>
  <c r="T160" i="5"/>
  <c r="U160" i="5"/>
  <c r="V160" i="5"/>
  <c r="H161" i="5"/>
  <c r="J161" i="5"/>
  <c r="R161" i="5"/>
  <c r="S161" i="5"/>
  <c r="T161" i="5"/>
  <c r="U161" i="5"/>
  <c r="V161" i="5"/>
  <c r="H162" i="5"/>
  <c r="J162" i="5"/>
  <c r="R162" i="5"/>
  <c r="S162" i="5"/>
  <c r="T162" i="5"/>
  <c r="U162" i="5"/>
  <c r="V162" i="5"/>
  <c r="H163" i="5"/>
  <c r="J163" i="5"/>
  <c r="R163" i="5"/>
  <c r="S163" i="5"/>
  <c r="T163" i="5"/>
  <c r="U163" i="5"/>
  <c r="V163" i="5"/>
  <c r="H164" i="5"/>
  <c r="J164" i="5"/>
  <c r="R164" i="5"/>
  <c r="S164" i="5"/>
  <c r="T164" i="5"/>
  <c r="U164" i="5"/>
  <c r="V164" i="5"/>
  <c r="H165" i="5"/>
  <c r="J165" i="5"/>
  <c r="R165" i="5"/>
  <c r="S165" i="5"/>
  <c r="T165" i="5"/>
  <c r="U165" i="5"/>
  <c r="V165" i="5"/>
  <c r="H166" i="5"/>
  <c r="J166" i="5"/>
  <c r="R166" i="5"/>
  <c r="S166" i="5"/>
  <c r="T166" i="5"/>
  <c r="U166" i="5"/>
  <c r="V166" i="5"/>
  <c r="H167" i="5"/>
  <c r="J167" i="5"/>
  <c r="R167" i="5"/>
  <c r="S167" i="5"/>
  <c r="T167" i="5"/>
  <c r="U167" i="5"/>
  <c r="V167" i="5"/>
  <c r="H168" i="5"/>
  <c r="J168" i="5"/>
  <c r="R168" i="5"/>
  <c r="S168" i="5"/>
  <c r="T168" i="5"/>
  <c r="U168" i="5"/>
  <c r="V168" i="5"/>
  <c r="H169" i="5"/>
  <c r="J169" i="5"/>
  <c r="R169" i="5"/>
  <c r="S169" i="5"/>
  <c r="T169" i="5"/>
  <c r="U169" i="5"/>
  <c r="V169" i="5"/>
  <c r="H170" i="5"/>
  <c r="J170" i="5"/>
  <c r="R170" i="5"/>
  <c r="S170" i="5"/>
  <c r="T170" i="5"/>
  <c r="U170" i="5"/>
  <c r="V170" i="5"/>
  <c r="H171" i="5"/>
  <c r="J171" i="5"/>
  <c r="R171" i="5"/>
  <c r="S171" i="5"/>
  <c r="T171" i="5"/>
  <c r="U171" i="5"/>
  <c r="V171" i="5"/>
  <c r="H172" i="5"/>
  <c r="J172" i="5"/>
  <c r="R172" i="5"/>
  <c r="S172" i="5"/>
  <c r="T172" i="5"/>
  <c r="U172" i="5"/>
  <c r="V172" i="5"/>
  <c r="H173" i="5"/>
  <c r="J173" i="5"/>
  <c r="R173" i="5"/>
  <c r="S173" i="5"/>
  <c r="T173" i="5"/>
  <c r="U173" i="5"/>
  <c r="V173" i="5"/>
  <c r="H174" i="5"/>
  <c r="J174" i="5"/>
  <c r="R174" i="5"/>
  <c r="S174" i="5"/>
  <c r="T174" i="5"/>
  <c r="U174" i="5"/>
  <c r="V174" i="5"/>
  <c r="H175" i="5"/>
  <c r="J175" i="5"/>
  <c r="R175" i="5"/>
  <c r="S175" i="5"/>
  <c r="T175" i="5"/>
  <c r="U175" i="5"/>
  <c r="V175" i="5"/>
  <c r="H176" i="5"/>
  <c r="J176" i="5"/>
  <c r="R176" i="5"/>
  <c r="S176" i="5"/>
  <c r="T176" i="5"/>
  <c r="U176" i="5"/>
  <c r="V176" i="5"/>
  <c r="H177" i="5"/>
  <c r="J177" i="5"/>
  <c r="R177" i="5"/>
  <c r="S177" i="5"/>
  <c r="T177" i="5"/>
  <c r="U177" i="5"/>
  <c r="V177" i="5"/>
  <c r="H178" i="5"/>
  <c r="J178" i="5"/>
  <c r="R178" i="5"/>
  <c r="S178" i="5"/>
  <c r="T178" i="5"/>
  <c r="U178" i="5"/>
  <c r="V178" i="5"/>
  <c r="H179" i="5"/>
  <c r="J179" i="5"/>
  <c r="R179" i="5"/>
  <c r="S179" i="5"/>
  <c r="T179" i="5"/>
  <c r="U179" i="5"/>
  <c r="V179" i="5"/>
  <c r="H180" i="5"/>
  <c r="J180" i="5"/>
  <c r="R180" i="5"/>
  <c r="S180" i="5"/>
  <c r="T180" i="5"/>
  <c r="U180" i="5"/>
  <c r="V180" i="5"/>
  <c r="H181" i="5"/>
  <c r="J181" i="5"/>
  <c r="R181" i="5"/>
  <c r="S181" i="5"/>
  <c r="T181" i="5"/>
  <c r="U181" i="5"/>
  <c r="V181" i="5"/>
  <c r="H182" i="5"/>
  <c r="J182" i="5"/>
  <c r="R182" i="5"/>
  <c r="S182" i="5"/>
  <c r="T182" i="5"/>
  <c r="U182" i="5"/>
  <c r="V182" i="5"/>
  <c r="H183" i="5"/>
  <c r="J183" i="5"/>
  <c r="R183" i="5"/>
  <c r="S183" i="5"/>
  <c r="T183" i="5"/>
  <c r="U183" i="5"/>
  <c r="V183" i="5"/>
  <c r="H184" i="5"/>
  <c r="J184" i="5"/>
  <c r="R184" i="5"/>
  <c r="S184" i="5"/>
  <c r="T184" i="5"/>
  <c r="U184" i="5"/>
  <c r="V184" i="5"/>
  <c r="H185" i="5"/>
  <c r="J185" i="5"/>
  <c r="R185" i="5"/>
  <c r="S185" i="5"/>
  <c r="T185" i="5"/>
  <c r="U185" i="5"/>
  <c r="V185" i="5"/>
  <c r="H186" i="5"/>
  <c r="J186" i="5"/>
  <c r="R186" i="5"/>
  <c r="S186" i="5"/>
  <c r="T186" i="5"/>
  <c r="U186" i="5"/>
  <c r="V186" i="5"/>
  <c r="H187" i="5"/>
  <c r="J187" i="5"/>
  <c r="R187" i="5"/>
  <c r="S187" i="5"/>
  <c r="T187" i="5"/>
  <c r="U187" i="5"/>
  <c r="V187" i="5"/>
  <c r="H188" i="5"/>
  <c r="J188" i="5"/>
  <c r="R188" i="5"/>
  <c r="S188" i="5"/>
  <c r="T188" i="5"/>
  <c r="U188" i="5"/>
  <c r="V188" i="5"/>
  <c r="H189" i="5"/>
  <c r="J189" i="5"/>
  <c r="R189" i="5"/>
  <c r="S189" i="5"/>
  <c r="T189" i="5"/>
  <c r="U189" i="5"/>
  <c r="V189" i="5"/>
  <c r="H190" i="5"/>
  <c r="J190" i="5"/>
  <c r="R190" i="5"/>
  <c r="S190" i="5"/>
  <c r="T190" i="5"/>
  <c r="U190" i="5"/>
  <c r="V190" i="5"/>
  <c r="H191" i="5"/>
  <c r="J191" i="5"/>
  <c r="R191" i="5"/>
  <c r="S191" i="5"/>
  <c r="T191" i="5"/>
  <c r="U191" i="5"/>
  <c r="V191" i="5"/>
  <c r="H192" i="5"/>
  <c r="J192" i="5"/>
  <c r="R192" i="5"/>
  <c r="S192" i="5"/>
  <c r="T192" i="5"/>
  <c r="U192" i="5"/>
  <c r="V192" i="5"/>
  <c r="H193" i="5"/>
  <c r="J193" i="5"/>
  <c r="R193" i="5"/>
  <c r="S193" i="5"/>
  <c r="T193" i="5"/>
  <c r="U193" i="5"/>
  <c r="V193" i="5"/>
  <c r="H194" i="5"/>
  <c r="J194" i="5"/>
  <c r="R194" i="5"/>
  <c r="S194" i="5"/>
  <c r="T194" i="5"/>
  <c r="U194" i="5"/>
  <c r="V194" i="5"/>
  <c r="H195" i="5"/>
  <c r="J195" i="5"/>
  <c r="R195" i="5"/>
  <c r="S195" i="5"/>
  <c r="T195" i="5"/>
  <c r="U195" i="5"/>
  <c r="V195" i="5"/>
  <c r="H196" i="5"/>
  <c r="J196" i="5"/>
  <c r="R196" i="5"/>
  <c r="S196" i="5"/>
  <c r="T196" i="5"/>
  <c r="U196" i="5"/>
  <c r="V196" i="5"/>
  <c r="H197" i="5"/>
  <c r="J197" i="5"/>
  <c r="R197" i="5"/>
  <c r="S197" i="5"/>
  <c r="T197" i="5"/>
  <c r="U197" i="5"/>
  <c r="V197" i="5"/>
  <c r="H198" i="5"/>
  <c r="J198" i="5"/>
  <c r="R198" i="5"/>
  <c r="S198" i="5"/>
  <c r="T198" i="5"/>
  <c r="U198" i="5"/>
  <c r="V198" i="5"/>
  <c r="H199" i="5"/>
  <c r="J199" i="5"/>
  <c r="R199" i="5"/>
  <c r="S199" i="5"/>
  <c r="T199" i="5"/>
  <c r="U199" i="5"/>
  <c r="V199" i="5"/>
  <c r="H200" i="5"/>
  <c r="J200" i="5"/>
  <c r="R200" i="5"/>
  <c r="S200" i="5"/>
  <c r="T200" i="5"/>
  <c r="U200" i="5"/>
  <c r="V200" i="5"/>
  <c r="H201" i="5"/>
  <c r="J201" i="5"/>
  <c r="R201" i="5"/>
  <c r="S201" i="5"/>
  <c r="T201" i="5"/>
  <c r="U201" i="5"/>
  <c r="V201" i="5"/>
  <c r="H202" i="5"/>
  <c r="J202" i="5"/>
  <c r="R202" i="5"/>
  <c r="S202" i="5"/>
  <c r="T202" i="5"/>
  <c r="U202" i="5"/>
  <c r="V202" i="5"/>
  <c r="H203" i="5"/>
  <c r="J203" i="5"/>
  <c r="R203" i="5"/>
  <c r="S203" i="5"/>
  <c r="T203" i="5"/>
  <c r="U203" i="5"/>
  <c r="V203" i="5"/>
  <c r="H204" i="5"/>
  <c r="J204" i="5"/>
  <c r="R204" i="5"/>
  <c r="S204" i="5"/>
  <c r="T204" i="5"/>
  <c r="U204" i="5"/>
  <c r="V204" i="5"/>
  <c r="H205" i="5"/>
  <c r="J205" i="5"/>
  <c r="R205" i="5"/>
  <c r="S205" i="5"/>
  <c r="T205" i="5"/>
  <c r="U205" i="5"/>
  <c r="V205" i="5"/>
  <c r="H206" i="5"/>
  <c r="J206" i="5"/>
  <c r="R206" i="5"/>
  <c r="S206" i="5"/>
  <c r="T206" i="5"/>
  <c r="U206" i="5"/>
  <c r="V206" i="5"/>
  <c r="H207" i="5"/>
  <c r="J207" i="5"/>
  <c r="R207" i="5"/>
  <c r="S207" i="5"/>
  <c r="T207" i="5"/>
  <c r="U207" i="5"/>
  <c r="V207" i="5"/>
  <c r="H208" i="5"/>
  <c r="J208" i="5"/>
  <c r="R208" i="5"/>
  <c r="S208" i="5"/>
  <c r="T208" i="5"/>
  <c r="U208" i="5"/>
  <c r="V208" i="5"/>
  <c r="H209" i="5"/>
  <c r="J209" i="5"/>
  <c r="R209" i="5"/>
  <c r="S209" i="5"/>
  <c r="T209" i="5"/>
  <c r="U209" i="5"/>
  <c r="V209" i="5"/>
  <c r="H210" i="5"/>
  <c r="J210" i="5"/>
  <c r="R210" i="5"/>
  <c r="S210" i="5"/>
  <c r="T210" i="5"/>
  <c r="U210" i="5"/>
  <c r="V210" i="5"/>
  <c r="H211" i="5"/>
  <c r="J211" i="5"/>
  <c r="R211" i="5"/>
  <c r="S211" i="5"/>
  <c r="T211" i="5"/>
  <c r="U211" i="5"/>
  <c r="V211" i="5"/>
  <c r="H212" i="5"/>
  <c r="J212" i="5"/>
  <c r="R212" i="5"/>
  <c r="S212" i="5"/>
  <c r="T212" i="5"/>
  <c r="U212" i="5"/>
  <c r="V212" i="5"/>
  <c r="H213" i="5"/>
  <c r="J213" i="5"/>
  <c r="R213" i="5"/>
  <c r="S213" i="5"/>
  <c r="T213" i="5"/>
  <c r="U213" i="5"/>
  <c r="V213" i="5"/>
  <c r="H214" i="5"/>
  <c r="J214" i="5"/>
  <c r="R214" i="5"/>
  <c r="S214" i="5"/>
  <c r="T214" i="5"/>
  <c r="U214" i="5"/>
  <c r="V214" i="5"/>
  <c r="H215" i="5"/>
  <c r="J215" i="5"/>
  <c r="R215" i="5"/>
  <c r="S215" i="5"/>
  <c r="T215" i="5"/>
  <c r="U215" i="5"/>
  <c r="V215" i="5"/>
  <c r="H216" i="5"/>
  <c r="J216" i="5"/>
  <c r="R216" i="5"/>
  <c r="S216" i="5"/>
  <c r="T216" i="5"/>
  <c r="U216" i="5"/>
  <c r="V216" i="5"/>
  <c r="H217" i="5"/>
  <c r="J217" i="5"/>
  <c r="R217" i="5"/>
  <c r="S217" i="5"/>
  <c r="T217" i="5"/>
  <c r="U217" i="5"/>
  <c r="V217" i="5"/>
  <c r="H218" i="5"/>
  <c r="J218" i="5"/>
  <c r="R218" i="5"/>
  <c r="S218" i="5"/>
  <c r="T218" i="5"/>
  <c r="U218" i="5"/>
  <c r="V218" i="5"/>
  <c r="H219" i="5"/>
  <c r="J219" i="5"/>
  <c r="R219" i="5"/>
  <c r="S219" i="5"/>
  <c r="T219" i="5"/>
  <c r="U219" i="5"/>
  <c r="V219" i="5"/>
  <c r="H220" i="5"/>
  <c r="J220" i="5"/>
  <c r="R220" i="5"/>
  <c r="S220" i="5"/>
  <c r="T220" i="5"/>
  <c r="U220" i="5"/>
  <c r="V220" i="5"/>
  <c r="H221" i="5"/>
  <c r="J221" i="5"/>
  <c r="R221" i="5"/>
  <c r="S221" i="5"/>
  <c r="T221" i="5"/>
  <c r="U221" i="5"/>
  <c r="V221" i="5"/>
  <c r="H222" i="5"/>
  <c r="J222" i="5"/>
  <c r="R222" i="5"/>
  <c r="S222" i="5"/>
  <c r="T222" i="5"/>
  <c r="U222" i="5"/>
  <c r="V222" i="5"/>
  <c r="H223" i="5"/>
  <c r="J223" i="5"/>
  <c r="R223" i="5"/>
  <c r="S223" i="5"/>
  <c r="T223" i="5"/>
  <c r="U223" i="5"/>
  <c r="V223" i="5"/>
  <c r="H224" i="5"/>
  <c r="J224" i="5"/>
  <c r="R224" i="5"/>
  <c r="S224" i="5"/>
  <c r="T224" i="5"/>
  <c r="U224" i="5"/>
  <c r="V224" i="5"/>
  <c r="H225" i="5"/>
  <c r="J225" i="5"/>
  <c r="R225" i="5"/>
  <c r="S225" i="5"/>
  <c r="T225" i="5"/>
  <c r="U225" i="5"/>
  <c r="V225" i="5"/>
  <c r="H226" i="5"/>
  <c r="J226" i="5"/>
  <c r="R226" i="5"/>
  <c r="S226" i="5"/>
  <c r="T226" i="5"/>
  <c r="U226" i="5"/>
  <c r="V226" i="5"/>
  <c r="H227" i="5"/>
  <c r="J227" i="5"/>
  <c r="R227" i="5"/>
  <c r="S227" i="5"/>
  <c r="T227" i="5"/>
  <c r="U227" i="5"/>
  <c r="V227" i="5"/>
  <c r="H228" i="5"/>
  <c r="J228" i="5"/>
  <c r="R228" i="5"/>
  <c r="S228" i="5"/>
  <c r="T228" i="5"/>
  <c r="U228" i="5"/>
  <c r="V228" i="5"/>
  <c r="H229" i="5"/>
  <c r="J229" i="5"/>
  <c r="R229" i="5"/>
  <c r="S229" i="5"/>
  <c r="T229" i="5"/>
  <c r="U229" i="5"/>
  <c r="V229" i="5"/>
  <c r="H230" i="5"/>
  <c r="J230" i="5"/>
  <c r="R230" i="5"/>
  <c r="S230" i="5"/>
  <c r="T230" i="5"/>
  <c r="U230" i="5"/>
  <c r="V230" i="5"/>
  <c r="H231" i="5"/>
  <c r="J231" i="5"/>
  <c r="R231" i="5"/>
  <c r="S231" i="5"/>
  <c r="T231" i="5"/>
  <c r="U231" i="5"/>
  <c r="V231" i="5"/>
  <c r="H232" i="5"/>
  <c r="J232" i="5"/>
  <c r="R232" i="5"/>
  <c r="S232" i="5"/>
  <c r="T232" i="5"/>
  <c r="U232" i="5"/>
  <c r="V232" i="5"/>
  <c r="H233" i="5"/>
  <c r="J233" i="5"/>
  <c r="R233" i="5"/>
  <c r="S233" i="5"/>
  <c r="T233" i="5"/>
  <c r="U233" i="5"/>
  <c r="V233" i="5"/>
  <c r="H234" i="5"/>
  <c r="J234" i="5"/>
  <c r="R234" i="5"/>
  <c r="S234" i="5"/>
  <c r="T234" i="5"/>
  <c r="U234" i="5"/>
  <c r="V234" i="5"/>
  <c r="H235" i="5"/>
  <c r="J235" i="5"/>
  <c r="R235" i="5"/>
  <c r="S235" i="5"/>
  <c r="T235" i="5"/>
  <c r="U235" i="5"/>
  <c r="V235" i="5"/>
  <c r="H236" i="5"/>
  <c r="J236" i="5"/>
  <c r="R236" i="5"/>
  <c r="S236" i="5"/>
  <c r="T236" i="5"/>
  <c r="U236" i="5"/>
  <c r="V236" i="5"/>
  <c r="H237" i="5"/>
  <c r="J237" i="5"/>
  <c r="R237" i="5"/>
  <c r="S237" i="5"/>
  <c r="T237" i="5"/>
  <c r="U237" i="5"/>
  <c r="V237" i="5"/>
  <c r="H238" i="5"/>
  <c r="J238" i="5"/>
  <c r="R238" i="5"/>
  <c r="S238" i="5"/>
  <c r="T238" i="5"/>
  <c r="U238" i="5"/>
  <c r="V238" i="5"/>
  <c r="H239" i="5"/>
  <c r="J239" i="5"/>
  <c r="R239" i="5"/>
  <c r="S239" i="5"/>
  <c r="T239" i="5"/>
  <c r="U239" i="5"/>
  <c r="V239" i="5"/>
  <c r="H240" i="5"/>
  <c r="J240" i="5"/>
  <c r="R240" i="5"/>
  <c r="S240" i="5"/>
  <c r="T240" i="5"/>
  <c r="U240" i="5"/>
  <c r="V240" i="5"/>
  <c r="H241" i="5"/>
  <c r="J241" i="5"/>
  <c r="R241" i="5"/>
  <c r="S241" i="5"/>
  <c r="T241" i="5"/>
  <c r="U241" i="5"/>
  <c r="V241" i="5"/>
  <c r="H242" i="5"/>
  <c r="J242" i="5"/>
  <c r="R242" i="5"/>
  <c r="S242" i="5"/>
  <c r="T242" i="5"/>
  <c r="U242" i="5"/>
  <c r="V242" i="5"/>
  <c r="H243" i="5"/>
  <c r="J243" i="5"/>
  <c r="R243" i="5"/>
  <c r="S243" i="5"/>
  <c r="T243" i="5"/>
  <c r="U243" i="5"/>
  <c r="V243" i="5"/>
  <c r="H244" i="5"/>
  <c r="J244" i="5"/>
  <c r="R244" i="5"/>
  <c r="S244" i="5"/>
  <c r="T244" i="5"/>
  <c r="U244" i="5"/>
  <c r="V244" i="5"/>
  <c r="H245" i="5"/>
  <c r="J245" i="5"/>
  <c r="R245" i="5"/>
  <c r="S245" i="5"/>
  <c r="T245" i="5"/>
  <c r="U245" i="5"/>
  <c r="V245" i="5"/>
  <c r="H246" i="5"/>
  <c r="J246" i="5"/>
  <c r="R246" i="5"/>
  <c r="S246" i="5"/>
  <c r="T246" i="5"/>
  <c r="U246" i="5"/>
  <c r="V246" i="5"/>
  <c r="H247" i="5"/>
  <c r="J247" i="5"/>
  <c r="R247" i="5"/>
  <c r="S247" i="5"/>
  <c r="T247" i="5"/>
  <c r="U247" i="5"/>
  <c r="V247" i="5"/>
  <c r="H248" i="5"/>
  <c r="J248" i="5"/>
  <c r="R248" i="5"/>
  <c r="S248" i="5"/>
  <c r="T248" i="5"/>
  <c r="U248" i="5"/>
  <c r="V248" i="5"/>
  <c r="H249" i="5"/>
  <c r="J249" i="5"/>
  <c r="R249" i="5"/>
  <c r="S249" i="5"/>
  <c r="T249" i="5"/>
  <c r="U249" i="5"/>
  <c r="V249" i="5"/>
  <c r="H250" i="5"/>
  <c r="J250" i="5"/>
  <c r="R250" i="5"/>
  <c r="S250" i="5"/>
  <c r="T250" i="5"/>
  <c r="U250" i="5"/>
  <c r="V250" i="5"/>
  <c r="H251" i="5"/>
  <c r="J251" i="5"/>
  <c r="R251" i="5"/>
  <c r="S251" i="5"/>
  <c r="T251" i="5"/>
  <c r="U251" i="5"/>
  <c r="V251" i="5"/>
  <c r="H252" i="5"/>
  <c r="J252" i="5"/>
  <c r="R252" i="5"/>
  <c r="S252" i="5"/>
  <c r="T252" i="5"/>
  <c r="U252" i="5"/>
  <c r="V252" i="5"/>
  <c r="H253" i="5"/>
  <c r="J253" i="5"/>
  <c r="R253" i="5"/>
  <c r="S253" i="5"/>
  <c r="T253" i="5"/>
  <c r="U253" i="5"/>
  <c r="V253" i="5"/>
  <c r="H254" i="5"/>
  <c r="J254" i="5"/>
  <c r="R254" i="5"/>
  <c r="S254" i="5"/>
  <c r="T254" i="5"/>
  <c r="U254" i="5"/>
  <c r="V254" i="5"/>
  <c r="H255" i="5"/>
  <c r="J255" i="5"/>
  <c r="R255" i="5"/>
  <c r="S255" i="5"/>
  <c r="T255" i="5"/>
  <c r="U255" i="5"/>
  <c r="V255" i="5"/>
  <c r="H256" i="5"/>
  <c r="J256" i="5"/>
  <c r="R256" i="5"/>
  <c r="S256" i="5"/>
  <c r="T256" i="5"/>
  <c r="U256" i="5"/>
  <c r="V256" i="5"/>
  <c r="H257" i="5"/>
  <c r="J257" i="5"/>
  <c r="R257" i="5"/>
  <c r="S257" i="5"/>
  <c r="T257" i="5"/>
  <c r="U257" i="5"/>
  <c r="V257" i="5"/>
  <c r="H258" i="5"/>
  <c r="J258" i="5"/>
  <c r="R258" i="5"/>
  <c r="S258" i="5"/>
  <c r="T258" i="5"/>
  <c r="U258" i="5"/>
  <c r="V258" i="5"/>
  <c r="H259" i="5"/>
  <c r="J259" i="5"/>
  <c r="R259" i="5"/>
  <c r="S259" i="5"/>
  <c r="T259" i="5"/>
  <c r="U259" i="5"/>
  <c r="V259" i="5"/>
  <c r="H260" i="5"/>
  <c r="J260" i="5"/>
  <c r="R260" i="5"/>
  <c r="S260" i="5"/>
  <c r="T260" i="5"/>
  <c r="U260" i="5"/>
  <c r="V260" i="5"/>
  <c r="H261" i="5"/>
  <c r="J261" i="5"/>
  <c r="R261" i="5"/>
  <c r="S261" i="5"/>
  <c r="T261" i="5"/>
  <c r="U261" i="5"/>
  <c r="V261" i="5"/>
  <c r="H262" i="5"/>
  <c r="J262" i="5"/>
  <c r="R262" i="5"/>
  <c r="S262" i="5"/>
  <c r="T262" i="5"/>
  <c r="U262" i="5"/>
  <c r="V262" i="5"/>
  <c r="H263" i="5"/>
  <c r="J263" i="5"/>
  <c r="R263" i="5"/>
  <c r="S263" i="5"/>
  <c r="T263" i="5"/>
  <c r="U263" i="5"/>
  <c r="V263" i="5"/>
  <c r="H264" i="5"/>
  <c r="J264" i="5"/>
  <c r="R264" i="5"/>
  <c r="S264" i="5"/>
  <c r="T264" i="5"/>
  <c r="U264" i="5"/>
  <c r="V264" i="5"/>
  <c r="H265" i="5"/>
  <c r="J265" i="5"/>
  <c r="R265" i="5"/>
  <c r="S265" i="5"/>
  <c r="T265" i="5"/>
  <c r="U265" i="5"/>
  <c r="V265" i="5"/>
  <c r="H266" i="5"/>
  <c r="J266" i="5"/>
  <c r="R266" i="5"/>
  <c r="S266" i="5"/>
  <c r="T266" i="5"/>
  <c r="U266" i="5"/>
  <c r="V266" i="5"/>
  <c r="H267" i="5"/>
  <c r="J267" i="5"/>
  <c r="R267" i="5"/>
  <c r="S267" i="5"/>
  <c r="T267" i="5"/>
  <c r="U267" i="5"/>
  <c r="V267" i="5"/>
  <c r="H268" i="5"/>
  <c r="J268" i="5"/>
  <c r="R268" i="5"/>
  <c r="S268" i="5"/>
  <c r="T268" i="5"/>
  <c r="U268" i="5"/>
  <c r="V268" i="5"/>
  <c r="H269" i="5"/>
  <c r="J269" i="5"/>
  <c r="R269" i="5"/>
  <c r="S269" i="5"/>
  <c r="T269" i="5"/>
  <c r="U269" i="5"/>
  <c r="V269" i="5"/>
  <c r="H270" i="5"/>
  <c r="J270" i="5"/>
  <c r="R270" i="5"/>
  <c r="S270" i="5"/>
  <c r="T270" i="5"/>
  <c r="U270" i="5"/>
  <c r="V270" i="5"/>
  <c r="H271" i="5"/>
  <c r="J271" i="5"/>
  <c r="R271" i="5"/>
  <c r="S271" i="5"/>
  <c r="T271" i="5"/>
  <c r="U271" i="5"/>
  <c r="V271" i="5"/>
  <c r="H272" i="5"/>
  <c r="J272" i="5"/>
  <c r="R272" i="5"/>
  <c r="S272" i="5"/>
  <c r="T272" i="5"/>
  <c r="U272" i="5"/>
  <c r="V272" i="5"/>
  <c r="H273" i="5"/>
  <c r="J273" i="5"/>
  <c r="R273" i="5"/>
  <c r="S273" i="5"/>
  <c r="T273" i="5"/>
  <c r="U273" i="5"/>
  <c r="V273" i="5"/>
  <c r="H274" i="5"/>
  <c r="J274" i="5"/>
  <c r="R274" i="5"/>
  <c r="S274" i="5"/>
  <c r="T274" i="5"/>
  <c r="U274" i="5"/>
  <c r="V274" i="5"/>
  <c r="H275" i="5"/>
  <c r="J275" i="5"/>
  <c r="R275" i="5"/>
  <c r="S275" i="5"/>
  <c r="T275" i="5"/>
  <c r="U275" i="5"/>
  <c r="V275" i="5"/>
  <c r="H276" i="5"/>
  <c r="J276" i="5"/>
  <c r="R276" i="5"/>
  <c r="S276" i="5"/>
  <c r="T276" i="5"/>
  <c r="U276" i="5"/>
  <c r="V276" i="5"/>
  <c r="H277" i="5"/>
  <c r="J277" i="5"/>
  <c r="R277" i="5"/>
  <c r="S277" i="5"/>
  <c r="T277" i="5"/>
  <c r="U277" i="5"/>
  <c r="V277" i="5"/>
  <c r="H278" i="5"/>
  <c r="J278" i="5"/>
  <c r="R278" i="5"/>
  <c r="S278" i="5"/>
  <c r="T278" i="5"/>
  <c r="U278" i="5"/>
  <c r="V278" i="5"/>
  <c r="H279" i="5"/>
  <c r="J279" i="5"/>
  <c r="R279" i="5"/>
  <c r="S279" i="5"/>
  <c r="T279" i="5"/>
  <c r="U279" i="5"/>
  <c r="V279" i="5"/>
  <c r="H280" i="5"/>
  <c r="J280" i="5"/>
  <c r="R280" i="5"/>
  <c r="S280" i="5"/>
  <c r="T280" i="5"/>
  <c r="U280" i="5"/>
  <c r="V280" i="5"/>
  <c r="H281" i="5"/>
  <c r="J281" i="5"/>
  <c r="R281" i="5"/>
  <c r="S281" i="5"/>
  <c r="T281" i="5"/>
  <c r="U281" i="5"/>
  <c r="V281" i="5"/>
  <c r="H282" i="5"/>
  <c r="J282" i="5"/>
  <c r="R282" i="5"/>
  <c r="S282" i="5"/>
  <c r="T282" i="5"/>
  <c r="U282" i="5"/>
  <c r="V282" i="5"/>
  <c r="H283" i="5"/>
  <c r="J283" i="5"/>
  <c r="R283" i="5"/>
  <c r="S283" i="5"/>
  <c r="T283" i="5"/>
  <c r="U283" i="5"/>
  <c r="V283" i="5"/>
  <c r="H284" i="5"/>
  <c r="J284" i="5"/>
  <c r="R284" i="5"/>
  <c r="S284" i="5"/>
  <c r="T284" i="5"/>
  <c r="U284" i="5"/>
  <c r="V284" i="5"/>
  <c r="H285" i="5"/>
  <c r="J285" i="5"/>
  <c r="R285" i="5"/>
  <c r="S285" i="5"/>
  <c r="T285" i="5"/>
  <c r="U285" i="5"/>
  <c r="V285" i="5"/>
  <c r="H286" i="5"/>
  <c r="J286" i="5"/>
  <c r="R286" i="5"/>
  <c r="S286" i="5"/>
  <c r="T286" i="5"/>
  <c r="U286" i="5"/>
  <c r="V286" i="5"/>
  <c r="H287" i="5"/>
  <c r="J287" i="5"/>
  <c r="R287" i="5"/>
  <c r="S287" i="5"/>
  <c r="T287" i="5"/>
  <c r="U287" i="5"/>
  <c r="V287" i="5"/>
  <c r="H288" i="5"/>
  <c r="J288" i="5"/>
  <c r="R288" i="5"/>
  <c r="S288" i="5"/>
  <c r="T288" i="5"/>
  <c r="U288" i="5"/>
  <c r="V288" i="5"/>
  <c r="H289" i="5"/>
  <c r="J289" i="5"/>
  <c r="R289" i="5"/>
  <c r="S289" i="5"/>
  <c r="T289" i="5"/>
  <c r="U289" i="5"/>
  <c r="V289" i="5"/>
  <c r="H290" i="5"/>
  <c r="J290" i="5"/>
  <c r="R290" i="5"/>
  <c r="S290" i="5"/>
  <c r="T290" i="5"/>
  <c r="U290" i="5"/>
  <c r="V290" i="5"/>
  <c r="H291" i="5"/>
  <c r="J291" i="5"/>
  <c r="R291" i="5"/>
  <c r="S291" i="5"/>
  <c r="T291" i="5"/>
  <c r="U291" i="5"/>
  <c r="V291" i="5"/>
  <c r="H292" i="5"/>
  <c r="J292" i="5"/>
  <c r="R292" i="5"/>
  <c r="S292" i="5"/>
  <c r="T292" i="5"/>
  <c r="U292" i="5"/>
  <c r="V292" i="5"/>
  <c r="H293" i="5"/>
  <c r="J293" i="5"/>
  <c r="R293" i="5"/>
  <c r="S293" i="5"/>
  <c r="T293" i="5"/>
  <c r="U293" i="5"/>
  <c r="V293" i="5"/>
  <c r="H294" i="5"/>
  <c r="J294" i="5"/>
  <c r="R294" i="5"/>
  <c r="S294" i="5"/>
  <c r="T294" i="5"/>
  <c r="U294" i="5"/>
  <c r="V294" i="5"/>
  <c r="H295" i="5"/>
  <c r="J295" i="5"/>
  <c r="R295" i="5"/>
  <c r="S295" i="5"/>
  <c r="T295" i="5"/>
  <c r="U295" i="5"/>
  <c r="V295" i="5"/>
  <c r="H296" i="5"/>
  <c r="J296" i="5"/>
  <c r="R296" i="5"/>
  <c r="S296" i="5"/>
  <c r="T296" i="5"/>
  <c r="U296" i="5"/>
  <c r="V296" i="5"/>
  <c r="H297" i="5"/>
  <c r="J297" i="5"/>
  <c r="R297" i="5"/>
  <c r="S297" i="5"/>
  <c r="T297" i="5"/>
  <c r="U297" i="5"/>
  <c r="V297" i="5"/>
  <c r="H298" i="5"/>
  <c r="J298" i="5"/>
  <c r="R298" i="5"/>
  <c r="S298" i="5"/>
  <c r="T298" i="5"/>
  <c r="U298" i="5"/>
  <c r="V298" i="5"/>
  <c r="H299" i="5"/>
  <c r="J299" i="5"/>
  <c r="R299" i="5"/>
  <c r="S299" i="5"/>
  <c r="T299" i="5"/>
  <c r="U299" i="5"/>
  <c r="V299" i="5"/>
  <c r="H300" i="5"/>
  <c r="J300" i="5"/>
  <c r="R300" i="5"/>
  <c r="S300" i="5"/>
  <c r="T300" i="5"/>
  <c r="U300" i="5"/>
  <c r="V300" i="5"/>
  <c r="H301" i="5"/>
  <c r="J301" i="5"/>
  <c r="R301" i="5"/>
  <c r="S301" i="5"/>
  <c r="T301" i="5"/>
  <c r="U301" i="5"/>
  <c r="V301" i="5"/>
  <c r="N53" i="1"/>
  <c r="N54" i="1"/>
  <c r="N56" i="1"/>
  <c r="N63" i="1"/>
  <c r="N64" i="1"/>
  <c r="N68" i="1"/>
  <c r="N69" i="1"/>
  <c r="N80" i="1"/>
  <c r="N81" i="1"/>
  <c r="B25" i="4"/>
  <c r="B26" i="4"/>
</calcChain>
</file>

<file path=xl/comments1.xml><?xml version="1.0" encoding="utf-8"?>
<comments xmlns="http://schemas.openxmlformats.org/spreadsheetml/2006/main">
  <authors>
    <author>yuding</author>
  </authors>
  <commentList>
    <comment ref="A10" authorId="0" shapeId="0">
      <text>
        <r>
          <rPr>
            <b/>
            <sz val="9"/>
            <color indexed="81"/>
            <rFont val="宋体"/>
            <charset val="134"/>
          </rPr>
          <t>ALPHA &amp; OMEGA Semiconductor:</t>
        </r>
        <r>
          <rPr>
            <sz val="9"/>
            <color indexed="81"/>
            <rFont val="宋体"/>
            <charset val="134"/>
          </rPr>
          <t xml:space="preserve">
</t>
        </r>
      </text>
    </comment>
    <comment ref="N29" authorId="0" shapeId="0">
      <text>
        <r>
          <rPr>
            <sz val="9"/>
            <color indexed="81"/>
            <rFont val="宋体"/>
            <charset val="134"/>
          </rPr>
          <t xml:space="preserve">The inductor value do not take into account inductor tolerance.An inductor that is too small will result in the IC reaching OCP in normal operation;while an inductor that is too large will result in protential instability in the control loop.
</t>
        </r>
      </text>
    </comment>
    <comment ref="N37" authorId="0" shapeId="0">
      <text>
        <r>
          <rPr>
            <sz val="9"/>
            <color indexed="81"/>
            <rFont val="宋体"/>
            <charset val="134"/>
          </rPr>
          <t xml:space="preserve">For reliable operation and best performance,the input capacitors must have current rating higher than the value shown in this cell.
</t>
        </r>
      </text>
    </comment>
    <comment ref="N44" authorId="0" shapeId="0">
      <text>
        <r>
          <rPr>
            <sz val="9"/>
            <color indexed="81"/>
            <rFont val="宋体"/>
            <charset val="134"/>
          </rPr>
          <t xml:space="preserve">In reality,due to PCB layout effects,the output voltage ripple may be slightly higher.
</t>
        </r>
      </text>
    </comment>
    <comment ref="N49" authorId="0" shapeId="0">
      <text>
        <r>
          <rPr>
            <sz val="9"/>
            <color indexed="81"/>
            <rFont val="宋体"/>
            <charset val="134"/>
          </rPr>
          <t xml:space="preserve">Often the RFB1 calculation will yield a non-standard 1% value so the next lighest standard 1% value is used in order to compensate for I*R drops on the PCB.
</t>
        </r>
      </text>
    </comment>
    <comment ref="N52" authorId="0" shapeId="0">
      <text>
        <r>
          <rPr>
            <sz val="9"/>
            <color indexed="81"/>
            <rFont val="宋体"/>
            <charset val="134"/>
          </rPr>
          <t xml:space="preserve">It is recommended to set the crossover frequency to be
equal or less than 1/10 of switching frequency.
</t>
        </r>
      </text>
    </comment>
    <comment ref="N55" authorId="0" shapeId="0">
      <text>
        <r>
          <rPr>
            <sz val="9"/>
            <color indexed="81"/>
            <rFont val="宋体"/>
            <charset val="134"/>
          </rPr>
          <t xml:space="preserve">Cc2 is typically required for large value,non-ceramic output capacitors.
</t>
        </r>
      </text>
    </comment>
    <comment ref="N63" authorId="0" shapeId="0">
      <text>
        <r>
          <rPr>
            <sz val="9"/>
            <color indexed="81"/>
            <rFont val="宋体"/>
            <charset val="134"/>
          </rPr>
          <t xml:space="preserve">The crossover frequency and phase margin should always be verified on the bench.
</t>
        </r>
      </text>
    </comment>
    <comment ref="N64" authorId="0" shapeId="0">
      <text>
        <r>
          <rPr>
            <sz val="9"/>
            <color indexed="81"/>
            <rFont val="宋体"/>
            <charset val="134"/>
          </rPr>
          <t>Typically, the minimum acceptable phase margin is 45</t>
        </r>
        <r>
          <rPr>
            <sz val="9"/>
            <color indexed="81"/>
            <rFont val="Arial"/>
            <family val="2"/>
          </rPr>
          <t>º</t>
        </r>
        <r>
          <rPr>
            <sz val="9"/>
            <color indexed="81"/>
            <rFont val="宋体"/>
            <charset val="134"/>
          </rPr>
          <t xml:space="preserve">.
</t>
        </r>
      </text>
    </comment>
    <comment ref="N69" authorId="0" shapeId="0">
      <text>
        <r>
          <rPr>
            <sz val="9"/>
            <color indexed="81"/>
            <rFont val="宋体"/>
            <charset val="134"/>
          </rPr>
          <t xml:space="preserve">The value of Tj is calculated with the device mounted on 1-in2 FR-4
board with 2oz Copper, in a still air environment.The value in any given application depends on the user’s specific board design.
</t>
        </r>
      </text>
    </comment>
  </commentList>
</comments>
</file>

<file path=xl/sharedStrings.xml><?xml version="1.0" encoding="utf-8"?>
<sst xmlns="http://schemas.openxmlformats.org/spreadsheetml/2006/main" count="332" uniqueCount="244">
  <si>
    <t>EZBuck Design Spreadsheet</t>
    <phoneticPr fontId="2" type="noConversion"/>
  </si>
  <si>
    <t>V</t>
  </si>
  <si>
    <t>A</t>
  </si>
  <si>
    <t>kHz</t>
  </si>
  <si>
    <t>kΩ</t>
  </si>
  <si>
    <t>%</t>
  </si>
  <si>
    <t>Recommended L:</t>
  </si>
  <si>
    <t>µH</t>
  </si>
  <si>
    <t>mΩ</t>
  </si>
  <si>
    <t>Minimum Recommended Input Capacitance:</t>
  </si>
  <si>
    <t>µF</t>
  </si>
  <si>
    <t>Minimum Input Capacitor RMS current rating:</t>
  </si>
  <si>
    <t>Arms</t>
  </si>
  <si>
    <t>Minimum Recommended Output Capacitance:</t>
  </si>
  <si>
    <t>Maximum Output Capacitor ESR:</t>
  </si>
  <si>
    <r>
      <t>Capacitor Selection (C</t>
    </r>
    <r>
      <rPr>
        <vertAlign val="subscript"/>
        <sz val="11"/>
        <rFont val="Arial"/>
        <family val="2"/>
      </rPr>
      <t>IN</t>
    </r>
    <r>
      <rPr>
        <sz val="11"/>
        <rFont val="Arial"/>
        <family val="2"/>
      </rPr>
      <t xml:space="preserve"> and C</t>
    </r>
    <r>
      <rPr>
        <vertAlign val="subscript"/>
        <sz val="11"/>
        <rFont val="Arial"/>
        <family val="2"/>
      </rPr>
      <t>O</t>
    </r>
    <r>
      <rPr>
        <sz val="11"/>
        <rFont val="Arial"/>
        <family val="2"/>
      </rPr>
      <t>)</t>
    </r>
    <phoneticPr fontId="2" type="noConversion"/>
  </si>
  <si>
    <t>Output Voltage Characteristics</t>
  </si>
  <si>
    <t>mV</t>
  </si>
  <si>
    <t>Estimated Output Voltage Ripple:</t>
  </si>
  <si>
    <t>nF</t>
  </si>
  <si>
    <t>pF</t>
  </si>
  <si>
    <r>
      <t>Compensation Component Selection (R</t>
    </r>
    <r>
      <rPr>
        <vertAlign val="subscript"/>
        <sz val="11"/>
        <rFont val="Arial"/>
        <family val="2"/>
      </rPr>
      <t>C</t>
    </r>
    <r>
      <rPr>
        <sz val="11"/>
        <rFont val="Arial"/>
        <family val="2"/>
      </rPr>
      <t>, C</t>
    </r>
    <r>
      <rPr>
        <vertAlign val="subscript"/>
        <sz val="11"/>
        <rFont val="Arial"/>
        <family val="2"/>
      </rPr>
      <t>C1</t>
    </r>
    <r>
      <rPr>
        <sz val="11"/>
        <rFont val="Arial"/>
        <family val="2"/>
      </rPr>
      <t>, C</t>
    </r>
    <r>
      <rPr>
        <vertAlign val="subscript"/>
        <sz val="11"/>
        <rFont val="Arial"/>
        <family val="2"/>
      </rPr>
      <t>C2</t>
    </r>
    <r>
      <rPr>
        <sz val="11"/>
        <rFont val="Arial"/>
        <family val="2"/>
      </rPr>
      <t>)</t>
    </r>
    <phoneticPr fontId="2" type="noConversion"/>
  </si>
  <si>
    <t>Calculated Efficiency vs Load Current</t>
  </si>
  <si>
    <t>Loop Characteristics</t>
  </si>
  <si>
    <t>Expected Crossover Frequency:</t>
  </si>
  <si>
    <t>Expected Phase Margin:</t>
  </si>
  <si>
    <t>°</t>
  </si>
  <si>
    <r>
      <t>Feedback Resistors Selection(R</t>
    </r>
    <r>
      <rPr>
        <vertAlign val="subscript"/>
        <sz val="11"/>
        <rFont val="Arial"/>
        <family val="2"/>
      </rPr>
      <t>FB1</t>
    </r>
    <r>
      <rPr>
        <sz val="11"/>
        <rFont val="Arial"/>
        <family val="2"/>
      </rPr>
      <t>, R</t>
    </r>
    <r>
      <rPr>
        <vertAlign val="subscript"/>
        <sz val="11"/>
        <rFont val="Arial"/>
        <family val="2"/>
      </rPr>
      <t>FB2</t>
    </r>
    <r>
      <rPr>
        <sz val="11"/>
        <rFont val="Arial"/>
        <family val="2"/>
      </rPr>
      <t>)</t>
    </r>
    <phoneticPr fontId="2" type="noConversion"/>
  </si>
  <si>
    <t>Calculated Bode Plot</t>
  </si>
  <si>
    <t>Hz</t>
  </si>
  <si>
    <t>uH</t>
  </si>
  <si>
    <t>Part #</t>
  </si>
  <si>
    <t>Theta J-A</t>
  </si>
  <si>
    <t>Controller / Driver:</t>
  </si>
  <si>
    <t>Current sense amplifier gain</t>
    <phoneticPr fontId="2" type="noConversion"/>
  </si>
  <si>
    <t>uF</t>
  </si>
  <si>
    <t>D=</t>
  </si>
  <si>
    <t>Vin=</t>
  </si>
  <si>
    <t>Vout=</t>
  </si>
  <si>
    <t>L=</t>
  </si>
  <si>
    <t>Cout=</t>
  </si>
  <si>
    <t>mΩ</t>
  </si>
  <si>
    <t>Iripple=</t>
  </si>
  <si>
    <t>Total Loss</t>
  </si>
  <si>
    <t>η</t>
  </si>
  <si>
    <t>Cout(rms)=</t>
  </si>
  <si>
    <t>Parameters</t>
  </si>
  <si>
    <t>fsw=</t>
  </si>
  <si>
    <t>Iout(max)=</t>
  </si>
  <si>
    <t>L(DCR)=</t>
  </si>
  <si>
    <t>Cout(ESR)=</t>
  </si>
  <si>
    <t>Vd=</t>
  </si>
  <si>
    <t>Load Current</t>
  </si>
  <si>
    <t>Inductor DCR Loss</t>
  </si>
  <si>
    <t>High Side MOSFET Rds(on) Loss</t>
  </si>
  <si>
    <t>Low Side MOSFET Rds(on) Loss</t>
  </si>
  <si>
    <t>Deadtime Loss</t>
  </si>
  <si>
    <t>Output Cap ESR Loss</t>
  </si>
  <si>
    <t>Controller Loss</t>
  </si>
  <si>
    <t>High Side Gate Charge Loss</t>
  </si>
  <si>
    <t>Low Side Gate Charge Loss</t>
  </si>
  <si>
    <t>Error amplifier transconductance(Gm)(uA/V)</t>
    <phoneticPr fontId="2" type="noConversion"/>
  </si>
  <si>
    <r>
      <t>High-Side Pull-up (Turn on) Resistance(</t>
    </r>
    <r>
      <rPr>
        <sz val="10"/>
        <rFont val="Arial"/>
        <family val="2"/>
      </rPr>
      <t>Ω</t>
    </r>
    <r>
      <rPr>
        <sz val="10"/>
        <rFont val="Helvetica"/>
        <family val="2"/>
      </rPr>
      <t>)</t>
    </r>
    <phoneticPr fontId="2" type="noConversion"/>
  </si>
  <si>
    <r>
      <t>High-Side Pull-down
(Turn off) Resistance(</t>
    </r>
    <r>
      <rPr>
        <sz val="10"/>
        <rFont val="Arial"/>
        <family val="2"/>
      </rPr>
      <t>Ω</t>
    </r>
    <r>
      <rPr>
        <sz val="10"/>
        <rFont val="Helvetica"/>
        <family val="2"/>
      </rPr>
      <t>)</t>
    </r>
    <phoneticPr fontId="2" type="noConversion"/>
  </si>
  <si>
    <r>
      <t>Low-Side Pull-up (Turn on) Resistance(</t>
    </r>
    <r>
      <rPr>
        <sz val="10"/>
        <rFont val="Arial"/>
        <family val="2"/>
      </rPr>
      <t>Ω</t>
    </r>
    <r>
      <rPr>
        <sz val="10"/>
        <rFont val="Helvetica"/>
        <family val="2"/>
      </rPr>
      <t>)</t>
    </r>
    <phoneticPr fontId="2" type="noConversion"/>
  </si>
  <si>
    <r>
      <t>Low-Side Pull-down
(Turn off) Resistance(</t>
    </r>
    <r>
      <rPr>
        <sz val="10"/>
        <rFont val="Arial"/>
        <family val="2"/>
      </rPr>
      <t>Ω</t>
    </r>
    <r>
      <rPr>
        <sz val="10"/>
        <rFont val="Helvetica"/>
        <family val="2"/>
      </rPr>
      <t>)</t>
    </r>
    <phoneticPr fontId="2" type="noConversion"/>
  </si>
  <si>
    <t>Dead Time L-H
(ns)</t>
    <phoneticPr fontId="2" type="noConversion"/>
  </si>
  <si>
    <t>Dead Time H-L
(ns)</t>
    <phoneticPr fontId="2" type="noConversion"/>
  </si>
  <si>
    <t>Switching 
frequency
(KHz)</t>
    <phoneticPr fontId="2" type="noConversion"/>
  </si>
  <si>
    <t>Se peak voltage
(V)</t>
    <phoneticPr fontId="2" type="noConversion"/>
  </si>
  <si>
    <r>
      <t>Error amplifier output impedance(Rm)
(M</t>
    </r>
    <r>
      <rPr>
        <sz val="10"/>
        <rFont val="Arial"/>
        <family val="2"/>
      </rPr>
      <t>Ω</t>
    </r>
    <r>
      <rPr>
        <sz val="10"/>
        <rFont val="Helvetica"/>
        <family val="2"/>
      </rPr>
      <t>)</t>
    </r>
    <phoneticPr fontId="2" type="noConversion"/>
  </si>
  <si>
    <r>
      <t>High-Side Rdson@12V
 25C
(m</t>
    </r>
    <r>
      <rPr>
        <sz val="10"/>
        <rFont val="Arial"/>
        <family val="2"/>
      </rPr>
      <t>Ω</t>
    </r>
    <r>
      <rPr>
        <sz val="10"/>
        <rFont val="Helvetica"/>
        <family val="2"/>
      </rPr>
      <t>)</t>
    </r>
    <phoneticPr fontId="2" type="noConversion"/>
  </si>
  <si>
    <r>
      <t>Low-Side Rdson@12V
 25C
(m</t>
    </r>
    <r>
      <rPr>
        <sz val="10"/>
        <rFont val="Arial"/>
        <family val="2"/>
      </rPr>
      <t>Ω</t>
    </r>
    <r>
      <rPr>
        <sz val="10"/>
        <rFont val="Helvetica"/>
        <family val="2"/>
      </rPr>
      <t>)</t>
    </r>
    <phoneticPr fontId="2" type="noConversion"/>
  </si>
  <si>
    <t>Reference voltage
(V)</t>
    <phoneticPr fontId="2" type="noConversion"/>
  </si>
  <si>
    <t>℃</t>
    <phoneticPr fontId="2" type="noConversion"/>
  </si>
  <si>
    <t>Switching 
frequency
(KHz)</t>
    <phoneticPr fontId="2" type="noConversion"/>
  </si>
  <si>
    <t>Se peak voltage
(V)</t>
    <phoneticPr fontId="2" type="noConversion"/>
  </si>
  <si>
    <t>High-Side Pull-up (Turn on) Resistance(Ω)</t>
    <phoneticPr fontId="2" type="noConversion"/>
  </si>
  <si>
    <t>High-Side Pull-down
(Turn off) Resistance(Ω)</t>
    <phoneticPr fontId="2" type="noConversion"/>
  </si>
  <si>
    <t>Low-Side Pull-down
(Turn off) Resistance(Ω)</t>
    <phoneticPr fontId="2" type="noConversion"/>
  </si>
  <si>
    <t>Low-Side Pull-up (Turn on) Resistance(Ω)</t>
    <phoneticPr fontId="2" type="noConversion"/>
  </si>
  <si>
    <t>Dead Time L-H
(ns)</t>
    <phoneticPr fontId="2" type="noConversion"/>
  </si>
  <si>
    <t>Dead Time H-L
(ns)</t>
    <phoneticPr fontId="2" type="noConversion"/>
  </si>
  <si>
    <t>High-Side Rdson@12V
 25C
(mΩ)</t>
    <phoneticPr fontId="2" type="noConversion"/>
  </si>
  <si>
    <t>Low-Side Rdson@12V
 25C
(mΩ)</t>
    <phoneticPr fontId="2" type="noConversion"/>
  </si>
  <si>
    <t>Reference voltage
(V)</t>
    <phoneticPr fontId="2" type="noConversion"/>
  </si>
  <si>
    <t>High-Side Gate threshold voltage
(V)</t>
    <phoneticPr fontId="2" type="noConversion"/>
  </si>
  <si>
    <t>Low-Side Gate threshold voltage
(V)</t>
    <phoneticPr fontId="2" type="noConversion"/>
  </si>
  <si>
    <t>High-Side transconductance(Gfs)(s)</t>
    <phoneticPr fontId="2" type="noConversion"/>
  </si>
  <si>
    <t>Low-Side transconductance(Gfs)(s)</t>
    <phoneticPr fontId="2" type="noConversion"/>
  </si>
  <si>
    <t>High-Side Vsp(V)</t>
    <phoneticPr fontId="2" type="noConversion"/>
  </si>
  <si>
    <t>Low-Side Vsp(V)</t>
    <phoneticPr fontId="2" type="noConversion"/>
  </si>
  <si>
    <t>Controller Quiescent Current (mA)</t>
    <phoneticPr fontId="2" type="noConversion"/>
  </si>
  <si>
    <r>
      <t>High-Side Rgate
(</t>
    </r>
    <r>
      <rPr>
        <sz val="10"/>
        <rFont val="Arial"/>
        <family val="2"/>
      </rPr>
      <t>Ω</t>
    </r>
    <r>
      <rPr>
        <sz val="10"/>
        <rFont val="Helvetica"/>
        <family val="2"/>
      </rPr>
      <t>)</t>
    </r>
    <phoneticPr fontId="2" type="noConversion"/>
  </si>
  <si>
    <r>
      <t>Low-Side Rgate
(</t>
    </r>
    <r>
      <rPr>
        <sz val="10"/>
        <rFont val="Arial"/>
        <family val="2"/>
      </rPr>
      <t>Ω</t>
    </r>
    <r>
      <rPr>
        <sz val="10"/>
        <rFont val="Helvetica"/>
        <family val="2"/>
      </rPr>
      <t>)</t>
    </r>
    <phoneticPr fontId="2" type="noConversion"/>
  </si>
  <si>
    <t>Modulator</t>
  </si>
  <si>
    <t>Complex Pole pair</t>
  </si>
  <si>
    <t>Total System</t>
  </si>
  <si>
    <t>Afb</t>
  </si>
  <si>
    <t>V/V</t>
  </si>
  <si>
    <t>Acs</t>
  </si>
  <si>
    <t>z1</t>
  </si>
  <si>
    <t>p3</t>
  </si>
  <si>
    <t>Adc</t>
  </si>
  <si>
    <t>Q</t>
  </si>
  <si>
    <t>z2</t>
  </si>
  <si>
    <t>Am</t>
  </si>
  <si>
    <t>p1</t>
  </si>
  <si>
    <t>pterm1</t>
  </si>
  <si>
    <t>Crossover</t>
  </si>
  <si>
    <t>Khz</t>
  </si>
  <si>
    <t>p2</t>
  </si>
  <si>
    <t>pterm2</t>
  </si>
  <si>
    <t>Phase Margin</t>
  </si>
  <si>
    <t>Deg</t>
  </si>
  <si>
    <t>Aea</t>
  </si>
  <si>
    <t>radconv</t>
  </si>
  <si>
    <t>p4</t>
  </si>
  <si>
    <t>Frequency(Hz)</t>
  </si>
  <si>
    <t>Power Stage</t>
  </si>
  <si>
    <t>Error Amplifier</t>
  </si>
  <si>
    <t>Sampling Double Pole</t>
  </si>
  <si>
    <t>System Response</t>
  </si>
  <si>
    <t>ERROR AMP Response</t>
  </si>
  <si>
    <t>PLANT Response</t>
  </si>
  <si>
    <t>P3</t>
  </si>
  <si>
    <t>Gain (dB)</t>
  </si>
  <si>
    <t>Gain(V/V)</t>
  </si>
  <si>
    <t>Phase(rad)</t>
  </si>
  <si>
    <t>Phase (Deg)</t>
  </si>
  <si>
    <t>Fsquare</t>
  </si>
  <si>
    <t>Gain(dB)</t>
  </si>
  <si>
    <t>Phase(Deg)</t>
  </si>
  <si>
    <t>Pole/Zero Locations for Chart</t>
  </si>
  <si>
    <t>crossover</t>
  </si>
  <si>
    <t>Se</t>
    <phoneticPr fontId="20" type="noConversion"/>
  </si>
  <si>
    <t>Sn</t>
    <phoneticPr fontId="20" type="noConversion"/>
  </si>
  <si>
    <t>mc</t>
    <phoneticPr fontId="20" type="noConversion"/>
  </si>
  <si>
    <t>Q</t>
    <phoneticPr fontId="20" type="noConversion"/>
  </si>
  <si>
    <t>Current Limit
(A)</t>
    <phoneticPr fontId="2" type="noConversion"/>
  </si>
  <si>
    <r>
      <t>θ</t>
    </r>
    <r>
      <rPr>
        <sz val="12"/>
        <rFont val="宋体"/>
        <charset val="134"/>
      </rPr>
      <t>ja
(</t>
    </r>
    <r>
      <rPr>
        <sz val="10"/>
        <rFont val="宋体"/>
        <charset val="134"/>
      </rPr>
      <t>℃</t>
    </r>
    <r>
      <rPr>
        <sz val="12"/>
        <rFont val="宋体"/>
        <charset val="134"/>
      </rPr>
      <t>/w)</t>
    </r>
    <phoneticPr fontId="2" type="noConversion"/>
  </si>
  <si>
    <t>High-Side Tatal gate charge Qg
(nc)</t>
    <phoneticPr fontId="2" type="noConversion"/>
  </si>
  <si>
    <t>High-Side Gate drain charge Qgd
(nc)</t>
    <phoneticPr fontId="2" type="noConversion"/>
  </si>
  <si>
    <t>Low-Side Tatal gate charge Qg
(nc)</t>
    <phoneticPr fontId="2" type="noConversion"/>
  </si>
  <si>
    <t>High-Side Gate source charge Qgs
(nc)</t>
    <phoneticPr fontId="2" type="noConversion"/>
  </si>
  <si>
    <t>Low-Side Gate source charge Qgs
(nc)</t>
    <phoneticPr fontId="2" type="noConversion"/>
  </si>
  <si>
    <t>Low-Side Gate drain charge Qgd
(nc)</t>
    <phoneticPr fontId="2" type="noConversion"/>
  </si>
  <si>
    <r>
      <t>High-Side Die temperature
(</t>
    </r>
    <r>
      <rPr>
        <sz val="10"/>
        <rFont val="宋体"/>
        <charset val="134"/>
      </rPr>
      <t>℃</t>
    </r>
    <r>
      <rPr>
        <sz val="10"/>
        <rFont val="Helvetica"/>
        <family val="2"/>
      </rPr>
      <t>)</t>
    </r>
    <phoneticPr fontId="2" type="noConversion"/>
  </si>
  <si>
    <r>
      <t>Low-Side Die temperature
(</t>
    </r>
    <r>
      <rPr>
        <sz val="10"/>
        <rFont val="宋体"/>
        <charset val="134"/>
      </rPr>
      <t>℃</t>
    </r>
    <r>
      <rPr>
        <sz val="10"/>
        <rFont val="Helvetica"/>
        <family val="2"/>
      </rPr>
      <t>)</t>
    </r>
    <phoneticPr fontId="2" type="noConversion"/>
  </si>
  <si>
    <t>High-Side Rdson as function of temp&amp;Vin(Ω)</t>
    <phoneticPr fontId="2" type="noConversion"/>
  </si>
  <si>
    <t>Low-Side Rdson as function of temp&amp;Vin(Ω)</t>
    <phoneticPr fontId="2" type="noConversion"/>
  </si>
  <si>
    <r>
      <t>High-Side Rdson as function of temp&amp;Vin(</t>
    </r>
    <r>
      <rPr>
        <sz val="10"/>
        <rFont val="Arial"/>
        <family val="2"/>
      </rPr>
      <t>Ω</t>
    </r>
    <r>
      <rPr>
        <sz val="10"/>
        <rFont val="Helvetica"/>
        <family val="2"/>
      </rPr>
      <t>)</t>
    </r>
    <phoneticPr fontId="2" type="noConversion"/>
  </si>
  <si>
    <r>
      <t>Low-Side Rdson as function of temp&amp;Vin(</t>
    </r>
    <r>
      <rPr>
        <sz val="10"/>
        <rFont val="Arial"/>
        <family val="2"/>
      </rPr>
      <t>Ω</t>
    </r>
    <r>
      <rPr>
        <sz val="10"/>
        <rFont val="Helvetica"/>
        <family val="2"/>
      </rPr>
      <t>)</t>
    </r>
    <phoneticPr fontId="2" type="noConversion"/>
  </si>
  <si>
    <t>High-Side drive voltage
(V)</t>
    <phoneticPr fontId="2" type="noConversion"/>
  </si>
  <si>
    <t>Schottky diode loss</t>
    <phoneticPr fontId="2" type="noConversion"/>
  </si>
  <si>
    <t>Schottky diode voltage droop
(V)</t>
    <phoneticPr fontId="2" type="noConversion"/>
  </si>
  <si>
    <t>HS MOSFET tr+tf Loss</t>
    <phoneticPr fontId="2" type="noConversion"/>
  </si>
  <si>
    <t>Factor</t>
    <phoneticPr fontId="2" type="noConversion"/>
  </si>
  <si>
    <t>Icloss</t>
    <phoneticPr fontId="2" type="noConversion"/>
  </si>
  <si>
    <t>µF</t>
    <phoneticPr fontId="2" type="noConversion"/>
  </si>
  <si>
    <t xml:space="preserve">Enter Application Parameters </t>
    <phoneticPr fontId="2" type="noConversion"/>
  </si>
  <si>
    <t>Load step</t>
    <phoneticPr fontId="2" type="noConversion"/>
  </si>
  <si>
    <t>LS MOSFET tr+tf loss</t>
    <phoneticPr fontId="2" type="noConversion"/>
  </si>
  <si>
    <t>Maxim output current
(A)</t>
    <phoneticPr fontId="2" type="noConversion"/>
  </si>
  <si>
    <t>Maxim 
input voltage
(V)</t>
    <phoneticPr fontId="2" type="noConversion"/>
  </si>
  <si>
    <t>Step1: Buck regulator IC selection</t>
    <phoneticPr fontId="2" type="noConversion"/>
  </si>
  <si>
    <t>Step2: Define the system specification</t>
    <phoneticPr fontId="2" type="noConversion"/>
  </si>
  <si>
    <t>Blue cell</t>
    <phoneticPr fontId="2" type="noConversion"/>
  </si>
  <si>
    <r>
      <t>i</t>
    </r>
    <r>
      <rPr>
        <sz val="12"/>
        <rFont val="宋体"/>
        <charset val="134"/>
      </rPr>
      <t>s the input parameters</t>
    </r>
    <phoneticPr fontId="2" type="noConversion"/>
  </si>
  <si>
    <t>is the calculated parameters</t>
    <phoneticPr fontId="2" type="noConversion"/>
  </si>
  <si>
    <t>Yellow cell</t>
    <phoneticPr fontId="2" type="noConversion"/>
  </si>
  <si>
    <t>Typical application schematic</t>
    <phoneticPr fontId="2" type="noConversion"/>
  </si>
  <si>
    <t>is the cell with comment</t>
    <phoneticPr fontId="2" type="noConversion"/>
  </si>
  <si>
    <t xml:space="preserve"> Input Voltage:</t>
    <phoneticPr fontId="2" type="noConversion"/>
  </si>
  <si>
    <t xml:space="preserve"> Maximum Output Current:</t>
    <phoneticPr fontId="2" type="noConversion"/>
  </si>
  <si>
    <t>Maximum Output Voltage Ripple%:</t>
    <phoneticPr fontId="2" type="noConversion"/>
  </si>
  <si>
    <t>Ambient Temperature</t>
    <phoneticPr fontId="2" type="noConversion"/>
  </si>
  <si>
    <t>Enter The Chosen Inductor Value:</t>
    <phoneticPr fontId="2" type="noConversion"/>
  </si>
  <si>
    <t>Enter The DCR of Chosen Inductor:</t>
    <phoneticPr fontId="2" type="noConversion"/>
  </si>
  <si>
    <t>Enter Desired Crossover Frequency:</t>
    <phoneticPr fontId="2" type="noConversion"/>
  </si>
  <si>
    <r>
      <t>Enter The Chosen Value for C</t>
    </r>
    <r>
      <rPr>
        <vertAlign val="subscript"/>
        <sz val="10"/>
        <color indexed="12"/>
        <rFont val="Arial"/>
        <family val="2"/>
      </rPr>
      <t>C1</t>
    </r>
    <r>
      <rPr>
        <sz val="10"/>
        <color indexed="12"/>
        <rFont val="Arial"/>
        <family val="2"/>
      </rPr>
      <t>:</t>
    </r>
    <phoneticPr fontId="2" type="noConversion"/>
  </si>
  <si>
    <r>
      <t>Enter The Chosen Value for R</t>
    </r>
    <r>
      <rPr>
        <vertAlign val="subscript"/>
        <sz val="10"/>
        <color indexed="12"/>
        <rFont val="Arial"/>
        <family val="2"/>
      </rPr>
      <t>C</t>
    </r>
    <r>
      <rPr>
        <sz val="10"/>
        <color indexed="12"/>
        <rFont val="Arial"/>
        <family val="2"/>
      </rPr>
      <t>:</t>
    </r>
    <phoneticPr fontId="2" type="noConversion"/>
  </si>
  <si>
    <r>
      <t>Enter The Chosen Value for C</t>
    </r>
    <r>
      <rPr>
        <vertAlign val="subscript"/>
        <sz val="10"/>
        <color indexed="12"/>
        <rFont val="Arial"/>
        <family val="2"/>
      </rPr>
      <t>C2</t>
    </r>
    <r>
      <rPr>
        <sz val="10"/>
        <color indexed="12"/>
        <rFont val="Arial"/>
        <family val="2"/>
      </rPr>
      <t>:</t>
    </r>
    <phoneticPr fontId="2" type="noConversion"/>
  </si>
  <si>
    <r>
      <t>Recommended  Value for R</t>
    </r>
    <r>
      <rPr>
        <vertAlign val="subscript"/>
        <sz val="10"/>
        <color indexed="60"/>
        <rFont val="Arial"/>
        <family val="2"/>
      </rPr>
      <t>FB1</t>
    </r>
    <r>
      <rPr>
        <sz val="10"/>
        <color indexed="60"/>
        <rFont val="Arial"/>
        <family val="2"/>
      </rPr>
      <t>:</t>
    </r>
    <phoneticPr fontId="2" type="noConversion"/>
  </si>
  <si>
    <r>
      <t>Recommended Value for C</t>
    </r>
    <r>
      <rPr>
        <vertAlign val="subscript"/>
        <sz val="10"/>
        <color indexed="60"/>
        <rFont val="Arial"/>
        <family val="2"/>
      </rPr>
      <t>C1</t>
    </r>
    <r>
      <rPr>
        <sz val="10"/>
        <color indexed="60"/>
        <rFont val="Arial"/>
        <family val="2"/>
      </rPr>
      <t>:</t>
    </r>
    <phoneticPr fontId="2" type="noConversion"/>
  </si>
  <si>
    <r>
      <t>Recommended Value for R</t>
    </r>
    <r>
      <rPr>
        <vertAlign val="subscript"/>
        <sz val="10"/>
        <color indexed="60"/>
        <rFont val="Arial"/>
        <family val="2"/>
      </rPr>
      <t>C</t>
    </r>
    <r>
      <rPr>
        <sz val="10"/>
        <color indexed="60"/>
        <rFont val="Arial"/>
        <family val="2"/>
      </rPr>
      <t>:</t>
    </r>
    <phoneticPr fontId="2" type="noConversion"/>
  </si>
  <si>
    <r>
      <t>Recommended Value for C</t>
    </r>
    <r>
      <rPr>
        <vertAlign val="subscript"/>
        <sz val="10"/>
        <color indexed="60"/>
        <rFont val="Arial"/>
        <family val="2"/>
      </rPr>
      <t>C2</t>
    </r>
    <r>
      <rPr>
        <sz val="10"/>
        <color indexed="60"/>
        <rFont val="Arial"/>
        <family val="2"/>
      </rPr>
      <t>:</t>
    </r>
    <phoneticPr fontId="2" type="noConversion"/>
  </si>
  <si>
    <t>Divider and EA</t>
    <phoneticPr fontId="20" type="noConversion"/>
  </si>
  <si>
    <t xml:space="preserve">Power Stage </t>
    <phoneticPr fontId="20" type="noConversion"/>
  </si>
  <si>
    <t xml:space="preserve">Input converter parameters: </t>
  </si>
  <si>
    <t>Select buck regulator IC:</t>
  </si>
  <si>
    <t>Input voltage:</t>
  </si>
  <si>
    <t>Which is converter input voltage.</t>
  </si>
  <si>
    <t>Output voltage:</t>
  </si>
  <si>
    <t>Which is converter output voltage.</t>
  </si>
  <si>
    <t xml:space="preserve">EZbuck Design Sheet Directions   </t>
    <phoneticPr fontId="2" type="noConversion"/>
  </si>
  <si>
    <t>Pick the IC you want to design with.</t>
    <phoneticPr fontId="2" type="noConversion"/>
  </si>
  <si>
    <t>Maximum output current:</t>
    <phoneticPr fontId="2" type="noConversion"/>
  </si>
  <si>
    <t>Which is converter maximum output current.</t>
    <phoneticPr fontId="2" type="noConversion"/>
  </si>
  <si>
    <t>Which is the output voltage ripple ratio.</t>
    <phoneticPr fontId="2" type="noConversion"/>
  </si>
  <si>
    <t>Maximum output voltage ripple%:</t>
    <phoneticPr fontId="2" type="noConversion"/>
  </si>
  <si>
    <t>Ambient temperature:</t>
    <phoneticPr fontId="2" type="noConversion"/>
  </si>
  <si>
    <t>Which is the converter ambient temperature.</t>
    <phoneticPr fontId="2" type="noConversion"/>
  </si>
  <si>
    <t>The design tool will generate a recommended design that includes the loop compensation parameters and the calculated efficiency.The recommended values in the design may not be practical, yet the operation of the converter can be altered by using the closest parameter.</t>
    <phoneticPr fontId="2" type="noConversion"/>
  </si>
  <si>
    <r>
      <t>To use the design tool, enter data in the cells with the</t>
    </r>
    <r>
      <rPr>
        <b/>
        <sz val="10"/>
        <color indexed="13"/>
        <rFont val="Arial"/>
        <family val="2"/>
      </rPr>
      <t xml:space="preserve"> </t>
    </r>
    <r>
      <rPr>
        <b/>
        <sz val="10"/>
        <rFont val="Arial"/>
        <family val="2"/>
      </rPr>
      <t xml:space="preserve">yellow text, the calculated values are in the cells with blue text. Red font indicate illegal input or
potential design problems. </t>
    </r>
    <phoneticPr fontId="2" type="noConversion"/>
  </si>
  <si>
    <r>
      <t>Recommended I</t>
    </r>
    <r>
      <rPr>
        <vertAlign val="subscript"/>
        <sz val="10"/>
        <color indexed="60"/>
        <rFont val="Arial"/>
        <family val="2"/>
      </rPr>
      <t>SATURATE</t>
    </r>
    <r>
      <rPr>
        <sz val="10"/>
        <color indexed="60"/>
        <rFont val="Arial"/>
        <family val="2"/>
      </rPr>
      <t>:</t>
    </r>
    <phoneticPr fontId="2" type="noConversion"/>
  </si>
  <si>
    <t>Thermal Characteristics</t>
  </si>
  <si>
    <t>Internal Power Dissipation:</t>
    <phoneticPr fontId="2" type="noConversion"/>
  </si>
  <si>
    <t>Junction Temperature:</t>
    <phoneticPr fontId="2" type="noConversion"/>
  </si>
  <si>
    <t>W</t>
    <phoneticPr fontId="2" type="noConversion"/>
  </si>
  <si>
    <t>For datasheets,evaluation note,please visit:
www.aosmd.com</t>
    <phoneticPr fontId="2" type="noConversion"/>
  </si>
  <si>
    <t>Recommend Value for Cfeedforward:</t>
    <phoneticPr fontId="2" type="noConversion"/>
  </si>
  <si>
    <t>pF</t>
    <phoneticPr fontId="2" type="noConversion"/>
  </si>
  <si>
    <t>pF</t>
    <phoneticPr fontId="2" type="noConversion"/>
  </si>
  <si>
    <t>Enter The Chosen Value for Cfeedforward:</t>
    <phoneticPr fontId="2" type="noConversion"/>
  </si>
  <si>
    <t>Zfeed</t>
    <phoneticPr fontId="20" type="noConversion"/>
  </si>
  <si>
    <t>Pfeed</t>
    <phoneticPr fontId="20" type="noConversion"/>
  </si>
  <si>
    <t>Hz</t>
    <phoneticPr fontId="20" type="noConversion"/>
  </si>
  <si>
    <t>Zfeed</t>
    <phoneticPr fontId="20" type="noConversion"/>
  </si>
  <si>
    <t>Pfeed</t>
    <phoneticPr fontId="20" type="noConversion"/>
  </si>
  <si>
    <t>Tj(HS)</t>
    <phoneticPr fontId="2" type="noConversion"/>
  </si>
  <si>
    <t xml:space="preserve">The spreadsheet requires Iteration to be enabled to operate correctly.This is done through"Tools/Options/Calculation, select "Iteration", set the "Maximum iteration" to"1000" and the "Maximum change" to"0.0001".  </t>
    <phoneticPr fontId="2" type="noConversion"/>
  </si>
  <si>
    <t>V</t>
    <phoneticPr fontId="2" type="noConversion"/>
  </si>
  <si>
    <t>Enter The chosen Output Capacitor Value:</t>
    <phoneticPr fontId="2" type="noConversion"/>
  </si>
  <si>
    <t>Enter The chosen Output Capacitor ESR:</t>
    <phoneticPr fontId="2" type="noConversion"/>
  </si>
  <si>
    <r>
      <t>Rev.</t>
    </r>
    <r>
      <rPr>
        <sz val="12"/>
        <rFont val="宋体"/>
        <charset val="134"/>
      </rPr>
      <t>1</t>
    </r>
    <r>
      <rPr>
        <sz val="12"/>
        <rFont val="宋体"/>
        <charset val="134"/>
      </rPr>
      <t>.</t>
    </r>
    <r>
      <rPr>
        <sz val="12"/>
        <rFont val="宋体"/>
        <charset val="134"/>
      </rPr>
      <t>0</t>
    </r>
    <phoneticPr fontId="2" type="noConversion"/>
  </si>
  <si>
    <t>Rev. 1.0</t>
    <phoneticPr fontId="2" type="noConversion"/>
  </si>
  <si>
    <t xml:space="preserve"> Output Voltage:</t>
    <phoneticPr fontId="2" type="noConversion"/>
  </si>
  <si>
    <t xml:space="preserve"> Switching Frequency needed:</t>
    <phoneticPr fontId="2" type="noConversion"/>
  </si>
  <si>
    <r>
      <t>k</t>
    </r>
    <r>
      <rPr>
        <sz val="12"/>
        <rFont val="宋体"/>
        <charset val="134"/>
      </rPr>
      <t>Hz</t>
    </r>
    <phoneticPr fontId="2" type="noConversion"/>
  </si>
  <si>
    <r>
      <rPr>
        <sz val="12"/>
        <rFont val="宋体"/>
        <charset val="134"/>
      </rPr>
      <t>k</t>
    </r>
    <r>
      <rPr>
        <sz val="12"/>
        <rFont val="BatangChe"/>
        <family val="3"/>
        <charset val="129"/>
      </rPr>
      <t>Ω</t>
    </r>
    <phoneticPr fontId="2" type="noConversion"/>
  </si>
  <si>
    <t>Enter The Diode Saturation Voltage:</t>
    <phoneticPr fontId="2" type="noConversion"/>
  </si>
  <si>
    <t>Inductor Selection (L1)</t>
    <phoneticPr fontId="2" type="noConversion"/>
  </si>
  <si>
    <t>Diode Selection (D1)</t>
    <phoneticPr fontId="2" type="noConversion"/>
  </si>
  <si>
    <r>
      <t>Rcommend value for R</t>
    </r>
    <r>
      <rPr>
        <vertAlign val="subscript"/>
        <sz val="10"/>
        <color indexed="12"/>
        <rFont val="Arial"/>
        <family val="2"/>
      </rPr>
      <t>F</t>
    </r>
    <r>
      <rPr>
        <sz val="10"/>
        <color indexed="12"/>
        <rFont val="Arial"/>
        <family val="2"/>
      </rPr>
      <t xml:space="preserve"> :</t>
    </r>
    <phoneticPr fontId="2" type="noConversion"/>
  </si>
  <si>
    <r>
      <t>Step3: R</t>
    </r>
    <r>
      <rPr>
        <b/>
        <vertAlign val="subscript"/>
        <sz val="14"/>
        <rFont val="Arial"/>
        <family val="2"/>
      </rPr>
      <t>F</t>
    </r>
    <r>
      <rPr>
        <b/>
        <sz val="14"/>
        <rFont val="Arial"/>
        <family val="2"/>
      </rPr>
      <t xml:space="preserve"> selection</t>
    </r>
    <phoneticPr fontId="2" type="noConversion"/>
  </si>
  <si>
    <r>
      <t>Tj(LS</t>
    </r>
    <r>
      <rPr>
        <sz val="12"/>
        <rFont val="宋体"/>
        <charset val="134"/>
      </rPr>
      <t>)</t>
    </r>
    <phoneticPr fontId="2" type="noConversion"/>
  </si>
  <si>
    <t>NA</t>
    <phoneticPr fontId="2" type="noConversion"/>
  </si>
  <si>
    <r>
      <t>Enter a Value for R</t>
    </r>
    <r>
      <rPr>
        <vertAlign val="subscript"/>
        <sz val="10"/>
        <color indexed="12"/>
        <rFont val="Arial"/>
        <family val="2"/>
      </rPr>
      <t>FB2</t>
    </r>
    <r>
      <rPr>
        <sz val="10"/>
        <color indexed="12"/>
        <rFont val="Arial"/>
        <family val="2"/>
      </rPr>
      <t>:</t>
    </r>
    <phoneticPr fontId="2" type="noConversion"/>
  </si>
  <si>
    <t xml:space="preserve">The spreadsheet was design to help quickly implement the AOZ1284PI EZbuck controllers in a DC/DC converter using a buck converter. </t>
    <phoneticPr fontId="2" type="noConversion"/>
  </si>
  <si>
    <t>Step4: Power stage component selection</t>
    <phoneticPr fontId="2" type="noConversion"/>
  </si>
  <si>
    <t>Step5: Control component selection</t>
    <phoneticPr fontId="2" type="noConversion"/>
  </si>
  <si>
    <t>Step6: Thermal Performance</t>
    <phoneticPr fontId="2" type="noConversion"/>
  </si>
  <si>
    <t>AOZ1284PI</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</si>
</sst>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00"/>
    <numFmt numFmtId="165" formatCode="0.000000"/>
    <numFmt numFmtId="166" formatCode="0.000"/>
  </numFmts>
  <fonts count="44">
    <font>
      <sz val="12"/>
      <name val="宋体"/>
      <charset val="134"/>
    </font>
    <font>
      <sz val="12"/>
      <name val="宋体"/>
      <charset val="134"/>
    </font>
    <font>
      <sz val="9"/>
      <name val="宋体"/>
      <charset val="134"/>
    </font>
    <font>
      <b/>
      <sz val="20"/>
      <name val="Arial"/>
      <family val="2"/>
    </font>
    <font>
      <sz val="10"/>
      <name val="Microsoft Sans Serif"/>
      <family val="2"/>
    </font>
    <font>
      <sz val="10"/>
      <color indexed="48"/>
      <name val="Arial"/>
      <family val="2"/>
    </font>
    <font>
      <sz val="10"/>
      <name val="Arial"/>
      <family val="2"/>
    </font>
    <font>
      <sz val="10"/>
      <color indexed="10"/>
      <name val="Arial"/>
      <family val="2"/>
    </font>
    <font>
      <sz val="12"/>
      <name val="Arial"/>
      <family val="2"/>
    </font>
    <font>
      <b/>
      <sz val="14"/>
      <name val="Arial"/>
      <family val="2"/>
    </font>
    <font>
      <b/>
      <sz val="10"/>
      <name val="Arial"/>
      <family val="2"/>
    </font>
    <font>
      <sz val="11"/>
      <name val="Arial"/>
      <family val="2"/>
    </font>
    <font>
      <b/>
      <sz val="10"/>
      <color indexed="12"/>
      <name val="Arial"/>
      <family val="2"/>
    </font>
    <font>
      <b/>
      <sz val="12"/>
      <name val="宋体"/>
      <charset val="134"/>
    </font>
    <font>
      <vertAlign val="subscript"/>
      <sz val="11"/>
      <name val="Arial"/>
      <family val="2"/>
    </font>
    <font>
      <sz val="11"/>
      <name val="宋体"/>
      <charset val="134"/>
    </font>
    <font>
      <b/>
      <sz val="10"/>
      <name val="Helvetica"/>
      <family val="2"/>
    </font>
    <font>
      <sz val="10"/>
      <name val="Helvetica"/>
      <family val="2"/>
    </font>
    <font>
      <u/>
      <sz val="10"/>
      <color indexed="12"/>
      <name val="Arial"/>
      <family val="2"/>
    </font>
    <font>
      <b/>
      <u/>
      <sz val="10"/>
      <name val="Arial"/>
      <family val="2"/>
    </font>
    <font>
      <sz val="8"/>
      <name val="Arial"/>
      <family val="2"/>
    </font>
    <font>
      <b/>
      <i/>
      <sz val="10"/>
      <name val="Arial"/>
      <family val="2"/>
    </font>
    <font>
      <b/>
      <sz val="11"/>
      <name val="Arial"/>
      <family val="2"/>
    </font>
    <font>
      <sz val="12"/>
      <color indexed="10"/>
      <name val="宋体"/>
      <charset val="134"/>
    </font>
    <font>
      <sz val="9"/>
      <color indexed="8"/>
      <name val="Tahoma"/>
      <family val="2"/>
    </font>
    <font>
      <sz val="12"/>
      <color indexed="53"/>
      <name val="宋体"/>
      <charset val="134"/>
    </font>
    <font>
      <sz val="12"/>
      <color indexed="12"/>
      <name val="宋体"/>
      <charset val="134"/>
    </font>
    <font>
      <sz val="10"/>
      <name val="宋体"/>
      <charset val="134"/>
    </font>
    <font>
      <sz val="12"/>
      <name val="宋体"/>
      <charset val="134"/>
    </font>
    <font>
      <sz val="9"/>
      <color indexed="81"/>
      <name val="宋体"/>
      <charset val="134"/>
    </font>
    <font>
      <b/>
      <sz val="9"/>
      <color indexed="81"/>
      <name val="宋体"/>
      <charset val="134"/>
    </font>
    <font>
      <sz val="10"/>
      <color indexed="12"/>
      <name val="Arial"/>
      <family val="2"/>
    </font>
    <font>
      <vertAlign val="subscript"/>
      <sz val="10"/>
      <color indexed="12"/>
      <name val="Arial"/>
      <family val="2"/>
    </font>
    <font>
      <sz val="10"/>
      <color indexed="60"/>
      <name val="Arial"/>
      <family val="2"/>
    </font>
    <font>
      <vertAlign val="subscript"/>
      <sz val="10"/>
      <color indexed="60"/>
      <name val="Arial"/>
      <family val="2"/>
    </font>
    <font>
      <sz val="9"/>
      <color indexed="81"/>
      <name val="Arial"/>
      <family val="2"/>
    </font>
    <font>
      <b/>
      <sz val="12"/>
      <name val="Arial"/>
      <family val="2"/>
    </font>
    <font>
      <b/>
      <sz val="10"/>
      <color indexed="10"/>
      <name val="Arial"/>
      <family val="2"/>
    </font>
    <font>
      <b/>
      <sz val="10"/>
      <color indexed="13"/>
      <name val="Arial"/>
      <family val="2"/>
    </font>
    <font>
      <u/>
      <sz val="14"/>
      <color indexed="12"/>
      <name val="Arial"/>
      <family val="2"/>
    </font>
    <font>
      <sz val="12"/>
      <name val="BatangChe"/>
      <family val="3"/>
      <charset val="129"/>
    </font>
    <font>
      <b/>
      <vertAlign val="subscript"/>
      <sz val="14"/>
      <name val="Arial"/>
      <family val="2"/>
    </font>
    <font>
      <sz val="10.5"/>
      <name val="Calibri"/>
      <family val="2"/>
    </font>
    <font>
      <sz val="12"/>
      <name val="宋体"/>
      <charset val="134"/>
    </font>
  </fonts>
  <fills count="13">
    <fill>
      <patternFill patternType="none"/>
    </fill>
    <fill>
      <patternFill patternType="gray125"/>
    </fill>
    <fill>
      <patternFill patternType="solid">
        <fgColor indexed="9"/>
        <bgColor indexed="64"/>
      </patternFill>
    </fill>
    <fill>
      <patternFill patternType="solid">
        <fgColor indexed="15"/>
        <bgColor indexed="64"/>
      </patternFill>
    </fill>
    <fill>
      <patternFill patternType="solid">
        <fgColor indexed="22"/>
        <bgColor indexed="64"/>
      </patternFill>
    </fill>
    <fill>
      <patternFill patternType="solid">
        <fgColor indexed="55"/>
        <bgColor indexed="64"/>
      </patternFill>
    </fill>
    <fill>
      <patternFill patternType="solid">
        <fgColor indexed="41"/>
        <bgColor indexed="64"/>
      </patternFill>
    </fill>
    <fill>
      <patternFill patternType="solid">
        <fgColor indexed="13"/>
        <bgColor indexed="64"/>
      </patternFill>
    </fill>
    <fill>
      <patternFill patternType="solid">
        <fgColor indexed="11"/>
        <bgColor indexed="64"/>
      </patternFill>
    </fill>
    <fill>
      <patternFill patternType="solid">
        <fgColor indexed="52"/>
        <bgColor indexed="64"/>
      </patternFill>
    </fill>
    <fill>
      <patternFill patternType="solid">
        <fgColor indexed="43"/>
        <bgColor indexed="64"/>
      </patternFill>
    </fill>
    <fill>
      <patternFill patternType="solid">
        <fgColor rgb="FFFFFF00"/>
        <bgColor indexed="64"/>
      </patternFill>
    </fill>
    <fill>
      <patternFill patternType="solid">
        <fgColor rgb="FF00FFFF"/>
        <bgColor indexed="64"/>
      </patternFill>
    </fill>
  </fills>
  <borders count="53">
    <border>
      <left/>
      <right/>
      <top/>
      <bottom/>
      <diagonal/>
    </border>
    <border>
      <left/>
      <right style="medium">
        <color indexed="64"/>
      </right>
      <top/>
      <bottom/>
      <diagonal/>
    </border>
    <border>
      <left/>
      <right style="medium">
        <color indexed="64"/>
      </right>
      <top/>
      <bottom style="medium">
        <color indexed="64"/>
      </bottom>
      <diagonal/>
    </border>
    <border>
      <left/>
      <right style="medium">
        <color indexed="64"/>
      </right>
      <top style="medium">
        <color indexed="64"/>
      </top>
      <bottom/>
      <diagonal/>
    </border>
    <border>
      <left/>
      <right/>
      <top/>
      <bottom style="medium">
        <color indexed="64"/>
      </bottom>
      <diagonal/>
    </border>
    <border>
      <left/>
      <right/>
      <top style="medium">
        <color indexed="64"/>
      </top>
      <bottom/>
      <diagonal/>
    </border>
    <border>
      <left style="medium">
        <color indexed="64"/>
      </left>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medium">
        <color indexed="64"/>
      </right>
      <top/>
      <bottom style="thin">
        <color indexed="64"/>
      </bottom>
      <diagonal/>
    </border>
    <border>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bottom/>
      <diagonal/>
    </border>
    <border>
      <left/>
      <right/>
      <top style="thin">
        <color indexed="64"/>
      </top>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31"/>
      </left>
      <right style="thin">
        <color indexed="31"/>
      </right>
      <top/>
      <bottom style="thin">
        <color indexed="31"/>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s>
  <cellStyleXfs count="3">
    <xf numFmtId="0" fontId="0" fillId="0" borderId="0">
      <alignment vertical="center"/>
    </xf>
    <xf numFmtId="0" fontId="18" fillId="0" borderId="0" applyNumberFormat="0" applyFill="0" applyBorder="0" applyAlignment="0" applyProtection="0">
      <alignment vertical="top"/>
      <protection locked="0"/>
    </xf>
    <xf numFmtId="0" fontId="6" fillId="0" borderId="0"/>
  </cellStyleXfs>
  <cellXfs count="326">
    <xf numFmtId="0" fontId="0" fillId="0" borderId="0" xfId="0">
      <alignment vertical="center"/>
    </xf>
    <xf numFmtId="0" fontId="0" fillId="0" borderId="0" xfId="0" applyAlignment="1">
      <alignment vertical="center"/>
    </xf>
    <xf numFmtId="0" fontId="0" fillId="0" borderId="0" xfId="0" applyBorder="1">
      <alignment vertical="center"/>
    </xf>
    <xf numFmtId="0" fontId="3" fillId="2" borderId="0" xfId="0" applyFont="1" applyFill="1">
      <alignment vertical="center"/>
    </xf>
    <xf numFmtId="0" fontId="4" fillId="2" borderId="0" xfId="0" applyFont="1" applyFill="1">
      <alignment vertical="center"/>
    </xf>
    <xf numFmtId="0" fontId="0" fillId="2" borderId="0" xfId="0" applyFill="1">
      <alignment vertical="center"/>
    </xf>
    <xf numFmtId="0" fontId="7" fillId="2" borderId="0" xfId="0" applyFont="1" applyFill="1">
      <alignment vertical="center"/>
    </xf>
    <xf numFmtId="0" fontId="8" fillId="2" borderId="0" xfId="0" applyFont="1" applyFill="1">
      <alignment vertical="center"/>
    </xf>
    <xf numFmtId="2" fontId="9" fillId="2" borderId="0" xfId="0" applyNumberFormat="1" applyFont="1" applyFill="1">
      <alignment vertical="center"/>
    </xf>
    <xf numFmtId="0" fontId="11" fillId="2" borderId="0" xfId="0" applyFont="1" applyFill="1">
      <alignment vertical="center"/>
    </xf>
    <xf numFmtId="0" fontId="5" fillId="2" borderId="0" xfId="0" applyFont="1" applyFill="1" applyBorder="1" applyAlignment="1">
      <alignment horizontal="right"/>
    </xf>
    <xf numFmtId="0" fontId="0" fillId="2" borderId="1" xfId="0" applyFill="1" applyBorder="1">
      <alignment vertical="center"/>
    </xf>
    <xf numFmtId="0" fontId="0" fillId="2" borderId="1" xfId="0" applyFill="1" applyBorder="1" applyProtection="1">
      <alignment vertical="center"/>
      <protection hidden="1"/>
    </xf>
    <xf numFmtId="0" fontId="0" fillId="2" borderId="2" xfId="0" applyFill="1" applyBorder="1">
      <alignment vertical="center"/>
    </xf>
    <xf numFmtId="0" fontId="9" fillId="0" borderId="0" xfId="0" applyFont="1">
      <alignment vertical="center"/>
    </xf>
    <xf numFmtId="0" fontId="13" fillId="0" borderId="0" xfId="0" applyFont="1" applyAlignment="1">
      <alignment vertical="center"/>
    </xf>
    <xf numFmtId="0" fontId="0" fillId="2" borderId="3" xfId="0" applyFill="1" applyBorder="1">
      <alignment vertical="center"/>
    </xf>
    <xf numFmtId="0" fontId="0" fillId="2" borderId="3" xfId="0" applyFill="1" applyBorder="1" applyProtection="1">
      <alignment vertical="center"/>
      <protection hidden="1"/>
    </xf>
    <xf numFmtId="0" fontId="0" fillId="2" borderId="0" xfId="0" applyNumberFormat="1" applyFill="1" applyBorder="1" applyProtection="1">
      <alignment vertical="center"/>
      <protection hidden="1"/>
    </xf>
    <xf numFmtId="0" fontId="6" fillId="2" borderId="0" xfId="0" applyFont="1" applyFill="1" applyBorder="1" applyAlignment="1">
      <alignment horizontal="right"/>
    </xf>
    <xf numFmtId="0" fontId="11" fillId="0" borderId="0" xfId="0" applyFont="1" applyAlignment="1">
      <alignment vertical="center"/>
    </xf>
    <xf numFmtId="0" fontId="11" fillId="0" borderId="0" xfId="0" applyFont="1">
      <alignment vertical="center"/>
    </xf>
    <xf numFmtId="0" fontId="0" fillId="2" borderId="0" xfId="0" applyFill="1" applyBorder="1">
      <alignment vertical="center"/>
    </xf>
    <xf numFmtId="0" fontId="0" fillId="0" borderId="4" xfId="0" applyBorder="1">
      <alignment vertical="center"/>
    </xf>
    <xf numFmtId="0" fontId="0" fillId="0" borderId="0" xfId="0" applyFill="1">
      <alignment vertical="center"/>
    </xf>
    <xf numFmtId="0" fontId="6" fillId="0" borderId="0" xfId="0" applyFont="1" applyFill="1" applyAlignment="1" applyProtection="1">
      <alignment horizontal="right"/>
    </xf>
    <xf numFmtId="0" fontId="0" fillId="0" borderId="5" xfId="0" applyBorder="1">
      <alignment vertical="center"/>
    </xf>
    <xf numFmtId="0" fontId="15" fillId="2" borderId="0" xfId="0" applyFont="1" applyFill="1">
      <alignment vertical="center"/>
    </xf>
    <xf numFmtId="0" fontId="0" fillId="0" borderId="1" xfId="0" applyBorder="1">
      <alignment vertical="center"/>
    </xf>
    <xf numFmtId="0" fontId="0" fillId="0" borderId="6" xfId="0" applyBorder="1">
      <alignment vertical="center"/>
    </xf>
    <xf numFmtId="0" fontId="0" fillId="0" borderId="2" xfId="0" applyBorder="1">
      <alignment vertical="center"/>
    </xf>
    <xf numFmtId="0" fontId="0" fillId="0" borderId="7" xfId="0" applyBorder="1">
      <alignment vertical="center"/>
    </xf>
    <xf numFmtId="0" fontId="0" fillId="0" borderId="7" xfId="0" applyBorder="1" applyAlignment="1">
      <alignment horizontal="center"/>
    </xf>
    <xf numFmtId="0" fontId="16" fillId="0" borderId="8" xfId="0" quotePrefix="1" applyFont="1" applyBorder="1" applyAlignment="1">
      <alignment horizontal="left"/>
    </xf>
    <xf numFmtId="0" fontId="0" fillId="0" borderId="9" xfId="0" applyBorder="1">
      <alignment vertical="center"/>
    </xf>
    <xf numFmtId="0" fontId="0" fillId="3" borderId="10" xfId="0" applyFill="1" applyBorder="1" applyAlignment="1">
      <alignment horizontal="center"/>
    </xf>
    <xf numFmtId="0" fontId="0" fillId="4" borderId="11" xfId="0" applyFill="1" applyBorder="1" applyAlignment="1">
      <alignment horizontal="center"/>
    </xf>
    <xf numFmtId="0" fontId="0" fillId="0" borderId="12" xfId="0" applyBorder="1">
      <alignment vertical="center"/>
    </xf>
    <xf numFmtId="0" fontId="0" fillId="4" borderId="13" xfId="0" applyFill="1" applyBorder="1" applyAlignment="1">
      <alignment horizontal="center"/>
    </xf>
    <xf numFmtId="0" fontId="0" fillId="4" borderId="14" xfId="0" applyFill="1" applyBorder="1" applyAlignment="1">
      <alignment horizontal="center"/>
    </xf>
    <xf numFmtId="0" fontId="0" fillId="5" borderId="15" xfId="0" applyFill="1" applyBorder="1" applyAlignment="1">
      <alignment horizontal="center"/>
    </xf>
    <xf numFmtId="165" fontId="0" fillId="5" borderId="15" xfId="0" applyNumberFormat="1" applyFill="1" applyBorder="1" applyAlignment="1">
      <alignment horizontal="center" wrapText="1"/>
    </xf>
    <xf numFmtId="166" fontId="0" fillId="5" borderId="15" xfId="0" applyNumberFormat="1" applyFill="1" applyBorder="1" applyAlignment="1">
      <alignment horizontal="center" wrapText="1"/>
    </xf>
    <xf numFmtId="0" fontId="0" fillId="5" borderId="15" xfId="0" applyFill="1" applyBorder="1" applyAlignment="1">
      <alignment horizontal="center" wrapText="1"/>
    </xf>
    <xf numFmtId="0" fontId="0" fillId="0" borderId="16" xfId="0" applyBorder="1" applyAlignment="1">
      <alignment horizontal="center"/>
    </xf>
    <xf numFmtId="165" fontId="0" fillId="0" borderId="16" xfId="0" applyNumberFormat="1" applyBorder="1" applyAlignment="1">
      <alignment horizontal="center"/>
    </xf>
    <xf numFmtId="166" fontId="0" fillId="0" borderId="16" xfId="0" applyNumberFormat="1" applyBorder="1" applyAlignment="1">
      <alignment horizontal="center"/>
    </xf>
    <xf numFmtId="165" fontId="0" fillId="0" borderId="0" xfId="0" applyNumberFormat="1">
      <alignment vertical="center"/>
    </xf>
    <xf numFmtId="10" fontId="0" fillId="0" borderId="16" xfId="0" applyNumberFormat="1" applyBorder="1" applyAlignment="1">
      <alignment horizontal="center"/>
    </xf>
    <xf numFmtId="0" fontId="19" fillId="0" borderId="0" xfId="0" applyFont="1">
      <alignment vertical="center"/>
    </xf>
    <xf numFmtId="165" fontId="0" fillId="0" borderId="7" xfId="0" applyNumberFormat="1" applyBorder="1" applyAlignment="1">
      <alignment horizontal="center"/>
    </xf>
    <xf numFmtId="165" fontId="0" fillId="0" borderId="17" xfId="0" applyNumberFormat="1" applyBorder="1">
      <alignment vertical="center"/>
    </xf>
    <xf numFmtId="0" fontId="0" fillId="0" borderId="18" xfId="0" applyBorder="1">
      <alignment vertical="center"/>
    </xf>
    <xf numFmtId="165" fontId="0" fillId="0" borderId="19" xfId="0" applyNumberFormat="1" applyBorder="1">
      <alignment vertical="center"/>
    </xf>
    <xf numFmtId="0" fontId="0" fillId="0" borderId="20" xfId="0" applyBorder="1">
      <alignment vertical="center"/>
    </xf>
    <xf numFmtId="165" fontId="0" fillId="0" borderId="21" xfId="0" applyNumberFormat="1" applyBorder="1">
      <alignment vertical="center"/>
    </xf>
    <xf numFmtId="0" fontId="10" fillId="0" borderId="8" xfId="0" applyFont="1" applyBorder="1">
      <alignment vertical="center"/>
    </xf>
    <xf numFmtId="0" fontId="0" fillId="0" borderId="3" xfId="0" applyBorder="1">
      <alignment vertical="center"/>
    </xf>
    <xf numFmtId="0" fontId="0" fillId="0" borderId="22" xfId="0" applyBorder="1">
      <alignment vertical="center"/>
    </xf>
    <xf numFmtId="0" fontId="0" fillId="0" borderId="23" xfId="0" applyBorder="1">
      <alignment vertical="center"/>
    </xf>
    <xf numFmtId="0" fontId="0" fillId="0" borderId="24" xfId="0" applyBorder="1">
      <alignment vertical="center"/>
    </xf>
    <xf numFmtId="0" fontId="0" fillId="0" borderId="13" xfId="0" applyBorder="1">
      <alignment vertical="center"/>
    </xf>
    <xf numFmtId="0" fontId="0" fillId="0" borderId="19" xfId="0" applyBorder="1">
      <alignment vertical="center"/>
    </xf>
    <xf numFmtId="0" fontId="6" fillId="0" borderId="13" xfId="0" applyFont="1" applyBorder="1">
      <alignment vertical="center"/>
    </xf>
    <xf numFmtId="0" fontId="0" fillId="0" borderId="25" xfId="0" applyBorder="1">
      <alignment vertical="center"/>
    </xf>
    <xf numFmtId="0" fontId="17" fillId="0" borderId="7" xfId="0" applyFont="1" applyBorder="1" applyAlignment="1">
      <alignment horizontal="center" vertical="center" wrapText="1"/>
    </xf>
    <xf numFmtId="0" fontId="17" fillId="0" borderId="7" xfId="0" quotePrefix="1" applyFont="1" applyBorder="1" applyAlignment="1">
      <alignment horizontal="center" vertical="center" wrapText="1"/>
    </xf>
    <xf numFmtId="0" fontId="6" fillId="0" borderId="7" xfId="0" applyFont="1" applyBorder="1" applyAlignment="1">
      <alignment horizontal="center" vertical="center" wrapText="1"/>
    </xf>
    <xf numFmtId="0" fontId="0" fillId="0" borderId="7" xfId="0" applyBorder="1" applyAlignment="1">
      <alignment horizontal="right" vertical="center"/>
    </xf>
    <xf numFmtId="0" fontId="0" fillId="4" borderId="26" xfId="0" applyFill="1" applyBorder="1" applyAlignment="1">
      <alignment horizontal="center"/>
    </xf>
    <xf numFmtId="0" fontId="0" fillId="4" borderId="7" xfId="0" applyFill="1" applyBorder="1" applyAlignment="1">
      <alignment horizontal="center"/>
    </xf>
    <xf numFmtId="0" fontId="6" fillId="0" borderId="0" xfId="2" applyAlignment="1">
      <alignment horizontal="right"/>
    </xf>
    <xf numFmtId="0" fontId="6" fillId="0" borderId="0" xfId="2"/>
    <xf numFmtId="0" fontId="21" fillId="0" borderId="27" xfId="2" applyFont="1" applyBorder="1" applyAlignment="1">
      <alignment horizontal="center"/>
    </xf>
    <xf numFmtId="0" fontId="6" fillId="0" borderId="28" xfId="2" applyBorder="1" applyAlignment="1">
      <alignment horizontal="center"/>
    </xf>
    <xf numFmtId="0" fontId="6" fillId="0" borderId="23" xfId="2" applyBorder="1" applyAlignment="1">
      <alignment horizontal="center"/>
    </xf>
    <xf numFmtId="0" fontId="6" fillId="0" borderId="29" xfId="2" applyBorder="1" applyAlignment="1">
      <alignment horizontal="left"/>
    </xf>
    <xf numFmtId="0" fontId="6" fillId="0" borderId="7" xfId="2" applyBorder="1"/>
    <xf numFmtId="0" fontId="6" fillId="0" borderId="14" xfId="2" applyBorder="1"/>
    <xf numFmtId="0" fontId="6" fillId="0" borderId="29" xfId="2" applyFont="1" applyBorder="1"/>
    <xf numFmtId="0" fontId="6" fillId="0" borderId="29" xfId="2" applyBorder="1"/>
    <xf numFmtId="3" fontId="6" fillId="0" borderId="7" xfId="2" applyNumberFormat="1" applyBorder="1"/>
    <xf numFmtId="0" fontId="6" fillId="0" borderId="30" xfId="2" applyBorder="1"/>
    <xf numFmtId="0" fontId="6" fillId="0" borderId="14" xfId="2" applyFill="1" applyBorder="1"/>
    <xf numFmtId="0" fontId="6" fillId="0" borderId="29" xfId="2" applyFill="1" applyBorder="1"/>
    <xf numFmtId="3" fontId="6" fillId="0" borderId="7" xfId="2" applyNumberFormat="1" applyFill="1" applyBorder="1"/>
    <xf numFmtId="0" fontId="6" fillId="0" borderId="30" xfId="2" applyFill="1" applyBorder="1"/>
    <xf numFmtId="2" fontId="6" fillId="0" borderId="7" xfId="2" applyNumberFormat="1" applyFill="1" applyBorder="1"/>
    <xf numFmtId="2" fontId="6" fillId="0" borderId="7" xfId="2" applyNumberFormat="1" applyBorder="1"/>
    <xf numFmtId="3" fontId="6" fillId="0" borderId="31" xfId="2" applyNumberFormat="1" applyBorder="1"/>
    <xf numFmtId="0" fontId="6" fillId="0" borderId="32" xfId="2" applyBorder="1"/>
    <xf numFmtId="0" fontId="21" fillId="0" borderId="33" xfId="2" applyFont="1" applyBorder="1" applyAlignment="1">
      <alignment horizontal="center"/>
    </xf>
    <xf numFmtId="0" fontId="21" fillId="0" borderId="31" xfId="2" applyFont="1" applyBorder="1" applyAlignment="1">
      <alignment horizontal="center"/>
    </xf>
    <xf numFmtId="0" fontId="21" fillId="0" borderId="32" xfId="2" applyFont="1" applyBorder="1" applyAlignment="1">
      <alignment horizontal="center"/>
    </xf>
    <xf numFmtId="0" fontId="21" fillId="0" borderId="33" xfId="2" applyFont="1" applyFill="1" applyBorder="1" applyAlignment="1">
      <alignment horizontal="center"/>
    </xf>
    <xf numFmtId="0" fontId="21" fillId="0" borderId="31" xfId="2" applyFont="1" applyFill="1" applyBorder="1" applyAlignment="1">
      <alignment horizontal="center"/>
    </xf>
    <xf numFmtId="0" fontId="21" fillId="0" borderId="32" xfId="2" applyFont="1" applyFill="1" applyBorder="1" applyAlignment="1">
      <alignment horizontal="center"/>
    </xf>
    <xf numFmtId="0" fontId="21" fillId="0" borderId="0" xfId="2" applyFont="1" applyFill="1" applyBorder="1" applyAlignment="1">
      <alignment horizontal="center"/>
    </xf>
    <xf numFmtId="0" fontId="21" fillId="0" borderId="29" xfId="2" applyFont="1" applyBorder="1"/>
    <xf numFmtId="0" fontId="21" fillId="0" borderId="14" xfId="2" applyFont="1" applyBorder="1"/>
    <xf numFmtId="166" fontId="6" fillId="0" borderId="34" xfId="2" applyNumberFormat="1" applyBorder="1" applyAlignment="1">
      <alignment horizontal="right"/>
    </xf>
    <xf numFmtId="164" fontId="6" fillId="0" borderId="35" xfId="2" applyNumberFormat="1" applyBorder="1" applyAlignment="1">
      <alignment horizontal="center"/>
    </xf>
    <xf numFmtId="164" fontId="6" fillId="0" borderId="16" xfId="2" applyNumberFormat="1" applyBorder="1" applyAlignment="1">
      <alignment horizontal="center"/>
    </xf>
    <xf numFmtId="164" fontId="6" fillId="0" borderId="36" xfId="2" applyNumberFormat="1" applyBorder="1" applyAlignment="1">
      <alignment horizontal="center"/>
    </xf>
    <xf numFmtId="164" fontId="6" fillId="0" borderId="21" xfId="2" applyNumberFormat="1" applyBorder="1" applyAlignment="1">
      <alignment horizontal="center"/>
    </xf>
    <xf numFmtId="165" fontId="6" fillId="0" borderId="35" xfId="2" applyNumberFormat="1" applyBorder="1" applyAlignment="1">
      <alignment horizontal="center"/>
    </xf>
    <xf numFmtId="165" fontId="6" fillId="0" borderId="36" xfId="2" applyNumberFormat="1" applyBorder="1" applyAlignment="1">
      <alignment horizontal="center"/>
    </xf>
    <xf numFmtId="2" fontId="6" fillId="0" borderId="35" xfId="2" applyNumberFormat="1" applyBorder="1" applyAlignment="1">
      <alignment horizontal="center"/>
    </xf>
    <xf numFmtId="2" fontId="6" fillId="0" borderId="16" xfId="2" applyNumberFormat="1" applyBorder="1" applyAlignment="1">
      <alignment horizontal="center"/>
    </xf>
    <xf numFmtId="0" fontId="6" fillId="0" borderId="36" xfId="2" applyBorder="1"/>
    <xf numFmtId="2" fontId="6" fillId="0" borderId="29" xfId="2" applyNumberFormat="1" applyBorder="1" applyAlignment="1">
      <alignment horizontal="center"/>
    </xf>
    <xf numFmtId="2" fontId="6" fillId="0" borderId="14" xfId="2" applyNumberFormat="1" applyBorder="1" applyAlignment="1">
      <alignment horizontal="center"/>
    </xf>
    <xf numFmtId="166" fontId="6" fillId="0" borderId="37" xfId="2" applyNumberFormat="1" applyBorder="1" applyAlignment="1">
      <alignment horizontal="right"/>
    </xf>
    <xf numFmtId="164" fontId="6" fillId="0" borderId="7" xfId="2" applyNumberFormat="1" applyBorder="1" applyAlignment="1">
      <alignment horizontal="center"/>
    </xf>
    <xf numFmtId="164" fontId="6" fillId="0" borderId="14" xfId="2" applyNumberFormat="1" applyBorder="1" applyAlignment="1">
      <alignment horizontal="center"/>
    </xf>
    <xf numFmtId="2" fontId="6" fillId="0" borderId="37" xfId="2" applyNumberFormat="1" applyBorder="1" applyAlignment="1">
      <alignment horizontal="right"/>
    </xf>
    <xf numFmtId="0" fontId="6" fillId="0" borderId="14" xfId="2" applyBorder="1" applyAlignment="1">
      <alignment horizontal="center"/>
    </xf>
    <xf numFmtId="0" fontId="6" fillId="0" borderId="37" xfId="2" applyBorder="1" applyAlignment="1">
      <alignment horizontal="right"/>
    </xf>
    <xf numFmtId="3" fontId="6" fillId="0" borderId="37" xfId="2" applyNumberFormat="1" applyBorder="1" applyAlignment="1">
      <alignment horizontal="right"/>
    </xf>
    <xf numFmtId="3" fontId="6" fillId="0" borderId="0" xfId="2" applyNumberFormat="1" applyAlignment="1">
      <alignment horizontal="right"/>
    </xf>
    <xf numFmtId="0" fontId="6" fillId="0" borderId="0" xfId="2" applyBorder="1" applyAlignment="1">
      <alignment horizontal="right"/>
    </xf>
    <xf numFmtId="0" fontId="6" fillId="0" borderId="0" xfId="2" applyBorder="1" applyAlignment="1">
      <alignment horizontal="left"/>
    </xf>
    <xf numFmtId="0" fontId="6" fillId="0" borderId="0" xfId="2" applyAlignment="1">
      <alignment horizontal="left"/>
    </xf>
    <xf numFmtId="0" fontId="6" fillId="0" borderId="0" xfId="2" applyFill="1" applyBorder="1" applyAlignment="1">
      <alignment horizontal="left"/>
    </xf>
    <xf numFmtId="2" fontId="6" fillId="0" borderId="33" xfId="2" applyNumberFormat="1" applyBorder="1" applyAlignment="1">
      <alignment horizontal="center"/>
    </xf>
    <xf numFmtId="2" fontId="6" fillId="0" borderId="32" xfId="2" applyNumberFormat="1" applyBorder="1" applyAlignment="1">
      <alignment horizontal="center"/>
    </xf>
    <xf numFmtId="2" fontId="6" fillId="0" borderId="0" xfId="2" applyNumberFormat="1"/>
    <xf numFmtId="0" fontId="6" fillId="0" borderId="0" xfId="2" applyFont="1"/>
    <xf numFmtId="0" fontId="0" fillId="0" borderId="0" xfId="0" applyBorder="1" applyAlignment="1">
      <alignment vertical="center"/>
    </xf>
    <xf numFmtId="0" fontId="9" fillId="0" borderId="8" xfId="0" applyFont="1" applyBorder="1" applyAlignment="1">
      <alignment vertical="center"/>
    </xf>
    <xf numFmtId="0" fontId="0" fillId="0" borderId="5" xfId="0" applyBorder="1" applyAlignment="1">
      <alignment vertical="center"/>
    </xf>
    <xf numFmtId="0" fontId="0" fillId="0" borderId="3" xfId="0" applyBorder="1" applyAlignment="1">
      <alignment vertical="center"/>
    </xf>
    <xf numFmtId="0" fontId="0" fillId="0" borderId="38" xfId="0" applyBorder="1" applyAlignment="1">
      <alignment vertical="center"/>
    </xf>
    <xf numFmtId="0" fontId="0" fillId="0" borderId="1" xfId="0" applyBorder="1" applyAlignment="1">
      <alignment vertical="center"/>
    </xf>
    <xf numFmtId="0" fontId="0" fillId="0" borderId="6" xfId="0" applyBorder="1" applyAlignment="1">
      <alignment vertical="center"/>
    </xf>
    <xf numFmtId="0" fontId="0" fillId="0" borderId="4" xfId="0" applyBorder="1" applyAlignment="1">
      <alignment vertical="center"/>
    </xf>
    <xf numFmtId="0" fontId="0" fillId="0" borderId="2" xfId="0" applyBorder="1" applyAlignment="1">
      <alignment vertical="center"/>
    </xf>
    <xf numFmtId="0" fontId="0" fillId="6" borderId="0" xfId="0" applyFill="1">
      <alignment vertical="center"/>
    </xf>
    <xf numFmtId="0" fontId="24" fillId="0" borderId="0" xfId="0" applyFont="1">
      <alignment vertical="center"/>
    </xf>
    <xf numFmtId="0" fontId="25" fillId="0" borderId="0" xfId="0" applyFont="1" applyFill="1" applyAlignment="1">
      <alignment horizontal="center" vertical="center"/>
    </xf>
    <xf numFmtId="0" fontId="26" fillId="0" borderId="0" xfId="0" applyFont="1" applyFill="1" applyAlignment="1">
      <alignment horizontal="center" vertical="center"/>
    </xf>
    <xf numFmtId="0" fontId="23" fillId="0" borderId="0" xfId="0" applyFont="1" applyFill="1" applyAlignment="1">
      <alignment horizontal="center" vertical="center"/>
    </xf>
    <xf numFmtId="0" fontId="0" fillId="0" borderId="17" xfId="0" applyFill="1" applyBorder="1">
      <alignment vertical="center"/>
    </xf>
    <xf numFmtId="0" fontId="0" fillId="0" borderId="39" xfId="0" applyFill="1" applyBorder="1">
      <alignment vertical="center"/>
    </xf>
    <xf numFmtId="0" fontId="0" fillId="0" borderId="18" xfId="0" applyFill="1" applyBorder="1">
      <alignment vertical="center"/>
    </xf>
    <xf numFmtId="0" fontId="0" fillId="0" borderId="21" xfId="0" applyFill="1" applyBorder="1">
      <alignment vertical="center"/>
    </xf>
    <xf numFmtId="0" fontId="0" fillId="0" borderId="40" xfId="0" quotePrefix="1" applyFill="1" applyBorder="1">
      <alignment vertical="center"/>
    </xf>
    <xf numFmtId="0" fontId="0" fillId="0" borderId="40" xfId="0" applyFill="1" applyBorder="1">
      <alignment vertical="center"/>
    </xf>
    <xf numFmtId="0" fontId="0" fillId="0" borderId="12" xfId="0" applyFill="1" applyBorder="1">
      <alignment vertical="center"/>
    </xf>
    <xf numFmtId="0" fontId="17" fillId="0" borderId="41" xfId="0" applyFont="1" applyFill="1" applyBorder="1" applyAlignment="1">
      <alignment horizontal="center" vertical="center" wrapText="1"/>
    </xf>
    <xf numFmtId="0" fontId="17" fillId="0" borderId="7" xfId="0" applyFont="1" applyFill="1" applyBorder="1" applyAlignment="1">
      <alignment horizontal="center" vertical="center" wrapText="1"/>
    </xf>
    <xf numFmtId="0" fontId="0" fillId="4" borderId="7" xfId="0" applyFill="1" applyBorder="1">
      <alignment vertical="center"/>
    </xf>
    <xf numFmtId="0" fontId="8" fillId="0" borderId="7" xfId="0" applyFont="1" applyBorder="1" applyAlignment="1">
      <alignment horizontal="center" vertical="center" wrapText="1"/>
    </xf>
    <xf numFmtId="0" fontId="0" fillId="5" borderId="15" xfId="0" applyFill="1" applyBorder="1">
      <alignment vertical="center"/>
    </xf>
    <xf numFmtId="0" fontId="28" fillId="2" borderId="0" xfId="0" applyFont="1" applyFill="1">
      <alignment vertical="center"/>
    </xf>
    <xf numFmtId="0" fontId="0" fillId="0" borderId="38" xfId="0" applyFill="1" applyBorder="1">
      <alignment vertical="center"/>
    </xf>
    <xf numFmtId="0" fontId="0" fillId="0" borderId="0" xfId="0" applyFill="1" applyBorder="1">
      <alignment vertical="center"/>
    </xf>
    <xf numFmtId="0" fontId="0" fillId="0" borderId="1" xfId="0" applyFill="1" applyBorder="1">
      <alignment vertical="center"/>
    </xf>
    <xf numFmtId="0" fontId="0" fillId="0" borderId="42" xfId="0" applyFill="1" applyBorder="1" applyAlignment="1">
      <alignment horizontal="right"/>
    </xf>
    <xf numFmtId="0" fontId="0" fillId="0" borderId="29" xfId="0" applyFill="1" applyBorder="1" applyAlignment="1">
      <alignment horizontal="right"/>
    </xf>
    <xf numFmtId="0" fontId="0" fillId="0" borderId="33" xfId="0" applyFill="1" applyBorder="1" applyAlignment="1">
      <alignment horizontal="right"/>
    </xf>
    <xf numFmtId="0" fontId="0" fillId="0" borderId="7" xfId="0" applyFill="1" applyBorder="1" applyAlignment="1">
      <alignment horizontal="right"/>
    </xf>
    <xf numFmtId="0" fontId="10" fillId="0" borderId="0" xfId="0" applyFont="1" applyFill="1" applyBorder="1" applyAlignment="1">
      <alignment horizontal="center"/>
    </xf>
    <xf numFmtId="0" fontId="0" fillId="0" borderId="0" xfId="0" applyFill="1" applyBorder="1" applyAlignment="1">
      <alignment horizontal="right"/>
    </xf>
    <xf numFmtId="0" fontId="0" fillId="0" borderId="0" xfId="0" applyNumberFormat="1" applyFill="1" applyBorder="1">
      <alignment vertical="center"/>
    </xf>
    <xf numFmtId="0" fontId="0" fillId="0" borderId="0" xfId="0" applyFill="1" applyBorder="1" applyAlignment="1">
      <alignment horizontal="center"/>
    </xf>
    <xf numFmtId="0" fontId="0" fillId="5" borderId="6" xfId="0" applyFill="1" applyBorder="1" applyAlignment="1">
      <alignment horizontal="center" wrapText="1"/>
    </xf>
    <xf numFmtId="165" fontId="0" fillId="5" borderId="2" xfId="0" applyNumberFormat="1" applyFill="1" applyBorder="1" applyAlignment="1">
      <alignment horizontal="center"/>
    </xf>
    <xf numFmtId="0" fontId="0" fillId="0" borderId="7" xfId="0" applyBorder="1" applyAlignment="1">
      <alignment vertical="center" wrapText="1"/>
    </xf>
    <xf numFmtId="0" fontId="0" fillId="0" borderId="0" xfId="0" applyNumberFormat="1">
      <alignment vertical="center"/>
    </xf>
    <xf numFmtId="0" fontId="0" fillId="7" borderId="5" xfId="0" applyFill="1" applyBorder="1" applyProtection="1">
      <alignment vertical="center"/>
      <protection locked="0"/>
    </xf>
    <xf numFmtId="0" fontId="0" fillId="7" borderId="0" xfId="0" applyFill="1" applyBorder="1" applyProtection="1">
      <alignment vertical="center"/>
      <protection locked="0"/>
    </xf>
    <xf numFmtId="0" fontId="0" fillId="7" borderId="4" xfId="0" applyFill="1" applyBorder="1" applyProtection="1">
      <alignment vertical="center"/>
      <protection locked="0"/>
    </xf>
    <xf numFmtId="2" fontId="0" fillId="3" borderId="5" xfId="0" applyNumberFormat="1" applyFill="1" applyBorder="1" applyProtection="1">
      <alignment vertical="center"/>
      <protection hidden="1"/>
    </xf>
    <xf numFmtId="2" fontId="0" fillId="3" borderId="0" xfId="0" applyNumberFormat="1" applyFill="1" applyBorder="1" applyProtection="1">
      <alignment vertical="center"/>
      <protection hidden="1"/>
    </xf>
    <xf numFmtId="0" fontId="0" fillId="3" borderId="5" xfId="0" applyFill="1" applyBorder="1" applyProtection="1">
      <alignment vertical="center"/>
      <protection hidden="1"/>
    </xf>
    <xf numFmtId="1" fontId="0" fillId="3" borderId="0" xfId="0" applyNumberFormat="1" applyFill="1" applyBorder="1" applyProtection="1">
      <alignment vertical="center"/>
      <protection hidden="1"/>
    </xf>
    <xf numFmtId="1" fontId="0" fillId="3" borderId="4" xfId="0" applyNumberFormat="1" applyFill="1" applyBorder="1" applyProtection="1">
      <alignment vertical="center"/>
      <protection hidden="1"/>
    </xf>
    <xf numFmtId="0" fontId="0" fillId="7" borderId="5" xfId="0" applyNumberFormat="1" applyFill="1" applyBorder="1" applyProtection="1">
      <alignment vertical="center"/>
      <protection locked="0" hidden="1"/>
    </xf>
    <xf numFmtId="0" fontId="0" fillId="3" borderId="0" xfId="0" applyNumberFormat="1" applyFill="1" applyBorder="1" applyProtection="1">
      <alignment vertical="center"/>
      <protection hidden="1"/>
    </xf>
    <xf numFmtId="0" fontId="0" fillId="7" borderId="5" xfId="0" applyNumberFormat="1" applyFill="1" applyBorder="1" applyProtection="1">
      <alignment vertical="center"/>
      <protection locked="0"/>
    </xf>
    <xf numFmtId="0" fontId="0" fillId="7" borderId="0" xfId="0" applyNumberFormat="1" applyFill="1" applyBorder="1" applyProtection="1">
      <alignment vertical="center"/>
      <protection locked="0"/>
    </xf>
    <xf numFmtId="0" fontId="0" fillId="7" borderId="4" xfId="0" applyNumberFormat="1" applyFill="1" applyBorder="1" applyProtection="1">
      <alignment vertical="center"/>
      <protection locked="0"/>
    </xf>
    <xf numFmtId="0" fontId="0" fillId="3" borderId="5" xfId="0" applyNumberFormat="1" applyFill="1" applyBorder="1" applyProtection="1">
      <alignment vertical="center"/>
      <protection hidden="1"/>
    </xf>
    <xf numFmtId="0" fontId="0" fillId="3" borderId="4" xfId="0" applyNumberFormat="1" applyFill="1" applyBorder="1" applyProtection="1">
      <alignment vertical="center"/>
      <protection hidden="1"/>
    </xf>
    <xf numFmtId="0" fontId="12" fillId="8" borderId="0" xfId="0" applyFont="1" applyFill="1" applyAlignment="1" applyProtection="1">
      <alignment horizontal="right"/>
      <protection locked="0"/>
    </xf>
    <xf numFmtId="0" fontId="9" fillId="9" borderId="0" xfId="0" applyFont="1" applyFill="1">
      <alignment vertical="center"/>
    </xf>
    <xf numFmtId="0" fontId="13" fillId="9" borderId="0" xfId="0" applyFont="1" applyFill="1" applyAlignment="1">
      <alignment vertical="center"/>
    </xf>
    <xf numFmtId="0" fontId="28" fillId="9" borderId="0" xfId="0" applyFont="1" applyFill="1" applyAlignment="1">
      <alignment vertical="center"/>
    </xf>
    <xf numFmtId="0" fontId="28" fillId="9" borderId="0" xfId="0" applyFont="1" applyFill="1">
      <alignment vertical="center"/>
    </xf>
    <xf numFmtId="2" fontId="9" fillId="9" borderId="0" xfId="0" applyNumberFormat="1" applyFont="1" applyFill="1">
      <alignment vertical="center"/>
    </xf>
    <xf numFmtId="0" fontId="10" fillId="9" borderId="0" xfId="0" applyFont="1" applyFill="1">
      <alignment vertical="center"/>
    </xf>
    <xf numFmtId="0" fontId="0" fillId="9" borderId="0" xfId="0" applyFill="1">
      <alignment vertical="center"/>
    </xf>
    <xf numFmtId="0" fontId="11" fillId="7" borderId="0" xfId="0" applyFont="1" applyFill="1">
      <alignment vertical="center"/>
    </xf>
    <xf numFmtId="0" fontId="11" fillId="3" borderId="0" xfId="0" applyFont="1" applyFill="1">
      <alignment vertical="center"/>
    </xf>
    <xf numFmtId="0" fontId="7" fillId="2" borderId="43" xfId="0" applyFont="1" applyFill="1" applyBorder="1">
      <alignment vertical="center"/>
    </xf>
    <xf numFmtId="0" fontId="1" fillId="7" borderId="0" xfId="0" applyFont="1" applyFill="1" applyBorder="1" applyProtection="1">
      <alignment vertical="center"/>
      <protection locked="0"/>
    </xf>
    <xf numFmtId="0" fontId="15" fillId="2" borderId="2" xfId="0" applyFont="1" applyFill="1" applyBorder="1">
      <alignment vertical="center"/>
    </xf>
    <xf numFmtId="0" fontId="6" fillId="0" borderId="29" xfId="2" applyFont="1" applyFill="1" applyBorder="1"/>
    <xf numFmtId="0" fontId="6" fillId="0" borderId="7" xfId="2" applyFill="1" applyBorder="1"/>
    <xf numFmtId="0" fontId="6" fillId="0" borderId="33" xfId="2" applyFont="1" applyFill="1" applyBorder="1"/>
    <xf numFmtId="0" fontId="6" fillId="0" borderId="32" xfId="2" applyFill="1" applyBorder="1"/>
    <xf numFmtId="0" fontId="6" fillId="0" borderId="31" xfId="2" applyFill="1" applyBorder="1"/>
    <xf numFmtId="0" fontId="6" fillId="0" borderId="44" xfId="2" applyFill="1" applyBorder="1"/>
    <xf numFmtId="0" fontId="10" fillId="0" borderId="45" xfId="2" applyFont="1" applyFill="1" applyBorder="1" applyAlignment="1">
      <alignment horizontal="center"/>
    </xf>
    <xf numFmtId="0" fontId="6" fillId="0" borderId="15" xfId="2" applyFill="1" applyBorder="1"/>
    <xf numFmtId="0" fontId="22" fillId="0" borderId="28" xfId="2" applyFont="1" applyFill="1" applyBorder="1" applyAlignment="1">
      <alignment horizontal="center"/>
    </xf>
    <xf numFmtId="0" fontId="13" fillId="2" borderId="0" xfId="0" applyFont="1" applyFill="1">
      <alignment vertical="center"/>
    </xf>
    <xf numFmtId="0" fontId="9" fillId="9" borderId="0" xfId="0" applyFont="1" applyFill="1" applyAlignment="1">
      <alignment vertical="center"/>
    </xf>
    <xf numFmtId="0" fontId="15" fillId="0" borderId="2" xfId="0" applyFont="1" applyBorder="1" applyAlignment="1">
      <alignment vertical="center"/>
    </xf>
    <xf numFmtId="0" fontId="26" fillId="0" borderId="0" xfId="0" applyFont="1">
      <alignment vertical="center"/>
    </xf>
    <xf numFmtId="0" fontId="0" fillId="10" borderId="0" xfId="0" applyFill="1">
      <alignment vertical="center"/>
    </xf>
    <xf numFmtId="0" fontId="0" fillId="3" borderId="5" xfId="0" applyFill="1" applyBorder="1" applyAlignment="1" applyProtection="1">
      <alignment vertical="center"/>
      <protection hidden="1"/>
    </xf>
    <xf numFmtId="0" fontId="0" fillId="3" borderId="4" xfId="0" applyFill="1" applyBorder="1" applyAlignment="1" applyProtection="1">
      <alignment vertical="center"/>
      <protection hidden="1"/>
    </xf>
    <xf numFmtId="1" fontId="0" fillId="3" borderId="0" xfId="0" applyNumberFormat="1" applyFill="1" applyAlignment="1" applyProtection="1">
      <alignment horizontal="right"/>
      <protection hidden="1"/>
    </xf>
    <xf numFmtId="0" fontId="6" fillId="0" borderId="46" xfId="2" applyBorder="1" applyAlignment="1">
      <alignment horizontal="left"/>
    </xf>
    <xf numFmtId="0" fontId="6" fillId="0" borderId="29" xfId="2" applyFill="1" applyBorder="1" applyAlignment="1">
      <alignment horizontal="left"/>
    </xf>
    <xf numFmtId="3" fontId="6" fillId="0" borderId="0" xfId="2" applyNumberFormat="1" applyBorder="1"/>
    <xf numFmtId="0" fontId="6" fillId="0" borderId="29" xfId="2" applyFont="1" applyFill="1" applyBorder="1" applyAlignment="1">
      <alignment horizontal="left"/>
    </xf>
    <xf numFmtId="0" fontId="6" fillId="0" borderId="33" xfId="2" applyFont="1" applyFill="1" applyBorder="1" applyAlignment="1">
      <alignment horizontal="left"/>
    </xf>
    <xf numFmtId="0" fontId="6" fillId="0" borderId="14" xfId="2" applyFont="1" applyBorder="1"/>
    <xf numFmtId="0" fontId="6" fillId="0" borderId="32" xfId="2" applyFont="1" applyBorder="1"/>
    <xf numFmtId="0" fontId="6" fillId="0" borderId="24" xfId="2" applyFont="1" applyBorder="1"/>
    <xf numFmtId="0" fontId="6" fillId="0" borderId="47" xfId="2" applyNumberFormat="1" applyFill="1" applyBorder="1"/>
    <xf numFmtId="0" fontId="6" fillId="0" borderId="26" xfId="2" applyFill="1" applyBorder="1"/>
    <xf numFmtId="0" fontId="6" fillId="0" borderId="24" xfId="2" applyBorder="1"/>
    <xf numFmtId="0" fontId="6" fillId="0" borderId="17" xfId="2" applyBorder="1"/>
    <xf numFmtId="0" fontId="6" fillId="0" borderId="46" xfId="2" applyFont="1" applyFill="1" applyBorder="1"/>
    <xf numFmtId="0" fontId="6" fillId="0" borderId="33" xfId="2" applyFont="1" applyBorder="1"/>
    <xf numFmtId="0" fontId="6" fillId="0" borderId="31" xfId="2" applyBorder="1"/>
    <xf numFmtId="3" fontId="6" fillId="0" borderId="24" xfId="2" applyNumberFormat="1" applyBorder="1"/>
    <xf numFmtId="3" fontId="6" fillId="0" borderId="24" xfId="2" applyNumberFormat="1" applyFill="1" applyBorder="1"/>
    <xf numFmtId="0" fontId="6" fillId="0" borderId="25" xfId="2" applyFill="1" applyBorder="1"/>
    <xf numFmtId="0" fontId="31" fillId="2" borderId="0" xfId="0" applyFont="1" applyFill="1" applyBorder="1" applyAlignment="1">
      <alignment horizontal="right"/>
    </xf>
    <xf numFmtId="0" fontId="1" fillId="10" borderId="0" xfId="0" applyFont="1" applyFill="1">
      <alignment vertical="center"/>
    </xf>
    <xf numFmtId="0" fontId="1" fillId="0" borderId="3" xfId="0" applyFont="1" applyBorder="1">
      <alignment vertical="center"/>
    </xf>
    <xf numFmtId="0" fontId="0" fillId="11" borderId="5" xfId="0" applyFill="1" applyBorder="1">
      <alignment vertical="center"/>
    </xf>
    <xf numFmtId="0" fontId="0" fillId="12" borderId="4" xfId="0" applyFill="1" applyBorder="1">
      <alignment vertical="center"/>
    </xf>
    <xf numFmtId="0" fontId="1" fillId="2" borderId="2" xfId="0" applyFont="1" applyFill="1" applyBorder="1">
      <alignment vertical="center"/>
    </xf>
    <xf numFmtId="0" fontId="11" fillId="2" borderId="0" xfId="0" applyFont="1" applyFill="1" applyBorder="1" applyAlignment="1">
      <alignment horizontal="left"/>
    </xf>
    <xf numFmtId="0" fontId="11" fillId="2" borderId="9" xfId="0" applyFont="1" applyFill="1" applyBorder="1" applyAlignment="1">
      <alignment horizontal="left"/>
    </xf>
    <xf numFmtId="0" fontId="11" fillId="11" borderId="48" xfId="0" applyFont="1" applyFill="1" applyBorder="1" applyAlignment="1">
      <alignment horizontal="right"/>
    </xf>
    <xf numFmtId="0" fontId="0" fillId="5" borderId="15" xfId="0" applyFill="1" applyBorder="1" applyAlignment="1">
      <alignment vertical="center"/>
    </xf>
    <xf numFmtId="0" fontId="42" fillId="0" borderId="0" xfId="0" applyFont="1" applyAlignment="1">
      <alignment horizontal="justify" vertical="center"/>
    </xf>
    <xf numFmtId="0" fontId="43" fillId="0" borderId="0" xfId="0" applyFont="1">
      <alignment vertical="center"/>
    </xf>
    <xf numFmtId="0" fontId="43" fillId="0" borderId="7" xfId="0" applyFont="1" applyBorder="1">
      <alignment vertical="center"/>
    </xf>
    <xf numFmtId="0" fontId="10" fillId="10" borderId="0" xfId="0" applyFont="1" applyFill="1" applyAlignment="1">
      <alignment vertical="center" wrapText="1"/>
    </xf>
    <xf numFmtId="0" fontId="0" fillId="10" borderId="0" xfId="0" applyFill="1" applyAlignment="1">
      <alignment vertical="center"/>
    </xf>
    <xf numFmtId="0" fontId="10" fillId="10" borderId="0" xfId="0" applyFont="1" applyFill="1" applyAlignment="1">
      <alignment horizontal="left" wrapText="1"/>
    </xf>
    <xf numFmtId="0" fontId="10" fillId="10" borderId="0" xfId="0" applyFont="1" applyFill="1" applyAlignment="1">
      <alignment vertical="center"/>
    </xf>
    <xf numFmtId="0" fontId="37" fillId="10" borderId="0" xfId="0" applyFont="1" applyFill="1" applyAlignment="1">
      <alignment vertical="center" wrapText="1"/>
    </xf>
    <xf numFmtId="0" fontId="23" fillId="10" borderId="0" xfId="0" applyFont="1" applyFill="1" applyAlignment="1">
      <alignment vertical="center" wrapText="1"/>
    </xf>
    <xf numFmtId="0" fontId="0" fillId="10" borderId="0" xfId="0" applyFill="1" applyAlignment="1">
      <alignment horizontal="left"/>
    </xf>
    <xf numFmtId="0" fontId="0" fillId="10" borderId="0" xfId="0" applyFill="1" applyAlignment="1">
      <alignment horizontal="left" wrapText="1"/>
    </xf>
    <xf numFmtId="0" fontId="36" fillId="10" borderId="0" xfId="0" applyFont="1" applyFill="1" applyAlignment="1">
      <alignment horizontal="center" vertical="center"/>
    </xf>
    <xf numFmtId="0" fontId="10" fillId="10" borderId="0" xfId="0" applyFont="1" applyFill="1" applyAlignment="1">
      <alignment horizontal="right"/>
    </xf>
    <xf numFmtId="0" fontId="10" fillId="10" borderId="0" xfId="0" applyFont="1" applyFill="1" applyAlignment="1">
      <alignment horizontal="left"/>
    </xf>
    <xf numFmtId="0" fontId="0" fillId="10" borderId="0" xfId="0" applyFill="1" applyAlignment="1"/>
    <xf numFmtId="0" fontId="11" fillId="2" borderId="4" xfId="0" applyFont="1" applyFill="1" applyBorder="1" applyAlignment="1">
      <alignment horizontal="left"/>
    </xf>
    <xf numFmtId="0" fontId="33" fillId="2" borderId="8" xfId="0" applyFont="1" applyFill="1" applyBorder="1" applyAlignment="1" applyProtection="1">
      <alignment horizontal="right"/>
      <protection hidden="1"/>
    </xf>
    <xf numFmtId="0" fontId="33" fillId="2" borderId="5" xfId="0" applyFont="1" applyFill="1" applyBorder="1" applyAlignment="1" applyProtection="1">
      <alignment horizontal="right"/>
      <protection hidden="1"/>
    </xf>
    <xf numFmtId="0" fontId="33" fillId="2" borderId="38" xfId="0" applyFont="1" applyFill="1" applyBorder="1" applyAlignment="1" applyProtection="1">
      <alignment horizontal="right"/>
      <protection hidden="1"/>
    </xf>
    <xf numFmtId="0" fontId="33" fillId="2" borderId="0" xfId="0" applyFont="1" applyFill="1" applyBorder="1" applyAlignment="1" applyProtection="1">
      <alignment horizontal="right"/>
      <protection hidden="1"/>
    </xf>
    <xf numFmtId="0" fontId="31" fillId="2" borderId="6" xfId="0" applyFont="1" applyFill="1" applyBorder="1" applyAlignment="1">
      <alignment horizontal="right"/>
    </xf>
    <xf numFmtId="0" fontId="31" fillId="2" borderId="4" xfId="0" applyFont="1" applyFill="1" applyBorder="1" applyAlignment="1">
      <alignment horizontal="right"/>
    </xf>
    <xf numFmtId="0" fontId="0" fillId="0" borderId="0" xfId="0" applyBorder="1" applyAlignment="1">
      <alignment vertical="center"/>
    </xf>
    <xf numFmtId="0" fontId="31" fillId="2" borderId="38" xfId="0" applyFont="1" applyFill="1" applyBorder="1" applyAlignment="1">
      <alignment horizontal="right"/>
    </xf>
    <xf numFmtId="0" fontId="31" fillId="2" borderId="0" xfId="0" applyFont="1" applyFill="1" applyBorder="1" applyAlignment="1">
      <alignment horizontal="right"/>
    </xf>
    <xf numFmtId="0" fontId="26" fillId="0" borderId="4" xfId="0" applyFont="1" applyBorder="1">
      <alignment vertical="center"/>
    </xf>
    <xf numFmtId="0" fontId="31" fillId="0" borderId="8" xfId="0" applyFont="1" applyFill="1" applyBorder="1" applyAlignment="1">
      <alignment horizontal="right"/>
    </xf>
    <xf numFmtId="0" fontId="31" fillId="0" borderId="5" xfId="0" applyFont="1" applyFill="1" applyBorder="1" applyAlignment="1">
      <alignment horizontal="right"/>
    </xf>
    <xf numFmtId="0" fontId="11" fillId="2" borderId="0" xfId="0" applyFont="1" applyFill="1" applyBorder="1" applyAlignment="1">
      <alignment horizontal="left"/>
    </xf>
    <xf numFmtId="0" fontId="31" fillId="2" borderId="49" xfId="0" applyFont="1" applyFill="1" applyBorder="1" applyAlignment="1">
      <alignment horizontal="right"/>
    </xf>
    <xf numFmtId="0" fontId="31" fillId="2" borderId="48" xfId="0" applyFont="1" applyFill="1" applyBorder="1" applyAlignment="1">
      <alignment horizontal="right"/>
    </xf>
    <xf numFmtId="0" fontId="0" fillId="0" borderId="0" xfId="0" applyAlignment="1">
      <alignment vertical="center"/>
    </xf>
    <xf numFmtId="0" fontId="6" fillId="8" borderId="0" xfId="0" applyFont="1" applyFill="1" applyAlignment="1" applyProtection="1">
      <alignment horizontal="right"/>
    </xf>
    <xf numFmtId="0" fontId="0" fillId="2" borderId="0" xfId="0" applyFill="1" applyAlignment="1">
      <alignment vertical="center"/>
    </xf>
    <xf numFmtId="0" fontId="33" fillId="2" borderId="8" xfId="0" applyFont="1" applyFill="1" applyBorder="1" applyAlignment="1">
      <alignment horizontal="right"/>
    </xf>
    <xf numFmtId="0" fontId="33" fillId="2" borderId="5" xfId="0" applyFont="1" applyFill="1" applyBorder="1" applyAlignment="1">
      <alignment horizontal="right"/>
    </xf>
    <xf numFmtId="0" fontId="28" fillId="2" borderId="0" xfId="0" applyFont="1" applyFill="1" applyBorder="1" applyAlignment="1">
      <alignment vertical="center"/>
    </xf>
    <xf numFmtId="0" fontId="0" fillId="2" borderId="0" xfId="0" applyFill="1" applyBorder="1" applyAlignment="1">
      <alignment vertical="center"/>
    </xf>
    <xf numFmtId="0" fontId="31" fillId="2" borderId="8" xfId="0" applyFont="1" applyFill="1" applyBorder="1" applyAlignment="1">
      <alignment horizontal="right"/>
    </xf>
    <xf numFmtId="0" fontId="31" fillId="2" borderId="5" xfId="0" applyFont="1" applyFill="1" applyBorder="1" applyAlignment="1">
      <alignment horizontal="right"/>
    </xf>
    <xf numFmtId="0" fontId="39" fillId="0" borderId="8" xfId="1" applyFont="1" applyBorder="1" applyAlignment="1" applyProtection="1">
      <alignment vertical="center" wrapText="1"/>
    </xf>
    <xf numFmtId="0" fontId="39" fillId="0" borderId="5" xfId="1" applyFont="1" applyBorder="1" applyAlignment="1" applyProtection="1">
      <alignment vertical="center"/>
    </xf>
    <xf numFmtId="0" fontId="39" fillId="0" borderId="3" xfId="1" applyFont="1" applyBorder="1" applyAlignment="1" applyProtection="1">
      <alignment vertical="center"/>
    </xf>
    <xf numFmtId="0" fontId="39" fillId="0" borderId="38" xfId="1" applyFont="1" applyBorder="1" applyAlignment="1" applyProtection="1">
      <alignment vertical="center"/>
    </xf>
    <xf numFmtId="0" fontId="39" fillId="0" borderId="0" xfId="1" applyFont="1" applyAlignment="1" applyProtection="1">
      <alignment vertical="center"/>
    </xf>
    <xf numFmtId="0" fontId="39" fillId="0" borderId="1" xfId="1" applyFont="1" applyBorder="1" applyAlignment="1" applyProtection="1">
      <alignment vertical="center"/>
    </xf>
    <xf numFmtId="0" fontId="39" fillId="0" borderId="6" xfId="1" applyFont="1" applyBorder="1" applyAlignment="1" applyProtection="1">
      <alignment vertical="center"/>
    </xf>
    <xf numFmtId="0" fontId="39" fillId="0" borderId="4" xfId="1" applyFont="1" applyBorder="1" applyAlignment="1" applyProtection="1">
      <alignment vertical="center"/>
    </xf>
    <xf numFmtId="0" fontId="39" fillId="0" borderId="2" xfId="1" applyFont="1" applyBorder="1" applyAlignment="1" applyProtection="1">
      <alignment vertical="center"/>
    </xf>
    <xf numFmtId="0" fontId="33" fillId="0" borderId="6" xfId="0" applyFont="1" applyBorder="1" applyAlignment="1">
      <alignment horizontal="right" vertical="center"/>
    </xf>
    <xf numFmtId="0" fontId="33" fillId="0" borderId="4" xfId="0" applyFont="1" applyBorder="1" applyAlignment="1">
      <alignment horizontal="right" vertical="center"/>
    </xf>
    <xf numFmtId="0" fontId="33" fillId="2" borderId="38" xfId="0" applyFont="1" applyFill="1" applyBorder="1" applyAlignment="1">
      <alignment horizontal="right"/>
    </xf>
    <xf numFmtId="0" fontId="33" fillId="2" borderId="0" xfId="0" applyFont="1" applyFill="1" applyBorder="1" applyAlignment="1">
      <alignment horizontal="right"/>
    </xf>
    <xf numFmtId="0" fontId="0" fillId="0" borderId="0" xfId="0" applyBorder="1" applyAlignment="1">
      <alignment horizontal="right"/>
    </xf>
    <xf numFmtId="0" fontId="33" fillId="2" borderId="6" xfId="0" applyFont="1" applyFill="1" applyBorder="1" applyAlignment="1">
      <alignment horizontal="right"/>
    </xf>
    <xf numFmtId="0" fontId="33" fillId="2" borderId="4" xfId="0" applyFont="1" applyFill="1" applyBorder="1" applyAlignment="1">
      <alignment horizontal="right"/>
    </xf>
    <xf numFmtId="0" fontId="33" fillId="0" borderId="8" xfId="0" applyFont="1" applyBorder="1" applyAlignment="1">
      <alignment horizontal="right" vertical="center"/>
    </xf>
    <xf numFmtId="0" fontId="33" fillId="0" borderId="5" xfId="0" applyFont="1" applyBorder="1" applyAlignment="1">
      <alignment horizontal="right" vertical="center"/>
    </xf>
    <xf numFmtId="0" fontId="0" fillId="0" borderId="17" xfId="0" applyFill="1" applyBorder="1" applyAlignment="1">
      <alignment vertical="center"/>
    </xf>
    <xf numFmtId="0" fontId="0" fillId="0" borderId="39" xfId="0" applyFill="1" applyBorder="1" applyAlignment="1">
      <alignment vertical="center"/>
    </xf>
    <xf numFmtId="0" fontId="0" fillId="0" borderId="18" xfId="0" applyFill="1" applyBorder="1" applyAlignment="1">
      <alignment vertical="center"/>
    </xf>
    <xf numFmtId="0" fontId="0" fillId="0" borderId="21" xfId="0" applyFill="1" applyBorder="1" applyAlignment="1">
      <alignment vertical="center"/>
    </xf>
    <xf numFmtId="0" fontId="0" fillId="0" borderId="40" xfId="0" applyFill="1" applyBorder="1" applyAlignment="1">
      <alignment vertical="center"/>
    </xf>
    <xf numFmtId="0" fontId="0" fillId="0" borderId="12" xfId="0" applyFill="1" applyBorder="1" applyAlignment="1">
      <alignment vertical="center"/>
    </xf>
    <xf numFmtId="0" fontId="21" fillId="0" borderId="27" xfId="2" applyFont="1" applyBorder="1" applyAlignment="1">
      <alignment horizontal="center"/>
    </xf>
    <xf numFmtId="0" fontId="6" fillId="0" borderId="28" xfId="2" applyBorder="1" applyAlignment="1">
      <alignment horizontal="center"/>
    </xf>
    <xf numFmtId="0" fontId="21" fillId="0" borderId="28" xfId="2" applyFont="1" applyBorder="1" applyAlignment="1">
      <alignment horizontal="center"/>
    </xf>
    <xf numFmtId="0" fontId="6" fillId="0" borderId="23" xfId="2" applyBorder="1" applyAlignment="1">
      <alignment horizontal="center"/>
    </xf>
    <xf numFmtId="0" fontId="22" fillId="0" borderId="45" xfId="2" applyFont="1" applyFill="1" applyBorder="1" applyAlignment="1">
      <alignment horizontal="right" vertical="center"/>
    </xf>
    <xf numFmtId="0" fontId="6" fillId="0" borderId="37" xfId="2" applyFill="1" applyBorder="1" applyAlignment="1">
      <alignment horizontal="right" vertical="center"/>
    </xf>
    <xf numFmtId="0" fontId="6" fillId="0" borderId="51" xfId="2" applyFill="1" applyBorder="1" applyAlignment="1">
      <alignment horizontal="right" vertical="center"/>
    </xf>
    <xf numFmtId="0" fontId="22" fillId="0" borderId="42" xfId="2" applyFont="1" applyFill="1" applyBorder="1" applyAlignment="1">
      <alignment horizontal="center"/>
    </xf>
    <xf numFmtId="0" fontId="6" fillId="0" borderId="52" xfId="2" applyFill="1" applyBorder="1" applyAlignment="1">
      <alignment horizontal="center"/>
    </xf>
    <xf numFmtId="0" fontId="6" fillId="0" borderId="50" xfId="2" applyFill="1" applyBorder="1" applyAlignment="1">
      <alignment horizontal="center"/>
    </xf>
    <xf numFmtId="0" fontId="10" fillId="0" borderId="7" xfId="2" applyFont="1" applyBorder="1" applyAlignment="1">
      <alignment horizontal="center"/>
    </xf>
    <xf numFmtId="0" fontId="10" fillId="0" borderId="14" xfId="2" applyFont="1" applyBorder="1" applyAlignment="1">
      <alignment horizontal="center"/>
    </xf>
    <xf numFmtId="0" fontId="22" fillId="0" borderId="52" xfId="2" applyFont="1" applyFill="1" applyBorder="1" applyAlignment="1">
      <alignment horizontal="center"/>
    </xf>
    <xf numFmtId="0" fontId="22" fillId="0" borderId="50" xfId="2" applyFont="1" applyFill="1" applyBorder="1" applyAlignment="1">
      <alignment horizontal="center"/>
    </xf>
    <xf numFmtId="0" fontId="10" fillId="0" borderId="29" xfId="2" applyFont="1" applyBorder="1" applyAlignment="1">
      <alignment horizontal="center"/>
    </xf>
    <xf numFmtId="0" fontId="10" fillId="0" borderId="10" xfId="2" applyFont="1" applyBorder="1" applyAlignment="1">
      <alignment horizontal="center"/>
    </xf>
    <xf numFmtId="0" fontId="10" fillId="0" borderId="13" xfId="2" applyFont="1" applyBorder="1" applyAlignment="1">
      <alignment horizontal="center"/>
    </xf>
    <xf numFmtId="0" fontId="10" fillId="4" borderId="42" xfId="2" applyFont="1" applyFill="1" applyBorder="1" applyAlignment="1"/>
    <xf numFmtId="0" fontId="10" fillId="4" borderId="50" xfId="2" applyFont="1" applyFill="1" applyBorder="1" applyAlignment="1"/>
  </cellXfs>
  <cellStyles count="3">
    <cellStyle name="Hyperlink" xfId="1" builtinId="8"/>
    <cellStyle name="Normal" xfId="0" builtinId="0"/>
    <cellStyle name="常规_LM20242_Calculator" xfId="2"/>
  </cellStyles>
  <dxfs count="16">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patternType="none">
          <bgColor indexed="65"/>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1" i="0" u="none" strike="noStrike" baseline="0">
                <a:solidFill>
                  <a:srgbClr val="000000"/>
                </a:solidFill>
                <a:latin typeface="Arial"/>
                <a:ea typeface="Arial"/>
                <a:cs typeface="Arial"/>
              </a:defRPr>
            </a:pPr>
            <a:r>
              <a:rPr lang="en-US"/>
              <a:t>Close loop Gain&amp;Phase</a:t>
            </a:r>
          </a:p>
        </c:rich>
      </c:tx>
      <c:layout>
        <c:manualLayout>
          <c:xMode val="edge"/>
          <c:yMode val="edge"/>
          <c:x val="0.33391304347826095"/>
          <c:y val="2.2727272727272742E-2"/>
        </c:manualLayout>
      </c:layout>
      <c:overlay val="0"/>
      <c:spPr>
        <a:noFill/>
        <a:ln w="25400">
          <a:noFill/>
        </a:ln>
      </c:spPr>
    </c:title>
    <c:autoTitleDeleted val="0"/>
    <c:plotArea>
      <c:layout>
        <c:manualLayout>
          <c:layoutTarget val="inner"/>
          <c:xMode val="edge"/>
          <c:yMode val="edge"/>
          <c:x val="0.13739130434782612"/>
          <c:y val="0.13409090909090909"/>
          <c:w val="0.74260869565217413"/>
          <c:h val="0.64090909090909109"/>
        </c:manualLayout>
      </c:layout>
      <c:scatterChart>
        <c:scatterStyle val="smoothMarker"/>
        <c:varyColors val="0"/>
        <c:ser>
          <c:idx val="0"/>
          <c:order val="0"/>
          <c:tx>
            <c:strRef>
              <c:f>'Bode Plot Calculations'!$R$13</c:f>
              <c:strCache>
                <c:ptCount val="1"/>
                <c:pt idx="0">
                  <c:v>Gain (dB)</c:v>
                </c:pt>
              </c:strCache>
            </c:strRef>
          </c:tx>
          <c:spPr>
            <a:ln w="25400">
              <a:solidFill>
                <a:srgbClr val="FF0000"/>
              </a:solidFill>
              <a:prstDash val="solid"/>
            </a:ln>
          </c:spPr>
          <c:marker>
            <c:symbol val="none"/>
          </c:marker>
          <c:xVal>
            <c:numRef>
              <c:f>'Bode Plot Calculations'!$A$14:$A$614</c:f>
              <c:numCache>
                <c:formatCode>0.000</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formatCode="0.00">
                  <c:v>10</c:v>
                </c:pt>
                <c:pt idx="26" formatCode="0.00">
                  <c:v>10.965</c:v>
                </c:pt>
                <c:pt idx="27" formatCode="0.00">
                  <c:v>12.023</c:v>
                </c:pt>
                <c:pt idx="28" formatCode="0.00">
                  <c:v>13.183</c:v>
                </c:pt>
                <c:pt idx="29" formatCode="0.00">
                  <c:v>14.454000000000001</c:v>
                </c:pt>
                <c:pt idx="30" formatCode="0.00">
                  <c:v>15.849</c:v>
                </c:pt>
                <c:pt idx="31" formatCode="0.00">
                  <c:v>17.378</c:v>
                </c:pt>
                <c:pt idx="32" formatCode="0.00">
                  <c:v>19.055</c:v>
                </c:pt>
                <c:pt idx="33" formatCode="0.00">
                  <c:v>20.893000000000001</c:v>
                </c:pt>
                <c:pt idx="34" formatCode="0.00">
                  <c:v>22.909000000000002</c:v>
                </c:pt>
                <c:pt idx="35" formatCode="0.00">
                  <c:v>25.119</c:v>
                </c:pt>
                <c:pt idx="36" formatCode="0.00">
                  <c:v>27.542000000000002</c:v>
                </c:pt>
                <c:pt idx="37" formatCode="0.00">
                  <c:v>30.2</c:v>
                </c:pt>
                <c:pt idx="38" formatCode="0.00">
                  <c:v>33.113</c:v>
                </c:pt>
                <c:pt idx="39" formatCode="0.00">
                  <c:v>36.308</c:v>
                </c:pt>
                <c:pt idx="40" formatCode="0.00">
                  <c:v>39.811</c:v>
                </c:pt>
                <c:pt idx="41" formatCode="0.00">
                  <c:v>43.652000000000001</c:v>
                </c:pt>
                <c:pt idx="42" formatCode="0.00">
                  <c:v>47.863</c:v>
                </c:pt>
                <c:pt idx="43" formatCode="0.00">
                  <c:v>52.481000000000002</c:v>
                </c:pt>
                <c:pt idx="44" formatCode="0.00">
                  <c:v>57.544000000000004</c:v>
                </c:pt>
                <c:pt idx="45" formatCode="0.00">
                  <c:v>63.095999999999997</c:v>
                </c:pt>
                <c:pt idx="46" formatCode="0.00">
                  <c:v>69.183000000000007</c:v>
                </c:pt>
                <c:pt idx="47" formatCode="0.00">
                  <c:v>75.858000000000004</c:v>
                </c:pt>
                <c:pt idx="48" formatCode="0.00">
                  <c:v>83.176000000000002</c:v>
                </c:pt>
                <c:pt idx="49" formatCode="0.00">
                  <c:v>91.201000000000008</c:v>
                </c:pt>
                <c:pt idx="50" formatCode="0.00">
                  <c:v>100</c:v>
                </c:pt>
                <c:pt idx="51" formatCode="0.00">
                  <c:v>109.65</c:v>
                </c:pt>
                <c:pt idx="52" formatCode="0.00">
                  <c:v>120.23</c:v>
                </c:pt>
                <c:pt idx="53" formatCode="0.00">
                  <c:v>131.83000000000001</c:v>
                </c:pt>
                <c:pt idx="54" formatCode="0.00">
                  <c:v>144.54</c:v>
                </c:pt>
                <c:pt idx="55" formatCode="0.00">
                  <c:v>158.49</c:v>
                </c:pt>
                <c:pt idx="56" formatCode="0.00">
                  <c:v>173.78</c:v>
                </c:pt>
                <c:pt idx="57" formatCode="0.00">
                  <c:v>190.55</c:v>
                </c:pt>
                <c:pt idx="58" formatCode="0.00">
                  <c:v>208.93</c:v>
                </c:pt>
                <c:pt idx="59" formatCode="0.00">
                  <c:v>229.09</c:v>
                </c:pt>
                <c:pt idx="60" formatCode="0.00">
                  <c:v>251.19</c:v>
                </c:pt>
                <c:pt idx="61" formatCode="0.00">
                  <c:v>275.42</c:v>
                </c:pt>
                <c:pt idx="62" formatCode="0.00">
                  <c:v>302</c:v>
                </c:pt>
                <c:pt idx="63" formatCode="0.00">
                  <c:v>331.13</c:v>
                </c:pt>
                <c:pt idx="64" formatCode="0.00">
                  <c:v>363.08</c:v>
                </c:pt>
                <c:pt idx="65" formatCode="0.00">
                  <c:v>398.11</c:v>
                </c:pt>
                <c:pt idx="66" formatCode="0.00">
                  <c:v>436.52</c:v>
                </c:pt>
                <c:pt idx="67" formatCode="0.00">
                  <c:v>478.63</c:v>
                </c:pt>
                <c:pt idx="68" formatCode="0.00">
                  <c:v>524.80999999999995</c:v>
                </c:pt>
                <c:pt idx="69" formatCode="0.00">
                  <c:v>575.44000000000005</c:v>
                </c:pt>
                <c:pt idx="70" formatCode="0.00">
                  <c:v>630.96</c:v>
                </c:pt>
                <c:pt idx="71" formatCode="0.00">
                  <c:v>691.83</c:v>
                </c:pt>
                <c:pt idx="72" formatCode="0.00">
                  <c:v>758.58</c:v>
                </c:pt>
                <c:pt idx="73" formatCode="0.00">
                  <c:v>831.76</c:v>
                </c:pt>
                <c:pt idx="74" formatCode="0.00">
                  <c:v>912.01</c:v>
                </c:pt>
                <c:pt idx="75" formatCode="General">
                  <c:v>1000</c:v>
                </c:pt>
                <c:pt idx="76" formatCode="#,##0">
                  <c:v>1096.5</c:v>
                </c:pt>
                <c:pt idx="77" formatCode="#,##0">
                  <c:v>1202.3</c:v>
                </c:pt>
                <c:pt idx="78" formatCode="#,##0">
                  <c:v>1318.3</c:v>
                </c:pt>
                <c:pt idx="79" formatCode="#,##0">
                  <c:v>1445.4</c:v>
                </c:pt>
                <c:pt idx="80" formatCode="#,##0">
                  <c:v>1584.9</c:v>
                </c:pt>
                <c:pt idx="81" formatCode="#,##0">
                  <c:v>1737.8</c:v>
                </c:pt>
                <c:pt idx="82" formatCode="#,##0">
                  <c:v>1905.5</c:v>
                </c:pt>
                <c:pt idx="83" formatCode="#,##0">
                  <c:v>2089.3000000000002</c:v>
                </c:pt>
                <c:pt idx="84" formatCode="#,##0">
                  <c:v>2290.9</c:v>
                </c:pt>
                <c:pt idx="85" formatCode="#,##0">
                  <c:v>2511.9</c:v>
                </c:pt>
                <c:pt idx="86" formatCode="#,##0">
                  <c:v>2754.2</c:v>
                </c:pt>
                <c:pt idx="87" formatCode="#,##0">
                  <c:v>3020</c:v>
                </c:pt>
                <c:pt idx="88" formatCode="#,##0">
                  <c:v>3311.3</c:v>
                </c:pt>
                <c:pt idx="89" formatCode="#,##0">
                  <c:v>3630.8</c:v>
                </c:pt>
                <c:pt idx="90" formatCode="#,##0">
                  <c:v>3981.1</c:v>
                </c:pt>
                <c:pt idx="91" formatCode="#,##0">
                  <c:v>4365.2</c:v>
                </c:pt>
                <c:pt idx="92" formatCode="#,##0">
                  <c:v>4786.3</c:v>
                </c:pt>
                <c:pt idx="93" formatCode="#,##0">
                  <c:v>5248.1</c:v>
                </c:pt>
                <c:pt idx="94" formatCode="#,##0">
                  <c:v>5370.3</c:v>
                </c:pt>
                <c:pt idx="95" formatCode="#,##0">
                  <c:v>5432.85</c:v>
                </c:pt>
                <c:pt idx="96" formatCode="#,##0">
                  <c:v>5495.4</c:v>
                </c:pt>
                <c:pt idx="97" formatCode="#,##0">
                  <c:v>5559.4</c:v>
                </c:pt>
                <c:pt idx="98" formatCode="#,##0">
                  <c:v>5623.4</c:v>
                </c:pt>
                <c:pt idx="99" formatCode="#,##0">
                  <c:v>5688.9</c:v>
                </c:pt>
                <c:pt idx="100" formatCode="#,##0">
                  <c:v>5754.4</c:v>
                </c:pt>
                <c:pt idx="101" formatCode="#,##0">
                  <c:v>5821.4</c:v>
                </c:pt>
                <c:pt idx="102" formatCode="#,##0">
                  <c:v>5888.4</c:v>
                </c:pt>
                <c:pt idx="103" formatCode="#,##0">
                  <c:v>5957</c:v>
                </c:pt>
                <c:pt idx="104" formatCode="#,##0">
                  <c:v>6025.6</c:v>
                </c:pt>
                <c:pt idx="105" formatCode="#,##0">
                  <c:v>6095.8</c:v>
                </c:pt>
                <c:pt idx="106" formatCode="#,##0">
                  <c:v>6166</c:v>
                </c:pt>
                <c:pt idx="107" formatCode="#,##0">
                  <c:v>6237.8</c:v>
                </c:pt>
                <c:pt idx="108" formatCode="#,##0">
                  <c:v>6309.6</c:v>
                </c:pt>
                <c:pt idx="109" formatCode="#,##0">
                  <c:v>6383.05</c:v>
                </c:pt>
                <c:pt idx="110" formatCode="#,##0">
                  <c:v>6456.5</c:v>
                </c:pt>
                <c:pt idx="111" formatCode="#,##0">
                  <c:v>6531.7</c:v>
                </c:pt>
                <c:pt idx="112" formatCode="#,##0">
                  <c:v>6606.9</c:v>
                </c:pt>
                <c:pt idx="113" formatCode="#,##0">
                  <c:v>6683.85</c:v>
                </c:pt>
                <c:pt idx="114" formatCode="#,##0">
                  <c:v>6760.8</c:v>
                </c:pt>
                <c:pt idx="115" formatCode="#,##0">
                  <c:v>6839.55</c:v>
                </c:pt>
                <c:pt idx="116" formatCode="#,##0">
                  <c:v>6918.3</c:v>
                </c:pt>
                <c:pt idx="117" formatCode="#,##0">
                  <c:v>6998.9</c:v>
                </c:pt>
                <c:pt idx="118" formatCode="#,##0">
                  <c:v>7079.5</c:v>
                </c:pt>
                <c:pt idx="119" formatCode="#,##0">
                  <c:v>7161.95</c:v>
                </c:pt>
                <c:pt idx="120" formatCode="#,##0">
                  <c:v>7244.4</c:v>
                </c:pt>
                <c:pt idx="121" formatCode="#,##0">
                  <c:v>7328.75</c:v>
                </c:pt>
                <c:pt idx="122" formatCode="#,##0">
                  <c:v>7413.1</c:v>
                </c:pt>
                <c:pt idx="123" formatCode="#,##0">
                  <c:v>7499.45</c:v>
                </c:pt>
                <c:pt idx="124" formatCode="#,##0">
                  <c:v>7585.8</c:v>
                </c:pt>
                <c:pt idx="125" formatCode="#,##0">
                  <c:v>7674.15</c:v>
                </c:pt>
                <c:pt idx="126" formatCode="#,##0">
                  <c:v>7762.5</c:v>
                </c:pt>
                <c:pt idx="127" formatCode="#,##0">
                  <c:v>7852.9</c:v>
                </c:pt>
                <c:pt idx="128" formatCode="#,##0">
                  <c:v>7943.3</c:v>
                </c:pt>
                <c:pt idx="129" formatCode="#,##0">
                  <c:v>8035.8</c:v>
                </c:pt>
                <c:pt idx="130" formatCode="#,##0">
                  <c:v>8128.3</c:v>
                </c:pt>
                <c:pt idx="131" formatCode="#,##0">
                  <c:v>8222.9500000000007</c:v>
                </c:pt>
                <c:pt idx="132" formatCode="#,##0">
                  <c:v>8270.2750000000015</c:v>
                </c:pt>
                <c:pt idx="133" formatCode="#,##0">
                  <c:v>8317.6</c:v>
                </c:pt>
                <c:pt idx="134" formatCode="#,##0">
                  <c:v>8366.0499999999993</c:v>
                </c:pt>
                <c:pt idx="135" formatCode="#,##0">
                  <c:v>8414.5</c:v>
                </c:pt>
                <c:pt idx="136" formatCode="#,##0">
                  <c:v>8462.9500000000007</c:v>
                </c:pt>
                <c:pt idx="137" formatCode="#,##0">
                  <c:v>8511.4</c:v>
                </c:pt>
                <c:pt idx="138" formatCode="#,##0">
                  <c:v>8560.9500000000007</c:v>
                </c:pt>
                <c:pt idx="139" formatCode="#,##0">
                  <c:v>8610.5</c:v>
                </c:pt>
                <c:pt idx="140" formatCode="#,##0">
                  <c:v>8660.0499999999993</c:v>
                </c:pt>
                <c:pt idx="141" formatCode="#,##0">
                  <c:v>8709.6</c:v>
                </c:pt>
                <c:pt idx="142" formatCode="#,##0">
                  <c:v>8760.3250000000007</c:v>
                </c:pt>
                <c:pt idx="143" formatCode="#,##0">
                  <c:v>8811.0499999999993</c:v>
                </c:pt>
                <c:pt idx="144" formatCode="#,##0">
                  <c:v>8861.7749999999996</c:v>
                </c:pt>
                <c:pt idx="145" formatCode="#,##0">
                  <c:v>8912.5</c:v>
                </c:pt>
                <c:pt idx="146" formatCode="#,##0">
                  <c:v>8964.4</c:v>
                </c:pt>
                <c:pt idx="147" formatCode="#,##0">
                  <c:v>9016.2999999999993</c:v>
                </c:pt>
                <c:pt idx="148" formatCode="#,##0">
                  <c:v>9068.2000000000007</c:v>
                </c:pt>
                <c:pt idx="149" formatCode="#,##0">
                  <c:v>9120.1</c:v>
                </c:pt>
                <c:pt idx="150" formatCode="#,##0">
                  <c:v>9173.2000000000007</c:v>
                </c:pt>
                <c:pt idx="151" formatCode="#,##0">
                  <c:v>9226.2999999999993</c:v>
                </c:pt>
                <c:pt idx="152" formatCode="#,##0">
                  <c:v>9279.4</c:v>
                </c:pt>
                <c:pt idx="153" formatCode="#,##0">
                  <c:v>9332.5</c:v>
                </c:pt>
                <c:pt idx="154" formatCode="#,##0">
                  <c:v>9386.85</c:v>
                </c:pt>
                <c:pt idx="155" formatCode="#,##0">
                  <c:v>9441.2000000000007</c:v>
                </c:pt>
                <c:pt idx="156" formatCode="#,##0">
                  <c:v>9495.5499999999993</c:v>
                </c:pt>
                <c:pt idx="157" formatCode="#,##0">
                  <c:v>9549.9</c:v>
                </c:pt>
                <c:pt idx="158" formatCode="#,##0">
                  <c:v>9605.5249999999996</c:v>
                </c:pt>
                <c:pt idx="159" formatCode="#,##0">
                  <c:v>9661.15</c:v>
                </c:pt>
                <c:pt idx="160" formatCode="#,##0">
                  <c:v>9716.7749999999996</c:v>
                </c:pt>
                <c:pt idx="161" formatCode="#,##0">
                  <c:v>9772.4</c:v>
                </c:pt>
                <c:pt idx="162" formatCode="#,##0">
                  <c:v>9829.2999999999993</c:v>
                </c:pt>
                <c:pt idx="163" formatCode="#,##0">
                  <c:v>9886.2000000000007</c:v>
                </c:pt>
                <c:pt idx="164" formatCode="#,##0">
                  <c:v>9943.1</c:v>
                </c:pt>
                <c:pt idx="165" formatCode="#,##0">
                  <c:v>10000</c:v>
                </c:pt>
                <c:pt idx="166" formatCode="#,##0">
                  <c:v>10058.25</c:v>
                </c:pt>
                <c:pt idx="167" formatCode="#,##0">
                  <c:v>10116.5</c:v>
                </c:pt>
                <c:pt idx="168" formatCode="#,##0">
                  <c:v>10174.75</c:v>
                </c:pt>
                <c:pt idx="169" formatCode="#,##0">
                  <c:v>10233</c:v>
                </c:pt>
                <c:pt idx="170" formatCode="#,##0">
                  <c:v>10292.5</c:v>
                </c:pt>
                <c:pt idx="171" formatCode="#,##0">
                  <c:v>10352</c:v>
                </c:pt>
                <c:pt idx="172" formatCode="#,##0">
                  <c:v>10411.5</c:v>
                </c:pt>
                <c:pt idx="173" formatCode="#,##0">
                  <c:v>10471</c:v>
                </c:pt>
                <c:pt idx="174" formatCode="#,##0">
                  <c:v>10532</c:v>
                </c:pt>
                <c:pt idx="175" formatCode="#,##0">
                  <c:v>10593</c:v>
                </c:pt>
                <c:pt idx="176" formatCode="#,##0">
                  <c:v>10654</c:v>
                </c:pt>
                <c:pt idx="177" formatCode="#,##0">
                  <c:v>10715</c:v>
                </c:pt>
                <c:pt idx="178" formatCode="#,##0">
                  <c:v>10777.5</c:v>
                </c:pt>
                <c:pt idx="179" formatCode="#,##0">
                  <c:v>10840</c:v>
                </c:pt>
                <c:pt idx="180" formatCode="#,##0">
                  <c:v>10902.5</c:v>
                </c:pt>
                <c:pt idx="181" formatCode="#,##0">
                  <c:v>10965</c:v>
                </c:pt>
                <c:pt idx="182" formatCode="#,##0">
                  <c:v>11028.75</c:v>
                </c:pt>
                <c:pt idx="183" formatCode="#,##0">
                  <c:v>11092.5</c:v>
                </c:pt>
                <c:pt idx="184" formatCode="#,##0">
                  <c:v>11156.25</c:v>
                </c:pt>
                <c:pt idx="185" formatCode="#,##0">
                  <c:v>11220</c:v>
                </c:pt>
                <c:pt idx="186" formatCode="#,##0">
                  <c:v>11285.5</c:v>
                </c:pt>
                <c:pt idx="187" formatCode="#,##0">
                  <c:v>11351</c:v>
                </c:pt>
                <c:pt idx="188" formatCode="#,##0">
                  <c:v>11416.5</c:v>
                </c:pt>
                <c:pt idx="189" formatCode="#,##0">
                  <c:v>11482</c:v>
                </c:pt>
                <c:pt idx="190" formatCode="#,##0">
                  <c:v>11548.75</c:v>
                </c:pt>
                <c:pt idx="191" formatCode="#,##0">
                  <c:v>11615.5</c:v>
                </c:pt>
                <c:pt idx="192" formatCode="#,##0">
                  <c:v>11682.25</c:v>
                </c:pt>
                <c:pt idx="193" formatCode="#,##0">
                  <c:v>11749</c:v>
                </c:pt>
                <c:pt idx="194" formatCode="#,##0">
                  <c:v>11817.5</c:v>
                </c:pt>
                <c:pt idx="195" formatCode="#,##0">
                  <c:v>11886</c:v>
                </c:pt>
                <c:pt idx="196" formatCode="#,##0">
                  <c:v>11954.5</c:v>
                </c:pt>
                <c:pt idx="197" formatCode="#,##0">
                  <c:v>12023</c:v>
                </c:pt>
                <c:pt idx="198" formatCode="#,##0">
                  <c:v>12093</c:v>
                </c:pt>
                <c:pt idx="199" formatCode="#,##0">
                  <c:v>12163</c:v>
                </c:pt>
                <c:pt idx="200" formatCode="#,##0">
                  <c:v>12233</c:v>
                </c:pt>
                <c:pt idx="201" formatCode="#,##0">
                  <c:v>12303</c:v>
                </c:pt>
                <c:pt idx="202" formatCode="#,##0">
                  <c:v>12374.5</c:v>
                </c:pt>
                <c:pt idx="203" formatCode="#,##0">
                  <c:v>12446</c:v>
                </c:pt>
                <c:pt idx="204" formatCode="#,##0">
                  <c:v>12517.5</c:v>
                </c:pt>
                <c:pt idx="205" formatCode="#,##0">
                  <c:v>12589</c:v>
                </c:pt>
                <c:pt idx="206" formatCode="#,##0">
                  <c:v>12662.25</c:v>
                </c:pt>
                <c:pt idx="207" formatCode="#,##0">
                  <c:v>12735.5</c:v>
                </c:pt>
                <c:pt idx="208" formatCode="#,##0">
                  <c:v>12808.75</c:v>
                </c:pt>
                <c:pt idx="209" formatCode="#,##0">
                  <c:v>12882</c:v>
                </c:pt>
                <c:pt idx="210" formatCode="#,##0">
                  <c:v>12957.25</c:v>
                </c:pt>
                <c:pt idx="211" formatCode="#,##0">
                  <c:v>13032.5</c:v>
                </c:pt>
                <c:pt idx="212" formatCode="#,##0">
                  <c:v>13107.75</c:v>
                </c:pt>
                <c:pt idx="213" formatCode="#,##0">
                  <c:v>13183</c:v>
                </c:pt>
                <c:pt idx="214" formatCode="#,##0">
                  <c:v>13259.75</c:v>
                </c:pt>
                <c:pt idx="215" formatCode="#,##0">
                  <c:v>13336.5</c:v>
                </c:pt>
                <c:pt idx="216" formatCode="#,##0">
                  <c:v>13413.25</c:v>
                </c:pt>
                <c:pt idx="217" formatCode="#,##0">
                  <c:v>13490</c:v>
                </c:pt>
                <c:pt idx="218" formatCode="#,##0">
                  <c:v>13568.5</c:v>
                </c:pt>
                <c:pt idx="219" formatCode="#,##0">
                  <c:v>13647</c:v>
                </c:pt>
                <c:pt idx="220" formatCode="#,##0">
                  <c:v>13725.5</c:v>
                </c:pt>
                <c:pt idx="221" formatCode="#,##0">
                  <c:v>13804</c:v>
                </c:pt>
                <c:pt idx="222" formatCode="#,##0">
                  <c:v>13884.25</c:v>
                </c:pt>
                <c:pt idx="223" formatCode="#,##0">
                  <c:v>13964.5</c:v>
                </c:pt>
                <c:pt idx="224" formatCode="#,##0">
                  <c:v>14044.75</c:v>
                </c:pt>
                <c:pt idx="225" formatCode="#,##0">
                  <c:v>14125</c:v>
                </c:pt>
                <c:pt idx="226" formatCode="#,##0">
                  <c:v>14207.25</c:v>
                </c:pt>
                <c:pt idx="227" formatCode="#,##0">
                  <c:v>14289.5</c:v>
                </c:pt>
                <c:pt idx="228" formatCode="#,##0">
                  <c:v>14371.75</c:v>
                </c:pt>
                <c:pt idx="229" formatCode="#,##0">
                  <c:v>14454</c:v>
                </c:pt>
                <c:pt idx="230" formatCode="#,##0">
                  <c:v>14622.5</c:v>
                </c:pt>
                <c:pt idx="231" formatCode="#,##0">
                  <c:v>14706.75</c:v>
                </c:pt>
                <c:pt idx="232" formatCode="#,##0">
                  <c:v>14791</c:v>
                </c:pt>
                <c:pt idx="233" formatCode="#,##0">
                  <c:v>14877.25</c:v>
                </c:pt>
                <c:pt idx="234" formatCode="#,##0">
                  <c:v>14963.5</c:v>
                </c:pt>
                <c:pt idx="235" formatCode="#,##0">
                  <c:v>15049.75</c:v>
                </c:pt>
                <c:pt idx="236" formatCode="#,##0">
                  <c:v>15136</c:v>
                </c:pt>
                <c:pt idx="237" formatCode="#,##0">
                  <c:v>15224</c:v>
                </c:pt>
                <c:pt idx="238" formatCode="#,##0">
                  <c:v>15312</c:v>
                </c:pt>
                <c:pt idx="239" formatCode="#,##0">
                  <c:v>15400</c:v>
                </c:pt>
                <c:pt idx="240" formatCode="#,##0">
                  <c:v>15488</c:v>
                </c:pt>
                <c:pt idx="241" formatCode="#,##0">
                  <c:v>15578.25</c:v>
                </c:pt>
                <c:pt idx="242" formatCode="#,##0">
                  <c:v>15668.5</c:v>
                </c:pt>
                <c:pt idx="243" formatCode="#,##0">
                  <c:v>15758.75</c:v>
                </c:pt>
                <c:pt idx="244" formatCode="#,##0">
                  <c:v>15849</c:v>
                </c:pt>
                <c:pt idx="245" formatCode="#,##0">
                  <c:v>15941.25</c:v>
                </c:pt>
                <c:pt idx="246" formatCode="#,##0">
                  <c:v>16033.5</c:v>
                </c:pt>
                <c:pt idx="247" formatCode="#,##0">
                  <c:v>16125.75</c:v>
                </c:pt>
                <c:pt idx="248" formatCode="#,##0">
                  <c:v>16218</c:v>
                </c:pt>
                <c:pt idx="249" formatCode="#,##0">
                  <c:v>16312.5</c:v>
                </c:pt>
                <c:pt idx="250" formatCode="#,##0">
                  <c:v>16407</c:v>
                </c:pt>
                <c:pt idx="251" formatCode="#,##0">
                  <c:v>16501.5</c:v>
                </c:pt>
                <c:pt idx="252" formatCode="#,##0">
                  <c:v>16596</c:v>
                </c:pt>
                <c:pt idx="253" formatCode="#,##0">
                  <c:v>16692.5</c:v>
                </c:pt>
                <c:pt idx="254" formatCode="#,##0">
                  <c:v>16789</c:v>
                </c:pt>
                <c:pt idx="255" formatCode="#,##0">
                  <c:v>16885.5</c:v>
                </c:pt>
                <c:pt idx="256" formatCode="#,##0">
                  <c:v>16982</c:v>
                </c:pt>
                <c:pt idx="257" formatCode="#,##0">
                  <c:v>17081</c:v>
                </c:pt>
                <c:pt idx="258" formatCode="#,##0">
                  <c:v>17180</c:v>
                </c:pt>
                <c:pt idx="259" formatCode="#,##0">
                  <c:v>17279</c:v>
                </c:pt>
                <c:pt idx="260" formatCode="#,##0">
                  <c:v>17378</c:v>
                </c:pt>
                <c:pt idx="261" formatCode="#,##0">
                  <c:v>17479.25</c:v>
                </c:pt>
                <c:pt idx="262" formatCode="#,##0">
                  <c:v>17580.5</c:v>
                </c:pt>
                <c:pt idx="263" formatCode="#,##0">
                  <c:v>17681.75</c:v>
                </c:pt>
                <c:pt idx="264" formatCode="#,##0">
                  <c:v>17783</c:v>
                </c:pt>
                <c:pt idx="265" formatCode="#,##0">
                  <c:v>17886.5</c:v>
                </c:pt>
                <c:pt idx="266" formatCode="#,##0">
                  <c:v>17990</c:v>
                </c:pt>
                <c:pt idx="267" formatCode="#,##0">
                  <c:v>18093.5</c:v>
                </c:pt>
                <c:pt idx="268" formatCode="#,##0">
                  <c:v>18197</c:v>
                </c:pt>
                <c:pt idx="269" formatCode="#,##0">
                  <c:v>18303</c:v>
                </c:pt>
                <c:pt idx="270" formatCode="#,##0">
                  <c:v>18409</c:v>
                </c:pt>
                <c:pt idx="271" formatCode="#,##0">
                  <c:v>18515</c:v>
                </c:pt>
                <c:pt idx="272" formatCode="#,##0">
                  <c:v>18621</c:v>
                </c:pt>
                <c:pt idx="273" formatCode="#,##0">
                  <c:v>18729.5</c:v>
                </c:pt>
                <c:pt idx="274" formatCode="#,##0">
                  <c:v>18838</c:v>
                </c:pt>
                <c:pt idx="275" formatCode="#,##0">
                  <c:v>18946.5</c:v>
                </c:pt>
                <c:pt idx="276" formatCode="#,##0">
                  <c:v>19055</c:v>
                </c:pt>
                <c:pt idx="277" formatCode="#,##0">
                  <c:v>19165.75</c:v>
                </c:pt>
                <c:pt idx="278" formatCode="#,##0">
                  <c:v>19276.5</c:v>
                </c:pt>
                <c:pt idx="279" formatCode="#,##0">
                  <c:v>19387.25</c:v>
                </c:pt>
                <c:pt idx="280" formatCode="#,##0">
                  <c:v>19498</c:v>
                </c:pt>
                <c:pt idx="281" formatCode="#,##0">
                  <c:v>19611.75</c:v>
                </c:pt>
                <c:pt idx="282" formatCode="#,##0">
                  <c:v>19725.5</c:v>
                </c:pt>
                <c:pt idx="283" formatCode="#,##0">
                  <c:v>19839.25</c:v>
                </c:pt>
                <c:pt idx="284" formatCode="#,##0">
                  <c:v>19953</c:v>
                </c:pt>
                <c:pt idx="285" formatCode="#,##0">
                  <c:v>20069</c:v>
                </c:pt>
                <c:pt idx="286" formatCode="#,##0">
                  <c:v>20185</c:v>
                </c:pt>
                <c:pt idx="287" formatCode="#,##0">
                  <c:v>20301</c:v>
                </c:pt>
                <c:pt idx="288" formatCode="#,##0">
                  <c:v>20417</c:v>
                </c:pt>
                <c:pt idx="289" formatCode="#,##0">
                  <c:v>20536</c:v>
                </c:pt>
                <c:pt idx="290" formatCode="#,##0">
                  <c:v>20655</c:v>
                </c:pt>
                <c:pt idx="291" formatCode="#,##0">
                  <c:v>20774</c:v>
                </c:pt>
                <c:pt idx="292" formatCode="#,##0">
                  <c:v>20893</c:v>
                </c:pt>
                <c:pt idx="293" formatCode="#,##0">
                  <c:v>21014.75</c:v>
                </c:pt>
                <c:pt idx="294" formatCode="#,##0">
                  <c:v>21136.5</c:v>
                </c:pt>
                <c:pt idx="295" formatCode="#,##0">
                  <c:v>21258.25</c:v>
                </c:pt>
                <c:pt idx="296" formatCode="#,##0">
                  <c:v>21380</c:v>
                </c:pt>
                <c:pt idx="297" formatCode="#,##0">
                  <c:v>21504.5</c:v>
                </c:pt>
                <c:pt idx="298" formatCode="#,##0">
                  <c:v>21629</c:v>
                </c:pt>
                <c:pt idx="299" formatCode="#,##0">
                  <c:v>21753.5</c:v>
                </c:pt>
                <c:pt idx="300" formatCode="#,##0">
                  <c:v>21878</c:v>
                </c:pt>
                <c:pt idx="301" formatCode="#,##0">
                  <c:v>22005.25</c:v>
                </c:pt>
                <c:pt idx="302" formatCode="#,##0">
                  <c:v>22132.5</c:v>
                </c:pt>
                <c:pt idx="303" formatCode="#,##0">
                  <c:v>22259.75</c:v>
                </c:pt>
                <c:pt idx="304" formatCode="#,##0">
                  <c:v>22387</c:v>
                </c:pt>
                <c:pt idx="305" formatCode="#,##0">
                  <c:v>22517.5</c:v>
                </c:pt>
                <c:pt idx="306" formatCode="#,##0">
                  <c:v>22648</c:v>
                </c:pt>
                <c:pt idx="307" formatCode="#,##0">
                  <c:v>22778.5</c:v>
                </c:pt>
                <c:pt idx="308" formatCode="#,##0">
                  <c:v>22909</c:v>
                </c:pt>
                <c:pt idx="309" formatCode="#,##0">
                  <c:v>23042.25</c:v>
                </c:pt>
                <c:pt idx="310" formatCode="#,##0">
                  <c:v>23175.5</c:v>
                </c:pt>
                <c:pt idx="311" formatCode="#,##0">
                  <c:v>23308.75</c:v>
                </c:pt>
                <c:pt idx="312" formatCode="#,##0">
                  <c:v>23442</c:v>
                </c:pt>
                <c:pt idx="313" formatCode="#,##0">
                  <c:v>23578.5</c:v>
                </c:pt>
                <c:pt idx="314" formatCode="#,##0">
                  <c:v>23715</c:v>
                </c:pt>
                <c:pt idx="315" formatCode="#,##0">
                  <c:v>23851.5</c:v>
                </c:pt>
                <c:pt idx="316" formatCode="#,##0">
                  <c:v>23988</c:v>
                </c:pt>
                <c:pt idx="317" formatCode="#,##0">
                  <c:v>24127.75</c:v>
                </c:pt>
                <c:pt idx="318" formatCode="#,##0">
                  <c:v>24267.5</c:v>
                </c:pt>
                <c:pt idx="319" formatCode="#,##0">
                  <c:v>24407.25</c:v>
                </c:pt>
                <c:pt idx="320" formatCode="#,##0">
                  <c:v>24547</c:v>
                </c:pt>
                <c:pt idx="321" formatCode="#,##0">
                  <c:v>24690</c:v>
                </c:pt>
                <c:pt idx="322" formatCode="#,##0">
                  <c:v>24833</c:v>
                </c:pt>
                <c:pt idx="323" formatCode="#,##0">
                  <c:v>24976</c:v>
                </c:pt>
                <c:pt idx="324" formatCode="#,##0">
                  <c:v>25119</c:v>
                </c:pt>
                <c:pt idx="325" formatCode="#,##0">
                  <c:v>25265.25</c:v>
                </c:pt>
                <c:pt idx="326" formatCode="#,##0">
                  <c:v>25411.5</c:v>
                </c:pt>
                <c:pt idx="327" formatCode="#,##0">
                  <c:v>25557.75</c:v>
                </c:pt>
                <c:pt idx="328" formatCode="#,##0">
                  <c:v>25704</c:v>
                </c:pt>
                <c:pt idx="329" formatCode="#,##0">
                  <c:v>25853.75</c:v>
                </c:pt>
                <c:pt idx="330" formatCode="#,##0">
                  <c:v>26003.5</c:v>
                </c:pt>
                <c:pt idx="331" formatCode="#,##0">
                  <c:v>26153.25</c:v>
                </c:pt>
                <c:pt idx="332" formatCode="#,##0">
                  <c:v>26303</c:v>
                </c:pt>
                <c:pt idx="333" formatCode="#,##0">
                  <c:v>26456</c:v>
                </c:pt>
                <c:pt idx="334" formatCode="#,##0">
                  <c:v>26609</c:v>
                </c:pt>
                <c:pt idx="335" formatCode="#,##0">
                  <c:v>26762</c:v>
                </c:pt>
                <c:pt idx="336" formatCode="#,##0">
                  <c:v>26915</c:v>
                </c:pt>
                <c:pt idx="337" formatCode="#,##0">
                  <c:v>27071.75</c:v>
                </c:pt>
                <c:pt idx="338" formatCode="#,##0">
                  <c:v>27228.5</c:v>
                </c:pt>
                <c:pt idx="339" formatCode="#,##0">
                  <c:v>27385.25</c:v>
                </c:pt>
                <c:pt idx="340" formatCode="#,##0">
                  <c:v>27542</c:v>
                </c:pt>
                <c:pt idx="341" formatCode="#,##0">
                  <c:v>27702.5</c:v>
                </c:pt>
                <c:pt idx="342" formatCode="#,##0">
                  <c:v>27863</c:v>
                </c:pt>
                <c:pt idx="343" formatCode="#,##0">
                  <c:v>28023.5</c:v>
                </c:pt>
                <c:pt idx="344" formatCode="#,##0">
                  <c:v>28184</c:v>
                </c:pt>
                <c:pt idx="345" formatCode="#,##0">
                  <c:v>28348</c:v>
                </c:pt>
                <c:pt idx="346" formatCode="#,##0">
                  <c:v>28512</c:v>
                </c:pt>
                <c:pt idx="347" formatCode="#,##0">
                  <c:v>28676</c:v>
                </c:pt>
                <c:pt idx="348" formatCode="#,##0">
                  <c:v>28840</c:v>
                </c:pt>
                <c:pt idx="349" formatCode="#,##0">
                  <c:v>29008</c:v>
                </c:pt>
                <c:pt idx="350" formatCode="#,##0">
                  <c:v>29176</c:v>
                </c:pt>
                <c:pt idx="351" formatCode="#,##0">
                  <c:v>29344</c:v>
                </c:pt>
                <c:pt idx="352" formatCode="#,##0">
                  <c:v>29512</c:v>
                </c:pt>
                <c:pt idx="353" formatCode="#,##0">
                  <c:v>29684</c:v>
                </c:pt>
                <c:pt idx="354" formatCode="#,##0">
                  <c:v>29856</c:v>
                </c:pt>
                <c:pt idx="355" formatCode="#,##0">
                  <c:v>30028</c:v>
                </c:pt>
                <c:pt idx="356" formatCode="#,##0">
                  <c:v>30200</c:v>
                </c:pt>
                <c:pt idx="357" formatCode="#,##0">
                  <c:v>30375.75</c:v>
                </c:pt>
                <c:pt idx="358" formatCode="#,##0">
                  <c:v>30551.5</c:v>
                </c:pt>
                <c:pt idx="359" formatCode="#,##0">
                  <c:v>30727.25</c:v>
                </c:pt>
                <c:pt idx="360" formatCode="#,##0">
                  <c:v>30903</c:v>
                </c:pt>
                <c:pt idx="361" formatCode="#,##0">
                  <c:v>31083</c:v>
                </c:pt>
                <c:pt idx="362" formatCode="#,##0">
                  <c:v>31263</c:v>
                </c:pt>
                <c:pt idx="363" formatCode="#,##0">
                  <c:v>31443</c:v>
                </c:pt>
                <c:pt idx="364" formatCode="#,##0">
                  <c:v>31623</c:v>
                </c:pt>
                <c:pt idx="365" formatCode="#,##0">
                  <c:v>31807</c:v>
                </c:pt>
                <c:pt idx="366" formatCode="#,##0">
                  <c:v>31991</c:v>
                </c:pt>
                <c:pt idx="367" formatCode="#,##0">
                  <c:v>32175</c:v>
                </c:pt>
                <c:pt idx="368" formatCode="#,##0">
                  <c:v>32359</c:v>
                </c:pt>
                <c:pt idx="369" formatCode="#,##0">
                  <c:v>32547.5</c:v>
                </c:pt>
                <c:pt idx="370" formatCode="#,##0">
                  <c:v>32736</c:v>
                </c:pt>
                <c:pt idx="371" formatCode="#,##0">
                  <c:v>32924.5</c:v>
                </c:pt>
                <c:pt idx="372" formatCode="#,##0">
                  <c:v>33113</c:v>
                </c:pt>
                <c:pt idx="373" formatCode="#,##0">
                  <c:v>33305.75</c:v>
                </c:pt>
                <c:pt idx="374" formatCode="#,##0">
                  <c:v>33498.5</c:v>
                </c:pt>
                <c:pt idx="375" formatCode="#,##0">
                  <c:v>33691.25</c:v>
                </c:pt>
                <c:pt idx="376" formatCode="#,##0">
                  <c:v>33884</c:v>
                </c:pt>
                <c:pt idx="377" formatCode="#,##0">
                  <c:v>34081.5</c:v>
                </c:pt>
                <c:pt idx="378" formatCode="#,##0">
                  <c:v>34279</c:v>
                </c:pt>
                <c:pt idx="379" formatCode="#,##0">
                  <c:v>34476.5</c:v>
                </c:pt>
                <c:pt idx="380" formatCode="#,##0">
                  <c:v>34674</c:v>
                </c:pt>
                <c:pt idx="381" formatCode="#,##0">
                  <c:v>34875.75</c:v>
                </c:pt>
                <c:pt idx="382" formatCode="#,##0">
                  <c:v>35077.5</c:v>
                </c:pt>
                <c:pt idx="383" formatCode="#,##0">
                  <c:v>35279.25</c:v>
                </c:pt>
                <c:pt idx="384" formatCode="#,##0">
                  <c:v>35481</c:v>
                </c:pt>
                <c:pt idx="385" formatCode="#,##0">
                  <c:v>35687.75</c:v>
                </c:pt>
                <c:pt idx="386" formatCode="#,##0">
                  <c:v>35894.5</c:v>
                </c:pt>
                <c:pt idx="387" formatCode="#,##0">
                  <c:v>36101.25</c:v>
                </c:pt>
                <c:pt idx="388" formatCode="#,##0">
                  <c:v>36308</c:v>
                </c:pt>
                <c:pt idx="389" formatCode="#,##0">
                  <c:v>36519.5</c:v>
                </c:pt>
                <c:pt idx="390" formatCode="#,##0">
                  <c:v>36731</c:v>
                </c:pt>
                <c:pt idx="391" formatCode="#,##0">
                  <c:v>36942.5</c:v>
                </c:pt>
                <c:pt idx="392" formatCode="#,##0">
                  <c:v>37154</c:v>
                </c:pt>
                <c:pt idx="393" formatCode="#,##0">
                  <c:v>37370.25</c:v>
                </c:pt>
                <c:pt idx="394" formatCode="#,##0">
                  <c:v>37586.5</c:v>
                </c:pt>
                <c:pt idx="395" formatCode="#,##0">
                  <c:v>37802.75</c:v>
                </c:pt>
                <c:pt idx="396" formatCode="#,##0">
                  <c:v>38019</c:v>
                </c:pt>
                <c:pt idx="397" formatCode="#,##0">
                  <c:v>38240.5</c:v>
                </c:pt>
                <c:pt idx="398" formatCode="#,##0">
                  <c:v>38462</c:v>
                </c:pt>
                <c:pt idx="399" formatCode="#,##0">
                  <c:v>38683.5</c:v>
                </c:pt>
                <c:pt idx="400" formatCode="#,##0">
                  <c:v>38905</c:v>
                </c:pt>
                <c:pt idx="401" formatCode="#,##0">
                  <c:v>39131.5</c:v>
                </c:pt>
                <c:pt idx="402" formatCode="#,##0">
                  <c:v>39358</c:v>
                </c:pt>
                <c:pt idx="403" formatCode="#,##0">
                  <c:v>39584.5</c:v>
                </c:pt>
                <c:pt idx="404" formatCode="#,##0">
                  <c:v>39811</c:v>
                </c:pt>
                <c:pt idx="405" formatCode="#,##0">
                  <c:v>40042.75</c:v>
                </c:pt>
                <c:pt idx="406" formatCode="#,##0">
                  <c:v>40274.5</c:v>
                </c:pt>
                <c:pt idx="407" formatCode="#,##0">
                  <c:v>40506.25</c:v>
                </c:pt>
                <c:pt idx="408" formatCode="#,##0">
                  <c:v>40738</c:v>
                </c:pt>
                <c:pt idx="409" formatCode="#,##0">
                  <c:v>40975.25</c:v>
                </c:pt>
                <c:pt idx="410" formatCode="#,##0">
                  <c:v>41212.5</c:v>
                </c:pt>
                <c:pt idx="411" formatCode="#,##0">
                  <c:v>41449.75</c:v>
                </c:pt>
                <c:pt idx="412" formatCode="#,##0">
                  <c:v>41687</c:v>
                </c:pt>
                <c:pt idx="413" formatCode="#,##0">
                  <c:v>41929.75</c:v>
                </c:pt>
                <c:pt idx="414" formatCode="#,##0">
                  <c:v>42172.5</c:v>
                </c:pt>
                <c:pt idx="415" formatCode="#,##0">
                  <c:v>42415.25</c:v>
                </c:pt>
                <c:pt idx="416" formatCode="#,##0">
                  <c:v>42658</c:v>
                </c:pt>
                <c:pt idx="417" formatCode="#,##0">
                  <c:v>42906.5</c:v>
                </c:pt>
                <c:pt idx="418" formatCode="#,##0">
                  <c:v>43155</c:v>
                </c:pt>
                <c:pt idx="419" formatCode="#,##0">
                  <c:v>43403.5</c:v>
                </c:pt>
                <c:pt idx="420" formatCode="#,##0">
                  <c:v>43652</c:v>
                </c:pt>
                <c:pt idx="421" formatCode="#,##0">
                  <c:v>43906</c:v>
                </c:pt>
                <c:pt idx="422" formatCode="#,##0">
                  <c:v>44160</c:v>
                </c:pt>
                <c:pt idx="423" formatCode="#,##0">
                  <c:v>44414</c:v>
                </c:pt>
                <c:pt idx="424" formatCode="#,##0">
                  <c:v>44668</c:v>
                </c:pt>
                <c:pt idx="425" formatCode="#,##0">
                  <c:v>44928.25</c:v>
                </c:pt>
                <c:pt idx="426" formatCode="#,##0">
                  <c:v>45188.5</c:v>
                </c:pt>
                <c:pt idx="427" formatCode="#,##0">
                  <c:v>45448.75</c:v>
                </c:pt>
                <c:pt idx="428" formatCode="#,##0">
                  <c:v>45709</c:v>
                </c:pt>
                <c:pt idx="429" formatCode="#,##0">
                  <c:v>45975.25</c:v>
                </c:pt>
                <c:pt idx="430" formatCode="#,##0">
                  <c:v>46241.5</c:v>
                </c:pt>
                <c:pt idx="431" formatCode="#,##0">
                  <c:v>46507.75</c:v>
                </c:pt>
                <c:pt idx="432" formatCode="#,##0">
                  <c:v>46774</c:v>
                </c:pt>
                <c:pt idx="433" formatCode="#,##0">
                  <c:v>47046.25</c:v>
                </c:pt>
                <c:pt idx="434" formatCode="#,##0">
                  <c:v>47318.5</c:v>
                </c:pt>
                <c:pt idx="435" formatCode="#,##0">
                  <c:v>47590.75</c:v>
                </c:pt>
                <c:pt idx="436" formatCode="#,##0">
                  <c:v>47863</c:v>
                </c:pt>
                <c:pt idx="437" formatCode="#,##0">
                  <c:v>48141.75</c:v>
                </c:pt>
                <c:pt idx="438" formatCode="#,##0">
                  <c:v>48420.5</c:v>
                </c:pt>
                <c:pt idx="439" formatCode="#,##0">
                  <c:v>48699.25</c:v>
                </c:pt>
                <c:pt idx="440" formatCode="#,##0">
                  <c:v>48978</c:v>
                </c:pt>
                <c:pt idx="441" formatCode="#,##0">
                  <c:v>49263.25</c:v>
                </c:pt>
                <c:pt idx="442" formatCode="#,##0">
                  <c:v>49548.5</c:v>
                </c:pt>
                <c:pt idx="443" formatCode="#,##0">
                  <c:v>49833.75</c:v>
                </c:pt>
                <c:pt idx="444" formatCode="#,##0">
                  <c:v>50119</c:v>
                </c:pt>
                <c:pt idx="445" formatCode="#,##0">
                  <c:v>50410.75</c:v>
                </c:pt>
                <c:pt idx="446" formatCode="#,##0">
                  <c:v>50702.5</c:v>
                </c:pt>
                <c:pt idx="447" formatCode="#,##0">
                  <c:v>50994.25</c:v>
                </c:pt>
                <c:pt idx="448" formatCode="#,##0">
                  <c:v>51286</c:v>
                </c:pt>
                <c:pt idx="449" formatCode="#,##0">
                  <c:v>51584.75</c:v>
                </c:pt>
                <c:pt idx="450" formatCode="#,##0">
                  <c:v>51883.5</c:v>
                </c:pt>
                <c:pt idx="451" formatCode="#,##0">
                  <c:v>52182.25</c:v>
                </c:pt>
                <c:pt idx="452" formatCode="#,##0">
                  <c:v>52481</c:v>
                </c:pt>
                <c:pt idx="453" formatCode="#,##0">
                  <c:v>52786.5</c:v>
                </c:pt>
                <c:pt idx="454" formatCode="#,##0">
                  <c:v>53092</c:v>
                </c:pt>
                <c:pt idx="455" formatCode="#,##0">
                  <c:v>53397.5</c:v>
                </c:pt>
                <c:pt idx="456" formatCode="#,##0">
                  <c:v>53703</c:v>
                </c:pt>
                <c:pt idx="457" formatCode="#,##0">
                  <c:v>54015.75</c:v>
                </c:pt>
                <c:pt idx="458" formatCode="#,##0">
                  <c:v>54328.5</c:v>
                </c:pt>
                <c:pt idx="459" formatCode="#,##0">
                  <c:v>54641.25</c:v>
                </c:pt>
                <c:pt idx="460" formatCode="#,##0">
                  <c:v>54954</c:v>
                </c:pt>
                <c:pt idx="461" formatCode="#,##0">
                  <c:v>55274</c:v>
                </c:pt>
                <c:pt idx="462" formatCode="#,##0">
                  <c:v>55594</c:v>
                </c:pt>
                <c:pt idx="463" formatCode="#,##0">
                  <c:v>55914</c:v>
                </c:pt>
                <c:pt idx="464" formatCode="#,##0">
                  <c:v>56234</c:v>
                </c:pt>
                <c:pt idx="465" formatCode="#,##0">
                  <c:v>56561.5</c:v>
                </c:pt>
                <c:pt idx="466" formatCode="#,##0">
                  <c:v>56889</c:v>
                </c:pt>
                <c:pt idx="467" formatCode="#,##0">
                  <c:v>57216.5</c:v>
                </c:pt>
                <c:pt idx="468" formatCode="#,##0">
                  <c:v>57544</c:v>
                </c:pt>
                <c:pt idx="469" formatCode="#,##0">
                  <c:v>57879</c:v>
                </c:pt>
                <c:pt idx="470" formatCode="#,##0">
                  <c:v>58214</c:v>
                </c:pt>
                <c:pt idx="471" formatCode="#,##0">
                  <c:v>58549</c:v>
                </c:pt>
                <c:pt idx="472" formatCode="#,##0">
                  <c:v>58884</c:v>
                </c:pt>
                <c:pt idx="473" formatCode="#,##0">
                  <c:v>59227</c:v>
                </c:pt>
                <c:pt idx="474" formatCode="#,##0">
                  <c:v>59570</c:v>
                </c:pt>
                <c:pt idx="475" formatCode="#,##0">
                  <c:v>59913</c:v>
                </c:pt>
                <c:pt idx="476" formatCode="#,##0">
                  <c:v>60256</c:v>
                </c:pt>
                <c:pt idx="477" formatCode="#,##0">
                  <c:v>60607</c:v>
                </c:pt>
                <c:pt idx="478" formatCode="#,##0">
                  <c:v>60958</c:v>
                </c:pt>
                <c:pt idx="479" formatCode="#,##0">
                  <c:v>61309</c:v>
                </c:pt>
                <c:pt idx="480" formatCode="#,##0">
                  <c:v>61660</c:v>
                </c:pt>
                <c:pt idx="481" formatCode="#,##0">
                  <c:v>62019</c:v>
                </c:pt>
                <c:pt idx="482" formatCode="#,##0">
                  <c:v>62378</c:v>
                </c:pt>
                <c:pt idx="483" formatCode="#,##0">
                  <c:v>62737</c:v>
                </c:pt>
                <c:pt idx="484" formatCode="#,##0">
                  <c:v>63096</c:v>
                </c:pt>
                <c:pt idx="485" formatCode="#,##0">
                  <c:v>63463.25</c:v>
                </c:pt>
                <c:pt idx="486" formatCode="#,##0">
                  <c:v>63830.5</c:v>
                </c:pt>
                <c:pt idx="487" formatCode="#,##0">
                  <c:v>64197.75</c:v>
                </c:pt>
                <c:pt idx="488" formatCode="#,##0">
                  <c:v>64565</c:v>
                </c:pt>
                <c:pt idx="489" formatCode="#,##0">
                  <c:v>64941</c:v>
                </c:pt>
                <c:pt idx="490" formatCode="#,##0">
                  <c:v>65317</c:v>
                </c:pt>
                <c:pt idx="491" formatCode="#,##0">
                  <c:v>65693</c:v>
                </c:pt>
                <c:pt idx="492" formatCode="#,##0">
                  <c:v>66069</c:v>
                </c:pt>
                <c:pt idx="493" formatCode="#,##0">
                  <c:v>66453.75</c:v>
                </c:pt>
                <c:pt idx="494" formatCode="#,##0">
                  <c:v>66838.5</c:v>
                </c:pt>
                <c:pt idx="495" formatCode="#,##0">
                  <c:v>67223.25</c:v>
                </c:pt>
                <c:pt idx="496" formatCode="#,##0">
                  <c:v>67608</c:v>
                </c:pt>
                <c:pt idx="497" formatCode="#,##0">
                  <c:v>68001.75</c:v>
                </c:pt>
                <c:pt idx="498" formatCode="#,##0">
                  <c:v>68395.5</c:v>
                </c:pt>
                <c:pt idx="499" formatCode="#,##0">
                  <c:v>68789.25</c:v>
                </c:pt>
                <c:pt idx="500" formatCode="#,##0">
                  <c:v>69183</c:v>
                </c:pt>
                <c:pt idx="501" formatCode="#,##0">
                  <c:v>69586</c:v>
                </c:pt>
                <c:pt idx="502" formatCode="#,##0">
                  <c:v>69989</c:v>
                </c:pt>
                <c:pt idx="503" formatCode="#,##0">
                  <c:v>70392</c:v>
                </c:pt>
                <c:pt idx="504" formatCode="#,##0">
                  <c:v>70795</c:v>
                </c:pt>
                <c:pt idx="505" formatCode="#,##0">
                  <c:v>71207.25</c:v>
                </c:pt>
                <c:pt idx="506" formatCode="#,##0">
                  <c:v>71619.5</c:v>
                </c:pt>
                <c:pt idx="507" formatCode="#,##0">
                  <c:v>72031.75</c:v>
                </c:pt>
                <c:pt idx="508" formatCode="#,##0">
                  <c:v>72444</c:v>
                </c:pt>
                <c:pt idx="509" formatCode="#,##0">
                  <c:v>72865.75</c:v>
                </c:pt>
                <c:pt idx="510" formatCode="#,##0">
                  <c:v>73287.5</c:v>
                </c:pt>
                <c:pt idx="511" formatCode="#,##0">
                  <c:v>73709.25</c:v>
                </c:pt>
                <c:pt idx="512" formatCode="#,##0">
                  <c:v>74131</c:v>
                </c:pt>
                <c:pt idx="513" formatCode="#,##0">
                  <c:v>74562.75</c:v>
                </c:pt>
                <c:pt idx="514" formatCode="#,##0">
                  <c:v>74994.5</c:v>
                </c:pt>
                <c:pt idx="515" formatCode="#,##0">
                  <c:v>75426.25</c:v>
                </c:pt>
                <c:pt idx="516" formatCode="#,##0">
                  <c:v>75858</c:v>
                </c:pt>
                <c:pt idx="517" formatCode="#,##0">
                  <c:v>76299.75</c:v>
                </c:pt>
                <c:pt idx="518" formatCode="#,##0">
                  <c:v>76741.5</c:v>
                </c:pt>
                <c:pt idx="519" formatCode="#,##0">
                  <c:v>77183.25</c:v>
                </c:pt>
                <c:pt idx="520" formatCode="#,##0">
                  <c:v>77625</c:v>
                </c:pt>
                <c:pt idx="521" formatCode="#,##0">
                  <c:v>78077</c:v>
                </c:pt>
                <c:pt idx="522" formatCode="#,##0">
                  <c:v>78529</c:v>
                </c:pt>
                <c:pt idx="523" formatCode="#,##0">
                  <c:v>78981</c:v>
                </c:pt>
                <c:pt idx="524" formatCode="#,##0">
                  <c:v>79433</c:v>
                </c:pt>
                <c:pt idx="525" formatCode="#,##0">
                  <c:v>79895.5</c:v>
                </c:pt>
                <c:pt idx="526" formatCode="#,##0">
                  <c:v>80358</c:v>
                </c:pt>
                <c:pt idx="527" formatCode="#,##0">
                  <c:v>80820.5</c:v>
                </c:pt>
                <c:pt idx="528" formatCode="#,##0">
                  <c:v>81283</c:v>
                </c:pt>
                <c:pt idx="529" formatCode="#,##0">
                  <c:v>81756.25</c:v>
                </c:pt>
                <c:pt idx="530" formatCode="#,##0">
                  <c:v>82229.5</c:v>
                </c:pt>
                <c:pt idx="531" formatCode="#,##0">
                  <c:v>82702.75</c:v>
                </c:pt>
                <c:pt idx="532" formatCode="#,##0">
                  <c:v>83176</c:v>
                </c:pt>
                <c:pt idx="533" formatCode="#,##0">
                  <c:v>83660.5</c:v>
                </c:pt>
                <c:pt idx="534" formatCode="#,##0">
                  <c:v>84145</c:v>
                </c:pt>
                <c:pt idx="535" formatCode="#,##0">
                  <c:v>84629.5</c:v>
                </c:pt>
                <c:pt idx="536" formatCode="#,##0">
                  <c:v>85114</c:v>
                </c:pt>
                <c:pt idx="537" formatCode="#,##0">
                  <c:v>85609.5</c:v>
                </c:pt>
                <c:pt idx="538" formatCode="#,##0">
                  <c:v>86105</c:v>
                </c:pt>
                <c:pt idx="539" formatCode="#,##0">
                  <c:v>86600.5</c:v>
                </c:pt>
                <c:pt idx="540" formatCode="#,##0">
                  <c:v>87096</c:v>
                </c:pt>
                <c:pt idx="541" formatCode="#,##0">
                  <c:v>87603.25</c:v>
                </c:pt>
                <c:pt idx="542" formatCode="#,##0">
                  <c:v>88110.5</c:v>
                </c:pt>
                <c:pt idx="543" formatCode="#,##0">
                  <c:v>88617.75</c:v>
                </c:pt>
                <c:pt idx="544" formatCode="#,##0">
                  <c:v>89125</c:v>
                </c:pt>
                <c:pt idx="545" formatCode="#,##0">
                  <c:v>89644</c:v>
                </c:pt>
                <c:pt idx="546" formatCode="#,##0">
                  <c:v>90163</c:v>
                </c:pt>
                <c:pt idx="547" formatCode="#,##0">
                  <c:v>90682</c:v>
                </c:pt>
                <c:pt idx="548" formatCode="#,##0">
                  <c:v>91201</c:v>
                </c:pt>
                <c:pt idx="549" formatCode="#,##0">
                  <c:v>91732</c:v>
                </c:pt>
                <c:pt idx="550" formatCode="#,##0">
                  <c:v>92263</c:v>
                </c:pt>
                <c:pt idx="551" formatCode="#,##0">
                  <c:v>92794</c:v>
                </c:pt>
                <c:pt idx="552" formatCode="#,##0">
                  <c:v>93325</c:v>
                </c:pt>
                <c:pt idx="553" formatCode="#,##0">
                  <c:v>93868.5</c:v>
                </c:pt>
                <c:pt idx="554" formatCode="#,##0">
                  <c:v>94412</c:v>
                </c:pt>
                <c:pt idx="555" formatCode="#,##0">
                  <c:v>94955.5</c:v>
                </c:pt>
                <c:pt idx="556" formatCode="#,##0">
                  <c:v>95499</c:v>
                </c:pt>
                <c:pt idx="557" formatCode="#,##0">
                  <c:v>96611.5</c:v>
                </c:pt>
                <c:pt idx="558" formatCode="#,##0">
                  <c:v>97724</c:v>
                </c:pt>
                <c:pt idx="559" formatCode="#,##0">
                  <c:v>98862</c:v>
                </c:pt>
                <c:pt idx="560" formatCode="#,##0">
                  <c:v>100000</c:v>
                </c:pt>
                <c:pt idx="561" formatCode="#,##0">
                  <c:v>101165</c:v>
                </c:pt>
                <c:pt idx="562" formatCode="#,##0">
                  <c:v>102330</c:v>
                </c:pt>
                <c:pt idx="563" formatCode="#,##0">
                  <c:v>103520</c:v>
                </c:pt>
                <c:pt idx="564" formatCode="#,##0">
                  <c:v>104710</c:v>
                </c:pt>
                <c:pt idx="565" formatCode="#,##0">
                  <c:v>105930</c:v>
                </c:pt>
                <c:pt idx="566" formatCode="#,##0">
                  <c:v>107150</c:v>
                </c:pt>
                <c:pt idx="567" formatCode="#,##0">
                  <c:v>108400</c:v>
                </c:pt>
                <c:pt idx="568" formatCode="#,##0">
                  <c:v>109650</c:v>
                </c:pt>
                <c:pt idx="569" formatCode="#,##0">
                  <c:v>110925</c:v>
                </c:pt>
                <c:pt idx="570" formatCode="#,##0">
                  <c:v>112200</c:v>
                </c:pt>
                <c:pt idx="571" formatCode="#,##0">
                  <c:v>113510</c:v>
                </c:pt>
                <c:pt idx="572" formatCode="#,##0">
                  <c:v>114820</c:v>
                </c:pt>
                <c:pt idx="573" formatCode="#,##0">
                  <c:v>116155</c:v>
                </c:pt>
                <c:pt idx="574" formatCode="#,##0">
                  <c:v>117490</c:v>
                </c:pt>
                <c:pt idx="575" formatCode="#,##0">
                  <c:v>118860</c:v>
                </c:pt>
                <c:pt idx="576" formatCode="#,##0">
                  <c:v>120230</c:v>
                </c:pt>
                <c:pt idx="577" formatCode="#,##0">
                  <c:v>126030</c:v>
                </c:pt>
                <c:pt idx="578" formatCode="#,##0">
                  <c:v>131830</c:v>
                </c:pt>
                <c:pt idx="579" formatCode="#,##0">
                  <c:v>144540</c:v>
                </c:pt>
                <c:pt idx="580" formatCode="#,##0">
                  <c:v>158490</c:v>
                </c:pt>
                <c:pt idx="581" formatCode="#,##0">
                  <c:v>173780</c:v>
                </c:pt>
                <c:pt idx="582" formatCode="#,##0">
                  <c:v>190550</c:v>
                </c:pt>
                <c:pt idx="583" formatCode="#,##0">
                  <c:v>208930</c:v>
                </c:pt>
                <c:pt idx="584" formatCode="#,##0">
                  <c:v>229090</c:v>
                </c:pt>
                <c:pt idx="585" formatCode="#,##0">
                  <c:v>251190</c:v>
                </c:pt>
                <c:pt idx="586" formatCode="#,##0">
                  <c:v>275420</c:v>
                </c:pt>
                <c:pt idx="587" formatCode="#,##0">
                  <c:v>302000</c:v>
                </c:pt>
                <c:pt idx="588" formatCode="#,##0">
                  <c:v>331130</c:v>
                </c:pt>
                <c:pt idx="589" formatCode="#,##0">
                  <c:v>363080</c:v>
                </c:pt>
                <c:pt idx="590" formatCode="#,##0">
                  <c:v>398110</c:v>
                </c:pt>
                <c:pt idx="591" formatCode="#,##0">
                  <c:v>436520</c:v>
                </c:pt>
                <c:pt idx="592" formatCode="#,##0">
                  <c:v>478630</c:v>
                </c:pt>
                <c:pt idx="593" formatCode="#,##0">
                  <c:v>524810</c:v>
                </c:pt>
                <c:pt idx="594" formatCode="#,##0">
                  <c:v>575440</c:v>
                </c:pt>
                <c:pt idx="595" formatCode="#,##0">
                  <c:v>630960</c:v>
                </c:pt>
                <c:pt idx="596" formatCode="#,##0">
                  <c:v>691830</c:v>
                </c:pt>
                <c:pt idx="597" formatCode="#,##0">
                  <c:v>758580</c:v>
                </c:pt>
                <c:pt idx="598" formatCode="#,##0">
                  <c:v>831760</c:v>
                </c:pt>
                <c:pt idx="599" formatCode="#,##0">
                  <c:v>912010</c:v>
                </c:pt>
                <c:pt idx="600" formatCode="#,##0">
                  <c:v>1000000</c:v>
                </c:pt>
              </c:numCache>
            </c:numRef>
          </c:xVal>
          <c:yVal>
            <c:numRef>
              <c:f>'Bode Plot Calculations'!$R$14:$R$614</c:f>
              <c:numCache>
                <c:formatCode>0.00</c:formatCode>
                <c:ptCount val="601"/>
                <c:pt idx="0">
                  <c:v>71.712786229689797</c:v>
                </c:pt>
                <c:pt idx="1">
                  <c:v>71.621128337622366</c:v>
                </c:pt>
                <c:pt idx="2">
                  <c:v>71.513404108942666</c:v>
                </c:pt>
                <c:pt idx="3">
                  <c:v>71.387287139491789</c:v>
                </c:pt>
                <c:pt idx="4">
                  <c:v>71.240391351177266</c:v>
                </c:pt>
                <c:pt idx="5">
                  <c:v>71.069855888216367</c:v>
                </c:pt>
                <c:pt idx="6">
                  <c:v>70.87324852466628</c:v>
                </c:pt>
                <c:pt idx="7">
                  <c:v>70.647829445519619</c:v>
                </c:pt>
                <c:pt idx="8">
                  <c:v>70.391298589134536</c:v>
                </c:pt>
                <c:pt idx="9">
                  <c:v>70.101248461429819</c:v>
                </c:pt>
                <c:pt idx="10">
                  <c:v>69.775989140305882</c:v>
                </c:pt>
                <c:pt idx="11">
                  <c:v>69.414105777849159</c:v>
                </c:pt>
                <c:pt idx="12">
                  <c:v>69.014543778238618</c:v>
                </c:pt>
                <c:pt idx="13">
                  <c:v>68.577433812438485</c:v>
                </c:pt>
                <c:pt idx="14">
                  <c:v>68.102772370024979</c:v>
                </c:pt>
                <c:pt idx="15">
                  <c:v>67.591616518329857</c:v>
                </c:pt>
                <c:pt idx="16">
                  <c:v>67.04529625658995</c:v>
                </c:pt>
                <c:pt idx="17">
                  <c:v>66.465643996234604</c:v>
                </c:pt>
                <c:pt idx="18">
                  <c:v>65.854506733380305</c:v>
                </c:pt>
                <c:pt idx="19">
                  <c:v>65.21421667880206</c:v>
                </c:pt>
                <c:pt idx="20">
                  <c:v>64.546867054028752</c:v>
                </c:pt>
                <c:pt idx="21">
                  <c:v>63.854777694173961</c:v>
                </c:pt>
                <c:pt idx="22">
                  <c:v>63.139884285107435</c:v>
                </c:pt>
                <c:pt idx="23">
                  <c:v>62.404310128735858</c:v>
                </c:pt>
                <c:pt idx="24">
                  <c:v>61.649663673186417</c:v>
                </c:pt>
                <c:pt idx="25">
                  <c:v>60.877713423245865</c:v>
                </c:pt>
                <c:pt idx="26">
                  <c:v>60.089817106912548</c:v>
                </c:pt>
                <c:pt idx="27">
                  <c:v>59.287693785845462</c:v>
                </c:pt>
                <c:pt idx="28">
                  <c:v>58.472762303108858</c:v>
                </c:pt>
                <c:pt idx="29">
                  <c:v>57.647009596701444</c:v>
                </c:pt>
                <c:pt idx="30">
                  <c:v>56.810560100797886</c:v>
                </c:pt>
                <c:pt idx="31">
                  <c:v>55.966176839455613</c:v>
                </c:pt>
                <c:pt idx="32">
                  <c:v>55.114966347181074</c:v>
                </c:pt>
                <c:pt idx="33">
                  <c:v>54.259259589401424</c:v>
                </c:pt>
                <c:pt idx="34">
                  <c:v>53.400118042870602</c:v>
                </c:pt>
                <c:pt idx="35">
                  <c:v>52.539678640085867</c:v>
                </c:pt>
                <c:pt idx="36">
                  <c:v>51.679329980698824</c:v>
                </c:pt>
                <c:pt idx="37">
                  <c:v>50.819934285762983</c:v>
                </c:pt>
                <c:pt idx="38">
                  <c:v>49.963393991602928</c:v>
                </c:pt>
                <c:pt idx="39">
                  <c:v>49.109837296847445</c:v>
                </c:pt>
                <c:pt idx="40">
                  <c:v>48.260138832968529</c:v>
                </c:pt>
                <c:pt idx="41">
                  <c:v>47.414524023370809</c:v>
                </c:pt>
                <c:pt idx="42">
                  <c:v>46.573186105254436</c:v>
                </c:pt>
                <c:pt idx="43">
                  <c:v>45.735772337575789</c:v>
                </c:pt>
                <c:pt idx="44">
                  <c:v>44.902257277031204</c:v>
                </c:pt>
                <c:pt idx="45">
                  <c:v>44.072119298048037</c:v>
                </c:pt>
                <c:pt idx="46">
                  <c:v>43.245100118423927</c:v>
                </c:pt>
                <c:pt idx="47">
                  <c:v>42.42054866162897</c:v>
                </c:pt>
                <c:pt idx="48">
                  <c:v>41.598165805230771</c:v>
                </c:pt>
                <c:pt idx="49">
                  <c:v>40.777221568007896</c:v>
                </c:pt>
                <c:pt idx="50">
                  <c:v>39.95731013247363</c:v>
                </c:pt>
                <c:pt idx="51">
                  <c:v>39.137694851389206</c:v>
                </c:pt>
                <c:pt idx="52">
                  <c:v>38.318073909022068</c:v>
                </c:pt>
                <c:pt idx="53">
                  <c:v>37.497827929720032</c:v>
                </c:pt>
                <c:pt idx="54">
                  <c:v>36.676845028329673</c:v>
                </c:pt>
                <c:pt idx="55">
                  <c:v>35.85306479323399</c:v>
                </c:pt>
                <c:pt idx="56">
                  <c:v>35.026901329655544</c:v>
                </c:pt>
                <c:pt idx="57">
                  <c:v>34.19697839798792</c:v>
                </c:pt>
                <c:pt idx="58">
                  <c:v>33.362973468011312</c:v>
                </c:pt>
                <c:pt idx="59">
                  <c:v>32.523210665887277</c:v>
                </c:pt>
                <c:pt idx="60">
                  <c:v>31.676990595690093</c:v>
                </c:pt>
                <c:pt idx="61">
                  <c:v>30.822858485354331</c:v>
                </c:pt>
                <c:pt idx="62">
                  <c:v>29.958845313706149</c:v>
                </c:pt>
                <c:pt idx="63">
                  <c:v>29.084081081534222</c:v>
                </c:pt>
                <c:pt idx="64">
                  <c:v>28.195971573047004</c:v>
                </c:pt>
                <c:pt idx="65">
                  <c:v>27.292755801437217</c:v>
                </c:pt>
                <c:pt idx="66">
                  <c:v>26.372075585626945</c:v>
                </c:pt>
                <c:pt idx="67">
                  <c:v>25.431614875361809</c:v>
                </c:pt>
                <c:pt idx="68">
                  <c:v>24.468527304499329</c:v>
                </c:pt>
                <c:pt idx="69">
                  <c:v>23.480437585531675</c:v>
                </c:pt>
                <c:pt idx="70">
                  <c:v>22.464537729514134</c:v>
                </c:pt>
                <c:pt idx="71">
                  <c:v>21.418544418497039</c:v>
                </c:pt>
                <c:pt idx="72">
                  <c:v>20.339973524129334</c:v>
                </c:pt>
                <c:pt idx="73">
                  <c:v>19.227177833317111</c:v>
                </c:pt>
                <c:pt idx="74">
                  <c:v>18.078410151412221</c:v>
                </c:pt>
                <c:pt idx="75">
                  <c:v>16.89291567478061</c:v>
                </c:pt>
                <c:pt idx="76">
                  <c:v>15.670072693315761</c:v>
                </c:pt>
                <c:pt idx="77">
                  <c:v>14.410537898152802</c:v>
                </c:pt>
                <c:pt idx="78">
                  <c:v>13.115128331481982</c:v>
                </c:pt>
                <c:pt idx="79">
                  <c:v>11.786064058702131</c:v>
                </c:pt>
                <c:pt idx="80">
                  <c:v>10.422884598861135</c:v>
                </c:pt>
                <c:pt idx="81">
                  <c:v>9.0295825010367619</c:v>
                </c:pt>
                <c:pt idx="82">
                  <c:v>7.6075318032437753</c:v>
                </c:pt>
                <c:pt idx="83">
                  <c:v>6.1601441606265217</c:v>
                </c:pt>
                <c:pt idx="84">
                  <c:v>4.6886759722866342</c:v>
                </c:pt>
                <c:pt idx="85">
                  <c:v>3.1962092110660478</c:v>
                </c:pt>
                <c:pt idx="86">
                  <c:v>1.6846040969595286</c:v>
                </c:pt>
                <c:pt idx="87">
                  <c:v>0.15488815890322216</c:v>
                </c:pt>
                <c:pt idx="88">
                  <c:v>-1.38989016818865</c:v>
                </c:pt>
                <c:pt idx="89">
                  <c:v>-2.9496604699126019</c:v>
                </c:pt>
                <c:pt idx="90">
                  <c:v>-4.5228175830974324</c:v>
                </c:pt>
                <c:pt idx="91">
                  <c:v>-6.1087667150070963</c:v>
                </c:pt>
                <c:pt idx="92">
                  <c:v>-7.7068451162160674</c:v>
                </c:pt>
                <c:pt idx="93">
                  <c:v>-9.3173577986177136</c:v>
                </c:pt>
                <c:pt idx="94">
                  <c:v>-9.721728806586297</c:v>
                </c:pt>
                <c:pt idx="95">
                  <c:v>-9.9254566757752176</c:v>
                </c:pt>
                <c:pt idx="96">
                  <c:v>-10.127044306229095</c:v>
                </c:pt>
                <c:pt idx="97">
                  <c:v>-10.331138706752935</c:v>
                </c:pt>
                <c:pt idx="98">
                  <c:v>-10.533090203353128</c:v>
                </c:pt>
                <c:pt idx="99">
                  <c:v>-10.737605195151312</c:v>
                </c:pt>
                <c:pt idx="100">
                  <c:v>-10.939973731858572</c:v>
                </c:pt>
                <c:pt idx="101">
                  <c:v>-11.144805129331852</c:v>
                </c:pt>
                <c:pt idx="102">
                  <c:v>-11.347488934142419</c:v>
                </c:pt>
                <c:pt idx="103">
                  <c:v>-11.55283721218928</c:v>
                </c:pt>
                <c:pt idx="104">
                  <c:v>-11.756032814055168</c:v>
                </c:pt>
                <c:pt idx="105">
                  <c:v>-11.961788667811263</c:v>
                </c:pt>
                <c:pt idx="106">
                  <c:v>-12.16538927553535</c:v>
                </c:pt>
                <c:pt idx="107">
                  <c:v>-12.371450516978012</c:v>
                </c:pt>
                <c:pt idx="108">
                  <c:v>-12.57535629378812</c:v>
                </c:pt>
                <c:pt idx="109">
                  <c:v>-12.78176730794095</c:v>
                </c:pt>
                <c:pt idx="110">
                  <c:v>-12.986021927312329</c:v>
                </c:pt>
                <c:pt idx="111">
                  <c:v>-13.192958841896576</c:v>
                </c:pt>
                <c:pt idx="112">
                  <c:v>-13.397734982506087</c:v>
                </c:pt>
                <c:pt idx="113">
                  <c:v>-13.605089718625919</c:v>
                </c:pt>
                <c:pt idx="114">
                  <c:v>-13.810281752656159</c:v>
                </c:pt>
                <c:pt idx="115">
                  <c:v>-14.018084495110486</c:v>
                </c:pt>
                <c:pt idx="116">
                  <c:v>-14.223722174518016</c:v>
                </c:pt>
                <c:pt idx="117">
                  <c:v>-14.431998927305793</c:v>
                </c:pt>
                <c:pt idx="118">
                  <c:v>-14.638107901701309</c:v>
                </c:pt>
                <c:pt idx="119">
                  <c:v>-14.846754900984182</c:v>
                </c:pt>
                <c:pt idx="120">
                  <c:v>-15.053233724082968</c:v>
                </c:pt>
                <c:pt idx="121">
                  <c:v>-15.262277238553516</c:v>
                </c:pt>
                <c:pt idx="122">
                  <c:v>-15.469151787531413</c:v>
                </c:pt>
                <c:pt idx="123">
                  <c:v>-15.678735073829564</c:v>
                </c:pt>
                <c:pt idx="124">
                  <c:v>-15.886145791942122</c:v>
                </c:pt>
                <c:pt idx="125">
                  <c:v>-16.09616219122082</c:v>
                </c:pt>
                <c:pt idx="126">
                  <c:v>-16.304004749023797</c:v>
                </c:pt>
                <c:pt idx="127">
                  <c:v>-16.514470197523845</c:v>
                </c:pt>
                <c:pt idx="128">
                  <c:v>-16.722760311247949</c:v>
                </c:pt>
                <c:pt idx="129">
                  <c:v>-16.933687681735385</c:v>
                </c:pt>
                <c:pt idx="130">
                  <c:v>-17.142438049978139</c:v>
                </c:pt>
                <c:pt idx="131">
                  <c:v>-17.353837346287452</c:v>
                </c:pt>
                <c:pt idx="132">
                  <c:v>-17.458716885080314</c:v>
                </c:pt>
                <c:pt idx="133">
                  <c:v>-17.563057838734672</c:v>
                </c:pt>
                <c:pt idx="134">
                  <c:v>-17.669327470920805</c:v>
                </c:pt>
                <c:pt idx="135">
                  <c:v>-17.775045193064532</c:v>
                </c:pt>
                <c:pt idx="136">
                  <c:v>-17.880217208816603</c:v>
                </c:pt>
                <c:pt idx="137">
                  <c:v>-17.984849615320545</c:v>
                </c:pt>
                <c:pt idx="138">
                  <c:v>-18.09130569681286</c:v>
                </c:pt>
                <c:pt idx="139">
                  <c:v>-18.197209956706825</c:v>
                </c:pt>
                <c:pt idx="140">
                  <c:v>-18.302568586456442</c:v>
                </c:pt>
                <c:pt idx="141">
                  <c:v>-18.407387671028864</c:v>
                </c:pt>
                <c:pt idx="142">
                  <c:v>-18.51413972969462</c:v>
                </c:pt>
                <c:pt idx="143">
                  <c:v>-18.62033892428623</c:v>
                </c:pt>
                <c:pt idx="144">
                  <c:v>-18.725991451486117</c:v>
                </c:pt>
                <c:pt idx="145">
                  <c:v>-18.831103401115424</c:v>
                </c:pt>
                <c:pt idx="146">
                  <c:v>-18.938096913107984</c:v>
                </c:pt>
                <c:pt idx="147">
                  <c:v>-19.044537079206279</c:v>
                </c:pt>
                <c:pt idx="148">
                  <c:v>-19.150430090293757</c:v>
                </c:pt>
                <c:pt idx="149">
                  <c:v>-19.255782030275665</c:v>
                </c:pt>
                <c:pt idx="150">
                  <c:v>-19.363016107423658</c:v>
                </c:pt>
                <c:pt idx="151">
                  <c:v>-19.469696355152173</c:v>
                </c:pt>
                <c:pt idx="152">
                  <c:v>-19.57582895691791</c:v>
                </c:pt>
                <c:pt idx="153">
                  <c:v>-19.681419989126812</c:v>
                </c:pt>
                <c:pt idx="154">
                  <c:v>-19.788942075274893</c:v>
                </c:pt>
                <c:pt idx="155">
                  <c:v>-19.895909342437495</c:v>
                </c:pt>
                <c:pt idx="156">
                  <c:v>-20.002327973381114</c:v>
                </c:pt>
                <c:pt idx="157">
                  <c:v>-20.108204043602271</c:v>
                </c:pt>
                <c:pt idx="158">
                  <c:v>-20.216008295210209</c:v>
                </c:pt>
                <c:pt idx="159">
                  <c:v>-20.323256774819704</c:v>
                </c:pt>
                <c:pt idx="160">
                  <c:v>-20.429955662126481</c:v>
                </c:pt>
                <c:pt idx="161">
                  <c:v>-20.536111029401972</c:v>
                </c:pt>
                <c:pt idx="162">
                  <c:v>-20.64414349125764</c:v>
                </c:pt>
                <c:pt idx="163">
                  <c:v>-20.751619750627221</c:v>
                </c:pt>
                <c:pt idx="164">
                  <c:v>-20.858545973673934</c:v>
                </c:pt>
                <c:pt idx="165">
                  <c:v>-20.964928219236786</c:v>
                </c:pt>
                <c:pt idx="166">
                  <c:v>-21.073277197962224</c:v>
                </c:pt>
                <c:pt idx="167">
                  <c:v>-21.181068596315189</c:v>
                </c:pt>
                <c:pt idx="168">
                  <c:v>-21.288308580832364</c:v>
                </c:pt>
                <c:pt idx="169">
                  <c:v>-21.395003210519363</c:v>
                </c:pt>
                <c:pt idx="170">
                  <c:v>-21.503430580125528</c:v>
                </c:pt>
                <c:pt idx="171">
                  <c:v>-21.611301384657281</c:v>
                </c:pt>
                <c:pt idx="172">
                  <c:v>-21.718621749732662</c:v>
                </c:pt>
                <c:pt idx="173">
                  <c:v>-21.825397694206401</c:v>
                </c:pt>
                <c:pt idx="174">
                  <c:v>-21.934306479251266</c:v>
                </c:pt>
                <c:pt idx="175">
                  <c:v>-22.042655525906731</c:v>
                </c:pt>
                <c:pt idx="176">
                  <c:v>-22.150450986077782</c:v>
                </c:pt>
                <c:pt idx="177">
                  <c:v>-22.257698904135147</c:v>
                </c:pt>
                <c:pt idx="178">
                  <c:v>-22.367022372187172</c:v>
                </c:pt>
                <c:pt idx="179">
                  <c:v>-22.475783549789728</c:v>
                </c:pt>
                <c:pt idx="180">
                  <c:v>-22.583988602911511</c:v>
                </c:pt>
                <c:pt idx="181">
                  <c:v>-22.691643589520037</c:v>
                </c:pt>
                <c:pt idx="182">
                  <c:v>-22.80089116989048</c:v>
                </c:pt>
                <c:pt idx="183">
                  <c:v>-22.909578859906766</c:v>
                </c:pt>
                <c:pt idx="184">
                  <c:v>-23.017712756823702</c:v>
                </c:pt>
                <c:pt idx="185">
                  <c:v>-23.125298851379132</c:v>
                </c:pt>
                <c:pt idx="186">
                  <c:v>-23.235273911017931</c:v>
                </c:pt>
                <c:pt idx="187">
                  <c:v>-23.344683166957168</c:v>
                </c:pt>
                <c:pt idx="188">
                  <c:v>-23.453532781601684</c:v>
                </c:pt>
                <c:pt idx="189">
                  <c:v>-23.561828809237216</c:v>
                </c:pt>
                <c:pt idx="190">
                  <c:v>-23.671628178638173</c:v>
                </c:pt>
                <c:pt idx="191">
                  <c:v>-23.780864993221602</c:v>
                </c:pt>
                <c:pt idx="192">
                  <c:v>-23.889545329830174</c:v>
                </c:pt>
                <c:pt idx="193">
                  <c:v>-23.997675159124697</c:v>
                </c:pt>
                <c:pt idx="194">
                  <c:v>-24.108073659460221</c:v>
                </c:pt>
                <c:pt idx="195">
                  <c:v>-24.217904816308405</c:v>
                </c:pt>
                <c:pt idx="196">
                  <c:v>-24.327174749550725</c:v>
                </c:pt>
                <c:pt idx="197">
                  <c:v>-24.435889471865764</c:v>
                </c:pt>
                <c:pt idx="198">
                  <c:v>-24.546417375044541</c:v>
                </c:pt>
                <c:pt idx="199">
                  <c:v>-24.656377848718432</c:v>
                </c:pt>
                <c:pt idx="200">
                  <c:v>-24.765776978270541</c:v>
                </c:pt>
                <c:pt idx="201">
                  <c:v>-24.874620742701058</c:v>
                </c:pt>
                <c:pt idx="202">
                  <c:v>-24.985229637901028</c:v>
                </c:pt>
                <c:pt idx="203">
                  <c:v>-25.095271392429947</c:v>
                </c:pt>
                <c:pt idx="204">
                  <c:v>-25.204752050031779</c:v>
                </c:pt>
                <c:pt idx="205">
                  <c:v>-25.313677549091235</c:v>
                </c:pt>
                <c:pt idx="206">
                  <c:v>-25.424699450540714</c:v>
                </c:pt>
                <c:pt idx="207">
                  <c:v>-25.535150974640342</c:v>
                </c:pt>
                <c:pt idx="208">
                  <c:v>-25.645038178440544</c:v>
                </c:pt>
                <c:pt idx="209">
                  <c:v>-25.754367013424229</c:v>
                </c:pt>
                <c:pt idx="210">
                  <c:v>-25.866105635549875</c:v>
                </c:pt>
                <c:pt idx="211">
                  <c:v>-25.977267383095295</c:v>
                </c:pt>
                <c:pt idx="212">
                  <c:v>-26.087858376582101</c:v>
                </c:pt>
                <c:pt idx="213">
                  <c:v>-26.197884629639653</c:v>
                </c:pt>
                <c:pt idx="214">
                  <c:v>-26.3095284855244</c:v>
                </c:pt>
                <c:pt idx="215">
                  <c:v>-26.420597169373291</c:v>
                </c:pt>
                <c:pt idx="216">
                  <c:v>-26.531096734036144</c:v>
                </c:pt>
                <c:pt idx="217">
                  <c:v>-26.64103312723406</c:v>
                </c:pt>
                <c:pt idx="218">
                  <c:v>-26.752899725868481</c:v>
                </c:pt>
                <c:pt idx="219">
                  <c:v>-26.864189438036359</c:v>
                </c:pt>
                <c:pt idx="220">
                  <c:v>-26.974908302267341</c:v>
                </c:pt>
                <c:pt idx="221">
                  <c:v>-27.085062252537927</c:v>
                </c:pt>
                <c:pt idx="222">
                  <c:v>-27.19709399192098</c:v>
                </c:pt>
                <c:pt idx="223">
                  <c:v>-27.308547566782721</c:v>
                </c:pt>
                <c:pt idx="224">
                  <c:v>-27.419428993859675</c:v>
                </c:pt>
                <c:pt idx="225">
                  <c:v>-27.529744186132721</c:v>
                </c:pt>
                <c:pt idx="226">
                  <c:v>-27.642227168572063</c:v>
                </c:pt>
                <c:pt idx="227">
                  <c:v>-27.754127594815415</c:v>
                </c:pt>
                <c:pt idx="228">
                  <c:v>-27.865451507637317</c:v>
                </c:pt>
                <c:pt idx="229">
                  <c:v>-27.976204845811633</c:v>
                </c:pt>
                <c:pt idx="230">
                  <c:v>-28.201340423705897</c:v>
                </c:pt>
                <c:pt idx="231">
                  <c:v>-28.313034716080232</c:v>
                </c:pt>
                <c:pt idx="232">
                  <c:v>-28.424154652335002</c:v>
                </c:pt>
                <c:pt idx="233">
                  <c:v>-28.537323591942361</c:v>
                </c:pt>
                <c:pt idx="234">
                  <c:v>-28.649902890164999</c:v>
                </c:pt>
                <c:pt idx="235">
                  <c:v>-28.761898613805226</c:v>
                </c:pt>
                <c:pt idx="236">
                  <c:v>-28.873316725992531</c:v>
                </c:pt>
                <c:pt idx="237">
                  <c:v>-28.986406267580946</c:v>
                </c:pt>
                <c:pt idx="238">
                  <c:v>-29.098906742537999</c:v>
                </c:pt>
                <c:pt idx="239">
                  <c:v>-29.210824166422483</c:v>
                </c:pt>
                <c:pt idx="240">
                  <c:v>-29.322164452800394</c:v>
                </c:pt>
                <c:pt idx="241">
                  <c:v>-29.435758136870419</c:v>
                </c:pt>
                <c:pt idx="242">
                  <c:v>-29.548757073387488</c:v>
                </c:pt>
                <c:pt idx="243">
                  <c:v>-29.661167322700784</c:v>
                </c:pt>
                <c:pt idx="244">
                  <c:v>-29.772994842733578</c:v>
                </c:pt>
                <c:pt idx="245">
                  <c:v>-29.886704390344256</c:v>
                </c:pt>
                <c:pt idx="246">
                  <c:v>-29.999817365945823</c:v>
                </c:pt>
                <c:pt idx="247">
                  <c:v>-30.112339816268701</c:v>
                </c:pt>
                <c:pt idx="248">
                  <c:v>-30.224277686553677</c:v>
                </c:pt>
                <c:pt idx="249">
                  <c:v>-30.338345718263685</c:v>
                </c:pt>
                <c:pt idx="250">
                  <c:v>-30.451812619738561</c:v>
                </c:pt>
                <c:pt idx="251">
                  <c:v>-30.564684466290704</c:v>
                </c:pt>
                <c:pt idx="252">
                  <c:v>-30.676967231790819</c:v>
                </c:pt>
                <c:pt idx="253">
                  <c:v>-30.791024543054171</c:v>
                </c:pt>
                <c:pt idx="254">
                  <c:v>-30.904479852355276</c:v>
                </c:pt>
                <c:pt idx="255">
                  <c:v>-31.017339208909618</c:v>
                </c:pt>
                <c:pt idx="256">
                  <c:v>-31.129608561800826</c:v>
                </c:pt>
                <c:pt idx="257">
                  <c:v>-31.244179450431595</c:v>
                </c:pt>
                <c:pt idx="258">
                  <c:v>-31.358141740909645</c:v>
                </c:pt>
                <c:pt idx="259">
                  <c:v>-31.471501543700576</c:v>
                </c:pt>
                <c:pt idx="260">
                  <c:v>-31.584264868574312</c:v>
                </c:pt>
                <c:pt idx="261">
                  <c:v>-31.698980190124061</c:v>
                </c:pt>
                <c:pt idx="262">
                  <c:v>-31.813084015828149</c:v>
                </c:pt>
                <c:pt idx="263">
                  <c:v>-31.926582463173432</c:v>
                </c:pt>
                <c:pt idx="264">
                  <c:v>-32.03948154962697</c:v>
                </c:pt>
                <c:pt idx="265">
                  <c:v>-32.154276180471967</c:v>
                </c:pt>
                <c:pt idx="266">
                  <c:v>-32.268456922033913</c:v>
                </c:pt>
                <c:pt idx="267">
                  <c:v>-32.382029893083477</c:v>
                </c:pt>
                <c:pt idx="268">
                  <c:v>-32.495001113209</c:v>
                </c:pt>
                <c:pt idx="269">
                  <c:v>-32.610083565633538</c:v>
                </c:pt>
                <c:pt idx="270">
                  <c:v>-32.724547317497873</c:v>
                </c:pt>
                <c:pt idx="271">
                  <c:v>-32.838398526877299</c:v>
                </c:pt>
                <c:pt idx="272">
                  <c:v>-32.951643252719826</c:v>
                </c:pt>
                <c:pt idx="273">
                  <c:v>-33.066936959442117</c:v>
                </c:pt>
                <c:pt idx="274">
                  <c:v>-33.18160777538607</c:v>
                </c:pt>
                <c:pt idx="275">
                  <c:v>-33.295661890780941</c:v>
                </c:pt>
                <c:pt idx="276">
                  <c:v>-33.409105396973899</c:v>
                </c:pt>
                <c:pt idx="277">
                  <c:v>-33.524277908954126</c:v>
                </c:pt>
                <c:pt idx="278">
                  <c:v>-33.638826744220694</c:v>
                </c:pt>
                <c:pt idx="279">
                  <c:v>-33.752758077047957</c:v>
                </c:pt>
                <c:pt idx="280">
                  <c:v>-33.866077984113794</c:v>
                </c:pt>
                <c:pt idx="281">
                  <c:v>-33.981837293494877</c:v>
                </c:pt>
                <c:pt idx="282">
                  <c:v>-34.096964291674482</c:v>
                </c:pt>
                <c:pt idx="283">
                  <c:v>-34.211465255988671</c:v>
                </c:pt>
                <c:pt idx="284">
                  <c:v>-34.32534636498329</c:v>
                </c:pt>
                <c:pt idx="285">
                  <c:v>-34.440848003967986</c:v>
                </c:pt>
                <c:pt idx="286">
                  <c:v>-34.555717697312566</c:v>
                </c:pt>
                <c:pt idx="287">
                  <c:v>-34.669961694697434</c:v>
                </c:pt>
                <c:pt idx="288">
                  <c:v>-34.783586148566371</c:v>
                </c:pt>
                <c:pt idx="289">
                  <c:v>-34.899511729271133</c:v>
                </c:pt>
                <c:pt idx="290">
                  <c:v>-35.014798119332504</c:v>
                </c:pt>
                <c:pt idx="291">
                  <c:v>-35.129451656563674</c:v>
                </c:pt>
                <c:pt idx="292">
                  <c:v>-35.243478580701016</c:v>
                </c:pt>
                <c:pt idx="293">
                  <c:v>-35.359498486511484</c:v>
                </c:pt>
                <c:pt idx="294">
                  <c:v>-35.474875392619111</c:v>
                </c:pt>
                <c:pt idx="295">
                  <c:v>-35.589615677159152</c:v>
                </c:pt>
                <c:pt idx="296">
                  <c:v>-35.703725620342844</c:v>
                </c:pt>
                <c:pt idx="297">
                  <c:v>-35.819767580055959</c:v>
                </c:pt>
                <c:pt idx="298">
                  <c:v>-35.935163380143223</c:v>
                </c:pt>
                <c:pt idx="299">
                  <c:v>-36.049919432696896</c:v>
                </c:pt>
                <c:pt idx="300">
                  <c:v>-36.164042052159814</c:v>
                </c:pt>
                <c:pt idx="301">
                  <c:v>-36.280037350863125</c:v>
                </c:pt>
                <c:pt idx="302">
                  <c:v>-36.395383960412161</c:v>
                </c:pt>
                <c:pt idx="303">
                  <c:v>-36.510088320861087</c:v>
                </c:pt>
                <c:pt idx="304">
                  <c:v>-36.624156774991874</c:v>
                </c:pt>
                <c:pt idx="305">
                  <c:v>-36.740484636954235</c:v>
                </c:pt>
                <c:pt idx="306">
                  <c:v>-36.85615690298944</c:v>
                </c:pt>
                <c:pt idx="307">
                  <c:v>-36.971180109725388</c:v>
                </c:pt>
                <c:pt idx="308">
                  <c:v>-37.085560695499296</c:v>
                </c:pt>
                <c:pt idx="309">
                  <c:v>-37.201695113314017</c:v>
                </c:pt>
                <c:pt idx="310">
                  <c:v>-37.317172803741066</c:v>
                </c:pt>
                <c:pt idx="311">
                  <c:v>-37.432000317472983</c:v>
                </c:pt>
                <c:pt idx="312">
                  <c:v>-37.546184107515153</c:v>
                </c:pt>
                <c:pt idx="313">
                  <c:v>-37.662492046954441</c:v>
                </c:pt>
                <c:pt idx="314">
                  <c:v>-37.778137881968597</c:v>
                </c:pt>
                <c:pt idx="315">
                  <c:v>-37.893128244306617</c:v>
                </c:pt>
                <c:pt idx="316">
                  <c:v>-38.007469667267408</c:v>
                </c:pt>
                <c:pt idx="317">
                  <c:v>-38.123867926379098</c:v>
                </c:pt>
                <c:pt idx="318">
                  <c:v>-38.23959952861896</c:v>
                </c:pt>
                <c:pt idx="319">
                  <c:v>-38.354671178209038</c:v>
                </c:pt>
                <c:pt idx="320">
                  <c:v>-38.469089480291416</c:v>
                </c:pt>
                <c:pt idx="321">
                  <c:v>-38.585499146372896</c:v>
                </c:pt>
                <c:pt idx="322">
                  <c:v>-38.701238407446297</c:v>
                </c:pt>
                <c:pt idx="323">
                  <c:v>-38.816314031817136</c:v>
                </c:pt>
                <c:pt idx="324">
                  <c:v>-38.930732688200301</c:v>
                </c:pt>
                <c:pt idx="325">
                  <c:v>-39.047079082180637</c:v>
                </c:pt>
                <c:pt idx="326">
                  <c:v>-39.162752105929705</c:v>
                </c:pt>
                <c:pt idx="327">
                  <c:v>-39.277758583621008</c:v>
                </c:pt>
                <c:pt idx="328">
                  <c:v>-39.392105239433654</c:v>
                </c:pt>
                <c:pt idx="329">
                  <c:v>-39.508511619893078</c:v>
                </c:pt>
                <c:pt idx="330">
                  <c:v>-39.624240175584987</c:v>
                </c:pt>
                <c:pt idx="331">
                  <c:v>-39.739297812769621</c:v>
                </c:pt>
                <c:pt idx="332">
                  <c:v>-39.853691336739729</c:v>
                </c:pt>
                <c:pt idx="333">
                  <c:v>-39.969888611393117</c:v>
                </c:pt>
                <c:pt idx="334">
                  <c:v>-40.085406682307635</c:v>
                </c:pt>
                <c:pt idx="335">
                  <c:v>-40.200252494431929</c:v>
                </c:pt>
                <c:pt idx="336">
                  <c:v>-40.314432891553189</c:v>
                </c:pt>
                <c:pt idx="337">
                  <c:v>-40.430728800382767</c:v>
                </c:pt>
                <c:pt idx="338">
                  <c:v>-40.546340502318621</c:v>
                </c:pt>
                <c:pt idx="339">
                  <c:v>-40.661275039911196</c:v>
                </c:pt>
                <c:pt idx="340">
                  <c:v>-40.775539353145113</c:v>
                </c:pt>
                <c:pt idx="341">
                  <c:v>-40.891849937922238</c:v>
                </c:pt>
                <c:pt idx="342">
                  <c:v>-41.007472252156106</c:v>
                </c:pt>
                <c:pt idx="343">
                  <c:v>-41.122413425158868</c:v>
                </c:pt>
                <c:pt idx="344">
                  <c:v>-41.236680482411771</c:v>
                </c:pt>
                <c:pt idx="345">
                  <c:v>-41.352750221392014</c:v>
                </c:pt>
                <c:pt idx="346">
                  <c:v>-41.468130631147943</c:v>
                </c:pt>
                <c:pt idx="347">
                  <c:v>-41.582828884357674</c:v>
                </c:pt>
                <c:pt idx="348">
                  <c:v>-41.69685204936836</c:v>
                </c:pt>
                <c:pt idx="349">
                  <c:v>-41.812963560949463</c:v>
                </c:pt>
                <c:pt idx="350">
                  <c:v>-41.928381340550807</c:v>
                </c:pt>
                <c:pt idx="351">
                  <c:v>-42.043112659362983</c:v>
                </c:pt>
                <c:pt idx="352">
                  <c:v>-42.157164682600353</c:v>
                </c:pt>
                <c:pt idx="353">
                  <c:v>-42.273235854482117</c:v>
                </c:pt>
                <c:pt idx="354">
                  <c:v>-42.388609866734377</c:v>
                </c:pt>
                <c:pt idx="355">
                  <c:v>-42.503294076986805</c:v>
                </c:pt>
                <c:pt idx="356">
                  <c:v>-42.617295735401285</c:v>
                </c:pt>
                <c:pt idx="357">
                  <c:v>-42.733085292418309</c:v>
                </c:pt>
                <c:pt idx="358">
                  <c:v>-42.848177181094094</c:v>
                </c:pt>
                <c:pt idx="359">
                  <c:v>-42.96257880208011</c:v>
                </c:pt>
                <c:pt idx="360">
                  <c:v>-43.07629744783145</c:v>
                </c:pt>
                <c:pt idx="361">
                  <c:v>-43.192065606573706</c:v>
                </c:pt>
                <c:pt idx="362">
                  <c:v>-43.307132504212419</c:v>
                </c:pt>
                <c:pt idx="363">
                  <c:v>-43.421505635887968</c:v>
                </c:pt>
                <c:pt idx="364">
                  <c:v>-43.535192386733627</c:v>
                </c:pt>
                <c:pt idx="365">
                  <c:v>-43.650703656890755</c:v>
                </c:pt>
                <c:pt idx="366">
                  <c:v>-43.765512964375304</c:v>
                </c:pt>
                <c:pt idx="367">
                  <c:v>-43.879627854988428</c:v>
                </c:pt>
                <c:pt idx="368">
                  <c:v>-43.99305576348798</c:v>
                </c:pt>
                <c:pt idx="369">
                  <c:v>-44.108552992788873</c:v>
                </c:pt>
                <c:pt idx="370">
                  <c:v>-44.223344675194262</c:v>
                </c:pt>
                <c:pt idx="371">
                  <c:v>-44.337438455748313</c:v>
                </c:pt>
                <c:pt idx="372">
                  <c:v>-44.450841866383499</c:v>
                </c:pt>
                <c:pt idx="373">
                  <c:v>-44.566095955290677</c:v>
                </c:pt>
                <c:pt idx="374">
                  <c:v>-44.680643768303732</c:v>
                </c:pt>
                <c:pt idx="375">
                  <c:v>-44.794493005510517</c:v>
                </c:pt>
                <c:pt idx="376">
                  <c:v>-44.907651252608275</c:v>
                </c:pt>
                <c:pt idx="377">
                  <c:v>-45.022889167276617</c:v>
                </c:pt>
                <c:pt idx="378">
                  <c:v>-45.137417381451577</c:v>
                </c:pt>
                <c:pt idx="379">
                  <c:v>-45.251243696106314</c:v>
                </c:pt>
                <c:pt idx="380">
                  <c:v>-45.364375795559219</c:v>
                </c:pt>
                <c:pt idx="381">
                  <c:v>-45.479233470514593</c:v>
                </c:pt>
                <c:pt idx="382">
                  <c:v>-45.593382578248161</c:v>
                </c:pt>
                <c:pt idx="383">
                  <c:v>-45.706830947205404</c:v>
                </c:pt>
                <c:pt idx="384">
                  <c:v>-45.81958628829824</c:v>
                </c:pt>
                <c:pt idx="385">
                  <c:v>-45.934425002515049</c:v>
                </c:pt>
                <c:pt idx="386">
                  <c:v>-46.04855193995445</c:v>
                </c:pt>
                <c:pt idx="387">
                  <c:v>-46.161975029599702</c:v>
                </c:pt>
                <c:pt idx="388">
                  <c:v>-46.274702080490158</c:v>
                </c:pt>
                <c:pt idx="389">
                  <c:v>-46.389306800539046</c:v>
                </c:pt>
                <c:pt idx="390">
                  <c:v>-46.503199289270896</c:v>
                </c:pt>
                <c:pt idx="391">
                  <c:v>-46.616387531624838</c:v>
                </c:pt>
                <c:pt idx="392">
                  <c:v>-46.728879391009876</c:v>
                </c:pt>
                <c:pt idx="393">
                  <c:v>-46.843185711317659</c:v>
                </c:pt>
                <c:pt idx="394">
                  <c:v>-46.956780264739479</c:v>
                </c:pt>
                <c:pt idx="395">
                  <c:v>-47.069671077414974</c:v>
                </c:pt>
                <c:pt idx="396">
                  <c:v>-47.181866052604946</c:v>
                </c:pt>
                <c:pt idx="397">
                  <c:v>-47.296071587144922</c:v>
                </c:pt>
                <c:pt idx="398">
                  <c:v>-47.409563487372388</c:v>
                </c:pt>
                <c:pt idx="399">
                  <c:v>-47.5223498606193</c:v>
                </c:pt>
                <c:pt idx="400">
                  <c:v>-47.634438689114035</c:v>
                </c:pt>
                <c:pt idx="401">
                  <c:v>-47.748344586215424</c:v>
                </c:pt>
                <c:pt idx="402">
                  <c:v>-47.861537582966271</c:v>
                </c:pt>
                <c:pt idx="403">
                  <c:v>-47.974025824172145</c:v>
                </c:pt>
                <c:pt idx="404">
                  <c:v>-48.085817328149865</c:v>
                </c:pt>
                <c:pt idx="405">
                  <c:v>-48.199487110489336</c:v>
                </c:pt>
                <c:pt idx="406">
                  <c:v>-48.312444070431141</c:v>
                </c:pt>
                <c:pt idx="407">
                  <c:v>-48.424696401519675</c:v>
                </c:pt>
                <c:pt idx="408">
                  <c:v>-48.536252169144078</c:v>
                </c:pt>
                <c:pt idx="409">
                  <c:v>-48.649742163233185</c:v>
                </c:pt>
                <c:pt idx="410">
                  <c:v>-48.762518844514219</c:v>
                </c:pt>
                <c:pt idx="411">
                  <c:v>-48.874590465091629</c:v>
                </c:pt>
                <c:pt idx="412">
                  <c:v>-48.985965146995525</c:v>
                </c:pt>
                <c:pt idx="413">
                  <c:v>-49.099208726791453</c:v>
                </c:pt>
                <c:pt idx="414">
                  <c:v>-49.21173947704591</c:v>
                </c:pt>
                <c:pt idx="415">
                  <c:v>-49.323565691437764</c:v>
                </c:pt>
                <c:pt idx="416">
                  <c:v>-49.434695531965303</c:v>
                </c:pt>
                <c:pt idx="417">
                  <c:v>-49.547744770046613</c:v>
                </c:pt>
                <c:pt idx="418">
                  <c:v>-49.66008115109139</c:v>
                </c:pt>
                <c:pt idx="419">
                  <c:v>-49.771713018899597</c:v>
                </c:pt>
                <c:pt idx="420">
                  <c:v>-49.882648583765842</c:v>
                </c:pt>
                <c:pt idx="421">
                  <c:v>-49.995328283260257</c:v>
                </c:pt>
                <c:pt idx="422">
                  <c:v>-50.10729744636788</c:v>
                </c:pt>
                <c:pt idx="423">
                  <c:v>-50.21856442525457</c:v>
                </c:pt>
                <c:pt idx="424">
                  <c:v>-50.329137437615501</c:v>
                </c:pt>
                <c:pt idx="425">
                  <c:v>-50.441719906818008</c:v>
                </c:pt>
                <c:pt idx="426">
                  <c:v>-50.553590882557145</c:v>
                </c:pt>
                <c:pt idx="427">
                  <c:v>-50.664758782311395</c:v>
                </c:pt>
                <c:pt idx="428">
                  <c:v>-50.775231886875986</c:v>
                </c:pt>
                <c:pt idx="429">
                  <c:v>-50.887541409220034</c:v>
                </c:pt>
                <c:pt idx="430">
                  <c:v>-50.999140837985173</c:v>
                </c:pt>
                <c:pt idx="431">
                  <c:v>-51.110038613582944</c:v>
                </c:pt>
                <c:pt idx="432">
                  <c:v>-51.220243038417401</c:v>
                </c:pt>
                <c:pt idx="433">
                  <c:v>-51.332222487213073</c:v>
                </c:pt>
                <c:pt idx="434">
                  <c:v>-51.443494111078294</c:v>
                </c:pt>
                <c:pt idx="435">
                  <c:v>-51.554066356779622</c:v>
                </c:pt>
                <c:pt idx="436">
                  <c:v>-51.663947532099485</c:v>
                </c:pt>
                <c:pt idx="437">
                  <c:v>-51.775744649819771</c:v>
                </c:pt>
                <c:pt idx="438">
                  <c:v>-51.886834496531755</c:v>
                </c:pt>
                <c:pt idx="439">
                  <c:v>-51.997225554813127</c:v>
                </c:pt>
                <c:pt idx="440">
                  <c:v>-52.106926166624952</c:v>
                </c:pt>
                <c:pt idx="441">
                  <c:v>-52.218478593896165</c:v>
                </c:pt>
                <c:pt idx="442">
                  <c:v>-52.329325235240781</c:v>
                </c:pt>
                <c:pt idx="443">
                  <c:v>-52.439474591201019</c:v>
                </c:pt>
                <c:pt idx="444">
                  <c:v>-52.548935020453314</c:v>
                </c:pt>
                <c:pt idx="445">
                  <c:v>-52.66018564081827</c:v>
                </c:pt>
                <c:pt idx="446">
                  <c:v>-52.770732824975369</c:v>
                </c:pt>
                <c:pt idx="447">
                  <c:v>-52.880585074478674</c:v>
                </c:pt>
                <c:pt idx="448">
                  <c:v>-52.989750748142228</c:v>
                </c:pt>
                <c:pt idx="449">
                  <c:v>-53.100832750960485</c:v>
                </c:pt>
                <c:pt idx="450">
                  <c:v>-53.211212130333799</c:v>
                </c:pt>
                <c:pt idx="451">
                  <c:v>-53.320897415222824</c:v>
                </c:pt>
                <c:pt idx="452">
                  <c:v>-53.429896990384876</c:v>
                </c:pt>
                <c:pt idx="453">
                  <c:v>-53.540658781624806</c:v>
                </c:pt>
                <c:pt idx="454">
                  <c:v>-53.650720812418328</c:v>
                </c:pt>
                <c:pt idx="455">
                  <c:v>-53.760091600462268</c:v>
                </c:pt>
                <c:pt idx="456">
                  <c:v>-53.868779518660844</c:v>
                </c:pt>
                <c:pt idx="457">
                  <c:v>-53.979347996274427</c:v>
                </c:pt>
                <c:pt idx="458">
                  <c:v>-54.089218114801312</c:v>
                </c:pt>
                <c:pt idx="459">
                  <c:v>-54.198398405726252</c:v>
                </c:pt>
                <c:pt idx="460">
                  <c:v>-54.306897254595476</c:v>
                </c:pt>
                <c:pt idx="461">
                  <c:v>-54.417214540873573</c:v>
                </c:pt>
                <c:pt idx="462">
                  <c:v>-54.526835731889214</c:v>
                </c:pt>
                <c:pt idx="463">
                  <c:v>-54.635769355626813</c:v>
                </c:pt>
                <c:pt idx="464">
                  <c:v>-54.744023793390177</c:v>
                </c:pt>
                <c:pt idx="465">
                  <c:v>-54.854120789805343</c:v>
                </c:pt>
                <c:pt idx="466">
                  <c:v>-54.963523696541415</c:v>
                </c:pt>
                <c:pt idx="467">
                  <c:v>-55.0722410412152</c:v>
                </c:pt>
                <c:pt idx="468">
                  <c:v>-55.180281203964221</c:v>
                </c:pt>
                <c:pt idx="469">
                  <c:v>-55.290103532556557</c:v>
                </c:pt>
                <c:pt idx="470">
                  <c:v>-55.39923458684305</c:v>
                </c:pt>
                <c:pt idx="471">
                  <c:v>-55.507682877563063</c:v>
                </c:pt>
                <c:pt idx="472">
                  <c:v>-55.615456767576205</c:v>
                </c:pt>
                <c:pt idx="473">
                  <c:v>-55.725114193599417</c:v>
                </c:pt>
                <c:pt idx="474">
                  <c:v>-55.834081906380028</c:v>
                </c:pt>
                <c:pt idx="475">
                  <c:v>-55.942368421263893</c:v>
                </c:pt>
                <c:pt idx="476">
                  <c:v>-56.049982104839948</c:v>
                </c:pt>
                <c:pt idx="477">
                  <c:v>-56.159417751200749</c:v>
                </c:pt>
                <c:pt idx="478">
                  <c:v>-56.268166078588955</c:v>
                </c:pt>
                <c:pt idx="479">
                  <c:v>-56.376235590001571</c:v>
                </c:pt>
                <c:pt idx="480">
                  <c:v>-56.483634639215794</c:v>
                </c:pt>
                <c:pt idx="481">
                  <c:v>-56.592796526126044</c:v>
                </c:pt>
                <c:pt idx="482">
                  <c:v>-56.701274253407988</c:v>
                </c:pt>
                <c:pt idx="483">
                  <c:v>-56.809076295922864</c:v>
                </c:pt>
                <c:pt idx="484">
                  <c:v>-56.916210979243161</c:v>
                </c:pt>
                <c:pt idx="485">
                  <c:v>-57.025125659205436</c:v>
                </c:pt>
                <c:pt idx="486">
                  <c:v>-57.133359116353532</c:v>
                </c:pt>
                <c:pt idx="487">
                  <c:v>-57.240919799907211</c:v>
                </c:pt>
                <c:pt idx="488">
                  <c:v>-57.347816009698292</c:v>
                </c:pt>
                <c:pt idx="489">
                  <c:v>-57.456579203885056</c:v>
                </c:pt>
                <c:pt idx="490">
                  <c:v>-57.564663025846897</c:v>
                </c:pt>
                <c:pt idx="491">
                  <c:v>-57.672075917765412</c:v>
                </c:pt>
                <c:pt idx="492">
                  <c:v>-57.77882617192428</c:v>
                </c:pt>
                <c:pt idx="493">
                  <c:v>-57.887383189786796</c:v>
                </c:pt>
                <c:pt idx="494">
                  <c:v>-57.995263471424494</c:v>
                </c:pt>
                <c:pt idx="495">
                  <c:v>-58.102475435895443</c:v>
                </c:pt>
                <c:pt idx="496">
                  <c:v>-58.209027352256427</c:v>
                </c:pt>
                <c:pt idx="497">
                  <c:v>-58.317396797188906</c:v>
                </c:pt>
                <c:pt idx="498">
                  <c:v>-58.4250920102089</c:v>
                </c:pt>
                <c:pt idx="499">
                  <c:v>-58.532121388224816</c:v>
                </c:pt>
                <c:pt idx="500">
                  <c:v>-58.638493178046133</c:v>
                </c:pt>
                <c:pt idx="501">
                  <c:v>-58.7466913714904</c:v>
                </c:pt>
                <c:pt idx="502">
                  <c:v>-58.854217731215861</c:v>
                </c:pt>
                <c:pt idx="503">
                  <c:v>-58.961080632536465</c:v>
                </c:pt>
                <c:pt idx="504">
                  <c:v>-59.067288300585396</c:v>
                </c:pt>
                <c:pt idx="505">
                  <c:v>-59.175264194340251</c:v>
                </c:pt>
                <c:pt idx="506">
                  <c:v>-59.282571375847411</c:v>
                </c:pt>
                <c:pt idx="507">
                  <c:v>-59.389218183964701</c:v>
                </c:pt>
                <c:pt idx="508">
                  <c:v>-59.495212807671727</c:v>
                </c:pt>
                <c:pt idx="509">
                  <c:v>-59.602983484520998</c:v>
                </c:pt>
                <c:pt idx="510">
                  <c:v>-59.710088445800778</c:v>
                </c:pt>
                <c:pt idx="511">
                  <c:v>-59.81653599490685</c:v>
                </c:pt>
                <c:pt idx="512">
                  <c:v>-59.922334285666487</c:v>
                </c:pt>
                <c:pt idx="513">
                  <c:v>-60.029976958029536</c:v>
                </c:pt>
                <c:pt idx="514">
                  <c:v>-60.136956045572902</c:v>
                </c:pt>
                <c:pt idx="515">
                  <c:v>-60.243279831124504</c:v>
                </c:pt>
                <c:pt idx="516">
                  <c:v>-60.348956447926376</c:v>
                </c:pt>
                <c:pt idx="517">
                  <c:v>-60.456419202384268</c:v>
                </c:pt>
                <c:pt idx="518">
                  <c:v>-60.563221223264058</c:v>
                </c:pt>
                <c:pt idx="519">
                  <c:v>-60.669370758188009</c:v>
                </c:pt>
                <c:pt idx="520">
                  <c:v>-60.774875905555476</c:v>
                </c:pt>
                <c:pt idx="521">
                  <c:v>-60.882170412310984</c:v>
                </c:pt>
                <c:pt idx="522">
                  <c:v>-60.988806971209428</c:v>
                </c:pt>
                <c:pt idx="523">
                  <c:v>-61.094793794753414</c:v>
                </c:pt>
                <c:pt idx="524">
                  <c:v>-61.200138946612988</c:v>
                </c:pt>
                <c:pt idx="525">
                  <c:v>-61.307275330678181</c:v>
                </c:pt>
                <c:pt idx="526">
                  <c:v>-61.41375650369784</c:v>
                </c:pt>
                <c:pt idx="527">
                  <c:v>-61.519590642898081</c:v>
                </c:pt>
                <c:pt idx="528">
                  <c:v>-61.624785777095141</c:v>
                </c:pt>
                <c:pt idx="529">
                  <c:v>-61.731772754189663</c:v>
                </c:pt>
                <c:pt idx="530">
                  <c:v>-61.838107223111685</c:v>
                </c:pt>
                <c:pt idx="531">
                  <c:v>-61.943797325441359</c:v>
                </c:pt>
                <c:pt idx="532">
                  <c:v>-62.048851054808402</c:v>
                </c:pt>
                <c:pt idx="533">
                  <c:v>-62.155751049897951</c:v>
                </c:pt>
                <c:pt idx="534">
                  <c:v>-62.262000552285031</c:v>
                </c:pt>
                <c:pt idx="535">
                  <c:v>-62.367607679794617</c:v>
                </c:pt>
                <c:pt idx="536">
                  <c:v>-62.472580402499993</c:v>
                </c:pt>
                <c:pt idx="537">
                  <c:v>-62.579288388156122</c:v>
                </c:pt>
                <c:pt idx="538">
                  <c:v>-62.685349238425033</c:v>
                </c:pt>
                <c:pt idx="539">
                  <c:v>-62.790771021474434</c:v>
                </c:pt>
                <c:pt idx="540">
                  <c:v>-62.895561658571651</c:v>
                </c:pt>
                <c:pt idx="541">
                  <c:v>-63.002191586277817</c:v>
                </c:pt>
                <c:pt idx="542">
                  <c:v>-63.108176422714521</c:v>
                </c:pt>
                <c:pt idx="543">
                  <c:v>-63.21352421007326</c:v>
                </c:pt>
                <c:pt idx="544">
                  <c:v>-63.318242843948255</c:v>
                </c:pt>
                <c:pt idx="545">
                  <c:v>-63.424744094911212</c:v>
                </c:pt>
                <c:pt idx="546">
                  <c:v>-63.530602974814627</c:v>
                </c:pt>
                <c:pt idx="547">
                  <c:v>-63.635827486529607</c:v>
                </c:pt>
                <c:pt idx="548">
                  <c:v>-63.740425486980158</c:v>
                </c:pt>
                <c:pt idx="549">
                  <c:v>-63.84680157560345</c:v>
                </c:pt>
                <c:pt idx="550">
                  <c:v>-63.95253803245572</c:v>
                </c:pt>
                <c:pt idx="551">
                  <c:v>-64.057642820055975</c:v>
                </c:pt>
                <c:pt idx="552">
                  <c:v>-64.162123755674031</c:v>
                </c:pt>
                <c:pt idx="553">
                  <c:v>-64.26842618030291</c:v>
                </c:pt>
                <c:pt idx="554">
                  <c:v>-64.374091156398947</c:v>
                </c:pt>
                <c:pt idx="555">
                  <c:v>-64.479126615860807</c:v>
                </c:pt>
                <c:pt idx="556">
                  <c:v>-64.583540345821433</c:v>
                </c:pt>
                <c:pt idx="557">
                  <c:v>-64.795359914441363</c:v>
                </c:pt>
                <c:pt idx="558">
                  <c:v>-65.004670188424527</c:v>
                </c:pt>
                <c:pt idx="559">
                  <c:v>-65.2162459945244</c:v>
                </c:pt>
                <c:pt idx="560">
                  <c:v>-65.42532390995558</c:v>
                </c:pt>
                <c:pt idx="561">
                  <c:v>-65.636838697881657</c:v>
                </c:pt>
                <c:pt idx="562">
                  <c:v>-65.845862938963336</c:v>
                </c:pt>
                <c:pt idx="563">
                  <c:v>-66.056864734254916</c:v>
                </c:pt>
                <c:pt idx="564">
                  <c:v>-66.26539410188235</c:v>
                </c:pt>
                <c:pt idx="565">
                  <c:v>-66.4766769472091</c:v>
                </c:pt>
                <c:pt idx="566">
                  <c:v>-66.685487195301704</c:v>
                </c:pt>
                <c:pt idx="567">
                  <c:v>-66.896930714166302</c:v>
                </c:pt>
                <c:pt idx="568">
                  <c:v>-67.105904539354938</c:v>
                </c:pt>
                <c:pt idx="569">
                  <c:v>-67.316576131947386</c:v>
                </c:pt>
                <c:pt idx="570">
                  <c:v>-67.524802753325815</c:v>
                </c:pt>
                <c:pt idx="571">
                  <c:v>-67.73626135360783</c:v>
                </c:pt>
                <c:pt idx="572">
                  <c:v>-67.945263907655573</c:v>
                </c:pt>
                <c:pt idx="573">
                  <c:v>-68.155790319845778</c:v>
                </c:pt>
                <c:pt idx="574">
                  <c:v>-68.363889462084856</c:v>
                </c:pt>
                <c:pt idx="575">
                  <c:v>-68.574982644139453</c:v>
                </c:pt>
                <c:pt idx="576">
                  <c:v>-68.783643111325574</c:v>
                </c:pt>
                <c:pt idx="577">
                  <c:v>-69.641396928522965</c:v>
                </c:pt>
                <c:pt idx="578">
                  <c:v>-70.460659110784377</c:v>
                </c:pt>
                <c:pt idx="579">
                  <c:v>-72.138013094088208</c:v>
                </c:pt>
                <c:pt idx="580">
                  <c:v>-73.820712470195232</c:v>
                </c:pt>
                <c:pt idx="581">
                  <c:v>-75.508663889510942</c:v>
                </c:pt>
                <c:pt idx="582">
                  <c:v>-77.205369649431674</c:v>
                </c:pt>
                <c:pt idx="583">
                  <c:v>-78.912091652487419</c:v>
                </c:pt>
                <c:pt idx="584">
                  <c:v>-80.632739822467627</c:v>
                </c:pt>
                <c:pt idx="585">
                  <c:v>-82.369057666459156</c:v>
                </c:pt>
                <c:pt idx="586">
                  <c:v>-84.124105837197774</c:v>
                </c:pt>
                <c:pt idx="587">
                  <c:v>-85.901696772895306</c:v>
                </c:pt>
                <c:pt idx="588">
                  <c:v>-87.702982616603094</c:v>
                </c:pt>
                <c:pt idx="589">
                  <c:v>-89.532164721007007</c:v>
                </c:pt>
                <c:pt idx="590">
                  <c:v>-91.391130084031943</c:v>
                </c:pt>
                <c:pt idx="591">
                  <c:v>-93.282309214269361</c:v>
                </c:pt>
                <c:pt idx="592">
                  <c:v>-95.207303596048519</c:v>
                </c:pt>
                <c:pt idx="593">
                  <c:v>-97.168045262369986</c:v>
                </c:pt>
                <c:pt idx="594">
                  <c:v>-99.164800949649134</c:v>
                </c:pt>
                <c:pt idx="595">
                  <c:v>-101.19813555352566</c:v>
                </c:pt>
                <c:pt idx="596">
                  <c:v>-103.26717409147651</c:v>
                </c:pt>
                <c:pt idx="597">
                  <c:v>-105.37130833276709</c:v>
                </c:pt>
                <c:pt idx="598">
                  <c:v>-107.50844744736568</c:v>
                </c:pt>
                <c:pt idx="599">
                  <c:v>-109.67714508199467</c:v>
                </c:pt>
                <c:pt idx="600">
                  <c:v>-111.87477275310155</c:v>
                </c:pt>
              </c:numCache>
            </c:numRef>
          </c:yVal>
          <c:smooth val="0"/>
        </c:ser>
        <c:dLbls>
          <c:showLegendKey val="0"/>
          <c:showVal val="0"/>
          <c:showCatName val="0"/>
          <c:showSerName val="0"/>
          <c:showPercent val="0"/>
          <c:showBubbleSize val="0"/>
        </c:dLbls>
        <c:axId val="-1650384224"/>
        <c:axId val="-1650391296"/>
      </c:scatterChart>
      <c:scatterChart>
        <c:scatterStyle val="lineMarker"/>
        <c:varyColors val="0"/>
        <c:ser>
          <c:idx val="1"/>
          <c:order val="1"/>
          <c:tx>
            <c:strRef>
              <c:f>'Bode Plot Calculations'!$T$13</c:f>
              <c:strCache>
                <c:ptCount val="1"/>
                <c:pt idx="0">
                  <c:v>Phase Margin</c:v>
                </c:pt>
              </c:strCache>
            </c:strRef>
          </c:tx>
          <c:spPr>
            <a:ln w="25400">
              <a:solidFill>
                <a:srgbClr val="0000FF"/>
              </a:solidFill>
              <a:prstDash val="solid"/>
            </a:ln>
          </c:spPr>
          <c:marker>
            <c:symbol val="none"/>
          </c:marker>
          <c:xVal>
            <c:numRef>
              <c:f>'Bode Plot Calculations'!$A$14:$A$614</c:f>
              <c:numCache>
                <c:formatCode>0.000</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formatCode="0.00">
                  <c:v>10</c:v>
                </c:pt>
                <c:pt idx="26" formatCode="0.00">
                  <c:v>10.965</c:v>
                </c:pt>
                <c:pt idx="27" formatCode="0.00">
                  <c:v>12.023</c:v>
                </c:pt>
                <c:pt idx="28" formatCode="0.00">
                  <c:v>13.183</c:v>
                </c:pt>
                <c:pt idx="29" formatCode="0.00">
                  <c:v>14.454000000000001</c:v>
                </c:pt>
                <c:pt idx="30" formatCode="0.00">
                  <c:v>15.849</c:v>
                </c:pt>
                <c:pt idx="31" formatCode="0.00">
                  <c:v>17.378</c:v>
                </c:pt>
                <c:pt idx="32" formatCode="0.00">
                  <c:v>19.055</c:v>
                </c:pt>
                <c:pt idx="33" formatCode="0.00">
                  <c:v>20.893000000000001</c:v>
                </c:pt>
                <c:pt idx="34" formatCode="0.00">
                  <c:v>22.909000000000002</c:v>
                </c:pt>
                <c:pt idx="35" formatCode="0.00">
                  <c:v>25.119</c:v>
                </c:pt>
                <c:pt idx="36" formatCode="0.00">
                  <c:v>27.542000000000002</c:v>
                </c:pt>
                <c:pt idx="37" formatCode="0.00">
                  <c:v>30.2</c:v>
                </c:pt>
                <c:pt idx="38" formatCode="0.00">
                  <c:v>33.113</c:v>
                </c:pt>
                <c:pt idx="39" formatCode="0.00">
                  <c:v>36.308</c:v>
                </c:pt>
                <c:pt idx="40" formatCode="0.00">
                  <c:v>39.811</c:v>
                </c:pt>
                <c:pt idx="41" formatCode="0.00">
                  <c:v>43.652000000000001</c:v>
                </c:pt>
                <c:pt idx="42" formatCode="0.00">
                  <c:v>47.863</c:v>
                </c:pt>
                <c:pt idx="43" formatCode="0.00">
                  <c:v>52.481000000000002</c:v>
                </c:pt>
                <c:pt idx="44" formatCode="0.00">
                  <c:v>57.544000000000004</c:v>
                </c:pt>
                <c:pt idx="45" formatCode="0.00">
                  <c:v>63.095999999999997</c:v>
                </c:pt>
                <c:pt idx="46" formatCode="0.00">
                  <c:v>69.183000000000007</c:v>
                </c:pt>
                <c:pt idx="47" formatCode="0.00">
                  <c:v>75.858000000000004</c:v>
                </c:pt>
                <c:pt idx="48" formatCode="0.00">
                  <c:v>83.176000000000002</c:v>
                </c:pt>
                <c:pt idx="49" formatCode="0.00">
                  <c:v>91.201000000000008</c:v>
                </c:pt>
                <c:pt idx="50" formatCode="0.00">
                  <c:v>100</c:v>
                </c:pt>
                <c:pt idx="51" formatCode="0.00">
                  <c:v>109.65</c:v>
                </c:pt>
                <c:pt idx="52" formatCode="0.00">
                  <c:v>120.23</c:v>
                </c:pt>
                <c:pt idx="53" formatCode="0.00">
                  <c:v>131.83000000000001</c:v>
                </c:pt>
                <c:pt idx="54" formatCode="0.00">
                  <c:v>144.54</c:v>
                </c:pt>
                <c:pt idx="55" formatCode="0.00">
                  <c:v>158.49</c:v>
                </c:pt>
                <c:pt idx="56" formatCode="0.00">
                  <c:v>173.78</c:v>
                </c:pt>
                <c:pt idx="57" formatCode="0.00">
                  <c:v>190.55</c:v>
                </c:pt>
                <c:pt idx="58" formatCode="0.00">
                  <c:v>208.93</c:v>
                </c:pt>
                <c:pt idx="59" formatCode="0.00">
                  <c:v>229.09</c:v>
                </c:pt>
                <c:pt idx="60" formatCode="0.00">
                  <c:v>251.19</c:v>
                </c:pt>
                <c:pt idx="61" formatCode="0.00">
                  <c:v>275.42</c:v>
                </c:pt>
                <c:pt idx="62" formatCode="0.00">
                  <c:v>302</c:v>
                </c:pt>
                <c:pt idx="63" formatCode="0.00">
                  <c:v>331.13</c:v>
                </c:pt>
                <c:pt idx="64" formatCode="0.00">
                  <c:v>363.08</c:v>
                </c:pt>
                <c:pt idx="65" formatCode="0.00">
                  <c:v>398.11</c:v>
                </c:pt>
                <c:pt idx="66" formatCode="0.00">
                  <c:v>436.52</c:v>
                </c:pt>
                <c:pt idx="67" formatCode="0.00">
                  <c:v>478.63</c:v>
                </c:pt>
                <c:pt idx="68" formatCode="0.00">
                  <c:v>524.80999999999995</c:v>
                </c:pt>
                <c:pt idx="69" formatCode="0.00">
                  <c:v>575.44000000000005</c:v>
                </c:pt>
                <c:pt idx="70" formatCode="0.00">
                  <c:v>630.96</c:v>
                </c:pt>
                <c:pt idx="71" formatCode="0.00">
                  <c:v>691.83</c:v>
                </c:pt>
                <c:pt idx="72" formatCode="0.00">
                  <c:v>758.58</c:v>
                </c:pt>
                <c:pt idx="73" formatCode="0.00">
                  <c:v>831.76</c:v>
                </c:pt>
                <c:pt idx="74" formatCode="0.00">
                  <c:v>912.01</c:v>
                </c:pt>
                <c:pt idx="75" formatCode="General">
                  <c:v>1000</c:v>
                </c:pt>
                <c:pt idx="76" formatCode="#,##0">
                  <c:v>1096.5</c:v>
                </c:pt>
                <c:pt idx="77" formatCode="#,##0">
                  <c:v>1202.3</c:v>
                </c:pt>
                <c:pt idx="78" formatCode="#,##0">
                  <c:v>1318.3</c:v>
                </c:pt>
                <c:pt idx="79" formatCode="#,##0">
                  <c:v>1445.4</c:v>
                </c:pt>
                <c:pt idx="80" formatCode="#,##0">
                  <c:v>1584.9</c:v>
                </c:pt>
                <c:pt idx="81" formatCode="#,##0">
                  <c:v>1737.8</c:v>
                </c:pt>
                <c:pt idx="82" formatCode="#,##0">
                  <c:v>1905.5</c:v>
                </c:pt>
                <c:pt idx="83" formatCode="#,##0">
                  <c:v>2089.3000000000002</c:v>
                </c:pt>
                <c:pt idx="84" formatCode="#,##0">
                  <c:v>2290.9</c:v>
                </c:pt>
                <c:pt idx="85" formatCode="#,##0">
                  <c:v>2511.9</c:v>
                </c:pt>
                <c:pt idx="86" formatCode="#,##0">
                  <c:v>2754.2</c:v>
                </c:pt>
                <c:pt idx="87" formatCode="#,##0">
                  <c:v>3020</c:v>
                </c:pt>
                <c:pt idx="88" formatCode="#,##0">
                  <c:v>3311.3</c:v>
                </c:pt>
                <c:pt idx="89" formatCode="#,##0">
                  <c:v>3630.8</c:v>
                </c:pt>
                <c:pt idx="90" formatCode="#,##0">
                  <c:v>3981.1</c:v>
                </c:pt>
                <c:pt idx="91" formatCode="#,##0">
                  <c:v>4365.2</c:v>
                </c:pt>
                <c:pt idx="92" formatCode="#,##0">
                  <c:v>4786.3</c:v>
                </c:pt>
                <c:pt idx="93" formatCode="#,##0">
                  <c:v>5248.1</c:v>
                </c:pt>
                <c:pt idx="94" formatCode="#,##0">
                  <c:v>5370.3</c:v>
                </c:pt>
                <c:pt idx="95" formatCode="#,##0">
                  <c:v>5432.85</c:v>
                </c:pt>
                <c:pt idx="96" formatCode="#,##0">
                  <c:v>5495.4</c:v>
                </c:pt>
                <c:pt idx="97" formatCode="#,##0">
                  <c:v>5559.4</c:v>
                </c:pt>
                <c:pt idx="98" formatCode="#,##0">
                  <c:v>5623.4</c:v>
                </c:pt>
                <c:pt idx="99" formatCode="#,##0">
                  <c:v>5688.9</c:v>
                </c:pt>
                <c:pt idx="100" formatCode="#,##0">
                  <c:v>5754.4</c:v>
                </c:pt>
                <c:pt idx="101" formatCode="#,##0">
                  <c:v>5821.4</c:v>
                </c:pt>
                <c:pt idx="102" formatCode="#,##0">
                  <c:v>5888.4</c:v>
                </c:pt>
                <c:pt idx="103" formatCode="#,##0">
                  <c:v>5957</c:v>
                </c:pt>
                <c:pt idx="104" formatCode="#,##0">
                  <c:v>6025.6</c:v>
                </c:pt>
                <c:pt idx="105" formatCode="#,##0">
                  <c:v>6095.8</c:v>
                </c:pt>
                <c:pt idx="106" formatCode="#,##0">
                  <c:v>6166</c:v>
                </c:pt>
                <c:pt idx="107" formatCode="#,##0">
                  <c:v>6237.8</c:v>
                </c:pt>
                <c:pt idx="108" formatCode="#,##0">
                  <c:v>6309.6</c:v>
                </c:pt>
                <c:pt idx="109" formatCode="#,##0">
                  <c:v>6383.05</c:v>
                </c:pt>
                <c:pt idx="110" formatCode="#,##0">
                  <c:v>6456.5</c:v>
                </c:pt>
                <c:pt idx="111" formatCode="#,##0">
                  <c:v>6531.7</c:v>
                </c:pt>
                <c:pt idx="112" formatCode="#,##0">
                  <c:v>6606.9</c:v>
                </c:pt>
                <c:pt idx="113" formatCode="#,##0">
                  <c:v>6683.85</c:v>
                </c:pt>
                <c:pt idx="114" formatCode="#,##0">
                  <c:v>6760.8</c:v>
                </c:pt>
                <c:pt idx="115" formatCode="#,##0">
                  <c:v>6839.55</c:v>
                </c:pt>
                <c:pt idx="116" formatCode="#,##0">
                  <c:v>6918.3</c:v>
                </c:pt>
                <c:pt idx="117" formatCode="#,##0">
                  <c:v>6998.9</c:v>
                </c:pt>
                <c:pt idx="118" formatCode="#,##0">
                  <c:v>7079.5</c:v>
                </c:pt>
                <c:pt idx="119" formatCode="#,##0">
                  <c:v>7161.95</c:v>
                </c:pt>
                <c:pt idx="120" formatCode="#,##0">
                  <c:v>7244.4</c:v>
                </c:pt>
                <c:pt idx="121" formatCode="#,##0">
                  <c:v>7328.75</c:v>
                </c:pt>
                <c:pt idx="122" formatCode="#,##0">
                  <c:v>7413.1</c:v>
                </c:pt>
                <c:pt idx="123" formatCode="#,##0">
                  <c:v>7499.45</c:v>
                </c:pt>
                <c:pt idx="124" formatCode="#,##0">
                  <c:v>7585.8</c:v>
                </c:pt>
                <c:pt idx="125" formatCode="#,##0">
                  <c:v>7674.15</c:v>
                </c:pt>
                <c:pt idx="126" formatCode="#,##0">
                  <c:v>7762.5</c:v>
                </c:pt>
                <c:pt idx="127" formatCode="#,##0">
                  <c:v>7852.9</c:v>
                </c:pt>
                <c:pt idx="128" formatCode="#,##0">
                  <c:v>7943.3</c:v>
                </c:pt>
                <c:pt idx="129" formatCode="#,##0">
                  <c:v>8035.8</c:v>
                </c:pt>
                <c:pt idx="130" formatCode="#,##0">
                  <c:v>8128.3</c:v>
                </c:pt>
                <c:pt idx="131" formatCode="#,##0">
                  <c:v>8222.9500000000007</c:v>
                </c:pt>
                <c:pt idx="132" formatCode="#,##0">
                  <c:v>8270.2750000000015</c:v>
                </c:pt>
                <c:pt idx="133" formatCode="#,##0">
                  <c:v>8317.6</c:v>
                </c:pt>
                <c:pt idx="134" formatCode="#,##0">
                  <c:v>8366.0499999999993</c:v>
                </c:pt>
                <c:pt idx="135" formatCode="#,##0">
                  <c:v>8414.5</c:v>
                </c:pt>
                <c:pt idx="136" formatCode="#,##0">
                  <c:v>8462.9500000000007</c:v>
                </c:pt>
                <c:pt idx="137" formatCode="#,##0">
                  <c:v>8511.4</c:v>
                </c:pt>
                <c:pt idx="138" formatCode="#,##0">
                  <c:v>8560.9500000000007</c:v>
                </c:pt>
                <c:pt idx="139" formatCode="#,##0">
                  <c:v>8610.5</c:v>
                </c:pt>
                <c:pt idx="140" formatCode="#,##0">
                  <c:v>8660.0499999999993</c:v>
                </c:pt>
                <c:pt idx="141" formatCode="#,##0">
                  <c:v>8709.6</c:v>
                </c:pt>
                <c:pt idx="142" formatCode="#,##0">
                  <c:v>8760.3250000000007</c:v>
                </c:pt>
                <c:pt idx="143" formatCode="#,##0">
                  <c:v>8811.0499999999993</c:v>
                </c:pt>
                <c:pt idx="144" formatCode="#,##0">
                  <c:v>8861.7749999999996</c:v>
                </c:pt>
                <c:pt idx="145" formatCode="#,##0">
                  <c:v>8912.5</c:v>
                </c:pt>
                <c:pt idx="146" formatCode="#,##0">
                  <c:v>8964.4</c:v>
                </c:pt>
                <c:pt idx="147" formatCode="#,##0">
                  <c:v>9016.2999999999993</c:v>
                </c:pt>
                <c:pt idx="148" formatCode="#,##0">
                  <c:v>9068.2000000000007</c:v>
                </c:pt>
                <c:pt idx="149" formatCode="#,##0">
                  <c:v>9120.1</c:v>
                </c:pt>
                <c:pt idx="150" formatCode="#,##0">
                  <c:v>9173.2000000000007</c:v>
                </c:pt>
                <c:pt idx="151" formatCode="#,##0">
                  <c:v>9226.2999999999993</c:v>
                </c:pt>
                <c:pt idx="152" formatCode="#,##0">
                  <c:v>9279.4</c:v>
                </c:pt>
                <c:pt idx="153" formatCode="#,##0">
                  <c:v>9332.5</c:v>
                </c:pt>
                <c:pt idx="154" formatCode="#,##0">
                  <c:v>9386.85</c:v>
                </c:pt>
                <c:pt idx="155" formatCode="#,##0">
                  <c:v>9441.2000000000007</c:v>
                </c:pt>
                <c:pt idx="156" formatCode="#,##0">
                  <c:v>9495.5499999999993</c:v>
                </c:pt>
                <c:pt idx="157" formatCode="#,##0">
                  <c:v>9549.9</c:v>
                </c:pt>
                <c:pt idx="158" formatCode="#,##0">
                  <c:v>9605.5249999999996</c:v>
                </c:pt>
                <c:pt idx="159" formatCode="#,##0">
                  <c:v>9661.15</c:v>
                </c:pt>
                <c:pt idx="160" formatCode="#,##0">
                  <c:v>9716.7749999999996</c:v>
                </c:pt>
                <c:pt idx="161" formatCode="#,##0">
                  <c:v>9772.4</c:v>
                </c:pt>
                <c:pt idx="162" formatCode="#,##0">
                  <c:v>9829.2999999999993</c:v>
                </c:pt>
                <c:pt idx="163" formatCode="#,##0">
                  <c:v>9886.2000000000007</c:v>
                </c:pt>
                <c:pt idx="164" formatCode="#,##0">
                  <c:v>9943.1</c:v>
                </c:pt>
                <c:pt idx="165" formatCode="#,##0">
                  <c:v>10000</c:v>
                </c:pt>
                <c:pt idx="166" formatCode="#,##0">
                  <c:v>10058.25</c:v>
                </c:pt>
                <c:pt idx="167" formatCode="#,##0">
                  <c:v>10116.5</c:v>
                </c:pt>
                <c:pt idx="168" formatCode="#,##0">
                  <c:v>10174.75</c:v>
                </c:pt>
                <c:pt idx="169" formatCode="#,##0">
                  <c:v>10233</c:v>
                </c:pt>
                <c:pt idx="170" formatCode="#,##0">
                  <c:v>10292.5</c:v>
                </c:pt>
                <c:pt idx="171" formatCode="#,##0">
                  <c:v>10352</c:v>
                </c:pt>
                <c:pt idx="172" formatCode="#,##0">
                  <c:v>10411.5</c:v>
                </c:pt>
                <c:pt idx="173" formatCode="#,##0">
                  <c:v>10471</c:v>
                </c:pt>
                <c:pt idx="174" formatCode="#,##0">
                  <c:v>10532</c:v>
                </c:pt>
                <c:pt idx="175" formatCode="#,##0">
                  <c:v>10593</c:v>
                </c:pt>
                <c:pt idx="176" formatCode="#,##0">
                  <c:v>10654</c:v>
                </c:pt>
                <c:pt idx="177" formatCode="#,##0">
                  <c:v>10715</c:v>
                </c:pt>
                <c:pt idx="178" formatCode="#,##0">
                  <c:v>10777.5</c:v>
                </c:pt>
                <c:pt idx="179" formatCode="#,##0">
                  <c:v>10840</c:v>
                </c:pt>
                <c:pt idx="180" formatCode="#,##0">
                  <c:v>10902.5</c:v>
                </c:pt>
                <c:pt idx="181" formatCode="#,##0">
                  <c:v>10965</c:v>
                </c:pt>
                <c:pt idx="182" formatCode="#,##0">
                  <c:v>11028.75</c:v>
                </c:pt>
                <c:pt idx="183" formatCode="#,##0">
                  <c:v>11092.5</c:v>
                </c:pt>
                <c:pt idx="184" formatCode="#,##0">
                  <c:v>11156.25</c:v>
                </c:pt>
                <c:pt idx="185" formatCode="#,##0">
                  <c:v>11220</c:v>
                </c:pt>
                <c:pt idx="186" formatCode="#,##0">
                  <c:v>11285.5</c:v>
                </c:pt>
                <c:pt idx="187" formatCode="#,##0">
                  <c:v>11351</c:v>
                </c:pt>
                <c:pt idx="188" formatCode="#,##0">
                  <c:v>11416.5</c:v>
                </c:pt>
                <c:pt idx="189" formatCode="#,##0">
                  <c:v>11482</c:v>
                </c:pt>
                <c:pt idx="190" formatCode="#,##0">
                  <c:v>11548.75</c:v>
                </c:pt>
                <c:pt idx="191" formatCode="#,##0">
                  <c:v>11615.5</c:v>
                </c:pt>
                <c:pt idx="192" formatCode="#,##0">
                  <c:v>11682.25</c:v>
                </c:pt>
                <c:pt idx="193" formatCode="#,##0">
                  <c:v>11749</c:v>
                </c:pt>
                <c:pt idx="194" formatCode="#,##0">
                  <c:v>11817.5</c:v>
                </c:pt>
                <c:pt idx="195" formatCode="#,##0">
                  <c:v>11886</c:v>
                </c:pt>
                <c:pt idx="196" formatCode="#,##0">
                  <c:v>11954.5</c:v>
                </c:pt>
                <c:pt idx="197" formatCode="#,##0">
                  <c:v>12023</c:v>
                </c:pt>
                <c:pt idx="198" formatCode="#,##0">
                  <c:v>12093</c:v>
                </c:pt>
                <c:pt idx="199" formatCode="#,##0">
                  <c:v>12163</c:v>
                </c:pt>
                <c:pt idx="200" formatCode="#,##0">
                  <c:v>12233</c:v>
                </c:pt>
                <c:pt idx="201" formatCode="#,##0">
                  <c:v>12303</c:v>
                </c:pt>
                <c:pt idx="202" formatCode="#,##0">
                  <c:v>12374.5</c:v>
                </c:pt>
                <c:pt idx="203" formatCode="#,##0">
                  <c:v>12446</c:v>
                </c:pt>
                <c:pt idx="204" formatCode="#,##0">
                  <c:v>12517.5</c:v>
                </c:pt>
                <c:pt idx="205" formatCode="#,##0">
                  <c:v>12589</c:v>
                </c:pt>
                <c:pt idx="206" formatCode="#,##0">
                  <c:v>12662.25</c:v>
                </c:pt>
                <c:pt idx="207" formatCode="#,##0">
                  <c:v>12735.5</c:v>
                </c:pt>
                <c:pt idx="208" formatCode="#,##0">
                  <c:v>12808.75</c:v>
                </c:pt>
                <c:pt idx="209" formatCode="#,##0">
                  <c:v>12882</c:v>
                </c:pt>
                <c:pt idx="210" formatCode="#,##0">
                  <c:v>12957.25</c:v>
                </c:pt>
                <c:pt idx="211" formatCode="#,##0">
                  <c:v>13032.5</c:v>
                </c:pt>
                <c:pt idx="212" formatCode="#,##0">
                  <c:v>13107.75</c:v>
                </c:pt>
                <c:pt idx="213" formatCode="#,##0">
                  <c:v>13183</c:v>
                </c:pt>
                <c:pt idx="214" formatCode="#,##0">
                  <c:v>13259.75</c:v>
                </c:pt>
                <c:pt idx="215" formatCode="#,##0">
                  <c:v>13336.5</c:v>
                </c:pt>
                <c:pt idx="216" formatCode="#,##0">
                  <c:v>13413.25</c:v>
                </c:pt>
                <c:pt idx="217" formatCode="#,##0">
                  <c:v>13490</c:v>
                </c:pt>
                <c:pt idx="218" formatCode="#,##0">
                  <c:v>13568.5</c:v>
                </c:pt>
                <c:pt idx="219" formatCode="#,##0">
                  <c:v>13647</c:v>
                </c:pt>
                <c:pt idx="220" formatCode="#,##0">
                  <c:v>13725.5</c:v>
                </c:pt>
                <c:pt idx="221" formatCode="#,##0">
                  <c:v>13804</c:v>
                </c:pt>
                <c:pt idx="222" formatCode="#,##0">
                  <c:v>13884.25</c:v>
                </c:pt>
                <c:pt idx="223" formatCode="#,##0">
                  <c:v>13964.5</c:v>
                </c:pt>
                <c:pt idx="224" formatCode="#,##0">
                  <c:v>14044.75</c:v>
                </c:pt>
                <c:pt idx="225" formatCode="#,##0">
                  <c:v>14125</c:v>
                </c:pt>
                <c:pt idx="226" formatCode="#,##0">
                  <c:v>14207.25</c:v>
                </c:pt>
                <c:pt idx="227" formatCode="#,##0">
                  <c:v>14289.5</c:v>
                </c:pt>
                <c:pt idx="228" formatCode="#,##0">
                  <c:v>14371.75</c:v>
                </c:pt>
                <c:pt idx="229" formatCode="#,##0">
                  <c:v>14454</c:v>
                </c:pt>
                <c:pt idx="230" formatCode="#,##0">
                  <c:v>14622.5</c:v>
                </c:pt>
                <c:pt idx="231" formatCode="#,##0">
                  <c:v>14706.75</c:v>
                </c:pt>
                <c:pt idx="232" formatCode="#,##0">
                  <c:v>14791</c:v>
                </c:pt>
                <c:pt idx="233" formatCode="#,##0">
                  <c:v>14877.25</c:v>
                </c:pt>
                <c:pt idx="234" formatCode="#,##0">
                  <c:v>14963.5</c:v>
                </c:pt>
                <c:pt idx="235" formatCode="#,##0">
                  <c:v>15049.75</c:v>
                </c:pt>
                <c:pt idx="236" formatCode="#,##0">
                  <c:v>15136</c:v>
                </c:pt>
                <c:pt idx="237" formatCode="#,##0">
                  <c:v>15224</c:v>
                </c:pt>
                <c:pt idx="238" formatCode="#,##0">
                  <c:v>15312</c:v>
                </c:pt>
                <c:pt idx="239" formatCode="#,##0">
                  <c:v>15400</c:v>
                </c:pt>
                <c:pt idx="240" formatCode="#,##0">
                  <c:v>15488</c:v>
                </c:pt>
                <c:pt idx="241" formatCode="#,##0">
                  <c:v>15578.25</c:v>
                </c:pt>
                <c:pt idx="242" formatCode="#,##0">
                  <c:v>15668.5</c:v>
                </c:pt>
                <c:pt idx="243" formatCode="#,##0">
                  <c:v>15758.75</c:v>
                </c:pt>
                <c:pt idx="244" formatCode="#,##0">
                  <c:v>15849</c:v>
                </c:pt>
                <c:pt idx="245" formatCode="#,##0">
                  <c:v>15941.25</c:v>
                </c:pt>
                <c:pt idx="246" formatCode="#,##0">
                  <c:v>16033.5</c:v>
                </c:pt>
                <c:pt idx="247" formatCode="#,##0">
                  <c:v>16125.75</c:v>
                </c:pt>
                <c:pt idx="248" formatCode="#,##0">
                  <c:v>16218</c:v>
                </c:pt>
                <c:pt idx="249" formatCode="#,##0">
                  <c:v>16312.5</c:v>
                </c:pt>
                <c:pt idx="250" formatCode="#,##0">
                  <c:v>16407</c:v>
                </c:pt>
                <c:pt idx="251" formatCode="#,##0">
                  <c:v>16501.5</c:v>
                </c:pt>
                <c:pt idx="252" formatCode="#,##0">
                  <c:v>16596</c:v>
                </c:pt>
                <c:pt idx="253" formatCode="#,##0">
                  <c:v>16692.5</c:v>
                </c:pt>
                <c:pt idx="254" formatCode="#,##0">
                  <c:v>16789</c:v>
                </c:pt>
                <c:pt idx="255" formatCode="#,##0">
                  <c:v>16885.5</c:v>
                </c:pt>
                <c:pt idx="256" formatCode="#,##0">
                  <c:v>16982</c:v>
                </c:pt>
                <c:pt idx="257" formatCode="#,##0">
                  <c:v>17081</c:v>
                </c:pt>
                <c:pt idx="258" formatCode="#,##0">
                  <c:v>17180</c:v>
                </c:pt>
                <c:pt idx="259" formatCode="#,##0">
                  <c:v>17279</c:v>
                </c:pt>
                <c:pt idx="260" formatCode="#,##0">
                  <c:v>17378</c:v>
                </c:pt>
                <c:pt idx="261" formatCode="#,##0">
                  <c:v>17479.25</c:v>
                </c:pt>
                <c:pt idx="262" formatCode="#,##0">
                  <c:v>17580.5</c:v>
                </c:pt>
                <c:pt idx="263" formatCode="#,##0">
                  <c:v>17681.75</c:v>
                </c:pt>
                <c:pt idx="264" formatCode="#,##0">
                  <c:v>17783</c:v>
                </c:pt>
                <c:pt idx="265" formatCode="#,##0">
                  <c:v>17886.5</c:v>
                </c:pt>
                <c:pt idx="266" formatCode="#,##0">
                  <c:v>17990</c:v>
                </c:pt>
                <c:pt idx="267" formatCode="#,##0">
                  <c:v>18093.5</c:v>
                </c:pt>
                <c:pt idx="268" formatCode="#,##0">
                  <c:v>18197</c:v>
                </c:pt>
                <c:pt idx="269" formatCode="#,##0">
                  <c:v>18303</c:v>
                </c:pt>
                <c:pt idx="270" formatCode="#,##0">
                  <c:v>18409</c:v>
                </c:pt>
                <c:pt idx="271" formatCode="#,##0">
                  <c:v>18515</c:v>
                </c:pt>
                <c:pt idx="272" formatCode="#,##0">
                  <c:v>18621</c:v>
                </c:pt>
                <c:pt idx="273" formatCode="#,##0">
                  <c:v>18729.5</c:v>
                </c:pt>
                <c:pt idx="274" formatCode="#,##0">
                  <c:v>18838</c:v>
                </c:pt>
                <c:pt idx="275" formatCode="#,##0">
                  <c:v>18946.5</c:v>
                </c:pt>
                <c:pt idx="276" formatCode="#,##0">
                  <c:v>19055</c:v>
                </c:pt>
                <c:pt idx="277" formatCode="#,##0">
                  <c:v>19165.75</c:v>
                </c:pt>
                <c:pt idx="278" formatCode="#,##0">
                  <c:v>19276.5</c:v>
                </c:pt>
                <c:pt idx="279" formatCode="#,##0">
                  <c:v>19387.25</c:v>
                </c:pt>
                <c:pt idx="280" formatCode="#,##0">
                  <c:v>19498</c:v>
                </c:pt>
                <c:pt idx="281" formatCode="#,##0">
                  <c:v>19611.75</c:v>
                </c:pt>
                <c:pt idx="282" formatCode="#,##0">
                  <c:v>19725.5</c:v>
                </c:pt>
                <c:pt idx="283" formatCode="#,##0">
                  <c:v>19839.25</c:v>
                </c:pt>
                <c:pt idx="284" formatCode="#,##0">
                  <c:v>19953</c:v>
                </c:pt>
                <c:pt idx="285" formatCode="#,##0">
                  <c:v>20069</c:v>
                </c:pt>
                <c:pt idx="286" formatCode="#,##0">
                  <c:v>20185</c:v>
                </c:pt>
                <c:pt idx="287" formatCode="#,##0">
                  <c:v>20301</c:v>
                </c:pt>
                <c:pt idx="288" formatCode="#,##0">
                  <c:v>20417</c:v>
                </c:pt>
                <c:pt idx="289" formatCode="#,##0">
                  <c:v>20536</c:v>
                </c:pt>
                <c:pt idx="290" formatCode="#,##0">
                  <c:v>20655</c:v>
                </c:pt>
                <c:pt idx="291" formatCode="#,##0">
                  <c:v>20774</c:v>
                </c:pt>
                <c:pt idx="292" formatCode="#,##0">
                  <c:v>20893</c:v>
                </c:pt>
                <c:pt idx="293" formatCode="#,##0">
                  <c:v>21014.75</c:v>
                </c:pt>
                <c:pt idx="294" formatCode="#,##0">
                  <c:v>21136.5</c:v>
                </c:pt>
                <c:pt idx="295" formatCode="#,##0">
                  <c:v>21258.25</c:v>
                </c:pt>
                <c:pt idx="296" formatCode="#,##0">
                  <c:v>21380</c:v>
                </c:pt>
                <c:pt idx="297" formatCode="#,##0">
                  <c:v>21504.5</c:v>
                </c:pt>
                <c:pt idx="298" formatCode="#,##0">
                  <c:v>21629</c:v>
                </c:pt>
                <c:pt idx="299" formatCode="#,##0">
                  <c:v>21753.5</c:v>
                </c:pt>
                <c:pt idx="300" formatCode="#,##0">
                  <c:v>21878</c:v>
                </c:pt>
                <c:pt idx="301" formatCode="#,##0">
                  <c:v>22005.25</c:v>
                </c:pt>
                <c:pt idx="302" formatCode="#,##0">
                  <c:v>22132.5</c:v>
                </c:pt>
                <c:pt idx="303" formatCode="#,##0">
                  <c:v>22259.75</c:v>
                </c:pt>
                <c:pt idx="304" formatCode="#,##0">
                  <c:v>22387</c:v>
                </c:pt>
                <c:pt idx="305" formatCode="#,##0">
                  <c:v>22517.5</c:v>
                </c:pt>
                <c:pt idx="306" formatCode="#,##0">
                  <c:v>22648</c:v>
                </c:pt>
                <c:pt idx="307" formatCode="#,##0">
                  <c:v>22778.5</c:v>
                </c:pt>
                <c:pt idx="308" formatCode="#,##0">
                  <c:v>22909</c:v>
                </c:pt>
                <c:pt idx="309" formatCode="#,##0">
                  <c:v>23042.25</c:v>
                </c:pt>
                <c:pt idx="310" formatCode="#,##0">
                  <c:v>23175.5</c:v>
                </c:pt>
                <c:pt idx="311" formatCode="#,##0">
                  <c:v>23308.75</c:v>
                </c:pt>
                <c:pt idx="312" formatCode="#,##0">
                  <c:v>23442</c:v>
                </c:pt>
                <c:pt idx="313" formatCode="#,##0">
                  <c:v>23578.5</c:v>
                </c:pt>
                <c:pt idx="314" formatCode="#,##0">
                  <c:v>23715</c:v>
                </c:pt>
                <c:pt idx="315" formatCode="#,##0">
                  <c:v>23851.5</c:v>
                </c:pt>
                <c:pt idx="316" formatCode="#,##0">
                  <c:v>23988</c:v>
                </c:pt>
                <c:pt idx="317" formatCode="#,##0">
                  <c:v>24127.75</c:v>
                </c:pt>
                <c:pt idx="318" formatCode="#,##0">
                  <c:v>24267.5</c:v>
                </c:pt>
                <c:pt idx="319" formatCode="#,##0">
                  <c:v>24407.25</c:v>
                </c:pt>
                <c:pt idx="320" formatCode="#,##0">
                  <c:v>24547</c:v>
                </c:pt>
                <c:pt idx="321" formatCode="#,##0">
                  <c:v>24690</c:v>
                </c:pt>
                <c:pt idx="322" formatCode="#,##0">
                  <c:v>24833</c:v>
                </c:pt>
                <c:pt idx="323" formatCode="#,##0">
                  <c:v>24976</c:v>
                </c:pt>
                <c:pt idx="324" formatCode="#,##0">
                  <c:v>25119</c:v>
                </c:pt>
                <c:pt idx="325" formatCode="#,##0">
                  <c:v>25265.25</c:v>
                </c:pt>
                <c:pt idx="326" formatCode="#,##0">
                  <c:v>25411.5</c:v>
                </c:pt>
                <c:pt idx="327" formatCode="#,##0">
                  <c:v>25557.75</c:v>
                </c:pt>
                <c:pt idx="328" formatCode="#,##0">
                  <c:v>25704</c:v>
                </c:pt>
                <c:pt idx="329" formatCode="#,##0">
                  <c:v>25853.75</c:v>
                </c:pt>
                <c:pt idx="330" formatCode="#,##0">
                  <c:v>26003.5</c:v>
                </c:pt>
                <c:pt idx="331" formatCode="#,##0">
                  <c:v>26153.25</c:v>
                </c:pt>
                <c:pt idx="332" formatCode="#,##0">
                  <c:v>26303</c:v>
                </c:pt>
                <c:pt idx="333" formatCode="#,##0">
                  <c:v>26456</c:v>
                </c:pt>
                <c:pt idx="334" formatCode="#,##0">
                  <c:v>26609</c:v>
                </c:pt>
                <c:pt idx="335" formatCode="#,##0">
                  <c:v>26762</c:v>
                </c:pt>
                <c:pt idx="336" formatCode="#,##0">
                  <c:v>26915</c:v>
                </c:pt>
                <c:pt idx="337" formatCode="#,##0">
                  <c:v>27071.75</c:v>
                </c:pt>
                <c:pt idx="338" formatCode="#,##0">
                  <c:v>27228.5</c:v>
                </c:pt>
                <c:pt idx="339" formatCode="#,##0">
                  <c:v>27385.25</c:v>
                </c:pt>
                <c:pt idx="340" formatCode="#,##0">
                  <c:v>27542</c:v>
                </c:pt>
                <c:pt idx="341" formatCode="#,##0">
                  <c:v>27702.5</c:v>
                </c:pt>
                <c:pt idx="342" formatCode="#,##0">
                  <c:v>27863</c:v>
                </c:pt>
                <c:pt idx="343" formatCode="#,##0">
                  <c:v>28023.5</c:v>
                </c:pt>
                <c:pt idx="344" formatCode="#,##0">
                  <c:v>28184</c:v>
                </c:pt>
                <c:pt idx="345" formatCode="#,##0">
                  <c:v>28348</c:v>
                </c:pt>
                <c:pt idx="346" formatCode="#,##0">
                  <c:v>28512</c:v>
                </c:pt>
                <c:pt idx="347" formatCode="#,##0">
                  <c:v>28676</c:v>
                </c:pt>
                <c:pt idx="348" formatCode="#,##0">
                  <c:v>28840</c:v>
                </c:pt>
                <c:pt idx="349" formatCode="#,##0">
                  <c:v>29008</c:v>
                </c:pt>
                <c:pt idx="350" formatCode="#,##0">
                  <c:v>29176</c:v>
                </c:pt>
                <c:pt idx="351" formatCode="#,##0">
                  <c:v>29344</c:v>
                </c:pt>
                <c:pt idx="352" formatCode="#,##0">
                  <c:v>29512</c:v>
                </c:pt>
                <c:pt idx="353" formatCode="#,##0">
                  <c:v>29684</c:v>
                </c:pt>
                <c:pt idx="354" formatCode="#,##0">
                  <c:v>29856</c:v>
                </c:pt>
                <c:pt idx="355" formatCode="#,##0">
                  <c:v>30028</c:v>
                </c:pt>
                <c:pt idx="356" formatCode="#,##0">
                  <c:v>30200</c:v>
                </c:pt>
                <c:pt idx="357" formatCode="#,##0">
                  <c:v>30375.75</c:v>
                </c:pt>
                <c:pt idx="358" formatCode="#,##0">
                  <c:v>30551.5</c:v>
                </c:pt>
                <c:pt idx="359" formatCode="#,##0">
                  <c:v>30727.25</c:v>
                </c:pt>
                <c:pt idx="360" formatCode="#,##0">
                  <c:v>30903</c:v>
                </c:pt>
                <c:pt idx="361" formatCode="#,##0">
                  <c:v>31083</c:v>
                </c:pt>
                <c:pt idx="362" formatCode="#,##0">
                  <c:v>31263</c:v>
                </c:pt>
                <c:pt idx="363" formatCode="#,##0">
                  <c:v>31443</c:v>
                </c:pt>
                <c:pt idx="364" formatCode="#,##0">
                  <c:v>31623</c:v>
                </c:pt>
                <c:pt idx="365" formatCode="#,##0">
                  <c:v>31807</c:v>
                </c:pt>
                <c:pt idx="366" formatCode="#,##0">
                  <c:v>31991</c:v>
                </c:pt>
                <c:pt idx="367" formatCode="#,##0">
                  <c:v>32175</c:v>
                </c:pt>
                <c:pt idx="368" formatCode="#,##0">
                  <c:v>32359</c:v>
                </c:pt>
                <c:pt idx="369" formatCode="#,##0">
                  <c:v>32547.5</c:v>
                </c:pt>
                <c:pt idx="370" formatCode="#,##0">
                  <c:v>32736</c:v>
                </c:pt>
                <c:pt idx="371" formatCode="#,##0">
                  <c:v>32924.5</c:v>
                </c:pt>
                <c:pt idx="372" formatCode="#,##0">
                  <c:v>33113</c:v>
                </c:pt>
                <c:pt idx="373" formatCode="#,##0">
                  <c:v>33305.75</c:v>
                </c:pt>
                <c:pt idx="374" formatCode="#,##0">
                  <c:v>33498.5</c:v>
                </c:pt>
                <c:pt idx="375" formatCode="#,##0">
                  <c:v>33691.25</c:v>
                </c:pt>
                <c:pt idx="376" formatCode="#,##0">
                  <c:v>33884</c:v>
                </c:pt>
                <c:pt idx="377" formatCode="#,##0">
                  <c:v>34081.5</c:v>
                </c:pt>
                <c:pt idx="378" formatCode="#,##0">
                  <c:v>34279</c:v>
                </c:pt>
                <c:pt idx="379" formatCode="#,##0">
                  <c:v>34476.5</c:v>
                </c:pt>
                <c:pt idx="380" formatCode="#,##0">
                  <c:v>34674</c:v>
                </c:pt>
                <c:pt idx="381" formatCode="#,##0">
                  <c:v>34875.75</c:v>
                </c:pt>
                <c:pt idx="382" formatCode="#,##0">
                  <c:v>35077.5</c:v>
                </c:pt>
                <c:pt idx="383" formatCode="#,##0">
                  <c:v>35279.25</c:v>
                </c:pt>
                <c:pt idx="384" formatCode="#,##0">
                  <c:v>35481</c:v>
                </c:pt>
                <c:pt idx="385" formatCode="#,##0">
                  <c:v>35687.75</c:v>
                </c:pt>
                <c:pt idx="386" formatCode="#,##0">
                  <c:v>35894.5</c:v>
                </c:pt>
                <c:pt idx="387" formatCode="#,##0">
                  <c:v>36101.25</c:v>
                </c:pt>
                <c:pt idx="388" formatCode="#,##0">
                  <c:v>36308</c:v>
                </c:pt>
                <c:pt idx="389" formatCode="#,##0">
                  <c:v>36519.5</c:v>
                </c:pt>
                <c:pt idx="390" formatCode="#,##0">
                  <c:v>36731</c:v>
                </c:pt>
                <c:pt idx="391" formatCode="#,##0">
                  <c:v>36942.5</c:v>
                </c:pt>
                <c:pt idx="392" formatCode="#,##0">
                  <c:v>37154</c:v>
                </c:pt>
                <c:pt idx="393" formatCode="#,##0">
                  <c:v>37370.25</c:v>
                </c:pt>
                <c:pt idx="394" formatCode="#,##0">
                  <c:v>37586.5</c:v>
                </c:pt>
                <c:pt idx="395" formatCode="#,##0">
                  <c:v>37802.75</c:v>
                </c:pt>
                <c:pt idx="396" formatCode="#,##0">
                  <c:v>38019</c:v>
                </c:pt>
                <c:pt idx="397" formatCode="#,##0">
                  <c:v>38240.5</c:v>
                </c:pt>
                <c:pt idx="398" formatCode="#,##0">
                  <c:v>38462</c:v>
                </c:pt>
                <c:pt idx="399" formatCode="#,##0">
                  <c:v>38683.5</c:v>
                </c:pt>
                <c:pt idx="400" formatCode="#,##0">
                  <c:v>38905</c:v>
                </c:pt>
                <c:pt idx="401" formatCode="#,##0">
                  <c:v>39131.5</c:v>
                </c:pt>
                <c:pt idx="402" formatCode="#,##0">
                  <c:v>39358</c:v>
                </c:pt>
                <c:pt idx="403" formatCode="#,##0">
                  <c:v>39584.5</c:v>
                </c:pt>
                <c:pt idx="404" formatCode="#,##0">
                  <c:v>39811</c:v>
                </c:pt>
                <c:pt idx="405" formatCode="#,##0">
                  <c:v>40042.75</c:v>
                </c:pt>
                <c:pt idx="406" formatCode="#,##0">
                  <c:v>40274.5</c:v>
                </c:pt>
                <c:pt idx="407" formatCode="#,##0">
                  <c:v>40506.25</c:v>
                </c:pt>
                <c:pt idx="408" formatCode="#,##0">
                  <c:v>40738</c:v>
                </c:pt>
                <c:pt idx="409" formatCode="#,##0">
                  <c:v>40975.25</c:v>
                </c:pt>
                <c:pt idx="410" formatCode="#,##0">
                  <c:v>41212.5</c:v>
                </c:pt>
                <c:pt idx="411" formatCode="#,##0">
                  <c:v>41449.75</c:v>
                </c:pt>
                <c:pt idx="412" formatCode="#,##0">
                  <c:v>41687</c:v>
                </c:pt>
                <c:pt idx="413" formatCode="#,##0">
                  <c:v>41929.75</c:v>
                </c:pt>
                <c:pt idx="414" formatCode="#,##0">
                  <c:v>42172.5</c:v>
                </c:pt>
                <c:pt idx="415" formatCode="#,##0">
                  <c:v>42415.25</c:v>
                </c:pt>
                <c:pt idx="416" formatCode="#,##0">
                  <c:v>42658</c:v>
                </c:pt>
                <c:pt idx="417" formatCode="#,##0">
                  <c:v>42906.5</c:v>
                </c:pt>
                <c:pt idx="418" formatCode="#,##0">
                  <c:v>43155</c:v>
                </c:pt>
                <c:pt idx="419" formatCode="#,##0">
                  <c:v>43403.5</c:v>
                </c:pt>
                <c:pt idx="420" formatCode="#,##0">
                  <c:v>43652</c:v>
                </c:pt>
                <c:pt idx="421" formatCode="#,##0">
                  <c:v>43906</c:v>
                </c:pt>
                <c:pt idx="422" formatCode="#,##0">
                  <c:v>44160</c:v>
                </c:pt>
                <c:pt idx="423" formatCode="#,##0">
                  <c:v>44414</c:v>
                </c:pt>
                <c:pt idx="424" formatCode="#,##0">
                  <c:v>44668</c:v>
                </c:pt>
                <c:pt idx="425" formatCode="#,##0">
                  <c:v>44928.25</c:v>
                </c:pt>
                <c:pt idx="426" formatCode="#,##0">
                  <c:v>45188.5</c:v>
                </c:pt>
                <c:pt idx="427" formatCode="#,##0">
                  <c:v>45448.75</c:v>
                </c:pt>
                <c:pt idx="428" formatCode="#,##0">
                  <c:v>45709</c:v>
                </c:pt>
                <c:pt idx="429" formatCode="#,##0">
                  <c:v>45975.25</c:v>
                </c:pt>
                <c:pt idx="430" formatCode="#,##0">
                  <c:v>46241.5</c:v>
                </c:pt>
                <c:pt idx="431" formatCode="#,##0">
                  <c:v>46507.75</c:v>
                </c:pt>
                <c:pt idx="432" formatCode="#,##0">
                  <c:v>46774</c:v>
                </c:pt>
                <c:pt idx="433" formatCode="#,##0">
                  <c:v>47046.25</c:v>
                </c:pt>
                <c:pt idx="434" formatCode="#,##0">
                  <c:v>47318.5</c:v>
                </c:pt>
                <c:pt idx="435" formatCode="#,##0">
                  <c:v>47590.75</c:v>
                </c:pt>
                <c:pt idx="436" formatCode="#,##0">
                  <c:v>47863</c:v>
                </c:pt>
                <c:pt idx="437" formatCode="#,##0">
                  <c:v>48141.75</c:v>
                </c:pt>
                <c:pt idx="438" formatCode="#,##0">
                  <c:v>48420.5</c:v>
                </c:pt>
                <c:pt idx="439" formatCode="#,##0">
                  <c:v>48699.25</c:v>
                </c:pt>
                <c:pt idx="440" formatCode="#,##0">
                  <c:v>48978</c:v>
                </c:pt>
                <c:pt idx="441" formatCode="#,##0">
                  <c:v>49263.25</c:v>
                </c:pt>
                <c:pt idx="442" formatCode="#,##0">
                  <c:v>49548.5</c:v>
                </c:pt>
                <c:pt idx="443" formatCode="#,##0">
                  <c:v>49833.75</c:v>
                </c:pt>
                <c:pt idx="444" formatCode="#,##0">
                  <c:v>50119</c:v>
                </c:pt>
                <c:pt idx="445" formatCode="#,##0">
                  <c:v>50410.75</c:v>
                </c:pt>
                <c:pt idx="446" formatCode="#,##0">
                  <c:v>50702.5</c:v>
                </c:pt>
                <c:pt idx="447" formatCode="#,##0">
                  <c:v>50994.25</c:v>
                </c:pt>
                <c:pt idx="448" formatCode="#,##0">
                  <c:v>51286</c:v>
                </c:pt>
                <c:pt idx="449" formatCode="#,##0">
                  <c:v>51584.75</c:v>
                </c:pt>
                <c:pt idx="450" formatCode="#,##0">
                  <c:v>51883.5</c:v>
                </c:pt>
                <c:pt idx="451" formatCode="#,##0">
                  <c:v>52182.25</c:v>
                </c:pt>
                <c:pt idx="452" formatCode="#,##0">
                  <c:v>52481</c:v>
                </c:pt>
                <c:pt idx="453" formatCode="#,##0">
                  <c:v>52786.5</c:v>
                </c:pt>
                <c:pt idx="454" formatCode="#,##0">
                  <c:v>53092</c:v>
                </c:pt>
                <c:pt idx="455" formatCode="#,##0">
                  <c:v>53397.5</c:v>
                </c:pt>
                <c:pt idx="456" formatCode="#,##0">
                  <c:v>53703</c:v>
                </c:pt>
                <c:pt idx="457" formatCode="#,##0">
                  <c:v>54015.75</c:v>
                </c:pt>
                <c:pt idx="458" formatCode="#,##0">
                  <c:v>54328.5</c:v>
                </c:pt>
                <c:pt idx="459" formatCode="#,##0">
                  <c:v>54641.25</c:v>
                </c:pt>
                <c:pt idx="460" formatCode="#,##0">
                  <c:v>54954</c:v>
                </c:pt>
                <c:pt idx="461" formatCode="#,##0">
                  <c:v>55274</c:v>
                </c:pt>
                <c:pt idx="462" formatCode="#,##0">
                  <c:v>55594</c:v>
                </c:pt>
                <c:pt idx="463" formatCode="#,##0">
                  <c:v>55914</c:v>
                </c:pt>
                <c:pt idx="464" formatCode="#,##0">
                  <c:v>56234</c:v>
                </c:pt>
                <c:pt idx="465" formatCode="#,##0">
                  <c:v>56561.5</c:v>
                </c:pt>
                <c:pt idx="466" formatCode="#,##0">
                  <c:v>56889</c:v>
                </c:pt>
                <c:pt idx="467" formatCode="#,##0">
                  <c:v>57216.5</c:v>
                </c:pt>
                <c:pt idx="468" formatCode="#,##0">
                  <c:v>57544</c:v>
                </c:pt>
                <c:pt idx="469" formatCode="#,##0">
                  <c:v>57879</c:v>
                </c:pt>
                <c:pt idx="470" formatCode="#,##0">
                  <c:v>58214</c:v>
                </c:pt>
                <c:pt idx="471" formatCode="#,##0">
                  <c:v>58549</c:v>
                </c:pt>
                <c:pt idx="472" formatCode="#,##0">
                  <c:v>58884</c:v>
                </c:pt>
                <c:pt idx="473" formatCode="#,##0">
                  <c:v>59227</c:v>
                </c:pt>
                <c:pt idx="474" formatCode="#,##0">
                  <c:v>59570</c:v>
                </c:pt>
                <c:pt idx="475" formatCode="#,##0">
                  <c:v>59913</c:v>
                </c:pt>
                <c:pt idx="476" formatCode="#,##0">
                  <c:v>60256</c:v>
                </c:pt>
                <c:pt idx="477" formatCode="#,##0">
                  <c:v>60607</c:v>
                </c:pt>
                <c:pt idx="478" formatCode="#,##0">
                  <c:v>60958</c:v>
                </c:pt>
                <c:pt idx="479" formatCode="#,##0">
                  <c:v>61309</c:v>
                </c:pt>
                <c:pt idx="480" formatCode="#,##0">
                  <c:v>61660</c:v>
                </c:pt>
                <c:pt idx="481" formatCode="#,##0">
                  <c:v>62019</c:v>
                </c:pt>
                <c:pt idx="482" formatCode="#,##0">
                  <c:v>62378</c:v>
                </c:pt>
                <c:pt idx="483" formatCode="#,##0">
                  <c:v>62737</c:v>
                </c:pt>
                <c:pt idx="484" formatCode="#,##0">
                  <c:v>63096</c:v>
                </c:pt>
                <c:pt idx="485" formatCode="#,##0">
                  <c:v>63463.25</c:v>
                </c:pt>
                <c:pt idx="486" formatCode="#,##0">
                  <c:v>63830.5</c:v>
                </c:pt>
                <c:pt idx="487" formatCode="#,##0">
                  <c:v>64197.75</c:v>
                </c:pt>
                <c:pt idx="488" formatCode="#,##0">
                  <c:v>64565</c:v>
                </c:pt>
                <c:pt idx="489" formatCode="#,##0">
                  <c:v>64941</c:v>
                </c:pt>
                <c:pt idx="490" formatCode="#,##0">
                  <c:v>65317</c:v>
                </c:pt>
                <c:pt idx="491" formatCode="#,##0">
                  <c:v>65693</c:v>
                </c:pt>
                <c:pt idx="492" formatCode="#,##0">
                  <c:v>66069</c:v>
                </c:pt>
                <c:pt idx="493" formatCode="#,##0">
                  <c:v>66453.75</c:v>
                </c:pt>
                <c:pt idx="494" formatCode="#,##0">
                  <c:v>66838.5</c:v>
                </c:pt>
                <c:pt idx="495" formatCode="#,##0">
                  <c:v>67223.25</c:v>
                </c:pt>
                <c:pt idx="496" formatCode="#,##0">
                  <c:v>67608</c:v>
                </c:pt>
                <c:pt idx="497" formatCode="#,##0">
                  <c:v>68001.75</c:v>
                </c:pt>
                <c:pt idx="498" formatCode="#,##0">
                  <c:v>68395.5</c:v>
                </c:pt>
                <c:pt idx="499" formatCode="#,##0">
                  <c:v>68789.25</c:v>
                </c:pt>
                <c:pt idx="500" formatCode="#,##0">
                  <c:v>69183</c:v>
                </c:pt>
                <c:pt idx="501" formatCode="#,##0">
                  <c:v>69586</c:v>
                </c:pt>
                <c:pt idx="502" formatCode="#,##0">
                  <c:v>69989</c:v>
                </c:pt>
                <c:pt idx="503" formatCode="#,##0">
                  <c:v>70392</c:v>
                </c:pt>
                <c:pt idx="504" formatCode="#,##0">
                  <c:v>70795</c:v>
                </c:pt>
                <c:pt idx="505" formatCode="#,##0">
                  <c:v>71207.25</c:v>
                </c:pt>
                <c:pt idx="506" formatCode="#,##0">
                  <c:v>71619.5</c:v>
                </c:pt>
                <c:pt idx="507" formatCode="#,##0">
                  <c:v>72031.75</c:v>
                </c:pt>
                <c:pt idx="508" formatCode="#,##0">
                  <c:v>72444</c:v>
                </c:pt>
                <c:pt idx="509" formatCode="#,##0">
                  <c:v>72865.75</c:v>
                </c:pt>
                <c:pt idx="510" formatCode="#,##0">
                  <c:v>73287.5</c:v>
                </c:pt>
                <c:pt idx="511" formatCode="#,##0">
                  <c:v>73709.25</c:v>
                </c:pt>
                <c:pt idx="512" formatCode="#,##0">
                  <c:v>74131</c:v>
                </c:pt>
                <c:pt idx="513" formatCode="#,##0">
                  <c:v>74562.75</c:v>
                </c:pt>
                <c:pt idx="514" formatCode="#,##0">
                  <c:v>74994.5</c:v>
                </c:pt>
                <c:pt idx="515" formatCode="#,##0">
                  <c:v>75426.25</c:v>
                </c:pt>
                <c:pt idx="516" formatCode="#,##0">
                  <c:v>75858</c:v>
                </c:pt>
                <c:pt idx="517" formatCode="#,##0">
                  <c:v>76299.75</c:v>
                </c:pt>
                <c:pt idx="518" formatCode="#,##0">
                  <c:v>76741.5</c:v>
                </c:pt>
                <c:pt idx="519" formatCode="#,##0">
                  <c:v>77183.25</c:v>
                </c:pt>
                <c:pt idx="520" formatCode="#,##0">
                  <c:v>77625</c:v>
                </c:pt>
                <c:pt idx="521" formatCode="#,##0">
                  <c:v>78077</c:v>
                </c:pt>
                <c:pt idx="522" formatCode="#,##0">
                  <c:v>78529</c:v>
                </c:pt>
                <c:pt idx="523" formatCode="#,##0">
                  <c:v>78981</c:v>
                </c:pt>
                <c:pt idx="524" formatCode="#,##0">
                  <c:v>79433</c:v>
                </c:pt>
                <c:pt idx="525" formatCode="#,##0">
                  <c:v>79895.5</c:v>
                </c:pt>
                <c:pt idx="526" formatCode="#,##0">
                  <c:v>80358</c:v>
                </c:pt>
                <c:pt idx="527" formatCode="#,##0">
                  <c:v>80820.5</c:v>
                </c:pt>
                <c:pt idx="528" formatCode="#,##0">
                  <c:v>81283</c:v>
                </c:pt>
                <c:pt idx="529" formatCode="#,##0">
                  <c:v>81756.25</c:v>
                </c:pt>
                <c:pt idx="530" formatCode="#,##0">
                  <c:v>82229.5</c:v>
                </c:pt>
                <c:pt idx="531" formatCode="#,##0">
                  <c:v>82702.75</c:v>
                </c:pt>
                <c:pt idx="532" formatCode="#,##0">
                  <c:v>83176</c:v>
                </c:pt>
                <c:pt idx="533" formatCode="#,##0">
                  <c:v>83660.5</c:v>
                </c:pt>
                <c:pt idx="534" formatCode="#,##0">
                  <c:v>84145</c:v>
                </c:pt>
                <c:pt idx="535" formatCode="#,##0">
                  <c:v>84629.5</c:v>
                </c:pt>
                <c:pt idx="536" formatCode="#,##0">
                  <c:v>85114</c:v>
                </c:pt>
                <c:pt idx="537" formatCode="#,##0">
                  <c:v>85609.5</c:v>
                </c:pt>
                <c:pt idx="538" formatCode="#,##0">
                  <c:v>86105</c:v>
                </c:pt>
                <c:pt idx="539" formatCode="#,##0">
                  <c:v>86600.5</c:v>
                </c:pt>
                <c:pt idx="540" formatCode="#,##0">
                  <c:v>87096</c:v>
                </c:pt>
                <c:pt idx="541" formatCode="#,##0">
                  <c:v>87603.25</c:v>
                </c:pt>
                <c:pt idx="542" formatCode="#,##0">
                  <c:v>88110.5</c:v>
                </c:pt>
                <c:pt idx="543" formatCode="#,##0">
                  <c:v>88617.75</c:v>
                </c:pt>
                <c:pt idx="544" formatCode="#,##0">
                  <c:v>89125</c:v>
                </c:pt>
                <c:pt idx="545" formatCode="#,##0">
                  <c:v>89644</c:v>
                </c:pt>
                <c:pt idx="546" formatCode="#,##0">
                  <c:v>90163</c:v>
                </c:pt>
                <c:pt idx="547" formatCode="#,##0">
                  <c:v>90682</c:v>
                </c:pt>
                <c:pt idx="548" formatCode="#,##0">
                  <c:v>91201</c:v>
                </c:pt>
                <c:pt idx="549" formatCode="#,##0">
                  <c:v>91732</c:v>
                </c:pt>
                <c:pt idx="550" formatCode="#,##0">
                  <c:v>92263</c:v>
                </c:pt>
                <c:pt idx="551" formatCode="#,##0">
                  <c:v>92794</c:v>
                </c:pt>
                <c:pt idx="552" formatCode="#,##0">
                  <c:v>93325</c:v>
                </c:pt>
                <c:pt idx="553" formatCode="#,##0">
                  <c:v>93868.5</c:v>
                </c:pt>
                <c:pt idx="554" formatCode="#,##0">
                  <c:v>94412</c:v>
                </c:pt>
                <c:pt idx="555" formatCode="#,##0">
                  <c:v>94955.5</c:v>
                </c:pt>
                <c:pt idx="556" formatCode="#,##0">
                  <c:v>95499</c:v>
                </c:pt>
                <c:pt idx="557" formatCode="#,##0">
                  <c:v>96611.5</c:v>
                </c:pt>
                <c:pt idx="558" formatCode="#,##0">
                  <c:v>97724</c:v>
                </c:pt>
                <c:pt idx="559" formatCode="#,##0">
                  <c:v>98862</c:v>
                </c:pt>
                <c:pt idx="560" formatCode="#,##0">
                  <c:v>100000</c:v>
                </c:pt>
                <c:pt idx="561" formatCode="#,##0">
                  <c:v>101165</c:v>
                </c:pt>
                <c:pt idx="562" formatCode="#,##0">
                  <c:v>102330</c:v>
                </c:pt>
                <c:pt idx="563" formatCode="#,##0">
                  <c:v>103520</c:v>
                </c:pt>
                <c:pt idx="564" formatCode="#,##0">
                  <c:v>104710</c:v>
                </c:pt>
                <c:pt idx="565" formatCode="#,##0">
                  <c:v>105930</c:v>
                </c:pt>
                <c:pt idx="566" formatCode="#,##0">
                  <c:v>107150</c:v>
                </c:pt>
                <c:pt idx="567" formatCode="#,##0">
                  <c:v>108400</c:v>
                </c:pt>
                <c:pt idx="568" formatCode="#,##0">
                  <c:v>109650</c:v>
                </c:pt>
                <c:pt idx="569" formatCode="#,##0">
                  <c:v>110925</c:v>
                </c:pt>
                <c:pt idx="570" formatCode="#,##0">
                  <c:v>112200</c:v>
                </c:pt>
                <c:pt idx="571" formatCode="#,##0">
                  <c:v>113510</c:v>
                </c:pt>
                <c:pt idx="572" formatCode="#,##0">
                  <c:v>114820</c:v>
                </c:pt>
                <c:pt idx="573" formatCode="#,##0">
                  <c:v>116155</c:v>
                </c:pt>
                <c:pt idx="574" formatCode="#,##0">
                  <c:v>117490</c:v>
                </c:pt>
                <c:pt idx="575" formatCode="#,##0">
                  <c:v>118860</c:v>
                </c:pt>
                <c:pt idx="576" formatCode="#,##0">
                  <c:v>120230</c:v>
                </c:pt>
                <c:pt idx="577" formatCode="#,##0">
                  <c:v>126030</c:v>
                </c:pt>
                <c:pt idx="578" formatCode="#,##0">
                  <c:v>131830</c:v>
                </c:pt>
                <c:pt idx="579" formatCode="#,##0">
                  <c:v>144540</c:v>
                </c:pt>
                <c:pt idx="580" formatCode="#,##0">
                  <c:v>158490</c:v>
                </c:pt>
                <c:pt idx="581" formatCode="#,##0">
                  <c:v>173780</c:v>
                </c:pt>
                <c:pt idx="582" formatCode="#,##0">
                  <c:v>190550</c:v>
                </c:pt>
                <c:pt idx="583" formatCode="#,##0">
                  <c:v>208930</c:v>
                </c:pt>
                <c:pt idx="584" formatCode="#,##0">
                  <c:v>229090</c:v>
                </c:pt>
                <c:pt idx="585" formatCode="#,##0">
                  <c:v>251190</c:v>
                </c:pt>
                <c:pt idx="586" formatCode="#,##0">
                  <c:v>275420</c:v>
                </c:pt>
                <c:pt idx="587" formatCode="#,##0">
                  <c:v>302000</c:v>
                </c:pt>
                <c:pt idx="588" formatCode="#,##0">
                  <c:v>331130</c:v>
                </c:pt>
                <c:pt idx="589" formatCode="#,##0">
                  <c:v>363080</c:v>
                </c:pt>
                <c:pt idx="590" formatCode="#,##0">
                  <c:v>398110</c:v>
                </c:pt>
                <c:pt idx="591" formatCode="#,##0">
                  <c:v>436520</c:v>
                </c:pt>
                <c:pt idx="592" formatCode="#,##0">
                  <c:v>478630</c:v>
                </c:pt>
                <c:pt idx="593" formatCode="#,##0">
                  <c:v>524810</c:v>
                </c:pt>
                <c:pt idx="594" formatCode="#,##0">
                  <c:v>575440</c:v>
                </c:pt>
                <c:pt idx="595" formatCode="#,##0">
                  <c:v>630960</c:v>
                </c:pt>
                <c:pt idx="596" formatCode="#,##0">
                  <c:v>691830</c:v>
                </c:pt>
                <c:pt idx="597" formatCode="#,##0">
                  <c:v>758580</c:v>
                </c:pt>
                <c:pt idx="598" formatCode="#,##0">
                  <c:v>831760</c:v>
                </c:pt>
                <c:pt idx="599" formatCode="#,##0">
                  <c:v>912010</c:v>
                </c:pt>
                <c:pt idx="600" formatCode="#,##0">
                  <c:v>1000000</c:v>
                </c:pt>
              </c:numCache>
            </c:numRef>
          </c:xVal>
          <c:yVal>
            <c:numRef>
              <c:f>'Bode Plot Calculations'!$T$14:$T$614</c:f>
              <c:numCache>
                <c:formatCode>General</c:formatCode>
                <c:ptCount val="601"/>
                <c:pt idx="0">
                  <c:v>160.58101186956594</c:v>
                </c:pt>
                <c:pt idx="1">
                  <c:v>158.85357055823044</c:v>
                </c:pt>
                <c:pt idx="2">
                  <c:v>157.00103704970277</c:v>
                </c:pt>
                <c:pt idx="3">
                  <c:v>155.02182266442276</c:v>
                </c:pt>
                <c:pt idx="4">
                  <c:v>152.91774013007807</c:v>
                </c:pt>
                <c:pt idx="5">
                  <c:v>150.68798883874518</c:v>
                </c:pt>
                <c:pt idx="6">
                  <c:v>148.34110601437885</c:v>
                </c:pt>
                <c:pt idx="7">
                  <c:v>145.88402433078252</c:v>
                </c:pt>
                <c:pt idx="8">
                  <c:v>143.33009106759425</c:v>
                </c:pt>
                <c:pt idx="9">
                  <c:v>140.69192133924622</c:v>
                </c:pt>
                <c:pt idx="10">
                  <c:v>137.98825109901099</c:v>
                </c:pt>
                <c:pt idx="11">
                  <c:v>135.23813770683313</c:v>
                </c:pt>
                <c:pt idx="12">
                  <c:v>132.46099615736355</c:v>
                </c:pt>
                <c:pt idx="13">
                  <c:v>129.68099971914094</c:v>
                </c:pt>
                <c:pt idx="14">
                  <c:v>126.91715359638985</c:v>
                </c:pt>
                <c:pt idx="15">
                  <c:v>124.19059490258566</c:v>
                </c:pt>
                <c:pt idx="16">
                  <c:v>121.51927650961673</c:v>
                </c:pt>
                <c:pt idx="17">
                  <c:v>118.91930361110512</c:v>
                </c:pt>
                <c:pt idx="18">
                  <c:v>116.40291398325829</c:v>
                </c:pt>
                <c:pt idx="19">
                  <c:v>113.98095351339013</c:v>
                </c:pt>
                <c:pt idx="20">
                  <c:v>111.66040978453879</c:v>
                </c:pt>
                <c:pt idx="21">
                  <c:v>109.44683349877587</c:v>
                </c:pt>
                <c:pt idx="22">
                  <c:v>107.34285194334475</c:v>
                </c:pt>
                <c:pt idx="23">
                  <c:v>105.35056756719287</c:v>
                </c:pt>
                <c:pt idx="24">
                  <c:v>103.47001258919572</c:v>
                </c:pt>
                <c:pt idx="25">
                  <c:v>101.70141236340608</c:v>
                </c:pt>
                <c:pt idx="26">
                  <c:v>100.04401620894893</c:v>
                </c:pt>
                <c:pt idx="27">
                  <c:v>98.497930727802284</c:v>
                </c:pt>
                <c:pt idx="28">
                  <c:v>97.062639100441658</c:v>
                </c:pt>
                <c:pt idx="29">
                  <c:v>95.73842473309189</c:v>
                </c:pt>
                <c:pt idx="30">
                  <c:v>94.522360843295147</c:v>
                </c:pt>
                <c:pt idx="31">
                  <c:v>93.414949163623533</c:v>
                </c:pt>
                <c:pt idx="32">
                  <c:v>92.413213516143713</c:v>
                </c:pt>
                <c:pt idx="33">
                  <c:v>91.514396744324245</c:v>
                </c:pt>
                <c:pt idx="34">
                  <c:v>90.712850030399807</c:v>
                </c:pt>
                <c:pt idx="35">
                  <c:v>90.002495656860091</c:v>
                </c:pt>
                <c:pt idx="36">
                  <c:v>89.375087442791994</c:v>
                </c:pt>
                <c:pt idx="37">
                  <c:v>88.820892160805499</c:v>
                </c:pt>
                <c:pt idx="38">
                  <c:v>88.329992033203936</c:v>
                </c:pt>
                <c:pt idx="39">
                  <c:v>87.890930995180184</c:v>
                </c:pt>
                <c:pt idx="40">
                  <c:v>87.492667523708263</c:v>
                </c:pt>
                <c:pt idx="41">
                  <c:v>87.124123647120371</c:v>
                </c:pt>
                <c:pt idx="42">
                  <c:v>86.774784207335756</c:v>
                </c:pt>
                <c:pt idx="43">
                  <c:v>86.434654646210859</c:v>
                </c:pt>
                <c:pt idx="44">
                  <c:v>86.094701769960409</c:v>
                </c:pt>
                <c:pt idx="45">
                  <c:v>85.746513807981998</c:v>
                </c:pt>
                <c:pt idx="46">
                  <c:v>85.382553286930815</c:v>
                </c:pt>
                <c:pt idx="47">
                  <c:v>84.995775491882512</c:v>
                </c:pt>
                <c:pt idx="48">
                  <c:v>84.579838368513791</c:v>
                </c:pt>
                <c:pt idx="49">
                  <c:v>84.128598746984167</c:v>
                </c:pt>
                <c:pt idx="50">
                  <c:v>83.636361540762621</c:v>
                </c:pt>
                <c:pt idx="51">
                  <c:v>83.0974018545446</c:v>
                </c:pt>
                <c:pt idx="52">
                  <c:v>82.506346929038557</c:v>
                </c:pt>
                <c:pt idx="53">
                  <c:v>81.857627538204866</c:v>
                </c:pt>
                <c:pt idx="54">
                  <c:v>81.146069569794022</c:v>
                </c:pt>
                <c:pt idx="55">
                  <c:v>80.364653416725005</c:v>
                </c:pt>
                <c:pt idx="56">
                  <c:v>79.508459683437422</c:v>
                </c:pt>
                <c:pt idx="57">
                  <c:v>78.570804106275446</c:v>
                </c:pt>
                <c:pt idx="58">
                  <c:v>77.54612056162992</c:v>
                </c:pt>
                <c:pt idx="59">
                  <c:v>76.427290320832796</c:v>
                </c:pt>
                <c:pt idx="60">
                  <c:v>75.208591070042786</c:v>
                </c:pt>
                <c:pt idx="61">
                  <c:v>73.883677566933542</c:v>
                </c:pt>
                <c:pt idx="62">
                  <c:v>72.445870243297776</c:v>
                </c:pt>
                <c:pt idx="63">
                  <c:v>70.891167246460469</c:v>
                </c:pt>
                <c:pt idx="64">
                  <c:v>69.213766848484696</c:v>
                </c:pt>
                <c:pt idx="65">
                  <c:v>67.410794992231445</c:v>
                </c:pt>
                <c:pt idx="66">
                  <c:v>65.480120611638512</c:v>
                </c:pt>
                <c:pt idx="67">
                  <c:v>63.421909823304219</c:v>
                </c:pt>
                <c:pt idx="68">
                  <c:v>61.237681530968487</c:v>
                </c:pt>
                <c:pt idx="69">
                  <c:v>58.932741753938984</c:v>
                </c:pt>
                <c:pt idx="70">
                  <c:v>56.514245339050277</c:v>
                </c:pt>
                <c:pt idx="71">
                  <c:v>53.993326969109745</c:v>
                </c:pt>
                <c:pt idx="72">
                  <c:v>51.383087551782779</c:v>
                </c:pt>
                <c:pt idx="73">
                  <c:v>48.700570154736766</c:v>
                </c:pt>
                <c:pt idx="74">
                  <c:v>45.963778698827383</c:v>
                </c:pt>
                <c:pt idx="75">
                  <c:v>43.193425356881363</c:v>
                </c:pt>
                <c:pt idx="76">
                  <c:v>40.409930685303777</c:v>
                </c:pt>
                <c:pt idx="77">
                  <c:v>37.635097428128091</c:v>
                </c:pt>
                <c:pt idx="78">
                  <c:v>34.888654319452542</c:v>
                </c:pt>
                <c:pt idx="79">
                  <c:v>32.190189484853164</c:v>
                </c:pt>
                <c:pt idx="80">
                  <c:v>29.550543283309167</c:v>
                </c:pt>
                <c:pt idx="81">
                  <c:v>26.985846317312564</c:v>
                </c:pt>
                <c:pt idx="82">
                  <c:v>24.503531647417674</c:v>
                </c:pt>
                <c:pt idx="83">
                  <c:v>22.111322978198189</c:v>
                </c:pt>
                <c:pt idx="84">
                  <c:v>19.810307147760511</c:v>
                </c:pt>
                <c:pt idx="85">
                  <c:v>17.602010428745785</c:v>
                </c:pt>
                <c:pt idx="86">
                  <c:v>15.483926148559362</c:v>
                </c:pt>
                <c:pt idx="87">
                  <c:v>13.450916909788845</c:v>
                </c:pt>
                <c:pt idx="88">
                  <c:v>11.499380812174707</c:v>
                </c:pt>
                <c:pt idx="89">
                  <c:v>9.6211208836703008</c:v>
                </c:pt>
                <c:pt idx="90">
                  <c:v>7.8096028698755049</c:v>
                </c:pt>
                <c:pt idx="91">
                  <c:v>6.0570984604844114</c:v>
                </c:pt>
                <c:pt idx="92">
                  <c:v>4.3563317739481136</c:v>
                </c:pt>
                <c:pt idx="93">
                  <c:v>2.6996930342966721</c:v>
                </c:pt>
                <c:pt idx="94">
                  <c:v>2.2918692486749421</c:v>
                </c:pt>
                <c:pt idx="95">
                  <c:v>2.0875619103453573</c:v>
                </c:pt>
                <c:pt idx="96">
                  <c:v>1.8861492855397444</c:v>
                </c:pt>
                <c:pt idx="97">
                  <c:v>1.6829782012636656</c:v>
                </c:pt>
                <c:pt idx="98">
                  <c:v>1.4826676066714981</c:v>
                </c:pt>
                <c:pt idx="99">
                  <c:v>1.2805401428266805</c:v>
                </c:pt>
                <c:pt idx="100">
                  <c:v>1.0812420774678628</c:v>
                </c:pt>
                <c:pt idx="101">
                  <c:v>0.88022502052928075</c:v>
                </c:pt>
                <c:pt idx="102">
                  <c:v>0.68200509441720669</c:v>
                </c:pt>
                <c:pt idx="103">
                  <c:v>0.48186900529915988</c:v>
                </c:pt>
                <c:pt idx="104">
                  <c:v>0.28450491930007615</c:v>
                </c:pt>
                <c:pt idx="105">
                  <c:v>8.5328196269699674E-2</c:v>
                </c:pt>
                <c:pt idx="106">
                  <c:v>-0.11110288885467412</c:v>
                </c:pt>
                <c:pt idx="107">
                  <c:v>-0.30924829321952529</c:v>
                </c:pt>
                <c:pt idx="108">
                  <c:v>-0.50467531468720495</c:v>
                </c:pt>
                <c:pt idx="109">
                  <c:v>-0.70185637217082331</c:v>
                </c:pt>
                <c:pt idx="110">
                  <c:v>-0.89634325767806899</c:v>
                </c:pt>
                <c:pt idx="111">
                  <c:v>-1.0927470563400163</c:v>
                </c:pt>
                <c:pt idx="112">
                  <c:v>-1.2864744828900427</c:v>
                </c:pt>
                <c:pt idx="113">
                  <c:v>-1.4820125503867132</c:v>
                </c:pt>
                <c:pt idx="114">
                  <c:v>-1.6748929750302182</c:v>
                </c:pt>
                <c:pt idx="115">
                  <c:v>-1.8696050099373736</c:v>
                </c:pt>
                <c:pt idx="116">
                  <c:v>-2.0616754510342616</c:v>
                </c:pt>
                <c:pt idx="117">
                  <c:v>-2.2555926077751565</c:v>
                </c:pt>
                <c:pt idx="118">
                  <c:v>-2.4468816354157354</c:v>
                </c:pt>
                <c:pt idx="119">
                  <c:v>-2.6399105359357407</c:v>
                </c:pt>
                <c:pt idx="120">
                  <c:v>-2.8303254038970351</c:v>
                </c:pt>
                <c:pt idx="121">
                  <c:v>-3.0224902756374377</c:v>
                </c:pt>
                <c:pt idx="122">
                  <c:v>-3.2120525451296942</c:v>
                </c:pt>
                <c:pt idx="123">
                  <c:v>-3.4034793884402461</c:v>
                </c:pt>
                <c:pt idx="124">
                  <c:v>-3.5923095155511362</c:v>
                </c:pt>
                <c:pt idx="125">
                  <c:v>-3.7828901465137506</c:v>
                </c:pt>
                <c:pt idx="126">
                  <c:v>-3.9708805718292695</c:v>
                </c:pt>
                <c:pt idx="127">
                  <c:v>-4.1606151816223473</c:v>
                </c:pt>
                <c:pt idx="128">
                  <c:v>-4.3477636762181078</c:v>
                </c:pt>
                <c:pt idx="129">
                  <c:v>-4.5366447730939967</c:v>
                </c:pt>
                <c:pt idx="130">
                  <c:v>-4.722941502132187</c:v>
                </c:pt>
                <c:pt idx="131">
                  <c:v>-4.9109540981356474</c:v>
                </c:pt>
                <c:pt idx="132">
                  <c:v>-5.0039874215282225</c:v>
                </c:pt>
                <c:pt idx="133">
                  <c:v>-5.0963818060796484</c:v>
                </c:pt>
                <c:pt idx="134">
                  <c:v>-5.1903180688707664</c:v>
                </c:pt>
                <c:pt idx="135">
                  <c:v>-5.2835995266871691</c:v>
                </c:pt>
                <c:pt idx="136">
                  <c:v>-5.3762334626176198</c:v>
                </c:pt>
                <c:pt idx="137">
                  <c:v>-5.4682270042245875</c:v>
                </c:pt>
                <c:pt idx="138">
                  <c:v>-5.5616540516981274</c:v>
                </c:pt>
                <c:pt idx="139">
                  <c:v>-5.6544258963035645</c:v>
                </c:pt>
                <c:pt idx="140">
                  <c:v>-5.7465496863256078</c:v>
                </c:pt>
                <c:pt idx="141">
                  <c:v>-5.838032418887849</c:v>
                </c:pt>
                <c:pt idx="142">
                  <c:v>-5.9310276309453229</c:v>
                </c:pt>
                <c:pt idx="143">
                  <c:v>-6.0233653949482857</c:v>
                </c:pt>
                <c:pt idx="144">
                  <c:v>-6.1150527537183734</c:v>
                </c:pt>
                <c:pt idx="145">
                  <c:v>-6.2060966026566007</c:v>
                </c:pt>
                <c:pt idx="146">
                  <c:v>-6.2985904021162469</c:v>
                </c:pt>
                <c:pt idx="147">
                  <c:v>-6.3904246839405232</c:v>
                </c:pt>
                <c:pt idx="148">
                  <c:v>-6.4816063823760715</c:v>
                </c:pt>
                <c:pt idx="149">
                  <c:v>-6.5721422882851641</c:v>
                </c:pt>
                <c:pt idx="150">
                  <c:v>-6.66411008376636</c:v>
                </c:pt>
                <c:pt idx="151">
                  <c:v>-6.7554158180558375</c:v>
                </c:pt>
                <c:pt idx="152">
                  <c:v>-6.8460663250517086</c:v>
                </c:pt>
                <c:pt idx="153">
                  <c:v>-6.9360682992869442</c:v>
                </c:pt>
                <c:pt idx="154">
                  <c:v>-7.0275241966427018</c:v>
                </c:pt>
                <c:pt idx="155">
                  <c:v>-7.1183144305967403</c:v>
                </c:pt>
                <c:pt idx="156">
                  <c:v>-7.2084457524912295</c:v>
                </c:pt>
                <c:pt idx="157">
                  <c:v>-7.2979247780538117</c:v>
                </c:pt>
                <c:pt idx="158">
                  <c:v>-7.3888342341817008</c:v>
                </c:pt>
                <c:pt idx="159">
                  <c:v>-7.4790740346583391</c:v>
                </c:pt>
                <c:pt idx="160">
                  <c:v>-7.5686508563453572</c:v>
                </c:pt>
                <c:pt idx="161">
                  <c:v>-7.6575712442456449</c:v>
                </c:pt>
                <c:pt idx="162">
                  <c:v>-7.7478573209450587</c:v>
                </c:pt>
                <c:pt idx="163">
                  <c:v>-7.837469974548867</c:v>
                </c:pt>
                <c:pt idx="164">
                  <c:v>-7.926415807376145</c:v>
                </c:pt>
                <c:pt idx="165">
                  <c:v>-8.0147012938579394</c:v>
                </c:pt>
                <c:pt idx="166">
                  <c:v>-8.1044040235181853</c:v>
                </c:pt>
                <c:pt idx="167">
                  <c:v>-8.1934280378515041</c:v>
                </c:pt>
                <c:pt idx="168">
                  <c:v>-8.2817798911318903</c:v>
                </c:pt>
                <c:pt idx="169">
                  <c:v>-8.3694660132481999</c:v>
                </c:pt>
                <c:pt idx="170">
                  <c:v>-8.4583530579404851</c:v>
                </c:pt>
                <c:pt idx="171">
                  <c:v>-8.5465586733150758</c:v>
                </c:pt>
                <c:pt idx="172">
                  <c:v>-8.6340893338665978</c:v>
                </c:pt>
                <c:pt idx="173">
                  <c:v>-8.7209513941995453</c:v>
                </c:pt>
                <c:pt idx="174">
                  <c:v>-8.8093156883450945</c:v>
                </c:pt>
                <c:pt idx="175">
                  <c:v>-8.896990401715243</c:v>
                </c:pt>
                <c:pt idx="176">
                  <c:v>-8.9839820124336427</c:v>
                </c:pt>
                <c:pt idx="177">
                  <c:v>-9.0702968813785958</c:v>
                </c:pt>
                <c:pt idx="178">
                  <c:v>-9.1580388707964175</c:v>
                </c:pt>
                <c:pt idx="179">
                  <c:v>-9.2450835838582464</c:v>
                </c:pt>
                <c:pt idx="180">
                  <c:v>-9.3314375019789964</c:v>
                </c:pt>
                <c:pt idx="181">
                  <c:v>-9.4171069922166168</c:v>
                </c:pt>
                <c:pt idx="182">
                  <c:v>-9.5037912621258158</c:v>
                </c:pt>
                <c:pt idx="183">
                  <c:v>-9.5897764855076844</c:v>
                </c:pt>
                <c:pt idx="184">
                  <c:v>-9.6750690731293503</c:v>
                </c:pt>
                <c:pt idx="185">
                  <c:v>-9.7596753261765912</c:v>
                </c:pt>
                <c:pt idx="186">
                  <c:v>-9.8458957603943418</c:v>
                </c:pt>
                <c:pt idx="187">
                  <c:v>-9.9314048066712246</c:v>
                </c:pt>
                <c:pt idx="188">
                  <c:v>-10.016208959313389</c:v>
                </c:pt>
                <c:pt idx="189">
                  <c:v>-10.10031460449153</c:v>
                </c:pt>
                <c:pt idx="190">
                  <c:v>-10.18531319194642</c:v>
                </c:pt>
                <c:pt idx="191">
                  <c:v>-10.269599418955153</c:v>
                </c:pt>
                <c:pt idx="192">
                  <c:v>-10.353179718065746</c:v>
                </c:pt>
                <c:pt idx="193">
                  <c:v>-10.436060418496879</c:v>
                </c:pt>
                <c:pt idx="194">
                  <c:v>-10.520393201732759</c:v>
                </c:pt>
                <c:pt idx="195">
                  <c:v>-10.604002407023359</c:v>
                </c:pt>
                <c:pt idx="196">
                  <c:v>-10.68689455493913</c:v>
                </c:pt>
                <c:pt idx="197">
                  <c:v>-10.769076064435069</c:v>
                </c:pt>
                <c:pt idx="198">
                  <c:v>-10.852329594649916</c:v>
                </c:pt>
                <c:pt idx="199">
                  <c:v>-10.93485426405897</c:v>
                </c:pt>
                <c:pt idx="200">
                  <c:v>-11.016656612769424</c:v>
                </c:pt>
                <c:pt idx="201">
                  <c:v>-11.097743082536368</c:v>
                </c:pt>
                <c:pt idx="202">
                  <c:v>-11.179834663801415</c:v>
                </c:pt>
                <c:pt idx="203">
                  <c:v>-11.261192640876516</c:v>
                </c:pt>
                <c:pt idx="204">
                  <c:v>-11.341823578949743</c:v>
                </c:pt>
                <c:pt idx="205">
                  <c:v>-11.42173394804513</c:v>
                </c:pt>
                <c:pt idx="206">
                  <c:v>-11.502859593091955</c:v>
                </c:pt>
                <c:pt idx="207">
                  <c:v>-11.583242417812528</c:v>
                </c:pt>
                <c:pt idx="208">
                  <c:v>-11.662889085831267</c:v>
                </c:pt>
                <c:pt idx="209">
                  <c:v>-11.74180616742845</c:v>
                </c:pt>
                <c:pt idx="210">
                  <c:v>-11.82212505071837</c:v>
                </c:pt>
                <c:pt idx="211">
                  <c:v>-11.90168772867375</c:v>
                </c:pt>
                <c:pt idx="212">
                  <c:v>-11.98050103395795</c:v>
                </c:pt>
                <c:pt idx="213">
                  <c:v>-12.058571706497077</c:v>
                </c:pt>
                <c:pt idx="214">
                  <c:v>-12.137440514790399</c:v>
                </c:pt>
                <c:pt idx="215">
                  <c:v>-12.215550667314886</c:v>
                </c:pt>
                <c:pt idx="216">
                  <c:v>-12.292909033282029</c:v>
                </c:pt>
                <c:pt idx="217">
                  <c:v>-12.369522392168307</c:v>
                </c:pt>
                <c:pt idx="218">
                  <c:v>-12.447118928917263</c:v>
                </c:pt>
                <c:pt idx="219">
                  <c:v>-12.52395016600255</c:v>
                </c:pt>
                <c:pt idx="220">
                  <c:v>-12.600023081460648</c:v>
                </c:pt>
                <c:pt idx="221">
                  <c:v>-12.675344565249219</c:v>
                </c:pt>
                <c:pt idx="222">
                  <c:v>-12.751575529703899</c:v>
                </c:pt>
                <c:pt idx="223">
                  <c:v>-12.827035475591401</c:v>
                </c:pt>
                <c:pt idx="224">
                  <c:v>-12.901731493305221</c:v>
                </c:pt>
                <c:pt idx="225">
                  <c:v>-12.975670586672322</c:v>
                </c:pt>
                <c:pt idx="226">
                  <c:v>-13.050674182617655</c:v>
                </c:pt>
                <c:pt idx="227">
                  <c:v>-13.124897284227018</c:v>
                </c:pt>
                <c:pt idx="228">
                  <c:v>-13.198347163202499</c:v>
                </c:pt>
                <c:pt idx="229">
                  <c:v>-13.27103100497979</c:v>
                </c:pt>
                <c:pt idx="230">
                  <c:v>-13.417571148632703</c:v>
                </c:pt>
                <c:pt idx="231">
                  <c:v>-13.48966554841374</c:v>
                </c:pt>
                <c:pt idx="232">
                  <c:v>-13.560986020078644</c:v>
                </c:pt>
                <c:pt idx="233">
                  <c:v>-13.633205459845982</c:v>
                </c:pt>
                <c:pt idx="234">
                  <c:v>-13.704629151347348</c:v>
                </c:pt>
                <c:pt idx="235">
                  <c:v>-13.775264732876565</c:v>
                </c:pt>
                <c:pt idx="236">
                  <c:v>-13.845119756641395</c:v>
                </c:pt>
                <c:pt idx="237">
                  <c:v>-13.915595402677752</c:v>
                </c:pt>
                <c:pt idx="238">
                  <c:v>-13.985274112337379</c:v>
                </c:pt>
                <c:pt idx="239">
                  <c:v>-14.054163642055045</c:v>
                </c:pt>
                <c:pt idx="240">
                  <c:v>-14.122271662947043</c:v>
                </c:pt>
                <c:pt idx="241">
                  <c:v>-14.191317292901232</c:v>
                </c:pt>
                <c:pt idx="242">
                  <c:v>-14.259557015147664</c:v>
                </c:pt>
                <c:pt idx="243">
                  <c:v>-14.326998836466856</c:v>
                </c:pt>
                <c:pt idx="244">
                  <c:v>-14.393650676913211</c:v>
                </c:pt>
                <c:pt idx="245">
                  <c:v>-14.460971288633175</c:v>
                </c:pt>
                <c:pt idx="246">
                  <c:v>-14.527482982059865</c:v>
                </c:pt>
                <c:pt idx="247">
                  <c:v>-14.593193945741405</c:v>
                </c:pt>
                <c:pt idx="248">
                  <c:v>-14.658112280827794</c:v>
                </c:pt>
                <c:pt idx="249">
                  <c:v>-14.72380050505231</c:v>
                </c:pt>
                <c:pt idx="250">
                  <c:v>-14.788673899958951</c:v>
                </c:pt>
                <c:pt idx="251">
                  <c:v>-14.852740899416972</c:v>
                </c:pt>
                <c:pt idx="252">
                  <c:v>-14.916009848030967</c:v>
                </c:pt>
                <c:pt idx="253">
                  <c:v>-14.979802838039859</c:v>
                </c:pt>
                <c:pt idx="254">
                  <c:v>-15.042780949320644</c:v>
                </c:pt>
                <c:pt idx="255">
                  <c:v>-15.104952789544313</c:v>
                </c:pt>
                <c:pt idx="256">
                  <c:v>-15.166326875938552</c:v>
                </c:pt>
                <c:pt idx="257">
                  <c:v>-15.228470775930731</c:v>
                </c:pt>
                <c:pt idx="258">
                  <c:v>-15.289792927356842</c:v>
                </c:pt>
                <c:pt idx="259">
                  <c:v>-15.350302239746469</c:v>
                </c:pt>
                <c:pt idx="260">
                  <c:v>-15.410007528873479</c:v>
                </c:pt>
                <c:pt idx="261">
                  <c:v>-15.470247206552898</c:v>
                </c:pt>
                <c:pt idx="262">
                  <c:v>-15.529664256947314</c:v>
                </c:pt>
                <c:pt idx="263">
                  <c:v>-15.588267815827578</c:v>
                </c:pt>
                <c:pt idx="264">
                  <c:v>-15.646066922589455</c:v>
                </c:pt>
                <c:pt idx="265">
                  <c:v>-15.704328300871026</c:v>
                </c:pt>
                <c:pt idx="266">
                  <c:v>-15.761767875436874</c:v>
                </c:pt>
                <c:pt idx="267">
                  <c:v>-15.818394998667316</c:v>
                </c:pt>
                <c:pt idx="268">
                  <c:v>-15.87421892370071</c:v>
                </c:pt>
                <c:pt idx="269">
                  <c:v>-15.930568284291127</c:v>
                </c:pt>
                <c:pt idx="270">
                  <c:v>-15.986094508663768</c:v>
                </c:pt>
                <c:pt idx="271">
                  <c:v>-16.04080722204705</c:v>
                </c:pt>
                <c:pt idx="272">
                  <c:v>-16.094715946362612</c:v>
                </c:pt>
                <c:pt idx="273">
                  <c:v>-16.149073279103561</c:v>
                </c:pt>
                <c:pt idx="274">
                  <c:v>-16.202608113870326</c:v>
                </c:pt>
                <c:pt idx="275">
                  <c:v>-16.255330334843904</c:v>
                </c:pt>
                <c:pt idx="276">
                  <c:v>-16.307249718607295</c:v>
                </c:pt>
                <c:pt idx="277">
                  <c:v>-16.35942783034065</c:v>
                </c:pt>
                <c:pt idx="278">
                  <c:v>-16.410789709209581</c:v>
                </c:pt>
                <c:pt idx="279">
                  <c:v>-16.461345414536112</c:v>
                </c:pt>
                <c:pt idx="280">
                  <c:v>-16.511104894551437</c:v>
                </c:pt>
                <c:pt idx="281">
                  <c:v>-16.561393725015307</c:v>
                </c:pt>
                <c:pt idx="282">
                  <c:v>-16.610863528554006</c:v>
                </c:pt>
                <c:pt idx="283">
                  <c:v>-16.659524726747946</c:v>
                </c:pt>
                <c:pt idx="284">
                  <c:v>-16.707387623385102</c:v>
                </c:pt>
                <c:pt idx="285">
                  <c:v>-16.75538567526155</c:v>
                </c:pt>
                <c:pt idx="286">
                  <c:v>-16.802574806801346</c:v>
                </c:pt>
                <c:pt idx="287">
                  <c:v>-16.848965575766726</c:v>
                </c:pt>
                <c:pt idx="288">
                  <c:v>-16.894568418370994</c:v>
                </c:pt>
                <c:pt idx="289">
                  <c:v>-16.94054270016818</c:v>
                </c:pt>
                <c:pt idx="290">
                  <c:v>-16.985709637219799</c:v>
                </c:pt>
                <c:pt idx="291">
                  <c:v>-17.030080106903284</c:v>
                </c:pt>
                <c:pt idx="292">
                  <c:v>-17.073664858029218</c:v>
                </c:pt>
                <c:pt idx="293">
                  <c:v>-17.117454732033593</c:v>
                </c:pt>
                <c:pt idx="294">
                  <c:v>-17.160444510023382</c:v>
                </c:pt>
                <c:pt idx="295">
                  <c:v>-17.202645294949974</c:v>
                </c:pt>
                <c:pt idx="296">
                  <c:v>-17.244068055168441</c:v>
                </c:pt>
                <c:pt idx="297">
                  <c:v>-17.285633147793675</c:v>
                </c:pt>
                <c:pt idx="298">
                  <c:v>-17.326407445542941</c:v>
                </c:pt>
                <c:pt idx="299">
                  <c:v>-17.366402250083325</c:v>
                </c:pt>
                <c:pt idx="300">
                  <c:v>-17.405628722442003</c:v>
                </c:pt>
                <c:pt idx="301">
                  <c:v>-17.444939139499326</c:v>
                </c:pt>
                <c:pt idx="302">
                  <c:v>-17.483470041045564</c:v>
                </c:pt>
                <c:pt idx="303">
                  <c:v>-17.521232898941577</c:v>
                </c:pt>
                <c:pt idx="304">
                  <c:v>-17.558239038410818</c:v>
                </c:pt>
                <c:pt idx="305">
                  <c:v>-17.595416079554269</c:v>
                </c:pt>
                <c:pt idx="306">
                  <c:v>-17.631820915481939</c:v>
                </c:pt>
                <c:pt idx="307">
                  <c:v>-17.667465291926334</c:v>
                </c:pt>
                <c:pt idx="308">
                  <c:v>-17.702360799747538</c:v>
                </c:pt>
                <c:pt idx="309">
                  <c:v>-17.737230831420163</c:v>
                </c:pt>
                <c:pt idx="310">
                  <c:v>-17.771344038225294</c:v>
                </c:pt>
                <c:pt idx="311">
                  <c:v>-17.804712271100726</c:v>
                </c:pt>
                <c:pt idx="312">
                  <c:v>-17.837347220385624</c:v>
                </c:pt>
                <c:pt idx="313">
                  <c:v>-17.870029868063597</c:v>
                </c:pt>
                <c:pt idx="314">
                  <c:v>-17.901967351899401</c:v>
                </c:pt>
                <c:pt idx="315">
                  <c:v>-17.933171726853629</c:v>
                </c:pt>
                <c:pt idx="316">
                  <c:v>-17.963654879361627</c:v>
                </c:pt>
                <c:pt idx="317">
                  <c:v>-17.994128873586277</c:v>
                </c:pt>
                <c:pt idx="318">
                  <c:v>-18.02387157522125</c:v>
                </c:pt>
                <c:pt idx="319">
                  <c:v>-18.052895204475249</c:v>
                </c:pt>
                <c:pt idx="320">
                  <c:v>-18.081211805361448</c:v>
                </c:pt>
                <c:pt idx="321">
                  <c:v>-18.109467430020572</c:v>
                </c:pt>
                <c:pt idx="322">
                  <c:v>-18.137007718110311</c:v>
                </c:pt>
                <c:pt idx="323">
                  <c:v>-18.163845015092221</c:v>
                </c:pt>
                <c:pt idx="324">
                  <c:v>-18.189991482899558</c:v>
                </c:pt>
                <c:pt idx="325">
                  <c:v>-18.216030115153728</c:v>
                </c:pt>
                <c:pt idx="326">
                  <c:v>-18.241371313841057</c:v>
                </c:pt>
                <c:pt idx="327">
                  <c:v>-18.266027508877329</c:v>
                </c:pt>
                <c:pt idx="328">
                  <c:v>-18.290010939732724</c:v>
                </c:pt>
                <c:pt idx="329">
                  <c:v>-18.313883811792238</c:v>
                </c:pt>
                <c:pt idx="330">
                  <c:v>-18.337076704534439</c:v>
                </c:pt>
                <c:pt idx="331">
                  <c:v>-18.359602153330286</c:v>
                </c:pt>
                <c:pt idx="332">
                  <c:v>-18.381472495369394</c:v>
                </c:pt>
                <c:pt idx="333">
                  <c:v>-18.403153527855579</c:v>
                </c:pt>
                <c:pt idx="334">
                  <c:v>-18.424176125265802</c:v>
                </c:pt>
                <c:pt idx="335">
                  <c:v>-18.444552822435327</c:v>
                </c:pt>
                <c:pt idx="336">
                  <c:v>-18.464295950161471</c:v>
                </c:pt>
                <c:pt idx="337">
                  <c:v>-18.483878606112683</c:v>
                </c:pt>
                <c:pt idx="338">
                  <c:v>-18.50282181329726</c:v>
                </c:pt>
                <c:pt idx="339">
                  <c:v>-18.521138184478531</c:v>
                </c:pt>
                <c:pt idx="340">
                  <c:v>-18.538840120482263</c:v>
                </c:pt>
                <c:pt idx="341">
                  <c:v>-18.556341620165199</c:v>
                </c:pt>
                <c:pt idx="342">
                  <c:v>-18.573224580512033</c:v>
                </c:pt>
                <c:pt idx="343">
                  <c:v>-18.589501643753209</c:v>
                </c:pt>
                <c:pt idx="344">
                  <c:v>-18.605185232976311</c:v>
                </c:pt>
                <c:pt idx="345">
                  <c:v>-18.620610504098437</c:v>
                </c:pt>
                <c:pt idx="346">
                  <c:v>-18.635441674572348</c:v>
                </c:pt>
                <c:pt idx="347">
                  <c:v>-18.649691310999458</c:v>
                </c:pt>
                <c:pt idx="348">
                  <c:v>-18.66337175576561</c:v>
                </c:pt>
                <c:pt idx="349">
                  <c:v>-18.676808354515572</c:v>
                </c:pt>
                <c:pt idx="350">
                  <c:v>-18.689673171283545</c:v>
                </c:pt>
                <c:pt idx="351">
                  <c:v>-18.701978765366192</c:v>
                </c:pt>
                <c:pt idx="352">
                  <c:v>-18.713737464869666</c:v>
                </c:pt>
                <c:pt idx="353">
                  <c:v>-18.725222186327528</c:v>
                </c:pt>
                <c:pt idx="354">
                  <c:v>-18.736159086619608</c:v>
                </c:pt>
                <c:pt idx="355">
                  <c:v>-18.746560667477326</c:v>
                </c:pt>
                <c:pt idx="356">
                  <c:v>-18.756439193378299</c:v>
                </c:pt>
                <c:pt idx="357">
                  <c:v>-18.766005325778082</c:v>
                </c:pt>
                <c:pt idx="358">
                  <c:v>-18.775050496205807</c:v>
                </c:pt>
                <c:pt idx="359">
                  <c:v>-18.783587047782049</c:v>
                </c:pt>
                <c:pt idx="360">
                  <c:v>-18.791627082643174</c:v>
                </c:pt>
                <c:pt idx="361">
                  <c:v>-18.799359267130598</c:v>
                </c:pt>
                <c:pt idx="362">
                  <c:v>-18.806595570734828</c:v>
                </c:pt>
                <c:pt idx="363">
                  <c:v>-18.813348236922081</c:v>
                </c:pt>
                <c:pt idx="364">
                  <c:v>-18.819629262713931</c:v>
                </c:pt>
                <c:pt idx="365">
                  <c:v>-18.825574627150701</c:v>
                </c:pt>
                <c:pt idx="366">
                  <c:v>-18.831051738933951</c:v>
                </c:pt>
                <c:pt idx="367">
                  <c:v>-18.83607264374487</c:v>
                </c:pt>
                <c:pt idx="368">
                  <c:v>-18.840649137795964</c:v>
                </c:pt>
                <c:pt idx="369">
                  <c:v>-18.844888785030861</c:v>
                </c:pt>
                <c:pt idx="370">
                  <c:v>-18.848686299367643</c:v>
                </c:pt>
                <c:pt idx="371">
                  <c:v>-18.852053580378907</c:v>
                </c:pt>
                <c:pt idx="372">
                  <c:v>-18.855002273551804</c:v>
                </c:pt>
                <c:pt idx="373">
                  <c:v>-18.857596470345385</c:v>
                </c:pt>
                <c:pt idx="374">
                  <c:v>-18.859776827198289</c:v>
                </c:pt>
                <c:pt idx="375">
                  <c:v>-18.861555003467743</c:v>
                </c:pt>
                <c:pt idx="376">
                  <c:v>-18.862942402322631</c:v>
                </c:pt>
                <c:pt idx="377">
                  <c:v>-18.863970311400436</c:v>
                </c:pt>
                <c:pt idx="378">
                  <c:v>-18.864611382700076</c:v>
                </c:pt>
                <c:pt idx="379">
                  <c:v>-18.864877080416477</c:v>
                </c:pt>
                <c:pt idx="380">
                  <c:v>-18.864778609006947</c:v>
                </c:pt>
                <c:pt idx="381">
                  <c:v>-18.864313396202704</c:v>
                </c:pt>
                <c:pt idx="382">
                  <c:v>-18.863491002430379</c:v>
                </c:pt>
                <c:pt idx="383">
                  <c:v>-18.862322566809695</c:v>
                </c:pt>
                <c:pt idx="384">
                  <c:v>-18.860818969011859</c:v>
                </c:pt>
                <c:pt idx="385">
                  <c:v>-18.858941496237151</c:v>
                </c:pt>
                <c:pt idx="386">
                  <c:v>-18.856734365779005</c:v>
                </c:pt>
                <c:pt idx="387">
                  <c:v>-18.854208475010466</c:v>
                </c:pt>
                <c:pt idx="388">
                  <c:v>-18.851374459521168</c:v>
                </c:pt>
                <c:pt idx="389">
                  <c:v>-18.84816732988088</c:v>
                </c:pt>
                <c:pt idx="390">
                  <c:v>-18.844659456636208</c:v>
                </c:pt>
                <c:pt idx="391">
                  <c:v>-18.840861412861443</c:v>
                </c:pt>
                <c:pt idx="392">
                  <c:v>-18.836783510077709</c:v>
                </c:pt>
                <c:pt idx="393">
                  <c:v>-18.83233513938751</c:v>
                </c:pt>
                <c:pt idx="394">
                  <c:v>-18.827615188878582</c:v>
                </c:pt>
                <c:pt idx="395">
                  <c:v>-18.822633871245017</c:v>
                </c:pt>
                <c:pt idx="396">
                  <c:v>-18.817401139087508</c:v>
                </c:pt>
                <c:pt idx="397">
                  <c:v>-18.811790859828761</c:v>
                </c:pt>
                <c:pt idx="398">
                  <c:v>-18.805937137450741</c:v>
                </c:pt>
                <c:pt idx="399">
                  <c:v>-18.79984985847085</c:v>
                </c:pt>
                <c:pt idx="400">
                  <c:v>-18.793538649643665</c:v>
                </c:pt>
                <c:pt idx="401">
                  <c:v>-18.786863171000363</c:v>
                </c:pt>
                <c:pt idx="402">
                  <c:v>-18.779973094245832</c:v>
                </c:pt>
                <c:pt idx="403">
                  <c:v>-18.77287791104817</c:v>
                </c:pt>
                <c:pt idx="404">
                  <c:v>-18.765586856090493</c:v>
                </c:pt>
                <c:pt idx="405">
                  <c:v>-18.757933437956751</c:v>
                </c:pt>
                <c:pt idx="406">
                  <c:v>-18.750093725981714</c:v>
                </c:pt>
                <c:pt idx="407">
                  <c:v>-18.742076818183847</c:v>
                </c:pt>
                <c:pt idx="408">
                  <c:v>-18.733891558454189</c:v>
                </c:pt>
                <c:pt idx="409">
                  <c:v>-18.725346623523819</c:v>
                </c:pt>
                <c:pt idx="410">
                  <c:v>-18.716643220386572</c:v>
                </c:pt>
                <c:pt idx="411">
                  <c:v>-18.707790052307303</c:v>
                </c:pt>
                <c:pt idx="412">
                  <c:v>-18.698795571431447</c:v>
                </c:pt>
                <c:pt idx="413">
                  <c:v>-18.689454872611208</c:v>
                </c:pt>
                <c:pt idx="414">
                  <c:v>-18.679983358801906</c:v>
                </c:pt>
                <c:pt idx="415">
                  <c:v>-18.67038931023589</c:v>
                </c:pt>
                <c:pt idx="416">
                  <c:v>-18.660680760256724</c:v>
                </c:pt>
                <c:pt idx="417">
                  <c:v>-18.650631777337139</c:v>
                </c:pt>
                <c:pt idx="418">
                  <c:v>-18.640479076775875</c:v>
                </c:pt>
                <c:pt idx="419">
                  <c:v>-18.630230515770052</c:v>
                </c:pt>
                <c:pt idx="420">
                  <c:v>-18.619893709031288</c:v>
                </c:pt>
                <c:pt idx="421">
                  <c:v>-18.609244603524928</c:v>
                </c:pt>
                <c:pt idx="422">
                  <c:v>-18.598518643709298</c:v>
                </c:pt>
                <c:pt idx="423">
                  <c:v>-18.587723219173881</c:v>
                </c:pt>
                <c:pt idx="424">
                  <c:v>-18.576865483493094</c:v>
                </c:pt>
                <c:pt idx="425">
                  <c:v>-18.565683188687643</c:v>
                </c:pt>
                <c:pt idx="426">
                  <c:v>-18.554449952545923</c:v>
                </c:pt>
                <c:pt idx="427">
                  <c:v>-18.543172742565844</c:v>
                </c:pt>
                <c:pt idx="428">
                  <c:v>-18.53185829500984</c:v>
                </c:pt>
                <c:pt idx="429">
                  <c:v>-18.520251249630235</c:v>
                </c:pt>
                <c:pt idx="430">
                  <c:v>-18.508618781355239</c:v>
                </c:pt>
                <c:pt idx="431">
                  <c:v>-18.496967395566884</c:v>
                </c:pt>
                <c:pt idx="432">
                  <c:v>-18.485303373185502</c:v>
                </c:pt>
                <c:pt idx="433">
                  <c:v>-18.473369748216896</c:v>
                </c:pt>
                <c:pt idx="434">
                  <c:v>-18.461435503715677</c:v>
                </c:pt>
                <c:pt idx="435">
                  <c:v>-18.449506670280272</c:v>
                </c:pt>
                <c:pt idx="436">
                  <c:v>-18.437589061754011</c:v>
                </c:pt>
                <c:pt idx="437">
                  <c:v>-18.425404400067947</c:v>
                </c:pt>
                <c:pt idx="438">
                  <c:v>-18.413243173222867</c:v>
                </c:pt>
                <c:pt idx="439">
                  <c:v>-18.401110958453586</c:v>
                </c:pt>
                <c:pt idx="440">
                  <c:v>-18.389013123277749</c:v>
                </c:pt>
                <c:pt idx="441">
                  <c:v>-18.376674164435087</c:v>
                </c:pt>
                <c:pt idx="442">
                  <c:v>-18.364381935741505</c:v>
                </c:pt>
                <c:pt idx="443">
                  <c:v>-18.352141549824665</c:v>
                </c:pt>
                <c:pt idx="444">
                  <c:v>-18.339957917548929</c:v>
                </c:pt>
                <c:pt idx="445">
                  <c:v>-18.327560278754959</c:v>
                </c:pt>
                <c:pt idx="446">
                  <c:v>-18.315231783072591</c:v>
                </c:pt>
                <c:pt idx="447">
                  <c:v>-18.302977072015665</c:v>
                </c:pt>
                <c:pt idx="448">
                  <c:v>-18.290800594072834</c:v>
                </c:pt>
                <c:pt idx="449">
                  <c:v>-18.278417486078496</c:v>
                </c:pt>
                <c:pt idx="450">
                  <c:v>-18.266125258765186</c:v>
                </c:pt>
                <c:pt idx="451">
                  <c:v>-18.253928100984126</c:v>
                </c:pt>
                <c:pt idx="452">
                  <c:v>-18.24183001674146</c:v>
                </c:pt>
                <c:pt idx="453">
                  <c:v>-18.22956502814182</c:v>
                </c:pt>
                <c:pt idx="454">
                  <c:v>-18.21741154474023</c:v>
                </c:pt>
                <c:pt idx="455">
                  <c:v>-18.205373289208268</c:v>
                </c:pt>
                <c:pt idx="456">
                  <c:v>-18.193453808858749</c:v>
                </c:pt>
                <c:pt idx="457">
                  <c:v>-18.181378023060205</c:v>
                </c:pt>
                <c:pt idx="458">
                  <c:v>-18.169433703865451</c:v>
                </c:pt>
                <c:pt idx="459">
                  <c:v>-18.157624125940998</c:v>
                </c:pt>
                <c:pt idx="460">
                  <c:v>-18.145952397536547</c:v>
                </c:pt>
                <c:pt idx="461">
                  <c:v>-18.134155855204483</c:v>
                </c:pt>
                <c:pt idx="462">
                  <c:v>-18.122509703448543</c:v>
                </c:pt>
                <c:pt idx="463">
                  <c:v>-18.111016769617436</c:v>
                </c:pt>
                <c:pt idx="464">
                  <c:v>-18.099679724162911</c:v>
                </c:pt>
                <c:pt idx="465">
                  <c:v>-18.088241006543086</c:v>
                </c:pt>
                <c:pt idx="466">
                  <c:v>-18.076970751753493</c:v>
                </c:pt>
                <c:pt idx="467">
                  <c:v>-18.065871349726564</c:v>
                </c:pt>
                <c:pt idx="468">
                  <c:v>-18.054945043019728</c:v>
                </c:pt>
                <c:pt idx="469">
                  <c:v>-18.043949791660566</c:v>
                </c:pt>
                <c:pt idx="470">
                  <c:v>-18.033139953303134</c:v>
                </c:pt>
                <c:pt idx="471">
                  <c:v>-18.022517486003892</c:v>
                </c:pt>
                <c:pt idx="472">
                  <c:v>-18.012084210376571</c:v>
                </c:pt>
                <c:pt idx="473">
                  <c:v>-18.001599567299706</c:v>
                </c:pt>
                <c:pt idx="474">
                  <c:v>-17.991316704604145</c:v>
                </c:pt>
                <c:pt idx="475">
                  <c:v>-17.981237163871185</c:v>
                </c:pt>
                <c:pt idx="476">
                  <c:v>-17.97136235872216</c:v>
                </c:pt>
                <c:pt idx="477">
                  <c:v>-17.961470537597478</c:v>
                </c:pt>
                <c:pt idx="478">
                  <c:v>-17.951795721204491</c:v>
                </c:pt>
                <c:pt idx="479">
                  <c:v>-17.942339042145676</c:v>
                </c:pt>
                <c:pt idx="480">
                  <c:v>-17.933101514883532</c:v>
                </c:pt>
                <c:pt idx="481">
                  <c:v>-17.923881085665613</c:v>
                </c:pt>
                <c:pt idx="482">
                  <c:v>-17.914891701877309</c:v>
                </c:pt>
                <c:pt idx="483">
                  <c:v>-17.906134097812668</c:v>
                </c:pt>
                <c:pt idx="484">
                  <c:v>-17.897608899656319</c:v>
                </c:pt>
                <c:pt idx="485">
                  <c:v>-17.889128811273991</c:v>
                </c:pt>
                <c:pt idx="486">
                  <c:v>-17.880892933003736</c:v>
                </c:pt>
                <c:pt idx="487">
                  <c:v>-17.872901614855039</c:v>
                </c:pt>
                <c:pt idx="488">
                  <c:v>-17.865155108588823</c:v>
                </c:pt>
                <c:pt idx="489">
                  <c:v>-17.857477831278942</c:v>
                </c:pt>
                <c:pt idx="490">
                  <c:v>-17.850057408606091</c:v>
                </c:pt>
                <c:pt idx="491">
                  <c:v>-17.84289382002865</c:v>
                </c:pt>
                <c:pt idx="492">
                  <c:v>-17.835986956217369</c:v>
                </c:pt>
                <c:pt idx="493">
                  <c:v>-17.829184913992094</c:v>
                </c:pt>
                <c:pt idx="494">
                  <c:v>-17.822651186420586</c:v>
                </c:pt>
                <c:pt idx="495">
                  <c:v>-17.816385395432064</c:v>
                </c:pt>
                <c:pt idx="496">
                  <c:v>-17.810387083726454</c:v>
                </c:pt>
                <c:pt idx="497">
                  <c:v>-17.804524842345359</c:v>
                </c:pt>
                <c:pt idx="498">
                  <c:v>-17.798941534508373</c:v>
                </c:pt>
                <c:pt idx="499">
                  <c:v>-17.793636438503057</c:v>
                </c:pt>
                <c:pt idx="500">
                  <c:v>-17.788608762762578</c:v>
                </c:pt>
                <c:pt idx="501">
                  <c:v>-17.783749353755269</c:v>
                </c:pt>
                <c:pt idx="502">
                  <c:v>-17.77917866686974</c:v>
                </c:pt>
                <c:pt idx="503">
                  <c:v>-17.774895650665172</c:v>
                </c:pt>
                <c:pt idx="504">
                  <c:v>-17.770899193027361</c:v>
                </c:pt>
                <c:pt idx="505">
                  <c:v>-17.767106286006964</c:v>
                </c:pt>
                <c:pt idx="506">
                  <c:v>-17.763610709903162</c:v>
                </c:pt>
                <c:pt idx="507">
                  <c:v>-17.760411100047321</c:v>
                </c:pt>
                <c:pt idx="508">
                  <c:v>-17.757506040197939</c:v>
                </c:pt>
                <c:pt idx="509">
                  <c:v>-17.754837317710212</c:v>
                </c:pt>
                <c:pt idx="510">
                  <c:v>-17.75247372724678</c:v>
                </c:pt>
                <c:pt idx="511">
                  <c:v>-17.750413605995504</c:v>
                </c:pt>
                <c:pt idx="512">
                  <c:v>-17.748655248402201</c:v>
                </c:pt>
                <c:pt idx="513">
                  <c:v>-17.747165957602988</c:v>
                </c:pt>
                <c:pt idx="514">
                  <c:v>-17.745989168881408</c:v>
                </c:pt>
                <c:pt idx="515">
                  <c:v>-17.745122932820721</c:v>
                </c:pt>
                <c:pt idx="516">
                  <c:v>-17.744565265742636</c:v>
                </c:pt>
                <c:pt idx="517">
                  <c:v>-17.744311952436391</c:v>
                </c:pt>
                <c:pt idx="518">
                  <c:v>-17.744377368321921</c:v>
                </c:pt>
                <c:pt idx="519">
                  <c:v>-17.74475929519852</c:v>
                </c:pt>
                <c:pt idx="520">
                  <c:v>-17.745455488904895</c:v>
                </c:pt>
                <c:pt idx="521">
                  <c:v>-17.746490760548085</c:v>
                </c:pt>
                <c:pt idx="522">
                  <c:v>-17.747850226320281</c:v>
                </c:pt>
                <c:pt idx="523">
                  <c:v>-17.749531414047141</c:v>
                </c:pt>
                <c:pt idx="524">
                  <c:v>-17.751531833603849</c:v>
                </c:pt>
                <c:pt idx="525">
                  <c:v>-17.753906550802753</c:v>
                </c:pt>
                <c:pt idx="526">
                  <c:v>-17.756610181050092</c:v>
                </c:pt>
                <c:pt idx="527">
                  <c:v>-17.75964001288861</c:v>
                </c:pt>
                <c:pt idx="528">
                  <c:v>-17.762993324621789</c:v>
                </c:pt>
                <c:pt idx="529">
                  <c:v>-17.766756575832943</c:v>
                </c:pt>
                <c:pt idx="530">
                  <c:v>-17.770852729457573</c:v>
                </c:pt>
                <c:pt idx="531">
                  <c:v>-17.775278849315129</c:v>
                </c:pt>
                <c:pt idx="532">
                  <c:v>-17.780031996391301</c:v>
                </c:pt>
                <c:pt idx="533">
                  <c:v>-17.7852338451153</c:v>
                </c:pt>
                <c:pt idx="534">
                  <c:v>-17.790772218501615</c:v>
                </c:pt>
                <c:pt idx="535">
                  <c:v>-17.796643965186263</c:v>
                </c:pt>
                <c:pt idx="536">
                  <c:v>-17.802845938075393</c:v>
                </c:pt>
                <c:pt idx="537">
                  <c:v>-17.809527003268812</c:v>
                </c:pt>
                <c:pt idx="538">
                  <c:v>-17.816546822092846</c:v>
                </c:pt>
                <c:pt idx="539">
                  <c:v>-17.823902052011846</c:v>
                </c:pt>
                <c:pt idx="540">
                  <c:v>-17.831589361527705</c:v>
                </c:pt>
                <c:pt idx="541">
                  <c:v>-17.839799483332428</c:v>
                </c:pt>
                <c:pt idx="542">
                  <c:v>-17.848350596581156</c:v>
                </c:pt>
                <c:pt idx="543">
                  <c:v>-17.857239171534559</c:v>
                </c:pt>
                <c:pt idx="544">
                  <c:v>-17.866461695977534</c:v>
                </c:pt>
                <c:pt idx="545">
                  <c:v>-17.876239850950469</c:v>
                </c:pt>
                <c:pt idx="546">
                  <c:v>-17.886360228039081</c:v>
                </c:pt>
                <c:pt idx="547">
                  <c:v>-17.89681912926099</c:v>
                </c:pt>
                <c:pt idx="548">
                  <c:v>-17.907612880293101</c:v>
                </c:pt>
                <c:pt idx="549">
                  <c:v>-17.918998944157636</c:v>
                </c:pt>
                <c:pt idx="550">
                  <c:v>-17.930727819571132</c:v>
                </c:pt>
                <c:pt idx="551">
                  <c:v>-17.942795653940379</c:v>
                </c:pt>
                <c:pt idx="552">
                  <c:v>-17.95519862413434</c:v>
                </c:pt>
                <c:pt idx="553">
                  <c:v>-17.968236670308642</c:v>
                </c:pt>
                <c:pt idx="554">
                  <c:v>-17.981617809252896</c:v>
                </c:pt>
                <c:pt idx="555">
                  <c:v>-17.995338041622261</c:v>
                </c:pt>
                <c:pt idx="556">
                  <c:v>-18.009393403065616</c:v>
                </c:pt>
                <c:pt idx="557">
                  <c:v>-18.039192154585862</c:v>
                </c:pt>
                <c:pt idx="558">
                  <c:v>-18.070345409989642</c:v>
                </c:pt>
                <c:pt idx="559">
                  <c:v>-18.103580207484072</c:v>
                </c:pt>
                <c:pt idx="560">
                  <c:v>0</c:v>
                </c:pt>
                <c:pt idx="561">
                  <c:v>-18.174930970745322</c:v>
                </c:pt>
                <c:pt idx="562">
                  <c:v>-18.213041561033748</c:v>
                </c:pt>
                <c:pt idx="563">
                  <c:v>-18.253321548103798</c:v>
                </c:pt>
                <c:pt idx="564">
                  <c:v>-18.294932001416157</c:v>
                </c:pt>
                <c:pt idx="565">
                  <c:v>-18.338936178193705</c:v>
                </c:pt>
                <c:pt idx="566">
                  <c:v>-18.384265490557766</c:v>
                </c:pt>
                <c:pt idx="567">
                  <c:v>-18.432046543219656</c:v>
                </c:pt>
                <c:pt idx="568">
                  <c:v>-18.481143817577561</c:v>
                </c:pt>
                <c:pt idx="569">
                  <c:v>-18.532541245893213</c:v>
                </c:pt>
                <c:pt idx="570">
                  <c:v>-18.585232579946421</c:v>
                </c:pt>
                <c:pt idx="571">
                  <c:v>-18.640679579984635</c:v>
                </c:pt>
                <c:pt idx="572">
                  <c:v>-18.697415335599629</c:v>
                </c:pt>
                <c:pt idx="573">
                  <c:v>-18.756520937830771</c:v>
                </c:pt>
                <c:pt idx="574">
                  <c:v>-18.816887554094876</c:v>
                </c:pt>
                <c:pt idx="575">
                  <c:v>-18.880108665483959</c:v>
                </c:pt>
                <c:pt idx="576">
                  <c:v>-18.944579234005204</c:v>
                </c:pt>
                <c:pt idx="577">
                  <c:v>-19.230508419461728</c:v>
                </c:pt>
                <c:pt idx="578">
                  <c:v>-19.535512594753811</c:v>
                </c:pt>
                <c:pt idx="579">
                  <c:v>-20.259554297516502</c:v>
                </c:pt>
                <c:pt idx="580">
                  <c:v>-21.123260837922487</c:v>
                </c:pt>
                <c:pt idx="581">
                  <c:v>-22.129946769902062</c:v>
                </c:pt>
                <c:pt idx="582">
                  <c:v>-23.283699445221799</c:v>
                </c:pt>
                <c:pt idx="583">
                  <c:v>-24.585948380564588</c:v>
                </c:pt>
                <c:pt idx="584">
                  <c:v>-26.038572948776334</c:v>
                </c:pt>
                <c:pt idx="585">
                  <c:v>-27.639981474353249</c:v>
                </c:pt>
                <c:pt idx="586">
                  <c:v>-29.387514927368954</c:v>
                </c:pt>
                <c:pt idx="587">
                  <c:v>-31.276971873642907</c:v>
                </c:pt>
                <c:pt idx="588">
                  <c:v>-33.298621665150847</c:v>
                </c:pt>
                <c:pt idx="589">
                  <c:v>-35.44319995509548</c:v>
                </c:pt>
                <c:pt idx="590">
                  <c:v>-37.696062534466051</c:v>
                </c:pt>
                <c:pt idx="591">
                  <c:v>-40.04058708176413</c:v>
                </c:pt>
                <c:pt idx="592">
                  <c:v>-42.45701115026489</c:v>
                </c:pt>
                <c:pt idx="593">
                  <c:v>-44.924528456948849</c:v>
                </c:pt>
                <c:pt idx="594">
                  <c:v>-47.419601409234815</c:v>
                </c:pt>
                <c:pt idx="595">
                  <c:v>-49.919340608552034</c:v>
                </c:pt>
                <c:pt idx="596">
                  <c:v>-52.400272487040326</c:v>
                </c:pt>
                <c:pt idx="597">
                  <c:v>-54.841269272673202</c:v>
                </c:pt>
                <c:pt idx="598">
                  <c:v>-57.222153715833969</c:v>
                </c:pt>
                <c:pt idx="599">
                  <c:v>-59.526618553514908</c:v>
                </c:pt>
                <c:pt idx="600">
                  <c:v>-61.74040943724512</c:v>
                </c:pt>
              </c:numCache>
            </c:numRef>
          </c:yVal>
          <c:smooth val="0"/>
        </c:ser>
        <c:dLbls>
          <c:showLegendKey val="0"/>
          <c:showVal val="0"/>
          <c:showCatName val="0"/>
          <c:showSerName val="0"/>
          <c:showPercent val="0"/>
          <c:showBubbleSize val="0"/>
        </c:dLbls>
        <c:axId val="-1650383136"/>
        <c:axId val="-1650382592"/>
      </c:scatterChart>
      <c:valAx>
        <c:axId val="-1650384224"/>
        <c:scaling>
          <c:logBase val="10"/>
          <c:orientation val="minMax"/>
          <c:max val="1000000"/>
          <c:min val="50"/>
        </c:scaling>
        <c:delete val="0"/>
        <c:axPos val="b"/>
        <c:majorGridlines>
          <c:spPr>
            <a:ln w="3175">
              <a:solidFill>
                <a:srgbClr val="00FF00"/>
              </a:solidFill>
              <a:prstDash val="solid"/>
            </a:ln>
          </c:spPr>
        </c:majorGridlines>
        <c:minorGridlines>
          <c:spPr>
            <a:ln w="3175">
              <a:solidFill>
                <a:srgbClr val="00FF00"/>
              </a:solidFill>
              <a:prstDash val="solid"/>
            </a:ln>
          </c:spPr>
        </c:minorGridlines>
        <c:title>
          <c:tx>
            <c:rich>
              <a:bodyPr/>
              <a:lstStyle/>
              <a:p>
                <a:pPr>
                  <a:defRPr sz="1075" b="1" i="0" u="none" strike="noStrike" baseline="0">
                    <a:solidFill>
                      <a:srgbClr val="000000"/>
                    </a:solidFill>
                    <a:latin typeface="Arial"/>
                    <a:ea typeface="Arial"/>
                    <a:cs typeface="Arial"/>
                  </a:defRPr>
                </a:pPr>
                <a:r>
                  <a:rPr lang="en-US"/>
                  <a:t>Frequency (Hz)</a:t>
                </a:r>
              </a:p>
            </c:rich>
          </c:tx>
          <c:layout>
            <c:manualLayout>
              <c:xMode val="edge"/>
              <c:yMode val="edge"/>
              <c:x val="0.41217391304347833"/>
              <c:y val="0.83636363636363642"/>
            </c:manualLayout>
          </c:layout>
          <c:overlay val="0"/>
          <c:spPr>
            <a:noFill/>
            <a:ln w="25400">
              <a:noFill/>
            </a:ln>
          </c:spPr>
        </c:title>
        <c:numFmt formatCode="0.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50391296"/>
        <c:crossesAt val="-60"/>
        <c:crossBetween val="midCat"/>
        <c:majorUnit val="10"/>
        <c:minorUnit val="10"/>
      </c:valAx>
      <c:valAx>
        <c:axId val="-1650391296"/>
        <c:scaling>
          <c:orientation val="minMax"/>
          <c:max val="60"/>
          <c:min val="-60"/>
        </c:scaling>
        <c:delete val="0"/>
        <c:axPos val="l"/>
        <c:majorGridlines>
          <c:spPr>
            <a:ln w="3175">
              <a:solidFill>
                <a:srgbClr val="000000"/>
              </a:solidFill>
              <a:prstDash val="solid"/>
            </a:ln>
          </c:spPr>
        </c:majorGridlines>
        <c:title>
          <c:tx>
            <c:rich>
              <a:bodyPr/>
              <a:lstStyle/>
              <a:p>
                <a:pPr>
                  <a:defRPr sz="1075" b="1" i="0" u="none" strike="noStrike" baseline="0">
                    <a:solidFill>
                      <a:srgbClr val="FF0000"/>
                    </a:solidFill>
                    <a:latin typeface="Arial"/>
                    <a:ea typeface="Arial"/>
                    <a:cs typeface="Arial"/>
                  </a:defRPr>
                </a:pPr>
                <a:r>
                  <a:rPr lang="en-US"/>
                  <a:t>Gain (dB)</a:t>
                </a:r>
              </a:p>
            </c:rich>
          </c:tx>
          <c:layout>
            <c:manualLayout>
              <c:xMode val="edge"/>
              <c:yMode val="edge"/>
              <c:x val="3.826086956521739E-2"/>
              <c:y val="0.37727272727272737"/>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FF0000"/>
                </a:solidFill>
                <a:latin typeface="Arial"/>
                <a:ea typeface="Arial"/>
                <a:cs typeface="Arial"/>
              </a:defRPr>
            </a:pPr>
            <a:endParaRPr lang="en-US"/>
          </a:p>
        </c:txPr>
        <c:crossAx val="-1650384224"/>
        <c:crossesAt val="1"/>
        <c:crossBetween val="midCat"/>
        <c:majorUnit val="20"/>
        <c:minorUnit val="4"/>
      </c:valAx>
      <c:valAx>
        <c:axId val="-1650383136"/>
        <c:scaling>
          <c:logBase val="10"/>
          <c:orientation val="minMax"/>
        </c:scaling>
        <c:delete val="1"/>
        <c:axPos val="t"/>
        <c:numFmt formatCode="0.000" sourceLinked="1"/>
        <c:majorTickMark val="out"/>
        <c:minorTickMark val="none"/>
        <c:tickLblPos val="nextTo"/>
        <c:crossAx val="-1650382592"/>
        <c:crossesAt val="0"/>
        <c:crossBetween val="midCat"/>
      </c:valAx>
      <c:valAx>
        <c:axId val="-1650382592"/>
        <c:scaling>
          <c:orientation val="minMax"/>
          <c:max val="180"/>
          <c:min val="-180"/>
        </c:scaling>
        <c:delete val="0"/>
        <c:axPos val="r"/>
        <c:title>
          <c:tx>
            <c:rich>
              <a:bodyPr/>
              <a:lstStyle/>
              <a:p>
                <a:pPr>
                  <a:defRPr sz="1075" b="1" i="0" u="none" strike="noStrike" baseline="0">
                    <a:solidFill>
                      <a:srgbClr val="0000FF"/>
                    </a:solidFill>
                    <a:latin typeface="Arial"/>
                    <a:ea typeface="Arial"/>
                    <a:cs typeface="Arial"/>
                  </a:defRPr>
                </a:pPr>
                <a:r>
                  <a:rPr lang="en-US"/>
                  <a:t>Phase (degrees)</a:t>
                </a:r>
              </a:p>
            </c:rich>
          </c:tx>
          <c:layout>
            <c:manualLayout>
              <c:xMode val="edge"/>
              <c:yMode val="edge"/>
              <c:x val="0.92869565217391326"/>
              <c:y val="0.3181818181818182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FF"/>
                </a:solidFill>
                <a:latin typeface="Arial"/>
                <a:ea typeface="Arial"/>
                <a:cs typeface="Arial"/>
              </a:defRPr>
            </a:pPr>
            <a:endParaRPr lang="en-US"/>
          </a:p>
        </c:txPr>
        <c:crossAx val="-1650383136"/>
        <c:crosses val="max"/>
        <c:crossBetween val="midCat"/>
        <c:majorUnit val="45"/>
        <c:minorUnit val="22.5"/>
      </c:valAx>
      <c:spPr>
        <a:noFill/>
        <a:ln w="25400">
          <a:noFill/>
        </a:ln>
      </c:spPr>
    </c:plotArea>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033" r="0.75000000000000033"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en-US"/>
              <a:t>Efficiency vs Load Current</a:t>
            </a:r>
          </a:p>
        </c:rich>
      </c:tx>
      <c:layout>
        <c:manualLayout>
          <c:xMode val="edge"/>
          <c:yMode val="edge"/>
          <c:x val="0.33739130434782622"/>
          <c:y val="3.1745913066504677E-2"/>
        </c:manualLayout>
      </c:layout>
      <c:overlay val="0"/>
      <c:spPr>
        <a:noFill/>
        <a:ln w="25400">
          <a:noFill/>
        </a:ln>
      </c:spPr>
    </c:title>
    <c:autoTitleDeleted val="0"/>
    <c:plotArea>
      <c:layout>
        <c:manualLayout>
          <c:layoutTarget val="inner"/>
          <c:xMode val="edge"/>
          <c:yMode val="edge"/>
          <c:x val="0.17739130434782613"/>
          <c:y val="0.12698445504829867"/>
          <c:w val="0.73391304347826092"/>
          <c:h val="0.60846718043976422"/>
        </c:manualLayout>
      </c:layout>
      <c:scatterChart>
        <c:scatterStyle val="smoothMarker"/>
        <c:varyColors val="0"/>
        <c:ser>
          <c:idx val="0"/>
          <c:order val="0"/>
          <c:tx>
            <c:v>Efficiency vs Load Current</c:v>
          </c:tx>
          <c:spPr>
            <a:ln w="25400">
              <a:solidFill>
                <a:srgbClr val="000080"/>
              </a:solidFill>
              <a:prstDash val="solid"/>
            </a:ln>
          </c:spPr>
          <c:marker>
            <c:symbol val="none"/>
          </c:marker>
          <c:xVal>
            <c:numRef>
              <c:f>'Efficiency calculations'!$F$2:$F$301</c:f>
              <c:numCache>
                <c:formatCode>0.000000</c:formatCode>
                <c:ptCount val="300"/>
                <c:pt idx="0">
                  <c:v>2.666666666666667E-3</c:v>
                </c:pt>
                <c:pt idx="1">
                  <c:v>5.333333333333334E-3</c:v>
                </c:pt>
                <c:pt idx="2">
                  <c:v>8.0000000000000019E-3</c:v>
                </c:pt>
                <c:pt idx="3">
                  <c:v>1.0666666666666668E-2</c:v>
                </c:pt>
                <c:pt idx="4">
                  <c:v>1.3333333333333334E-2</c:v>
                </c:pt>
                <c:pt idx="5">
                  <c:v>1.6000000000000004E-2</c:v>
                </c:pt>
                <c:pt idx="6">
                  <c:v>1.8666666666666668E-2</c:v>
                </c:pt>
                <c:pt idx="7">
                  <c:v>2.1333333333333336E-2</c:v>
                </c:pt>
                <c:pt idx="8">
                  <c:v>2.4E-2</c:v>
                </c:pt>
                <c:pt idx="9">
                  <c:v>2.6666666666666668E-2</c:v>
                </c:pt>
                <c:pt idx="10">
                  <c:v>2.9333333333333336E-2</c:v>
                </c:pt>
                <c:pt idx="11">
                  <c:v>3.2000000000000008E-2</c:v>
                </c:pt>
                <c:pt idx="12">
                  <c:v>3.4666666666666665E-2</c:v>
                </c:pt>
                <c:pt idx="13">
                  <c:v>3.7333333333333336E-2</c:v>
                </c:pt>
                <c:pt idx="14">
                  <c:v>0.04</c:v>
                </c:pt>
                <c:pt idx="15">
                  <c:v>4.2666666666666672E-2</c:v>
                </c:pt>
                <c:pt idx="16">
                  <c:v>4.5333333333333337E-2</c:v>
                </c:pt>
                <c:pt idx="17">
                  <c:v>4.8000000000000001E-2</c:v>
                </c:pt>
                <c:pt idx="18">
                  <c:v>5.0666666666666672E-2</c:v>
                </c:pt>
                <c:pt idx="19">
                  <c:v>5.3333333333333337E-2</c:v>
                </c:pt>
                <c:pt idx="20">
                  <c:v>5.6000000000000001E-2</c:v>
                </c:pt>
                <c:pt idx="21">
                  <c:v>5.8666666666666673E-2</c:v>
                </c:pt>
                <c:pt idx="22">
                  <c:v>6.1333333333333344E-2</c:v>
                </c:pt>
                <c:pt idx="23">
                  <c:v>6.4000000000000015E-2</c:v>
                </c:pt>
                <c:pt idx="24">
                  <c:v>6.6666666666666666E-2</c:v>
                </c:pt>
                <c:pt idx="25">
                  <c:v>6.933333333333333E-2</c:v>
                </c:pt>
                <c:pt idx="26">
                  <c:v>7.2000000000000008E-2</c:v>
                </c:pt>
                <c:pt idx="27">
                  <c:v>7.4666666666666673E-2</c:v>
                </c:pt>
                <c:pt idx="28">
                  <c:v>7.7333333333333337E-2</c:v>
                </c:pt>
                <c:pt idx="29">
                  <c:v>0.08</c:v>
                </c:pt>
                <c:pt idx="30">
                  <c:v>8.2666666666666666E-2</c:v>
                </c:pt>
                <c:pt idx="31">
                  <c:v>8.5333333333333344E-2</c:v>
                </c:pt>
                <c:pt idx="32">
                  <c:v>8.8000000000000009E-2</c:v>
                </c:pt>
                <c:pt idx="33">
                  <c:v>9.0666666666666673E-2</c:v>
                </c:pt>
                <c:pt idx="34">
                  <c:v>9.3333333333333338E-2</c:v>
                </c:pt>
                <c:pt idx="35">
                  <c:v>9.6000000000000002E-2</c:v>
                </c:pt>
                <c:pt idx="36">
                  <c:v>9.8666666666666666E-2</c:v>
                </c:pt>
                <c:pt idx="37">
                  <c:v>0.10133333333333334</c:v>
                </c:pt>
                <c:pt idx="38">
                  <c:v>0.10400000000000001</c:v>
                </c:pt>
                <c:pt idx="39">
                  <c:v>0.10666666666666667</c:v>
                </c:pt>
                <c:pt idx="40">
                  <c:v>0.10933333333333335</c:v>
                </c:pt>
                <c:pt idx="41">
                  <c:v>0.112</c:v>
                </c:pt>
                <c:pt idx="42">
                  <c:v>0.11466666666666667</c:v>
                </c:pt>
                <c:pt idx="43">
                  <c:v>0.11733333333333335</c:v>
                </c:pt>
                <c:pt idx="44">
                  <c:v>0.12</c:v>
                </c:pt>
                <c:pt idx="45">
                  <c:v>0.12266666666666669</c:v>
                </c:pt>
                <c:pt idx="46">
                  <c:v>0.12533333333333332</c:v>
                </c:pt>
                <c:pt idx="47">
                  <c:v>0.12800000000000003</c:v>
                </c:pt>
                <c:pt idx="48">
                  <c:v>0.13066666666666668</c:v>
                </c:pt>
                <c:pt idx="49">
                  <c:v>0.13333333333333333</c:v>
                </c:pt>
                <c:pt idx="50">
                  <c:v>0.13600000000000001</c:v>
                </c:pt>
                <c:pt idx="51">
                  <c:v>0.13866666666666666</c:v>
                </c:pt>
                <c:pt idx="52">
                  <c:v>0.14133333333333334</c:v>
                </c:pt>
                <c:pt idx="53">
                  <c:v>0.14400000000000002</c:v>
                </c:pt>
                <c:pt idx="54">
                  <c:v>0.14666666666666667</c:v>
                </c:pt>
                <c:pt idx="55">
                  <c:v>0.14933333333333335</c:v>
                </c:pt>
                <c:pt idx="56">
                  <c:v>0.152</c:v>
                </c:pt>
                <c:pt idx="57">
                  <c:v>0.15466666666666667</c:v>
                </c:pt>
                <c:pt idx="58">
                  <c:v>0.15733333333333335</c:v>
                </c:pt>
                <c:pt idx="59">
                  <c:v>0.16</c:v>
                </c:pt>
                <c:pt idx="60">
                  <c:v>0.16266666666666668</c:v>
                </c:pt>
                <c:pt idx="61">
                  <c:v>0.16533333333333333</c:v>
                </c:pt>
                <c:pt idx="62">
                  <c:v>0.16800000000000001</c:v>
                </c:pt>
                <c:pt idx="63">
                  <c:v>0.17066666666666669</c:v>
                </c:pt>
                <c:pt idx="64">
                  <c:v>0.17333333333333334</c:v>
                </c:pt>
                <c:pt idx="65">
                  <c:v>0.17600000000000002</c:v>
                </c:pt>
                <c:pt idx="66">
                  <c:v>0.17866666666666667</c:v>
                </c:pt>
                <c:pt idx="67">
                  <c:v>0.18133333333333335</c:v>
                </c:pt>
                <c:pt idx="68">
                  <c:v>0.184</c:v>
                </c:pt>
                <c:pt idx="69">
                  <c:v>0.18666666666666668</c:v>
                </c:pt>
                <c:pt idx="70">
                  <c:v>0.18933333333333335</c:v>
                </c:pt>
                <c:pt idx="71">
                  <c:v>0.192</c:v>
                </c:pt>
                <c:pt idx="72">
                  <c:v>0.19466666666666668</c:v>
                </c:pt>
                <c:pt idx="73">
                  <c:v>0.19733333333333333</c:v>
                </c:pt>
                <c:pt idx="74">
                  <c:v>0.2</c:v>
                </c:pt>
                <c:pt idx="75">
                  <c:v>0.20266666666666669</c:v>
                </c:pt>
                <c:pt idx="76">
                  <c:v>0.20533333333333334</c:v>
                </c:pt>
                <c:pt idx="77">
                  <c:v>0.20800000000000002</c:v>
                </c:pt>
                <c:pt idx="78">
                  <c:v>0.21066666666666667</c:v>
                </c:pt>
                <c:pt idx="79">
                  <c:v>0.21333333333333335</c:v>
                </c:pt>
                <c:pt idx="80">
                  <c:v>0.216</c:v>
                </c:pt>
                <c:pt idx="81">
                  <c:v>0.2186666666666667</c:v>
                </c:pt>
                <c:pt idx="82">
                  <c:v>0.22133333333333335</c:v>
                </c:pt>
                <c:pt idx="83">
                  <c:v>0.224</c:v>
                </c:pt>
                <c:pt idx="84">
                  <c:v>0.22666666666666666</c:v>
                </c:pt>
                <c:pt idx="85">
                  <c:v>0.22933333333333333</c:v>
                </c:pt>
                <c:pt idx="86">
                  <c:v>0.23200000000000004</c:v>
                </c:pt>
                <c:pt idx="87">
                  <c:v>0.23466666666666669</c:v>
                </c:pt>
                <c:pt idx="88">
                  <c:v>0.23733333333333334</c:v>
                </c:pt>
                <c:pt idx="89">
                  <c:v>0.24</c:v>
                </c:pt>
                <c:pt idx="90">
                  <c:v>0.24266666666666667</c:v>
                </c:pt>
                <c:pt idx="91">
                  <c:v>0.24533333333333338</c:v>
                </c:pt>
                <c:pt idx="92">
                  <c:v>0.24800000000000003</c:v>
                </c:pt>
                <c:pt idx="93">
                  <c:v>0.25066666666666665</c:v>
                </c:pt>
                <c:pt idx="94">
                  <c:v>0.25333333333333335</c:v>
                </c:pt>
                <c:pt idx="95">
                  <c:v>0.25600000000000006</c:v>
                </c:pt>
                <c:pt idx="96">
                  <c:v>0.25866666666666671</c:v>
                </c:pt>
                <c:pt idx="97">
                  <c:v>0.26133333333333336</c:v>
                </c:pt>
                <c:pt idx="98">
                  <c:v>0.26400000000000001</c:v>
                </c:pt>
                <c:pt idx="99">
                  <c:v>0.26666666666666666</c:v>
                </c:pt>
                <c:pt idx="100">
                  <c:v>0.26933333333333337</c:v>
                </c:pt>
                <c:pt idx="101">
                  <c:v>0.27200000000000002</c:v>
                </c:pt>
                <c:pt idx="102">
                  <c:v>0.27466666666666667</c:v>
                </c:pt>
                <c:pt idx="103">
                  <c:v>0.27733333333333332</c:v>
                </c:pt>
                <c:pt idx="104">
                  <c:v>0.28000000000000003</c:v>
                </c:pt>
                <c:pt idx="105">
                  <c:v>0.28266666666666668</c:v>
                </c:pt>
                <c:pt idx="106">
                  <c:v>0.28533333333333338</c:v>
                </c:pt>
                <c:pt idx="107">
                  <c:v>0.28800000000000003</c:v>
                </c:pt>
                <c:pt idx="108">
                  <c:v>0.29066666666666668</c:v>
                </c:pt>
                <c:pt idx="109">
                  <c:v>0.29333333333333333</c:v>
                </c:pt>
                <c:pt idx="110">
                  <c:v>0.29600000000000004</c:v>
                </c:pt>
                <c:pt idx="111">
                  <c:v>0.29866666666666669</c:v>
                </c:pt>
                <c:pt idx="112">
                  <c:v>0.30133333333333334</c:v>
                </c:pt>
                <c:pt idx="113">
                  <c:v>0.30399999999999999</c:v>
                </c:pt>
                <c:pt idx="114">
                  <c:v>0.30666666666666664</c:v>
                </c:pt>
                <c:pt idx="115">
                  <c:v>0.30933333333333335</c:v>
                </c:pt>
                <c:pt idx="116">
                  <c:v>0.31200000000000006</c:v>
                </c:pt>
                <c:pt idx="117">
                  <c:v>0.31466666666666671</c:v>
                </c:pt>
                <c:pt idx="118">
                  <c:v>0.31733333333333336</c:v>
                </c:pt>
                <c:pt idx="119">
                  <c:v>0.32</c:v>
                </c:pt>
                <c:pt idx="120">
                  <c:v>0.32266666666666671</c:v>
                </c:pt>
                <c:pt idx="121">
                  <c:v>0.32533333333333336</c:v>
                </c:pt>
                <c:pt idx="122">
                  <c:v>0.32800000000000001</c:v>
                </c:pt>
                <c:pt idx="123">
                  <c:v>0.33066666666666666</c:v>
                </c:pt>
                <c:pt idx="124">
                  <c:v>0.33333333333333331</c:v>
                </c:pt>
                <c:pt idx="125">
                  <c:v>0.33600000000000002</c:v>
                </c:pt>
                <c:pt idx="126">
                  <c:v>0.33866666666666667</c:v>
                </c:pt>
                <c:pt idx="127">
                  <c:v>0.34133333333333338</c:v>
                </c:pt>
                <c:pt idx="128">
                  <c:v>0.34400000000000003</c:v>
                </c:pt>
                <c:pt idx="129">
                  <c:v>0.34666666666666668</c:v>
                </c:pt>
                <c:pt idx="130">
                  <c:v>0.34933333333333338</c:v>
                </c:pt>
                <c:pt idx="131">
                  <c:v>0.35200000000000004</c:v>
                </c:pt>
                <c:pt idx="132">
                  <c:v>0.35466666666666669</c:v>
                </c:pt>
                <c:pt idx="133">
                  <c:v>0.35733333333333334</c:v>
                </c:pt>
                <c:pt idx="134">
                  <c:v>0.36</c:v>
                </c:pt>
                <c:pt idx="135">
                  <c:v>0.36266666666666669</c:v>
                </c:pt>
                <c:pt idx="136">
                  <c:v>0.36533333333333334</c:v>
                </c:pt>
                <c:pt idx="137">
                  <c:v>0.36799999999999999</c:v>
                </c:pt>
                <c:pt idx="138">
                  <c:v>0.3706666666666667</c:v>
                </c:pt>
                <c:pt idx="139">
                  <c:v>0.37333333333333335</c:v>
                </c:pt>
                <c:pt idx="140">
                  <c:v>0.37600000000000006</c:v>
                </c:pt>
                <c:pt idx="141">
                  <c:v>0.37866666666666671</c:v>
                </c:pt>
                <c:pt idx="142">
                  <c:v>0.38133333333333336</c:v>
                </c:pt>
                <c:pt idx="143">
                  <c:v>0.38400000000000001</c:v>
                </c:pt>
                <c:pt idx="144">
                  <c:v>0.38666666666666666</c:v>
                </c:pt>
                <c:pt idx="145">
                  <c:v>0.38933333333333336</c:v>
                </c:pt>
                <c:pt idx="146">
                  <c:v>0.39200000000000002</c:v>
                </c:pt>
                <c:pt idx="147">
                  <c:v>0.39466666666666667</c:v>
                </c:pt>
                <c:pt idx="148">
                  <c:v>0.39733333333333332</c:v>
                </c:pt>
                <c:pt idx="149">
                  <c:v>0.4</c:v>
                </c:pt>
                <c:pt idx="150">
                  <c:v>0.40266666666666673</c:v>
                </c:pt>
                <c:pt idx="151">
                  <c:v>0.40533333333333338</c:v>
                </c:pt>
                <c:pt idx="152">
                  <c:v>0.40800000000000003</c:v>
                </c:pt>
                <c:pt idx="153">
                  <c:v>0.41066666666666668</c:v>
                </c:pt>
                <c:pt idx="154">
                  <c:v>0.41333333333333333</c:v>
                </c:pt>
                <c:pt idx="155">
                  <c:v>0.41600000000000004</c:v>
                </c:pt>
                <c:pt idx="156">
                  <c:v>0.41866666666666669</c:v>
                </c:pt>
                <c:pt idx="157">
                  <c:v>0.42133333333333334</c:v>
                </c:pt>
                <c:pt idx="158">
                  <c:v>0.42399999999999999</c:v>
                </c:pt>
                <c:pt idx="159">
                  <c:v>0.42666666666666669</c:v>
                </c:pt>
                <c:pt idx="160">
                  <c:v>0.42933333333333334</c:v>
                </c:pt>
                <c:pt idx="161">
                  <c:v>0.432</c:v>
                </c:pt>
                <c:pt idx="162">
                  <c:v>0.4346666666666667</c:v>
                </c:pt>
                <c:pt idx="163">
                  <c:v>0.43733333333333341</c:v>
                </c:pt>
                <c:pt idx="164">
                  <c:v>0.44</c:v>
                </c:pt>
                <c:pt idx="165">
                  <c:v>0.44266666666666671</c:v>
                </c:pt>
                <c:pt idx="166">
                  <c:v>0.4453333333333333</c:v>
                </c:pt>
                <c:pt idx="167">
                  <c:v>0.44800000000000001</c:v>
                </c:pt>
                <c:pt idx="168">
                  <c:v>0.45066666666666672</c:v>
                </c:pt>
                <c:pt idx="169">
                  <c:v>0.45333333333333331</c:v>
                </c:pt>
                <c:pt idx="170">
                  <c:v>0.45600000000000002</c:v>
                </c:pt>
                <c:pt idx="171">
                  <c:v>0.45866666666666667</c:v>
                </c:pt>
                <c:pt idx="172">
                  <c:v>0.46133333333333337</c:v>
                </c:pt>
                <c:pt idx="173">
                  <c:v>0.46400000000000008</c:v>
                </c:pt>
                <c:pt idx="174">
                  <c:v>0.46666666666666667</c:v>
                </c:pt>
                <c:pt idx="175">
                  <c:v>0.46933333333333338</c:v>
                </c:pt>
                <c:pt idx="176">
                  <c:v>0.47199999999999998</c:v>
                </c:pt>
                <c:pt idx="177">
                  <c:v>0.47466666666666668</c:v>
                </c:pt>
                <c:pt idx="178">
                  <c:v>0.47733333333333339</c:v>
                </c:pt>
                <c:pt idx="179">
                  <c:v>0.48</c:v>
                </c:pt>
                <c:pt idx="180">
                  <c:v>0.48266666666666669</c:v>
                </c:pt>
                <c:pt idx="181">
                  <c:v>0.48533333333333334</c:v>
                </c:pt>
                <c:pt idx="182">
                  <c:v>0.48800000000000004</c:v>
                </c:pt>
                <c:pt idx="183">
                  <c:v>0.49066666666666675</c:v>
                </c:pt>
                <c:pt idx="184">
                  <c:v>0.49333333333333335</c:v>
                </c:pt>
                <c:pt idx="185">
                  <c:v>0.49600000000000005</c:v>
                </c:pt>
                <c:pt idx="186">
                  <c:v>0.49866666666666665</c:v>
                </c:pt>
                <c:pt idx="187">
                  <c:v>0.5013333333333333</c:v>
                </c:pt>
                <c:pt idx="188">
                  <c:v>0.504</c:v>
                </c:pt>
                <c:pt idx="189">
                  <c:v>0.50666666666666671</c:v>
                </c:pt>
                <c:pt idx="190">
                  <c:v>0.50933333333333342</c:v>
                </c:pt>
                <c:pt idx="191">
                  <c:v>0.51200000000000012</c:v>
                </c:pt>
                <c:pt idx="192">
                  <c:v>0.51466666666666672</c:v>
                </c:pt>
                <c:pt idx="193">
                  <c:v>0.51733333333333342</c:v>
                </c:pt>
                <c:pt idx="194">
                  <c:v>0.52</c:v>
                </c:pt>
                <c:pt idx="195">
                  <c:v>0.52266666666666672</c:v>
                </c:pt>
                <c:pt idx="196">
                  <c:v>0.52533333333333343</c:v>
                </c:pt>
                <c:pt idx="197">
                  <c:v>0.52800000000000002</c:v>
                </c:pt>
                <c:pt idx="198">
                  <c:v>0.53066666666666673</c:v>
                </c:pt>
                <c:pt idx="199">
                  <c:v>0.53333333333333333</c:v>
                </c:pt>
                <c:pt idx="200">
                  <c:v>0.53600000000000003</c:v>
                </c:pt>
                <c:pt idx="201">
                  <c:v>0.53866666666666674</c:v>
                </c:pt>
                <c:pt idx="202">
                  <c:v>0.54133333333333333</c:v>
                </c:pt>
                <c:pt idx="203">
                  <c:v>0.54400000000000004</c:v>
                </c:pt>
                <c:pt idx="204">
                  <c:v>0.54666666666666663</c:v>
                </c:pt>
                <c:pt idx="205">
                  <c:v>0.54933333333333334</c:v>
                </c:pt>
                <c:pt idx="206">
                  <c:v>0.55200000000000005</c:v>
                </c:pt>
                <c:pt idx="207">
                  <c:v>0.55466666666666664</c:v>
                </c:pt>
                <c:pt idx="208">
                  <c:v>0.55733333333333335</c:v>
                </c:pt>
                <c:pt idx="209">
                  <c:v>0.56000000000000005</c:v>
                </c:pt>
                <c:pt idx="210">
                  <c:v>0.56266666666666676</c:v>
                </c:pt>
                <c:pt idx="211">
                  <c:v>0.56533333333333335</c:v>
                </c:pt>
                <c:pt idx="212">
                  <c:v>0.56800000000000006</c:v>
                </c:pt>
                <c:pt idx="213">
                  <c:v>0.57066666666666677</c:v>
                </c:pt>
                <c:pt idx="214">
                  <c:v>0.57333333333333336</c:v>
                </c:pt>
                <c:pt idx="215">
                  <c:v>0.57600000000000007</c:v>
                </c:pt>
                <c:pt idx="216">
                  <c:v>0.57866666666666677</c:v>
                </c:pt>
                <c:pt idx="217">
                  <c:v>0.58133333333333337</c:v>
                </c:pt>
                <c:pt idx="218">
                  <c:v>0.58400000000000007</c:v>
                </c:pt>
                <c:pt idx="219">
                  <c:v>0.58666666666666667</c:v>
                </c:pt>
                <c:pt idx="220">
                  <c:v>0.58933333333333338</c:v>
                </c:pt>
                <c:pt idx="221">
                  <c:v>0.59200000000000008</c:v>
                </c:pt>
                <c:pt idx="222">
                  <c:v>0.59466666666666668</c:v>
                </c:pt>
                <c:pt idx="223">
                  <c:v>0.59733333333333338</c:v>
                </c:pt>
                <c:pt idx="224">
                  <c:v>0.6</c:v>
                </c:pt>
                <c:pt idx="225">
                  <c:v>0.60266666666666668</c:v>
                </c:pt>
                <c:pt idx="226">
                  <c:v>0.60533333333333339</c:v>
                </c:pt>
                <c:pt idx="227">
                  <c:v>0.60799999999999998</c:v>
                </c:pt>
                <c:pt idx="228">
                  <c:v>0.61066666666666669</c:v>
                </c:pt>
                <c:pt idx="229">
                  <c:v>0.61333333333333329</c:v>
                </c:pt>
                <c:pt idx="230">
                  <c:v>0.61599999999999999</c:v>
                </c:pt>
                <c:pt idx="231">
                  <c:v>0.6186666666666667</c:v>
                </c:pt>
                <c:pt idx="232">
                  <c:v>0.6213333333333334</c:v>
                </c:pt>
                <c:pt idx="233">
                  <c:v>0.62400000000000011</c:v>
                </c:pt>
                <c:pt idx="234">
                  <c:v>0.62666666666666671</c:v>
                </c:pt>
                <c:pt idx="235">
                  <c:v>0.62933333333333341</c:v>
                </c:pt>
                <c:pt idx="236">
                  <c:v>0.63200000000000012</c:v>
                </c:pt>
                <c:pt idx="237">
                  <c:v>0.63466666666666671</c:v>
                </c:pt>
                <c:pt idx="238">
                  <c:v>0.63733333333333342</c:v>
                </c:pt>
                <c:pt idx="239">
                  <c:v>0.64</c:v>
                </c:pt>
                <c:pt idx="240">
                  <c:v>0.64266666666666672</c:v>
                </c:pt>
                <c:pt idx="241">
                  <c:v>0.64533333333333343</c:v>
                </c:pt>
                <c:pt idx="242">
                  <c:v>0.64800000000000002</c:v>
                </c:pt>
                <c:pt idx="243">
                  <c:v>0.65066666666666673</c:v>
                </c:pt>
                <c:pt idx="244">
                  <c:v>0.65333333333333332</c:v>
                </c:pt>
                <c:pt idx="245">
                  <c:v>0.65600000000000003</c:v>
                </c:pt>
                <c:pt idx="246">
                  <c:v>0.65866666666666673</c:v>
                </c:pt>
                <c:pt idx="247">
                  <c:v>0.66133333333333333</c:v>
                </c:pt>
                <c:pt idx="248">
                  <c:v>0.66400000000000003</c:v>
                </c:pt>
                <c:pt idx="249">
                  <c:v>0.66666666666666663</c:v>
                </c:pt>
                <c:pt idx="250">
                  <c:v>0.66933333333333334</c:v>
                </c:pt>
                <c:pt idx="251">
                  <c:v>0.67200000000000004</c:v>
                </c:pt>
                <c:pt idx="252">
                  <c:v>0.67466666666666664</c:v>
                </c:pt>
                <c:pt idx="253">
                  <c:v>0.67733333333333334</c:v>
                </c:pt>
                <c:pt idx="254">
                  <c:v>0.68</c:v>
                </c:pt>
                <c:pt idx="255">
                  <c:v>0.68266666666666675</c:v>
                </c:pt>
                <c:pt idx="256">
                  <c:v>0.68533333333333346</c:v>
                </c:pt>
                <c:pt idx="257">
                  <c:v>0.68800000000000006</c:v>
                </c:pt>
                <c:pt idx="258">
                  <c:v>0.69066666666666676</c:v>
                </c:pt>
                <c:pt idx="259">
                  <c:v>0.69333333333333336</c:v>
                </c:pt>
                <c:pt idx="260">
                  <c:v>0.69600000000000006</c:v>
                </c:pt>
                <c:pt idx="261">
                  <c:v>0.69866666666666677</c:v>
                </c:pt>
                <c:pt idx="262">
                  <c:v>0.70133333333333336</c:v>
                </c:pt>
                <c:pt idx="263">
                  <c:v>0.70400000000000007</c:v>
                </c:pt>
                <c:pt idx="264">
                  <c:v>0.70666666666666667</c:v>
                </c:pt>
                <c:pt idx="265">
                  <c:v>0.70933333333333337</c:v>
                </c:pt>
                <c:pt idx="266">
                  <c:v>0.71200000000000008</c:v>
                </c:pt>
                <c:pt idx="267">
                  <c:v>0.71466666666666667</c:v>
                </c:pt>
                <c:pt idx="268">
                  <c:v>0.71733333333333338</c:v>
                </c:pt>
                <c:pt idx="269">
                  <c:v>0.72</c:v>
                </c:pt>
                <c:pt idx="270">
                  <c:v>0.72266666666666668</c:v>
                </c:pt>
                <c:pt idx="271">
                  <c:v>0.72533333333333339</c:v>
                </c:pt>
                <c:pt idx="272">
                  <c:v>0.72799999999999998</c:v>
                </c:pt>
                <c:pt idx="273">
                  <c:v>0.73066666666666669</c:v>
                </c:pt>
                <c:pt idx="274">
                  <c:v>0.73333333333333328</c:v>
                </c:pt>
                <c:pt idx="275">
                  <c:v>0.73599999999999999</c:v>
                </c:pt>
                <c:pt idx="276">
                  <c:v>0.73866666666666669</c:v>
                </c:pt>
                <c:pt idx="277">
                  <c:v>0.7413333333333334</c:v>
                </c:pt>
                <c:pt idx="278">
                  <c:v>0.74400000000000011</c:v>
                </c:pt>
                <c:pt idx="279">
                  <c:v>0.7466666666666667</c:v>
                </c:pt>
                <c:pt idx="280">
                  <c:v>0.74933333333333341</c:v>
                </c:pt>
                <c:pt idx="281">
                  <c:v>0.75200000000000011</c:v>
                </c:pt>
                <c:pt idx="282">
                  <c:v>0.75466666666666671</c:v>
                </c:pt>
                <c:pt idx="283">
                  <c:v>0.75733333333333341</c:v>
                </c:pt>
                <c:pt idx="284">
                  <c:v>0.76</c:v>
                </c:pt>
                <c:pt idx="285">
                  <c:v>0.76266666666666671</c:v>
                </c:pt>
                <c:pt idx="286">
                  <c:v>0.76533333333333342</c:v>
                </c:pt>
                <c:pt idx="287">
                  <c:v>0.76800000000000002</c:v>
                </c:pt>
                <c:pt idx="288">
                  <c:v>0.77066666666666672</c:v>
                </c:pt>
                <c:pt idx="289">
                  <c:v>0.77333333333333332</c:v>
                </c:pt>
                <c:pt idx="290">
                  <c:v>0.77600000000000002</c:v>
                </c:pt>
                <c:pt idx="291">
                  <c:v>0.77866666666666673</c:v>
                </c:pt>
                <c:pt idx="292">
                  <c:v>0.78133333333333332</c:v>
                </c:pt>
                <c:pt idx="293">
                  <c:v>0.78400000000000003</c:v>
                </c:pt>
                <c:pt idx="294">
                  <c:v>0.78666666666666663</c:v>
                </c:pt>
                <c:pt idx="295">
                  <c:v>0.78933333333333333</c:v>
                </c:pt>
                <c:pt idx="296">
                  <c:v>0.79200000000000004</c:v>
                </c:pt>
                <c:pt idx="297">
                  <c:v>0.79466666666666663</c:v>
                </c:pt>
                <c:pt idx="298">
                  <c:v>0.79733333333333334</c:v>
                </c:pt>
                <c:pt idx="299">
                  <c:v>0.8</c:v>
                </c:pt>
              </c:numCache>
            </c:numRef>
          </c:xVal>
          <c:yVal>
            <c:numRef>
              <c:f>'Efficiency calculations'!$S$2:$S$301</c:f>
              <c:numCache>
                <c:formatCode>0.00%</c:formatCode>
                <c:ptCount val="300"/>
                <c:pt idx="0">
                  <c:v>0.45929072048503722</c:v>
                </c:pt>
                <c:pt idx="1">
                  <c:v>0.61976459727199418</c:v>
                </c:pt>
                <c:pt idx="2">
                  <c:v>0.70142118466464465</c:v>
                </c:pt>
                <c:pt idx="3">
                  <c:v>0.75085398378697454</c:v>
                </c:pt>
                <c:pt idx="4">
                  <c:v>0.78397655507166408</c:v>
                </c:pt>
                <c:pt idx="5">
                  <c:v>0.80770511794438427</c:v>
                </c:pt>
                <c:pt idx="6">
                  <c:v>0.82552980902004047</c:v>
                </c:pt>
                <c:pt idx="7">
                  <c:v>0.83940237602085921</c:v>
                </c:pt>
                <c:pt idx="8">
                  <c:v>0.85049966259849896</c:v>
                </c:pt>
                <c:pt idx="9">
                  <c:v>0.85957345899005788</c:v>
                </c:pt>
                <c:pt idx="10">
                  <c:v>0.86712651072518254</c:v>
                </c:pt>
                <c:pt idx="11">
                  <c:v>0.87350775718320595</c:v>
                </c:pt>
                <c:pt idx="12">
                  <c:v>0.87896697049676242</c:v>
                </c:pt>
                <c:pt idx="13">
                  <c:v>0.88368764731610139</c:v>
                </c:pt>
                <c:pt idx="14">
                  <c:v>0.88780762354441045</c:v>
                </c:pt>
                <c:pt idx="15">
                  <c:v>0.89143244515052544</c:v>
                </c:pt>
                <c:pt idx="16">
                  <c:v>0.8946443004844814</c:v>
                </c:pt>
                <c:pt idx="17">
                  <c:v>0.89750814292066738</c:v>
                </c:pt>
                <c:pt idx="18">
                  <c:v>0.90007598355055929</c:v>
                </c:pt>
                <c:pt idx="19">
                  <c:v>0.90238996174398578</c:v>
                </c:pt>
                <c:pt idx="20">
                  <c:v>0.90448458112157792</c:v>
                </c:pt>
                <c:pt idx="21">
                  <c:v>0.90638836412048152</c:v>
                </c:pt>
                <c:pt idx="22">
                  <c:v>0.90812509420354293</c:v>
                </c:pt>
                <c:pt idx="23">
                  <c:v>0.90971476082743807</c:v>
                </c:pt>
                <c:pt idx="24">
                  <c:v>0.91117428696667047</c:v>
                </c:pt>
                <c:pt idx="25">
                  <c:v>0.9125180954121247</c:v>
                </c:pt>
                <c:pt idx="26">
                  <c:v>0.91375855404317363</c:v>
                </c:pt>
                <c:pt idx="27">
                  <c:v>0.91490632921147996</c:v>
                </c:pt>
                <c:pt idx="28">
                  <c:v>0.91597066862377952</c:v>
                </c:pt>
                <c:pt idx="29">
                  <c:v>0.91695962960492416</c:v>
                </c:pt>
                <c:pt idx="30">
                  <c:v>0.91788026466139072</c:v>
                </c:pt>
                <c:pt idx="31">
                  <c:v>0.91873877338225574</c:v>
                </c:pt>
                <c:pt idx="32">
                  <c:v>0.91954062759294786</c:v>
                </c:pt>
                <c:pt idx="33">
                  <c:v>0.92029067509981421</c:v>
                </c:pt>
                <c:pt idx="34">
                  <c:v>0.92099322617977109</c:v>
                </c:pt>
                <c:pt idx="35">
                  <c:v>0.92165212607289604</c:v>
                </c:pt>
                <c:pt idx="36">
                  <c:v>0.92227081605130257</c:v>
                </c:pt>
                <c:pt idx="37">
                  <c:v>0.92285238511078538</c:v>
                </c:pt>
                <c:pt idx="38">
                  <c:v>0.92339961392318737</c:v>
                </c:pt>
                <c:pt idx="39">
                  <c:v>0.92391501236842344</c:v>
                </c:pt>
                <c:pt idx="40">
                  <c:v>0.92440085171431796</c:v>
                </c:pt>
                <c:pt idx="41">
                  <c:v>0.9248591923140258</c:v>
                </c:pt>
                <c:pt idx="42">
                  <c:v>0.92529190753294288</c:v>
                </c:pt>
                <c:pt idx="43">
                  <c:v>0.92570070449065334</c:v>
                </c:pt>
                <c:pt idx="44">
                  <c:v>0.92608714210179754</c:v>
                </c:pt>
                <c:pt idx="45">
                  <c:v>0.92645264681750894</c:v>
                </c:pt>
                <c:pt idx="46">
                  <c:v>0.92679852640223226</c:v>
                </c:pt>
                <c:pt idx="47">
                  <c:v>0.92712598202615504</c:v>
                </c:pt>
                <c:pt idx="48">
                  <c:v>0.92743611890871402</c:v>
                </c:pt>
                <c:pt idx="49">
                  <c:v>0.92772995571175887</c:v>
                </c:pt>
                <c:pt idx="50">
                  <c:v>0.92800843285044499</c:v>
                </c:pt>
                <c:pt idx="51">
                  <c:v>0.92827241986459597</c:v>
                </c:pt>
                <c:pt idx="52">
                  <c:v>0.92852272197215946</c:v>
                </c:pt>
                <c:pt idx="53">
                  <c:v>0.92876008590871006</c:v>
                </c:pt>
                <c:pt idx="54">
                  <c:v>0.92898520514212735</c:v>
                </c:pt>
                <c:pt idx="55">
                  <c:v>0.92919872453907737</c:v>
                </c:pt>
                <c:pt idx="56">
                  <c:v>0.92940124454937834</c:v>
                </c:pt>
                <c:pt idx="57">
                  <c:v>0.92959332496537528</c:v>
                </c:pt>
                <c:pt idx="58">
                  <c:v>0.92977548830584567</c:v>
                </c:pt>
                <c:pt idx="59">
                  <c:v>0.92994822286746859</c:v>
                </c:pt>
                <c:pt idx="60">
                  <c:v>0.93011198548134721</c:v>
                </c:pt>
                <c:pt idx="61">
                  <c:v>0.93026720400731633</c:v>
                </c:pt>
                <c:pt idx="62">
                  <c:v>0.93041427959468093</c:v>
                </c:pt>
                <c:pt idx="63">
                  <c:v>0.93055358873451155</c:v>
                </c:pt>
                <c:pt idx="64">
                  <c:v>0.93068548512557836</c:v>
                </c:pt>
                <c:pt idx="65">
                  <c:v>0.93081030137337306</c:v>
                </c:pt>
                <c:pt idx="66">
                  <c:v>0.93092835053938128</c:v>
                </c:pt>
                <c:pt idx="67">
                  <c:v>0.93103992755578258</c:v>
                </c:pt>
                <c:pt idx="68">
                  <c:v>0.9311453105190185</c:v>
                </c:pt>
                <c:pt idx="69">
                  <c:v>0.93124476187416105</c:v>
                </c:pt>
                <c:pt idx="70">
                  <c:v>0.93133852950068585</c:v>
                </c:pt>
                <c:pt idx="71">
                  <c:v>0.93142684770909456</c:v>
                </c:pt>
                <c:pt idx="72">
                  <c:v>0.93150993815681293</c:v>
                </c:pt>
                <c:pt idx="73">
                  <c:v>0.93158801069088815</c:v>
                </c:pt>
                <c:pt idx="74">
                  <c:v>0.93166126412422479</c:v>
                </c:pt>
                <c:pt idx="75">
                  <c:v>0.93172988695139192</c:v>
                </c:pt>
                <c:pt idx="76">
                  <c:v>0.93179405800942228</c:v>
                </c:pt>
                <c:pt idx="77">
                  <c:v>0.93185394708846969</c:v>
                </c:pt>
                <c:pt idx="78">
                  <c:v>0.93190971549671253</c:v>
                </c:pt>
                <c:pt idx="79">
                  <c:v>0.93196151658344883</c:v>
                </c:pt>
                <c:pt idx="80">
                  <c:v>0.93200949622395224</c:v>
                </c:pt>
                <c:pt idx="81">
                  <c:v>0.93205379326930937</c:v>
                </c:pt>
                <c:pt idx="82">
                  <c:v>0.93209453996415426</c:v>
                </c:pt>
                <c:pt idx="83">
                  <c:v>0.93213186233494205</c:v>
                </c:pt>
                <c:pt idx="84">
                  <c:v>0.9321658805511569</c:v>
                </c:pt>
                <c:pt idx="85">
                  <c:v>0.9321967092616309</c:v>
                </c:pt>
                <c:pt idx="86">
                  <c:v>0.93222445790795128</c:v>
                </c:pt>
                <c:pt idx="87">
                  <c:v>0.93224923101675661</c:v>
                </c:pt>
                <c:pt idx="88">
                  <c:v>0.93227112847256322</c:v>
                </c:pt>
                <c:pt idx="89">
                  <c:v>0.93229024577261788</c:v>
                </c:pt>
                <c:pt idx="90">
                  <c:v>0.93230667426514202</c:v>
                </c:pt>
                <c:pt idx="91">
                  <c:v>0.93232050137221956</c:v>
                </c:pt>
                <c:pt idx="92">
                  <c:v>0.93233181079846761</c:v>
                </c:pt>
                <c:pt idx="93">
                  <c:v>0.93234068272653914</c:v>
                </c:pt>
                <c:pt idx="94">
                  <c:v>0.93234719400041566</c:v>
                </c:pt>
                <c:pt idx="95">
                  <c:v>0.93235141829737211</c:v>
                </c:pt>
                <c:pt idx="96">
                  <c:v>0.93235342628941942</c:v>
                </c:pt>
                <c:pt idx="97">
                  <c:v>0.9323532857949719</c:v>
                </c:pt>
                <c:pt idx="98">
                  <c:v>0.93235106192142037</c:v>
                </c:pt>
                <c:pt idx="99">
                  <c:v>0.93234681719924195</c:v>
                </c:pt>
                <c:pt idx="100">
                  <c:v>0.93234061170822746</c:v>
                </c:pt>
                <c:pt idx="101">
                  <c:v>0.93233250319636041</c:v>
                </c:pt>
                <c:pt idx="102">
                  <c:v>0.93232254719184215</c:v>
                </c:pt>
                <c:pt idx="103">
                  <c:v>0.93231079710872189</c:v>
                </c:pt>
                <c:pt idx="104">
                  <c:v>0.93229730434654956</c:v>
                </c:pt>
                <c:pt idx="105">
                  <c:v>0.93228211838444641</c:v>
                </c:pt>
                <c:pt idx="106">
                  <c:v>0.93226528686995225</c:v>
                </c:pt>
                <c:pt idx="107">
                  <c:v>0.93224685570298527</c:v>
                </c:pt>
                <c:pt idx="108">
                  <c:v>0.93222686911522601</c:v>
                </c:pt>
                <c:pt idx="109">
                  <c:v>0.93220536974521206</c:v>
                </c:pt>
                <c:pt idx="110">
                  <c:v>0.93218239870941433</c:v>
                </c:pt>
                <c:pt idx="111">
                  <c:v>0.93215799566953927</c:v>
                </c:pt>
                <c:pt idx="112">
                  <c:v>0.93213219889629395</c:v>
                </c:pt>
                <c:pt idx="113">
                  <c:v>0.93210504532982474</c:v>
                </c:pt>
                <c:pt idx="114">
                  <c:v>0.93207657063703186</c:v>
                </c:pt>
                <c:pt idx="115">
                  <c:v>0.93204680926594718</c:v>
                </c:pt>
                <c:pt idx="116">
                  <c:v>0.93201579449734939</c:v>
                </c:pt>
                <c:pt idx="117">
                  <c:v>0.93198355849377623</c:v>
                </c:pt>
                <c:pt idx="118">
                  <c:v>0.93195013234609025</c:v>
                </c:pt>
                <c:pt idx="119">
                  <c:v>0.93191554611773475</c:v>
                </c:pt>
                <c:pt idx="120">
                  <c:v>0.93187982888681631</c:v>
                </c:pt>
                <c:pt idx="121">
                  <c:v>0.93184300878613391</c:v>
                </c:pt>
                <c:pt idx="122">
                  <c:v>0.93180511304127467</c:v>
                </c:pt>
                <c:pt idx="123">
                  <c:v>0.9317661680068795</c:v>
                </c:pt>
                <c:pt idx="124">
                  <c:v>0.93172619920118471</c:v>
                </c:pt>
                <c:pt idx="125">
                  <c:v>0.93168523133893222</c:v>
                </c:pt>
                <c:pt idx="126">
                  <c:v>0.93164328836273735</c:v>
                </c:pt>
                <c:pt idx="127">
                  <c:v>0.93160039347299939</c:v>
                </c:pt>
                <c:pt idx="128">
                  <c:v>0.93155656915643215</c:v>
                </c:pt>
                <c:pt idx="129">
                  <c:v>0.93151183721328823</c:v>
                </c:pt>
                <c:pt idx="130">
                  <c:v>0.93146621878334668</c:v>
                </c:pt>
                <c:pt idx="131">
                  <c:v>0.93141973437072911</c:v>
                </c:pt>
                <c:pt idx="132">
                  <c:v>0.93137240386760545</c:v>
                </c:pt>
                <c:pt idx="133">
                  <c:v>0.9313242465768462</c:v>
                </c:pt>
                <c:pt idx="134">
                  <c:v>0.93127528123367531</c:v>
                </c:pt>
                <c:pt idx="135">
                  <c:v>0.93122552602637765</c:v>
                </c:pt>
                <c:pt idx="136">
                  <c:v>0.93117499861610342</c:v>
                </c:pt>
                <c:pt idx="137">
                  <c:v>0.93112371615582079</c:v>
                </c:pt>
                <c:pt idx="138">
                  <c:v>0.93107169530845535</c:v>
                </c:pt>
                <c:pt idx="139">
                  <c:v>0.93101895226425824</c:v>
                </c:pt>
                <c:pt idx="140">
                  <c:v>0.93096550275744139</c:v>
                </c:pt>
                <c:pt idx="141">
                  <c:v>0.93091136208211422</c:v>
                </c:pt>
                <c:pt idx="142">
                  <c:v>0.93085654510755766</c:v>
                </c:pt>
                <c:pt idx="143">
                  <c:v>0.93080106629286563</c:v>
                </c:pt>
                <c:pt idx="144">
                  <c:v>0.9307449397009856</c:v>
                </c:pt>
                <c:pt idx="145">
                  <c:v>0.93068817901218615</c:v>
                </c:pt>
                <c:pt idx="146">
                  <c:v>0.93063079753697941</c:v>
                </c:pt>
                <c:pt idx="147">
                  <c:v>0.93057280822852162</c:v>
                </c:pt>
                <c:pt idx="148">
                  <c:v>0.93051422369452064</c:v>
                </c:pt>
                <c:pt idx="149">
                  <c:v>0.93045505620866842</c:v>
                </c:pt>
                <c:pt idx="150">
                  <c:v>0.93039531772162265</c:v>
                </c:pt>
                <c:pt idx="151">
                  <c:v>0.93033501987155909</c:v>
                </c:pt>
                <c:pt idx="152">
                  <c:v>0.930274173994312</c:v>
                </c:pt>
                <c:pt idx="153">
                  <c:v>0.93021279113312272</c:v>
                </c:pt>
                <c:pt idx="154">
                  <c:v>0.93015088204801255</c:v>
                </c:pt>
                <c:pt idx="155">
                  <c:v>0.93008845722479916</c:v>
                </c:pt>
                <c:pt idx="156">
                  <c:v>0.93002552688376949</c:v>
                </c:pt>
                <c:pt idx="157">
                  <c:v>0.92996210098802601</c:v>
                </c:pt>
                <c:pt idx="158">
                  <c:v>0.92989818925152035</c:v>
                </c:pt>
                <c:pt idx="159">
                  <c:v>0.92983380114678682</c:v>
                </c:pt>
                <c:pt idx="160">
                  <c:v>0.92976894591239068</c:v>
                </c:pt>
                <c:pt idx="161">
                  <c:v>0.92970363256010202</c:v>
                </c:pt>
                <c:pt idx="162">
                  <c:v>0.92963786988180674</c:v>
                </c:pt>
                <c:pt idx="163">
                  <c:v>0.92957166645616729</c:v>
                </c:pt>
                <c:pt idx="164">
                  <c:v>0.92950503065504186</c:v>
                </c:pt>
                <c:pt idx="165">
                  <c:v>0.92943797064967371</c:v>
                </c:pt>
                <c:pt idx="166">
                  <c:v>0.92937049441665887</c:v>
                </c:pt>
                <c:pt idx="167">
                  <c:v>0.92930260974370371</c:v>
                </c:pt>
                <c:pt idx="168">
                  <c:v>0.92923432423517627</c:v>
                </c:pt>
                <c:pt idx="169">
                  <c:v>0.92916564531746648</c:v>
                </c:pt>
                <c:pt idx="170">
                  <c:v>0.92909658024415709</c:v>
                </c:pt>
                <c:pt idx="171">
                  <c:v>0.92902713610101528</c:v>
                </c:pt>
                <c:pt idx="172">
                  <c:v>0.92895731981081509</c:v>
                </c:pt>
                <c:pt idx="173">
                  <c:v>0.92888713813798973</c:v>
                </c:pt>
                <c:pt idx="174">
                  <c:v>0.92881659769313063</c:v>
                </c:pt>
                <c:pt idx="175">
                  <c:v>0.92874570493732989</c:v>
                </c:pt>
                <c:pt idx="176">
                  <c:v>0.92867446618637828</c:v>
                </c:pt>
                <c:pt idx="177">
                  <c:v>0.9286028876148229</c:v>
                </c:pt>
                <c:pt idx="178">
                  <c:v>0.92853097525988892</c:v>
                </c:pt>
                <c:pt idx="179">
                  <c:v>0.92845873502527099</c:v>
                </c:pt>
                <c:pt idx="180">
                  <c:v>0.92838617268480061</c:v>
                </c:pt>
                <c:pt idx="181">
                  <c:v>0.92831329388599315</c:v>
                </c:pt>
                <c:pt idx="182">
                  <c:v>0.9282401041534788</c:v>
                </c:pt>
                <c:pt idx="183">
                  <c:v>0.92816660889232239</c:v>
                </c:pt>
                <c:pt idx="184">
                  <c:v>0.92809281339123717</c:v>
                </c:pt>
                <c:pt idx="185">
                  <c:v>0.92801872282569275</c:v>
                </c:pt>
                <c:pt idx="186">
                  <c:v>0.92794434226092848</c:v>
                </c:pt>
                <c:pt idx="187">
                  <c:v>0.92786967665486608</c:v>
                </c:pt>
                <c:pt idx="188">
                  <c:v>0.92779473086093411</c:v>
                </c:pt>
                <c:pt idx="189">
                  <c:v>0.92771950963080185</c:v>
                </c:pt>
                <c:pt idx="190">
                  <c:v>0.92764401761702908</c:v>
                </c:pt>
                <c:pt idx="191">
                  <c:v>0.92756825937563181</c:v>
                </c:pt>
                <c:pt idx="192">
                  <c:v>0.92749223936856995</c:v>
                </c:pt>
                <c:pt idx="193">
                  <c:v>0.92741596196615894</c:v>
                </c:pt>
                <c:pt idx="194">
                  <c:v>0.92733943144940534</c:v>
                </c:pt>
                <c:pt idx="195">
                  <c:v>0.92726265201227442</c:v>
                </c:pt>
                <c:pt idx="196">
                  <c:v>0.92718562776388591</c:v>
                </c:pt>
                <c:pt idx="197">
                  <c:v>0.92710836273064623</c:v>
                </c:pt>
                <c:pt idx="198">
                  <c:v>0.92703086085831532</c:v>
                </c:pt>
                <c:pt idx="199">
                  <c:v>0.92695312601401125</c:v>
                </c:pt>
                <c:pt idx="200">
                  <c:v>0.92687516198815778</c:v>
                </c:pt>
                <c:pt idx="201">
                  <c:v>0.92679697249637116</c:v>
                </c:pt>
                <c:pt idx="202">
                  <c:v>0.92671856118129425</c:v>
                </c:pt>
                <c:pt idx="203">
                  <c:v>0.92663993161437508</c:v>
                </c:pt>
                <c:pt idx="204">
                  <c:v>0.92656108729759445</c:v>
                </c:pt>
                <c:pt idx="205">
                  <c:v>0.92648203166514376</c:v>
                </c:pt>
                <c:pt idx="206">
                  <c:v>0.92640276808505351</c:v>
                </c:pt>
                <c:pt idx="207">
                  <c:v>0.92632329986077611</c:v>
                </c:pt>
                <c:pt idx="208">
                  <c:v>0.92624363023272238</c:v>
                </c:pt>
                <c:pt idx="209">
                  <c:v>0.92616376237975584</c:v>
                </c:pt>
                <c:pt idx="210">
                  <c:v>0.92608369942064295</c:v>
                </c:pt>
                <c:pt idx="211">
                  <c:v>0.92600344441546389</c:v>
                </c:pt>
                <c:pt idx="212">
                  <c:v>0.92592300036698316</c:v>
                </c:pt>
                <c:pt idx="213">
                  <c:v>0.92584237022198268</c:v>
                </c:pt>
                <c:pt idx="214">
                  <c:v>0.92576155687255635</c:v>
                </c:pt>
                <c:pt idx="215">
                  <c:v>0.92568056315737046</c:v>
                </c:pt>
                <c:pt idx="216">
                  <c:v>0.92559939186288853</c:v>
                </c:pt>
                <c:pt idx="217">
                  <c:v>0.92551804572456331</c:v>
                </c:pt>
                <c:pt idx="218">
                  <c:v>0.92543652742799443</c:v>
                </c:pt>
                <c:pt idx="219">
                  <c:v>0.92535483961005793</c:v>
                </c:pt>
                <c:pt idx="220">
                  <c:v>0.92527298486000131</c:v>
                </c:pt>
                <c:pt idx="221">
                  <c:v>0.92519096572051318</c:v>
                </c:pt>
                <c:pt idx="222">
                  <c:v>0.92510878468876045</c:v>
                </c:pt>
                <c:pt idx="223">
                  <c:v>0.92502644421740077</c:v>
                </c:pt>
                <c:pt idx="224">
                  <c:v>0.92494394671556668</c:v>
                </c:pt>
                <c:pt idx="225">
                  <c:v>0.9248612945498238</c:v>
                </c:pt>
                <c:pt idx="226">
                  <c:v>0.92477849004510471</c:v>
                </c:pt>
                <c:pt idx="227">
                  <c:v>0.92469553548561711</c:v>
                </c:pt>
                <c:pt idx="228">
                  <c:v>0.92461243311572905</c:v>
                </c:pt>
                <c:pt idx="229">
                  <c:v>0.9245291851408316</c:v>
                </c:pt>
                <c:pt idx="230">
                  <c:v>0.92444579372817781</c:v>
                </c:pt>
                <c:pt idx="231">
                  <c:v>0.92436226100770169</c:v>
                </c:pt>
                <c:pt idx="232">
                  <c:v>0.9242785890728149</c:v>
                </c:pt>
                <c:pt idx="233">
                  <c:v>0.92419477998118393</c:v>
                </c:pt>
                <c:pt idx="234">
                  <c:v>0.92411083575548714</c:v>
                </c:pt>
                <c:pt idx="235">
                  <c:v>0.92402675838415305</c:v>
                </c:pt>
                <c:pt idx="236">
                  <c:v>0.9239425498220788</c:v>
                </c:pt>
                <c:pt idx="237">
                  <c:v>0.92385821199133278</c:v>
                </c:pt>
                <c:pt idx="238">
                  <c:v>0.92377374678183743</c:v>
                </c:pt>
                <c:pt idx="239">
                  <c:v>0.92368915605203661</c:v>
                </c:pt>
                <c:pt idx="240">
                  <c:v>0.92360444162954514</c:v>
                </c:pt>
                <c:pt idx="241">
                  <c:v>0.92351960531178412</c:v>
                </c:pt>
                <c:pt idx="242">
                  <c:v>0.9234346488665981</c:v>
                </c:pt>
                <c:pt idx="243">
                  <c:v>0.92334957403286</c:v>
                </c:pt>
                <c:pt idx="244">
                  <c:v>0.92326438252105902</c:v>
                </c:pt>
                <c:pt idx="245">
                  <c:v>0.92317907601387517</c:v>
                </c:pt>
                <c:pt idx="246">
                  <c:v>0.92309365616673988</c:v>
                </c:pt>
                <c:pt idx="247">
                  <c:v>0.92300812460838333</c:v>
                </c:pt>
                <c:pt idx="248">
                  <c:v>0.92292248294136825</c:v>
                </c:pt>
                <c:pt idx="249">
                  <c:v>0.92283673274261058</c:v>
                </c:pt>
                <c:pt idx="250">
                  <c:v>0.92275087556388913</c:v>
                </c:pt>
                <c:pt idx="251">
                  <c:v>0.92266491293234154</c:v>
                </c:pt>
                <c:pt idx="252">
                  <c:v>0.92257884635094978</c:v>
                </c:pt>
                <c:pt idx="253">
                  <c:v>0.92249267729901319</c:v>
                </c:pt>
                <c:pt idx="254">
                  <c:v>0.92240640723261147</c:v>
                </c:pt>
                <c:pt idx="255">
                  <c:v>0.92232003758505621</c:v>
                </c:pt>
                <c:pt idx="256">
                  <c:v>0.92223356976733162</c:v>
                </c:pt>
                <c:pt idx="257">
                  <c:v>0.92214700516852632</c:v>
                </c:pt>
                <c:pt idx="258">
                  <c:v>0.92206034515625368</c:v>
                </c:pt>
                <c:pt idx="259">
                  <c:v>0.92197359107706323</c:v>
                </c:pt>
                <c:pt idx="260">
                  <c:v>0.92188674425684325</c:v>
                </c:pt>
                <c:pt idx="261">
                  <c:v>0.92179980600121225</c:v>
                </c:pt>
                <c:pt idx="262">
                  <c:v>0.92171277759590431</c:v>
                </c:pt>
                <c:pt idx="263">
                  <c:v>0.92162566030714288</c:v>
                </c:pt>
                <c:pt idx="264">
                  <c:v>0.92153845538200874</c:v>
                </c:pt>
                <c:pt idx="265">
                  <c:v>0.92145116404879701</c:v>
                </c:pt>
                <c:pt idx="266">
                  <c:v>0.92136378751736892</c:v>
                </c:pt>
                <c:pt idx="267">
                  <c:v>0.9212763269794938</c:v>
                </c:pt>
                <c:pt idx="268">
                  <c:v>0.92118878360918366</c:v>
                </c:pt>
                <c:pt idx="269">
                  <c:v>0.92110115856302177</c:v>
                </c:pt>
                <c:pt idx="270">
                  <c:v>0.92101345298048221</c:v>
                </c:pt>
                <c:pt idx="271">
                  <c:v>0.92092566798424347</c:v>
                </c:pt>
                <c:pt idx="272">
                  <c:v>0.92083780468049525</c:v>
                </c:pt>
                <c:pt idx="273">
                  <c:v>0.92074986415923743</c:v>
                </c:pt>
                <c:pt idx="274">
                  <c:v>0.92066184749457403</c:v>
                </c:pt>
                <c:pt idx="275">
                  <c:v>0.92057375574499989</c:v>
                </c:pt>
                <c:pt idx="276">
                  <c:v>0.92048558995368146</c:v>
                </c:pt>
                <c:pt idx="277">
                  <c:v>0.92039735114873134</c:v>
                </c:pt>
                <c:pt idx="278">
                  <c:v>0.92030904034347716</c:v>
                </c:pt>
                <c:pt idx="279">
                  <c:v>0.92022065853672474</c:v>
                </c:pt>
                <c:pt idx="280">
                  <c:v>0.92013220671301521</c:v>
                </c:pt>
                <c:pt idx="281">
                  <c:v>0.92004368584287777</c:v>
                </c:pt>
                <c:pt idx="282">
                  <c:v>0.9199550968830752</c:v>
                </c:pt>
                <c:pt idx="283">
                  <c:v>0.91986644077684654</c:v>
                </c:pt>
                <c:pt idx="284">
                  <c:v>0.91977771845414313</c:v>
                </c:pt>
                <c:pt idx="285">
                  <c:v>0.91968893083185954</c:v>
                </c:pt>
                <c:pt idx="286">
                  <c:v>0.91960007881406081</c:v>
                </c:pt>
                <c:pt idx="287">
                  <c:v>0.91951116329220473</c:v>
                </c:pt>
                <c:pt idx="288">
                  <c:v>0.91942218514535823</c:v>
                </c:pt>
                <c:pt idx="289">
                  <c:v>0.91933314524041088</c:v>
                </c:pt>
                <c:pt idx="290">
                  <c:v>0.91924404443228347</c:v>
                </c:pt>
                <c:pt idx="291">
                  <c:v>0.91915488356413244</c:v>
                </c:pt>
                <c:pt idx="292">
                  <c:v>0.91906566346754892</c:v>
                </c:pt>
                <c:pt idx="293">
                  <c:v>0.91897638496275602</c:v>
                </c:pt>
                <c:pt idx="294">
                  <c:v>0.91888704885880024</c:v>
                </c:pt>
                <c:pt idx="295">
                  <c:v>0.91879765595373941</c:v>
                </c:pt>
                <c:pt idx="296">
                  <c:v>0.91870820703482792</c:v>
                </c:pt>
                <c:pt idx="297">
                  <c:v>0.9186187028786964</c:v>
                </c:pt>
                <c:pt idx="298">
                  <c:v>0.91852914425152943</c:v>
                </c:pt>
                <c:pt idx="299">
                  <c:v>0.91843953190923855</c:v>
                </c:pt>
              </c:numCache>
            </c:numRef>
          </c:yVal>
          <c:smooth val="1"/>
        </c:ser>
        <c:dLbls>
          <c:showLegendKey val="0"/>
          <c:showVal val="0"/>
          <c:showCatName val="0"/>
          <c:showSerName val="0"/>
          <c:showPercent val="0"/>
          <c:showBubbleSize val="0"/>
        </c:dLbls>
        <c:axId val="-1650384768"/>
        <c:axId val="-1650393472"/>
      </c:scatterChart>
      <c:valAx>
        <c:axId val="-1650384768"/>
        <c:scaling>
          <c:orientation val="minMax"/>
          <c:max val="4"/>
        </c:scaling>
        <c:delete val="0"/>
        <c:axPos val="b"/>
        <c:title>
          <c:tx>
            <c:rich>
              <a:bodyPr/>
              <a:lstStyle/>
              <a:p>
                <a:pPr>
                  <a:defRPr sz="1175" b="1" i="0" u="none" strike="noStrike" baseline="0">
                    <a:solidFill>
                      <a:srgbClr val="000000"/>
                    </a:solidFill>
                    <a:latin typeface="Arial"/>
                    <a:ea typeface="Arial"/>
                    <a:cs typeface="Arial"/>
                  </a:defRPr>
                </a:pPr>
                <a:r>
                  <a:rPr lang="en-US"/>
                  <a:t>Load Current (A)</a:t>
                </a:r>
              </a:p>
            </c:rich>
          </c:tx>
          <c:layout>
            <c:manualLayout>
              <c:xMode val="edge"/>
              <c:yMode val="edge"/>
              <c:x val="0.42956521739130432"/>
              <c:y val="0.88360008411411473"/>
            </c:manualLayout>
          </c:layout>
          <c:overlay val="0"/>
          <c:spPr>
            <a:noFill/>
            <a:ln w="25400">
              <a:noFill/>
            </a:ln>
          </c:spPr>
        </c:title>
        <c:numFmt formatCode="#,##0.00_);[Red]\(#,##0.00\)" sourceLinked="0"/>
        <c:majorTickMark val="out"/>
        <c:minorTickMark val="none"/>
        <c:tickLblPos val="nextTo"/>
        <c:spPr>
          <a:ln w="3175">
            <a:solidFill>
              <a:srgbClr val="000000"/>
            </a:solidFill>
            <a:prstDash val="solid"/>
          </a:ln>
        </c:spPr>
        <c:txPr>
          <a:bodyPr rot="0" vert="horz"/>
          <a:lstStyle/>
          <a:p>
            <a:pPr>
              <a:defRPr sz="1175" b="0" i="0" u="none" strike="noStrike" baseline="0">
                <a:solidFill>
                  <a:srgbClr val="000000"/>
                </a:solidFill>
                <a:latin typeface="Arial"/>
                <a:ea typeface="Arial"/>
                <a:cs typeface="Arial"/>
              </a:defRPr>
            </a:pPr>
            <a:endParaRPr lang="en-US"/>
          </a:p>
        </c:txPr>
        <c:crossAx val="-1650393472"/>
        <c:crosses val="autoZero"/>
        <c:crossBetween val="midCat"/>
        <c:majorUnit val="0.5"/>
      </c:valAx>
      <c:valAx>
        <c:axId val="-1650393472"/>
        <c:scaling>
          <c:orientation val="minMax"/>
          <c:max val="1"/>
          <c:min val="0.5"/>
        </c:scaling>
        <c:delete val="0"/>
        <c:axPos val="l"/>
        <c:majorGridlines>
          <c:spPr>
            <a:ln w="3175">
              <a:solidFill>
                <a:srgbClr val="000000"/>
              </a:solidFill>
              <a:prstDash val="solid"/>
            </a:ln>
          </c:spPr>
        </c:majorGridlines>
        <c:title>
          <c:tx>
            <c:rich>
              <a:bodyPr/>
              <a:lstStyle/>
              <a:p>
                <a:pPr>
                  <a:defRPr sz="1175" b="1" i="0" u="none" strike="noStrike" baseline="0">
                    <a:solidFill>
                      <a:srgbClr val="000000"/>
                    </a:solidFill>
                    <a:latin typeface="Arial"/>
                    <a:ea typeface="Arial"/>
                    <a:cs typeface="Arial"/>
                  </a:defRPr>
                </a:pPr>
                <a:r>
                  <a:rPr lang="en-US"/>
                  <a:t>Efficiency (%)</a:t>
                </a:r>
              </a:p>
            </c:rich>
          </c:tx>
          <c:layout>
            <c:manualLayout>
              <c:xMode val="edge"/>
              <c:yMode val="edge"/>
              <c:x val="2.782608695652174E-2"/>
              <c:y val="0.2857150868010934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175" b="0" i="0" u="none" strike="noStrike" baseline="0">
                <a:solidFill>
                  <a:srgbClr val="000000"/>
                </a:solidFill>
                <a:latin typeface="Arial"/>
                <a:ea typeface="Arial"/>
                <a:cs typeface="Arial"/>
              </a:defRPr>
            </a:pPr>
            <a:endParaRPr lang="en-US"/>
          </a:p>
        </c:txPr>
        <c:crossAx val="-1650384768"/>
        <c:crosses val="autoZero"/>
        <c:crossBetween val="midCat"/>
      </c:valAx>
      <c:spPr>
        <a:solidFill>
          <a:srgbClr val="C0C0C0"/>
        </a:solidFill>
        <a:ln w="12700">
          <a:solidFill>
            <a:srgbClr val="808080"/>
          </a:solidFill>
          <a:prstDash val="solid"/>
        </a:ln>
      </c:spPr>
    </c:plotArea>
    <c:plotVisOnly val="1"/>
    <c:dispBlanksAs val="gap"/>
    <c:showDLblsOverMax val="0"/>
  </c:chart>
  <c:spPr>
    <a:solidFill>
      <a:srgbClr val="FFFFFF"/>
    </a:solidFill>
    <a:ln w="25400">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n-US"/>
    </a:p>
  </c:txPr>
  <c:printSettings>
    <c:headerFooter alignWithMargins="0"/>
    <c:pageMargins b="1" l="0.75000000000000011" r="0.75000000000000011" t="1" header="0.5" footer="0.5"/>
    <c:pageSetup/>
  </c:printSettings>
</c:chartSpace>
</file>

<file path=xl/ctrlProps/ctrlProp1.xml><?xml version="1.0" encoding="utf-8"?>
<formControlPr xmlns="http://schemas.microsoft.com/office/spreadsheetml/2009/9/main" objectType="Drop" dropStyle="combo" dx="16" fmlaLink="'Sheet1 select'!$A$2" fmlaRange="'Controller parameters'!$A$2" sel="1" val="0"/>
</file>

<file path=xl/ctrlProps/ctrlProp2.xml><?xml version="1.0" encoding="utf-8"?>
<formControlPr xmlns="http://schemas.microsoft.com/office/spreadsheetml/2009/9/main" objectType="Drop" dropStyle="combo" dx="16" fmlaLink="$A$2" fmlaRange="'Controller parameters'!$A$2" sel="1" val="0"/>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0</xdr:col>
      <xdr:colOff>0</xdr:colOff>
      <xdr:row>53</xdr:row>
      <xdr:rowOff>0</xdr:rowOff>
    </xdr:from>
    <xdr:to>
      <xdr:col>8</xdr:col>
      <xdr:colOff>0</xdr:colOff>
      <xdr:row>74</xdr:row>
      <xdr:rowOff>171450</xdr:rowOff>
    </xdr:to>
    <xdr:graphicFrame macro="">
      <xdr:nvGraphicFramePr>
        <xdr:cNvPr id="565630"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35</xdr:row>
      <xdr:rowOff>0</xdr:rowOff>
    </xdr:from>
    <xdr:to>
      <xdr:col>8</xdr:col>
      <xdr:colOff>0</xdr:colOff>
      <xdr:row>51</xdr:row>
      <xdr:rowOff>28575</xdr:rowOff>
    </xdr:to>
    <xdr:graphicFrame macro="">
      <xdr:nvGraphicFramePr>
        <xdr:cNvPr id="565631" name="Chart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123825</xdr:colOff>
      <xdr:row>0</xdr:row>
      <xdr:rowOff>76200</xdr:rowOff>
    </xdr:from>
    <xdr:to>
      <xdr:col>5</xdr:col>
      <xdr:colOff>419100</xdr:colOff>
      <xdr:row>4</xdr:row>
      <xdr:rowOff>123825</xdr:rowOff>
    </xdr:to>
    <xdr:pic>
      <xdr:nvPicPr>
        <xdr:cNvPr id="565632" name="Picture 48" descr="AOS_Universal"/>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23825" y="76200"/>
          <a:ext cx="3686175" cy="771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11</xdr:row>
      <xdr:rowOff>180975</xdr:rowOff>
    </xdr:from>
    <xdr:to>
      <xdr:col>8</xdr:col>
      <xdr:colOff>28575</xdr:colOff>
      <xdr:row>29</xdr:row>
      <xdr:rowOff>0</xdr:rowOff>
    </xdr:to>
    <xdr:pic>
      <xdr:nvPicPr>
        <xdr:cNvPr id="565633" name="Picture 135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2505075"/>
          <a:ext cx="5505450" cy="3390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9</xdr:col>
          <xdr:colOff>190500</xdr:colOff>
          <xdr:row>10</xdr:row>
          <xdr:rowOff>22860</xdr:rowOff>
        </xdr:from>
        <xdr:to>
          <xdr:col>11</xdr:col>
          <xdr:colOff>502920</xdr:colOff>
          <xdr:row>10</xdr:row>
          <xdr:rowOff>220980</xdr:rowOff>
        </xdr:to>
        <xdr:sp macro="" textlink="">
          <xdr:nvSpPr>
            <xdr:cNvPr id="1079" name="Drop Down 55" hidden="1">
              <a:extLst>
                <a:ext uri="{63B3BB69-23CF-44E3-9099-C40C66FF867C}">
                  <a14:compatExt spid="_x0000_s1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1</xdr:col>
      <xdr:colOff>47625</xdr:colOff>
      <xdr:row>7</xdr:row>
      <xdr:rowOff>28575</xdr:rowOff>
    </xdr:to>
    <xdr:pic>
      <xdr:nvPicPr>
        <xdr:cNvPr id="11590" name="Picture 31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001750"/>
          <a:ext cx="5524500" cy="2362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114300</xdr:colOff>
          <xdr:row>1</xdr:row>
          <xdr:rowOff>30480</xdr:rowOff>
        </xdr:from>
        <xdr:to>
          <xdr:col>0</xdr:col>
          <xdr:colOff>1569720</xdr:colOff>
          <xdr:row>1</xdr:row>
          <xdr:rowOff>228600</xdr:rowOff>
        </xdr:to>
        <xdr:sp macro="" textlink="">
          <xdr:nvSpPr>
            <xdr:cNvPr id="3073" name="Drop Down 1"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Documents%20and%20Settings\yuding\&#26700;&#38754;\LM20242_Calculator.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design%20tool\summary\___.rar___200641019282086737\&#21160;&#24577;&#22270;&#29255;.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M20242 Design Calculator"/>
      <sheetName val="EfficiencyCalculations"/>
      <sheetName val="Design"/>
      <sheetName val="Main Page"/>
      <sheetName val="Slope Comp Calculations"/>
      <sheetName val="Stability Graph Calculations"/>
    </sheetNames>
    <sheetDataSet>
      <sheetData sheetId="0"/>
      <sheetData sheetId="1"/>
      <sheetData sheetId="2"/>
      <sheetData sheetId="3">
        <row r="6">
          <cell r="B6">
            <v>3.3</v>
          </cell>
        </row>
        <row r="18">
          <cell r="B18">
            <v>300</v>
          </cell>
        </row>
      </sheetData>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s>
    <sheetDataSet>
      <sheetData sheetId="0" refreshError="1"/>
      <sheetData sheetId="1">
        <row r="1">
          <cell r="A1">
            <v>8</v>
          </cell>
        </row>
      </sheetData>
      <sheetData sheetId="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aosmd.com/web/products/poweric.jsp"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25"/>
  <sheetViews>
    <sheetView workbookViewId="0">
      <selection activeCell="D28" sqref="D28"/>
    </sheetView>
  </sheetViews>
  <sheetFormatPr defaultRowHeight="15.6"/>
  <cols>
    <col min="3" max="3" width="5.5" customWidth="1"/>
    <col min="5" max="5" width="18.69921875" customWidth="1"/>
  </cols>
  <sheetData>
    <row r="1" spans="1:13">
      <c r="A1" s="211"/>
      <c r="B1" s="211"/>
      <c r="C1" s="254" t="s">
        <v>195</v>
      </c>
      <c r="D1" s="254"/>
      <c r="E1" s="254"/>
      <c r="F1" s="254"/>
      <c r="G1" s="254"/>
      <c r="H1" s="254"/>
      <c r="I1" s="234" t="s">
        <v>225</v>
      </c>
      <c r="J1" s="211"/>
      <c r="K1" s="211"/>
      <c r="L1" s="211"/>
      <c r="M1" s="211"/>
    </row>
    <row r="2" spans="1:13">
      <c r="A2" s="211"/>
      <c r="B2" s="211"/>
      <c r="C2" s="211"/>
      <c r="D2" s="211"/>
      <c r="E2" s="211"/>
      <c r="F2" s="211"/>
      <c r="G2" s="211"/>
      <c r="H2" s="211"/>
      <c r="I2" s="211"/>
      <c r="J2" s="211"/>
      <c r="K2" s="211"/>
      <c r="L2" s="211"/>
      <c r="M2" s="211"/>
    </row>
    <row r="3" spans="1:13">
      <c r="A3" s="246" t="s">
        <v>239</v>
      </c>
      <c r="B3" s="249"/>
      <c r="C3" s="249"/>
      <c r="D3" s="249"/>
      <c r="E3" s="249"/>
      <c r="F3" s="249"/>
      <c r="G3" s="249"/>
      <c r="H3" s="249"/>
      <c r="I3" s="249"/>
      <c r="J3" s="247"/>
      <c r="K3" s="247"/>
      <c r="L3" s="247"/>
      <c r="M3" s="247"/>
    </row>
    <row r="4" spans="1:13">
      <c r="A4" s="247"/>
      <c r="B4" s="247"/>
      <c r="C4" s="247"/>
      <c r="D4" s="247"/>
      <c r="E4" s="247"/>
      <c r="F4" s="247"/>
      <c r="G4" s="247"/>
      <c r="H4" s="247"/>
      <c r="I4" s="247"/>
      <c r="J4" s="247"/>
      <c r="K4" s="247"/>
      <c r="L4" s="247"/>
      <c r="M4" s="247"/>
    </row>
    <row r="5" spans="1:13" ht="8.25" customHeight="1">
      <c r="A5" s="247"/>
      <c r="B5" s="247"/>
      <c r="C5" s="247"/>
      <c r="D5" s="247"/>
      <c r="E5" s="247"/>
      <c r="F5" s="247"/>
      <c r="G5" s="247"/>
      <c r="H5" s="247"/>
      <c r="I5" s="247"/>
      <c r="J5" s="247"/>
      <c r="K5" s="247"/>
      <c r="L5" s="247"/>
      <c r="M5" s="247"/>
    </row>
    <row r="6" spans="1:13" ht="26.25" customHeight="1">
      <c r="A6" s="250" t="s">
        <v>221</v>
      </c>
      <c r="B6" s="250"/>
      <c r="C6" s="250"/>
      <c r="D6" s="250"/>
      <c r="E6" s="250"/>
      <c r="F6" s="250"/>
      <c r="G6" s="250"/>
      <c r="H6" s="250"/>
      <c r="I6" s="251"/>
      <c r="J6" s="251"/>
      <c r="K6" s="251"/>
      <c r="L6" s="251"/>
      <c r="M6" s="251"/>
    </row>
    <row r="7" spans="1:13" ht="19.5" customHeight="1">
      <c r="A7" s="246" t="s">
        <v>203</v>
      </c>
      <c r="B7" s="247"/>
      <c r="C7" s="247"/>
      <c r="D7" s="247"/>
      <c r="E7" s="247"/>
      <c r="F7" s="247"/>
      <c r="G7" s="247"/>
      <c r="H7" s="247"/>
      <c r="I7" s="247"/>
      <c r="J7" s="247"/>
      <c r="K7" s="247"/>
      <c r="L7" s="247"/>
      <c r="M7" s="247"/>
    </row>
    <row r="8" spans="1:13" ht="19.5" customHeight="1">
      <c r="A8" s="247"/>
      <c r="B8" s="247"/>
      <c r="C8" s="247"/>
      <c r="D8" s="247"/>
      <c r="E8" s="247"/>
      <c r="F8" s="247"/>
      <c r="G8" s="247"/>
      <c r="H8" s="247"/>
      <c r="I8" s="247"/>
      <c r="J8" s="247"/>
      <c r="K8" s="247"/>
      <c r="L8" s="247"/>
      <c r="M8" s="247"/>
    </row>
    <row r="9" spans="1:13">
      <c r="A9" s="256" t="s">
        <v>189</v>
      </c>
      <c r="B9" s="256"/>
      <c r="C9" s="256"/>
      <c r="D9" s="255" t="s">
        <v>190</v>
      </c>
      <c r="E9" s="255"/>
      <c r="F9" s="253" t="s">
        <v>196</v>
      </c>
      <c r="G9" s="253"/>
      <c r="H9" s="253"/>
      <c r="I9" s="253"/>
      <c r="J9" s="253"/>
      <c r="K9" s="247"/>
      <c r="L9" s="211"/>
      <c r="M9" s="211"/>
    </row>
    <row r="10" spans="1:13">
      <c r="A10" s="211"/>
      <c r="B10" s="211"/>
      <c r="C10" s="211"/>
      <c r="D10" s="255" t="s">
        <v>191</v>
      </c>
      <c r="E10" s="255"/>
      <c r="F10" s="252" t="s">
        <v>192</v>
      </c>
      <c r="G10" s="252"/>
      <c r="H10" s="252"/>
      <c r="I10" s="252"/>
      <c r="J10" s="247"/>
      <c r="K10" s="247"/>
      <c r="L10" s="211"/>
      <c r="M10" s="211"/>
    </row>
    <row r="11" spans="1:13">
      <c r="A11" s="211"/>
      <c r="B11" s="211"/>
      <c r="C11" s="211"/>
      <c r="D11" s="255" t="s">
        <v>193</v>
      </c>
      <c r="E11" s="255"/>
      <c r="F11" s="257" t="s">
        <v>194</v>
      </c>
      <c r="G11" s="247"/>
      <c r="H11" s="247"/>
      <c r="I11" s="247"/>
      <c r="J11" s="247"/>
      <c r="K11" s="247"/>
      <c r="L11" s="211"/>
      <c r="M11" s="211"/>
    </row>
    <row r="12" spans="1:13">
      <c r="A12" s="211"/>
      <c r="B12" s="211"/>
      <c r="C12" s="211"/>
      <c r="D12" s="255" t="s">
        <v>197</v>
      </c>
      <c r="E12" s="255"/>
      <c r="F12" s="252" t="s">
        <v>198</v>
      </c>
      <c r="G12" s="252"/>
      <c r="H12" s="252"/>
      <c r="I12" s="252"/>
      <c r="J12" s="247"/>
      <c r="K12" s="247"/>
      <c r="L12" s="211"/>
      <c r="M12" s="211"/>
    </row>
    <row r="13" spans="1:13">
      <c r="A13" s="211"/>
      <c r="B13" s="211"/>
      <c r="C13" s="211"/>
      <c r="D13" s="255" t="s">
        <v>200</v>
      </c>
      <c r="E13" s="255"/>
      <c r="F13" s="252" t="s">
        <v>199</v>
      </c>
      <c r="G13" s="252"/>
      <c r="H13" s="252"/>
      <c r="I13" s="252"/>
      <c r="J13" s="247"/>
      <c r="K13" s="247"/>
      <c r="L13" s="211"/>
      <c r="M13" s="211"/>
    </row>
    <row r="14" spans="1:13">
      <c r="A14" s="211"/>
      <c r="B14" s="211"/>
      <c r="C14" s="211"/>
      <c r="D14" s="255" t="s">
        <v>201</v>
      </c>
      <c r="E14" s="255"/>
      <c r="F14" s="253" t="s">
        <v>202</v>
      </c>
      <c r="G14" s="253"/>
      <c r="H14" s="253"/>
      <c r="I14" s="253"/>
      <c r="J14" s="247"/>
      <c r="K14" s="247"/>
      <c r="L14" s="211"/>
      <c r="M14" s="211"/>
    </row>
    <row r="15" spans="1:13">
      <c r="A15" s="248"/>
      <c r="B15" s="248"/>
      <c r="C15" s="248"/>
      <c r="D15" s="248"/>
      <c r="E15" s="248"/>
      <c r="F15" s="248"/>
      <c r="G15" s="248"/>
      <c r="H15" s="248"/>
      <c r="I15" s="248"/>
      <c r="J15" s="248"/>
      <c r="K15" s="211"/>
      <c r="L15" s="211"/>
      <c r="M15" s="211"/>
    </row>
    <row r="16" spans="1:13">
      <c r="A16" s="246" t="s">
        <v>204</v>
      </c>
      <c r="B16" s="247"/>
      <c r="C16" s="247"/>
      <c r="D16" s="247"/>
      <c r="E16" s="247"/>
      <c r="F16" s="247"/>
      <c r="G16" s="247"/>
      <c r="H16" s="247"/>
      <c r="I16" s="247"/>
      <c r="J16" s="247"/>
      <c r="K16" s="247"/>
      <c r="L16" s="247"/>
      <c r="M16" s="247"/>
    </row>
    <row r="17" spans="1:13">
      <c r="A17" s="247"/>
      <c r="B17" s="247"/>
      <c r="C17" s="247"/>
      <c r="D17" s="247"/>
      <c r="E17" s="247"/>
      <c r="F17" s="247"/>
      <c r="G17" s="247"/>
      <c r="H17" s="247"/>
      <c r="I17" s="247"/>
      <c r="J17" s="247"/>
      <c r="K17" s="247"/>
      <c r="L17" s="247"/>
      <c r="M17" s="247"/>
    </row>
    <row r="18" spans="1:13">
      <c r="A18" s="247"/>
      <c r="B18" s="247"/>
      <c r="C18" s="247"/>
      <c r="D18" s="247"/>
      <c r="E18" s="247"/>
      <c r="F18" s="247"/>
      <c r="G18" s="247"/>
      <c r="H18" s="247"/>
      <c r="I18" s="247"/>
      <c r="J18" s="247"/>
      <c r="K18" s="247"/>
      <c r="L18" s="247"/>
      <c r="M18" s="247"/>
    </row>
    <row r="19" spans="1:13">
      <c r="A19" s="211"/>
      <c r="B19" s="211"/>
      <c r="C19" s="211"/>
      <c r="D19" s="211"/>
      <c r="E19" s="211"/>
      <c r="F19" s="211"/>
      <c r="G19" s="211"/>
      <c r="H19" s="211"/>
      <c r="I19" s="211"/>
      <c r="J19" s="211"/>
      <c r="K19" s="211"/>
      <c r="L19" s="211"/>
      <c r="M19" s="211"/>
    </row>
    <row r="20" spans="1:13">
      <c r="A20" s="211"/>
      <c r="B20" s="211"/>
      <c r="C20" s="211"/>
      <c r="D20" s="211"/>
      <c r="E20" s="211"/>
      <c r="F20" s="211"/>
      <c r="G20" s="211"/>
      <c r="H20" s="211"/>
      <c r="I20" s="211"/>
      <c r="J20" s="211"/>
      <c r="K20" s="211"/>
      <c r="L20" s="211"/>
      <c r="M20" s="211"/>
    </row>
    <row r="21" spans="1:13">
      <c r="A21" s="211"/>
      <c r="B21" s="211"/>
      <c r="C21" s="211"/>
      <c r="D21" s="211"/>
      <c r="E21" s="211"/>
      <c r="F21" s="211"/>
      <c r="G21" s="211"/>
      <c r="H21" s="211"/>
      <c r="I21" s="211"/>
      <c r="J21" s="211"/>
      <c r="K21" s="211"/>
      <c r="L21" s="211"/>
      <c r="M21" s="211"/>
    </row>
    <row r="22" spans="1:13">
      <c r="A22" s="211"/>
      <c r="B22" s="211"/>
      <c r="C22" s="211"/>
      <c r="D22" s="211"/>
      <c r="E22" s="211"/>
      <c r="F22" s="211"/>
      <c r="G22" s="211"/>
      <c r="H22" s="211"/>
      <c r="I22" s="211"/>
      <c r="J22" s="211"/>
      <c r="K22" s="211"/>
      <c r="L22" s="211"/>
      <c r="M22" s="211"/>
    </row>
    <row r="23" spans="1:13">
      <c r="A23" s="211"/>
      <c r="B23" s="211"/>
      <c r="C23" s="211"/>
      <c r="D23" s="211"/>
      <c r="E23" s="211"/>
      <c r="F23" s="211"/>
      <c r="G23" s="211"/>
      <c r="H23" s="211"/>
      <c r="I23" s="211"/>
      <c r="J23" s="211"/>
      <c r="K23" s="211"/>
      <c r="L23" s="211"/>
      <c r="M23" s="211"/>
    </row>
    <row r="24" spans="1:13">
      <c r="A24" s="211"/>
      <c r="B24" s="211"/>
      <c r="C24" s="211"/>
      <c r="D24" s="211"/>
      <c r="E24" s="211"/>
      <c r="F24" s="211"/>
      <c r="G24" s="211"/>
      <c r="H24" s="211"/>
      <c r="I24" s="211"/>
      <c r="J24" s="211"/>
      <c r="K24" s="211"/>
      <c r="L24" s="211"/>
      <c r="M24" s="211"/>
    </row>
    <row r="25" spans="1:13">
      <c r="A25" s="211"/>
      <c r="B25" s="211"/>
      <c r="C25" s="211"/>
      <c r="D25" s="211"/>
      <c r="E25" s="211"/>
      <c r="F25" s="211"/>
      <c r="G25" s="211"/>
      <c r="H25" s="211"/>
      <c r="I25" s="211"/>
      <c r="J25" s="211"/>
      <c r="K25" s="211"/>
      <c r="L25" s="211"/>
      <c r="M25" s="211"/>
    </row>
  </sheetData>
  <mergeCells count="19">
    <mergeCell ref="C1:H1"/>
    <mergeCell ref="D14:E14"/>
    <mergeCell ref="A9:C9"/>
    <mergeCell ref="D9:E9"/>
    <mergeCell ref="D10:E10"/>
    <mergeCell ref="D11:E11"/>
    <mergeCell ref="D12:E12"/>
    <mergeCell ref="D13:E13"/>
    <mergeCell ref="F11:K11"/>
    <mergeCell ref="A16:M18"/>
    <mergeCell ref="A15:J15"/>
    <mergeCell ref="A3:M5"/>
    <mergeCell ref="A6:M6"/>
    <mergeCell ref="A7:M8"/>
    <mergeCell ref="F12:K12"/>
    <mergeCell ref="F9:K9"/>
    <mergeCell ref="F10:K10"/>
    <mergeCell ref="F13:K13"/>
    <mergeCell ref="F14:K14"/>
  </mergeCells>
  <phoneticPr fontId="2"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P89"/>
  <sheetViews>
    <sheetView showGridLines="0" tabSelected="1" topLeftCell="A2" workbookViewId="0">
      <selection activeCell="N16" sqref="N16"/>
    </sheetView>
  </sheetViews>
  <sheetFormatPr defaultRowHeight="15.6"/>
  <cols>
    <col min="5" max="5" width="8.5" customWidth="1"/>
    <col min="8" max="8" width="9.3984375" customWidth="1"/>
    <col min="9" max="9" width="2.5" customWidth="1"/>
    <col min="10" max="10" width="6" customWidth="1"/>
    <col min="13" max="13" width="10.09765625" customWidth="1"/>
    <col min="14" max="14" width="6.3984375" customWidth="1"/>
    <col min="15" max="15" width="5.59765625" customWidth="1"/>
  </cols>
  <sheetData>
    <row r="1" spans="1:16">
      <c r="A1" s="274"/>
      <c r="B1" s="274"/>
      <c r="C1" s="274"/>
      <c r="D1" s="274"/>
      <c r="E1" s="274"/>
      <c r="F1" s="274"/>
      <c r="I1" s="1"/>
    </row>
    <row r="2" spans="1:16">
      <c r="A2" s="274">
        <v>7</v>
      </c>
      <c r="B2" s="274"/>
      <c r="C2" s="274"/>
      <c r="D2" s="274"/>
      <c r="E2" s="274"/>
      <c r="F2" s="274"/>
      <c r="I2" s="1"/>
    </row>
    <row r="3" spans="1:16">
      <c r="A3" s="274"/>
      <c r="B3" s="274"/>
      <c r="C3" s="274"/>
      <c r="D3" s="274"/>
      <c r="E3" s="274"/>
      <c r="F3" s="274"/>
      <c r="I3" s="1"/>
    </row>
    <row r="4" spans="1:16">
      <c r="A4" s="274"/>
      <c r="B4" s="274"/>
      <c r="C4" s="274"/>
      <c r="D4" s="274"/>
      <c r="E4" s="274"/>
      <c r="F4" s="274"/>
      <c r="I4" s="1"/>
      <c r="K4" s="24"/>
    </row>
    <row r="5" spans="1:16">
      <c r="A5" s="274"/>
      <c r="B5" s="274"/>
      <c r="C5" s="274"/>
      <c r="D5" s="274"/>
      <c r="E5" s="274"/>
      <c r="F5" s="274"/>
      <c r="I5" s="1"/>
    </row>
    <row r="6" spans="1:16">
      <c r="A6" s="2"/>
      <c r="B6" s="2"/>
      <c r="C6" s="2"/>
      <c r="D6" s="2"/>
      <c r="E6" s="2"/>
      <c r="I6" s="1"/>
    </row>
    <row r="7" spans="1:16" ht="24" customHeight="1">
      <c r="A7" s="3" t="s">
        <v>0</v>
      </c>
      <c r="B7" s="4"/>
      <c r="C7" s="4"/>
      <c r="D7" s="4"/>
      <c r="E7" s="4"/>
      <c r="F7" s="5"/>
      <c r="G7" s="207" t="s">
        <v>226</v>
      </c>
      <c r="I7" s="1"/>
      <c r="J7" s="14"/>
      <c r="K7" s="15"/>
      <c r="L7" s="15"/>
      <c r="M7" s="15"/>
      <c r="N7" s="1"/>
    </row>
    <row r="8" spans="1:16" ht="18" customHeight="1">
      <c r="A8" s="193" t="s">
        <v>170</v>
      </c>
      <c r="B8" s="279" t="s">
        <v>168</v>
      </c>
      <c r="C8" s="279"/>
      <c r="D8" s="279"/>
      <c r="E8" s="274"/>
      <c r="F8" s="154"/>
      <c r="G8" s="154"/>
      <c r="I8" s="1"/>
      <c r="J8" s="25"/>
      <c r="K8" s="25"/>
      <c r="L8" s="25"/>
      <c r="M8" s="24"/>
      <c r="N8" s="1"/>
    </row>
    <row r="9" spans="1:16" ht="18" customHeight="1">
      <c r="A9" s="194" t="s">
        <v>167</v>
      </c>
      <c r="B9" s="280" t="s">
        <v>169</v>
      </c>
      <c r="C9" s="280"/>
      <c r="D9" s="280"/>
      <c r="E9" s="274"/>
      <c r="F9" s="5"/>
      <c r="G9" s="5"/>
      <c r="I9" s="1"/>
      <c r="J9" s="14"/>
      <c r="K9" s="15"/>
      <c r="L9" s="15"/>
      <c r="M9" s="15"/>
      <c r="N9" s="1"/>
    </row>
    <row r="10" spans="1:16" ht="18" customHeight="1">
      <c r="A10" s="195"/>
      <c r="B10" s="276" t="s">
        <v>172</v>
      </c>
      <c r="C10" s="276"/>
      <c r="D10" s="276"/>
      <c r="E10" s="276"/>
      <c r="F10" s="5"/>
      <c r="G10" s="5"/>
      <c r="I10" s="1"/>
      <c r="J10" s="186" t="s">
        <v>165</v>
      </c>
      <c r="K10" s="187"/>
      <c r="L10" s="187"/>
      <c r="M10" s="187"/>
      <c r="N10" s="188"/>
      <c r="O10" s="189"/>
      <c r="P10" s="189"/>
    </row>
    <row r="11" spans="1:16" ht="19.5" customHeight="1">
      <c r="A11" s="6"/>
      <c r="B11" s="5"/>
      <c r="C11" s="5"/>
      <c r="D11" s="5"/>
      <c r="E11" s="5"/>
      <c r="F11" s="5"/>
      <c r="G11" s="5"/>
      <c r="I11" s="1"/>
      <c r="J11" s="275">
        <v>4</v>
      </c>
      <c r="K11" s="275"/>
      <c r="L11" s="185"/>
      <c r="M11" s="24"/>
      <c r="N11" s="1"/>
    </row>
    <row r="12" spans="1:16" ht="16.2" thickBot="1">
      <c r="A12" s="20" t="s">
        <v>171</v>
      </c>
      <c r="B12" s="21"/>
      <c r="C12" s="21"/>
      <c r="D12" s="5"/>
      <c r="E12" s="5"/>
      <c r="F12" s="5"/>
      <c r="G12" s="5"/>
      <c r="I12" s="1"/>
    </row>
    <row r="13" spans="1:16" ht="17.399999999999999">
      <c r="A13" s="129"/>
      <c r="B13" s="130"/>
      <c r="C13" s="130"/>
      <c r="D13" s="130"/>
      <c r="E13" s="130"/>
      <c r="F13" s="130"/>
      <c r="G13" s="130"/>
      <c r="H13" s="131"/>
      <c r="I13" s="8"/>
      <c r="J13" s="190" t="s">
        <v>166</v>
      </c>
      <c r="K13" s="191"/>
      <c r="L13" s="191"/>
      <c r="M13" s="189"/>
      <c r="N13" s="189"/>
      <c r="O13" s="189"/>
      <c r="P13" s="189"/>
    </row>
    <row r="14" spans="1:16" ht="16.2" thickBot="1">
      <c r="A14" s="132"/>
      <c r="B14" s="1"/>
      <c r="C14" s="1"/>
      <c r="D14" s="1"/>
      <c r="E14" s="1"/>
      <c r="F14" s="1"/>
      <c r="G14" s="1"/>
      <c r="H14" s="133"/>
      <c r="I14" s="9"/>
      <c r="J14" s="9" t="s">
        <v>160</v>
      </c>
      <c r="K14" s="9"/>
      <c r="L14" s="9"/>
      <c r="M14" s="21"/>
      <c r="P14" s="265"/>
    </row>
    <row r="15" spans="1:16">
      <c r="A15" s="132"/>
      <c r="B15" s="1"/>
      <c r="C15" s="1"/>
      <c r="D15" s="1"/>
      <c r="E15" s="1"/>
      <c r="F15" s="1"/>
      <c r="G15" s="1"/>
      <c r="H15" s="133"/>
      <c r="I15" s="10"/>
      <c r="J15" s="269" t="s">
        <v>173</v>
      </c>
      <c r="K15" s="270"/>
      <c r="L15" s="270"/>
      <c r="M15" s="270"/>
      <c r="N15" s="170">
        <v>12</v>
      </c>
      <c r="O15" s="16" t="s">
        <v>1</v>
      </c>
      <c r="P15" s="265"/>
    </row>
    <row r="16" spans="1:16">
      <c r="A16" s="132"/>
      <c r="B16" s="1"/>
      <c r="C16" s="1"/>
      <c r="D16" s="1"/>
      <c r="E16" s="1"/>
      <c r="F16" s="1"/>
      <c r="G16" s="1"/>
      <c r="H16" s="133"/>
      <c r="I16" s="10"/>
      <c r="J16" s="266" t="s">
        <v>227</v>
      </c>
      <c r="K16" s="267"/>
      <c r="L16" s="267"/>
      <c r="M16" s="267"/>
      <c r="N16" s="171">
        <v>5</v>
      </c>
      <c r="O16" s="11" t="s">
        <v>1</v>
      </c>
      <c r="P16" s="265"/>
    </row>
    <row r="17" spans="1:16">
      <c r="A17" s="132"/>
      <c r="B17" s="1"/>
      <c r="C17" s="1"/>
      <c r="D17" s="1"/>
      <c r="E17" s="1"/>
      <c r="F17" s="1"/>
      <c r="G17" s="1"/>
      <c r="H17" s="133"/>
      <c r="I17" s="10"/>
      <c r="J17" s="266" t="s">
        <v>174</v>
      </c>
      <c r="K17" s="267"/>
      <c r="L17" s="267"/>
      <c r="M17" s="267"/>
      <c r="N17" s="196">
        <v>0.8</v>
      </c>
      <c r="O17" s="11" t="s">
        <v>2</v>
      </c>
      <c r="P17" s="265"/>
    </row>
    <row r="18" spans="1:16">
      <c r="A18" s="132"/>
      <c r="B18" s="1"/>
      <c r="C18" s="1"/>
      <c r="D18" s="1"/>
      <c r="E18" s="1"/>
      <c r="F18" s="1"/>
      <c r="G18" s="1"/>
      <c r="H18" s="133"/>
      <c r="I18" s="10"/>
      <c r="J18" s="266" t="s">
        <v>175</v>
      </c>
      <c r="K18" s="267"/>
      <c r="L18" s="267"/>
      <c r="M18" s="267"/>
      <c r="N18" s="171">
        <v>3</v>
      </c>
      <c r="O18" s="11" t="s">
        <v>5</v>
      </c>
      <c r="P18" s="265"/>
    </row>
    <row r="19" spans="1:16" ht="16.2" thickBot="1">
      <c r="A19" s="132"/>
      <c r="B19" s="1"/>
      <c r="C19" s="1"/>
      <c r="D19" s="1"/>
      <c r="E19" s="1"/>
      <c r="F19" s="1"/>
      <c r="G19" s="1"/>
      <c r="H19" s="133"/>
      <c r="I19" s="10"/>
      <c r="J19" s="263" t="s">
        <v>176</v>
      </c>
      <c r="K19" s="268"/>
      <c r="L19" s="268"/>
      <c r="M19" s="268"/>
      <c r="N19" s="172">
        <v>25</v>
      </c>
      <c r="O19" s="197" t="s">
        <v>74</v>
      </c>
      <c r="P19" s="265"/>
    </row>
    <row r="20" spans="1:16">
      <c r="A20" s="132"/>
      <c r="B20" s="1"/>
      <c r="C20" s="1"/>
      <c r="D20" s="1"/>
      <c r="E20" s="1"/>
      <c r="F20" s="1"/>
      <c r="G20" s="1"/>
      <c r="H20" s="133"/>
    </row>
    <row r="21" spans="1:16" ht="21.6" thickBot="1">
      <c r="A21" s="132"/>
      <c r="B21" s="1"/>
      <c r="C21" s="1"/>
      <c r="D21" s="1"/>
      <c r="E21" s="1"/>
      <c r="F21" s="1"/>
      <c r="G21" s="1"/>
      <c r="H21" s="133"/>
      <c r="J21" s="190" t="s">
        <v>235</v>
      </c>
      <c r="K21" s="191"/>
      <c r="L21" s="191"/>
      <c r="M21" s="189"/>
      <c r="N21" s="189"/>
      <c r="O21" s="189"/>
      <c r="P21" s="189"/>
    </row>
    <row r="22" spans="1:16">
      <c r="A22" s="132"/>
      <c r="B22" s="1"/>
      <c r="C22" s="1"/>
      <c r="D22" s="1"/>
      <c r="E22" s="1"/>
      <c r="F22" s="1"/>
      <c r="G22" s="1"/>
      <c r="H22" s="133"/>
      <c r="J22" s="281" t="s">
        <v>228</v>
      </c>
      <c r="K22" s="282"/>
      <c r="L22" s="282"/>
      <c r="M22" s="282"/>
      <c r="N22" s="236">
        <v>200</v>
      </c>
      <c r="O22" s="235" t="s">
        <v>229</v>
      </c>
    </row>
    <row r="23" spans="1:16" ht="16.2" thickBot="1">
      <c r="A23" s="132"/>
      <c r="B23" s="1"/>
      <c r="C23" s="1"/>
      <c r="D23" s="1"/>
      <c r="E23" s="1"/>
      <c r="F23" s="1"/>
      <c r="G23" s="1"/>
      <c r="H23" s="133"/>
      <c r="J23" s="263" t="s">
        <v>234</v>
      </c>
      <c r="K23" s="264"/>
      <c r="L23" s="264"/>
      <c r="M23" s="264"/>
      <c r="N23" s="237">
        <f>50000/N22</f>
        <v>250</v>
      </c>
      <c r="O23" s="238" t="s">
        <v>230</v>
      </c>
    </row>
    <row r="24" spans="1:16">
      <c r="A24" s="132"/>
      <c r="B24" s="1"/>
      <c r="C24" s="1"/>
      <c r="D24" s="1"/>
      <c r="E24" s="1"/>
      <c r="F24" s="1"/>
      <c r="G24" s="1"/>
      <c r="H24" s="133"/>
      <c r="J24" s="233"/>
      <c r="K24" s="233"/>
      <c r="L24" s="233"/>
      <c r="M24" s="233"/>
      <c r="O24" s="22"/>
    </row>
    <row r="25" spans="1:16" ht="17.399999999999999">
      <c r="A25" s="132"/>
      <c r="B25" s="1"/>
      <c r="C25" s="1"/>
      <c r="D25" s="1"/>
      <c r="E25" s="1"/>
      <c r="F25" s="1"/>
      <c r="G25" s="1"/>
      <c r="H25" s="133"/>
      <c r="J25" s="190" t="s">
        <v>240</v>
      </c>
      <c r="K25" s="191"/>
      <c r="L25" s="191"/>
      <c r="M25" s="189"/>
      <c r="N25" s="189"/>
      <c r="O25" s="189"/>
      <c r="P25" s="189"/>
    </row>
    <row r="26" spans="1:16" ht="16.2" thickBot="1">
      <c r="A26" s="132"/>
      <c r="B26" s="1"/>
      <c r="C26" s="1"/>
      <c r="D26" s="1"/>
      <c r="E26" s="1"/>
      <c r="F26" s="1"/>
      <c r="G26" s="1"/>
      <c r="H26" s="133"/>
      <c r="J26" s="258" t="s">
        <v>232</v>
      </c>
      <c r="K26" s="258"/>
      <c r="L26" s="258"/>
      <c r="M26" s="258"/>
      <c r="N26" s="258"/>
      <c r="O26" s="258"/>
    </row>
    <row r="27" spans="1:16">
      <c r="A27" s="132"/>
      <c r="B27" s="1"/>
      <c r="C27" s="1"/>
      <c r="D27" s="1"/>
      <c r="E27" s="1"/>
      <c r="F27" s="1"/>
      <c r="G27" s="1"/>
      <c r="H27" s="133"/>
      <c r="J27" s="277" t="s">
        <v>6</v>
      </c>
      <c r="K27" s="278"/>
      <c r="L27" s="278"/>
      <c r="M27" s="278"/>
      <c r="N27" s="173">
        <f>((N15-N16)*(N16/N15)/(N22*1000*'Sheet1 select'!B42*0.35))*1000000</f>
        <v>10.416666666666668</v>
      </c>
      <c r="O27" s="16" t="s">
        <v>7</v>
      </c>
    </row>
    <row r="28" spans="1:16">
      <c r="A28" s="132"/>
      <c r="B28" s="1"/>
      <c r="C28" s="1"/>
      <c r="D28" s="1"/>
      <c r="E28" s="1"/>
      <c r="F28" s="1"/>
      <c r="G28" s="1"/>
      <c r="H28" s="133"/>
      <c r="J28" s="261" t="s">
        <v>205</v>
      </c>
      <c r="K28" s="262"/>
      <c r="L28" s="262"/>
      <c r="M28" s="262"/>
      <c r="N28" s="174">
        <f>'Sheet1 select'!B11</f>
        <v>6</v>
      </c>
      <c r="O28" s="12" t="s">
        <v>2</v>
      </c>
    </row>
    <row r="29" spans="1:16" ht="17.25" customHeight="1" thickBot="1">
      <c r="A29" s="134"/>
      <c r="B29" s="135"/>
      <c r="C29" s="135"/>
      <c r="D29" s="135"/>
      <c r="E29" s="135"/>
      <c r="F29" s="135"/>
      <c r="G29" s="135"/>
      <c r="H29" s="136"/>
      <c r="J29" s="266" t="s">
        <v>177</v>
      </c>
      <c r="K29" s="267"/>
      <c r="L29" s="267"/>
      <c r="M29" s="267"/>
      <c r="N29" s="171">
        <v>22</v>
      </c>
      <c r="O29" s="11" t="s">
        <v>7</v>
      </c>
    </row>
    <row r="30" spans="1:16" ht="15.75" customHeight="1" thickBot="1">
      <c r="A30" s="128"/>
      <c r="B30" s="128"/>
      <c r="C30" s="128"/>
      <c r="D30" s="128"/>
      <c r="E30" s="128"/>
      <c r="F30" s="128"/>
      <c r="G30" s="128"/>
      <c r="H30" s="128"/>
      <c r="J30" s="263" t="s">
        <v>178</v>
      </c>
      <c r="K30" s="264"/>
      <c r="L30" s="264"/>
      <c r="M30" s="264"/>
      <c r="N30" s="172">
        <v>100</v>
      </c>
      <c r="O30" s="13" t="s">
        <v>8</v>
      </c>
    </row>
    <row r="31" spans="1:16">
      <c r="E31" s="2"/>
    </row>
    <row r="32" spans="1:16" ht="16.2" thickBot="1">
      <c r="E32" s="2"/>
      <c r="J32" s="271" t="s">
        <v>233</v>
      </c>
      <c r="K32" s="271"/>
      <c r="L32" s="271"/>
      <c r="M32" s="271"/>
      <c r="N32" s="271"/>
      <c r="O32" s="271"/>
    </row>
    <row r="33" spans="1:16" ht="16.2" thickBot="1">
      <c r="E33" s="2"/>
      <c r="J33" s="272" t="s">
        <v>231</v>
      </c>
      <c r="K33" s="273"/>
      <c r="L33" s="273"/>
      <c r="M33" s="273"/>
      <c r="N33" s="241">
        <v>0.4</v>
      </c>
      <c r="O33" s="240" t="s">
        <v>222</v>
      </c>
    </row>
    <row r="34" spans="1:16">
      <c r="E34" s="2"/>
      <c r="J34" s="239"/>
      <c r="K34" s="239"/>
      <c r="L34" s="239"/>
      <c r="M34" s="239"/>
      <c r="N34" s="239"/>
      <c r="O34" s="239"/>
    </row>
    <row r="35" spans="1:16" ht="16.8" thickBot="1">
      <c r="A35" s="9" t="s">
        <v>22</v>
      </c>
      <c r="B35" s="27"/>
      <c r="C35" s="27"/>
      <c r="D35" s="27"/>
      <c r="E35" s="5"/>
      <c r="J35" s="258" t="s">
        <v>15</v>
      </c>
      <c r="K35" s="258"/>
      <c r="L35" s="258"/>
      <c r="M35" s="258"/>
      <c r="N35" s="258"/>
      <c r="O35" s="258"/>
    </row>
    <row r="36" spans="1:16">
      <c r="A36" s="7"/>
      <c r="B36" s="5"/>
      <c r="C36" s="5"/>
      <c r="E36" s="2"/>
      <c r="J36" s="259" t="s">
        <v>9</v>
      </c>
      <c r="K36" s="260"/>
      <c r="L36" s="260"/>
      <c r="M36" s="260"/>
      <c r="N36" s="175">
        <v>22</v>
      </c>
      <c r="O36" s="17" t="s">
        <v>10</v>
      </c>
    </row>
    <row r="37" spans="1:16">
      <c r="E37" s="2"/>
      <c r="J37" s="261" t="s">
        <v>11</v>
      </c>
      <c r="K37" s="262"/>
      <c r="L37" s="262"/>
      <c r="M37" s="262"/>
      <c r="N37" s="174">
        <f>SQRT((N16/N15)*(1-N16/N15))*N17</f>
        <v>0.39440531887330771</v>
      </c>
      <c r="O37" s="12" t="s">
        <v>12</v>
      </c>
    </row>
    <row r="38" spans="1:16">
      <c r="J38" s="261" t="s">
        <v>13</v>
      </c>
      <c r="K38" s="262"/>
      <c r="L38" s="262"/>
      <c r="M38" s="262"/>
      <c r="N38" s="214">
        <f>1000000*(N16*(1-N16/N15)/(N29*N22))/(8*N22*N18*N16*0.01)</f>
        <v>2.7619949494949485</v>
      </c>
      <c r="O38" s="12" t="s">
        <v>159</v>
      </c>
    </row>
    <row r="39" spans="1:16">
      <c r="J39" s="261" t="s">
        <v>14</v>
      </c>
      <c r="K39" s="262"/>
      <c r="L39" s="262"/>
      <c r="M39" s="262"/>
      <c r="N39" s="176">
        <f>((N16*N18/100)/((N15-N16)*(N16/N15)/(N29*0.000001*N22*1000)))*1000</f>
        <v>226.28571428571428</v>
      </c>
      <c r="O39" s="12" t="s">
        <v>8</v>
      </c>
    </row>
    <row r="40" spans="1:16">
      <c r="A40" s="7"/>
      <c r="B40" s="5"/>
      <c r="C40" s="5"/>
      <c r="J40" s="266" t="s">
        <v>223</v>
      </c>
      <c r="K40" s="267"/>
      <c r="L40" s="267"/>
      <c r="M40" s="267"/>
      <c r="N40" s="171">
        <v>4700</v>
      </c>
      <c r="O40" s="11" t="s">
        <v>10</v>
      </c>
    </row>
    <row r="41" spans="1:16" ht="16.2" thickBot="1">
      <c r="J41" s="263" t="s">
        <v>224</v>
      </c>
      <c r="K41" s="264"/>
      <c r="L41" s="264"/>
      <c r="M41" s="264"/>
      <c r="N41" s="172">
        <v>1</v>
      </c>
      <c r="O41" s="13" t="s">
        <v>8</v>
      </c>
    </row>
    <row r="43" spans="1:16" ht="16.2" thickBot="1">
      <c r="J43" s="258" t="s">
        <v>16</v>
      </c>
      <c r="K43" s="258"/>
      <c r="L43" s="258"/>
      <c r="M43" s="258"/>
      <c r="N43" s="258"/>
      <c r="O43" s="258"/>
    </row>
    <row r="44" spans="1:16" ht="16.2" thickBot="1">
      <c r="J44" s="297" t="s">
        <v>18</v>
      </c>
      <c r="K44" s="298"/>
      <c r="L44" s="298"/>
      <c r="M44" s="298"/>
      <c r="N44" s="177">
        <f>(((N15-N16)*(N16/N15)/(N29*0.000001*N22*1000))*((N41*0.001+1/(8*N22*1000*N40*0.000001))))*1000</f>
        <v>0.75102756286266914</v>
      </c>
      <c r="O44" s="13" t="s">
        <v>17</v>
      </c>
    </row>
    <row r="46" spans="1:16" ht="17.399999999999999">
      <c r="J46" s="190" t="s">
        <v>241</v>
      </c>
      <c r="K46" s="191"/>
      <c r="L46" s="191"/>
      <c r="M46" s="192"/>
      <c r="N46" s="192"/>
      <c r="O46" s="192"/>
      <c r="P46" s="192"/>
    </row>
    <row r="47" spans="1:16" ht="16.8" thickBot="1">
      <c r="J47" s="9" t="s">
        <v>27</v>
      </c>
      <c r="K47" s="5"/>
      <c r="L47" s="5"/>
      <c r="M47" s="5"/>
      <c r="N47" s="5"/>
      <c r="O47" s="5"/>
    </row>
    <row r="48" spans="1:16">
      <c r="J48" s="281" t="s">
        <v>238</v>
      </c>
      <c r="K48" s="282"/>
      <c r="L48" s="282"/>
      <c r="M48" s="282"/>
      <c r="N48" s="178">
        <v>10</v>
      </c>
      <c r="O48" s="16" t="s">
        <v>4</v>
      </c>
    </row>
    <row r="49" spans="1:15" ht="16.2" thickBot="1">
      <c r="J49" s="297" t="s">
        <v>183</v>
      </c>
      <c r="K49" s="298"/>
      <c r="L49" s="298"/>
      <c r="M49" s="298"/>
      <c r="N49" s="184">
        <f>N48*(N16/0.8-1)</f>
        <v>52.5</v>
      </c>
      <c r="O49" s="13" t="s">
        <v>4</v>
      </c>
    </row>
    <row r="50" spans="1:15">
      <c r="J50" s="19"/>
      <c r="K50" s="19"/>
      <c r="L50" s="19"/>
      <c r="M50" s="19"/>
      <c r="N50" s="18"/>
      <c r="O50" s="22"/>
    </row>
    <row r="51" spans="1:15" ht="16.8" thickBot="1">
      <c r="J51" s="258" t="s">
        <v>21</v>
      </c>
      <c r="K51" s="258"/>
      <c r="L51" s="258"/>
      <c r="M51" s="258"/>
      <c r="N51" s="258"/>
      <c r="O51" s="258"/>
    </row>
    <row r="52" spans="1:15">
      <c r="J52" s="281" t="s">
        <v>179</v>
      </c>
      <c r="K52" s="282"/>
      <c r="L52" s="282"/>
      <c r="M52" s="282"/>
      <c r="N52" s="180">
        <v>10</v>
      </c>
      <c r="O52" s="16" t="s">
        <v>3</v>
      </c>
    </row>
    <row r="53" spans="1:15">
      <c r="A53" s="9" t="s">
        <v>28</v>
      </c>
      <c r="B53" s="27"/>
      <c r="C53" s="27"/>
      <c r="J53" s="294" t="s">
        <v>184</v>
      </c>
      <c r="K53" s="295"/>
      <c r="L53" s="295"/>
      <c r="M53" s="295"/>
      <c r="N53" s="179">
        <f ca="1">(('Sheet1 select'!B6/1000000)*'Bode Plot Calculations'!E3*'Bode Plot Calculations'!E4*'Bode Plot Calculations'!B3/(SQRT(((1-(('EZBuck design calculator'!N52*1000)/(N22*1000/2))^2)^2)+((1/'Bode Plot Calculations'!K6)*(('EZBuck design calculator'!N52*1000)/(N22*1000/2)))^2)*2*PI()*'EZBuck design calculator'!N52*1000))*1000000000</f>
        <v>7.0763515339387908</v>
      </c>
      <c r="O53" s="11" t="s">
        <v>19</v>
      </c>
    </row>
    <row r="54" spans="1:15">
      <c r="J54" s="294" t="s">
        <v>185</v>
      </c>
      <c r="K54" s="295"/>
      <c r="L54" s="295"/>
      <c r="M54" s="295"/>
      <c r="N54" s="179">
        <f ca="1">(1/(2*PI()*'Bode Plot Calculations'!H4*N53*0.000000001))*0.001</f>
        <v>1153.3607163296822</v>
      </c>
      <c r="O54" s="11" t="s">
        <v>4</v>
      </c>
    </row>
    <row r="55" spans="1:15">
      <c r="J55" s="294" t="s">
        <v>186</v>
      </c>
      <c r="K55" s="295"/>
      <c r="L55" s="295"/>
      <c r="M55" s="295"/>
      <c r="N55" s="179">
        <f>IF((1/(2*PI()*'EZBuck design calculator'!N40*0.000001*'EZBuck design calculator'!N41*0.001))&lt;3*'EZBuck design calculator'!N52*1000,('EZBuck design calculator'!N40*0.000001*'EZBuck design calculator'!N41*0.001/('EZBuck design calculator'!N54*1000))*(1000000000000)-10,0)</f>
        <v>0</v>
      </c>
      <c r="O55" s="11" t="s">
        <v>20</v>
      </c>
    </row>
    <row r="56" spans="1:15">
      <c r="J56" s="294" t="s">
        <v>211</v>
      </c>
      <c r="K56" s="296"/>
      <c r="L56" s="296"/>
      <c r="M56" s="296"/>
      <c r="N56" s="179">
        <f ca="1">1000000000000*SQRT(((0.001/N49)+(0.001/N48))/(1000*N49))/(2*3.14159265*1000*N63)</f>
        <v>2288.7708219007118</v>
      </c>
      <c r="O56" s="11" t="s">
        <v>212</v>
      </c>
    </row>
    <row r="57" spans="1:15">
      <c r="J57" s="266" t="s">
        <v>180</v>
      </c>
      <c r="K57" s="267"/>
      <c r="L57" s="267"/>
      <c r="M57" s="267"/>
      <c r="N57" s="181">
        <v>6.8</v>
      </c>
      <c r="O57" s="11" t="s">
        <v>19</v>
      </c>
    </row>
    <row r="58" spans="1:15">
      <c r="J58" s="266" t="s">
        <v>181</v>
      </c>
      <c r="K58" s="267"/>
      <c r="L58" s="267"/>
      <c r="M58" s="267"/>
      <c r="N58" s="181">
        <v>1000</v>
      </c>
      <c r="O58" s="11" t="s">
        <v>4</v>
      </c>
    </row>
    <row r="59" spans="1:15">
      <c r="I59" s="210"/>
      <c r="J59" s="266" t="s">
        <v>182</v>
      </c>
      <c r="K59" s="267"/>
      <c r="L59" s="267"/>
      <c r="M59" s="267"/>
      <c r="N59" s="181">
        <v>150</v>
      </c>
      <c r="O59" s="11" t="s">
        <v>20</v>
      </c>
    </row>
    <row r="60" spans="1:15" ht="16.2" thickBot="1">
      <c r="I60" s="210"/>
      <c r="J60" s="263" t="s">
        <v>214</v>
      </c>
      <c r="K60" s="264"/>
      <c r="L60" s="264"/>
      <c r="M60" s="264"/>
      <c r="N60" s="182">
        <v>0</v>
      </c>
      <c r="O60" s="13" t="s">
        <v>213</v>
      </c>
    </row>
    <row r="62" spans="1:15" ht="16.2" thickBot="1">
      <c r="A62" s="7"/>
      <c r="B62" s="5"/>
      <c r="C62" s="5"/>
      <c r="D62" s="5"/>
      <c r="E62" s="5"/>
      <c r="J62" s="258" t="s">
        <v>23</v>
      </c>
      <c r="K62" s="258"/>
      <c r="L62" s="258"/>
      <c r="M62" s="258"/>
      <c r="N62" s="258"/>
      <c r="O62" s="258"/>
    </row>
    <row r="63" spans="1:15">
      <c r="J63" s="277" t="s">
        <v>24</v>
      </c>
      <c r="K63" s="278"/>
      <c r="L63" s="278"/>
      <c r="M63" s="278"/>
      <c r="N63" s="183">
        <f ca="1">'Bode Plot Calculations'!R4</f>
        <v>3.3113000000000001</v>
      </c>
      <c r="O63" s="16" t="s">
        <v>3</v>
      </c>
    </row>
    <row r="64" spans="1:15" ht="16.2" thickBot="1">
      <c r="J64" s="297" t="s">
        <v>25</v>
      </c>
      <c r="K64" s="298"/>
      <c r="L64" s="298"/>
      <c r="M64" s="298"/>
      <c r="N64" s="184">
        <f ca="1">'Bode Plot Calculations'!R5</f>
        <v>11.499380812174707</v>
      </c>
      <c r="O64" s="13" t="s">
        <v>26</v>
      </c>
    </row>
    <row r="66" spans="10:16" ht="17.399999999999999">
      <c r="J66" s="208" t="s">
        <v>242</v>
      </c>
      <c r="K66" s="208"/>
      <c r="L66" s="208"/>
      <c r="M66" s="208"/>
      <c r="N66" s="208"/>
      <c r="O66" s="208"/>
      <c r="P66" s="186"/>
    </row>
    <row r="67" spans="10:16" ht="15" customHeight="1" thickBot="1">
      <c r="J67" s="20" t="s">
        <v>206</v>
      </c>
      <c r="K67" s="20"/>
      <c r="L67" s="20"/>
      <c r="M67" s="1"/>
      <c r="N67" s="1"/>
      <c r="O67" s="1"/>
    </row>
    <row r="68" spans="10:16">
      <c r="J68" s="299" t="s">
        <v>207</v>
      </c>
      <c r="K68" s="300"/>
      <c r="L68" s="300"/>
      <c r="M68" s="300"/>
      <c r="N68" s="212">
        <f ca="1">'Efficiency calculations'!T301</f>
        <v>4.0509945620964993E-2</v>
      </c>
      <c r="O68" s="131" t="s">
        <v>209</v>
      </c>
    </row>
    <row r="69" spans="10:16" ht="16.2" thickBot="1">
      <c r="J69" s="292" t="s">
        <v>208</v>
      </c>
      <c r="K69" s="293"/>
      <c r="L69" s="293"/>
      <c r="M69" s="293"/>
      <c r="N69" s="213">
        <f ca="1">N19+'Sheet1 select'!B34*'Efficiency calculations'!T301</f>
        <v>27.51161662849983</v>
      </c>
      <c r="O69" s="209" t="s">
        <v>74</v>
      </c>
    </row>
    <row r="70" spans="10:16" ht="16.2" thickBot="1">
      <c r="J70" s="1"/>
      <c r="K70" s="1"/>
      <c r="L70" s="1"/>
      <c r="M70" s="1"/>
      <c r="N70" s="1"/>
      <c r="O70" s="1"/>
    </row>
    <row r="71" spans="10:16">
      <c r="J71" s="283" t="s">
        <v>210</v>
      </c>
      <c r="K71" s="284"/>
      <c r="L71" s="284"/>
      <c r="M71" s="284"/>
      <c r="N71" s="284"/>
      <c r="O71" s="285"/>
    </row>
    <row r="72" spans="10:16">
      <c r="J72" s="286"/>
      <c r="K72" s="287"/>
      <c r="L72" s="287"/>
      <c r="M72" s="287"/>
      <c r="N72" s="287"/>
      <c r="O72" s="288"/>
    </row>
    <row r="73" spans="10:16">
      <c r="J73" s="286"/>
      <c r="K73" s="287"/>
      <c r="L73" s="287"/>
      <c r="M73" s="287"/>
      <c r="N73" s="287"/>
      <c r="O73" s="288"/>
    </row>
    <row r="74" spans="10:16">
      <c r="J74" s="286"/>
      <c r="K74" s="287"/>
      <c r="L74" s="287"/>
      <c r="M74" s="287"/>
      <c r="N74" s="287"/>
      <c r="O74" s="288"/>
    </row>
    <row r="75" spans="10:16" ht="16.2" thickBot="1">
      <c r="J75" s="289"/>
      <c r="K75" s="290"/>
      <c r="L75" s="290"/>
      <c r="M75" s="290"/>
      <c r="N75" s="290"/>
      <c r="O75" s="291"/>
    </row>
    <row r="80" spans="10:16" hidden="1">
      <c r="M80" t="s">
        <v>220</v>
      </c>
      <c r="N80">
        <f ca="1">N19+'Sheet1 select'!B34*'Efficiency calculations'!U301</f>
        <v>26.76761662849983</v>
      </c>
    </row>
    <row r="81" spans="6:14" hidden="1">
      <c r="M81" s="244" t="s">
        <v>236</v>
      </c>
      <c r="N81">
        <f ca="1">N19+'Sheet1 select'!B34*'Efficiency calculations'!V301</f>
        <v>25</v>
      </c>
    </row>
    <row r="86" spans="6:14" hidden="1">
      <c r="F86">
        <f>N22</f>
        <v>200</v>
      </c>
    </row>
    <row r="87" spans="6:14" hidden="1">
      <c r="F87" s="169">
        <v>4</v>
      </c>
    </row>
    <row r="88" spans="6:14" hidden="1">
      <c r="F88" s="169">
        <v>36</v>
      </c>
    </row>
    <row r="89" spans="6:14" hidden="1">
      <c r="F89">
        <f>N22</f>
        <v>200</v>
      </c>
    </row>
  </sheetData>
  <sheetProtection password="E072" sheet="1"/>
  <protectedRanges>
    <protectedRange sqref="N33" name="区域2"/>
    <protectedRange sqref="N22" name="区域1"/>
  </protectedRanges>
  <mergeCells count="47">
    <mergeCell ref="J43:O43"/>
    <mergeCell ref="J38:M38"/>
    <mergeCell ref="J51:O51"/>
    <mergeCell ref="J48:M48"/>
    <mergeCell ref="J52:M52"/>
    <mergeCell ref="J49:M49"/>
    <mergeCell ref="J39:M39"/>
    <mergeCell ref="J40:M40"/>
    <mergeCell ref="J44:M44"/>
    <mergeCell ref="J71:O75"/>
    <mergeCell ref="J69:M69"/>
    <mergeCell ref="J55:M55"/>
    <mergeCell ref="J57:M57"/>
    <mergeCell ref="J53:M53"/>
    <mergeCell ref="J54:M54"/>
    <mergeCell ref="J58:M58"/>
    <mergeCell ref="J59:M59"/>
    <mergeCell ref="J62:O62"/>
    <mergeCell ref="J63:M63"/>
    <mergeCell ref="J56:M56"/>
    <mergeCell ref="J64:M64"/>
    <mergeCell ref="J60:M60"/>
    <mergeCell ref="J68:M68"/>
    <mergeCell ref="A1:F5"/>
    <mergeCell ref="J11:K11"/>
    <mergeCell ref="B10:E10"/>
    <mergeCell ref="J26:O26"/>
    <mergeCell ref="J27:M27"/>
    <mergeCell ref="B8:E8"/>
    <mergeCell ref="B9:E9"/>
    <mergeCell ref="J23:M23"/>
    <mergeCell ref="J22:M22"/>
    <mergeCell ref="J35:O35"/>
    <mergeCell ref="J36:M36"/>
    <mergeCell ref="J37:M37"/>
    <mergeCell ref="J41:M41"/>
    <mergeCell ref="P14:P19"/>
    <mergeCell ref="J18:M18"/>
    <mergeCell ref="J19:M19"/>
    <mergeCell ref="J29:M29"/>
    <mergeCell ref="J15:M15"/>
    <mergeCell ref="J16:M16"/>
    <mergeCell ref="J17:M17"/>
    <mergeCell ref="J30:M30"/>
    <mergeCell ref="J32:O32"/>
    <mergeCell ref="J33:M33"/>
    <mergeCell ref="J28:M28"/>
  </mergeCells>
  <phoneticPr fontId="2" type="noConversion"/>
  <conditionalFormatting sqref="N64">
    <cfRule type="cellIs" dxfId="15" priority="2" stopIfTrue="1" operator="lessThan">
      <formula>45</formula>
    </cfRule>
  </conditionalFormatting>
  <conditionalFormatting sqref="N48">
    <cfRule type="cellIs" dxfId="14" priority="3" stopIfTrue="1" operator="notBetween">
      <formula>0.001</formula>
      <formula>50</formula>
    </cfRule>
  </conditionalFormatting>
  <conditionalFormatting sqref="N18">
    <cfRule type="cellIs" dxfId="13" priority="4" stopIfTrue="1" operator="notBetween">
      <formula>0.1</formula>
      <formula>3</formula>
    </cfRule>
  </conditionalFormatting>
  <conditionalFormatting sqref="N40">
    <cfRule type="cellIs" dxfId="12" priority="5" stopIfTrue="1" operator="notBetween">
      <formula>20</formula>
      <formula>3000</formula>
    </cfRule>
  </conditionalFormatting>
  <conditionalFormatting sqref="N15">
    <cfRule type="cellIs" dxfId="11" priority="6" stopIfTrue="1" operator="notBetween">
      <formula>3</formula>
      <formula>F88</formula>
    </cfRule>
  </conditionalFormatting>
  <conditionalFormatting sqref="N19">
    <cfRule type="cellIs" dxfId="10" priority="7" stopIfTrue="1" operator="notBetween">
      <formula>0</formula>
      <formula>85</formula>
    </cfRule>
  </conditionalFormatting>
  <conditionalFormatting sqref="N41">
    <cfRule type="cellIs" dxfId="9" priority="8" stopIfTrue="1" operator="notBetween">
      <formula>1</formula>
      <formula>$N$39</formula>
    </cfRule>
  </conditionalFormatting>
  <conditionalFormatting sqref="N44">
    <cfRule type="cellIs" dxfId="8" priority="9" stopIfTrue="1" operator="greaterThan">
      <formula>$N$16*$N$18*10</formula>
    </cfRule>
  </conditionalFormatting>
  <conditionalFormatting sqref="N52">
    <cfRule type="cellIs" dxfId="7" priority="10" stopIfTrue="1" operator="greaterThan">
      <formula>$F$89/10</formula>
    </cfRule>
  </conditionalFormatting>
  <conditionalFormatting sqref="N58">
    <cfRule type="cellIs" dxfId="6" priority="11" stopIfTrue="1" operator="greaterThan">
      <formula>1000</formula>
    </cfRule>
  </conditionalFormatting>
  <conditionalFormatting sqref="N63">
    <cfRule type="cellIs" dxfId="5" priority="12" stopIfTrue="1" operator="notBetween">
      <formula>$F$89/50</formula>
      <formula>$F$89/10</formula>
    </cfRule>
  </conditionalFormatting>
  <conditionalFormatting sqref="N16">
    <cfRule type="cellIs" dxfId="4" priority="13" stopIfTrue="1" operator="notBetween">
      <formula>0.8</formula>
      <formula>0.95*$N$15</formula>
    </cfRule>
  </conditionalFormatting>
  <conditionalFormatting sqref="N30">
    <cfRule type="cellIs" dxfId="3" priority="16" stopIfTrue="1" operator="notBetween">
      <formula>1</formula>
      <formula>200</formula>
    </cfRule>
  </conditionalFormatting>
  <conditionalFormatting sqref="N69">
    <cfRule type="cellIs" dxfId="2" priority="17" stopIfTrue="1" operator="greaterThan">
      <formula>150</formula>
    </cfRule>
  </conditionalFormatting>
  <conditionalFormatting sqref="N22">
    <cfRule type="cellIs" priority="1" stopIfTrue="1" operator="between">
      <formula>200</formula>
      <formula>2000</formula>
    </cfRule>
  </conditionalFormatting>
  <conditionalFormatting sqref="N17">
    <cfRule type="cellIs" dxfId="1" priority="25" stopIfTrue="1" operator="notBetween">
      <formula>(N16*1000*(1-(N16/N15)))/(2*N29*F86)</formula>
      <formula>F87</formula>
    </cfRule>
  </conditionalFormatting>
  <conditionalFormatting sqref="N29">
    <cfRule type="cellIs" dxfId="0" priority="26" stopIfTrue="1" operator="notBetween">
      <formula>1000000*((N15-N16)*N16/N15)/(2*1.05*(N28-N17)*F89*1000)</formula>
      <formula>3.5*N27</formula>
    </cfRule>
  </conditionalFormatting>
  <dataValidations count="8">
    <dataValidation type="decimal" allowBlank="1" showInputMessage="1" showErrorMessage="1" errorTitle="Invalid data!!!" sqref="N15">
      <formula1>3</formula1>
      <formula2>F88</formula2>
    </dataValidation>
    <dataValidation type="decimal" allowBlank="1" showInputMessage="1" showErrorMessage="1" errorTitle="Invalid data!!!" sqref="N16">
      <formula1>0.8</formula1>
      <formula2>0.95*N15</formula2>
    </dataValidation>
    <dataValidation type="decimal" allowBlank="1" showInputMessage="1" showErrorMessage="1" errorTitle="Invalid data!!!" sqref="N17">
      <formula1>0</formula1>
      <formula2>F87</formula2>
    </dataValidation>
    <dataValidation showInputMessage="1" showErrorMessage="1" sqref="L11"/>
    <dataValidation type="decimal" allowBlank="1" showInputMessage="1" showErrorMessage="1" errorTitle="Invalid data!!!" prompt="Operating temperature between 0ºC and 85ºC" sqref="N19">
      <formula1>0</formula1>
      <formula2>85</formula2>
    </dataValidation>
    <dataValidation type="decimal" allowBlank="1" showInputMessage="1" showErrorMessage="1" errorTitle="Invalid data!!!" error="Inductor DCR from inductor datasheet_x000a_Reasonable value between 1mohm and 200mohm" prompt="Inductor DCR from inductor datasheet_x000a_Reasonable value between 1mohm and 200mohm" sqref="N30">
      <formula1>1</formula1>
      <formula2>200</formula2>
    </dataValidation>
    <dataValidation allowBlank="1" showInputMessage="1" showErrorMessage="1" prompt="Usually,RFB2 is set to a convenient value such as 10Kohm,and RFB1 is then calculated." sqref="N48"/>
    <dataValidation type="decimal" allowBlank="1" showInputMessage="1" showErrorMessage="1" sqref="N22">
      <formula1>200</formula1>
      <formula2>2000</formula2>
    </dataValidation>
  </dataValidations>
  <hyperlinks>
    <hyperlink ref="J71:O75" r:id="rId1" display="http://www.aosmd.com/web/products/poweric.jsp"/>
  </hyperlinks>
  <pageMargins left="0.75" right="0.75" top="1" bottom="1" header="0.5" footer="0.5"/>
  <pageSetup paperSize="9" orientation="portrait"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79" r:id="rId5" name="Drop Down 55">
              <controlPr defaultSize="0" autoLine="0" autoPict="0">
                <anchor moveWithCells="1">
                  <from>
                    <xdr:col>9</xdr:col>
                    <xdr:colOff>190500</xdr:colOff>
                    <xdr:row>10</xdr:row>
                    <xdr:rowOff>22860</xdr:rowOff>
                  </from>
                  <to>
                    <xdr:col>11</xdr:col>
                    <xdr:colOff>502920</xdr:colOff>
                    <xdr:row>10</xdr:row>
                    <xdr:rowOff>220980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11"/>
  <sheetViews>
    <sheetView topLeftCell="A7" workbookViewId="0">
      <selection activeCell="B7" sqref="B7"/>
    </sheetView>
  </sheetViews>
  <sheetFormatPr defaultRowHeight="15.6"/>
  <cols>
    <col min="1" max="1" width="71.8984375" customWidth="1"/>
  </cols>
  <sheetData>
    <row r="1" spans="1:1" ht="183.75" customHeight="1">
      <c r="A1" s="138"/>
    </row>
    <row r="2" spans="1:1" ht="183.75" customHeight="1">
      <c r="A2" s="138"/>
    </row>
    <row r="3" spans="1:1" ht="183.75" customHeight="1">
      <c r="A3" s="138"/>
    </row>
    <row r="4" spans="1:1" ht="183.75" customHeight="1">
      <c r="A4" s="138"/>
    </row>
    <row r="5" spans="1:1" ht="183.75" customHeight="1">
      <c r="A5" s="138"/>
    </row>
    <row r="6" spans="1:1" ht="183.75" customHeight="1">
      <c r="A6" s="138"/>
    </row>
    <row r="7" spans="1:1" ht="183.75" customHeight="1">
      <c r="A7" s="138"/>
    </row>
    <row r="8" spans="1:1" ht="183.75" customHeight="1">
      <c r="A8" s="139"/>
    </row>
    <row r="9" spans="1:1" ht="183.75" customHeight="1">
      <c r="A9" s="140"/>
    </row>
    <row r="10" spans="1:1" ht="183.75" customHeight="1">
      <c r="A10" s="141"/>
    </row>
    <row r="11" spans="1:1" ht="183.75" customHeight="1"/>
  </sheetData>
  <phoneticPr fontId="2" type="noConversion"/>
  <pageMargins left="0.75" right="0.75" top="1" bottom="1" header="0.5" footer="0.5"/>
  <pageSetup paperSize="9" orientation="portrait" verticalDpi="0"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K12"/>
  <sheetViews>
    <sheetView showGridLines="0" workbookViewId="0">
      <selection activeCell="D2" sqref="D2"/>
    </sheetView>
  </sheetViews>
  <sheetFormatPr defaultRowHeight="15.6"/>
  <cols>
    <col min="2" max="2" width="25.3984375" customWidth="1"/>
  </cols>
  <sheetData>
    <row r="1" spans="1:11" ht="150.75" customHeight="1">
      <c r="A1" s="137">
        <v>4</v>
      </c>
    </row>
    <row r="2" spans="1:11">
      <c r="A2" t="str">
        <f>'Sheet1 select'!B30</f>
        <v>NA</v>
      </c>
    </row>
    <row r="3" spans="1:11">
      <c r="C3" s="301"/>
      <c r="D3" s="302"/>
      <c r="E3" s="302"/>
      <c r="F3" s="302"/>
      <c r="G3" s="302"/>
      <c r="H3" s="302"/>
      <c r="I3" s="302"/>
      <c r="J3" s="302"/>
      <c r="K3" s="303"/>
    </row>
    <row r="4" spans="1:11">
      <c r="C4" s="304"/>
      <c r="D4" s="305"/>
      <c r="E4" s="305"/>
      <c r="F4" s="305"/>
      <c r="G4" s="305"/>
      <c r="H4" s="305"/>
      <c r="I4" s="305"/>
      <c r="J4" s="305"/>
      <c r="K4" s="306"/>
    </row>
    <row r="5" spans="1:11">
      <c r="C5" s="142"/>
      <c r="D5" s="143"/>
      <c r="E5" s="143"/>
      <c r="F5" s="143"/>
      <c r="G5" s="143"/>
      <c r="H5" s="143"/>
      <c r="I5" s="143"/>
      <c r="J5" s="143"/>
      <c r="K5" s="144"/>
    </row>
    <row r="6" spans="1:11">
      <c r="C6" s="145"/>
      <c r="D6" s="146"/>
      <c r="E6" s="147"/>
      <c r="F6" s="147"/>
      <c r="G6" s="147"/>
      <c r="H6" s="147"/>
      <c r="I6" s="147"/>
      <c r="J6" s="147"/>
      <c r="K6" s="148"/>
    </row>
    <row r="7" spans="1:11">
      <c r="C7" s="142"/>
      <c r="D7" s="143"/>
      <c r="E7" s="143"/>
      <c r="F7" s="143"/>
      <c r="G7" s="143"/>
      <c r="H7" s="143"/>
      <c r="I7" s="143"/>
      <c r="J7" s="143"/>
      <c r="K7" s="144"/>
    </row>
    <row r="8" spans="1:11">
      <c r="C8" s="145"/>
      <c r="D8" s="147"/>
      <c r="E8" s="147"/>
      <c r="F8" s="147"/>
      <c r="G8" s="147"/>
      <c r="H8" s="147"/>
      <c r="I8" s="147"/>
      <c r="J8" s="147"/>
      <c r="K8" s="148"/>
    </row>
    <row r="9" spans="1:11">
      <c r="C9" s="301"/>
      <c r="D9" s="302"/>
      <c r="E9" s="302"/>
      <c r="F9" s="302"/>
      <c r="G9" s="302"/>
      <c r="H9" s="302"/>
      <c r="I9" s="302"/>
      <c r="J9" s="302"/>
      <c r="K9" s="303"/>
    </row>
    <row r="10" spans="1:11">
      <c r="C10" s="304"/>
      <c r="D10" s="305"/>
      <c r="E10" s="305"/>
      <c r="F10" s="305"/>
      <c r="G10" s="305"/>
      <c r="H10" s="305"/>
      <c r="I10" s="305"/>
      <c r="J10" s="305"/>
      <c r="K10" s="306"/>
    </row>
    <row r="11" spans="1:11">
      <c r="C11" s="301"/>
      <c r="D11" s="302"/>
      <c r="E11" s="302"/>
      <c r="F11" s="302"/>
      <c r="G11" s="302"/>
      <c r="H11" s="302"/>
      <c r="I11" s="302"/>
      <c r="J11" s="302"/>
      <c r="K11" s="303"/>
    </row>
    <row r="12" spans="1:11">
      <c r="C12" s="304"/>
      <c r="D12" s="305"/>
      <c r="E12" s="305"/>
      <c r="F12" s="305"/>
      <c r="G12" s="305"/>
      <c r="H12" s="305"/>
      <c r="I12" s="305"/>
      <c r="J12" s="305"/>
      <c r="K12" s="306"/>
    </row>
  </sheetData>
  <mergeCells count="3">
    <mergeCell ref="C3:K4"/>
    <mergeCell ref="C9:K10"/>
    <mergeCell ref="C11:K12"/>
  </mergeCells>
  <phoneticPr fontId="2" type="noConversion"/>
  <dataValidations count="1">
    <dataValidation type="list" allowBlank="1" showInputMessage="1" showErrorMessage="1" sqref="A1">
      <formula1>"1,2,3,4,5,6,7,8,9,10"</formula1>
    </dataValidation>
  </dataValidations>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43"/>
  <sheetViews>
    <sheetView workbookViewId="0">
      <selection activeCell="E11" sqref="E11"/>
    </sheetView>
  </sheetViews>
  <sheetFormatPr defaultRowHeight="15.6"/>
  <cols>
    <col min="1" max="1" width="26.8984375" customWidth="1"/>
    <col min="2" max="2" width="14.19921875" customWidth="1"/>
  </cols>
  <sheetData>
    <row r="1" spans="1:2" ht="23.25" customHeight="1" thickBot="1">
      <c r="A1" s="33" t="s">
        <v>33</v>
      </c>
      <c r="B1" s="34"/>
    </row>
    <row r="2" spans="1:2" ht="20.25" customHeight="1">
      <c r="A2" s="35">
        <v>1</v>
      </c>
      <c r="B2" s="36" t="str">
        <f>INDEX(ControllerList,A2,1)</f>
        <v>AOZ1284PI</v>
      </c>
    </row>
    <row r="3" spans="1:2" ht="47.25" customHeight="1">
      <c r="A3" s="67" t="s">
        <v>75</v>
      </c>
      <c r="B3" s="38"/>
    </row>
    <row r="4" spans="1:2" ht="27.75" customHeight="1">
      <c r="A4" s="65" t="s">
        <v>76</v>
      </c>
      <c r="B4" s="38">
        <f t="shared" ref="B4:B10" si="0">VLOOKUP(B$2,CData,MATCH(A4,CColHead,0),0)</f>
        <v>0.52</v>
      </c>
    </row>
    <row r="5" spans="1:2">
      <c r="A5" s="65" t="s">
        <v>34</v>
      </c>
      <c r="B5" s="39">
        <f t="shared" si="0"/>
        <v>2</v>
      </c>
    </row>
    <row r="6" spans="1:2" ht="40.5" customHeight="1">
      <c r="A6" s="65" t="s">
        <v>61</v>
      </c>
      <c r="B6" s="39">
        <f t="shared" si="0"/>
        <v>200</v>
      </c>
    </row>
    <row r="7" spans="1:2" ht="42" customHeight="1">
      <c r="A7" s="65" t="s">
        <v>70</v>
      </c>
      <c r="B7" s="39">
        <f t="shared" si="0"/>
        <v>8</v>
      </c>
    </row>
    <row r="8" spans="1:2" ht="26.4">
      <c r="A8" s="66" t="s">
        <v>77</v>
      </c>
      <c r="B8" s="39">
        <f t="shared" si="0"/>
        <v>36</v>
      </c>
    </row>
    <row r="9" spans="1:2" ht="26.4">
      <c r="A9" s="66" t="s">
        <v>78</v>
      </c>
      <c r="B9" s="39">
        <f t="shared" si="0"/>
        <v>6.3</v>
      </c>
    </row>
    <row r="10" spans="1:2" ht="26.25" customHeight="1">
      <c r="A10" s="65" t="s">
        <v>153</v>
      </c>
      <c r="B10" s="39">
        <f t="shared" si="0"/>
        <v>5</v>
      </c>
    </row>
    <row r="11" spans="1:2" ht="26.4">
      <c r="A11" s="65" t="s">
        <v>139</v>
      </c>
      <c r="B11" s="39">
        <v>6</v>
      </c>
    </row>
    <row r="12" spans="1:2" ht="28.5" customHeight="1">
      <c r="A12" s="66" t="s">
        <v>81</v>
      </c>
      <c r="B12" s="39">
        <f t="shared" ref="B12:B40" si="1">VLOOKUP(B$2,CData,MATCH(A12,CColHead,0),0)</f>
        <v>0</v>
      </c>
    </row>
    <row r="13" spans="1:2" ht="29.25" customHeight="1">
      <c r="A13" s="66" t="s">
        <v>82</v>
      </c>
      <c r="B13" s="69">
        <f t="shared" si="1"/>
        <v>0</v>
      </c>
    </row>
    <row r="14" spans="1:2" ht="26.4">
      <c r="A14" s="66" t="s">
        <v>80</v>
      </c>
      <c r="B14" s="70">
        <f t="shared" si="1"/>
        <v>0</v>
      </c>
    </row>
    <row r="15" spans="1:2" ht="26.4">
      <c r="A15" s="66" t="s">
        <v>79</v>
      </c>
      <c r="B15" s="70">
        <f t="shared" si="1"/>
        <v>0</v>
      </c>
    </row>
    <row r="16" spans="1:2" ht="41.25" customHeight="1">
      <c r="A16" s="66" t="s">
        <v>83</v>
      </c>
      <c r="B16" s="70">
        <f t="shared" si="1"/>
        <v>80</v>
      </c>
    </row>
    <row r="17" spans="1:2" ht="41.25" customHeight="1">
      <c r="A17" s="66" t="s">
        <v>84</v>
      </c>
      <c r="B17" s="70">
        <f t="shared" si="1"/>
        <v>0</v>
      </c>
    </row>
    <row r="18" spans="1:2" ht="26.25" customHeight="1">
      <c r="A18" s="65" t="s">
        <v>85</v>
      </c>
      <c r="B18" s="70">
        <f t="shared" si="1"/>
        <v>0.8</v>
      </c>
    </row>
    <row r="19" spans="1:2" ht="32.25" customHeight="1">
      <c r="A19" s="65" t="s">
        <v>86</v>
      </c>
      <c r="B19" s="70">
        <f t="shared" si="1"/>
        <v>0.9</v>
      </c>
    </row>
    <row r="20" spans="1:2" ht="32.25" customHeight="1">
      <c r="A20" s="65" t="s">
        <v>87</v>
      </c>
      <c r="B20" s="70">
        <f t="shared" si="1"/>
        <v>0</v>
      </c>
    </row>
    <row r="21" spans="1:2" ht="32.25" customHeight="1">
      <c r="A21" s="65" t="s">
        <v>88</v>
      </c>
      <c r="B21" s="70">
        <f t="shared" si="1"/>
        <v>14</v>
      </c>
    </row>
    <row r="22" spans="1:2" ht="32.25" customHeight="1">
      <c r="A22" s="65" t="s">
        <v>89</v>
      </c>
      <c r="B22" s="70">
        <f t="shared" si="1"/>
        <v>0</v>
      </c>
    </row>
    <row r="23" spans="1:2" ht="32.25" customHeight="1">
      <c r="A23" s="65" t="s">
        <v>90</v>
      </c>
      <c r="B23" s="70">
        <f t="shared" si="1"/>
        <v>0.95714285714285718</v>
      </c>
    </row>
    <row r="24" spans="1:2" ht="32.25" customHeight="1">
      <c r="A24" s="65" t="s">
        <v>91</v>
      </c>
      <c r="B24" s="70" t="e">
        <f t="shared" si="1"/>
        <v>#DIV/0!</v>
      </c>
    </row>
    <row r="25" spans="1:2" ht="26.4">
      <c r="A25" s="66" t="s">
        <v>149</v>
      </c>
      <c r="B25" s="70">
        <f t="shared" ca="1" si="1"/>
        <v>5.4585737880211448E-2</v>
      </c>
    </row>
    <row r="26" spans="1:2" ht="26.4">
      <c r="A26" s="66" t="s">
        <v>150</v>
      </c>
      <c r="B26" s="70">
        <f t="shared" ca="1" si="1"/>
        <v>0</v>
      </c>
    </row>
    <row r="27" spans="1:2" ht="26.4">
      <c r="A27" s="65" t="s">
        <v>93</v>
      </c>
      <c r="B27" s="70">
        <f t="shared" si="1"/>
        <v>1.6</v>
      </c>
    </row>
    <row r="28" spans="1:2" ht="26.4">
      <c r="A28" s="65" t="s">
        <v>94</v>
      </c>
      <c r="B28" s="70">
        <f t="shared" si="1"/>
        <v>0</v>
      </c>
    </row>
    <row r="29" spans="1:2">
      <c r="A29" s="66" t="s">
        <v>92</v>
      </c>
      <c r="B29" s="70">
        <f t="shared" si="1"/>
        <v>1</v>
      </c>
    </row>
    <row r="30" spans="1:2">
      <c r="A30" s="65" t="s">
        <v>32</v>
      </c>
      <c r="B30" s="70" t="str">
        <f t="shared" si="1"/>
        <v>NA</v>
      </c>
    </row>
    <row r="31" spans="1:2" ht="26.4">
      <c r="A31" s="149" t="s">
        <v>141</v>
      </c>
      <c r="B31" s="151">
        <f t="shared" si="1"/>
        <v>3</v>
      </c>
    </row>
    <row r="32" spans="1:2" ht="26.4">
      <c r="A32" s="150" t="s">
        <v>144</v>
      </c>
      <c r="B32" s="151">
        <f t="shared" si="1"/>
        <v>0.5</v>
      </c>
    </row>
    <row r="33" spans="1:2" ht="26.4">
      <c r="A33" s="150" t="s">
        <v>142</v>
      </c>
      <c r="B33" s="151">
        <f t="shared" si="1"/>
        <v>0.4</v>
      </c>
    </row>
    <row r="34" spans="1:2" ht="31.2">
      <c r="A34" s="152" t="s">
        <v>140</v>
      </c>
      <c r="B34" s="151">
        <f t="shared" si="1"/>
        <v>62</v>
      </c>
    </row>
    <row r="35" spans="1:2" ht="26.4">
      <c r="A35" s="149" t="s">
        <v>143</v>
      </c>
      <c r="B35" s="151">
        <f t="shared" si="1"/>
        <v>0</v>
      </c>
    </row>
    <row r="36" spans="1:2" ht="26.4">
      <c r="A36" s="150" t="s">
        <v>145</v>
      </c>
      <c r="B36" s="151">
        <f t="shared" si="1"/>
        <v>0</v>
      </c>
    </row>
    <row r="37" spans="1:2" ht="26.4">
      <c r="A37" s="150" t="s">
        <v>146</v>
      </c>
      <c r="B37" s="151">
        <f t="shared" si="1"/>
        <v>0</v>
      </c>
    </row>
    <row r="38" spans="1:2" ht="26.4">
      <c r="A38" s="150" t="s">
        <v>147</v>
      </c>
      <c r="B38" s="151" t="e">
        <f t="shared" ca="1" si="1"/>
        <v>#NAME?</v>
      </c>
    </row>
    <row r="39" spans="1:2" ht="26.4">
      <c r="A39" s="150" t="s">
        <v>148</v>
      </c>
      <c r="B39" s="151" t="e">
        <f t="shared" ca="1" si="1"/>
        <v>#NAME?</v>
      </c>
    </row>
    <row r="40" spans="1:2">
      <c r="A40" s="149" t="s">
        <v>157</v>
      </c>
      <c r="B40" s="151">
        <f t="shared" si="1"/>
        <v>0</v>
      </c>
    </row>
    <row r="41" spans="1:2" ht="26.4">
      <c r="A41" s="150" t="s">
        <v>155</v>
      </c>
      <c r="B41" s="151">
        <f>'EZBuck design calculator'!N33</f>
        <v>0.4</v>
      </c>
    </row>
    <row r="42" spans="1:2" ht="26.4">
      <c r="A42" s="150" t="s">
        <v>163</v>
      </c>
      <c r="B42" s="151">
        <f>VLOOKUP(B$2,CData,MATCH(A42,CColHead,0),0)</f>
        <v>4</v>
      </c>
    </row>
    <row r="43" spans="1:2" ht="46.8">
      <c r="A43" s="168" t="s">
        <v>164</v>
      </c>
      <c r="B43" s="151">
        <f>VLOOKUP(B$2,CData,MATCH(A43,CColHead,0),0)</f>
        <v>36</v>
      </c>
    </row>
  </sheetData>
  <phoneticPr fontId="2" type="noConversion"/>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073" r:id="rId3" name="Drop Down 1">
              <controlPr defaultSize="0" autoLine="0" autoPict="0">
                <anchor moveWithCells="1">
                  <from>
                    <xdr:col>0</xdr:col>
                    <xdr:colOff>114300</xdr:colOff>
                    <xdr:row>1</xdr:row>
                    <xdr:rowOff>30480</xdr:rowOff>
                  </from>
                  <to>
                    <xdr:col>0</xdr:col>
                    <xdr:colOff>1569720</xdr:colOff>
                    <xdr:row>1</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V301"/>
  <sheetViews>
    <sheetView topLeftCell="G1" workbookViewId="0">
      <pane ySplit="1" topLeftCell="A2" activePane="bottomLeft" state="frozen"/>
      <selection pane="bottomLeft" activeCell="Q308" sqref="Q308"/>
    </sheetView>
  </sheetViews>
  <sheetFormatPr defaultRowHeight="15.6"/>
  <cols>
    <col min="1" max="1" width="11.09765625" customWidth="1"/>
    <col min="2" max="2" width="10.19921875" customWidth="1"/>
    <col min="6" max="8" width="9.5" bestFit="1" customWidth="1"/>
    <col min="9" max="9" width="9.5" customWidth="1"/>
    <col min="10" max="10" width="9.5" bestFit="1" customWidth="1"/>
    <col min="11" max="11" width="13.8984375" customWidth="1"/>
    <col min="12" max="13" width="9.5" bestFit="1" customWidth="1"/>
    <col min="17" max="17" width="11" customWidth="1"/>
    <col min="18" max="18" width="11.09765625" customWidth="1"/>
    <col min="21" max="21" width="15.8984375" customWidth="1"/>
    <col min="22" max="22" width="16.09765625" customWidth="1"/>
  </cols>
  <sheetData>
    <row r="1" spans="1:22" ht="78.599999999999994" thickBot="1">
      <c r="A1" s="161" t="s">
        <v>42</v>
      </c>
      <c r="B1" s="51">
        <f>(('EZBuck design calculator'!N15-'EZBuck design calculator'!N16)*'Efficiency calculations'!B3)/('EZBuck design calculator'!N29*0.000001*'EZBuck design calculator'!N22*1000)</f>
        <v>0.66287878787878785</v>
      </c>
      <c r="C1" s="52" t="s">
        <v>2</v>
      </c>
      <c r="E1" s="40" t="s">
        <v>161</v>
      </c>
      <c r="F1" s="41" t="s">
        <v>52</v>
      </c>
      <c r="G1" s="41" t="s">
        <v>53</v>
      </c>
      <c r="H1" s="41" t="s">
        <v>54</v>
      </c>
      <c r="I1" s="41" t="s">
        <v>154</v>
      </c>
      <c r="J1" s="41" t="s">
        <v>55</v>
      </c>
      <c r="K1" s="41" t="s">
        <v>156</v>
      </c>
      <c r="L1" s="41" t="s">
        <v>56</v>
      </c>
      <c r="M1" s="41" t="s">
        <v>57</v>
      </c>
      <c r="N1" s="42" t="s">
        <v>58</v>
      </c>
      <c r="O1" s="43" t="s">
        <v>59</v>
      </c>
      <c r="P1" s="166" t="s">
        <v>60</v>
      </c>
      <c r="Q1" s="43" t="s">
        <v>162</v>
      </c>
      <c r="R1" s="167" t="s">
        <v>43</v>
      </c>
      <c r="S1" s="40" t="s">
        <v>44</v>
      </c>
      <c r="T1" s="153" t="s">
        <v>158</v>
      </c>
      <c r="U1" s="242"/>
      <c r="V1" s="242"/>
    </row>
    <row r="2" spans="1:22">
      <c r="A2" s="161" t="s">
        <v>45</v>
      </c>
      <c r="B2" s="53">
        <f>B1/SQRT(12)</f>
        <v>0.19135662331095551</v>
      </c>
      <c r="C2" s="54" t="s">
        <v>2</v>
      </c>
      <c r="E2" s="44">
        <v>1</v>
      </c>
      <c r="F2" s="45">
        <f t="shared" ref="F2:F65" si="0">$B$12*E2/300</f>
        <v>2.666666666666667E-3</v>
      </c>
      <c r="G2" s="45">
        <f t="shared" ref="G2:G65" si="1">F2*F2*$B$14*0.001*2</f>
        <v>1.4222222222222225E-6</v>
      </c>
      <c r="H2" s="45">
        <f ca="1">F2*F2*('Sheet1 select'!$B$25)*$B$3</f>
        <v>1.6173551964507101E-7</v>
      </c>
      <c r="I2" s="45">
        <f>F2*(1-$B$3)*'Sheet1 select'!$B$41</f>
        <v>6.2222222222222225E-4</v>
      </c>
      <c r="J2" s="45">
        <f ca="1">F2*F2*('Sheet1 select'!$B$26)*(1-$B$3)</f>
        <v>0</v>
      </c>
      <c r="K2" s="45">
        <f>0.0000005*$B$10*F2*$B$8*((('Sheet1 select'!$B$33+0.5*'Sheet1 select'!$B$32)/(('Sheet1 select'!$B$10-'Sheet1 select'!$B$23)/('Sheet1 select'!$B$27+'Sheet1 select'!$B$8)))+(('Sheet1 select'!$B$33+0.5*'Sheet1 select'!$B$32)/(('Sheet1 select'!$B$23)/('Sheet1 select'!$B$27+'Sheet1 select'!$B$9))))</f>
        <v>3.651249617636202E-5</v>
      </c>
      <c r="L2" s="45">
        <f>(F2*$B$28)*(('Sheet1 select'!$B$12+'Sheet1 select'!$B$13)*(0.000000001))*$B$8*1000</f>
        <v>0</v>
      </c>
      <c r="M2" s="45">
        <f t="shared" ref="M2:M65" si="2">($B$2^2)*$B$16*0.001</f>
        <v>3.6617357284970928E-5</v>
      </c>
      <c r="N2" s="46">
        <f>$B$10*'Sheet1 select'!$B$29*0.001</f>
        <v>1.2E-2</v>
      </c>
      <c r="O2" s="44">
        <f>'Sheet1 select'!$B$10*'Sheet1 select'!$B$31*$B$8*1000*0.000000001</f>
        <v>3.0000000000000001E-3</v>
      </c>
      <c r="P2" s="44">
        <f>'Sheet1 select'!$B$35*$B$10*$B$8*1000*0.000000001</f>
        <v>0</v>
      </c>
      <c r="Q2" s="47">
        <f>IF('Sheet1 select'!$B$17=0,0,(0.00000006*0.7+0.00000003*(0.7+F2*1.1*'Sheet1 select'!$B$26))*F2*$B$8*1000)</f>
        <v>0</v>
      </c>
      <c r="R2" s="45">
        <f t="shared" ref="R2:R65" ca="1" si="3">SUM(G2:P2)+Q2</f>
        <v>1.5696936033425424E-2</v>
      </c>
      <c r="S2" s="48">
        <f t="shared" ref="S2:S65" ca="1" si="4">($B$11*F2)/($B$11*F2+R2)</f>
        <v>0.45929072048503722</v>
      </c>
      <c r="T2" s="49">
        <f ca="1">H2+K2+O2+N2+'Sheet1 select'!$B$40*I2+J2+P2</f>
        <v>1.5036674231696008E-2</v>
      </c>
      <c r="U2" s="169">
        <f t="shared" ref="U2:U65" ca="1" si="5">H2+K2+O2</f>
        <v>3.0366742316960071E-3</v>
      </c>
      <c r="V2" s="47">
        <f t="shared" ref="V2:V65" ca="1" si="6">J2+P2+Q2</f>
        <v>0</v>
      </c>
    </row>
    <row r="3" spans="1:22">
      <c r="A3" s="161" t="s">
        <v>36</v>
      </c>
      <c r="B3" s="55">
        <f>'EZBuck design calculator'!N16/'EZBuck design calculator'!N15</f>
        <v>0.41666666666666669</v>
      </c>
      <c r="C3" s="37"/>
      <c r="E3" s="32">
        <v>2</v>
      </c>
      <c r="F3" s="45">
        <f t="shared" si="0"/>
        <v>5.333333333333334E-3</v>
      </c>
      <c r="G3" s="45">
        <f t="shared" si="1"/>
        <v>5.6888888888888901E-6</v>
      </c>
      <c r="H3" s="45">
        <f ca="1">F3*F3*('Sheet1 select'!$B$25)*$B$3</f>
        <v>6.4694207858028402E-7</v>
      </c>
      <c r="I3" s="45">
        <f>F3*(1-$B$3)*'Sheet1 select'!$B$41</f>
        <v>1.2444444444444445E-3</v>
      </c>
      <c r="J3" s="45">
        <f ca="1">F3*F3*('Sheet1 select'!$B$26)*(1-$B$3)</f>
        <v>0</v>
      </c>
      <c r="K3" s="45">
        <f>0.0000005*$B$10*F3*$B$8*((('Sheet1 select'!$B$33+0.5*'Sheet1 select'!$B$32)/(('Sheet1 select'!$B$10-'Sheet1 select'!$B$23)/('Sheet1 select'!$B$27+'Sheet1 select'!$B$8)))+(('Sheet1 select'!$B$33+0.5*'Sheet1 select'!$B$32)/(('Sheet1 select'!$B$23)/('Sheet1 select'!$B$27+'Sheet1 select'!$B$9))))</f>
        <v>7.3024992352724039E-5</v>
      </c>
      <c r="L3" s="45">
        <f>(F3*$B$28)*(('Sheet1 select'!$B$12+'Sheet1 select'!$B$13)*(0.000000001))*$B$8*1000</f>
        <v>0</v>
      </c>
      <c r="M3" s="45">
        <f t="shared" si="2"/>
        <v>3.6617357284970928E-5</v>
      </c>
      <c r="N3" s="46">
        <f>$B$10*'Sheet1 select'!$B$29*0.001</f>
        <v>1.2E-2</v>
      </c>
      <c r="O3" s="44">
        <f>'Sheet1 select'!$B$10*'Sheet1 select'!$B$31*$B$8*1000*0.000000001</f>
        <v>3.0000000000000001E-3</v>
      </c>
      <c r="P3" s="44">
        <f>'Sheet1 select'!$B$35*$B$10*$B$8*1000*0.000000001</f>
        <v>0</v>
      </c>
      <c r="Q3" s="47">
        <f>IF('Sheet1 select'!$B$17=0,0,(0.00000006*0.7+0.00000003*(0.7+F3*1.1*'Sheet1 select'!$B$26))*F3*$B$8*1000)</f>
        <v>0</v>
      </c>
      <c r="R3" s="45">
        <f t="shared" ca="1" si="3"/>
        <v>1.6360422625049609E-2</v>
      </c>
      <c r="S3" s="48">
        <f t="shared" ca="1" si="4"/>
        <v>0.61976459727199418</v>
      </c>
      <c r="T3" s="49">
        <f ca="1">H3+K3+O3+N3+'Sheet1 select'!$B$40*I3+J3+P3</f>
        <v>1.5073671934431305E-2</v>
      </c>
      <c r="U3" s="169">
        <f t="shared" ca="1" si="5"/>
        <v>3.0736719344313045E-3</v>
      </c>
      <c r="V3" s="47">
        <f t="shared" ca="1" si="6"/>
        <v>0</v>
      </c>
    </row>
    <row r="4" spans="1:22">
      <c r="E4" s="32">
        <v>3</v>
      </c>
      <c r="F4" s="45">
        <f t="shared" si="0"/>
        <v>8.0000000000000019E-3</v>
      </c>
      <c r="G4" s="45">
        <f t="shared" si="1"/>
        <v>1.2800000000000005E-5</v>
      </c>
      <c r="H4" s="45">
        <f ca="1">F4*F4*('Sheet1 select'!$B$25)*$B$3</f>
        <v>1.4556196768056392E-6</v>
      </c>
      <c r="I4" s="45">
        <f>F4*(1-$B$3)*'Sheet1 select'!$B$41</f>
        <v>1.8666666666666669E-3</v>
      </c>
      <c r="J4" s="45">
        <f ca="1">F4*F4*('Sheet1 select'!$B$26)*(1-$B$3)</f>
        <v>0</v>
      </c>
      <c r="K4" s="45">
        <f>0.0000005*$B$10*F4*$B$8*((('Sheet1 select'!$B$33+0.5*'Sheet1 select'!$B$32)/(('Sheet1 select'!$B$10-'Sheet1 select'!$B$23)/('Sheet1 select'!$B$27+'Sheet1 select'!$B$8)))+(('Sheet1 select'!$B$33+0.5*'Sheet1 select'!$B$32)/(('Sheet1 select'!$B$23)/('Sheet1 select'!$B$27+'Sheet1 select'!$B$9))))</f>
        <v>1.0953748852908607E-4</v>
      </c>
      <c r="L4" s="45">
        <f>(F4*$B$28)*(('Sheet1 select'!$B$12+'Sheet1 select'!$B$13)*(0.000000001))*$B$8*1000</f>
        <v>0</v>
      </c>
      <c r="M4" s="45">
        <f t="shared" si="2"/>
        <v>3.6617357284970928E-5</v>
      </c>
      <c r="N4" s="46">
        <f>$B$10*'Sheet1 select'!$B$29*0.001</f>
        <v>1.2E-2</v>
      </c>
      <c r="O4" s="44">
        <f>'Sheet1 select'!$B$10*'Sheet1 select'!$B$31*$B$8*1000*0.000000001</f>
        <v>3.0000000000000001E-3</v>
      </c>
      <c r="P4" s="44">
        <f>'Sheet1 select'!$B$35*$B$10*$B$8*1000*0.000000001</f>
        <v>0</v>
      </c>
      <c r="Q4" s="47">
        <f>IF('Sheet1 select'!$B$17=0,0,(0.00000006*0.7+0.00000003*(0.7+F4*1.1*'Sheet1 select'!$B$26))*F4*$B$8*1000)</f>
        <v>0</v>
      </c>
      <c r="R4" s="45">
        <f t="shared" ca="1" si="3"/>
        <v>1.702707713215753E-2</v>
      </c>
      <c r="S4" s="48">
        <f t="shared" ca="1" si="4"/>
        <v>0.70142118466464465</v>
      </c>
      <c r="T4" s="49">
        <f ca="1">H4+K4+O4+N4+'Sheet1 select'!$B$40*I4+J4+P4</f>
        <v>1.5110993108205892E-2</v>
      </c>
      <c r="U4" s="169">
        <f t="shared" ca="1" si="5"/>
        <v>3.1109931082058916E-3</v>
      </c>
      <c r="V4" s="47">
        <f t="shared" ca="1" si="6"/>
        <v>0</v>
      </c>
    </row>
    <row r="5" spans="1:22" ht="16.2" thickBot="1">
      <c r="E5" s="32">
        <v>4</v>
      </c>
      <c r="F5" s="45">
        <f t="shared" si="0"/>
        <v>1.0666666666666668E-2</v>
      </c>
      <c r="G5" s="45">
        <f t="shared" si="1"/>
        <v>2.2755555555555561E-5</v>
      </c>
      <c r="H5" s="45">
        <f ca="1">F5*F5*('Sheet1 select'!$B$25)*$B$3</f>
        <v>2.5877683143211361E-6</v>
      </c>
      <c r="I5" s="45">
        <f>F5*(1-$B$3)*'Sheet1 select'!$B$41</f>
        <v>2.488888888888889E-3</v>
      </c>
      <c r="J5" s="45">
        <f ca="1">F5*F5*('Sheet1 select'!$B$26)*(1-$B$3)</f>
        <v>0</v>
      </c>
      <c r="K5" s="45">
        <f>0.0000005*$B$10*F5*$B$8*((('Sheet1 select'!$B$33+0.5*'Sheet1 select'!$B$32)/(('Sheet1 select'!$B$10-'Sheet1 select'!$B$23)/('Sheet1 select'!$B$27+'Sheet1 select'!$B$8)))+(('Sheet1 select'!$B$33+0.5*'Sheet1 select'!$B$32)/(('Sheet1 select'!$B$23)/('Sheet1 select'!$B$27+'Sheet1 select'!$B$9))))</f>
        <v>1.4604998470544808E-4</v>
      </c>
      <c r="L5" s="45">
        <f>(F5*$B$28)*(('Sheet1 select'!$B$12+'Sheet1 select'!$B$13)*(0.000000001))*$B$8*1000</f>
        <v>0</v>
      </c>
      <c r="M5" s="45">
        <f t="shared" si="2"/>
        <v>3.6617357284970928E-5</v>
      </c>
      <c r="N5" s="46">
        <f>$B$10*'Sheet1 select'!$B$29*0.001</f>
        <v>1.2E-2</v>
      </c>
      <c r="O5" s="44">
        <f>'Sheet1 select'!$B$10*'Sheet1 select'!$B$31*$B$8*1000*0.000000001</f>
        <v>3.0000000000000001E-3</v>
      </c>
      <c r="P5" s="44">
        <f>'Sheet1 select'!$B$35*$B$10*$B$8*1000*0.000000001</f>
        <v>0</v>
      </c>
      <c r="Q5" s="47">
        <f>IF('Sheet1 select'!$B$17=0,0,(0.00000006*0.7+0.00000003*(0.7+F5*1.1*'Sheet1 select'!$B$26))*F5*$B$8*1000)</f>
        <v>0</v>
      </c>
      <c r="R5" s="45">
        <f t="shared" ca="1" si="3"/>
        <v>1.7696899554749186E-2</v>
      </c>
      <c r="S5" s="48">
        <f t="shared" ca="1" si="4"/>
        <v>0.75085398378697454</v>
      </c>
      <c r="T5" s="49">
        <f ca="1">H5+K5+O5+N5+'Sheet1 select'!$B$40*I5+J5+P5</f>
        <v>1.5148637753019769E-2</v>
      </c>
      <c r="U5" s="169">
        <f t="shared" ca="1" si="5"/>
        <v>3.1486377530197691E-3</v>
      </c>
      <c r="V5" s="47">
        <f t="shared" ca="1" si="6"/>
        <v>0</v>
      </c>
    </row>
    <row r="6" spans="1:22">
      <c r="A6" s="56" t="s">
        <v>46</v>
      </c>
      <c r="B6" s="26"/>
      <c r="C6" s="57"/>
      <c r="E6" s="32">
        <v>5</v>
      </c>
      <c r="F6" s="45">
        <f t="shared" si="0"/>
        <v>1.3333333333333334E-2</v>
      </c>
      <c r="G6" s="45">
        <f t="shared" si="1"/>
        <v>3.555555555555556E-5</v>
      </c>
      <c r="H6" s="45">
        <f ca="1">F6*F6*('Sheet1 select'!$B$25)*$B$3</f>
        <v>4.0433879911267749E-6</v>
      </c>
      <c r="I6" s="45">
        <f>F6*(1-$B$3)*'Sheet1 select'!$B$41</f>
        <v>3.1111111111111114E-3</v>
      </c>
      <c r="J6" s="45">
        <f ca="1">F6*F6*('Sheet1 select'!$B$26)*(1-$B$3)</f>
        <v>0</v>
      </c>
      <c r="K6" s="45">
        <f>0.0000005*$B$10*F6*$B$8*((('Sheet1 select'!$B$33+0.5*'Sheet1 select'!$B$32)/(('Sheet1 select'!$B$10-'Sheet1 select'!$B$23)/('Sheet1 select'!$B$27+'Sheet1 select'!$B$8)))+(('Sheet1 select'!$B$33+0.5*'Sheet1 select'!$B$32)/(('Sheet1 select'!$B$23)/('Sheet1 select'!$B$27+'Sheet1 select'!$B$9))))</f>
        <v>1.8256248088181006E-4</v>
      </c>
      <c r="L6" s="45">
        <f>(F6*$B$28)*(('Sheet1 select'!$B$12+'Sheet1 select'!$B$13)*(0.000000001))*$B$8*1000</f>
        <v>0</v>
      </c>
      <c r="M6" s="45">
        <f t="shared" si="2"/>
        <v>3.6617357284970928E-5</v>
      </c>
      <c r="N6" s="46">
        <f>$B$10*'Sheet1 select'!$B$29*0.001</f>
        <v>1.2E-2</v>
      </c>
      <c r="O6" s="44">
        <f>'Sheet1 select'!$B$10*'Sheet1 select'!$B$31*$B$8*1000*0.000000001</f>
        <v>3.0000000000000001E-3</v>
      </c>
      <c r="P6" s="44">
        <f>'Sheet1 select'!$B$35*$B$10*$B$8*1000*0.000000001</f>
        <v>0</v>
      </c>
      <c r="Q6" s="47">
        <f>IF('Sheet1 select'!$B$17=0,0,(0.00000006*0.7+0.00000003*(0.7+F6*1.1*'Sheet1 select'!$B$26))*F6*$B$8*1000)</f>
        <v>0</v>
      </c>
      <c r="R6" s="45">
        <f t="shared" ca="1" si="3"/>
        <v>1.8369889892824575E-2</v>
      </c>
      <c r="S6" s="48">
        <f t="shared" ca="1" si="4"/>
        <v>0.78397655507166408</v>
      </c>
      <c r="T6" s="49">
        <f ca="1">H6+K6+O6+N6+'Sheet1 select'!$B$40*I6+J6+P6</f>
        <v>1.5186605868872938E-2</v>
      </c>
      <c r="U6" s="169">
        <f t="shared" ca="1" si="5"/>
        <v>3.186605868872937E-3</v>
      </c>
      <c r="V6" s="47">
        <f t="shared" ca="1" si="6"/>
        <v>0</v>
      </c>
    </row>
    <row r="7" spans="1:22" ht="16.2" thickBot="1">
      <c r="A7" s="29"/>
      <c r="B7" s="23"/>
      <c r="C7" s="30"/>
      <c r="E7" s="32">
        <v>6</v>
      </c>
      <c r="F7" s="45">
        <f t="shared" si="0"/>
        <v>1.6000000000000004E-2</v>
      </c>
      <c r="G7" s="45">
        <f t="shared" si="1"/>
        <v>5.1200000000000018E-5</v>
      </c>
      <c r="H7" s="45">
        <f ca="1">F7*F7*('Sheet1 select'!$B$25)*$B$3</f>
        <v>5.8224787072225567E-6</v>
      </c>
      <c r="I7" s="45">
        <f>F7*(1-$B$3)*'Sheet1 select'!$B$41</f>
        <v>3.7333333333333337E-3</v>
      </c>
      <c r="J7" s="45">
        <f ca="1">F7*F7*('Sheet1 select'!$B$26)*(1-$B$3)</f>
        <v>0</v>
      </c>
      <c r="K7" s="45">
        <f>0.0000005*$B$10*F7*$B$8*((('Sheet1 select'!$B$33+0.5*'Sheet1 select'!$B$32)/(('Sheet1 select'!$B$10-'Sheet1 select'!$B$23)/('Sheet1 select'!$B$27+'Sheet1 select'!$B$8)))+(('Sheet1 select'!$B$33+0.5*'Sheet1 select'!$B$32)/(('Sheet1 select'!$B$23)/('Sheet1 select'!$B$27+'Sheet1 select'!$B$9))))</f>
        <v>2.1907497705817215E-4</v>
      </c>
      <c r="L7" s="45">
        <f>(F7*$B$28)*(('Sheet1 select'!$B$12+'Sheet1 select'!$B$13)*(0.000000001))*$B$8*1000</f>
        <v>0</v>
      </c>
      <c r="M7" s="45">
        <f t="shared" si="2"/>
        <v>3.6617357284970928E-5</v>
      </c>
      <c r="N7" s="46">
        <f>$B$10*'Sheet1 select'!$B$29*0.001</f>
        <v>1.2E-2</v>
      </c>
      <c r="O7" s="44">
        <f>'Sheet1 select'!$B$10*'Sheet1 select'!$B$31*$B$8*1000*0.000000001</f>
        <v>3.0000000000000001E-3</v>
      </c>
      <c r="P7" s="44">
        <f>'Sheet1 select'!$B$35*$B$10*$B$8*1000*0.000000001</f>
        <v>0</v>
      </c>
      <c r="Q7" s="47">
        <f>IF('Sheet1 select'!$B$17=0,0,(0.00000006*0.7+0.00000003*(0.7+F7*1.1*'Sheet1 select'!$B$26))*F7*$B$8*1000)</f>
        <v>0</v>
      </c>
      <c r="R7" s="45">
        <f t="shared" ca="1" si="3"/>
        <v>1.90460481463837E-2</v>
      </c>
      <c r="S7" s="48">
        <f t="shared" ca="1" si="4"/>
        <v>0.80770511794438427</v>
      </c>
      <c r="T7" s="49">
        <f ca="1">H7+K7+O7+N7+'Sheet1 select'!$B$40*I7+J7+P7</f>
        <v>1.5224897455765395E-2</v>
      </c>
      <c r="U7" s="169">
        <f t="shared" ca="1" si="5"/>
        <v>3.2248974557653946E-3</v>
      </c>
      <c r="V7" s="47">
        <f t="shared" ca="1" si="6"/>
        <v>0</v>
      </c>
    </row>
    <row r="8" spans="1:22">
      <c r="A8" s="158" t="s">
        <v>47</v>
      </c>
      <c r="B8" s="58">
        <f>'EZBuck design calculator'!N22</f>
        <v>200</v>
      </c>
      <c r="C8" s="59" t="s">
        <v>3</v>
      </c>
      <c r="E8" s="32">
        <v>7</v>
      </c>
      <c r="F8" s="45">
        <f t="shared" si="0"/>
        <v>1.8666666666666668E-2</v>
      </c>
      <c r="G8" s="45">
        <f t="shared" si="1"/>
        <v>6.9688888888888901E-5</v>
      </c>
      <c r="H8" s="45">
        <f ca="1">F8*F8*('Sheet1 select'!$B$25)*$B$3</f>
        <v>7.9250404626084796E-6</v>
      </c>
      <c r="I8" s="45">
        <f>F8*(1-$B$3)*'Sheet1 select'!$B$41</f>
        <v>4.3555555555555561E-3</v>
      </c>
      <c r="J8" s="45">
        <f ca="1">F8*F8*('Sheet1 select'!$B$26)*(1-$B$3)</f>
        <v>0</v>
      </c>
      <c r="K8" s="45">
        <f>0.0000005*$B$10*F8*$B$8*((('Sheet1 select'!$B$33+0.5*'Sheet1 select'!$B$32)/(('Sheet1 select'!$B$10-'Sheet1 select'!$B$23)/('Sheet1 select'!$B$27+'Sheet1 select'!$B$8)))+(('Sheet1 select'!$B$33+0.5*'Sheet1 select'!$B$32)/(('Sheet1 select'!$B$23)/('Sheet1 select'!$B$27+'Sheet1 select'!$B$9))))</f>
        <v>2.5558747323453412E-4</v>
      </c>
      <c r="L8" s="45">
        <f>(F8*$B$28)*(('Sheet1 select'!$B$12+'Sheet1 select'!$B$13)*(0.000000001))*$B$8*1000</f>
        <v>0</v>
      </c>
      <c r="M8" s="45">
        <f t="shared" si="2"/>
        <v>3.6617357284970928E-5</v>
      </c>
      <c r="N8" s="46">
        <f>$B$10*'Sheet1 select'!$B$29*0.001</f>
        <v>1.2E-2</v>
      </c>
      <c r="O8" s="44">
        <f>'Sheet1 select'!$B$10*'Sheet1 select'!$B$31*$B$8*1000*0.000000001</f>
        <v>3.0000000000000001E-3</v>
      </c>
      <c r="P8" s="44">
        <f>'Sheet1 select'!$B$35*$B$10*$B$8*1000*0.000000001</f>
        <v>0</v>
      </c>
      <c r="Q8" s="47">
        <f>IF('Sheet1 select'!$B$17=0,0,(0.00000006*0.7+0.00000003*(0.7+F8*1.1*'Sheet1 select'!$B$26))*F8*$B$8*1000)</f>
        <v>0</v>
      </c>
      <c r="R8" s="45">
        <f t="shared" ca="1" si="3"/>
        <v>1.9725374315426557E-2</v>
      </c>
      <c r="S8" s="48">
        <f t="shared" ca="1" si="4"/>
        <v>0.82552980902004047</v>
      </c>
      <c r="T8" s="49">
        <f ca="1">H8+K8+O8+N8+'Sheet1 select'!$B$40*I8+J8+P8</f>
        <v>1.5263512513697144E-2</v>
      </c>
      <c r="U8" s="169">
        <f t="shared" ca="1" si="5"/>
        <v>3.2635125136971426E-3</v>
      </c>
      <c r="V8" s="47">
        <f t="shared" ca="1" si="6"/>
        <v>0</v>
      </c>
    </row>
    <row r="9" spans="1:22">
      <c r="A9" s="155"/>
      <c r="B9" s="156"/>
      <c r="C9" s="157"/>
      <c r="E9" s="32">
        <v>8</v>
      </c>
      <c r="F9" s="45">
        <f t="shared" si="0"/>
        <v>2.1333333333333336E-2</v>
      </c>
      <c r="G9" s="45">
        <f t="shared" si="1"/>
        <v>9.1022222222222242E-5</v>
      </c>
      <c r="H9" s="45">
        <f ca="1">F9*F9*('Sheet1 select'!$B$25)*$B$3</f>
        <v>1.0351073257284544E-5</v>
      </c>
      <c r="I9" s="45">
        <f>F9*(1-$B$3)*'Sheet1 select'!$B$41</f>
        <v>4.977777777777778E-3</v>
      </c>
      <c r="J9" s="45">
        <f ca="1">F9*F9*('Sheet1 select'!$B$26)*(1-$B$3)</f>
        <v>0</v>
      </c>
      <c r="K9" s="45">
        <f>0.0000005*$B$10*F9*$B$8*((('Sheet1 select'!$B$33+0.5*'Sheet1 select'!$B$32)/(('Sheet1 select'!$B$10-'Sheet1 select'!$B$23)/('Sheet1 select'!$B$27+'Sheet1 select'!$B$8)))+(('Sheet1 select'!$B$33+0.5*'Sheet1 select'!$B$32)/(('Sheet1 select'!$B$23)/('Sheet1 select'!$B$27+'Sheet1 select'!$B$9))))</f>
        <v>2.9209996941089616E-4</v>
      </c>
      <c r="L9" s="45">
        <f>(F9*$B$28)*(('Sheet1 select'!$B$12+'Sheet1 select'!$B$13)*(0.000000001))*$B$8*1000</f>
        <v>0</v>
      </c>
      <c r="M9" s="45">
        <f t="shared" si="2"/>
        <v>3.6617357284970928E-5</v>
      </c>
      <c r="N9" s="46">
        <f>$B$10*'Sheet1 select'!$B$29*0.001</f>
        <v>1.2E-2</v>
      </c>
      <c r="O9" s="44">
        <f>'Sheet1 select'!$B$10*'Sheet1 select'!$B$31*$B$8*1000*0.000000001</f>
        <v>3.0000000000000001E-3</v>
      </c>
      <c r="P9" s="44">
        <f>'Sheet1 select'!$B$35*$B$10*$B$8*1000*0.000000001</f>
        <v>0</v>
      </c>
      <c r="Q9" s="47">
        <f>IF('Sheet1 select'!$B$17=0,0,(0.00000006*0.7+0.00000003*(0.7+F9*1.1*'Sheet1 select'!$B$26))*F9*$B$8*1000)</f>
        <v>0</v>
      </c>
      <c r="R9" s="45">
        <f t="shared" ca="1" si="3"/>
        <v>2.040786839995315E-2</v>
      </c>
      <c r="S9" s="48">
        <f t="shared" ca="1" si="4"/>
        <v>0.83940237602085921</v>
      </c>
      <c r="T9" s="49">
        <f ca="1">H9+K9+O9+N9+'Sheet1 select'!$B$40*I9+J9+P9</f>
        <v>1.5302451042668181E-2</v>
      </c>
      <c r="U9" s="169">
        <f t="shared" ca="1" si="5"/>
        <v>3.3024510426681807E-3</v>
      </c>
      <c r="V9" s="47">
        <f t="shared" ca="1" si="6"/>
        <v>0</v>
      </c>
    </row>
    <row r="10" spans="1:22">
      <c r="A10" s="159" t="s">
        <v>37</v>
      </c>
      <c r="B10" s="60">
        <f>'EZBuck design calculator'!N15</f>
        <v>12</v>
      </c>
      <c r="C10" s="61" t="s">
        <v>1</v>
      </c>
      <c r="E10" s="32">
        <v>9</v>
      </c>
      <c r="F10" s="45">
        <f t="shared" si="0"/>
        <v>2.4E-2</v>
      </c>
      <c r="G10" s="45">
        <f t="shared" si="1"/>
        <v>1.1519999999999999E-4</v>
      </c>
      <c r="H10" s="45">
        <f ca="1">F10*F10*('Sheet1 select'!$B$25)*$B$3</f>
        <v>1.3100577091250748E-5</v>
      </c>
      <c r="I10" s="45">
        <f>F10*(1-$B$3)*'Sheet1 select'!$B$41</f>
        <v>5.5999999999999999E-3</v>
      </c>
      <c r="J10" s="45">
        <f ca="1">F10*F10*('Sheet1 select'!$B$26)*(1-$B$3)</f>
        <v>0</v>
      </c>
      <c r="K10" s="45">
        <f>0.0000005*$B$10*F10*$B$8*((('Sheet1 select'!$B$33+0.5*'Sheet1 select'!$B$32)/(('Sheet1 select'!$B$10-'Sheet1 select'!$B$23)/('Sheet1 select'!$B$27+'Sheet1 select'!$B$8)))+(('Sheet1 select'!$B$33+0.5*'Sheet1 select'!$B$32)/(('Sheet1 select'!$B$23)/('Sheet1 select'!$B$27+'Sheet1 select'!$B$9))))</f>
        <v>3.2861246558725814E-4</v>
      </c>
      <c r="L10" s="45">
        <f>(F10*$B$28)*(('Sheet1 select'!$B$12+'Sheet1 select'!$B$13)*(0.000000001))*$B$8*1000</f>
        <v>0</v>
      </c>
      <c r="M10" s="45">
        <f t="shared" si="2"/>
        <v>3.6617357284970928E-5</v>
      </c>
      <c r="N10" s="46">
        <f>$B$10*'Sheet1 select'!$B$29*0.001</f>
        <v>1.2E-2</v>
      </c>
      <c r="O10" s="44">
        <f>'Sheet1 select'!$B$10*'Sheet1 select'!$B$31*$B$8*1000*0.000000001</f>
        <v>3.0000000000000001E-3</v>
      </c>
      <c r="P10" s="44">
        <f>'Sheet1 select'!$B$35*$B$10*$B$8*1000*0.000000001</f>
        <v>0</v>
      </c>
      <c r="Q10" s="47">
        <f>IF('Sheet1 select'!$B$17=0,0,(0.00000006*0.7+0.00000003*(0.7+F10*1.1*'Sheet1 select'!$B$26))*F10*$B$8*1000)</f>
        <v>0</v>
      </c>
      <c r="R10" s="45">
        <f t="shared" ca="1" si="3"/>
        <v>2.1093530399963478E-2</v>
      </c>
      <c r="S10" s="48">
        <f t="shared" ca="1" si="4"/>
        <v>0.85049966259849896</v>
      </c>
      <c r="T10" s="49">
        <f ca="1">H10+K10+O10+N10+'Sheet1 select'!$B$40*I10+J10+P10</f>
        <v>1.534171304267851E-2</v>
      </c>
      <c r="U10" s="169">
        <f t="shared" ca="1" si="5"/>
        <v>3.3417130426785088E-3</v>
      </c>
      <c r="V10" s="47">
        <f t="shared" ca="1" si="6"/>
        <v>0</v>
      </c>
    </row>
    <row r="11" spans="1:22">
      <c r="A11" s="159" t="s">
        <v>38</v>
      </c>
      <c r="B11" s="62">
        <f>'EZBuck design calculator'!N16</f>
        <v>5</v>
      </c>
      <c r="C11" s="28" t="s">
        <v>1</v>
      </c>
      <c r="E11" s="32">
        <v>10</v>
      </c>
      <c r="F11" s="45">
        <f t="shared" si="0"/>
        <v>2.6666666666666668E-2</v>
      </c>
      <c r="G11" s="45">
        <f t="shared" si="1"/>
        <v>1.4222222222222224E-4</v>
      </c>
      <c r="H11" s="45">
        <f ca="1">F11*F11*('Sheet1 select'!$B$25)*$B$3</f>
        <v>1.6173551964507099E-5</v>
      </c>
      <c r="I11" s="45">
        <f>F11*(1-$B$3)*'Sheet1 select'!$B$41</f>
        <v>6.2222222222222227E-3</v>
      </c>
      <c r="J11" s="45">
        <f ca="1">F11*F11*('Sheet1 select'!$B$26)*(1-$B$3)</f>
        <v>0</v>
      </c>
      <c r="K11" s="45">
        <f>0.0000005*$B$10*F11*$B$8*((('Sheet1 select'!$B$33+0.5*'Sheet1 select'!$B$32)/(('Sheet1 select'!$B$10-'Sheet1 select'!$B$23)/('Sheet1 select'!$B$27+'Sheet1 select'!$B$8)))+(('Sheet1 select'!$B$33+0.5*'Sheet1 select'!$B$32)/(('Sheet1 select'!$B$23)/('Sheet1 select'!$B$27+'Sheet1 select'!$B$9))))</f>
        <v>3.6512496176362012E-4</v>
      </c>
      <c r="L11" s="45">
        <f>(F11*$B$28)*(('Sheet1 select'!$B$12+'Sheet1 select'!$B$13)*(0.000000001))*$B$8*1000</f>
        <v>0</v>
      </c>
      <c r="M11" s="45">
        <f t="shared" si="2"/>
        <v>3.6617357284970928E-5</v>
      </c>
      <c r="N11" s="46">
        <f>$B$10*'Sheet1 select'!$B$29*0.001</f>
        <v>1.2E-2</v>
      </c>
      <c r="O11" s="44">
        <f>'Sheet1 select'!$B$10*'Sheet1 select'!$B$31*$B$8*1000*0.000000001</f>
        <v>3.0000000000000001E-3</v>
      </c>
      <c r="P11" s="44">
        <f>'Sheet1 select'!$B$35*$B$10*$B$8*1000*0.000000001</f>
        <v>0</v>
      </c>
      <c r="Q11" s="47">
        <f>IF('Sheet1 select'!$B$17=0,0,(0.00000006*0.7+0.00000003*(0.7+F11*1.1*'Sheet1 select'!$B$26))*F11*$B$8*1000)</f>
        <v>0</v>
      </c>
      <c r="R11" s="45">
        <f t="shared" ca="1" si="3"/>
        <v>2.1782360315457543E-2</v>
      </c>
      <c r="S11" s="48">
        <f t="shared" ca="1" si="4"/>
        <v>0.85957345899005788</v>
      </c>
      <c r="T11" s="49">
        <f ca="1">H11+K11+O11+N11+'Sheet1 select'!$B$40*I11+J11+P11</f>
        <v>1.5381298513728128E-2</v>
      </c>
      <c r="U11" s="169">
        <f t="shared" ca="1" si="5"/>
        <v>3.3812985137281273E-3</v>
      </c>
      <c r="V11" s="47">
        <f t="shared" ca="1" si="6"/>
        <v>0</v>
      </c>
    </row>
    <row r="12" spans="1:22">
      <c r="A12" s="159" t="s">
        <v>48</v>
      </c>
      <c r="B12" s="60">
        <f>'EZBuck design calculator'!N17</f>
        <v>0.8</v>
      </c>
      <c r="C12" s="61" t="s">
        <v>2</v>
      </c>
      <c r="E12" s="32">
        <v>11</v>
      </c>
      <c r="F12" s="45">
        <f t="shared" si="0"/>
        <v>2.9333333333333336E-2</v>
      </c>
      <c r="G12" s="45">
        <f t="shared" si="1"/>
        <v>1.7208888888888894E-4</v>
      </c>
      <c r="H12" s="45">
        <f ca="1">F12*F12*('Sheet1 select'!$B$25)*$B$3</f>
        <v>1.956999787705359E-5</v>
      </c>
      <c r="I12" s="45">
        <f>F12*(1-$B$3)*'Sheet1 select'!$B$41</f>
        <v>6.8444444444444447E-3</v>
      </c>
      <c r="J12" s="45">
        <f ca="1">F12*F12*('Sheet1 select'!$B$26)*(1-$B$3)</f>
        <v>0</v>
      </c>
      <c r="K12" s="45">
        <f>0.0000005*$B$10*F12*$B$8*((('Sheet1 select'!$B$33+0.5*'Sheet1 select'!$B$32)/(('Sheet1 select'!$B$10-'Sheet1 select'!$B$23)/('Sheet1 select'!$B$27+'Sheet1 select'!$B$8)))+(('Sheet1 select'!$B$33+0.5*'Sheet1 select'!$B$32)/(('Sheet1 select'!$B$23)/('Sheet1 select'!$B$27+'Sheet1 select'!$B$9))))</f>
        <v>4.016374579399822E-4</v>
      </c>
      <c r="L12" s="45">
        <f>(F12*$B$28)*(('Sheet1 select'!$B$12+'Sheet1 select'!$B$13)*(0.000000001))*$B$8*1000</f>
        <v>0</v>
      </c>
      <c r="M12" s="45">
        <f t="shared" si="2"/>
        <v>3.6617357284970928E-5</v>
      </c>
      <c r="N12" s="46">
        <f>$B$10*'Sheet1 select'!$B$29*0.001</f>
        <v>1.2E-2</v>
      </c>
      <c r="O12" s="44">
        <f>'Sheet1 select'!$B$10*'Sheet1 select'!$B$31*$B$8*1000*0.000000001</f>
        <v>3.0000000000000001E-3</v>
      </c>
      <c r="P12" s="44">
        <f>'Sheet1 select'!$B$35*$B$10*$B$8*1000*0.000000001</f>
        <v>0</v>
      </c>
      <c r="Q12" s="47">
        <f>IF('Sheet1 select'!$B$17=0,0,(0.00000006*0.7+0.00000003*(0.7+F12*1.1*'Sheet1 select'!$B$26))*F12*$B$8*1000)</f>
        <v>0</v>
      </c>
      <c r="R12" s="45">
        <f t="shared" ca="1" si="3"/>
        <v>2.2474358146435339E-2</v>
      </c>
      <c r="S12" s="48">
        <f t="shared" ca="1" si="4"/>
        <v>0.86712651072518254</v>
      </c>
      <c r="T12" s="49">
        <f ca="1">H12+K12+O12+N12+'Sheet1 select'!$B$40*I12+J12+P12</f>
        <v>1.5421207455817036E-2</v>
      </c>
      <c r="U12" s="169">
        <f t="shared" ca="1" si="5"/>
        <v>3.4212074558170359E-3</v>
      </c>
      <c r="V12" s="47">
        <f t="shared" ca="1" si="6"/>
        <v>0</v>
      </c>
    </row>
    <row r="13" spans="1:22">
      <c r="A13" s="159" t="s">
        <v>39</v>
      </c>
      <c r="B13" s="60">
        <f>'EZBuck design calculator'!N29</f>
        <v>22</v>
      </c>
      <c r="C13" s="61" t="s">
        <v>30</v>
      </c>
      <c r="E13" s="32">
        <v>12</v>
      </c>
      <c r="F13" s="45">
        <f t="shared" si="0"/>
        <v>3.2000000000000008E-2</v>
      </c>
      <c r="G13" s="45">
        <f t="shared" si="1"/>
        <v>2.0480000000000007E-4</v>
      </c>
      <c r="H13" s="45">
        <f ca="1">F13*F13*('Sheet1 select'!$B$25)*$B$3</f>
        <v>2.3289914828890227E-5</v>
      </c>
      <c r="I13" s="45">
        <f>F13*(1-$B$3)*'Sheet1 select'!$B$41</f>
        <v>7.4666666666666675E-3</v>
      </c>
      <c r="J13" s="45">
        <f ca="1">F13*F13*('Sheet1 select'!$B$26)*(1-$B$3)</f>
        <v>0</v>
      </c>
      <c r="K13" s="45">
        <f>0.0000005*$B$10*F13*$B$8*((('Sheet1 select'!$B$33+0.5*'Sheet1 select'!$B$32)/(('Sheet1 select'!$B$10-'Sheet1 select'!$B$23)/('Sheet1 select'!$B$27+'Sheet1 select'!$B$8)))+(('Sheet1 select'!$B$33+0.5*'Sheet1 select'!$B$32)/(('Sheet1 select'!$B$23)/('Sheet1 select'!$B$27+'Sheet1 select'!$B$9))))</f>
        <v>4.3814995411634429E-4</v>
      </c>
      <c r="L13" s="45">
        <f>(F13*$B$28)*(('Sheet1 select'!$B$12+'Sheet1 select'!$B$13)*(0.000000001))*$B$8*1000</f>
        <v>0</v>
      </c>
      <c r="M13" s="45">
        <f t="shared" si="2"/>
        <v>3.6617357284970928E-5</v>
      </c>
      <c r="N13" s="46">
        <f>$B$10*'Sheet1 select'!$B$29*0.001</f>
        <v>1.2E-2</v>
      </c>
      <c r="O13" s="44">
        <f>'Sheet1 select'!$B$10*'Sheet1 select'!$B$31*$B$8*1000*0.000000001</f>
        <v>3.0000000000000001E-3</v>
      </c>
      <c r="P13" s="44">
        <f>'Sheet1 select'!$B$35*$B$10*$B$8*1000*0.000000001</f>
        <v>0</v>
      </c>
      <c r="Q13" s="47">
        <f>IF('Sheet1 select'!$B$17=0,0,(0.00000006*0.7+0.00000003*(0.7+F13*1.1*'Sheet1 select'!$B$26))*F13*$B$8*1000)</f>
        <v>0</v>
      </c>
      <c r="R13" s="45">
        <f t="shared" ca="1" si="3"/>
        <v>2.3169523892896875E-2</v>
      </c>
      <c r="S13" s="48">
        <f t="shared" ca="1" si="4"/>
        <v>0.87350775718320595</v>
      </c>
      <c r="T13" s="49">
        <f ca="1">H13+K13+O13+N13+'Sheet1 select'!$B$40*I13+J13+P13</f>
        <v>1.5461439868945236E-2</v>
      </c>
      <c r="U13" s="169">
        <f t="shared" ca="1" si="5"/>
        <v>3.4614398689452345E-3</v>
      </c>
      <c r="V13" s="47">
        <f t="shared" ca="1" si="6"/>
        <v>0</v>
      </c>
    </row>
    <row r="14" spans="1:22">
      <c r="A14" s="159" t="s">
        <v>49</v>
      </c>
      <c r="B14" s="60">
        <f>'EZBuck design calculator'!N30</f>
        <v>100</v>
      </c>
      <c r="C14" s="63" t="s">
        <v>41</v>
      </c>
      <c r="E14" s="32">
        <v>13</v>
      </c>
      <c r="F14" s="45">
        <f t="shared" si="0"/>
        <v>3.4666666666666665E-2</v>
      </c>
      <c r="G14" s="45">
        <f t="shared" si="1"/>
        <v>2.4035555555555554E-4</v>
      </c>
      <c r="H14" s="45">
        <f ca="1">F14*F14*('Sheet1 select'!$B$25)*$B$3</f>
        <v>2.7333302820016991E-5</v>
      </c>
      <c r="I14" s="45">
        <f>F14*(1-$B$3)*'Sheet1 select'!$B$41</f>
        <v>8.0888888888888868E-3</v>
      </c>
      <c r="J14" s="45">
        <f ca="1">F14*F14*('Sheet1 select'!$B$26)*(1-$B$3)</f>
        <v>0</v>
      </c>
      <c r="K14" s="45">
        <f>0.0000005*$B$10*F14*$B$8*((('Sheet1 select'!$B$33+0.5*'Sheet1 select'!$B$32)/(('Sheet1 select'!$B$10-'Sheet1 select'!$B$23)/('Sheet1 select'!$B$27+'Sheet1 select'!$B$8)))+(('Sheet1 select'!$B$33+0.5*'Sheet1 select'!$B$32)/(('Sheet1 select'!$B$23)/('Sheet1 select'!$B$27+'Sheet1 select'!$B$9))))</f>
        <v>4.7466245029270611E-4</v>
      </c>
      <c r="L14" s="45">
        <f>(F14*$B$28)*(('Sheet1 select'!$B$12+'Sheet1 select'!$B$13)*(0.000000001))*$B$8*1000</f>
        <v>0</v>
      </c>
      <c r="M14" s="45">
        <f t="shared" si="2"/>
        <v>3.6617357284970928E-5</v>
      </c>
      <c r="N14" s="46">
        <f>$B$10*'Sheet1 select'!$B$29*0.001</f>
        <v>1.2E-2</v>
      </c>
      <c r="O14" s="44">
        <f>'Sheet1 select'!$B$10*'Sheet1 select'!$B$31*$B$8*1000*0.000000001</f>
        <v>3.0000000000000001E-3</v>
      </c>
      <c r="P14" s="44">
        <f>'Sheet1 select'!$B$35*$B$10*$B$8*1000*0.000000001</f>
        <v>0</v>
      </c>
      <c r="Q14" s="47">
        <f>IF('Sheet1 select'!$B$17=0,0,(0.00000006*0.7+0.00000003*(0.7+F14*1.1*'Sheet1 select'!$B$26))*F14*$B$8*1000)</f>
        <v>0</v>
      </c>
      <c r="R14" s="45">
        <f t="shared" ca="1" si="3"/>
        <v>2.3867857554842137E-2</v>
      </c>
      <c r="S14" s="48">
        <f t="shared" ca="1" si="4"/>
        <v>0.87896697049676242</v>
      </c>
      <c r="T14" s="49">
        <f ca="1">H14+K14+O14+N14+'Sheet1 select'!$B$40*I14+J14+P14</f>
        <v>1.5501995753112723E-2</v>
      </c>
      <c r="U14" s="169">
        <f t="shared" ca="1" si="5"/>
        <v>3.5019957531127232E-3</v>
      </c>
      <c r="V14" s="47">
        <f t="shared" ca="1" si="6"/>
        <v>0</v>
      </c>
    </row>
    <row r="15" spans="1:22">
      <c r="A15" s="159" t="s">
        <v>40</v>
      </c>
      <c r="B15" s="60">
        <f>'EZBuck design calculator'!N40</f>
        <v>4700</v>
      </c>
      <c r="C15" s="63" t="s">
        <v>35</v>
      </c>
      <c r="E15" s="32">
        <v>14</v>
      </c>
      <c r="F15" s="45">
        <f t="shared" si="0"/>
        <v>3.7333333333333336E-2</v>
      </c>
      <c r="G15" s="45">
        <f t="shared" si="1"/>
        <v>2.787555555555556E-4</v>
      </c>
      <c r="H15" s="45">
        <f ca="1">F15*F15*('Sheet1 select'!$B$25)*$B$3</f>
        <v>3.1700161850433919E-5</v>
      </c>
      <c r="I15" s="45">
        <f>F15*(1-$B$3)*'Sheet1 select'!$B$41</f>
        <v>8.7111111111111122E-3</v>
      </c>
      <c r="J15" s="45">
        <f ca="1">F15*F15*('Sheet1 select'!$B$26)*(1-$B$3)</f>
        <v>0</v>
      </c>
      <c r="K15" s="45">
        <f>0.0000005*$B$10*F15*$B$8*((('Sheet1 select'!$B$33+0.5*'Sheet1 select'!$B$32)/(('Sheet1 select'!$B$10-'Sheet1 select'!$B$23)/('Sheet1 select'!$B$27+'Sheet1 select'!$B$8)))+(('Sheet1 select'!$B$33+0.5*'Sheet1 select'!$B$32)/(('Sheet1 select'!$B$23)/('Sheet1 select'!$B$27+'Sheet1 select'!$B$9))))</f>
        <v>5.1117494646906825E-4</v>
      </c>
      <c r="L15" s="45">
        <f>(F15*$B$28)*(('Sheet1 select'!$B$12+'Sheet1 select'!$B$13)*(0.000000001))*$B$8*1000</f>
        <v>0</v>
      </c>
      <c r="M15" s="45">
        <f t="shared" si="2"/>
        <v>3.6617357284970928E-5</v>
      </c>
      <c r="N15" s="46">
        <f>$B$10*'Sheet1 select'!$B$29*0.001</f>
        <v>1.2E-2</v>
      </c>
      <c r="O15" s="44">
        <f>'Sheet1 select'!$B$10*'Sheet1 select'!$B$31*$B$8*1000*0.000000001</f>
        <v>3.0000000000000001E-3</v>
      </c>
      <c r="P15" s="44">
        <f>'Sheet1 select'!$B$35*$B$10*$B$8*1000*0.000000001</f>
        <v>0</v>
      </c>
      <c r="Q15" s="47">
        <f>IF('Sheet1 select'!$B$17=0,0,(0.00000006*0.7+0.00000003*(0.7+F15*1.1*'Sheet1 select'!$B$26))*F15*$B$8*1000)</f>
        <v>0</v>
      </c>
      <c r="R15" s="45">
        <f t="shared" ca="1" si="3"/>
        <v>2.4569359132271141E-2</v>
      </c>
      <c r="S15" s="48">
        <f t="shared" ca="1" si="4"/>
        <v>0.88368764731610139</v>
      </c>
      <c r="T15" s="49">
        <f ca="1">H15+K15+O15+N15+'Sheet1 select'!$B$40*I15+J15+P15</f>
        <v>1.5542875108319502E-2</v>
      </c>
      <c r="U15" s="169">
        <f t="shared" ca="1" si="5"/>
        <v>3.5428751083195023E-3</v>
      </c>
      <c r="V15" s="47">
        <f t="shared" ca="1" si="6"/>
        <v>0</v>
      </c>
    </row>
    <row r="16" spans="1:22" ht="16.2" thickBot="1">
      <c r="A16" s="160" t="s">
        <v>50</v>
      </c>
      <c r="B16" s="64">
        <f>'EZBuck design calculator'!N41</f>
        <v>1</v>
      </c>
      <c r="C16" s="31" t="s">
        <v>41</v>
      </c>
      <c r="E16" s="32">
        <v>15</v>
      </c>
      <c r="F16" s="45">
        <f t="shared" si="0"/>
        <v>0.04</v>
      </c>
      <c r="G16" s="45">
        <f t="shared" si="1"/>
        <v>3.2000000000000003E-4</v>
      </c>
      <c r="H16" s="45">
        <f ca="1">F16*F16*('Sheet1 select'!$B$25)*$B$3</f>
        <v>3.6390491920140969E-5</v>
      </c>
      <c r="I16" s="45">
        <f>F16*(1-$B$3)*'Sheet1 select'!$B$41</f>
        <v>9.3333333333333324E-3</v>
      </c>
      <c r="J16" s="45">
        <f ca="1">F16*F16*('Sheet1 select'!$B$26)*(1-$B$3)</f>
        <v>0</v>
      </c>
      <c r="K16" s="45">
        <f>0.0000005*$B$10*F16*$B$8*((('Sheet1 select'!$B$33+0.5*'Sheet1 select'!$B$32)/(('Sheet1 select'!$B$10-'Sheet1 select'!$B$23)/('Sheet1 select'!$B$27+'Sheet1 select'!$B$8)))+(('Sheet1 select'!$B$33+0.5*'Sheet1 select'!$B$32)/(('Sheet1 select'!$B$23)/('Sheet1 select'!$B$27+'Sheet1 select'!$B$9))))</f>
        <v>5.4768744264543034E-4</v>
      </c>
      <c r="L16" s="45">
        <f>(F16*$B$28)*(('Sheet1 select'!$B$12+'Sheet1 select'!$B$13)*(0.000000001))*$B$8*1000</f>
        <v>0</v>
      </c>
      <c r="M16" s="45">
        <f t="shared" si="2"/>
        <v>3.6617357284970928E-5</v>
      </c>
      <c r="N16" s="46">
        <f>$B$10*'Sheet1 select'!$B$29*0.001</f>
        <v>1.2E-2</v>
      </c>
      <c r="O16" s="44">
        <f>'Sheet1 select'!$B$10*'Sheet1 select'!$B$31*$B$8*1000*0.000000001</f>
        <v>3.0000000000000001E-3</v>
      </c>
      <c r="P16" s="44">
        <f>'Sheet1 select'!$B$35*$B$10*$B$8*1000*0.000000001</f>
        <v>0</v>
      </c>
      <c r="Q16" s="47">
        <f>IF('Sheet1 select'!$B$17=0,0,(0.00000006*0.7+0.00000003*(0.7+F16*1.1*'Sheet1 select'!$B$26))*F16*$B$8*1000)</f>
        <v>0</v>
      </c>
      <c r="R16" s="45">
        <f t="shared" ca="1" si="3"/>
        <v>2.5274028625183877E-2</v>
      </c>
      <c r="S16" s="48">
        <f t="shared" ca="1" si="4"/>
        <v>0.88780762354441045</v>
      </c>
      <c r="T16" s="49">
        <f ca="1">H16+K16+O16+N16+'Sheet1 select'!$B$40*I16+J16+P16</f>
        <v>1.5584077934565572E-2</v>
      </c>
      <c r="U16" s="169">
        <f t="shared" ca="1" si="5"/>
        <v>3.5840779345655714E-3</v>
      </c>
      <c r="V16" s="47">
        <f t="shared" ca="1" si="6"/>
        <v>0</v>
      </c>
    </row>
    <row r="17" spans="1:22">
      <c r="A17" s="155"/>
      <c r="B17" s="156"/>
      <c r="C17" s="156"/>
      <c r="E17" s="32">
        <v>16</v>
      </c>
      <c r="F17" s="45">
        <f t="shared" si="0"/>
        <v>4.2666666666666672E-2</v>
      </c>
      <c r="G17" s="45">
        <f t="shared" si="1"/>
        <v>3.6408888888888897E-4</v>
      </c>
      <c r="H17" s="45">
        <f ca="1">F17*F17*('Sheet1 select'!$B$25)*$B$3</f>
        <v>4.1404293029138177E-5</v>
      </c>
      <c r="I17" s="45">
        <f>F17*(1-$B$3)*'Sheet1 select'!$B$41</f>
        <v>9.955555555555556E-3</v>
      </c>
      <c r="J17" s="45">
        <f ca="1">F17*F17*('Sheet1 select'!$B$26)*(1-$B$3)</f>
        <v>0</v>
      </c>
      <c r="K17" s="45">
        <f>0.0000005*$B$10*F17*$B$8*((('Sheet1 select'!$B$33+0.5*'Sheet1 select'!$B$32)/(('Sheet1 select'!$B$10-'Sheet1 select'!$B$23)/('Sheet1 select'!$B$27+'Sheet1 select'!$B$8)))+(('Sheet1 select'!$B$33+0.5*'Sheet1 select'!$B$32)/(('Sheet1 select'!$B$23)/('Sheet1 select'!$B$27+'Sheet1 select'!$B$9))))</f>
        <v>5.8419993882179231E-4</v>
      </c>
      <c r="L17" s="45">
        <f>(F17*$B$28)*(('Sheet1 select'!$B$12+'Sheet1 select'!$B$13)*(0.000000001))*$B$8*1000</f>
        <v>0</v>
      </c>
      <c r="M17" s="45">
        <f t="shared" si="2"/>
        <v>3.6617357284970928E-5</v>
      </c>
      <c r="N17" s="46">
        <f>$B$10*'Sheet1 select'!$B$29*0.001</f>
        <v>1.2E-2</v>
      </c>
      <c r="O17" s="44">
        <f>'Sheet1 select'!$B$10*'Sheet1 select'!$B$31*$B$8*1000*0.000000001</f>
        <v>3.0000000000000001E-3</v>
      </c>
      <c r="P17" s="44">
        <f>'Sheet1 select'!$B$35*$B$10*$B$8*1000*0.000000001</f>
        <v>0</v>
      </c>
      <c r="Q17" s="47">
        <f>IF('Sheet1 select'!$B$17=0,0,(0.00000006*0.7+0.00000003*(0.7+F17*1.1*'Sheet1 select'!$B$26))*F17*$B$8*1000)</f>
        <v>0</v>
      </c>
      <c r="R17" s="45">
        <f t="shared" ca="1" si="3"/>
        <v>2.5981866033580346E-2</v>
      </c>
      <c r="S17" s="48">
        <f t="shared" ca="1" si="4"/>
        <v>0.89143244515052544</v>
      </c>
      <c r="T17" s="49">
        <f ca="1">H17+K17+O17+N17+'Sheet1 select'!$B$40*I17+J17+P17</f>
        <v>1.5625604231850932E-2</v>
      </c>
      <c r="U17" s="169">
        <f t="shared" ca="1" si="5"/>
        <v>3.6256042318509305E-3</v>
      </c>
      <c r="V17" s="47">
        <f t="shared" ca="1" si="6"/>
        <v>0</v>
      </c>
    </row>
    <row r="18" spans="1:22">
      <c r="A18" s="156"/>
      <c r="B18" s="162"/>
      <c r="C18" s="165"/>
      <c r="E18" s="32">
        <v>17</v>
      </c>
      <c r="F18" s="45">
        <f t="shared" si="0"/>
        <v>4.5333333333333337E-2</v>
      </c>
      <c r="G18" s="45">
        <f t="shared" si="1"/>
        <v>4.1102222222222227E-4</v>
      </c>
      <c r="H18" s="45">
        <f ca="1">F18*F18*('Sheet1 select'!$B$25)*$B$3</f>
        <v>4.6741565177425516E-5</v>
      </c>
      <c r="I18" s="45">
        <f>F18*(1-$B$3)*'Sheet1 select'!$B$41</f>
        <v>1.0577777777777778E-2</v>
      </c>
      <c r="J18" s="45">
        <f ca="1">F18*F18*('Sheet1 select'!$B$26)*(1-$B$3)</f>
        <v>0</v>
      </c>
      <c r="K18" s="45">
        <f>0.0000005*$B$10*F18*$B$8*((('Sheet1 select'!$B$33+0.5*'Sheet1 select'!$B$32)/(('Sheet1 select'!$B$10-'Sheet1 select'!$B$23)/('Sheet1 select'!$B$27+'Sheet1 select'!$B$8)))+(('Sheet1 select'!$B$33+0.5*'Sheet1 select'!$B$32)/(('Sheet1 select'!$B$23)/('Sheet1 select'!$B$27+'Sheet1 select'!$B$9))))</f>
        <v>6.2071243499815429E-4</v>
      </c>
      <c r="L18" s="45">
        <f>(F18*$B$28)*(('Sheet1 select'!$B$12+'Sheet1 select'!$B$13)*(0.000000001))*$B$8*1000</f>
        <v>0</v>
      </c>
      <c r="M18" s="45">
        <f t="shared" si="2"/>
        <v>3.6617357284970928E-5</v>
      </c>
      <c r="N18" s="46">
        <f>$B$10*'Sheet1 select'!$B$29*0.001</f>
        <v>1.2E-2</v>
      </c>
      <c r="O18" s="44">
        <f>'Sheet1 select'!$B$10*'Sheet1 select'!$B$31*$B$8*1000*0.000000001</f>
        <v>3.0000000000000001E-3</v>
      </c>
      <c r="P18" s="44">
        <f>'Sheet1 select'!$B$35*$B$10*$B$8*1000*0.000000001</f>
        <v>0</v>
      </c>
      <c r="Q18" s="47">
        <f>IF('Sheet1 select'!$B$17=0,0,(0.00000006*0.7+0.00000003*(0.7+F18*1.1*'Sheet1 select'!$B$26))*F18*$B$8*1000)</f>
        <v>0</v>
      </c>
      <c r="R18" s="45">
        <f t="shared" ca="1" si="3"/>
        <v>2.6692871357460551E-2</v>
      </c>
      <c r="S18" s="48">
        <f t="shared" ca="1" si="4"/>
        <v>0.8946443004844814</v>
      </c>
      <c r="T18" s="49">
        <f ca="1">H18+K18+O18+N18+'Sheet1 select'!$B$40*I18+J18+P18</f>
        <v>1.5667454000175579E-2</v>
      </c>
      <c r="U18" s="169">
        <f t="shared" ca="1" si="5"/>
        <v>3.6674540001755797E-3</v>
      </c>
      <c r="V18" s="47">
        <f t="shared" ca="1" si="6"/>
        <v>0</v>
      </c>
    </row>
    <row r="19" spans="1:22">
      <c r="A19" s="163"/>
      <c r="B19" s="156"/>
      <c r="C19" s="156"/>
      <c r="E19" s="32">
        <v>18</v>
      </c>
      <c r="F19" s="45">
        <f t="shared" si="0"/>
        <v>4.8000000000000001E-2</v>
      </c>
      <c r="G19" s="45">
        <f t="shared" si="1"/>
        <v>4.6079999999999998E-4</v>
      </c>
      <c r="H19" s="45">
        <f ca="1">F19*F19*('Sheet1 select'!$B$25)*$B$3</f>
        <v>5.240230836500299E-5</v>
      </c>
      <c r="I19" s="45">
        <f>F19*(1-$B$3)*'Sheet1 select'!$B$41</f>
        <v>1.12E-2</v>
      </c>
      <c r="J19" s="45">
        <f ca="1">F19*F19*('Sheet1 select'!$B$26)*(1-$B$3)</f>
        <v>0</v>
      </c>
      <c r="K19" s="45">
        <f>0.0000005*$B$10*F19*$B$8*((('Sheet1 select'!$B$33+0.5*'Sheet1 select'!$B$32)/(('Sheet1 select'!$B$10-'Sheet1 select'!$B$23)/('Sheet1 select'!$B$27+'Sheet1 select'!$B$8)))+(('Sheet1 select'!$B$33+0.5*'Sheet1 select'!$B$32)/(('Sheet1 select'!$B$23)/('Sheet1 select'!$B$27+'Sheet1 select'!$B$9))))</f>
        <v>6.5722493117451627E-4</v>
      </c>
      <c r="L19" s="45">
        <f>(F19*$B$28)*(('Sheet1 select'!$B$12+'Sheet1 select'!$B$13)*(0.000000001))*$B$8*1000</f>
        <v>0</v>
      </c>
      <c r="M19" s="45">
        <f t="shared" si="2"/>
        <v>3.6617357284970928E-5</v>
      </c>
      <c r="N19" s="46">
        <f>$B$10*'Sheet1 select'!$B$29*0.001</f>
        <v>1.2E-2</v>
      </c>
      <c r="O19" s="44">
        <f>'Sheet1 select'!$B$10*'Sheet1 select'!$B$31*$B$8*1000*0.000000001</f>
        <v>3.0000000000000001E-3</v>
      </c>
      <c r="P19" s="44">
        <f>'Sheet1 select'!$B$35*$B$10*$B$8*1000*0.000000001</f>
        <v>0</v>
      </c>
      <c r="Q19" s="47">
        <f>IF('Sheet1 select'!$B$17=0,0,(0.00000006*0.7+0.00000003*(0.7+F19*1.1*'Sheet1 select'!$B$26))*F19*$B$8*1000)</f>
        <v>0</v>
      </c>
      <c r="R19" s="45">
        <f t="shared" ca="1" si="3"/>
        <v>2.7407044596824488E-2</v>
      </c>
      <c r="S19" s="48">
        <f t="shared" ca="1" si="4"/>
        <v>0.89750814292066738</v>
      </c>
      <c r="T19" s="49">
        <f ca="1">H19+K19+O19+N19+'Sheet1 select'!$B$40*I19+J19+P19</f>
        <v>1.570962723953952E-2</v>
      </c>
      <c r="U19" s="169">
        <f t="shared" ca="1" si="5"/>
        <v>3.7096272395395194E-3</v>
      </c>
      <c r="V19" s="47">
        <f t="shared" ca="1" si="6"/>
        <v>0</v>
      </c>
    </row>
    <row r="20" spans="1:22">
      <c r="A20" s="163"/>
      <c r="B20" s="156"/>
      <c r="C20" s="156"/>
      <c r="E20" s="32">
        <v>19</v>
      </c>
      <c r="F20" s="45">
        <f t="shared" si="0"/>
        <v>5.0666666666666672E-2</v>
      </c>
      <c r="G20" s="45">
        <f t="shared" si="1"/>
        <v>5.1342222222222232E-4</v>
      </c>
      <c r="H20" s="45">
        <f ca="1">F20*F20*('Sheet1 select'!$B$25)*$B$3</f>
        <v>5.8386522591870629E-5</v>
      </c>
      <c r="I20" s="45">
        <f>F20*(1-$B$3)*'Sheet1 select'!$B$41</f>
        <v>1.1822222222222222E-2</v>
      </c>
      <c r="J20" s="45">
        <f ca="1">F20*F20*('Sheet1 select'!$B$26)*(1-$B$3)</f>
        <v>0</v>
      </c>
      <c r="K20" s="45">
        <f>0.0000005*$B$10*F20*$B$8*((('Sheet1 select'!$B$33+0.5*'Sheet1 select'!$B$32)/(('Sheet1 select'!$B$10-'Sheet1 select'!$B$23)/('Sheet1 select'!$B$27+'Sheet1 select'!$B$8)))+(('Sheet1 select'!$B$33+0.5*'Sheet1 select'!$B$32)/(('Sheet1 select'!$B$23)/('Sheet1 select'!$B$27+'Sheet1 select'!$B$9))))</f>
        <v>6.9373742735087836E-4</v>
      </c>
      <c r="L20" s="45">
        <f>(F20*$B$28)*(('Sheet1 select'!$B$12+'Sheet1 select'!$B$13)*(0.000000001))*$B$8*1000</f>
        <v>0</v>
      </c>
      <c r="M20" s="45">
        <f t="shared" si="2"/>
        <v>3.6617357284970928E-5</v>
      </c>
      <c r="N20" s="46">
        <f>$B$10*'Sheet1 select'!$B$29*0.001</f>
        <v>1.2E-2</v>
      </c>
      <c r="O20" s="44">
        <f>'Sheet1 select'!$B$10*'Sheet1 select'!$B$31*$B$8*1000*0.000000001</f>
        <v>3.0000000000000001E-3</v>
      </c>
      <c r="P20" s="44">
        <f>'Sheet1 select'!$B$35*$B$10*$B$8*1000*0.000000001</f>
        <v>0</v>
      </c>
      <c r="Q20" s="47">
        <f>IF('Sheet1 select'!$B$17=0,0,(0.00000006*0.7+0.00000003*(0.7+F20*1.1*'Sheet1 select'!$B$26))*F20*$B$8*1000)</f>
        <v>0</v>
      </c>
      <c r="R20" s="45">
        <f t="shared" ca="1" si="3"/>
        <v>2.8124385751672164E-2</v>
      </c>
      <c r="S20" s="48">
        <f t="shared" ca="1" si="4"/>
        <v>0.90007598355055929</v>
      </c>
      <c r="T20" s="49">
        <f ca="1">H20+K20+O20+N20+'Sheet1 select'!$B$40*I20+J20+P20</f>
        <v>1.5752123949942749E-2</v>
      </c>
      <c r="U20" s="169">
        <f t="shared" ca="1" si="5"/>
        <v>3.752123949942749E-3</v>
      </c>
      <c r="V20" s="47">
        <f t="shared" ca="1" si="6"/>
        <v>0</v>
      </c>
    </row>
    <row r="21" spans="1:22">
      <c r="A21" s="163"/>
      <c r="B21" s="156"/>
      <c r="C21" s="156"/>
      <c r="E21" s="32">
        <v>20</v>
      </c>
      <c r="F21" s="45">
        <f t="shared" si="0"/>
        <v>5.3333333333333337E-2</v>
      </c>
      <c r="G21" s="45">
        <f t="shared" si="1"/>
        <v>5.6888888888888896E-4</v>
      </c>
      <c r="H21" s="45">
        <f ca="1">F21*F21*('Sheet1 select'!$B$25)*$B$3</f>
        <v>6.4694207858028398E-5</v>
      </c>
      <c r="I21" s="45">
        <f>F21*(1-$B$3)*'Sheet1 select'!$B$41</f>
        <v>1.2444444444444445E-2</v>
      </c>
      <c r="J21" s="45">
        <f ca="1">F21*F21*('Sheet1 select'!$B$26)*(1-$B$3)</f>
        <v>0</v>
      </c>
      <c r="K21" s="45">
        <f>0.0000005*$B$10*F21*$B$8*((('Sheet1 select'!$B$33+0.5*'Sheet1 select'!$B$32)/(('Sheet1 select'!$B$10-'Sheet1 select'!$B$23)/('Sheet1 select'!$B$27+'Sheet1 select'!$B$8)))+(('Sheet1 select'!$B$33+0.5*'Sheet1 select'!$B$32)/(('Sheet1 select'!$B$23)/('Sheet1 select'!$B$27+'Sheet1 select'!$B$9))))</f>
        <v>7.3024992352724023E-4</v>
      </c>
      <c r="L21" s="45">
        <f>(F21*$B$28)*(('Sheet1 select'!$B$12+'Sheet1 select'!$B$13)*(0.000000001))*$B$8*1000</f>
        <v>0</v>
      </c>
      <c r="M21" s="45">
        <f t="shared" si="2"/>
        <v>3.6617357284970928E-5</v>
      </c>
      <c r="N21" s="46">
        <f>$B$10*'Sheet1 select'!$B$29*0.001</f>
        <v>1.2E-2</v>
      </c>
      <c r="O21" s="44">
        <f>'Sheet1 select'!$B$10*'Sheet1 select'!$B$31*$B$8*1000*0.000000001</f>
        <v>3.0000000000000001E-3</v>
      </c>
      <c r="P21" s="44">
        <f>'Sheet1 select'!$B$35*$B$10*$B$8*1000*0.000000001</f>
        <v>0</v>
      </c>
      <c r="Q21" s="47">
        <f>IF('Sheet1 select'!$B$17=0,0,(0.00000006*0.7+0.00000003*(0.7+F21*1.1*'Sheet1 select'!$B$26))*F21*$B$8*1000)</f>
        <v>0</v>
      </c>
      <c r="R21" s="45">
        <f t="shared" ca="1" si="3"/>
        <v>2.8844894822003576E-2</v>
      </c>
      <c r="S21" s="48">
        <f t="shared" ca="1" si="4"/>
        <v>0.90238996174398578</v>
      </c>
      <c r="T21" s="49">
        <f ca="1">H21+K21+O21+N21+'Sheet1 select'!$B$40*I21+J21+P21</f>
        <v>1.5794944131385269E-2</v>
      </c>
      <c r="U21" s="169">
        <f t="shared" ca="1" si="5"/>
        <v>3.7949441313852687E-3</v>
      </c>
      <c r="V21" s="47">
        <f t="shared" ca="1" si="6"/>
        <v>0</v>
      </c>
    </row>
    <row r="22" spans="1:22">
      <c r="A22" s="163"/>
      <c r="B22" s="156"/>
      <c r="C22" s="156"/>
      <c r="E22" s="32">
        <v>21</v>
      </c>
      <c r="F22" s="45">
        <f t="shared" si="0"/>
        <v>5.6000000000000001E-2</v>
      </c>
      <c r="G22" s="45">
        <f t="shared" si="1"/>
        <v>6.2720000000000007E-4</v>
      </c>
      <c r="H22" s="45">
        <f ca="1">F22*F22*('Sheet1 select'!$B$25)*$B$3</f>
        <v>7.132536416347631E-5</v>
      </c>
      <c r="I22" s="45">
        <f>F22*(1-$B$3)*'Sheet1 select'!$B$41</f>
        <v>1.3066666666666666E-2</v>
      </c>
      <c r="J22" s="45">
        <f ca="1">F22*F22*('Sheet1 select'!$B$26)*(1-$B$3)</f>
        <v>0</v>
      </c>
      <c r="K22" s="45">
        <f>0.0000005*$B$10*F22*$B$8*((('Sheet1 select'!$B$33+0.5*'Sheet1 select'!$B$32)/(('Sheet1 select'!$B$10-'Sheet1 select'!$B$23)/('Sheet1 select'!$B$27+'Sheet1 select'!$B$8)))+(('Sheet1 select'!$B$33+0.5*'Sheet1 select'!$B$32)/(('Sheet1 select'!$B$23)/('Sheet1 select'!$B$27+'Sheet1 select'!$B$9))))</f>
        <v>7.6676241970360221E-4</v>
      </c>
      <c r="L22" s="45">
        <f>(F22*$B$28)*(('Sheet1 select'!$B$12+'Sheet1 select'!$B$13)*(0.000000001))*$B$8*1000</f>
        <v>0</v>
      </c>
      <c r="M22" s="45">
        <f t="shared" si="2"/>
        <v>3.6617357284970928E-5</v>
      </c>
      <c r="N22" s="46">
        <f>$B$10*'Sheet1 select'!$B$29*0.001</f>
        <v>1.2E-2</v>
      </c>
      <c r="O22" s="44">
        <f>'Sheet1 select'!$B$10*'Sheet1 select'!$B$31*$B$8*1000*0.000000001</f>
        <v>3.0000000000000001E-3</v>
      </c>
      <c r="P22" s="44">
        <f>'Sheet1 select'!$B$35*$B$10*$B$8*1000*0.000000001</f>
        <v>0</v>
      </c>
      <c r="Q22" s="47">
        <f>IF('Sheet1 select'!$B$17=0,0,(0.00000006*0.7+0.00000003*(0.7+F22*1.1*'Sheet1 select'!$B$26))*F22*$B$8*1000)</f>
        <v>0</v>
      </c>
      <c r="R22" s="45">
        <f t="shared" ca="1" si="3"/>
        <v>2.9568571807818713E-2</v>
      </c>
      <c r="S22" s="48">
        <f t="shared" ca="1" si="4"/>
        <v>0.90448458112157792</v>
      </c>
      <c r="T22" s="49">
        <f ca="1">H22+K22+O22+N22+'Sheet1 select'!$B$40*I22+J22+P22</f>
        <v>1.583808778386708E-2</v>
      </c>
      <c r="U22" s="169">
        <f t="shared" ca="1" si="5"/>
        <v>3.8380877838670785E-3</v>
      </c>
      <c r="V22" s="47">
        <f t="shared" ca="1" si="6"/>
        <v>0</v>
      </c>
    </row>
    <row r="23" spans="1:22">
      <c r="A23" s="163"/>
      <c r="B23" s="156"/>
      <c r="C23" s="156"/>
      <c r="E23" s="32">
        <v>22</v>
      </c>
      <c r="F23" s="45">
        <f t="shared" si="0"/>
        <v>5.8666666666666673E-2</v>
      </c>
      <c r="G23" s="45">
        <f t="shared" si="1"/>
        <v>6.8835555555555575E-4</v>
      </c>
      <c r="H23" s="45">
        <f ca="1">F23*F23*('Sheet1 select'!$B$25)*$B$3</f>
        <v>7.8279991508214359E-5</v>
      </c>
      <c r="I23" s="45">
        <f>F23*(1-$B$3)*'Sheet1 select'!$B$41</f>
        <v>1.3688888888888889E-2</v>
      </c>
      <c r="J23" s="45">
        <f ca="1">F23*F23*('Sheet1 select'!$B$26)*(1-$B$3)</f>
        <v>0</v>
      </c>
      <c r="K23" s="45">
        <f>0.0000005*$B$10*F23*$B$8*((('Sheet1 select'!$B$33+0.5*'Sheet1 select'!$B$32)/(('Sheet1 select'!$B$10-'Sheet1 select'!$B$23)/('Sheet1 select'!$B$27+'Sheet1 select'!$B$8)))+(('Sheet1 select'!$B$33+0.5*'Sheet1 select'!$B$32)/(('Sheet1 select'!$B$23)/('Sheet1 select'!$B$27+'Sheet1 select'!$B$9))))</f>
        <v>8.0327491587996441E-4</v>
      </c>
      <c r="L23" s="45">
        <f>(F23*$B$28)*(('Sheet1 select'!$B$12+'Sheet1 select'!$B$13)*(0.000000001))*$B$8*1000</f>
        <v>0</v>
      </c>
      <c r="M23" s="45">
        <f t="shared" si="2"/>
        <v>3.6617357284970928E-5</v>
      </c>
      <c r="N23" s="46">
        <f>$B$10*'Sheet1 select'!$B$29*0.001</f>
        <v>1.2E-2</v>
      </c>
      <c r="O23" s="44">
        <f>'Sheet1 select'!$B$10*'Sheet1 select'!$B$31*$B$8*1000*0.000000001</f>
        <v>3.0000000000000001E-3</v>
      </c>
      <c r="P23" s="44">
        <f>'Sheet1 select'!$B$35*$B$10*$B$8*1000*0.000000001</f>
        <v>0</v>
      </c>
      <c r="Q23" s="47">
        <f>IF('Sheet1 select'!$B$17=0,0,(0.00000006*0.7+0.00000003*(0.7+F23*1.1*'Sheet1 select'!$B$26))*F23*$B$8*1000)</f>
        <v>0</v>
      </c>
      <c r="R23" s="45">
        <f t="shared" ca="1" si="3"/>
        <v>3.0295416709117597E-2</v>
      </c>
      <c r="S23" s="48">
        <f t="shared" ca="1" si="4"/>
        <v>0.90638836412048152</v>
      </c>
      <c r="T23" s="49">
        <f ca="1">H23+K23+O23+N23+'Sheet1 select'!$B$40*I23+J23+P23</f>
        <v>1.5881554907388178E-2</v>
      </c>
      <c r="U23" s="169">
        <f t="shared" ca="1" si="5"/>
        <v>3.8815549073881791E-3</v>
      </c>
      <c r="V23" s="47">
        <f t="shared" ca="1" si="6"/>
        <v>0</v>
      </c>
    </row>
    <row r="24" spans="1:22">
      <c r="A24" s="156"/>
      <c r="B24" s="156"/>
      <c r="C24" s="156"/>
      <c r="E24" s="32">
        <v>23</v>
      </c>
      <c r="F24" s="45">
        <f t="shared" si="0"/>
        <v>6.1333333333333344E-2</v>
      </c>
      <c r="G24" s="45">
        <f t="shared" si="1"/>
        <v>7.5235555555555589E-4</v>
      </c>
      <c r="H24" s="45">
        <f ca="1">F24*F24*('Sheet1 select'!$B$25)*$B$3</f>
        <v>8.5558089892242572E-5</v>
      </c>
      <c r="I24" s="45">
        <f>F24*(1-$B$3)*'Sheet1 select'!$B$41</f>
        <v>1.4311111111111111E-2</v>
      </c>
      <c r="J24" s="45">
        <f ca="1">F24*F24*('Sheet1 select'!$B$26)*(1-$B$3)</f>
        <v>0</v>
      </c>
      <c r="K24" s="45">
        <f>0.0000005*$B$10*F24*$B$8*((('Sheet1 select'!$B$33+0.5*'Sheet1 select'!$B$32)/(('Sheet1 select'!$B$10-'Sheet1 select'!$B$23)/('Sheet1 select'!$B$27+'Sheet1 select'!$B$8)))+(('Sheet1 select'!$B$33+0.5*'Sheet1 select'!$B$32)/(('Sheet1 select'!$B$23)/('Sheet1 select'!$B$27+'Sheet1 select'!$B$9))))</f>
        <v>8.3978741205632649E-4</v>
      </c>
      <c r="L24" s="45">
        <f>(F24*$B$28)*(('Sheet1 select'!$B$12+'Sheet1 select'!$B$13)*(0.000000001))*$B$8*1000</f>
        <v>0</v>
      </c>
      <c r="M24" s="45">
        <f t="shared" si="2"/>
        <v>3.6617357284970928E-5</v>
      </c>
      <c r="N24" s="46">
        <f>$B$10*'Sheet1 select'!$B$29*0.001</f>
        <v>1.2E-2</v>
      </c>
      <c r="O24" s="44">
        <f>'Sheet1 select'!$B$10*'Sheet1 select'!$B$31*$B$8*1000*0.000000001</f>
        <v>3.0000000000000001E-3</v>
      </c>
      <c r="P24" s="44">
        <f>'Sheet1 select'!$B$35*$B$10*$B$8*1000*0.000000001</f>
        <v>0</v>
      </c>
      <c r="Q24" s="47">
        <f>IF('Sheet1 select'!$B$17=0,0,(0.00000006*0.7+0.00000003*(0.7+F24*1.1*'Sheet1 select'!$B$26))*F24*$B$8*1000)</f>
        <v>0</v>
      </c>
      <c r="R24" s="45">
        <f t="shared" ca="1" si="3"/>
        <v>3.1025429525900209E-2</v>
      </c>
      <c r="S24" s="48">
        <f t="shared" ca="1" si="4"/>
        <v>0.90812509420354293</v>
      </c>
      <c r="T24" s="49">
        <f ca="1">H24+K24+O24+N24+'Sheet1 select'!$B$40*I24+J24+P24</f>
        <v>1.592534550194857E-2</v>
      </c>
      <c r="U24" s="169">
        <f t="shared" ca="1" si="5"/>
        <v>3.9253455019485689E-3</v>
      </c>
      <c r="V24" s="47">
        <f t="shared" ca="1" si="6"/>
        <v>0</v>
      </c>
    </row>
    <row r="25" spans="1:22">
      <c r="A25" s="156"/>
      <c r="B25" s="162"/>
      <c r="C25" s="156"/>
      <c r="E25" s="32">
        <v>24</v>
      </c>
      <c r="F25" s="45">
        <f t="shared" si="0"/>
        <v>6.4000000000000015E-2</v>
      </c>
      <c r="G25" s="45">
        <f t="shared" si="1"/>
        <v>8.1920000000000029E-4</v>
      </c>
      <c r="H25" s="45">
        <f ca="1">F25*F25*('Sheet1 select'!$B$25)*$B$3</f>
        <v>9.3159659315560908E-5</v>
      </c>
      <c r="I25" s="45">
        <f>F25*(1-$B$3)*'Sheet1 select'!$B$41</f>
        <v>1.4933333333333335E-2</v>
      </c>
      <c r="J25" s="45">
        <f ca="1">F25*F25*('Sheet1 select'!$B$26)*(1-$B$3)</f>
        <v>0</v>
      </c>
      <c r="K25" s="45">
        <f>0.0000005*$B$10*F25*$B$8*((('Sheet1 select'!$B$33+0.5*'Sheet1 select'!$B$32)/(('Sheet1 select'!$B$10-'Sheet1 select'!$B$23)/('Sheet1 select'!$B$27+'Sheet1 select'!$B$8)))+(('Sheet1 select'!$B$33+0.5*'Sheet1 select'!$B$32)/(('Sheet1 select'!$B$23)/('Sheet1 select'!$B$27+'Sheet1 select'!$B$9))))</f>
        <v>8.7629990823268858E-4</v>
      </c>
      <c r="L25" s="45">
        <f>(F25*$B$28)*(('Sheet1 select'!$B$12+'Sheet1 select'!$B$13)*(0.000000001))*$B$8*1000</f>
        <v>0</v>
      </c>
      <c r="M25" s="45">
        <f t="shared" si="2"/>
        <v>3.6617357284970928E-5</v>
      </c>
      <c r="N25" s="46">
        <f>$B$10*'Sheet1 select'!$B$29*0.001</f>
        <v>1.2E-2</v>
      </c>
      <c r="O25" s="44">
        <f>'Sheet1 select'!$B$10*'Sheet1 select'!$B$31*$B$8*1000*0.000000001</f>
        <v>3.0000000000000001E-3</v>
      </c>
      <c r="P25" s="44">
        <f>'Sheet1 select'!$B$35*$B$10*$B$8*1000*0.000000001</f>
        <v>0</v>
      </c>
      <c r="Q25" s="47">
        <f>IF('Sheet1 select'!$B$17=0,0,(0.00000006*0.7+0.00000003*(0.7+F25*1.1*'Sheet1 select'!$B$26))*F25*$B$8*1000)</f>
        <v>0</v>
      </c>
      <c r="R25" s="45">
        <f t="shared" ca="1" si="3"/>
        <v>3.1758610258166557E-2</v>
      </c>
      <c r="S25" s="48">
        <f t="shared" ca="1" si="4"/>
        <v>0.90971476082743807</v>
      </c>
      <c r="T25" s="49">
        <f ca="1">H25+K25+O25+N25+'Sheet1 select'!$B$40*I25+J25+P25</f>
        <v>1.596945956754825E-2</v>
      </c>
      <c r="U25" s="169">
        <f t="shared" ca="1" si="5"/>
        <v>3.9694595675482496E-3</v>
      </c>
      <c r="V25" s="47">
        <f t="shared" ca="1" si="6"/>
        <v>0</v>
      </c>
    </row>
    <row r="26" spans="1:22">
      <c r="A26" s="163"/>
      <c r="B26" s="156"/>
      <c r="C26" s="156"/>
      <c r="E26" s="32">
        <v>25</v>
      </c>
      <c r="F26" s="45">
        <f t="shared" si="0"/>
        <v>6.6666666666666666E-2</v>
      </c>
      <c r="G26" s="45">
        <f t="shared" si="1"/>
        <v>8.8888888888888882E-4</v>
      </c>
      <c r="H26" s="45">
        <f ca="1">F26*F26*('Sheet1 select'!$B$25)*$B$3</f>
        <v>1.0108469977816935E-4</v>
      </c>
      <c r="I26" s="45">
        <f>F26*(1-$B$3)*'Sheet1 select'!$B$41</f>
        <v>1.5555555555555553E-2</v>
      </c>
      <c r="J26" s="45">
        <f ca="1">F26*F26*('Sheet1 select'!$B$26)*(1-$B$3)</f>
        <v>0</v>
      </c>
      <c r="K26" s="45">
        <f>0.0000005*$B$10*F26*$B$8*((('Sheet1 select'!$B$33+0.5*'Sheet1 select'!$B$32)/(('Sheet1 select'!$B$10-'Sheet1 select'!$B$23)/('Sheet1 select'!$B$27+'Sheet1 select'!$B$8)))+(('Sheet1 select'!$B$33+0.5*'Sheet1 select'!$B$32)/(('Sheet1 select'!$B$23)/('Sheet1 select'!$B$27+'Sheet1 select'!$B$9))))</f>
        <v>9.1281240440905034E-4</v>
      </c>
      <c r="L26" s="45">
        <f>(F26*$B$28)*(('Sheet1 select'!$B$12+'Sheet1 select'!$B$13)*(0.000000001))*$B$8*1000</f>
        <v>0</v>
      </c>
      <c r="M26" s="45">
        <f t="shared" si="2"/>
        <v>3.6617357284970928E-5</v>
      </c>
      <c r="N26" s="46">
        <f>$B$10*'Sheet1 select'!$B$29*0.001</f>
        <v>1.2E-2</v>
      </c>
      <c r="O26" s="44">
        <f>'Sheet1 select'!$B$10*'Sheet1 select'!$B$31*$B$8*1000*0.000000001</f>
        <v>3.0000000000000001E-3</v>
      </c>
      <c r="P26" s="44">
        <f>'Sheet1 select'!$B$35*$B$10*$B$8*1000*0.000000001</f>
        <v>0</v>
      </c>
      <c r="Q26" s="47">
        <f>IF('Sheet1 select'!$B$17=0,0,(0.00000006*0.7+0.00000003*(0.7+F26*1.1*'Sheet1 select'!$B$26))*F26*$B$8*1000)</f>
        <v>0</v>
      </c>
      <c r="R26" s="45">
        <f t="shared" ca="1" si="3"/>
        <v>3.2494958905916638E-2</v>
      </c>
      <c r="S26" s="48">
        <f t="shared" ca="1" si="4"/>
        <v>0.91117428696667047</v>
      </c>
      <c r="T26" s="49">
        <f ca="1">H26+K26+O26+N26+'Sheet1 select'!$B$40*I26+J26+P26</f>
        <v>1.6013897104187221E-2</v>
      </c>
      <c r="U26" s="169">
        <f t="shared" ca="1" si="5"/>
        <v>4.0138971041872203E-3</v>
      </c>
      <c r="V26" s="47">
        <f t="shared" ca="1" si="6"/>
        <v>0</v>
      </c>
    </row>
    <row r="27" spans="1:22">
      <c r="A27" s="163"/>
      <c r="B27" s="156"/>
      <c r="C27" s="156"/>
      <c r="E27" s="32">
        <v>26</v>
      </c>
      <c r="F27" s="45">
        <f t="shared" si="0"/>
        <v>6.933333333333333E-2</v>
      </c>
      <c r="G27" s="45">
        <f t="shared" si="1"/>
        <v>9.6142222222222215E-4</v>
      </c>
      <c r="H27" s="45">
        <f ca="1">F27*F27*('Sheet1 select'!$B$25)*$B$3</f>
        <v>1.0933321128006796E-4</v>
      </c>
      <c r="I27" s="45">
        <f>F27*(1-$B$3)*'Sheet1 select'!$B$41</f>
        <v>1.6177777777777774E-2</v>
      </c>
      <c r="J27" s="45">
        <f ca="1">F27*F27*('Sheet1 select'!$B$26)*(1-$B$3)</f>
        <v>0</v>
      </c>
      <c r="K27" s="45">
        <f>0.0000005*$B$10*F27*$B$8*((('Sheet1 select'!$B$33+0.5*'Sheet1 select'!$B$32)/(('Sheet1 select'!$B$10-'Sheet1 select'!$B$23)/('Sheet1 select'!$B$27+'Sheet1 select'!$B$8)))+(('Sheet1 select'!$B$33+0.5*'Sheet1 select'!$B$32)/(('Sheet1 select'!$B$23)/('Sheet1 select'!$B$27+'Sheet1 select'!$B$9))))</f>
        <v>9.4932490058541221E-4</v>
      </c>
      <c r="L27" s="45">
        <f>(F27*$B$28)*(('Sheet1 select'!$B$12+'Sheet1 select'!$B$13)*(0.000000001))*$B$8*1000</f>
        <v>0</v>
      </c>
      <c r="M27" s="45">
        <f t="shared" si="2"/>
        <v>3.6617357284970928E-5</v>
      </c>
      <c r="N27" s="46">
        <f>$B$10*'Sheet1 select'!$B$29*0.001</f>
        <v>1.2E-2</v>
      </c>
      <c r="O27" s="44">
        <f>'Sheet1 select'!$B$10*'Sheet1 select'!$B$31*$B$8*1000*0.000000001</f>
        <v>3.0000000000000001E-3</v>
      </c>
      <c r="P27" s="44">
        <f>'Sheet1 select'!$B$35*$B$10*$B$8*1000*0.000000001</f>
        <v>0</v>
      </c>
      <c r="Q27" s="47">
        <f>IF('Sheet1 select'!$B$17=0,0,(0.00000006*0.7+0.00000003*(0.7+F27*1.1*'Sheet1 select'!$B$26))*F27*$B$8*1000)</f>
        <v>0</v>
      </c>
      <c r="R27" s="45">
        <f t="shared" ca="1" si="3"/>
        <v>3.3234475469150447E-2</v>
      </c>
      <c r="S27" s="48">
        <f t="shared" ca="1" si="4"/>
        <v>0.9125180954121247</v>
      </c>
      <c r="T27" s="49">
        <f ca="1">H27+K27+O27+N27+'Sheet1 select'!$B$40*I27+J27+P27</f>
        <v>1.6058658111865479E-2</v>
      </c>
      <c r="U27" s="169">
        <f t="shared" ca="1" si="5"/>
        <v>4.0586581118654801E-3</v>
      </c>
      <c r="V27" s="47">
        <f t="shared" ca="1" si="6"/>
        <v>0</v>
      </c>
    </row>
    <row r="28" spans="1:22">
      <c r="A28" s="163" t="s">
        <v>51</v>
      </c>
      <c r="B28" s="2"/>
      <c r="C28" s="2" t="s">
        <v>1</v>
      </c>
      <c r="E28" s="32">
        <v>27</v>
      </c>
      <c r="F28" s="45">
        <f t="shared" si="0"/>
        <v>7.2000000000000008E-2</v>
      </c>
      <c r="G28" s="45">
        <f t="shared" si="1"/>
        <v>1.0368000000000003E-3</v>
      </c>
      <c r="H28" s="45">
        <f ca="1">F28*F28*('Sheet1 select'!$B$25)*$B$3</f>
        <v>1.1790519382125676E-4</v>
      </c>
      <c r="I28" s="45">
        <f>F28*(1-$B$3)*'Sheet1 select'!$B$41</f>
        <v>1.6800000000000002E-2</v>
      </c>
      <c r="J28" s="45">
        <f ca="1">F28*F28*('Sheet1 select'!$B$26)*(1-$B$3)</f>
        <v>0</v>
      </c>
      <c r="K28" s="45">
        <f>0.0000005*$B$10*F28*$B$8*((('Sheet1 select'!$B$33+0.5*'Sheet1 select'!$B$32)/(('Sheet1 select'!$B$10-'Sheet1 select'!$B$23)/('Sheet1 select'!$B$27+'Sheet1 select'!$B$8)))+(('Sheet1 select'!$B$33+0.5*'Sheet1 select'!$B$32)/(('Sheet1 select'!$B$23)/('Sheet1 select'!$B$27+'Sheet1 select'!$B$9))))</f>
        <v>9.8583739676177452E-4</v>
      </c>
      <c r="L28" s="45">
        <f>(F28*$B$28)*(('Sheet1 select'!$B$12+'Sheet1 select'!$B$13)*(0.000000001))*$B$8*1000</f>
        <v>0</v>
      </c>
      <c r="M28" s="45">
        <f t="shared" si="2"/>
        <v>3.6617357284970928E-5</v>
      </c>
      <c r="N28" s="46">
        <f>$B$10*'Sheet1 select'!$B$29*0.001</f>
        <v>1.2E-2</v>
      </c>
      <c r="O28" s="44">
        <f>'Sheet1 select'!$B$10*'Sheet1 select'!$B$31*$B$8*1000*0.000000001</f>
        <v>3.0000000000000001E-3</v>
      </c>
      <c r="P28" s="44">
        <f>'Sheet1 select'!$B$35*$B$10*$B$8*1000*0.000000001</f>
        <v>0</v>
      </c>
      <c r="Q28" s="47">
        <f>IF('Sheet1 select'!$B$17=0,0,(0.00000006*0.7+0.00000003*(0.7+F28*1.1*'Sheet1 select'!$B$26))*F28*$B$8*1000)</f>
        <v>0</v>
      </c>
      <c r="R28" s="45">
        <f t="shared" ca="1" si="3"/>
        <v>3.3977159947868006E-2</v>
      </c>
      <c r="S28" s="48">
        <f t="shared" ca="1" si="4"/>
        <v>0.91375855404317363</v>
      </c>
      <c r="T28" s="49">
        <f ca="1">H28+K28+O28+N28+'Sheet1 select'!$B$40*I28+J28+P28</f>
        <v>1.6103742590583031E-2</v>
      </c>
      <c r="U28" s="169">
        <f t="shared" ca="1" si="5"/>
        <v>4.1037425905830309E-3</v>
      </c>
      <c r="V28" s="47">
        <f t="shared" ca="1" si="6"/>
        <v>0</v>
      </c>
    </row>
    <row r="29" spans="1:22">
      <c r="A29" s="156"/>
      <c r="B29" s="156"/>
      <c r="C29" s="156"/>
      <c r="E29" s="32">
        <v>28</v>
      </c>
      <c r="F29" s="45">
        <f t="shared" si="0"/>
        <v>7.4666666666666673E-2</v>
      </c>
      <c r="G29" s="45">
        <f t="shared" si="1"/>
        <v>1.1150222222222224E-3</v>
      </c>
      <c r="H29" s="45">
        <f ca="1">F29*F29*('Sheet1 select'!$B$25)*$B$3</f>
        <v>1.2680064740173567E-4</v>
      </c>
      <c r="I29" s="45">
        <f>F29*(1-$B$3)*'Sheet1 select'!$B$41</f>
        <v>1.7422222222222224E-2</v>
      </c>
      <c r="J29" s="45">
        <f ca="1">F29*F29*('Sheet1 select'!$B$26)*(1-$B$3)</f>
        <v>0</v>
      </c>
      <c r="K29" s="45">
        <f>0.0000005*$B$10*F29*$B$8*((('Sheet1 select'!$B$33+0.5*'Sheet1 select'!$B$32)/(('Sheet1 select'!$B$10-'Sheet1 select'!$B$23)/('Sheet1 select'!$B$27+'Sheet1 select'!$B$8)))+(('Sheet1 select'!$B$33+0.5*'Sheet1 select'!$B$32)/(('Sheet1 select'!$B$23)/('Sheet1 select'!$B$27+'Sheet1 select'!$B$9))))</f>
        <v>1.0223498929381365E-3</v>
      </c>
      <c r="L29" s="45">
        <f>(F29*$B$28)*(('Sheet1 select'!$B$12+'Sheet1 select'!$B$13)*(0.000000001))*$B$8*1000</f>
        <v>0</v>
      </c>
      <c r="M29" s="45">
        <f t="shared" si="2"/>
        <v>3.6617357284970928E-5</v>
      </c>
      <c r="N29" s="46">
        <f>$B$10*'Sheet1 select'!$B$29*0.001</f>
        <v>1.2E-2</v>
      </c>
      <c r="O29" s="44">
        <f>'Sheet1 select'!$B$10*'Sheet1 select'!$B$31*$B$8*1000*0.000000001</f>
        <v>3.0000000000000001E-3</v>
      </c>
      <c r="P29" s="44">
        <f>'Sheet1 select'!$B$35*$B$10*$B$8*1000*0.000000001</f>
        <v>0</v>
      </c>
      <c r="Q29" s="47">
        <f>IF('Sheet1 select'!$B$17=0,0,(0.00000006*0.7+0.00000003*(0.7+F29*1.1*'Sheet1 select'!$B$26))*F29*$B$8*1000)</f>
        <v>0</v>
      </c>
      <c r="R29" s="45">
        <f t="shared" ca="1" si="3"/>
        <v>3.4723012342069287E-2</v>
      </c>
      <c r="S29" s="48">
        <f t="shared" ca="1" si="4"/>
        <v>0.91490632921147996</v>
      </c>
      <c r="T29" s="49">
        <f ca="1">H29+K29+O29+N29+'Sheet1 select'!$B$40*I29+J29+P29</f>
        <v>1.6149150540339871E-2</v>
      </c>
      <c r="U29" s="169">
        <f t="shared" ca="1" si="5"/>
        <v>4.1491505403398726E-3</v>
      </c>
      <c r="V29" s="47">
        <f t="shared" ca="1" si="6"/>
        <v>0</v>
      </c>
    </row>
    <row r="30" spans="1:22">
      <c r="A30" s="156"/>
      <c r="B30" s="162"/>
      <c r="C30" s="156"/>
      <c r="E30" s="32">
        <v>29</v>
      </c>
      <c r="F30" s="45">
        <f t="shared" si="0"/>
        <v>7.7333333333333337E-2</v>
      </c>
      <c r="G30" s="45">
        <f t="shared" si="1"/>
        <v>1.196088888888889E-3</v>
      </c>
      <c r="H30" s="45">
        <f ca="1">F30*F30*('Sheet1 select'!$B$25)*$B$3</f>
        <v>1.3601957202150471E-4</v>
      </c>
      <c r="I30" s="45">
        <f>F30*(1-$B$3)*'Sheet1 select'!$B$41</f>
        <v>1.8044444444444443E-2</v>
      </c>
      <c r="J30" s="45">
        <f ca="1">F30*F30*('Sheet1 select'!$B$26)*(1-$B$3)</f>
        <v>0</v>
      </c>
      <c r="K30" s="45">
        <f>0.0000005*$B$10*F30*$B$8*((('Sheet1 select'!$B$33+0.5*'Sheet1 select'!$B$32)/(('Sheet1 select'!$B$10-'Sheet1 select'!$B$23)/('Sheet1 select'!$B$27+'Sheet1 select'!$B$8)))+(('Sheet1 select'!$B$33+0.5*'Sheet1 select'!$B$32)/(('Sheet1 select'!$B$23)/('Sheet1 select'!$B$27+'Sheet1 select'!$B$9))))</f>
        <v>1.0588623891144985E-3</v>
      </c>
      <c r="L30" s="45">
        <f>(F30*$B$28)*(('Sheet1 select'!$B$12+'Sheet1 select'!$B$13)*(0.000000001))*$B$8*1000</f>
        <v>0</v>
      </c>
      <c r="M30" s="45">
        <f t="shared" si="2"/>
        <v>3.6617357284970928E-5</v>
      </c>
      <c r="N30" s="46">
        <f>$B$10*'Sheet1 select'!$B$29*0.001</f>
        <v>1.2E-2</v>
      </c>
      <c r="O30" s="44">
        <f>'Sheet1 select'!$B$10*'Sheet1 select'!$B$31*$B$8*1000*0.000000001</f>
        <v>3.0000000000000001E-3</v>
      </c>
      <c r="P30" s="44">
        <f>'Sheet1 select'!$B$35*$B$10*$B$8*1000*0.000000001</f>
        <v>0</v>
      </c>
      <c r="Q30" s="47">
        <f>IF('Sheet1 select'!$B$17=0,0,(0.00000006*0.7+0.00000003*(0.7+F30*1.1*'Sheet1 select'!$B$26))*F30*$B$8*1000)</f>
        <v>0</v>
      </c>
      <c r="R30" s="45">
        <f t="shared" ca="1" si="3"/>
        <v>3.5472032651754311E-2</v>
      </c>
      <c r="S30" s="48">
        <f t="shared" ca="1" si="4"/>
        <v>0.91597066862377952</v>
      </c>
      <c r="T30" s="49">
        <f ca="1">H30+K30+O30+N30+'Sheet1 select'!$B$40*I30+J30+P30</f>
        <v>1.6194881961136005E-2</v>
      </c>
      <c r="U30" s="169">
        <f t="shared" ca="1" si="5"/>
        <v>4.1948819611360034E-3</v>
      </c>
      <c r="V30" s="47">
        <f t="shared" ca="1" si="6"/>
        <v>0</v>
      </c>
    </row>
    <row r="31" spans="1:22">
      <c r="A31" s="163"/>
      <c r="B31" s="156"/>
      <c r="C31" s="156"/>
      <c r="E31" s="32">
        <v>30</v>
      </c>
      <c r="F31" s="45">
        <f t="shared" si="0"/>
        <v>0.08</v>
      </c>
      <c r="G31" s="45">
        <f t="shared" si="1"/>
        <v>1.2800000000000001E-3</v>
      </c>
      <c r="H31" s="45">
        <f ca="1">F31*F31*('Sheet1 select'!$B$25)*$B$3</f>
        <v>1.4556196768056388E-4</v>
      </c>
      <c r="I31" s="45">
        <f>F31*(1-$B$3)*'Sheet1 select'!$B$41</f>
        <v>1.8666666666666665E-2</v>
      </c>
      <c r="J31" s="45">
        <f ca="1">F31*F31*('Sheet1 select'!$B$26)*(1-$B$3)</f>
        <v>0</v>
      </c>
      <c r="K31" s="45">
        <f>0.0000005*$B$10*F31*$B$8*((('Sheet1 select'!$B$33+0.5*'Sheet1 select'!$B$32)/(('Sheet1 select'!$B$10-'Sheet1 select'!$B$23)/('Sheet1 select'!$B$27+'Sheet1 select'!$B$8)))+(('Sheet1 select'!$B$33+0.5*'Sheet1 select'!$B$32)/(('Sheet1 select'!$B$23)/('Sheet1 select'!$B$27+'Sheet1 select'!$B$9))))</f>
        <v>1.0953748852908607E-3</v>
      </c>
      <c r="L31" s="45">
        <f>(F31*$B$28)*(('Sheet1 select'!$B$12+'Sheet1 select'!$B$13)*(0.000000001))*$B$8*1000</f>
        <v>0</v>
      </c>
      <c r="M31" s="45">
        <f t="shared" si="2"/>
        <v>3.6617357284970928E-5</v>
      </c>
      <c r="N31" s="46">
        <f>$B$10*'Sheet1 select'!$B$29*0.001</f>
        <v>1.2E-2</v>
      </c>
      <c r="O31" s="44">
        <f>'Sheet1 select'!$B$10*'Sheet1 select'!$B$31*$B$8*1000*0.000000001</f>
        <v>3.0000000000000001E-3</v>
      </c>
      <c r="P31" s="44">
        <f>'Sheet1 select'!$B$35*$B$10*$B$8*1000*0.000000001</f>
        <v>0</v>
      </c>
      <c r="Q31" s="47">
        <f>IF('Sheet1 select'!$B$17=0,0,(0.00000006*0.7+0.00000003*(0.7+F31*1.1*'Sheet1 select'!$B$26))*F31*$B$8*1000)</f>
        <v>0</v>
      </c>
      <c r="R31" s="45">
        <f t="shared" ca="1" si="3"/>
        <v>3.6224220876923063E-2</v>
      </c>
      <c r="S31" s="48">
        <f t="shared" ca="1" si="4"/>
        <v>0.91695962960492416</v>
      </c>
      <c r="T31" s="49">
        <f ca="1">H31+K31+O31+N31+'Sheet1 select'!$B$40*I31+J31+P31</f>
        <v>1.6240936852971427E-2</v>
      </c>
      <c r="U31" s="169">
        <f t="shared" ca="1" si="5"/>
        <v>4.2409368529714251E-3</v>
      </c>
      <c r="V31" s="47">
        <f t="shared" ca="1" si="6"/>
        <v>0</v>
      </c>
    </row>
    <row r="32" spans="1:22">
      <c r="A32" s="163"/>
      <c r="B32" s="156"/>
      <c r="C32" s="156"/>
      <c r="E32" s="32">
        <v>31</v>
      </c>
      <c r="F32" s="45">
        <f t="shared" si="0"/>
        <v>8.2666666666666666E-2</v>
      </c>
      <c r="G32" s="45">
        <f t="shared" si="1"/>
        <v>1.3667555555555554E-3</v>
      </c>
      <c r="H32" s="45">
        <f ca="1">F32*F32*('Sheet1 select'!$B$25)*$B$3</f>
        <v>1.5542783437891321E-4</v>
      </c>
      <c r="I32" s="45">
        <f>F32*(1-$B$3)*'Sheet1 select'!$B$41</f>
        <v>1.9288888888888887E-2</v>
      </c>
      <c r="J32" s="45">
        <f ca="1">F32*F32*('Sheet1 select'!$B$26)*(1-$B$3)</f>
        <v>0</v>
      </c>
      <c r="K32" s="45">
        <f>0.0000005*$B$10*F32*$B$8*((('Sheet1 select'!$B$33+0.5*'Sheet1 select'!$B$32)/(('Sheet1 select'!$B$10-'Sheet1 select'!$B$23)/('Sheet1 select'!$B$27+'Sheet1 select'!$B$8)))+(('Sheet1 select'!$B$33+0.5*'Sheet1 select'!$B$32)/(('Sheet1 select'!$B$23)/('Sheet1 select'!$B$27+'Sheet1 select'!$B$9))))</f>
        <v>1.1318873814672224E-3</v>
      </c>
      <c r="L32" s="45">
        <f>(F32*$B$28)*(('Sheet1 select'!$B$12+'Sheet1 select'!$B$13)*(0.000000001))*$B$8*1000</f>
        <v>0</v>
      </c>
      <c r="M32" s="45">
        <f t="shared" si="2"/>
        <v>3.6617357284970928E-5</v>
      </c>
      <c r="N32" s="46">
        <f>$B$10*'Sheet1 select'!$B$29*0.001</f>
        <v>1.2E-2</v>
      </c>
      <c r="O32" s="44">
        <f>'Sheet1 select'!$B$10*'Sheet1 select'!$B$31*$B$8*1000*0.000000001</f>
        <v>3.0000000000000001E-3</v>
      </c>
      <c r="P32" s="44">
        <f>'Sheet1 select'!$B$35*$B$10*$B$8*1000*0.000000001</f>
        <v>0</v>
      </c>
      <c r="Q32" s="47">
        <f>IF('Sheet1 select'!$B$17=0,0,(0.00000006*0.7+0.00000003*(0.7+F32*1.1*'Sheet1 select'!$B$26))*F32*$B$8*1000)</f>
        <v>0</v>
      </c>
      <c r="R32" s="45">
        <f t="shared" ca="1" si="3"/>
        <v>3.6979577017575552E-2</v>
      </c>
      <c r="S32" s="48">
        <f t="shared" ca="1" si="4"/>
        <v>0.91788026466139072</v>
      </c>
      <c r="T32" s="49">
        <f ca="1">H32+K32+O32+N32+'Sheet1 select'!$B$40*I32+J32+P32</f>
        <v>1.6287315215846136E-2</v>
      </c>
      <c r="U32" s="169">
        <f t="shared" ca="1" si="5"/>
        <v>4.287315215846136E-3</v>
      </c>
      <c r="V32" s="47">
        <f t="shared" ca="1" si="6"/>
        <v>0</v>
      </c>
    </row>
    <row r="33" spans="1:22">
      <c r="A33" s="163"/>
      <c r="B33" s="156"/>
      <c r="C33" s="156"/>
      <c r="E33" s="32">
        <v>32</v>
      </c>
      <c r="F33" s="45">
        <f t="shared" si="0"/>
        <v>8.5333333333333344E-2</v>
      </c>
      <c r="G33" s="45">
        <f t="shared" si="1"/>
        <v>1.4563555555555559E-3</v>
      </c>
      <c r="H33" s="45">
        <f ca="1">F33*F33*('Sheet1 select'!$B$25)*$B$3</f>
        <v>1.6561717211655271E-4</v>
      </c>
      <c r="I33" s="45">
        <f>F33*(1-$B$3)*'Sheet1 select'!$B$41</f>
        <v>1.9911111111111112E-2</v>
      </c>
      <c r="J33" s="45">
        <f ca="1">F33*F33*('Sheet1 select'!$B$26)*(1-$B$3)</f>
        <v>0</v>
      </c>
      <c r="K33" s="45">
        <f>0.0000005*$B$10*F33*$B$8*((('Sheet1 select'!$B$33+0.5*'Sheet1 select'!$B$32)/(('Sheet1 select'!$B$10-'Sheet1 select'!$B$23)/('Sheet1 select'!$B$27+'Sheet1 select'!$B$8)))+(('Sheet1 select'!$B$33+0.5*'Sheet1 select'!$B$32)/(('Sheet1 select'!$B$23)/('Sheet1 select'!$B$27+'Sheet1 select'!$B$9))))</f>
        <v>1.1683998776435846E-3</v>
      </c>
      <c r="L33" s="45">
        <f>(F33*$B$28)*(('Sheet1 select'!$B$12+'Sheet1 select'!$B$13)*(0.000000001))*$B$8*1000</f>
        <v>0</v>
      </c>
      <c r="M33" s="45">
        <f t="shared" si="2"/>
        <v>3.6617357284970928E-5</v>
      </c>
      <c r="N33" s="46">
        <f>$B$10*'Sheet1 select'!$B$29*0.001</f>
        <v>1.2E-2</v>
      </c>
      <c r="O33" s="44">
        <f>'Sheet1 select'!$B$10*'Sheet1 select'!$B$31*$B$8*1000*0.000000001</f>
        <v>3.0000000000000001E-3</v>
      </c>
      <c r="P33" s="44">
        <f>'Sheet1 select'!$B$35*$B$10*$B$8*1000*0.000000001</f>
        <v>0</v>
      </c>
      <c r="Q33" s="47">
        <f>IF('Sheet1 select'!$B$17=0,0,(0.00000006*0.7+0.00000003*(0.7+F33*1.1*'Sheet1 select'!$B$26))*F33*$B$8*1000)</f>
        <v>0</v>
      </c>
      <c r="R33" s="45">
        <f t="shared" ca="1" si="3"/>
        <v>3.7738101073711783E-2</v>
      </c>
      <c r="S33" s="48">
        <f t="shared" ca="1" si="4"/>
        <v>0.91873877338225574</v>
      </c>
      <c r="T33" s="49">
        <f ca="1">H33+K33+O33+N33+'Sheet1 select'!$B$40*I33+J33+P33</f>
        <v>1.633401704976014E-2</v>
      </c>
      <c r="U33" s="169">
        <f t="shared" ca="1" si="5"/>
        <v>4.3340170497601378E-3</v>
      </c>
      <c r="V33" s="47">
        <f t="shared" ca="1" si="6"/>
        <v>0</v>
      </c>
    </row>
    <row r="34" spans="1:22">
      <c r="A34" s="156"/>
      <c r="B34" s="156"/>
      <c r="C34" s="156"/>
      <c r="E34" s="32">
        <v>33</v>
      </c>
      <c r="F34" s="45">
        <f t="shared" si="0"/>
        <v>8.8000000000000009E-2</v>
      </c>
      <c r="G34" s="45">
        <f t="shared" si="1"/>
        <v>1.5488000000000004E-3</v>
      </c>
      <c r="H34" s="45">
        <f ca="1">F34*F34*('Sheet1 select'!$B$25)*$B$3</f>
        <v>1.7612998089348232E-4</v>
      </c>
      <c r="I34" s="45">
        <f>F34*(1-$B$3)*'Sheet1 select'!$B$41</f>
        <v>2.0533333333333334E-2</v>
      </c>
      <c r="J34" s="45">
        <f ca="1">F34*F34*('Sheet1 select'!$B$26)*(1-$B$3)</f>
        <v>0</v>
      </c>
      <c r="K34" s="45">
        <f>0.0000005*$B$10*F34*$B$8*((('Sheet1 select'!$B$33+0.5*'Sheet1 select'!$B$32)/(('Sheet1 select'!$B$10-'Sheet1 select'!$B$23)/('Sheet1 select'!$B$27+'Sheet1 select'!$B$8)))+(('Sheet1 select'!$B$33+0.5*'Sheet1 select'!$B$32)/(('Sheet1 select'!$B$23)/('Sheet1 select'!$B$27+'Sheet1 select'!$B$9))))</f>
        <v>1.2049123738199466E-3</v>
      </c>
      <c r="L34" s="45">
        <f>(F34*$B$28)*(('Sheet1 select'!$B$12+'Sheet1 select'!$B$13)*(0.000000001))*$B$8*1000</f>
        <v>0</v>
      </c>
      <c r="M34" s="45">
        <f t="shared" si="2"/>
        <v>3.6617357284970928E-5</v>
      </c>
      <c r="N34" s="46">
        <f>$B$10*'Sheet1 select'!$B$29*0.001</f>
        <v>1.2E-2</v>
      </c>
      <c r="O34" s="44">
        <f>'Sheet1 select'!$B$10*'Sheet1 select'!$B$31*$B$8*1000*0.000000001</f>
        <v>3.0000000000000001E-3</v>
      </c>
      <c r="P34" s="44">
        <f>'Sheet1 select'!$B$35*$B$10*$B$8*1000*0.000000001</f>
        <v>0</v>
      </c>
      <c r="Q34" s="47">
        <f>IF('Sheet1 select'!$B$17=0,0,(0.00000006*0.7+0.00000003*(0.7+F34*1.1*'Sheet1 select'!$B$26))*F34*$B$8*1000)</f>
        <v>0</v>
      </c>
      <c r="R34" s="45">
        <f t="shared" ca="1" si="3"/>
        <v>3.8499793045331736E-2</v>
      </c>
      <c r="S34" s="48">
        <f t="shared" ca="1" si="4"/>
        <v>0.91954062759294786</v>
      </c>
      <c r="T34" s="49">
        <f ca="1">H34+K34+O34+N34+'Sheet1 select'!$B$40*I34+J34+P34</f>
        <v>1.6381042354713431E-2</v>
      </c>
      <c r="U34" s="169">
        <f t="shared" ca="1" si="5"/>
        <v>4.3810423547134287E-3</v>
      </c>
      <c r="V34" s="47">
        <f t="shared" ca="1" si="6"/>
        <v>0</v>
      </c>
    </row>
    <row r="35" spans="1:22">
      <c r="A35" s="156"/>
      <c r="B35" s="162"/>
      <c r="C35" s="156"/>
      <c r="E35" s="32">
        <v>34</v>
      </c>
      <c r="F35" s="45">
        <f t="shared" si="0"/>
        <v>9.0666666666666673E-2</v>
      </c>
      <c r="G35" s="45">
        <f t="shared" si="1"/>
        <v>1.6440888888888891E-3</v>
      </c>
      <c r="H35" s="45">
        <f ca="1">F35*F35*('Sheet1 select'!$B$25)*$B$3</f>
        <v>1.8696626070970206E-4</v>
      </c>
      <c r="I35" s="45">
        <f>F35*(1-$B$3)*'Sheet1 select'!$B$41</f>
        <v>2.1155555555555556E-2</v>
      </c>
      <c r="J35" s="45">
        <f ca="1">F35*F35*('Sheet1 select'!$B$26)*(1-$B$3)</f>
        <v>0</v>
      </c>
      <c r="K35" s="45">
        <f>0.0000005*$B$10*F35*$B$8*((('Sheet1 select'!$B$33+0.5*'Sheet1 select'!$B$32)/(('Sheet1 select'!$B$10-'Sheet1 select'!$B$23)/('Sheet1 select'!$B$27+'Sheet1 select'!$B$8)))+(('Sheet1 select'!$B$33+0.5*'Sheet1 select'!$B$32)/(('Sheet1 select'!$B$23)/('Sheet1 select'!$B$27+'Sheet1 select'!$B$9))))</f>
        <v>1.2414248699963086E-3</v>
      </c>
      <c r="L35" s="45">
        <f>(F35*$B$28)*(('Sheet1 select'!$B$12+'Sheet1 select'!$B$13)*(0.000000001))*$B$8*1000</f>
        <v>0</v>
      </c>
      <c r="M35" s="45">
        <f t="shared" si="2"/>
        <v>3.6617357284970928E-5</v>
      </c>
      <c r="N35" s="46">
        <f>$B$10*'Sheet1 select'!$B$29*0.001</f>
        <v>1.2E-2</v>
      </c>
      <c r="O35" s="44">
        <f>'Sheet1 select'!$B$10*'Sheet1 select'!$B$31*$B$8*1000*0.000000001</f>
        <v>3.0000000000000001E-3</v>
      </c>
      <c r="P35" s="44">
        <f>'Sheet1 select'!$B$35*$B$10*$B$8*1000*0.000000001</f>
        <v>0</v>
      </c>
      <c r="Q35" s="47">
        <f>IF('Sheet1 select'!$B$17=0,0,(0.00000006*0.7+0.00000003*(0.7+F35*1.1*'Sheet1 select'!$B$26))*F35*$B$8*1000)</f>
        <v>0</v>
      </c>
      <c r="R35" s="45">
        <f t="shared" ca="1" si="3"/>
        <v>3.9264652932435432E-2</v>
      </c>
      <c r="S35" s="48">
        <f t="shared" ca="1" si="4"/>
        <v>0.92029067509981421</v>
      </c>
      <c r="T35" s="49">
        <f ca="1">H35+K35+O35+N35+'Sheet1 select'!$B$40*I35+J35+P35</f>
        <v>1.6428391130706009E-2</v>
      </c>
      <c r="U35" s="169">
        <f t="shared" ca="1" si="5"/>
        <v>4.4283911307060105E-3</v>
      </c>
      <c r="V35" s="47">
        <f t="shared" ca="1" si="6"/>
        <v>0</v>
      </c>
    </row>
    <row r="36" spans="1:22">
      <c r="A36" s="163"/>
      <c r="B36" s="156"/>
      <c r="C36" s="156"/>
      <c r="E36" s="32">
        <v>35</v>
      </c>
      <c r="F36" s="45">
        <f t="shared" si="0"/>
        <v>9.3333333333333338E-2</v>
      </c>
      <c r="G36" s="45">
        <f t="shared" si="1"/>
        <v>1.7422222222222225E-3</v>
      </c>
      <c r="H36" s="45">
        <f ca="1">F36*F36*('Sheet1 select'!$B$25)*$B$3</f>
        <v>1.9812601156521194E-4</v>
      </c>
      <c r="I36" s="45">
        <f>F36*(1-$B$3)*'Sheet1 select'!$B$41</f>
        <v>2.1777777777777778E-2</v>
      </c>
      <c r="J36" s="45">
        <f ca="1">F36*F36*('Sheet1 select'!$B$26)*(1-$B$3)</f>
        <v>0</v>
      </c>
      <c r="K36" s="45">
        <f>0.0000005*$B$10*F36*$B$8*((('Sheet1 select'!$B$33+0.5*'Sheet1 select'!$B$32)/(('Sheet1 select'!$B$10-'Sheet1 select'!$B$23)/('Sheet1 select'!$B$27+'Sheet1 select'!$B$8)))+(('Sheet1 select'!$B$33+0.5*'Sheet1 select'!$B$32)/(('Sheet1 select'!$B$23)/('Sheet1 select'!$B$27+'Sheet1 select'!$B$9))))</f>
        <v>1.2779373661726706E-3</v>
      </c>
      <c r="L36" s="45">
        <f>(F36*$B$28)*(('Sheet1 select'!$B$12+'Sheet1 select'!$B$13)*(0.000000001))*$B$8*1000</f>
        <v>0</v>
      </c>
      <c r="M36" s="45">
        <f t="shared" si="2"/>
        <v>3.6617357284970928E-5</v>
      </c>
      <c r="N36" s="46">
        <f>$B$10*'Sheet1 select'!$B$29*0.001</f>
        <v>1.2E-2</v>
      </c>
      <c r="O36" s="44">
        <f>'Sheet1 select'!$B$10*'Sheet1 select'!$B$31*$B$8*1000*0.000000001</f>
        <v>3.0000000000000001E-3</v>
      </c>
      <c r="P36" s="44">
        <f>'Sheet1 select'!$B$35*$B$10*$B$8*1000*0.000000001</f>
        <v>0</v>
      </c>
      <c r="Q36" s="47">
        <f>IF('Sheet1 select'!$B$17=0,0,(0.00000006*0.7+0.00000003*(0.7+F36*1.1*'Sheet1 select'!$B$26))*F36*$B$8*1000)</f>
        <v>0</v>
      </c>
      <c r="R36" s="45">
        <f t="shared" ca="1" si="3"/>
        <v>4.0032680735022863E-2</v>
      </c>
      <c r="S36" s="48">
        <f t="shared" ca="1" si="4"/>
        <v>0.92099322617977109</v>
      </c>
      <c r="T36" s="49">
        <f ca="1">H36+K36+O36+N36+'Sheet1 select'!$B$40*I36+J36+P36</f>
        <v>1.6476063377737882E-2</v>
      </c>
      <c r="U36" s="169">
        <f t="shared" ca="1" si="5"/>
        <v>4.4760633777378824E-3</v>
      </c>
      <c r="V36" s="47">
        <f t="shared" ca="1" si="6"/>
        <v>0</v>
      </c>
    </row>
    <row r="37" spans="1:22">
      <c r="A37" s="163"/>
      <c r="B37" s="156"/>
      <c r="C37" s="156"/>
      <c r="E37" s="32">
        <v>36</v>
      </c>
      <c r="F37" s="45">
        <f t="shared" si="0"/>
        <v>9.6000000000000002E-2</v>
      </c>
      <c r="G37" s="45">
        <f t="shared" si="1"/>
        <v>1.8431999999999999E-3</v>
      </c>
      <c r="H37" s="45">
        <f ca="1">F37*F37*('Sheet1 select'!$B$25)*$B$3</f>
        <v>2.0960923346001196E-4</v>
      </c>
      <c r="I37" s="45">
        <f>F37*(1-$B$3)*'Sheet1 select'!$B$41</f>
        <v>2.24E-2</v>
      </c>
      <c r="J37" s="45">
        <f ca="1">F37*F37*('Sheet1 select'!$B$26)*(1-$B$3)</f>
        <v>0</v>
      </c>
      <c r="K37" s="45">
        <f>0.0000005*$B$10*F37*$B$8*((('Sheet1 select'!$B$33+0.5*'Sheet1 select'!$B$32)/(('Sheet1 select'!$B$10-'Sheet1 select'!$B$23)/('Sheet1 select'!$B$27+'Sheet1 select'!$B$8)))+(('Sheet1 select'!$B$33+0.5*'Sheet1 select'!$B$32)/(('Sheet1 select'!$B$23)/('Sheet1 select'!$B$27+'Sheet1 select'!$B$9))))</f>
        <v>1.3144498623490325E-3</v>
      </c>
      <c r="L37" s="45">
        <f>(F37*$B$28)*(('Sheet1 select'!$B$12+'Sheet1 select'!$B$13)*(0.000000001))*$B$8*1000</f>
        <v>0</v>
      </c>
      <c r="M37" s="45">
        <f t="shared" si="2"/>
        <v>3.6617357284970928E-5</v>
      </c>
      <c r="N37" s="46">
        <f>$B$10*'Sheet1 select'!$B$29*0.001</f>
        <v>1.2E-2</v>
      </c>
      <c r="O37" s="44">
        <f>'Sheet1 select'!$B$10*'Sheet1 select'!$B$31*$B$8*1000*0.000000001</f>
        <v>3.0000000000000001E-3</v>
      </c>
      <c r="P37" s="44">
        <f>'Sheet1 select'!$B$35*$B$10*$B$8*1000*0.000000001</f>
        <v>0</v>
      </c>
      <c r="Q37" s="47">
        <f>IF('Sheet1 select'!$B$17=0,0,(0.00000006*0.7+0.00000003*(0.7+F37*1.1*'Sheet1 select'!$B$26))*F37*$B$8*1000)</f>
        <v>0</v>
      </c>
      <c r="R37" s="45">
        <f t="shared" ca="1" si="3"/>
        <v>4.0803876453094017E-2</v>
      </c>
      <c r="S37" s="48">
        <f t="shared" ca="1" si="4"/>
        <v>0.92165212607289604</v>
      </c>
      <c r="T37" s="49">
        <f ca="1">H37+K37+O37+N37+'Sheet1 select'!$B$40*I37+J37+P37</f>
        <v>1.6524059095809045E-2</v>
      </c>
      <c r="U37" s="169">
        <f t="shared" ca="1" si="5"/>
        <v>4.5240590958090443E-3</v>
      </c>
      <c r="V37" s="47">
        <f t="shared" ca="1" si="6"/>
        <v>0</v>
      </c>
    </row>
    <row r="38" spans="1:22">
      <c r="A38" s="163"/>
      <c r="B38" s="164"/>
      <c r="C38" s="156"/>
      <c r="E38" s="32">
        <v>37</v>
      </c>
      <c r="F38" s="45">
        <f t="shared" si="0"/>
        <v>9.8666666666666666E-2</v>
      </c>
      <c r="G38" s="45">
        <f t="shared" si="1"/>
        <v>1.9470222222222223E-3</v>
      </c>
      <c r="H38" s="45">
        <f ca="1">F38*F38*('Sheet1 select'!$B$25)*$B$3</f>
        <v>2.2141592639410217E-4</v>
      </c>
      <c r="I38" s="45">
        <f>F38*(1-$B$3)*'Sheet1 select'!$B$41</f>
        <v>2.3022222222222222E-2</v>
      </c>
      <c r="J38" s="45">
        <f ca="1">F38*F38*('Sheet1 select'!$B$26)*(1-$B$3)</f>
        <v>0</v>
      </c>
      <c r="K38" s="45">
        <f>0.0000005*$B$10*F38*$B$8*((('Sheet1 select'!$B$33+0.5*'Sheet1 select'!$B$32)/(('Sheet1 select'!$B$10-'Sheet1 select'!$B$23)/('Sheet1 select'!$B$27+'Sheet1 select'!$B$8)))+(('Sheet1 select'!$B$33+0.5*'Sheet1 select'!$B$32)/(('Sheet1 select'!$B$23)/('Sheet1 select'!$B$27+'Sheet1 select'!$B$9))))</f>
        <v>1.3509623585253945E-3</v>
      </c>
      <c r="L38" s="45">
        <f>(F38*$B$28)*(('Sheet1 select'!$B$12+'Sheet1 select'!$B$13)*(0.000000001))*$B$8*1000</f>
        <v>0</v>
      </c>
      <c r="M38" s="45">
        <f t="shared" si="2"/>
        <v>3.6617357284970928E-5</v>
      </c>
      <c r="N38" s="46">
        <f>$B$10*'Sheet1 select'!$B$29*0.001</f>
        <v>1.2E-2</v>
      </c>
      <c r="O38" s="44">
        <f>'Sheet1 select'!$B$10*'Sheet1 select'!$B$31*$B$8*1000*0.000000001</f>
        <v>3.0000000000000001E-3</v>
      </c>
      <c r="P38" s="44">
        <f>'Sheet1 select'!$B$35*$B$10*$B$8*1000*0.000000001</f>
        <v>0</v>
      </c>
      <c r="Q38" s="47">
        <f>IF('Sheet1 select'!$B$17=0,0,(0.00000006*0.7+0.00000003*(0.7+F38*1.1*'Sheet1 select'!$B$26))*F38*$B$8*1000)</f>
        <v>0</v>
      </c>
      <c r="R38" s="45">
        <f t="shared" ca="1" si="3"/>
        <v>4.1578240086648913E-2</v>
      </c>
      <c r="S38" s="48">
        <f t="shared" ca="1" si="4"/>
        <v>0.92227081605130257</v>
      </c>
      <c r="T38" s="49">
        <f ca="1">H38+K38+O38+N38+'Sheet1 select'!$B$40*I38+J38+P38</f>
        <v>1.6572378284919496E-2</v>
      </c>
      <c r="U38" s="169">
        <f t="shared" ca="1" si="5"/>
        <v>4.5723782849194971E-3</v>
      </c>
      <c r="V38" s="47">
        <f t="shared" ca="1" si="6"/>
        <v>0</v>
      </c>
    </row>
    <row r="39" spans="1:22">
      <c r="A39" s="163"/>
      <c r="B39" s="164"/>
      <c r="C39" s="156"/>
      <c r="E39" s="32">
        <v>38</v>
      </c>
      <c r="F39" s="45">
        <f t="shared" si="0"/>
        <v>0.10133333333333334</v>
      </c>
      <c r="G39" s="45">
        <f t="shared" si="1"/>
        <v>2.0536888888888893E-3</v>
      </c>
      <c r="H39" s="45">
        <f ca="1">F39*F39*('Sheet1 select'!$B$25)*$B$3</f>
        <v>2.3354609036748252E-4</v>
      </c>
      <c r="I39" s="45">
        <f>F39*(1-$B$3)*'Sheet1 select'!$B$41</f>
        <v>2.3644444444444444E-2</v>
      </c>
      <c r="J39" s="45">
        <f ca="1">F39*F39*('Sheet1 select'!$B$26)*(1-$B$3)</f>
        <v>0</v>
      </c>
      <c r="K39" s="45">
        <f>0.0000005*$B$10*F39*$B$8*((('Sheet1 select'!$B$33+0.5*'Sheet1 select'!$B$32)/(('Sheet1 select'!$B$10-'Sheet1 select'!$B$23)/('Sheet1 select'!$B$27+'Sheet1 select'!$B$8)))+(('Sheet1 select'!$B$33+0.5*'Sheet1 select'!$B$32)/(('Sheet1 select'!$B$23)/('Sheet1 select'!$B$27+'Sheet1 select'!$B$9))))</f>
        <v>1.3874748547017567E-3</v>
      </c>
      <c r="L39" s="45">
        <f>(F39*$B$28)*(('Sheet1 select'!$B$12+'Sheet1 select'!$B$13)*(0.000000001))*$B$8*1000</f>
        <v>0</v>
      </c>
      <c r="M39" s="45">
        <f t="shared" si="2"/>
        <v>3.6617357284970928E-5</v>
      </c>
      <c r="N39" s="46">
        <f>$B$10*'Sheet1 select'!$B$29*0.001</f>
        <v>1.2E-2</v>
      </c>
      <c r="O39" s="44">
        <f>'Sheet1 select'!$B$10*'Sheet1 select'!$B$31*$B$8*1000*0.000000001</f>
        <v>3.0000000000000001E-3</v>
      </c>
      <c r="P39" s="44">
        <f>'Sheet1 select'!$B$35*$B$10*$B$8*1000*0.000000001</f>
        <v>0</v>
      </c>
      <c r="Q39" s="47">
        <f>IF('Sheet1 select'!$B$17=0,0,(0.00000006*0.7+0.00000003*(0.7+F39*1.1*'Sheet1 select'!$B$26))*F39*$B$8*1000)</f>
        <v>0</v>
      </c>
      <c r="R39" s="45">
        <f t="shared" ca="1" si="3"/>
        <v>4.2355771635687545E-2</v>
      </c>
      <c r="S39" s="48">
        <f t="shared" ca="1" si="4"/>
        <v>0.92285238511078538</v>
      </c>
      <c r="T39" s="49">
        <f ca="1">H39+K39+O39+N39+'Sheet1 select'!$B$40*I39+J39+P39</f>
        <v>1.6621020945069238E-2</v>
      </c>
      <c r="U39" s="169">
        <f t="shared" ca="1" si="5"/>
        <v>4.621020945069239E-3</v>
      </c>
      <c r="V39" s="47">
        <f t="shared" ca="1" si="6"/>
        <v>0</v>
      </c>
    </row>
    <row r="40" spans="1:22">
      <c r="E40" s="32">
        <v>39</v>
      </c>
      <c r="F40" s="45">
        <f t="shared" si="0"/>
        <v>0.10400000000000001</v>
      </c>
      <c r="G40" s="45">
        <f t="shared" si="1"/>
        <v>2.1632000000000005E-3</v>
      </c>
      <c r="H40" s="45">
        <f ca="1">F40*F40*('Sheet1 select'!$B$25)*$B$3</f>
        <v>2.4599972538015297E-4</v>
      </c>
      <c r="I40" s="45">
        <f>F40*(1-$B$3)*'Sheet1 select'!$B$41</f>
        <v>2.4266666666666669E-2</v>
      </c>
      <c r="J40" s="45">
        <f ca="1">F40*F40*('Sheet1 select'!$B$26)*(1-$B$3)</f>
        <v>0</v>
      </c>
      <c r="K40" s="45">
        <f>0.0000005*$B$10*F40*$B$8*((('Sheet1 select'!$B$33+0.5*'Sheet1 select'!$B$32)/(('Sheet1 select'!$B$10-'Sheet1 select'!$B$23)/('Sheet1 select'!$B$27+'Sheet1 select'!$B$8)))+(('Sheet1 select'!$B$33+0.5*'Sheet1 select'!$B$32)/(('Sheet1 select'!$B$23)/('Sheet1 select'!$B$27+'Sheet1 select'!$B$9))))</f>
        <v>1.4239873508781189E-3</v>
      </c>
      <c r="L40" s="45">
        <f>(F40*$B$28)*(('Sheet1 select'!$B$12+'Sheet1 select'!$B$13)*(0.000000001))*$B$8*1000</f>
        <v>0</v>
      </c>
      <c r="M40" s="45">
        <f t="shared" si="2"/>
        <v>3.6617357284970928E-5</v>
      </c>
      <c r="N40" s="46">
        <f>$B$10*'Sheet1 select'!$B$29*0.001</f>
        <v>1.2E-2</v>
      </c>
      <c r="O40" s="44">
        <f>'Sheet1 select'!$B$10*'Sheet1 select'!$B$31*$B$8*1000*0.000000001</f>
        <v>3.0000000000000001E-3</v>
      </c>
      <c r="P40" s="44">
        <f>'Sheet1 select'!$B$35*$B$10*$B$8*1000*0.000000001</f>
        <v>0</v>
      </c>
      <c r="Q40" s="47">
        <f>IF('Sheet1 select'!$B$17=0,0,(0.00000006*0.7+0.00000003*(0.7+F40*1.1*'Sheet1 select'!$B$26))*F40*$B$8*1000)</f>
        <v>0</v>
      </c>
      <c r="R40" s="45">
        <f t="shared" ca="1" si="3"/>
        <v>4.3136471100209919E-2</v>
      </c>
      <c r="S40" s="48">
        <f t="shared" ca="1" si="4"/>
        <v>0.92339961392318737</v>
      </c>
      <c r="T40" s="49">
        <f ca="1">H40+K40+O40+N40+'Sheet1 select'!$B$40*I40+J40+P40</f>
        <v>1.6669987076258271E-2</v>
      </c>
      <c r="U40" s="169">
        <f t="shared" ca="1" si="5"/>
        <v>4.6699870762582718E-3</v>
      </c>
      <c r="V40" s="47">
        <f t="shared" ca="1" si="6"/>
        <v>0</v>
      </c>
    </row>
    <row r="41" spans="1:22">
      <c r="E41" s="32">
        <v>40</v>
      </c>
      <c r="F41" s="45">
        <f t="shared" si="0"/>
        <v>0.10666666666666667</v>
      </c>
      <c r="G41" s="45">
        <f t="shared" si="1"/>
        <v>2.2755555555555558E-3</v>
      </c>
      <c r="H41" s="45">
        <f ca="1">F41*F41*('Sheet1 select'!$B$25)*$B$3</f>
        <v>2.5877683143211359E-4</v>
      </c>
      <c r="I41" s="45">
        <f>F41*(1-$B$3)*'Sheet1 select'!$B$41</f>
        <v>2.4888888888888891E-2</v>
      </c>
      <c r="J41" s="45">
        <f ca="1">F41*F41*('Sheet1 select'!$B$26)*(1-$B$3)</f>
        <v>0</v>
      </c>
      <c r="K41" s="45">
        <f>0.0000005*$B$10*F41*$B$8*((('Sheet1 select'!$B$33+0.5*'Sheet1 select'!$B$32)/(('Sheet1 select'!$B$10-'Sheet1 select'!$B$23)/('Sheet1 select'!$B$27+'Sheet1 select'!$B$8)))+(('Sheet1 select'!$B$33+0.5*'Sheet1 select'!$B$32)/(('Sheet1 select'!$B$23)/('Sheet1 select'!$B$27+'Sheet1 select'!$B$9))))</f>
        <v>1.4604998470544805E-3</v>
      </c>
      <c r="L41" s="45">
        <f>(F41*$B$28)*(('Sheet1 select'!$B$12+'Sheet1 select'!$B$13)*(0.000000001))*$B$8*1000</f>
        <v>0</v>
      </c>
      <c r="M41" s="45">
        <f t="shared" si="2"/>
        <v>3.6617357284970928E-5</v>
      </c>
      <c r="N41" s="46">
        <f>$B$10*'Sheet1 select'!$B$29*0.001</f>
        <v>1.2E-2</v>
      </c>
      <c r="O41" s="44">
        <f>'Sheet1 select'!$B$10*'Sheet1 select'!$B$31*$B$8*1000*0.000000001</f>
        <v>3.0000000000000001E-3</v>
      </c>
      <c r="P41" s="44">
        <f>'Sheet1 select'!$B$35*$B$10*$B$8*1000*0.000000001</f>
        <v>0</v>
      </c>
      <c r="Q41" s="47">
        <f>IF('Sheet1 select'!$B$17=0,0,(0.00000006*0.7+0.00000003*(0.7+F41*1.1*'Sheet1 select'!$B$26))*F41*$B$8*1000)</f>
        <v>0</v>
      </c>
      <c r="R41" s="45">
        <f t="shared" ca="1" si="3"/>
        <v>4.3920338480216016E-2</v>
      </c>
      <c r="S41" s="48">
        <f t="shared" ca="1" si="4"/>
        <v>0.92391501236842344</v>
      </c>
      <c r="T41" s="49">
        <f ca="1">H41+K41+O41+N41+'Sheet1 select'!$B$40*I41+J41+P41</f>
        <v>1.6719276678486595E-2</v>
      </c>
      <c r="U41" s="169">
        <f t="shared" ca="1" si="5"/>
        <v>4.7192766784865938E-3</v>
      </c>
      <c r="V41" s="47">
        <f t="shared" ca="1" si="6"/>
        <v>0</v>
      </c>
    </row>
    <row r="42" spans="1:22">
      <c r="E42" s="32">
        <v>41</v>
      </c>
      <c r="F42" s="45">
        <f t="shared" si="0"/>
        <v>0.10933333333333335</v>
      </c>
      <c r="G42" s="45">
        <f t="shared" si="1"/>
        <v>2.390755555555556E-3</v>
      </c>
      <c r="H42" s="45">
        <f ca="1">F42*F42*('Sheet1 select'!$B$25)*$B$3</f>
        <v>2.718774085233644E-4</v>
      </c>
      <c r="I42" s="45">
        <f>F42*(1-$B$3)*'Sheet1 select'!$B$41</f>
        <v>2.5511111111111113E-2</v>
      </c>
      <c r="J42" s="45">
        <f ca="1">F42*F42*('Sheet1 select'!$B$26)*(1-$B$3)</f>
        <v>0</v>
      </c>
      <c r="K42" s="45">
        <f>0.0000005*$B$10*F42*$B$8*((('Sheet1 select'!$B$33+0.5*'Sheet1 select'!$B$32)/(('Sheet1 select'!$B$10-'Sheet1 select'!$B$23)/('Sheet1 select'!$B$27+'Sheet1 select'!$B$8)))+(('Sheet1 select'!$B$33+0.5*'Sheet1 select'!$B$32)/(('Sheet1 select'!$B$23)/('Sheet1 select'!$B$27+'Sheet1 select'!$B$9))))</f>
        <v>1.4970123432308431E-3</v>
      </c>
      <c r="L42" s="45">
        <f>(F42*$B$28)*(('Sheet1 select'!$B$12+'Sheet1 select'!$B$13)*(0.000000001))*$B$8*1000</f>
        <v>0</v>
      </c>
      <c r="M42" s="45">
        <f t="shared" si="2"/>
        <v>3.6617357284970928E-5</v>
      </c>
      <c r="N42" s="46">
        <f>$B$10*'Sheet1 select'!$B$29*0.001</f>
        <v>1.2E-2</v>
      </c>
      <c r="O42" s="44">
        <f>'Sheet1 select'!$B$10*'Sheet1 select'!$B$31*$B$8*1000*0.000000001</f>
        <v>3.0000000000000001E-3</v>
      </c>
      <c r="P42" s="44">
        <f>'Sheet1 select'!$B$35*$B$10*$B$8*1000*0.000000001</f>
        <v>0</v>
      </c>
      <c r="Q42" s="47">
        <f>IF('Sheet1 select'!$B$17=0,0,(0.00000006*0.7+0.00000003*(0.7+F42*1.1*'Sheet1 select'!$B$26))*F42*$B$8*1000)</f>
        <v>0</v>
      </c>
      <c r="R42" s="45">
        <f t="shared" ca="1" si="3"/>
        <v>4.4707373775705848E-2</v>
      </c>
      <c r="S42" s="48">
        <f t="shared" ca="1" si="4"/>
        <v>0.92440085171431796</v>
      </c>
      <c r="T42" s="49">
        <f ca="1">H42+K42+O42+N42+'Sheet1 select'!$B$40*I42+J42+P42</f>
        <v>1.676888975175421E-2</v>
      </c>
      <c r="U42" s="169">
        <f t="shared" ca="1" si="5"/>
        <v>4.7688897517542076E-3</v>
      </c>
      <c r="V42" s="47">
        <f t="shared" ca="1" si="6"/>
        <v>0</v>
      </c>
    </row>
    <row r="43" spans="1:22">
      <c r="E43" s="32">
        <v>42</v>
      </c>
      <c r="F43" s="45">
        <f t="shared" si="0"/>
        <v>0.112</v>
      </c>
      <c r="G43" s="45">
        <f t="shared" si="1"/>
        <v>2.5088000000000003E-3</v>
      </c>
      <c r="H43" s="45">
        <f ca="1">F43*F43*('Sheet1 select'!$B$25)*$B$3</f>
        <v>2.8530145665390524E-4</v>
      </c>
      <c r="I43" s="45">
        <f>F43*(1-$B$3)*'Sheet1 select'!$B$41</f>
        <v>2.6133333333333331E-2</v>
      </c>
      <c r="J43" s="45">
        <f ca="1">F43*F43*('Sheet1 select'!$B$26)*(1-$B$3)</f>
        <v>0</v>
      </c>
      <c r="K43" s="45">
        <f>0.0000005*$B$10*F43*$B$8*((('Sheet1 select'!$B$33+0.5*'Sheet1 select'!$B$32)/(('Sheet1 select'!$B$10-'Sheet1 select'!$B$23)/('Sheet1 select'!$B$27+'Sheet1 select'!$B$8)))+(('Sheet1 select'!$B$33+0.5*'Sheet1 select'!$B$32)/(('Sheet1 select'!$B$23)/('Sheet1 select'!$B$27+'Sheet1 select'!$B$9))))</f>
        <v>1.5335248394072044E-3</v>
      </c>
      <c r="L43" s="45">
        <f>(F43*$B$28)*(('Sheet1 select'!$B$12+'Sheet1 select'!$B$13)*(0.000000001))*$B$8*1000</f>
        <v>0</v>
      </c>
      <c r="M43" s="45">
        <f t="shared" si="2"/>
        <v>3.6617357284970928E-5</v>
      </c>
      <c r="N43" s="46">
        <f>$B$10*'Sheet1 select'!$B$29*0.001</f>
        <v>1.2E-2</v>
      </c>
      <c r="O43" s="44">
        <f>'Sheet1 select'!$B$10*'Sheet1 select'!$B$31*$B$8*1000*0.000000001</f>
        <v>3.0000000000000001E-3</v>
      </c>
      <c r="P43" s="44">
        <f>'Sheet1 select'!$B$35*$B$10*$B$8*1000*0.000000001</f>
        <v>0</v>
      </c>
      <c r="Q43" s="47">
        <f>IF('Sheet1 select'!$B$17=0,0,(0.00000006*0.7+0.00000003*(0.7+F43*1.1*'Sheet1 select'!$B$26))*F43*$B$8*1000)</f>
        <v>0</v>
      </c>
      <c r="R43" s="45">
        <f t="shared" ca="1" si="3"/>
        <v>4.5497576986679417E-2</v>
      </c>
      <c r="S43" s="48">
        <f t="shared" ca="1" si="4"/>
        <v>0.9248591923140258</v>
      </c>
      <c r="T43" s="49">
        <f ca="1">H43+K43+O43+N43+'Sheet1 select'!$B$40*I43+J43+P43</f>
        <v>1.6818826296061108E-2</v>
      </c>
      <c r="U43" s="169">
        <f t="shared" ca="1" si="5"/>
        <v>4.8188262960611097E-3</v>
      </c>
      <c r="V43" s="47">
        <f t="shared" ca="1" si="6"/>
        <v>0</v>
      </c>
    </row>
    <row r="44" spans="1:22">
      <c r="E44" s="32">
        <v>43</v>
      </c>
      <c r="F44" s="45">
        <f t="shared" si="0"/>
        <v>0.11466666666666667</v>
      </c>
      <c r="G44" s="45">
        <f t="shared" si="1"/>
        <v>2.629688888888889E-3</v>
      </c>
      <c r="H44" s="45">
        <f ca="1">F44*F44*('Sheet1 select'!$B$25)*$B$3</f>
        <v>2.9904897582373621E-4</v>
      </c>
      <c r="I44" s="45">
        <f>F44*(1-$B$3)*'Sheet1 select'!$B$41</f>
        <v>2.6755555555555557E-2</v>
      </c>
      <c r="J44" s="45">
        <f ca="1">F44*F44*('Sheet1 select'!$B$26)*(1-$B$3)</f>
        <v>0</v>
      </c>
      <c r="K44" s="45">
        <f>0.0000005*$B$10*F44*$B$8*((('Sheet1 select'!$B$33+0.5*'Sheet1 select'!$B$32)/(('Sheet1 select'!$B$10-'Sheet1 select'!$B$23)/('Sheet1 select'!$B$27+'Sheet1 select'!$B$8)))+(('Sheet1 select'!$B$33+0.5*'Sheet1 select'!$B$32)/(('Sheet1 select'!$B$23)/('Sheet1 select'!$B$27+'Sheet1 select'!$B$9))))</f>
        <v>1.5700373355835668E-3</v>
      </c>
      <c r="L44" s="45">
        <f>(F44*$B$28)*(('Sheet1 select'!$B$12+'Sheet1 select'!$B$13)*(0.000000001))*$B$8*1000</f>
        <v>0</v>
      </c>
      <c r="M44" s="45">
        <f t="shared" si="2"/>
        <v>3.6617357284970928E-5</v>
      </c>
      <c r="N44" s="46">
        <f>$B$10*'Sheet1 select'!$B$29*0.001</f>
        <v>1.2E-2</v>
      </c>
      <c r="O44" s="44">
        <f>'Sheet1 select'!$B$10*'Sheet1 select'!$B$31*$B$8*1000*0.000000001</f>
        <v>3.0000000000000001E-3</v>
      </c>
      <c r="P44" s="44">
        <f>'Sheet1 select'!$B$35*$B$10*$B$8*1000*0.000000001</f>
        <v>0</v>
      </c>
      <c r="Q44" s="47">
        <f>IF('Sheet1 select'!$B$17=0,0,(0.00000006*0.7+0.00000003*(0.7+F44*1.1*'Sheet1 select'!$B$26))*F44*$B$8*1000)</f>
        <v>0</v>
      </c>
      <c r="R44" s="45">
        <f t="shared" ca="1" si="3"/>
        <v>4.6290948113136721E-2</v>
      </c>
      <c r="S44" s="48">
        <f t="shared" ca="1" si="4"/>
        <v>0.92529190753294288</v>
      </c>
      <c r="T44" s="49">
        <f ca="1">H44+K44+O44+N44+'Sheet1 select'!$B$40*I44+J44+P44</f>
        <v>1.6869086311407301E-2</v>
      </c>
      <c r="U44" s="169">
        <f t="shared" ca="1" si="5"/>
        <v>4.8690863114073026E-3</v>
      </c>
      <c r="V44" s="47">
        <f t="shared" ca="1" si="6"/>
        <v>0</v>
      </c>
    </row>
    <row r="45" spans="1:22">
      <c r="E45" s="32">
        <v>44</v>
      </c>
      <c r="F45" s="45">
        <f t="shared" si="0"/>
        <v>0.11733333333333335</v>
      </c>
      <c r="G45" s="45">
        <f t="shared" si="1"/>
        <v>2.753422222222223E-3</v>
      </c>
      <c r="H45" s="45">
        <f ca="1">F45*F45*('Sheet1 select'!$B$25)*$B$3</f>
        <v>3.1311996603285744E-4</v>
      </c>
      <c r="I45" s="45">
        <f>F45*(1-$B$3)*'Sheet1 select'!$B$41</f>
        <v>2.7377777777777779E-2</v>
      </c>
      <c r="J45" s="45">
        <f ca="1">F45*F45*('Sheet1 select'!$B$26)*(1-$B$3)</f>
        <v>0</v>
      </c>
      <c r="K45" s="45">
        <f>0.0000005*$B$10*F45*$B$8*((('Sheet1 select'!$B$33+0.5*'Sheet1 select'!$B$32)/(('Sheet1 select'!$B$10-'Sheet1 select'!$B$23)/('Sheet1 select'!$B$27+'Sheet1 select'!$B$8)))+(('Sheet1 select'!$B$33+0.5*'Sheet1 select'!$B$32)/(('Sheet1 select'!$B$23)/('Sheet1 select'!$B$27+'Sheet1 select'!$B$9))))</f>
        <v>1.6065498317599288E-3</v>
      </c>
      <c r="L45" s="45">
        <f>(F45*$B$28)*(('Sheet1 select'!$B$12+'Sheet1 select'!$B$13)*(0.000000001))*$B$8*1000</f>
        <v>0</v>
      </c>
      <c r="M45" s="45">
        <f t="shared" si="2"/>
        <v>3.6617357284970928E-5</v>
      </c>
      <c r="N45" s="46">
        <f>$B$10*'Sheet1 select'!$B$29*0.001</f>
        <v>1.2E-2</v>
      </c>
      <c r="O45" s="44">
        <f>'Sheet1 select'!$B$10*'Sheet1 select'!$B$31*$B$8*1000*0.000000001</f>
        <v>3.0000000000000001E-3</v>
      </c>
      <c r="P45" s="44">
        <f>'Sheet1 select'!$B$35*$B$10*$B$8*1000*0.000000001</f>
        <v>0</v>
      </c>
      <c r="Q45" s="47">
        <f>IF('Sheet1 select'!$B$17=0,0,(0.00000006*0.7+0.00000003*(0.7+F45*1.1*'Sheet1 select'!$B$26))*F45*$B$8*1000)</f>
        <v>0</v>
      </c>
      <c r="R45" s="45">
        <f t="shared" ca="1" si="3"/>
        <v>4.7087487155077754E-2</v>
      </c>
      <c r="S45" s="48">
        <f t="shared" ca="1" si="4"/>
        <v>0.92570070449065334</v>
      </c>
      <c r="T45" s="49">
        <f ca="1">H45+K45+O45+N45+'Sheet1 select'!$B$40*I45+J45+P45</f>
        <v>1.6919669797792788E-2</v>
      </c>
      <c r="U45" s="169">
        <f t="shared" ca="1" si="5"/>
        <v>4.9196697977927865E-3</v>
      </c>
      <c r="V45" s="47">
        <f t="shared" ca="1" si="6"/>
        <v>0</v>
      </c>
    </row>
    <row r="46" spans="1:22">
      <c r="E46" s="32">
        <v>45</v>
      </c>
      <c r="F46" s="45">
        <f t="shared" si="0"/>
        <v>0.12</v>
      </c>
      <c r="G46" s="45">
        <f t="shared" si="1"/>
        <v>2.8799999999999997E-3</v>
      </c>
      <c r="H46" s="45">
        <f ca="1">F46*F46*('Sheet1 select'!$B$25)*$B$3</f>
        <v>3.2751442728126868E-4</v>
      </c>
      <c r="I46" s="45">
        <f>F46*(1-$B$3)*'Sheet1 select'!$B$41</f>
        <v>2.7999999999999997E-2</v>
      </c>
      <c r="J46" s="45">
        <f ca="1">F46*F46*('Sheet1 select'!$B$26)*(1-$B$3)</f>
        <v>0</v>
      </c>
      <c r="K46" s="45">
        <f>0.0000005*$B$10*F46*$B$8*((('Sheet1 select'!$B$33+0.5*'Sheet1 select'!$B$32)/(('Sheet1 select'!$B$10-'Sheet1 select'!$B$23)/('Sheet1 select'!$B$27+'Sheet1 select'!$B$8)))+(('Sheet1 select'!$B$33+0.5*'Sheet1 select'!$B$32)/(('Sheet1 select'!$B$23)/('Sheet1 select'!$B$27+'Sheet1 select'!$B$9))))</f>
        <v>1.6430623279362908E-3</v>
      </c>
      <c r="L46" s="45">
        <f>(F46*$B$28)*(('Sheet1 select'!$B$12+'Sheet1 select'!$B$13)*(0.000000001))*$B$8*1000</f>
        <v>0</v>
      </c>
      <c r="M46" s="45">
        <f t="shared" si="2"/>
        <v>3.6617357284970928E-5</v>
      </c>
      <c r="N46" s="46">
        <f>$B$10*'Sheet1 select'!$B$29*0.001</f>
        <v>1.2E-2</v>
      </c>
      <c r="O46" s="44">
        <f>'Sheet1 select'!$B$10*'Sheet1 select'!$B$31*$B$8*1000*0.000000001</f>
        <v>3.0000000000000001E-3</v>
      </c>
      <c r="P46" s="44">
        <f>'Sheet1 select'!$B$35*$B$10*$B$8*1000*0.000000001</f>
        <v>0</v>
      </c>
      <c r="Q46" s="47">
        <f>IF('Sheet1 select'!$B$17=0,0,(0.00000006*0.7+0.00000003*(0.7+F46*1.1*'Sheet1 select'!$B$26))*F46*$B$8*1000)</f>
        <v>0</v>
      </c>
      <c r="R46" s="45">
        <f t="shared" ca="1" si="3"/>
        <v>4.7887194112502529E-2</v>
      </c>
      <c r="S46" s="48">
        <f t="shared" ca="1" si="4"/>
        <v>0.92608714210179754</v>
      </c>
      <c r="T46" s="49">
        <f ca="1">H46+K46+O46+N46+'Sheet1 select'!$B$40*I46+J46+P46</f>
        <v>1.697057675521756E-2</v>
      </c>
      <c r="U46" s="169">
        <f t="shared" ca="1" si="5"/>
        <v>4.9705767552175595E-3</v>
      </c>
      <c r="V46" s="47">
        <f t="shared" ca="1" si="6"/>
        <v>0</v>
      </c>
    </row>
    <row r="47" spans="1:22">
      <c r="E47" s="32">
        <v>46</v>
      </c>
      <c r="F47" s="45">
        <f t="shared" si="0"/>
        <v>0.12266666666666669</v>
      </c>
      <c r="G47" s="45">
        <f t="shared" si="1"/>
        <v>3.0094222222222236E-3</v>
      </c>
      <c r="H47" s="45">
        <f ca="1">F47*F47*('Sheet1 select'!$B$25)*$B$3</f>
        <v>3.4223235956897029E-4</v>
      </c>
      <c r="I47" s="45">
        <f>F47*(1-$B$3)*'Sheet1 select'!$B$41</f>
        <v>2.8622222222222223E-2</v>
      </c>
      <c r="J47" s="45">
        <f ca="1">F47*F47*('Sheet1 select'!$B$26)*(1-$B$3)</f>
        <v>0</v>
      </c>
      <c r="K47" s="45">
        <f>0.0000005*$B$10*F47*$B$8*((('Sheet1 select'!$B$33+0.5*'Sheet1 select'!$B$32)/(('Sheet1 select'!$B$10-'Sheet1 select'!$B$23)/('Sheet1 select'!$B$27+'Sheet1 select'!$B$8)))+(('Sheet1 select'!$B$33+0.5*'Sheet1 select'!$B$32)/(('Sheet1 select'!$B$23)/('Sheet1 select'!$B$27+'Sheet1 select'!$B$9))))</f>
        <v>1.679574824112653E-3</v>
      </c>
      <c r="L47" s="45">
        <f>(F47*$B$28)*(('Sheet1 select'!$B$12+'Sheet1 select'!$B$13)*(0.000000001))*$B$8*1000</f>
        <v>0</v>
      </c>
      <c r="M47" s="45">
        <f t="shared" si="2"/>
        <v>3.6617357284970928E-5</v>
      </c>
      <c r="N47" s="46">
        <f>$B$10*'Sheet1 select'!$B$29*0.001</f>
        <v>1.2E-2</v>
      </c>
      <c r="O47" s="44">
        <f>'Sheet1 select'!$B$10*'Sheet1 select'!$B$31*$B$8*1000*0.000000001</f>
        <v>3.0000000000000001E-3</v>
      </c>
      <c r="P47" s="44">
        <f>'Sheet1 select'!$B$35*$B$10*$B$8*1000*0.000000001</f>
        <v>0</v>
      </c>
      <c r="Q47" s="47">
        <f>IF('Sheet1 select'!$B$17=0,0,(0.00000006*0.7+0.00000003*(0.7+F47*1.1*'Sheet1 select'!$B$26))*F47*$B$8*1000)</f>
        <v>0</v>
      </c>
      <c r="R47" s="45">
        <f t="shared" ca="1" si="3"/>
        <v>4.8690068985411047E-2</v>
      </c>
      <c r="S47" s="48">
        <f t="shared" ca="1" si="4"/>
        <v>0.92645264681750894</v>
      </c>
      <c r="T47" s="49">
        <f ca="1">H47+K47+O47+N47+'Sheet1 select'!$B$40*I47+J47+P47</f>
        <v>1.7021807183681625E-2</v>
      </c>
      <c r="U47" s="169">
        <f t="shared" ca="1" si="5"/>
        <v>5.0218071836816234E-3</v>
      </c>
      <c r="V47" s="47">
        <f t="shared" ca="1" si="6"/>
        <v>0</v>
      </c>
    </row>
    <row r="48" spans="1:22">
      <c r="E48" s="32">
        <v>47</v>
      </c>
      <c r="F48" s="45">
        <f t="shared" si="0"/>
        <v>0.12533333333333332</v>
      </c>
      <c r="G48" s="45">
        <f t="shared" si="1"/>
        <v>3.141688888888888E-3</v>
      </c>
      <c r="H48" s="45">
        <f ca="1">F48*F48*('Sheet1 select'!$B$25)*$B$3</f>
        <v>3.572737628959617E-4</v>
      </c>
      <c r="I48" s="45">
        <f>F48*(1-$B$3)*'Sheet1 select'!$B$41</f>
        <v>2.9244444444444441E-2</v>
      </c>
      <c r="J48" s="45">
        <f ca="1">F48*F48*('Sheet1 select'!$B$26)*(1-$B$3)</f>
        <v>0</v>
      </c>
      <c r="K48" s="45">
        <f>0.0000005*$B$10*F48*$B$8*((('Sheet1 select'!$B$33+0.5*'Sheet1 select'!$B$32)/(('Sheet1 select'!$B$10-'Sheet1 select'!$B$23)/('Sheet1 select'!$B$27+'Sheet1 select'!$B$8)))+(('Sheet1 select'!$B$33+0.5*'Sheet1 select'!$B$32)/(('Sheet1 select'!$B$23)/('Sheet1 select'!$B$27+'Sheet1 select'!$B$9))))</f>
        <v>1.7160873202890147E-3</v>
      </c>
      <c r="L48" s="45">
        <f>(F48*$B$28)*(('Sheet1 select'!$B$12+'Sheet1 select'!$B$13)*(0.000000001))*$B$8*1000</f>
        <v>0</v>
      </c>
      <c r="M48" s="45">
        <f t="shared" si="2"/>
        <v>3.6617357284970928E-5</v>
      </c>
      <c r="N48" s="46">
        <f>$B$10*'Sheet1 select'!$B$29*0.001</f>
        <v>1.2E-2</v>
      </c>
      <c r="O48" s="44">
        <f>'Sheet1 select'!$B$10*'Sheet1 select'!$B$31*$B$8*1000*0.000000001</f>
        <v>3.0000000000000001E-3</v>
      </c>
      <c r="P48" s="44">
        <f>'Sheet1 select'!$B$35*$B$10*$B$8*1000*0.000000001</f>
        <v>0</v>
      </c>
      <c r="Q48" s="47">
        <f>IF('Sheet1 select'!$B$17=0,0,(0.00000006*0.7+0.00000003*(0.7+F48*1.1*'Sheet1 select'!$B$26))*F48*$B$8*1000)</f>
        <v>0</v>
      </c>
      <c r="R48" s="45">
        <f t="shared" ca="1" si="3"/>
        <v>4.9496111773803281E-2</v>
      </c>
      <c r="S48" s="48">
        <f t="shared" ca="1" si="4"/>
        <v>0.92679852640223226</v>
      </c>
      <c r="T48" s="49">
        <f ca="1">H48+K48+O48+N48+'Sheet1 select'!$B$40*I48+J48+P48</f>
        <v>1.7073361083184975E-2</v>
      </c>
      <c r="U48" s="169">
        <f t="shared" ca="1" si="5"/>
        <v>5.0733610831849765E-3</v>
      </c>
      <c r="V48" s="47">
        <f t="shared" ca="1" si="6"/>
        <v>0</v>
      </c>
    </row>
    <row r="49" spans="5:22">
      <c r="E49" s="32">
        <v>48</v>
      </c>
      <c r="F49" s="45">
        <f t="shared" si="0"/>
        <v>0.12800000000000003</v>
      </c>
      <c r="G49" s="45">
        <f t="shared" si="1"/>
        <v>3.2768000000000012E-3</v>
      </c>
      <c r="H49" s="45">
        <f ca="1">F49*F49*('Sheet1 select'!$B$25)*$B$3</f>
        <v>3.7263863726224363E-4</v>
      </c>
      <c r="I49" s="45">
        <f>F49*(1-$B$3)*'Sheet1 select'!$B$41</f>
        <v>2.986666666666667E-2</v>
      </c>
      <c r="J49" s="45">
        <f ca="1">F49*F49*('Sheet1 select'!$B$26)*(1-$B$3)</f>
        <v>0</v>
      </c>
      <c r="K49" s="45">
        <f>0.0000005*$B$10*F49*$B$8*((('Sheet1 select'!$B$33+0.5*'Sheet1 select'!$B$32)/(('Sheet1 select'!$B$10-'Sheet1 select'!$B$23)/('Sheet1 select'!$B$27+'Sheet1 select'!$B$8)))+(('Sheet1 select'!$B$33+0.5*'Sheet1 select'!$B$32)/(('Sheet1 select'!$B$23)/('Sheet1 select'!$B$27+'Sheet1 select'!$B$9))))</f>
        <v>1.7525998164653772E-3</v>
      </c>
      <c r="L49" s="45">
        <f>(F49*$B$28)*(('Sheet1 select'!$B$12+'Sheet1 select'!$B$13)*(0.000000001))*$B$8*1000</f>
        <v>0</v>
      </c>
      <c r="M49" s="45">
        <f t="shared" si="2"/>
        <v>3.6617357284970928E-5</v>
      </c>
      <c r="N49" s="46">
        <f>$B$10*'Sheet1 select'!$B$29*0.001</f>
        <v>1.2E-2</v>
      </c>
      <c r="O49" s="44">
        <f>'Sheet1 select'!$B$10*'Sheet1 select'!$B$31*$B$8*1000*0.000000001</f>
        <v>3.0000000000000001E-3</v>
      </c>
      <c r="P49" s="44">
        <f>'Sheet1 select'!$B$35*$B$10*$B$8*1000*0.000000001</f>
        <v>0</v>
      </c>
      <c r="Q49" s="47">
        <f>IF('Sheet1 select'!$B$17=0,0,(0.00000006*0.7+0.00000003*(0.7+F49*1.1*'Sheet1 select'!$B$26))*F49*$B$8*1000)</f>
        <v>0</v>
      </c>
      <c r="R49" s="45">
        <f t="shared" ca="1" si="3"/>
        <v>5.0305322477679257E-2</v>
      </c>
      <c r="S49" s="48">
        <f t="shared" ca="1" si="4"/>
        <v>0.92712598202615504</v>
      </c>
      <c r="T49" s="49">
        <f ca="1">H49+K49+O49+N49+'Sheet1 select'!$B$40*I49+J49+P49</f>
        <v>1.7125238453727619E-2</v>
      </c>
      <c r="U49" s="169">
        <f t="shared" ca="1" si="5"/>
        <v>5.1252384537276204E-3</v>
      </c>
      <c r="V49" s="47">
        <f t="shared" ca="1" si="6"/>
        <v>0</v>
      </c>
    </row>
    <row r="50" spans="5:22">
      <c r="E50" s="32">
        <v>49</v>
      </c>
      <c r="F50" s="45">
        <f t="shared" si="0"/>
        <v>0.13066666666666668</v>
      </c>
      <c r="G50" s="45">
        <f t="shared" si="1"/>
        <v>3.4147555555555562E-3</v>
      </c>
      <c r="H50" s="45">
        <f ca="1">F50*F50*('Sheet1 select'!$B$25)*$B$3</f>
        <v>3.8832698266781548E-4</v>
      </c>
      <c r="I50" s="45">
        <f>F50*(1-$B$3)*'Sheet1 select'!$B$41</f>
        <v>3.0488888888888888E-2</v>
      </c>
      <c r="J50" s="45">
        <f ca="1">F50*F50*('Sheet1 select'!$B$26)*(1-$B$3)</f>
        <v>0</v>
      </c>
      <c r="K50" s="45">
        <f>0.0000005*$B$10*F50*$B$8*((('Sheet1 select'!$B$33+0.5*'Sheet1 select'!$B$32)/(('Sheet1 select'!$B$10-'Sheet1 select'!$B$23)/('Sheet1 select'!$B$27+'Sheet1 select'!$B$8)))+(('Sheet1 select'!$B$33+0.5*'Sheet1 select'!$B$32)/(('Sheet1 select'!$B$23)/('Sheet1 select'!$B$27+'Sheet1 select'!$B$9))))</f>
        <v>1.7891123126417389E-3</v>
      </c>
      <c r="L50" s="45">
        <f>(F50*$B$28)*(('Sheet1 select'!$B$12+'Sheet1 select'!$B$13)*(0.000000001))*$B$8*1000</f>
        <v>0</v>
      </c>
      <c r="M50" s="45">
        <f t="shared" si="2"/>
        <v>3.6617357284970928E-5</v>
      </c>
      <c r="N50" s="46">
        <f>$B$10*'Sheet1 select'!$B$29*0.001</f>
        <v>1.2E-2</v>
      </c>
      <c r="O50" s="44">
        <f>'Sheet1 select'!$B$10*'Sheet1 select'!$B$31*$B$8*1000*0.000000001</f>
        <v>3.0000000000000001E-3</v>
      </c>
      <c r="P50" s="44">
        <f>'Sheet1 select'!$B$35*$B$10*$B$8*1000*0.000000001</f>
        <v>0</v>
      </c>
      <c r="Q50" s="47">
        <f>IF('Sheet1 select'!$B$17=0,0,(0.00000006*0.7+0.00000003*(0.7+F50*1.1*'Sheet1 select'!$B$26))*F50*$B$8*1000)</f>
        <v>0</v>
      </c>
      <c r="R50" s="45">
        <f t="shared" ca="1" si="3"/>
        <v>5.1117701097038976E-2</v>
      </c>
      <c r="S50" s="48">
        <f t="shared" ca="1" si="4"/>
        <v>0.92743611890871402</v>
      </c>
      <c r="T50" s="49">
        <f ca="1">H50+K50+O50+N50+'Sheet1 select'!$B$40*I50+J50+P50</f>
        <v>1.7177439295309554E-2</v>
      </c>
      <c r="U50" s="169">
        <f t="shared" ca="1" si="5"/>
        <v>5.1774392953095544E-3</v>
      </c>
      <c r="V50" s="47">
        <f t="shared" ca="1" si="6"/>
        <v>0</v>
      </c>
    </row>
    <row r="51" spans="5:22">
      <c r="E51" s="32">
        <v>50</v>
      </c>
      <c r="F51" s="45">
        <f t="shared" si="0"/>
        <v>0.13333333333333333</v>
      </c>
      <c r="G51" s="45">
        <f t="shared" si="1"/>
        <v>3.5555555555555553E-3</v>
      </c>
      <c r="H51" s="45">
        <f ca="1">F51*F51*('Sheet1 select'!$B$25)*$B$3</f>
        <v>4.0433879911267741E-4</v>
      </c>
      <c r="I51" s="45">
        <f>F51*(1-$B$3)*'Sheet1 select'!$B$41</f>
        <v>3.1111111111111107E-2</v>
      </c>
      <c r="J51" s="45">
        <f ca="1">F51*F51*('Sheet1 select'!$B$26)*(1-$B$3)</f>
        <v>0</v>
      </c>
      <c r="K51" s="45">
        <f>0.0000005*$B$10*F51*$B$8*((('Sheet1 select'!$B$33+0.5*'Sheet1 select'!$B$32)/(('Sheet1 select'!$B$10-'Sheet1 select'!$B$23)/('Sheet1 select'!$B$27+'Sheet1 select'!$B$8)))+(('Sheet1 select'!$B$33+0.5*'Sheet1 select'!$B$32)/(('Sheet1 select'!$B$23)/('Sheet1 select'!$B$27+'Sheet1 select'!$B$9))))</f>
        <v>1.8256248088181007E-3</v>
      </c>
      <c r="L51" s="45">
        <f>(F51*$B$28)*(('Sheet1 select'!$B$12+'Sheet1 select'!$B$13)*(0.000000001))*$B$8*1000</f>
        <v>0</v>
      </c>
      <c r="M51" s="45">
        <f t="shared" si="2"/>
        <v>3.6617357284970928E-5</v>
      </c>
      <c r="N51" s="46">
        <f>$B$10*'Sheet1 select'!$B$29*0.001</f>
        <v>1.2E-2</v>
      </c>
      <c r="O51" s="44">
        <f>'Sheet1 select'!$B$10*'Sheet1 select'!$B$31*$B$8*1000*0.000000001</f>
        <v>3.0000000000000001E-3</v>
      </c>
      <c r="P51" s="44">
        <f>'Sheet1 select'!$B$35*$B$10*$B$8*1000*0.000000001</f>
        <v>0</v>
      </c>
      <c r="Q51" s="47">
        <f>IF('Sheet1 select'!$B$17=0,0,(0.00000006*0.7+0.00000003*(0.7+F51*1.1*'Sheet1 select'!$B$26))*F51*$B$8*1000)</f>
        <v>0</v>
      </c>
      <c r="R51" s="45">
        <f t="shared" ca="1" si="3"/>
        <v>5.1933247631882409E-2</v>
      </c>
      <c r="S51" s="48">
        <f t="shared" ca="1" si="4"/>
        <v>0.92772995571175887</v>
      </c>
      <c r="T51" s="49">
        <f ca="1">H51+K51+O51+N51+'Sheet1 select'!$B$40*I51+J51+P51</f>
        <v>1.7229963607930776E-2</v>
      </c>
      <c r="U51" s="169">
        <f t="shared" ca="1" si="5"/>
        <v>5.2299636079307776E-3</v>
      </c>
      <c r="V51" s="47">
        <f t="shared" ca="1" si="6"/>
        <v>0</v>
      </c>
    </row>
    <row r="52" spans="5:22">
      <c r="E52" s="32">
        <v>51</v>
      </c>
      <c r="F52" s="45">
        <f t="shared" si="0"/>
        <v>0.13600000000000001</v>
      </c>
      <c r="G52" s="45">
        <f t="shared" si="1"/>
        <v>3.6992000000000001E-3</v>
      </c>
      <c r="H52" s="45">
        <f ca="1">F52*F52*('Sheet1 select'!$B$25)*$B$3</f>
        <v>4.2067408659682959E-4</v>
      </c>
      <c r="I52" s="45">
        <f>F52*(1-$B$3)*'Sheet1 select'!$B$41</f>
        <v>3.1733333333333329E-2</v>
      </c>
      <c r="J52" s="45">
        <f ca="1">F52*F52*('Sheet1 select'!$B$26)*(1-$B$3)</f>
        <v>0</v>
      </c>
      <c r="K52" s="45">
        <f>0.0000005*$B$10*F52*$B$8*((('Sheet1 select'!$B$33+0.5*'Sheet1 select'!$B$32)/(('Sheet1 select'!$B$10-'Sheet1 select'!$B$23)/('Sheet1 select'!$B$27+'Sheet1 select'!$B$8)))+(('Sheet1 select'!$B$33+0.5*'Sheet1 select'!$B$32)/(('Sheet1 select'!$B$23)/('Sheet1 select'!$B$27+'Sheet1 select'!$B$9))))</f>
        <v>1.8621373049944629E-3</v>
      </c>
      <c r="L52" s="45">
        <f>(F52*$B$28)*(('Sheet1 select'!$B$12+'Sheet1 select'!$B$13)*(0.000000001))*$B$8*1000</f>
        <v>0</v>
      </c>
      <c r="M52" s="45">
        <f t="shared" si="2"/>
        <v>3.6617357284970928E-5</v>
      </c>
      <c r="N52" s="46">
        <f>$B$10*'Sheet1 select'!$B$29*0.001</f>
        <v>1.2E-2</v>
      </c>
      <c r="O52" s="44">
        <f>'Sheet1 select'!$B$10*'Sheet1 select'!$B$31*$B$8*1000*0.000000001</f>
        <v>3.0000000000000001E-3</v>
      </c>
      <c r="P52" s="44">
        <f>'Sheet1 select'!$B$35*$B$10*$B$8*1000*0.000000001</f>
        <v>0</v>
      </c>
      <c r="Q52" s="47">
        <f>IF('Sheet1 select'!$B$17=0,0,(0.00000006*0.7+0.00000003*(0.7+F52*1.1*'Sheet1 select'!$B$26))*F52*$B$8*1000)</f>
        <v>0</v>
      </c>
      <c r="R52" s="45">
        <f t="shared" ca="1" si="3"/>
        <v>5.2751962082209586E-2</v>
      </c>
      <c r="S52" s="48">
        <f t="shared" ca="1" si="4"/>
        <v>0.92800843285044499</v>
      </c>
      <c r="T52" s="49">
        <f ca="1">H52+K52+O52+N52+'Sheet1 select'!$B$40*I52+J52+P52</f>
        <v>1.7282811391591293E-2</v>
      </c>
      <c r="U52" s="169">
        <f t="shared" ca="1" si="5"/>
        <v>5.2828113915912925E-3</v>
      </c>
      <c r="V52" s="47">
        <f t="shared" ca="1" si="6"/>
        <v>0</v>
      </c>
    </row>
    <row r="53" spans="5:22">
      <c r="E53" s="32">
        <v>52</v>
      </c>
      <c r="F53" s="45">
        <f t="shared" si="0"/>
        <v>0.13866666666666666</v>
      </c>
      <c r="G53" s="45">
        <f t="shared" si="1"/>
        <v>3.8456888888888886E-3</v>
      </c>
      <c r="H53" s="45">
        <f ca="1">F53*F53*('Sheet1 select'!$B$25)*$B$3</f>
        <v>4.3733284512027185E-4</v>
      </c>
      <c r="I53" s="45">
        <f>F53*(1-$B$3)*'Sheet1 select'!$B$41</f>
        <v>3.2355555555555547E-2</v>
      </c>
      <c r="J53" s="45">
        <f ca="1">F53*F53*('Sheet1 select'!$B$26)*(1-$B$3)</f>
        <v>0</v>
      </c>
      <c r="K53" s="45">
        <f>0.0000005*$B$10*F53*$B$8*((('Sheet1 select'!$B$33+0.5*'Sheet1 select'!$B$32)/(('Sheet1 select'!$B$10-'Sheet1 select'!$B$23)/('Sheet1 select'!$B$27+'Sheet1 select'!$B$8)))+(('Sheet1 select'!$B$33+0.5*'Sheet1 select'!$B$32)/(('Sheet1 select'!$B$23)/('Sheet1 select'!$B$27+'Sheet1 select'!$B$9))))</f>
        <v>1.8986498011708244E-3</v>
      </c>
      <c r="L53" s="45">
        <f>(F53*$B$28)*(('Sheet1 select'!$B$12+'Sheet1 select'!$B$13)*(0.000000001))*$B$8*1000</f>
        <v>0</v>
      </c>
      <c r="M53" s="45">
        <f t="shared" si="2"/>
        <v>3.6617357284970928E-5</v>
      </c>
      <c r="N53" s="46">
        <f>$B$10*'Sheet1 select'!$B$29*0.001</f>
        <v>1.2E-2</v>
      </c>
      <c r="O53" s="44">
        <f>'Sheet1 select'!$B$10*'Sheet1 select'!$B$31*$B$8*1000*0.000000001</f>
        <v>3.0000000000000001E-3</v>
      </c>
      <c r="P53" s="44">
        <f>'Sheet1 select'!$B$35*$B$10*$B$8*1000*0.000000001</f>
        <v>0</v>
      </c>
      <c r="Q53" s="47">
        <f>IF('Sheet1 select'!$B$17=0,0,(0.00000006*0.7+0.00000003*(0.7+F53*1.1*'Sheet1 select'!$B$26))*F53*$B$8*1000)</f>
        <v>0</v>
      </c>
      <c r="R53" s="45">
        <f t="shared" ca="1" si="3"/>
        <v>5.3573844448020505E-2</v>
      </c>
      <c r="S53" s="48">
        <f t="shared" ca="1" si="4"/>
        <v>0.92827241986459597</v>
      </c>
      <c r="T53" s="49">
        <f ca="1">H53+K53+O53+N53+'Sheet1 select'!$B$40*I53+J53+P53</f>
        <v>1.7335982646291097E-2</v>
      </c>
      <c r="U53" s="169">
        <f t="shared" ca="1" si="5"/>
        <v>5.3359826462910966E-3</v>
      </c>
      <c r="V53" s="47">
        <f t="shared" ca="1" si="6"/>
        <v>0</v>
      </c>
    </row>
    <row r="54" spans="5:22">
      <c r="E54" s="32">
        <v>53</v>
      </c>
      <c r="F54" s="45">
        <f t="shared" si="0"/>
        <v>0.14133333333333334</v>
      </c>
      <c r="G54" s="45">
        <f t="shared" si="1"/>
        <v>3.9950222222222232E-3</v>
      </c>
      <c r="H54" s="45">
        <f ca="1">F54*F54*('Sheet1 select'!$B$25)*$B$3</f>
        <v>4.5431507468300441E-4</v>
      </c>
      <c r="I54" s="45">
        <f>F54*(1-$B$3)*'Sheet1 select'!$B$41</f>
        <v>3.2977777777777773E-2</v>
      </c>
      <c r="J54" s="45">
        <f ca="1">F54*F54*('Sheet1 select'!$B$26)*(1-$B$3)</f>
        <v>0</v>
      </c>
      <c r="K54" s="45">
        <f>0.0000005*$B$10*F54*$B$8*((('Sheet1 select'!$B$33+0.5*'Sheet1 select'!$B$32)/(('Sheet1 select'!$B$10-'Sheet1 select'!$B$23)/('Sheet1 select'!$B$27+'Sheet1 select'!$B$8)))+(('Sheet1 select'!$B$33+0.5*'Sheet1 select'!$B$32)/(('Sheet1 select'!$B$23)/('Sheet1 select'!$B$27+'Sheet1 select'!$B$9))))</f>
        <v>1.9351622973471868E-3</v>
      </c>
      <c r="L54" s="45">
        <f>(F54*$B$28)*(('Sheet1 select'!$B$12+'Sheet1 select'!$B$13)*(0.000000001))*$B$8*1000</f>
        <v>0</v>
      </c>
      <c r="M54" s="45">
        <f t="shared" si="2"/>
        <v>3.6617357284970928E-5</v>
      </c>
      <c r="N54" s="46">
        <f>$B$10*'Sheet1 select'!$B$29*0.001</f>
        <v>1.2E-2</v>
      </c>
      <c r="O54" s="44">
        <f>'Sheet1 select'!$B$10*'Sheet1 select'!$B$31*$B$8*1000*0.000000001</f>
        <v>3.0000000000000001E-3</v>
      </c>
      <c r="P54" s="44">
        <f>'Sheet1 select'!$B$35*$B$10*$B$8*1000*0.000000001</f>
        <v>0</v>
      </c>
      <c r="Q54" s="47">
        <f>IF('Sheet1 select'!$B$17=0,0,(0.00000006*0.7+0.00000003*(0.7+F54*1.1*'Sheet1 select'!$B$26))*F54*$B$8*1000)</f>
        <v>0</v>
      </c>
      <c r="R54" s="45">
        <f t="shared" ca="1" si="3"/>
        <v>5.4398894729315153E-2</v>
      </c>
      <c r="S54" s="48">
        <f t="shared" ca="1" si="4"/>
        <v>0.92852272197215946</v>
      </c>
      <c r="T54" s="49">
        <f ca="1">H54+K54+O54+N54+'Sheet1 select'!$B$40*I54+J54+P54</f>
        <v>1.7389477372030192E-2</v>
      </c>
      <c r="U54" s="169">
        <f t="shared" ca="1" si="5"/>
        <v>5.3894773720301915E-3</v>
      </c>
      <c r="V54" s="47">
        <f t="shared" ca="1" si="6"/>
        <v>0</v>
      </c>
    </row>
    <row r="55" spans="5:22">
      <c r="E55" s="32">
        <v>54</v>
      </c>
      <c r="F55" s="45">
        <f t="shared" si="0"/>
        <v>0.14400000000000002</v>
      </c>
      <c r="G55" s="45">
        <f t="shared" si="1"/>
        <v>4.1472000000000011E-3</v>
      </c>
      <c r="H55" s="45">
        <f ca="1">F55*F55*('Sheet1 select'!$B$25)*$B$3</f>
        <v>4.7162077528502706E-4</v>
      </c>
      <c r="I55" s="45">
        <f>F55*(1-$B$3)*'Sheet1 select'!$B$41</f>
        <v>3.3600000000000005E-2</v>
      </c>
      <c r="J55" s="45">
        <f ca="1">F55*F55*('Sheet1 select'!$B$26)*(1-$B$3)</f>
        <v>0</v>
      </c>
      <c r="K55" s="45">
        <f>0.0000005*$B$10*F55*$B$8*((('Sheet1 select'!$B$33+0.5*'Sheet1 select'!$B$32)/(('Sheet1 select'!$B$10-'Sheet1 select'!$B$23)/('Sheet1 select'!$B$27+'Sheet1 select'!$B$8)))+(('Sheet1 select'!$B$33+0.5*'Sheet1 select'!$B$32)/(('Sheet1 select'!$B$23)/('Sheet1 select'!$B$27+'Sheet1 select'!$B$9))))</f>
        <v>1.971674793523549E-3</v>
      </c>
      <c r="L55" s="45">
        <f>(F55*$B$28)*(('Sheet1 select'!$B$12+'Sheet1 select'!$B$13)*(0.000000001))*$B$8*1000</f>
        <v>0</v>
      </c>
      <c r="M55" s="45">
        <f t="shared" si="2"/>
        <v>3.6617357284970928E-5</v>
      </c>
      <c r="N55" s="46">
        <f>$B$10*'Sheet1 select'!$B$29*0.001</f>
        <v>1.2E-2</v>
      </c>
      <c r="O55" s="44">
        <f>'Sheet1 select'!$B$10*'Sheet1 select'!$B$31*$B$8*1000*0.000000001</f>
        <v>3.0000000000000001E-3</v>
      </c>
      <c r="P55" s="44">
        <f>'Sheet1 select'!$B$35*$B$10*$B$8*1000*0.000000001</f>
        <v>0</v>
      </c>
      <c r="Q55" s="47">
        <f>IF('Sheet1 select'!$B$17=0,0,(0.00000006*0.7+0.00000003*(0.7+F55*1.1*'Sheet1 select'!$B$26))*F55*$B$8*1000)</f>
        <v>0</v>
      </c>
      <c r="R55" s="45">
        <f t="shared" ca="1" si="3"/>
        <v>5.5227112926093558E-2</v>
      </c>
      <c r="S55" s="48">
        <f t="shared" ca="1" si="4"/>
        <v>0.92876008590871006</v>
      </c>
      <c r="T55" s="49">
        <f ca="1">H55+K55+O55+N55+'Sheet1 select'!$B$40*I55+J55+P55</f>
        <v>1.7443295568808574E-2</v>
      </c>
      <c r="U55" s="169">
        <f t="shared" ca="1" si="5"/>
        <v>5.4432955688085757E-3</v>
      </c>
      <c r="V55" s="47">
        <f t="shared" ca="1" si="6"/>
        <v>0</v>
      </c>
    </row>
    <row r="56" spans="5:22">
      <c r="E56" s="32">
        <v>55</v>
      </c>
      <c r="F56" s="45">
        <f t="shared" si="0"/>
        <v>0.14666666666666667</v>
      </c>
      <c r="G56" s="45">
        <f t="shared" si="1"/>
        <v>4.3022222222222229E-3</v>
      </c>
      <c r="H56" s="45">
        <f ca="1">F56*F56*('Sheet1 select'!$B$25)*$B$3</f>
        <v>4.8924994692633962E-4</v>
      </c>
      <c r="I56" s="45">
        <f>F56*(1-$B$3)*'Sheet1 select'!$B$41</f>
        <v>3.4222222222222223E-2</v>
      </c>
      <c r="J56" s="45">
        <f ca="1">F56*F56*('Sheet1 select'!$B$26)*(1-$B$3)</f>
        <v>0</v>
      </c>
      <c r="K56" s="45">
        <f>0.0000005*$B$10*F56*$B$8*((('Sheet1 select'!$B$33+0.5*'Sheet1 select'!$B$32)/(('Sheet1 select'!$B$10-'Sheet1 select'!$B$23)/('Sheet1 select'!$B$27+'Sheet1 select'!$B$8)))+(('Sheet1 select'!$B$33+0.5*'Sheet1 select'!$B$32)/(('Sheet1 select'!$B$23)/('Sheet1 select'!$B$27+'Sheet1 select'!$B$9))))</f>
        <v>2.0081872896999106E-3</v>
      </c>
      <c r="L56" s="45">
        <f>(F56*$B$28)*(('Sheet1 select'!$B$12+'Sheet1 select'!$B$13)*(0.000000001))*$B$8*1000</f>
        <v>0</v>
      </c>
      <c r="M56" s="45">
        <f t="shared" si="2"/>
        <v>3.6617357284970928E-5</v>
      </c>
      <c r="N56" s="46">
        <f>$B$10*'Sheet1 select'!$B$29*0.001</f>
        <v>1.2E-2</v>
      </c>
      <c r="O56" s="44">
        <f>'Sheet1 select'!$B$10*'Sheet1 select'!$B$31*$B$8*1000*0.000000001</f>
        <v>3.0000000000000001E-3</v>
      </c>
      <c r="P56" s="44">
        <f>'Sheet1 select'!$B$35*$B$10*$B$8*1000*0.000000001</f>
        <v>0</v>
      </c>
      <c r="Q56" s="47">
        <f>IF('Sheet1 select'!$B$17=0,0,(0.00000006*0.7+0.00000003*(0.7+F56*1.1*'Sheet1 select'!$B$26))*F56*$B$8*1000)</f>
        <v>0</v>
      </c>
      <c r="R56" s="45">
        <f t="shared" ca="1" si="3"/>
        <v>5.6058499038355664E-2</v>
      </c>
      <c r="S56" s="48">
        <f t="shared" ca="1" si="4"/>
        <v>0.92898520514212735</v>
      </c>
      <c r="T56" s="49">
        <f ca="1">H56+K56+O56+N56+'Sheet1 select'!$B$40*I56+J56+P56</f>
        <v>1.7497437236626251E-2</v>
      </c>
      <c r="U56" s="169">
        <f t="shared" ca="1" si="5"/>
        <v>5.4974372366262507E-3</v>
      </c>
      <c r="V56" s="47">
        <f t="shared" ca="1" si="6"/>
        <v>0</v>
      </c>
    </row>
    <row r="57" spans="5:22">
      <c r="E57" s="32">
        <v>56</v>
      </c>
      <c r="F57" s="45">
        <f t="shared" si="0"/>
        <v>0.14933333333333335</v>
      </c>
      <c r="G57" s="45">
        <f t="shared" si="1"/>
        <v>4.4600888888888897E-3</v>
      </c>
      <c r="H57" s="45">
        <f ca="1">F57*F57*('Sheet1 select'!$B$25)*$B$3</f>
        <v>5.072025896069427E-4</v>
      </c>
      <c r="I57" s="45">
        <f>F57*(1-$B$3)*'Sheet1 select'!$B$41</f>
        <v>3.4844444444444449E-2</v>
      </c>
      <c r="J57" s="45">
        <f ca="1">F57*F57*('Sheet1 select'!$B$26)*(1-$B$3)</f>
        <v>0</v>
      </c>
      <c r="K57" s="45">
        <f>0.0000005*$B$10*F57*$B$8*((('Sheet1 select'!$B$33+0.5*'Sheet1 select'!$B$32)/(('Sheet1 select'!$B$10-'Sheet1 select'!$B$23)/('Sheet1 select'!$B$27+'Sheet1 select'!$B$8)))+(('Sheet1 select'!$B$33+0.5*'Sheet1 select'!$B$32)/(('Sheet1 select'!$B$23)/('Sheet1 select'!$B$27+'Sheet1 select'!$B$9))))</f>
        <v>2.044699785876273E-3</v>
      </c>
      <c r="L57" s="45">
        <f>(F57*$B$28)*(('Sheet1 select'!$B$12+'Sheet1 select'!$B$13)*(0.000000001))*$B$8*1000</f>
        <v>0</v>
      </c>
      <c r="M57" s="45">
        <f t="shared" si="2"/>
        <v>3.6617357284970928E-5</v>
      </c>
      <c r="N57" s="46">
        <f>$B$10*'Sheet1 select'!$B$29*0.001</f>
        <v>1.2E-2</v>
      </c>
      <c r="O57" s="44">
        <f>'Sheet1 select'!$B$10*'Sheet1 select'!$B$31*$B$8*1000*0.000000001</f>
        <v>3.0000000000000001E-3</v>
      </c>
      <c r="P57" s="44">
        <f>'Sheet1 select'!$B$35*$B$10*$B$8*1000*0.000000001</f>
        <v>0</v>
      </c>
      <c r="Q57" s="47">
        <f>IF('Sheet1 select'!$B$17=0,0,(0.00000006*0.7+0.00000003*(0.7+F57*1.1*'Sheet1 select'!$B$26))*F57*$B$8*1000)</f>
        <v>0</v>
      </c>
      <c r="R57" s="45">
        <f t="shared" ca="1" si="3"/>
        <v>5.6893053066101526E-2</v>
      </c>
      <c r="S57" s="48">
        <f t="shared" ca="1" si="4"/>
        <v>0.92919872453907737</v>
      </c>
      <c r="T57" s="49">
        <f ca="1">H57+K57+O57+N57+'Sheet1 select'!$B$40*I57+J57+P57</f>
        <v>1.7551902375483215E-2</v>
      </c>
      <c r="U57" s="169">
        <f t="shared" ca="1" si="5"/>
        <v>5.5519023754832158E-3</v>
      </c>
      <c r="V57" s="47">
        <f t="shared" ca="1" si="6"/>
        <v>0</v>
      </c>
    </row>
    <row r="58" spans="5:22">
      <c r="E58" s="32">
        <v>57</v>
      </c>
      <c r="F58" s="45">
        <f t="shared" si="0"/>
        <v>0.152</v>
      </c>
      <c r="G58" s="45">
        <f t="shared" si="1"/>
        <v>4.6208000000000004E-3</v>
      </c>
      <c r="H58" s="45">
        <f ca="1">F58*F58*('Sheet1 select'!$B$25)*$B$3</f>
        <v>5.2547870332683559E-4</v>
      </c>
      <c r="I58" s="45">
        <f>F58*(1-$B$3)*'Sheet1 select'!$B$41</f>
        <v>3.5466666666666667E-2</v>
      </c>
      <c r="J58" s="45">
        <f ca="1">F58*F58*('Sheet1 select'!$B$26)*(1-$B$3)</f>
        <v>0</v>
      </c>
      <c r="K58" s="45">
        <f>0.0000005*$B$10*F58*$B$8*((('Sheet1 select'!$B$33+0.5*'Sheet1 select'!$B$32)/(('Sheet1 select'!$B$10-'Sheet1 select'!$B$23)/('Sheet1 select'!$B$27+'Sheet1 select'!$B$8)))+(('Sheet1 select'!$B$33+0.5*'Sheet1 select'!$B$32)/(('Sheet1 select'!$B$23)/('Sheet1 select'!$B$27+'Sheet1 select'!$B$9))))</f>
        <v>2.081212282052635E-3</v>
      </c>
      <c r="L58" s="45">
        <f>(F58*$B$28)*(('Sheet1 select'!$B$12+'Sheet1 select'!$B$13)*(0.000000001))*$B$8*1000</f>
        <v>0</v>
      </c>
      <c r="M58" s="45">
        <f t="shared" si="2"/>
        <v>3.6617357284970928E-5</v>
      </c>
      <c r="N58" s="46">
        <f>$B$10*'Sheet1 select'!$B$29*0.001</f>
        <v>1.2E-2</v>
      </c>
      <c r="O58" s="44">
        <f>'Sheet1 select'!$B$10*'Sheet1 select'!$B$31*$B$8*1000*0.000000001</f>
        <v>3.0000000000000001E-3</v>
      </c>
      <c r="P58" s="44">
        <f>'Sheet1 select'!$B$35*$B$10*$B$8*1000*0.000000001</f>
        <v>0</v>
      </c>
      <c r="Q58" s="47">
        <f>IF('Sheet1 select'!$B$17=0,0,(0.00000006*0.7+0.00000003*(0.7+F58*1.1*'Sheet1 select'!$B$26))*F58*$B$8*1000)</f>
        <v>0</v>
      </c>
      <c r="R58" s="45">
        <f t="shared" ca="1" si="3"/>
        <v>5.7730775009331117E-2</v>
      </c>
      <c r="S58" s="48">
        <f t="shared" ca="1" si="4"/>
        <v>0.92940124454937834</v>
      </c>
      <c r="T58" s="49">
        <f ca="1">H58+K58+O58+N58+'Sheet1 select'!$B$40*I58+J58+P58</f>
        <v>1.760669098537947E-2</v>
      </c>
      <c r="U58" s="169">
        <f t="shared" ca="1" si="5"/>
        <v>5.6066909853794708E-3</v>
      </c>
      <c r="V58" s="47">
        <f t="shared" ca="1" si="6"/>
        <v>0</v>
      </c>
    </row>
    <row r="59" spans="5:22">
      <c r="E59" s="32">
        <v>58</v>
      </c>
      <c r="F59" s="45">
        <f t="shared" si="0"/>
        <v>0.15466666666666667</v>
      </c>
      <c r="G59" s="45">
        <f t="shared" si="1"/>
        <v>4.7843555555555561E-3</v>
      </c>
      <c r="H59" s="45">
        <f ca="1">F59*F59*('Sheet1 select'!$B$25)*$B$3</f>
        <v>5.4407828808601883E-4</v>
      </c>
      <c r="I59" s="45">
        <f>F59*(1-$B$3)*'Sheet1 select'!$B$41</f>
        <v>3.6088888888888886E-2</v>
      </c>
      <c r="J59" s="45">
        <f ca="1">F59*F59*('Sheet1 select'!$B$26)*(1-$B$3)</f>
        <v>0</v>
      </c>
      <c r="K59" s="45">
        <f>0.0000005*$B$10*F59*$B$8*((('Sheet1 select'!$B$33+0.5*'Sheet1 select'!$B$32)/(('Sheet1 select'!$B$10-'Sheet1 select'!$B$23)/('Sheet1 select'!$B$27+'Sheet1 select'!$B$8)))+(('Sheet1 select'!$B$33+0.5*'Sheet1 select'!$B$32)/(('Sheet1 select'!$B$23)/('Sheet1 select'!$B$27+'Sheet1 select'!$B$9))))</f>
        <v>2.117724778228997E-3</v>
      </c>
      <c r="L59" s="45">
        <f>(F59*$B$28)*(('Sheet1 select'!$B$12+'Sheet1 select'!$B$13)*(0.000000001))*$B$8*1000</f>
        <v>0</v>
      </c>
      <c r="M59" s="45">
        <f t="shared" si="2"/>
        <v>3.6617357284970928E-5</v>
      </c>
      <c r="N59" s="46">
        <f>$B$10*'Sheet1 select'!$B$29*0.001</f>
        <v>1.2E-2</v>
      </c>
      <c r="O59" s="44">
        <f>'Sheet1 select'!$B$10*'Sheet1 select'!$B$31*$B$8*1000*0.000000001</f>
        <v>3.0000000000000001E-3</v>
      </c>
      <c r="P59" s="44">
        <f>'Sheet1 select'!$B$35*$B$10*$B$8*1000*0.000000001</f>
        <v>0</v>
      </c>
      <c r="Q59" s="47">
        <f>IF('Sheet1 select'!$B$17=0,0,(0.00000006*0.7+0.00000003*(0.7+F59*1.1*'Sheet1 select'!$B$26))*F59*$B$8*1000)</f>
        <v>0</v>
      </c>
      <c r="R59" s="45">
        <f t="shared" ca="1" si="3"/>
        <v>5.8571664868044424E-2</v>
      </c>
      <c r="S59" s="48">
        <f t="shared" ca="1" si="4"/>
        <v>0.92959332496537528</v>
      </c>
      <c r="T59" s="49">
        <f ca="1">H59+K59+O59+N59+'Sheet1 select'!$B$40*I59+J59+P59</f>
        <v>1.7661803066315016E-2</v>
      </c>
      <c r="U59" s="169">
        <f t="shared" ca="1" si="5"/>
        <v>5.661803066315016E-3</v>
      </c>
      <c r="V59" s="47">
        <f t="shared" ca="1" si="6"/>
        <v>0</v>
      </c>
    </row>
    <row r="60" spans="5:22">
      <c r="E60" s="32">
        <v>59</v>
      </c>
      <c r="F60" s="45">
        <f t="shared" si="0"/>
        <v>0.15733333333333335</v>
      </c>
      <c r="G60" s="45">
        <f t="shared" si="1"/>
        <v>4.9507555555555575E-3</v>
      </c>
      <c r="H60" s="45">
        <f ca="1">F60*F60*('Sheet1 select'!$B$25)*$B$3</f>
        <v>5.630013438844921E-4</v>
      </c>
      <c r="I60" s="45">
        <f>F60*(1-$B$3)*'Sheet1 select'!$B$41</f>
        <v>3.6711111111111111E-2</v>
      </c>
      <c r="J60" s="45">
        <f ca="1">F60*F60*('Sheet1 select'!$B$26)*(1-$B$3)</f>
        <v>0</v>
      </c>
      <c r="K60" s="45">
        <f>0.0000005*$B$10*F60*$B$8*((('Sheet1 select'!$B$33+0.5*'Sheet1 select'!$B$32)/(('Sheet1 select'!$B$10-'Sheet1 select'!$B$23)/('Sheet1 select'!$B$27+'Sheet1 select'!$B$8)))+(('Sheet1 select'!$B$33+0.5*'Sheet1 select'!$B$32)/(('Sheet1 select'!$B$23)/('Sheet1 select'!$B$27+'Sheet1 select'!$B$9))))</f>
        <v>2.1542372744053589E-3</v>
      </c>
      <c r="L60" s="45">
        <f>(F60*$B$28)*(('Sheet1 select'!$B$12+'Sheet1 select'!$B$13)*(0.000000001))*$B$8*1000</f>
        <v>0</v>
      </c>
      <c r="M60" s="45">
        <f t="shared" si="2"/>
        <v>3.6617357284970928E-5</v>
      </c>
      <c r="N60" s="46">
        <f>$B$10*'Sheet1 select'!$B$29*0.001</f>
        <v>1.2E-2</v>
      </c>
      <c r="O60" s="44">
        <f>'Sheet1 select'!$B$10*'Sheet1 select'!$B$31*$B$8*1000*0.000000001</f>
        <v>3.0000000000000001E-3</v>
      </c>
      <c r="P60" s="44">
        <f>'Sheet1 select'!$B$35*$B$10*$B$8*1000*0.000000001</f>
        <v>0</v>
      </c>
      <c r="Q60" s="47">
        <f>IF('Sheet1 select'!$B$17=0,0,(0.00000006*0.7+0.00000003*(0.7+F60*1.1*'Sheet1 select'!$B$26))*F60*$B$8*1000)</f>
        <v>0</v>
      </c>
      <c r="R60" s="45">
        <f t="shared" ca="1" si="3"/>
        <v>5.9415722642241486E-2</v>
      </c>
      <c r="S60" s="48">
        <f t="shared" ca="1" si="4"/>
        <v>0.92977548830584567</v>
      </c>
      <c r="T60" s="49">
        <f ca="1">H60+K60+O60+N60+'Sheet1 select'!$B$40*I60+J60+P60</f>
        <v>1.7717238618289853E-2</v>
      </c>
      <c r="U60" s="169">
        <f t="shared" ca="1" si="5"/>
        <v>5.7172386182898511E-3</v>
      </c>
      <c r="V60" s="47">
        <f t="shared" ca="1" si="6"/>
        <v>0</v>
      </c>
    </row>
    <row r="61" spans="5:22">
      <c r="E61" s="32">
        <v>60</v>
      </c>
      <c r="F61" s="45">
        <f t="shared" si="0"/>
        <v>0.16</v>
      </c>
      <c r="G61" s="45">
        <f t="shared" si="1"/>
        <v>5.1200000000000004E-3</v>
      </c>
      <c r="H61" s="45">
        <f ca="1">F61*F61*('Sheet1 select'!$B$25)*$B$3</f>
        <v>5.8224787072225551E-4</v>
      </c>
      <c r="I61" s="45">
        <f>F61*(1-$B$3)*'Sheet1 select'!$B$41</f>
        <v>3.7333333333333329E-2</v>
      </c>
      <c r="J61" s="45">
        <f ca="1">F61*F61*('Sheet1 select'!$B$26)*(1-$B$3)</f>
        <v>0</v>
      </c>
      <c r="K61" s="45">
        <f>0.0000005*$B$10*F61*$B$8*((('Sheet1 select'!$B$33+0.5*'Sheet1 select'!$B$32)/(('Sheet1 select'!$B$10-'Sheet1 select'!$B$23)/('Sheet1 select'!$B$27+'Sheet1 select'!$B$8)))+(('Sheet1 select'!$B$33+0.5*'Sheet1 select'!$B$32)/(('Sheet1 select'!$B$23)/('Sheet1 select'!$B$27+'Sheet1 select'!$B$9))))</f>
        <v>2.1907497705817213E-3</v>
      </c>
      <c r="L61" s="45">
        <f>(F61*$B$28)*(('Sheet1 select'!$B$12+'Sheet1 select'!$B$13)*(0.000000001))*$B$8*1000</f>
        <v>0</v>
      </c>
      <c r="M61" s="45">
        <f t="shared" si="2"/>
        <v>3.6617357284970928E-5</v>
      </c>
      <c r="N61" s="46">
        <f>$B$10*'Sheet1 select'!$B$29*0.001</f>
        <v>1.2E-2</v>
      </c>
      <c r="O61" s="44">
        <f>'Sheet1 select'!$B$10*'Sheet1 select'!$B$31*$B$8*1000*0.000000001</f>
        <v>3.0000000000000001E-3</v>
      </c>
      <c r="P61" s="44">
        <f>'Sheet1 select'!$B$35*$B$10*$B$8*1000*0.000000001</f>
        <v>0</v>
      </c>
      <c r="Q61" s="47">
        <f>IF('Sheet1 select'!$B$17=0,0,(0.00000006*0.7+0.00000003*(0.7+F61*1.1*'Sheet1 select'!$B$26))*F61*$B$8*1000)</f>
        <v>0</v>
      </c>
      <c r="R61" s="45">
        <f t="shared" ca="1" si="3"/>
        <v>6.0262948331922278E-2</v>
      </c>
      <c r="S61" s="48">
        <f t="shared" ca="1" si="4"/>
        <v>0.92994822286746859</v>
      </c>
      <c r="T61" s="49">
        <f ca="1">H61+K61+O61+N61+'Sheet1 select'!$B$40*I61+J61+P61</f>
        <v>1.7772997641303977E-2</v>
      </c>
      <c r="U61" s="169">
        <f t="shared" ca="1" si="5"/>
        <v>5.7729976413039771E-3</v>
      </c>
      <c r="V61" s="47">
        <f t="shared" ca="1" si="6"/>
        <v>0</v>
      </c>
    </row>
    <row r="62" spans="5:22">
      <c r="E62" s="32">
        <v>61</v>
      </c>
      <c r="F62" s="45">
        <f t="shared" si="0"/>
        <v>0.16266666666666668</v>
      </c>
      <c r="G62" s="45">
        <f t="shared" si="1"/>
        <v>5.2920888888888899E-3</v>
      </c>
      <c r="H62" s="45">
        <f ca="1">F62*F62*('Sheet1 select'!$B$25)*$B$3</f>
        <v>6.0181786859930917E-4</v>
      </c>
      <c r="I62" s="45">
        <f>F62*(1-$B$3)*'Sheet1 select'!$B$41</f>
        <v>3.7955555555555555E-2</v>
      </c>
      <c r="J62" s="45">
        <f ca="1">F62*F62*('Sheet1 select'!$B$26)*(1-$B$3)</f>
        <v>0</v>
      </c>
      <c r="K62" s="45">
        <f>0.0000005*$B$10*F62*$B$8*((('Sheet1 select'!$B$33+0.5*'Sheet1 select'!$B$32)/(('Sheet1 select'!$B$10-'Sheet1 select'!$B$23)/('Sheet1 select'!$B$27+'Sheet1 select'!$B$8)))+(('Sheet1 select'!$B$33+0.5*'Sheet1 select'!$B$32)/(('Sheet1 select'!$B$23)/('Sheet1 select'!$B$27+'Sheet1 select'!$B$9))))</f>
        <v>2.2272622667580829E-3</v>
      </c>
      <c r="L62" s="45">
        <f>(F62*$B$28)*(('Sheet1 select'!$B$12+'Sheet1 select'!$B$13)*(0.000000001))*$B$8*1000</f>
        <v>0</v>
      </c>
      <c r="M62" s="45">
        <f t="shared" si="2"/>
        <v>3.6617357284970928E-5</v>
      </c>
      <c r="N62" s="46">
        <f>$B$10*'Sheet1 select'!$B$29*0.001</f>
        <v>1.2E-2</v>
      </c>
      <c r="O62" s="44">
        <f>'Sheet1 select'!$B$10*'Sheet1 select'!$B$31*$B$8*1000*0.000000001</f>
        <v>3.0000000000000001E-3</v>
      </c>
      <c r="P62" s="44">
        <f>'Sheet1 select'!$B$35*$B$10*$B$8*1000*0.000000001</f>
        <v>0</v>
      </c>
      <c r="Q62" s="47">
        <f>IF('Sheet1 select'!$B$17=0,0,(0.00000006*0.7+0.00000003*(0.7+F62*1.1*'Sheet1 select'!$B$26))*F62*$B$8*1000)</f>
        <v>0</v>
      </c>
      <c r="R62" s="45">
        <f t="shared" ca="1" si="3"/>
        <v>6.1113341937086813E-2</v>
      </c>
      <c r="S62" s="48">
        <f t="shared" ca="1" si="4"/>
        <v>0.93011198548134721</v>
      </c>
      <c r="T62" s="49">
        <f ca="1">H62+K62+O62+N62+'Sheet1 select'!$B$40*I62+J62+P62</f>
        <v>1.7829080135357393E-2</v>
      </c>
      <c r="U62" s="169">
        <f t="shared" ca="1" si="5"/>
        <v>5.8290801353573923E-3</v>
      </c>
      <c r="V62" s="47">
        <f t="shared" ca="1" si="6"/>
        <v>0</v>
      </c>
    </row>
    <row r="63" spans="5:22">
      <c r="E63" s="32">
        <v>62</v>
      </c>
      <c r="F63" s="45">
        <f t="shared" si="0"/>
        <v>0.16533333333333333</v>
      </c>
      <c r="G63" s="45">
        <f t="shared" si="1"/>
        <v>5.4670222222222217E-3</v>
      </c>
      <c r="H63" s="45">
        <f ca="1">F63*F63*('Sheet1 select'!$B$25)*$B$3</f>
        <v>6.2171133751565285E-4</v>
      </c>
      <c r="I63" s="45">
        <f>F63*(1-$B$3)*'Sheet1 select'!$B$41</f>
        <v>3.8577777777777773E-2</v>
      </c>
      <c r="J63" s="45">
        <f ca="1">F63*F63*('Sheet1 select'!$B$26)*(1-$B$3)</f>
        <v>0</v>
      </c>
      <c r="K63" s="45">
        <f>0.0000005*$B$10*F63*$B$8*((('Sheet1 select'!$B$33+0.5*'Sheet1 select'!$B$32)/(('Sheet1 select'!$B$10-'Sheet1 select'!$B$23)/('Sheet1 select'!$B$27+'Sheet1 select'!$B$8)))+(('Sheet1 select'!$B$33+0.5*'Sheet1 select'!$B$32)/(('Sheet1 select'!$B$23)/('Sheet1 select'!$B$27+'Sheet1 select'!$B$9))))</f>
        <v>2.2637747629344449E-3</v>
      </c>
      <c r="L63" s="45">
        <f>(F63*$B$28)*(('Sheet1 select'!$B$12+'Sheet1 select'!$B$13)*(0.000000001))*$B$8*1000</f>
        <v>0</v>
      </c>
      <c r="M63" s="45">
        <f t="shared" si="2"/>
        <v>3.6617357284970928E-5</v>
      </c>
      <c r="N63" s="46">
        <f>$B$10*'Sheet1 select'!$B$29*0.001</f>
        <v>1.2E-2</v>
      </c>
      <c r="O63" s="44">
        <f>'Sheet1 select'!$B$10*'Sheet1 select'!$B$31*$B$8*1000*0.000000001</f>
        <v>3.0000000000000001E-3</v>
      </c>
      <c r="P63" s="44">
        <f>'Sheet1 select'!$B$35*$B$10*$B$8*1000*0.000000001</f>
        <v>0</v>
      </c>
      <c r="Q63" s="47">
        <f>IF('Sheet1 select'!$B$17=0,0,(0.00000006*0.7+0.00000003*(0.7+F63*1.1*'Sheet1 select'!$B$26))*F63*$B$8*1000)</f>
        <v>0</v>
      </c>
      <c r="R63" s="45">
        <f t="shared" ca="1" si="3"/>
        <v>6.1966903457735062E-2</v>
      </c>
      <c r="S63" s="48">
        <f t="shared" ca="1" si="4"/>
        <v>0.93026720400731633</v>
      </c>
      <c r="T63" s="49">
        <f ca="1">H63+K63+O63+N63+'Sheet1 select'!$B$40*I63+J63+P63</f>
        <v>1.7885486100450099E-2</v>
      </c>
      <c r="U63" s="169">
        <f t="shared" ca="1" si="5"/>
        <v>5.8854861004500976E-3</v>
      </c>
      <c r="V63" s="47">
        <f t="shared" ca="1" si="6"/>
        <v>0</v>
      </c>
    </row>
    <row r="64" spans="5:22">
      <c r="E64" s="32">
        <v>63</v>
      </c>
      <c r="F64" s="45">
        <f t="shared" si="0"/>
        <v>0.16800000000000001</v>
      </c>
      <c r="G64" s="45">
        <f t="shared" si="1"/>
        <v>5.644800000000001E-3</v>
      </c>
      <c r="H64" s="45">
        <f ca="1">F64*F64*('Sheet1 select'!$B$25)*$B$3</f>
        <v>6.4192827747128667E-4</v>
      </c>
      <c r="I64" s="45">
        <f>F64*(1-$B$3)*'Sheet1 select'!$B$41</f>
        <v>3.9199999999999999E-2</v>
      </c>
      <c r="J64" s="45">
        <f ca="1">F64*F64*('Sheet1 select'!$B$26)*(1-$B$3)</f>
        <v>0</v>
      </c>
      <c r="K64" s="45">
        <f>0.0000005*$B$10*F64*$B$8*((('Sheet1 select'!$B$33+0.5*'Sheet1 select'!$B$32)/(('Sheet1 select'!$B$10-'Sheet1 select'!$B$23)/('Sheet1 select'!$B$27+'Sheet1 select'!$B$8)))+(('Sheet1 select'!$B$33+0.5*'Sheet1 select'!$B$32)/(('Sheet1 select'!$B$23)/('Sheet1 select'!$B$27+'Sheet1 select'!$B$9))))</f>
        <v>2.3002872591108073E-3</v>
      </c>
      <c r="L64" s="45">
        <f>(F64*$B$28)*(('Sheet1 select'!$B$12+'Sheet1 select'!$B$13)*(0.000000001))*$B$8*1000</f>
        <v>0</v>
      </c>
      <c r="M64" s="45">
        <f t="shared" si="2"/>
        <v>3.6617357284970928E-5</v>
      </c>
      <c r="N64" s="46">
        <f>$B$10*'Sheet1 select'!$B$29*0.001</f>
        <v>1.2E-2</v>
      </c>
      <c r="O64" s="44">
        <f>'Sheet1 select'!$B$10*'Sheet1 select'!$B$31*$B$8*1000*0.000000001</f>
        <v>3.0000000000000001E-3</v>
      </c>
      <c r="P64" s="44">
        <f>'Sheet1 select'!$B$35*$B$10*$B$8*1000*0.000000001</f>
        <v>0</v>
      </c>
      <c r="Q64" s="47">
        <f>IF('Sheet1 select'!$B$17=0,0,(0.00000006*0.7+0.00000003*(0.7+F64*1.1*'Sheet1 select'!$B$26))*F64*$B$8*1000)</f>
        <v>0</v>
      </c>
      <c r="R64" s="45">
        <f t="shared" ca="1" si="3"/>
        <v>6.2823632893867068E-2</v>
      </c>
      <c r="S64" s="48">
        <f t="shared" ca="1" si="4"/>
        <v>0.93041427959468093</v>
      </c>
      <c r="T64" s="49">
        <f ca="1">H64+K64+O64+N64+'Sheet1 select'!$B$40*I64+J64+P64</f>
        <v>1.7942215536582096E-2</v>
      </c>
      <c r="U64" s="169">
        <f t="shared" ca="1" si="5"/>
        <v>5.9422155365820937E-3</v>
      </c>
      <c r="V64" s="47">
        <f t="shared" ca="1" si="6"/>
        <v>0</v>
      </c>
    </row>
    <row r="65" spans="5:22">
      <c r="E65" s="32">
        <v>64</v>
      </c>
      <c r="F65" s="45">
        <f t="shared" si="0"/>
        <v>0.17066666666666669</v>
      </c>
      <c r="G65" s="45">
        <f t="shared" si="1"/>
        <v>5.8254222222222235E-3</v>
      </c>
      <c r="H65" s="45">
        <f ca="1">F65*F65*('Sheet1 select'!$B$25)*$B$3</f>
        <v>6.6246868846621084E-4</v>
      </c>
      <c r="I65" s="45">
        <f>F65*(1-$B$3)*'Sheet1 select'!$B$41</f>
        <v>3.9822222222222224E-2</v>
      </c>
      <c r="J65" s="45">
        <f ca="1">F65*F65*('Sheet1 select'!$B$26)*(1-$B$3)</f>
        <v>0</v>
      </c>
      <c r="K65" s="45">
        <f>0.0000005*$B$10*F65*$B$8*((('Sheet1 select'!$B$33+0.5*'Sheet1 select'!$B$32)/(('Sheet1 select'!$B$10-'Sheet1 select'!$B$23)/('Sheet1 select'!$B$27+'Sheet1 select'!$B$8)))+(('Sheet1 select'!$B$33+0.5*'Sheet1 select'!$B$32)/(('Sheet1 select'!$B$23)/('Sheet1 select'!$B$27+'Sheet1 select'!$B$9))))</f>
        <v>2.3367997552871693E-3</v>
      </c>
      <c r="L65" s="45">
        <f>(F65*$B$28)*(('Sheet1 select'!$B$12+'Sheet1 select'!$B$13)*(0.000000001))*$B$8*1000</f>
        <v>0</v>
      </c>
      <c r="M65" s="45">
        <f t="shared" si="2"/>
        <v>3.6617357284970928E-5</v>
      </c>
      <c r="N65" s="46">
        <f>$B$10*'Sheet1 select'!$B$29*0.001</f>
        <v>1.2E-2</v>
      </c>
      <c r="O65" s="44">
        <f>'Sheet1 select'!$B$10*'Sheet1 select'!$B$31*$B$8*1000*0.000000001</f>
        <v>3.0000000000000001E-3</v>
      </c>
      <c r="P65" s="44">
        <f>'Sheet1 select'!$B$35*$B$10*$B$8*1000*0.000000001</f>
        <v>0</v>
      </c>
      <c r="Q65" s="47">
        <f>IF('Sheet1 select'!$B$17=0,0,(0.00000006*0.7+0.00000003*(0.7+F65*1.1*'Sheet1 select'!$B$26))*F65*$B$8*1000)</f>
        <v>0</v>
      </c>
      <c r="R65" s="45">
        <f t="shared" ca="1" si="3"/>
        <v>6.3683530245482789E-2</v>
      </c>
      <c r="S65" s="48">
        <f t="shared" ca="1" si="4"/>
        <v>0.93055358873451155</v>
      </c>
      <c r="T65" s="49">
        <f ca="1">H65+K65+O65+N65+'Sheet1 select'!$B$40*I65+J65+P65</f>
        <v>1.799926844375338E-2</v>
      </c>
      <c r="U65" s="169">
        <f t="shared" ca="1" si="5"/>
        <v>5.9992684437533798E-3</v>
      </c>
      <c r="V65" s="47">
        <f t="shared" ca="1" si="6"/>
        <v>0</v>
      </c>
    </row>
    <row r="66" spans="5:22">
      <c r="E66" s="32">
        <v>65</v>
      </c>
      <c r="F66" s="45">
        <f t="shared" ref="F66:F129" si="7">$B$12*E66/300</f>
        <v>0.17333333333333334</v>
      </c>
      <c r="G66" s="45">
        <f t="shared" ref="G66:G129" si="8">F66*F66*$B$14*0.001*2</f>
        <v>6.0088888888888891E-3</v>
      </c>
      <c r="H66" s="45">
        <f ca="1">F66*F66*('Sheet1 select'!$B$25)*$B$3</f>
        <v>6.8333257050042493E-4</v>
      </c>
      <c r="I66" s="45">
        <f>F66*(1-$B$3)*'Sheet1 select'!$B$41</f>
        <v>4.0444444444444443E-2</v>
      </c>
      <c r="J66" s="45">
        <f ca="1">F66*F66*('Sheet1 select'!$B$26)*(1-$B$3)</f>
        <v>0</v>
      </c>
      <c r="K66" s="45">
        <f>0.0000005*$B$10*F66*$B$8*((('Sheet1 select'!$B$33+0.5*'Sheet1 select'!$B$32)/(('Sheet1 select'!$B$10-'Sheet1 select'!$B$23)/('Sheet1 select'!$B$27+'Sheet1 select'!$B$8)))+(('Sheet1 select'!$B$33+0.5*'Sheet1 select'!$B$32)/(('Sheet1 select'!$B$23)/('Sheet1 select'!$B$27+'Sheet1 select'!$B$9))))</f>
        <v>2.3733122514635308E-3</v>
      </c>
      <c r="L66" s="45">
        <f>(F66*$B$28)*(('Sheet1 select'!$B$12+'Sheet1 select'!$B$13)*(0.000000001))*$B$8*1000</f>
        <v>0</v>
      </c>
      <c r="M66" s="45">
        <f t="shared" ref="M66:M129" si="9">($B$2^2)*$B$16*0.001</f>
        <v>3.6617357284970928E-5</v>
      </c>
      <c r="N66" s="46">
        <f>$B$10*'Sheet1 select'!$B$29*0.001</f>
        <v>1.2E-2</v>
      </c>
      <c r="O66" s="44">
        <f>'Sheet1 select'!$B$10*'Sheet1 select'!$B$31*$B$8*1000*0.000000001</f>
        <v>3.0000000000000001E-3</v>
      </c>
      <c r="P66" s="44">
        <f>'Sheet1 select'!$B$35*$B$10*$B$8*1000*0.000000001</f>
        <v>0</v>
      </c>
      <c r="Q66" s="47">
        <f>IF('Sheet1 select'!$B$17=0,0,(0.00000006*0.7+0.00000003*(0.7+F66*1.1*'Sheet1 select'!$B$26))*F66*$B$8*1000)</f>
        <v>0</v>
      </c>
      <c r="R66" s="45">
        <f t="shared" ref="R66:R129" ca="1" si="10">SUM(G66:P66)+Q66</f>
        <v>6.4546595512582267E-2</v>
      </c>
      <c r="S66" s="48">
        <f t="shared" ref="S66:S129" ca="1" si="11">($B$11*F66)/($B$11*F66+R66)</f>
        <v>0.93068548512557836</v>
      </c>
      <c r="T66" s="49">
        <f ca="1">H66+K66+O66+N66+'Sheet1 select'!$B$40*I66+J66+P66</f>
        <v>1.8056644821963955E-2</v>
      </c>
      <c r="U66" s="169">
        <f t="shared" ref="U66:U129" ca="1" si="12">H66+K66+O66</f>
        <v>6.056644821963956E-3</v>
      </c>
      <c r="V66" s="47">
        <f t="shared" ref="V66:V129" ca="1" si="13">J66+P66+Q66</f>
        <v>0</v>
      </c>
    </row>
    <row r="67" spans="5:22">
      <c r="E67" s="32">
        <v>66</v>
      </c>
      <c r="F67" s="45">
        <f t="shared" si="7"/>
        <v>0.17600000000000002</v>
      </c>
      <c r="G67" s="45">
        <f t="shared" si="8"/>
        <v>6.1952000000000014E-3</v>
      </c>
      <c r="H67" s="45">
        <f ca="1">F67*F67*('Sheet1 select'!$B$25)*$B$3</f>
        <v>7.0451992357392927E-4</v>
      </c>
      <c r="I67" s="45">
        <f>F67*(1-$B$3)*'Sheet1 select'!$B$41</f>
        <v>4.1066666666666668E-2</v>
      </c>
      <c r="J67" s="45">
        <f ca="1">F67*F67*('Sheet1 select'!$B$26)*(1-$B$3)</f>
        <v>0</v>
      </c>
      <c r="K67" s="45">
        <f>0.0000005*$B$10*F67*$B$8*((('Sheet1 select'!$B$33+0.5*'Sheet1 select'!$B$32)/(('Sheet1 select'!$B$10-'Sheet1 select'!$B$23)/('Sheet1 select'!$B$27+'Sheet1 select'!$B$8)))+(('Sheet1 select'!$B$33+0.5*'Sheet1 select'!$B$32)/(('Sheet1 select'!$B$23)/('Sheet1 select'!$B$27+'Sheet1 select'!$B$9))))</f>
        <v>2.4098247476398932E-3</v>
      </c>
      <c r="L67" s="45">
        <f>(F67*$B$28)*(('Sheet1 select'!$B$12+'Sheet1 select'!$B$13)*(0.000000001))*$B$8*1000</f>
        <v>0</v>
      </c>
      <c r="M67" s="45">
        <f t="shared" si="9"/>
        <v>3.6617357284970928E-5</v>
      </c>
      <c r="N67" s="46">
        <f>$B$10*'Sheet1 select'!$B$29*0.001</f>
        <v>1.2E-2</v>
      </c>
      <c r="O67" s="44">
        <f>'Sheet1 select'!$B$10*'Sheet1 select'!$B$31*$B$8*1000*0.000000001</f>
        <v>3.0000000000000001E-3</v>
      </c>
      <c r="P67" s="44">
        <f>'Sheet1 select'!$B$35*$B$10*$B$8*1000*0.000000001</f>
        <v>0</v>
      </c>
      <c r="Q67" s="47">
        <f>IF('Sheet1 select'!$B$17=0,0,(0.00000006*0.7+0.00000003*(0.7+F67*1.1*'Sheet1 select'!$B$26))*F67*$B$8*1000)</f>
        <v>0</v>
      </c>
      <c r="R67" s="45">
        <f t="shared" ca="1" si="10"/>
        <v>6.5412828695165459E-2</v>
      </c>
      <c r="S67" s="48">
        <f t="shared" ca="1" si="11"/>
        <v>0.93081030137337306</v>
      </c>
      <c r="T67" s="49">
        <f ca="1">H67+K67+O67+N67+'Sheet1 select'!$B$40*I67+J67+P67</f>
        <v>1.8114344671213825E-2</v>
      </c>
      <c r="U67" s="169">
        <f t="shared" ca="1" si="12"/>
        <v>6.1143446712138231E-3</v>
      </c>
      <c r="V67" s="47">
        <f t="shared" ca="1" si="13"/>
        <v>0</v>
      </c>
    </row>
    <row r="68" spans="5:22">
      <c r="E68" s="32">
        <v>67</v>
      </c>
      <c r="F68" s="45">
        <f t="shared" si="7"/>
        <v>0.17866666666666667</v>
      </c>
      <c r="G68" s="45">
        <f t="shared" si="8"/>
        <v>6.384355555555556E-3</v>
      </c>
      <c r="H68" s="45">
        <f ca="1">F68*F68*('Sheet1 select'!$B$25)*$B$3</f>
        <v>7.2603074768672353E-4</v>
      </c>
      <c r="I68" s="45">
        <f>F68*(1-$B$3)*'Sheet1 select'!$B$41</f>
        <v>4.1688888888888886E-2</v>
      </c>
      <c r="J68" s="45">
        <f ca="1">F68*F68*('Sheet1 select'!$B$26)*(1-$B$3)</f>
        <v>0</v>
      </c>
      <c r="K68" s="45">
        <f>0.0000005*$B$10*F68*$B$8*((('Sheet1 select'!$B$33+0.5*'Sheet1 select'!$B$32)/(('Sheet1 select'!$B$10-'Sheet1 select'!$B$23)/('Sheet1 select'!$B$27+'Sheet1 select'!$B$8)))+(('Sheet1 select'!$B$33+0.5*'Sheet1 select'!$B$32)/(('Sheet1 select'!$B$23)/('Sheet1 select'!$B$27+'Sheet1 select'!$B$9))))</f>
        <v>2.4463372438162552E-3</v>
      </c>
      <c r="L68" s="45">
        <f>(F68*$B$28)*(('Sheet1 select'!$B$12+'Sheet1 select'!$B$13)*(0.000000001))*$B$8*1000</f>
        <v>0</v>
      </c>
      <c r="M68" s="45">
        <f t="shared" si="9"/>
        <v>3.6617357284970928E-5</v>
      </c>
      <c r="N68" s="46">
        <f>$B$10*'Sheet1 select'!$B$29*0.001</f>
        <v>1.2E-2</v>
      </c>
      <c r="O68" s="44">
        <f>'Sheet1 select'!$B$10*'Sheet1 select'!$B$31*$B$8*1000*0.000000001</f>
        <v>3.0000000000000001E-3</v>
      </c>
      <c r="P68" s="44">
        <f>'Sheet1 select'!$B$35*$B$10*$B$8*1000*0.000000001</f>
        <v>0</v>
      </c>
      <c r="Q68" s="47">
        <f>IF('Sheet1 select'!$B$17=0,0,(0.00000006*0.7+0.00000003*(0.7+F68*1.1*'Sheet1 select'!$B$26))*F68*$B$8*1000)</f>
        <v>0</v>
      </c>
      <c r="R68" s="45">
        <f t="shared" ca="1" si="10"/>
        <v>6.6282229793232394E-2</v>
      </c>
      <c r="S68" s="48">
        <f t="shared" ca="1" si="11"/>
        <v>0.93092835053938128</v>
      </c>
      <c r="T68" s="49">
        <f ca="1">H68+K68+O68+N68+'Sheet1 select'!$B$40*I68+J68+P68</f>
        <v>1.8172367991502979E-2</v>
      </c>
      <c r="U68" s="169">
        <f t="shared" ca="1" si="12"/>
        <v>6.1723679915029785E-3</v>
      </c>
      <c r="V68" s="47">
        <f t="shared" ca="1" si="13"/>
        <v>0</v>
      </c>
    </row>
    <row r="69" spans="5:22">
      <c r="E69" s="32">
        <v>68</v>
      </c>
      <c r="F69" s="45">
        <f t="shared" si="7"/>
        <v>0.18133333333333335</v>
      </c>
      <c r="G69" s="45">
        <f t="shared" si="8"/>
        <v>6.5763555555555563E-3</v>
      </c>
      <c r="H69" s="45">
        <f ca="1">F69*F69*('Sheet1 select'!$B$25)*$B$3</f>
        <v>7.4786504283880825E-4</v>
      </c>
      <c r="I69" s="45">
        <f>F69*(1-$B$3)*'Sheet1 select'!$B$41</f>
        <v>4.2311111111111112E-2</v>
      </c>
      <c r="J69" s="45">
        <f ca="1">F69*F69*('Sheet1 select'!$B$26)*(1-$B$3)</f>
        <v>0</v>
      </c>
      <c r="K69" s="45">
        <f>0.0000005*$B$10*F69*$B$8*((('Sheet1 select'!$B$33+0.5*'Sheet1 select'!$B$32)/(('Sheet1 select'!$B$10-'Sheet1 select'!$B$23)/('Sheet1 select'!$B$27+'Sheet1 select'!$B$8)))+(('Sheet1 select'!$B$33+0.5*'Sheet1 select'!$B$32)/(('Sheet1 select'!$B$23)/('Sheet1 select'!$B$27+'Sheet1 select'!$B$9))))</f>
        <v>2.4828497399926172E-3</v>
      </c>
      <c r="L69" s="45">
        <f>(F69*$B$28)*(('Sheet1 select'!$B$12+'Sheet1 select'!$B$13)*(0.000000001))*$B$8*1000</f>
        <v>0</v>
      </c>
      <c r="M69" s="45">
        <f t="shared" si="9"/>
        <v>3.6617357284970928E-5</v>
      </c>
      <c r="N69" s="46">
        <f>$B$10*'Sheet1 select'!$B$29*0.001</f>
        <v>1.2E-2</v>
      </c>
      <c r="O69" s="44">
        <f>'Sheet1 select'!$B$10*'Sheet1 select'!$B$31*$B$8*1000*0.000000001</f>
        <v>3.0000000000000001E-3</v>
      </c>
      <c r="P69" s="44">
        <f>'Sheet1 select'!$B$35*$B$10*$B$8*1000*0.000000001</f>
        <v>0</v>
      </c>
      <c r="Q69" s="47">
        <f>IF('Sheet1 select'!$B$17=0,0,(0.00000006*0.7+0.00000003*(0.7+F69*1.1*'Sheet1 select'!$B$26))*F69*$B$8*1000)</f>
        <v>0</v>
      </c>
      <c r="R69" s="45">
        <f t="shared" ca="1" si="10"/>
        <v>6.7154798806783059E-2</v>
      </c>
      <c r="S69" s="48">
        <f t="shared" ca="1" si="11"/>
        <v>0.93103992755578258</v>
      </c>
      <c r="T69" s="49">
        <f ca="1">H69+K69+O69+N69+'Sheet1 select'!$B$40*I69+J69+P69</f>
        <v>1.8230714782831427E-2</v>
      </c>
      <c r="U69" s="169">
        <f t="shared" ca="1" si="12"/>
        <v>6.2307147828314256E-3</v>
      </c>
      <c r="V69" s="47">
        <f t="shared" ca="1" si="13"/>
        <v>0</v>
      </c>
    </row>
    <row r="70" spans="5:22">
      <c r="E70" s="32">
        <v>69</v>
      </c>
      <c r="F70" s="45">
        <f t="shared" si="7"/>
        <v>0.184</v>
      </c>
      <c r="G70" s="45">
        <f t="shared" si="8"/>
        <v>6.7711999999999998E-3</v>
      </c>
      <c r="H70" s="45">
        <f ca="1">F70*F70*('Sheet1 select'!$B$25)*$B$3</f>
        <v>7.7002280903018278E-4</v>
      </c>
      <c r="I70" s="45">
        <f>F70*(1-$B$3)*'Sheet1 select'!$B$41</f>
        <v>4.293333333333333E-2</v>
      </c>
      <c r="J70" s="45">
        <f ca="1">F70*F70*('Sheet1 select'!$B$26)*(1-$B$3)</f>
        <v>0</v>
      </c>
      <c r="K70" s="45">
        <f>0.0000005*$B$10*F70*$B$8*((('Sheet1 select'!$B$33+0.5*'Sheet1 select'!$B$32)/(('Sheet1 select'!$B$10-'Sheet1 select'!$B$23)/('Sheet1 select'!$B$27+'Sheet1 select'!$B$8)))+(('Sheet1 select'!$B$33+0.5*'Sheet1 select'!$B$32)/(('Sheet1 select'!$B$23)/('Sheet1 select'!$B$27+'Sheet1 select'!$B$9))))</f>
        <v>2.5193622361689792E-3</v>
      </c>
      <c r="L70" s="45">
        <f>(F70*$B$28)*(('Sheet1 select'!$B$12+'Sheet1 select'!$B$13)*(0.000000001))*$B$8*1000</f>
        <v>0</v>
      </c>
      <c r="M70" s="45">
        <f t="shared" si="9"/>
        <v>3.6617357284970928E-5</v>
      </c>
      <c r="N70" s="46">
        <f>$B$10*'Sheet1 select'!$B$29*0.001</f>
        <v>1.2E-2</v>
      </c>
      <c r="O70" s="44">
        <f>'Sheet1 select'!$B$10*'Sheet1 select'!$B$31*$B$8*1000*0.000000001</f>
        <v>3.0000000000000001E-3</v>
      </c>
      <c r="P70" s="44">
        <f>'Sheet1 select'!$B$35*$B$10*$B$8*1000*0.000000001</f>
        <v>0</v>
      </c>
      <c r="Q70" s="47">
        <f>IF('Sheet1 select'!$B$17=0,0,(0.00000006*0.7+0.00000003*(0.7+F70*1.1*'Sheet1 select'!$B$26))*F70*$B$8*1000)</f>
        <v>0</v>
      </c>
      <c r="R70" s="45">
        <f t="shared" ca="1" si="10"/>
        <v>6.8030535735817466E-2</v>
      </c>
      <c r="S70" s="48">
        <f t="shared" ca="1" si="11"/>
        <v>0.9311453105190185</v>
      </c>
      <c r="T70" s="49">
        <f ca="1">H70+K70+O70+N70+'Sheet1 select'!$B$40*I70+J70+P70</f>
        <v>1.8289385045199162E-2</v>
      </c>
      <c r="U70" s="169">
        <f t="shared" ca="1" si="12"/>
        <v>6.2893850451991619E-3</v>
      </c>
      <c r="V70" s="47">
        <f t="shared" ca="1" si="13"/>
        <v>0</v>
      </c>
    </row>
    <row r="71" spans="5:22">
      <c r="E71" s="32">
        <v>70</v>
      </c>
      <c r="F71" s="45">
        <f t="shared" si="7"/>
        <v>0.18666666666666668</v>
      </c>
      <c r="G71" s="45">
        <f t="shared" si="8"/>
        <v>6.9688888888888899E-3</v>
      </c>
      <c r="H71" s="45">
        <f ca="1">F71*F71*('Sheet1 select'!$B$25)*$B$3</f>
        <v>7.9250404626084777E-4</v>
      </c>
      <c r="I71" s="45">
        <f>F71*(1-$B$3)*'Sheet1 select'!$B$41</f>
        <v>4.3555555555555556E-2</v>
      </c>
      <c r="J71" s="45">
        <f ca="1">F71*F71*('Sheet1 select'!$B$26)*(1-$B$3)</f>
        <v>0</v>
      </c>
      <c r="K71" s="45">
        <f>0.0000005*$B$10*F71*$B$8*((('Sheet1 select'!$B$33+0.5*'Sheet1 select'!$B$32)/(('Sheet1 select'!$B$10-'Sheet1 select'!$B$23)/('Sheet1 select'!$B$27+'Sheet1 select'!$B$8)))+(('Sheet1 select'!$B$33+0.5*'Sheet1 select'!$B$32)/(('Sheet1 select'!$B$23)/('Sheet1 select'!$B$27+'Sheet1 select'!$B$9))))</f>
        <v>2.5558747323453411E-3</v>
      </c>
      <c r="L71" s="45">
        <f>(F71*$B$28)*(('Sheet1 select'!$B$12+'Sheet1 select'!$B$13)*(0.000000001))*$B$8*1000</f>
        <v>0</v>
      </c>
      <c r="M71" s="45">
        <f t="shared" si="9"/>
        <v>3.6617357284970928E-5</v>
      </c>
      <c r="N71" s="46">
        <f>$B$10*'Sheet1 select'!$B$29*0.001</f>
        <v>1.2E-2</v>
      </c>
      <c r="O71" s="44">
        <f>'Sheet1 select'!$B$10*'Sheet1 select'!$B$31*$B$8*1000*0.000000001</f>
        <v>3.0000000000000001E-3</v>
      </c>
      <c r="P71" s="44">
        <f>'Sheet1 select'!$B$35*$B$10*$B$8*1000*0.000000001</f>
        <v>0</v>
      </c>
      <c r="Q71" s="47">
        <f>IF('Sheet1 select'!$B$17=0,0,(0.00000006*0.7+0.00000003*(0.7+F71*1.1*'Sheet1 select'!$B$26))*F71*$B$8*1000)</f>
        <v>0</v>
      </c>
      <c r="R71" s="45">
        <f t="shared" ca="1" si="10"/>
        <v>6.8909440580335615E-2</v>
      </c>
      <c r="S71" s="48">
        <f t="shared" ca="1" si="11"/>
        <v>0.93124476187416105</v>
      </c>
      <c r="T71" s="49">
        <f ca="1">H71+K71+O71+N71+'Sheet1 select'!$B$40*I71+J71+P71</f>
        <v>1.8348378778606188E-2</v>
      </c>
      <c r="U71" s="169">
        <f t="shared" ca="1" si="12"/>
        <v>6.3483787786061891E-3</v>
      </c>
      <c r="V71" s="47">
        <f t="shared" ca="1" si="13"/>
        <v>0</v>
      </c>
    </row>
    <row r="72" spans="5:22">
      <c r="E72" s="32">
        <v>71</v>
      </c>
      <c r="F72" s="45">
        <f t="shared" si="7"/>
        <v>0.18933333333333335</v>
      </c>
      <c r="G72" s="45">
        <f t="shared" si="8"/>
        <v>7.1694222222222249E-3</v>
      </c>
      <c r="H72" s="45">
        <f ca="1">F72*F72*('Sheet1 select'!$B$25)*$B$3</f>
        <v>8.153087545308029E-4</v>
      </c>
      <c r="I72" s="45">
        <f>F72*(1-$B$3)*'Sheet1 select'!$B$41</f>
        <v>4.4177777777777781E-2</v>
      </c>
      <c r="J72" s="45">
        <f ca="1">F72*F72*('Sheet1 select'!$B$26)*(1-$B$3)</f>
        <v>0</v>
      </c>
      <c r="K72" s="45">
        <f>0.0000005*$B$10*F72*$B$8*((('Sheet1 select'!$B$33+0.5*'Sheet1 select'!$B$32)/(('Sheet1 select'!$B$10-'Sheet1 select'!$B$23)/('Sheet1 select'!$B$27+'Sheet1 select'!$B$8)))+(('Sheet1 select'!$B$33+0.5*'Sheet1 select'!$B$32)/(('Sheet1 select'!$B$23)/('Sheet1 select'!$B$27+'Sheet1 select'!$B$9))))</f>
        <v>2.5923872285217035E-3</v>
      </c>
      <c r="L72" s="45">
        <f>(F72*$B$28)*(('Sheet1 select'!$B$12+'Sheet1 select'!$B$13)*(0.000000001))*$B$8*1000</f>
        <v>0</v>
      </c>
      <c r="M72" s="45">
        <f t="shared" si="9"/>
        <v>3.6617357284970928E-5</v>
      </c>
      <c r="N72" s="46">
        <f>$B$10*'Sheet1 select'!$B$29*0.001</f>
        <v>1.2E-2</v>
      </c>
      <c r="O72" s="44">
        <f>'Sheet1 select'!$B$10*'Sheet1 select'!$B$31*$B$8*1000*0.000000001</f>
        <v>3.0000000000000001E-3</v>
      </c>
      <c r="P72" s="44">
        <f>'Sheet1 select'!$B$35*$B$10*$B$8*1000*0.000000001</f>
        <v>0</v>
      </c>
      <c r="Q72" s="47">
        <f>IF('Sheet1 select'!$B$17=0,0,(0.00000006*0.7+0.00000003*(0.7+F72*1.1*'Sheet1 select'!$B$26))*F72*$B$8*1000)</f>
        <v>0</v>
      </c>
      <c r="R72" s="45">
        <f t="shared" ca="1" si="10"/>
        <v>6.979151334033748E-2</v>
      </c>
      <c r="S72" s="48">
        <f t="shared" ca="1" si="11"/>
        <v>0.93133852950068585</v>
      </c>
      <c r="T72" s="49">
        <f ca="1">H72+K72+O72+N72+'Sheet1 select'!$B$40*I72+J72+P72</f>
        <v>1.8407695983052506E-2</v>
      </c>
      <c r="U72" s="169">
        <f t="shared" ca="1" si="12"/>
        <v>6.4076959830525063E-3</v>
      </c>
      <c r="V72" s="47">
        <f t="shared" ca="1" si="13"/>
        <v>0</v>
      </c>
    </row>
    <row r="73" spans="5:22">
      <c r="E73" s="32">
        <v>72</v>
      </c>
      <c r="F73" s="45">
        <f t="shared" si="7"/>
        <v>0.192</v>
      </c>
      <c r="G73" s="45">
        <f t="shared" si="8"/>
        <v>7.3727999999999997E-3</v>
      </c>
      <c r="H73" s="45">
        <f ca="1">F73*F73*('Sheet1 select'!$B$25)*$B$3</f>
        <v>8.3843693384004785E-4</v>
      </c>
      <c r="I73" s="45">
        <f>F73*(1-$B$3)*'Sheet1 select'!$B$41</f>
        <v>4.48E-2</v>
      </c>
      <c r="J73" s="45">
        <f ca="1">F73*F73*('Sheet1 select'!$B$26)*(1-$B$3)</f>
        <v>0</v>
      </c>
      <c r="K73" s="45">
        <f>0.0000005*$B$10*F73*$B$8*((('Sheet1 select'!$B$33+0.5*'Sheet1 select'!$B$32)/(('Sheet1 select'!$B$10-'Sheet1 select'!$B$23)/('Sheet1 select'!$B$27+'Sheet1 select'!$B$8)))+(('Sheet1 select'!$B$33+0.5*'Sheet1 select'!$B$32)/(('Sheet1 select'!$B$23)/('Sheet1 select'!$B$27+'Sheet1 select'!$B$9))))</f>
        <v>2.6288997246980651E-3</v>
      </c>
      <c r="L73" s="45">
        <f>(F73*$B$28)*(('Sheet1 select'!$B$12+'Sheet1 select'!$B$13)*(0.000000001))*$B$8*1000</f>
        <v>0</v>
      </c>
      <c r="M73" s="45">
        <f t="shared" si="9"/>
        <v>3.6617357284970928E-5</v>
      </c>
      <c r="N73" s="46">
        <f>$B$10*'Sheet1 select'!$B$29*0.001</f>
        <v>1.2E-2</v>
      </c>
      <c r="O73" s="44">
        <f>'Sheet1 select'!$B$10*'Sheet1 select'!$B$31*$B$8*1000*0.000000001</f>
        <v>3.0000000000000001E-3</v>
      </c>
      <c r="P73" s="44">
        <f>'Sheet1 select'!$B$35*$B$10*$B$8*1000*0.000000001</f>
        <v>0</v>
      </c>
      <c r="Q73" s="47">
        <f>IF('Sheet1 select'!$B$17=0,0,(0.00000006*0.7+0.00000003*(0.7+F73*1.1*'Sheet1 select'!$B$26))*F73*$B$8*1000)</f>
        <v>0</v>
      </c>
      <c r="R73" s="45">
        <f t="shared" ca="1" si="10"/>
        <v>7.0676754015823087E-2</v>
      </c>
      <c r="S73" s="48">
        <f t="shared" ca="1" si="11"/>
        <v>0.93142684770909456</v>
      </c>
      <c r="T73" s="49">
        <f ca="1">H73+K73+O73+N73+'Sheet1 select'!$B$40*I73+J73+P73</f>
        <v>1.8467336658538114E-2</v>
      </c>
      <c r="U73" s="169">
        <f t="shared" ca="1" si="12"/>
        <v>6.4673366585381135E-3</v>
      </c>
      <c r="V73" s="47">
        <f t="shared" ca="1" si="13"/>
        <v>0</v>
      </c>
    </row>
    <row r="74" spans="5:22">
      <c r="E74" s="32">
        <v>73</v>
      </c>
      <c r="F74" s="45">
        <f t="shared" si="7"/>
        <v>0.19466666666666668</v>
      </c>
      <c r="G74" s="45">
        <f t="shared" si="8"/>
        <v>7.5790222222222228E-3</v>
      </c>
      <c r="H74" s="45">
        <f ca="1">F74*F74*('Sheet1 select'!$B$25)*$B$3</f>
        <v>8.6188858418858325E-4</v>
      </c>
      <c r="I74" s="45">
        <f>F74*(1-$B$3)*'Sheet1 select'!$B$41</f>
        <v>4.5422222222222225E-2</v>
      </c>
      <c r="J74" s="45">
        <f ca="1">F74*F74*('Sheet1 select'!$B$26)*(1-$B$3)</f>
        <v>0</v>
      </c>
      <c r="K74" s="45">
        <f>0.0000005*$B$10*F74*$B$8*((('Sheet1 select'!$B$33+0.5*'Sheet1 select'!$B$32)/(('Sheet1 select'!$B$10-'Sheet1 select'!$B$23)/('Sheet1 select'!$B$27+'Sheet1 select'!$B$8)))+(('Sheet1 select'!$B$33+0.5*'Sheet1 select'!$B$32)/(('Sheet1 select'!$B$23)/('Sheet1 select'!$B$27+'Sheet1 select'!$B$9))))</f>
        <v>2.6654122208744271E-3</v>
      </c>
      <c r="L74" s="45">
        <f>(F74*$B$28)*(('Sheet1 select'!$B$12+'Sheet1 select'!$B$13)*(0.000000001))*$B$8*1000</f>
        <v>0</v>
      </c>
      <c r="M74" s="45">
        <f t="shared" si="9"/>
        <v>3.6617357284970928E-5</v>
      </c>
      <c r="N74" s="46">
        <f>$B$10*'Sheet1 select'!$B$29*0.001</f>
        <v>1.2E-2</v>
      </c>
      <c r="O74" s="44">
        <f>'Sheet1 select'!$B$10*'Sheet1 select'!$B$31*$B$8*1000*0.000000001</f>
        <v>3.0000000000000001E-3</v>
      </c>
      <c r="P74" s="44">
        <f>'Sheet1 select'!$B$35*$B$10*$B$8*1000*0.000000001</f>
        <v>0</v>
      </c>
      <c r="Q74" s="47">
        <f>IF('Sheet1 select'!$B$17=0,0,(0.00000006*0.7+0.00000003*(0.7+F74*1.1*'Sheet1 select'!$B$26))*F74*$B$8*1000)</f>
        <v>0</v>
      </c>
      <c r="R74" s="45">
        <f t="shared" ca="1" si="10"/>
        <v>7.1565162606792437E-2</v>
      </c>
      <c r="S74" s="48">
        <f t="shared" ca="1" si="11"/>
        <v>0.93150993815681293</v>
      </c>
      <c r="T74" s="49">
        <f ca="1">H74+K74+O74+N74+'Sheet1 select'!$B$40*I74+J74+P74</f>
        <v>1.8527300805063013E-2</v>
      </c>
      <c r="U74" s="169">
        <f t="shared" ca="1" si="12"/>
        <v>6.5273008050630108E-3</v>
      </c>
      <c r="V74" s="47">
        <f t="shared" ca="1" si="13"/>
        <v>0</v>
      </c>
    </row>
    <row r="75" spans="5:22">
      <c r="E75" s="32">
        <v>74</v>
      </c>
      <c r="F75" s="45">
        <f t="shared" si="7"/>
        <v>0.19733333333333333</v>
      </c>
      <c r="G75" s="45">
        <f t="shared" si="8"/>
        <v>7.788088888888889E-3</v>
      </c>
      <c r="H75" s="45">
        <f ca="1">F75*F75*('Sheet1 select'!$B$25)*$B$3</f>
        <v>8.8566370557640868E-4</v>
      </c>
      <c r="I75" s="45">
        <f>F75*(1-$B$3)*'Sheet1 select'!$B$41</f>
        <v>4.6044444444444443E-2</v>
      </c>
      <c r="J75" s="45">
        <f ca="1">F75*F75*('Sheet1 select'!$B$26)*(1-$B$3)</f>
        <v>0</v>
      </c>
      <c r="K75" s="45">
        <f>0.0000005*$B$10*F75*$B$8*((('Sheet1 select'!$B$33+0.5*'Sheet1 select'!$B$32)/(('Sheet1 select'!$B$10-'Sheet1 select'!$B$23)/('Sheet1 select'!$B$27+'Sheet1 select'!$B$8)))+(('Sheet1 select'!$B$33+0.5*'Sheet1 select'!$B$32)/(('Sheet1 select'!$B$23)/('Sheet1 select'!$B$27+'Sheet1 select'!$B$9))))</f>
        <v>2.7019247170507891E-3</v>
      </c>
      <c r="L75" s="45">
        <f>(F75*$B$28)*(('Sheet1 select'!$B$12+'Sheet1 select'!$B$13)*(0.000000001))*$B$8*1000</f>
        <v>0</v>
      </c>
      <c r="M75" s="45">
        <f t="shared" si="9"/>
        <v>3.6617357284970928E-5</v>
      </c>
      <c r="N75" s="46">
        <f>$B$10*'Sheet1 select'!$B$29*0.001</f>
        <v>1.2E-2</v>
      </c>
      <c r="O75" s="44">
        <f>'Sheet1 select'!$B$10*'Sheet1 select'!$B$31*$B$8*1000*0.000000001</f>
        <v>3.0000000000000001E-3</v>
      </c>
      <c r="P75" s="44">
        <f>'Sheet1 select'!$B$35*$B$10*$B$8*1000*0.000000001</f>
        <v>0</v>
      </c>
      <c r="Q75" s="47">
        <f>IF('Sheet1 select'!$B$17=0,0,(0.00000006*0.7+0.00000003*(0.7+F75*1.1*'Sheet1 select'!$B$26))*F75*$B$8*1000)</f>
        <v>0</v>
      </c>
      <c r="R75" s="45">
        <f t="shared" ca="1" si="10"/>
        <v>7.2456739113245502E-2</v>
      </c>
      <c r="S75" s="48">
        <f t="shared" ca="1" si="11"/>
        <v>0.93158801069088815</v>
      </c>
      <c r="T75" s="49">
        <f ca="1">H75+K75+O75+N75+'Sheet1 select'!$B$40*I75+J75+P75</f>
        <v>1.8587588422627199E-2</v>
      </c>
      <c r="U75" s="169">
        <f t="shared" ca="1" si="12"/>
        <v>6.5875884226271973E-3</v>
      </c>
      <c r="V75" s="47">
        <f t="shared" ca="1" si="13"/>
        <v>0</v>
      </c>
    </row>
    <row r="76" spans="5:22">
      <c r="E76" s="32">
        <v>75</v>
      </c>
      <c r="F76" s="45">
        <f t="shared" si="7"/>
        <v>0.2</v>
      </c>
      <c r="G76" s="45">
        <f t="shared" si="8"/>
        <v>8.0000000000000019E-3</v>
      </c>
      <c r="H76" s="45">
        <f ca="1">F76*F76*('Sheet1 select'!$B$25)*$B$3</f>
        <v>9.0976229800352425E-4</v>
      </c>
      <c r="I76" s="45">
        <f>F76*(1-$B$3)*'Sheet1 select'!$B$41</f>
        <v>4.6666666666666662E-2</v>
      </c>
      <c r="J76" s="45">
        <f ca="1">F76*F76*('Sheet1 select'!$B$26)*(1-$B$3)</f>
        <v>0</v>
      </c>
      <c r="K76" s="45">
        <f>0.0000005*$B$10*F76*$B$8*((('Sheet1 select'!$B$33+0.5*'Sheet1 select'!$B$32)/(('Sheet1 select'!$B$10-'Sheet1 select'!$B$23)/('Sheet1 select'!$B$27+'Sheet1 select'!$B$8)))+(('Sheet1 select'!$B$33+0.5*'Sheet1 select'!$B$32)/(('Sheet1 select'!$B$23)/('Sheet1 select'!$B$27+'Sheet1 select'!$B$9))))</f>
        <v>2.7384372132271515E-3</v>
      </c>
      <c r="L76" s="45">
        <f>(F76*$B$28)*(('Sheet1 select'!$B$12+'Sheet1 select'!$B$13)*(0.000000001))*$B$8*1000</f>
        <v>0</v>
      </c>
      <c r="M76" s="45">
        <f t="shared" si="9"/>
        <v>3.6617357284970928E-5</v>
      </c>
      <c r="N76" s="46">
        <f>$B$10*'Sheet1 select'!$B$29*0.001</f>
        <v>1.2E-2</v>
      </c>
      <c r="O76" s="44">
        <f>'Sheet1 select'!$B$10*'Sheet1 select'!$B$31*$B$8*1000*0.000000001</f>
        <v>3.0000000000000001E-3</v>
      </c>
      <c r="P76" s="44">
        <f>'Sheet1 select'!$B$35*$B$10*$B$8*1000*0.000000001</f>
        <v>0</v>
      </c>
      <c r="Q76" s="47">
        <f>IF('Sheet1 select'!$B$17=0,0,(0.00000006*0.7+0.00000003*(0.7+F76*1.1*'Sheet1 select'!$B$26))*F76*$B$8*1000)</f>
        <v>0</v>
      </c>
      <c r="R76" s="45">
        <f t="shared" ca="1" si="10"/>
        <v>7.335148353518231E-2</v>
      </c>
      <c r="S76" s="48">
        <f t="shared" ca="1" si="11"/>
        <v>0.93166126412422479</v>
      </c>
      <c r="T76" s="49">
        <f ca="1">H76+K76+O76+N76+'Sheet1 select'!$B$40*I76+J76+P76</f>
        <v>1.8648199511230677E-2</v>
      </c>
      <c r="U76" s="169">
        <f t="shared" ca="1" si="12"/>
        <v>6.6481995112306763E-3</v>
      </c>
      <c r="V76" s="47">
        <f t="shared" ca="1" si="13"/>
        <v>0</v>
      </c>
    </row>
    <row r="77" spans="5:22">
      <c r="E77" s="32">
        <v>76</v>
      </c>
      <c r="F77" s="45">
        <f t="shared" si="7"/>
        <v>0.20266666666666669</v>
      </c>
      <c r="G77" s="45">
        <f t="shared" si="8"/>
        <v>8.2147555555555571E-3</v>
      </c>
      <c r="H77" s="45">
        <f ca="1">F77*F77*('Sheet1 select'!$B$25)*$B$3</f>
        <v>9.3418436146993006E-4</v>
      </c>
      <c r="I77" s="45">
        <f>F77*(1-$B$3)*'Sheet1 select'!$B$41</f>
        <v>4.7288888888888887E-2</v>
      </c>
      <c r="J77" s="45">
        <f ca="1">F77*F77*('Sheet1 select'!$B$26)*(1-$B$3)</f>
        <v>0</v>
      </c>
      <c r="K77" s="45">
        <f>0.0000005*$B$10*F77*$B$8*((('Sheet1 select'!$B$33+0.5*'Sheet1 select'!$B$32)/(('Sheet1 select'!$B$10-'Sheet1 select'!$B$23)/('Sheet1 select'!$B$27+'Sheet1 select'!$B$8)))+(('Sheet1 select'!$B$33+0.5*'Sheet1 select'!$B$32)/(('Sheet1 select'!$B$23)/('Sheet1 select'!$B$27+'Sheet1 select'!$B$9))))</f>
        <v>2.7749497094035134E-3</v>
      </c>
      <c r="L77" s="45">
        <f>(F77*$B$28)*(('Sheet1 select'!$B$12+'Sheet1 select'!$B$13)*(0.000000001))*$B$8*1000</f>
        <v>0</v>
      </c>
      <c r="M77" s="45">
        <f t="shared" si="9"/>
        <v>3.6617357284970928E-5</v>
      </c>
      <c r="N77" s="46">
        <f>$B$10*'Sheet1 select'!$B$29*0.001</f>
        <v>1.2E-2</v>
      </c>
      <c r="O77" s="44">
        <f>'Sheet1 select'!$B$10*'Sheet1 select'!$B$31*$B$8*1000*0.000000001</f>
        <v>3.0000000000000001E-3</v>
      </c>
      <c r="P77" s="44">
        <f>'Sheet1 select'!$B$35*$B$10*$B$8*1000*0.000000001</f>
        <v>0</v>
      </c>
      <c r="Q77" s="47">
        <f>IF('Sheet1 select'!$B$17=0,0,(0.00000006*0.7+0.00000003*(0.7+F77*1.1*'Sheet1 select'!$B$26))*F77*$B$8*1000)</f>
        <v>0</v>
      </c>
      <c r="R77" s="45">
        <f t="shared" ca="1" si="10"/>
        <v>7.4249395872602861E-2</v>
      </c>
      <c r="S77" s="48">
        <f t="shared" ca="1" si="11"/>
        <v>0.93172988695139192</v>
      </c>
      <c r="T77" s="49">
        <f ca="1">H77+K77+O77+N77+'Sheet1 select'!$B$40*I77+J77+P77</f>
        <v>1.8709134070873445E-2</v>
      </c>
      <c r="U77" s="169">
        <f t="shared" ca="1" si="12"/>
        <v>6.7091340708734437E-3</v>
      </c>
      <c r="V77" s="47">
        <f t="shared" ca="1" si="13"/>
        <v>0</v>
      </c>
    </row>
    <row r="78" spans="5:22">
      <c r="E78" s="32">
        <v>77</v>
      </c>
      <c r="F78" s="45">
        <f t="shared" si="7"/>
        <v>0.20533333333333334</v>
      </c>
      <c r="G78" s="45">
        <f t="shared" si="8"/>
        <v>8.4323555555555554E-3</v>
      </c>
      <c r="H78" s="45">
        <f ca="1">F78*F78*('Sheet1 select'!$B$25)*$B$3</f>
        <v>9.5892989597562569E-4</v>
      </c>
      <c r="I78" s="45">
        <f>F78*(1-$B$3)*'Sheet1 select'!$B$41</f>
        <v>4.7911111111111106E-2</v>
      </c>
      <c r="J78" s="45">
        <f ca="1">F78*F78*('Sheet1 select'!$B$26)*(1-$B$3)</f>
        <v>0</v>
      </c>
      <c r="K78" s="45">
        <f>0.0000005*$B$10*F78*$B$8*((('Sheet1 select'!$B$33+0.5*'Sheet1 select'!$B$32)/(('Sheet1 select'!$B$10-'Sheet1 select'!$B$23)/('Sheet1 select'!$B$27+'Sheet1 select'!$B$8)))+(('Sheet1 select'!$B$33+0.5*'Sheet1 select'!$B$32)/(('Sheet1 select'!$B$23)/('Sheet1 select'!$B$27+'Sheet1 select'!$B$9))))</f>
        <v>2.8114622055798754E-3</v>
      </c>
      <c r="L78" s="45">
        <f>(F78*$B$28)*(('Sheet1 select'!$B$12+'Sheet1 select'!$B$13)*(0.000000001))*$B$8*1000</f>
        <v>0</v>
      </c>
      <c r="M78" s="45">
        <f t="shared" si="9"/>
        <v>3.6617357284970928E-5</v>
      </c>
      <c r="N78" s="46">
        <f>$B$10*'Sheet1 select'!$B$29*0.001</f>
        <v>1.2E-2</v>
      </c>
      <c r="O78" s="44">
        <f>'Sheet1 select'!$B$10*'Sheet1 select'!$B$31*$B$8*1000*0.000000001</f>
        <v>3.0000000000000001E-3</v>
      </c>
      <c r="P78" s="44">
        <f>'Sheet1 select'!$B$35*$B$10*$B$8*1000*0.000000001</f>
        <v>0</v>
      </c>
      <c r="Q78" s="47">
        <f>IF('Sheet1 select'!$B$17=0,0,(0.00000006*0.7+0.00000003*(0.7+F78*1.1*'Sheet1 select'!$B$26))*F78*$B$8*1000)</f>
        <v>0</v>
      </c>
      <c r="R78" s="45">
        <f t="shared" ca="1" si="10"/>
        <v>7.5150476125507126E-2</v>
      </c>
      <c r="S78" s="48">
        <f t="shared" ca="1" si="11"/>
        <v>0.93179405800942228</v>
      </c>
      <c r="T78" s="49">
        <f ca="1">H78+K78+O78+N78+'Sheet1 select'!$B$40*I78+J78+P78</f>
        <v>1.87703921015555E-2</v>
      </c>
      <c r="U78" s="169">
        <f t="shared" ca="1" si="12"/>
        <v>6.7703921015555011E-3</v>
      </c>
      <c r="V78" s="47">
        <f t="shared" ca="1" si="13"/>
        <v>0</v>
      </c>
    </row>
    <row r="79" spans="5:22">
      <c r="E79" s="32">
        <v>78</v>
      </c>
      <c r="F79" s="45">
        <f t="shared" si="7"/>
        <v>0.20800000000000002</v>
      </c>
      <c r="G79" s="45">
        <f t="shared" si="8"/>
        <v>8.6528000000000022E-3</v>
      </c>
      <c r="H79" s="45">
        <f ca="1">F79*F79*('Sheet1 select'!$B$25)*$B$3</f>
        <v>9.8399890152061189E-4</v>
      </c>
      <c r="I79" s="45">
        <f>F79*(1-$B$3)*'Sheet1 select'!$B$41</f>
        <v>4.8533333333333338E-2</v>
      </c>
      <c r="J79" s="45">
        <f ca="1">F79*F79*('Sheet1 select'!$B$26)*(1-$B$3)</f>
        <v>0</v>
      </c>
      <c r="K79" s="45">
        <f>0.0000005*$B$10*F79*$B$8*((('Sheet1 select'!$B$33+0.5*'Sheet1 select'!$B$32)/(('Sheet1 select'!$B$10-'Sheet1 select'!$B$23)/('Sheet1 select'!$B$27+'Sheet1 select'!$B$8)))+(('Sheet1 select'!$B$33+0.5*'Sheet1 select'!$B$32)/(('Sheet1 select'!$B$23)/('Sheet1 select'!$B$27+'Sheet1 select'!$B$9))))</f>
        <v>2.8479747017562378E-3</v>
      </c>
      <c r="L79" s="45">
        <f>(F79*$B$28)*(('Sheet1 select'!$B$12+'Sheet1 select'!$B$13)*(0.000000001))*$B$8*1000</f>
        <v>0</v>
      </c>
      <c r="M79" s="45">
        <f t="shared" si="9"/>
        <v>3.6617357284970928E-5</v>
      </c>
      <c r="N79" s="46">
        <f>$B$10*'Sheet1 select'!$B$29*0.001</f>
        <v>1.2E-2</v>
      </c>
      <c r="O79" s="44">
        <f>'Sheet1 select'!$B$10*'Sheet1 select'!$B$31*$B$8*1000*0.000000001</f>
        <v>3.0000000000000001E-3</v>
      </c>
      <c r="P79" s="44">
        <f>'Sheet1 select'!$B$35*$B$10*$B$8*1000*0.000000001</f>
        <v>0</v>
      </c>
      <c r="Q79" s="47">
        <f>IF('Sheet1 select'!$B$17=0,0,(0.00000006*0.7+0.00000003*(0.7+F79*1.1*'Sheet1 select'!$B$26))*F79*$B$8*1000)</f>
        <v>0</v>
      </c>
      <c r="R79" s="45">
        <f t="shared" ca="1" si="10"/>
        <v>7.6054724293895162E-2</v>
      </c>
      <c r="S79" s="48">
        <f t="shared" ca="1" si="11"/>
        <v>0.93185394708846969</v>
      </c>
      <c r="T79" s="49">
        <f ca="1">H79+K79+O79+N79+'Sheet1 select'!$B$40*I79+J79+P79</f>
        <v>1.883197360327685E-2</v>
      </c>
      <c r="U79" s="169">
        <f t="shared" ca="1" si="12"/>
        <v>6.8319736032768502E-3</v>
      </c>
      <c r="V79" s="47">
        <f t="shared" ca="1" si="13"/>
        <v>0</v>
      </c>
    </row>
    <row r="80" spans="5:22">
      <c r="E80" s="32">
        <v>79</v>
      </c>
      <c r="F80" s="45">
        <f t="shared" si="7"/>
        <v>0.21066666666666667</v>
      </c>
      <c r="G80" s="45">
        <f t="shared" si="8"/>
        <v>8.8760888888888886E-3</v>
      </c>
      <c r="H80" s="45">
        <f ca="1">F80*F80*('Sheet1 select'!$B$25)*$B$3</f>
        <v>1.0093913781048878E-3</v>
      </c>
      <c r="I80" s="45">
        <f>F80*(1-$B$3)*'Sheet1 select'!$B$41</f>
        <v>4.9155555555555557E-2</v>
      </c>
      <c r="J80" s="45">
        <f ca="1">F80*F80*('Sheet1 select'!$B$26)*(1-$B$3)</f>
        <v>0</v>
      </c>
      <c r="K80" s="45">
        <f>0.0000005*$B$10*F80*$B$8*((('Sheet1 select'!$B$33+0.5*'Sheet1 select'!$B$32)/(('Sheet1 select'!$B$10-'Sheet1 select'!$B$23)/('Sheet1 select'!$B$27+'Sheet1 select'!$B$8)))+(('Sheet1 select'!$B$33+0.5*'Sheet1 select'!$B$32)/(('Sheet1 select'!$B$23)/('Sheet1 select'!$B$27+'Sheet1 select'!$B$9))))</f>
        <v>2.8844871979325994E-3</v>
      </c>
      <c r="L80" s="45">
        <f>(F80*$B$28)*(('Sheet1 select'!$B$12+'Sheet1 select'!$B$13)*(0.000000001))*$B$8*1000</f>
        <v>0</v>
      </c>
      <c r="M80" s="45">
        <f t="shared" si="9"/>
        <v>3.6617357284970928E-5</v>
      </c>
      <c r="N80" s="46">
        <f>$B$10*'Sheet1 select'!$B$29*0.001</f>
        <v>1.2E-2</v>
      </c>
      <c r="O80" s="44">
        <f>'Sheet1 select'!$B$10*'Sheet1 select'!$B$31*$B$8*1000*0.000000001</f>
        <v>3.0000000000000001E-3</v>
      </c>
      <c r="P80" s="44">
        <f>'Sheet1 select'!$B$35*$B$10*$B$8*1000*0.000000001</f>
        <v>0</v>
      </c>
      <c r="Q80" s="47">
        <f>IF('Sheet1 select'!$B$17=0,0,(0.00000006*0.7+0.00000003*(0.7+F80*1.1*'Sheet1 select'!$B$26))*F80*$B$8*1000)</f>
        <v>0</v>
      </c>
      <c r="R80" s="45">
        <f t="shared" ca="1" si="10"/>
        <v>7.6962140377766899E-2</v>
      </c>
      <c r="S80" s="48">
        <f t="shared" ca="1" si="11"/>
        <v>0.93190971549671253</v>
      </c>
      <c r="T80" s="49">
        <f ca="1">H80+K80+O80+N80+'Sheet1 select'!$B$40*I80+J80+P80</f>
        <v>1.8893878576037488E-2</v>
      </c>
      <c r="U80" s="169">
        <f t="shared" ca="1" si="12"/>
        <v>6.8938785760374877E-3</v>
      </c>
      <c r="V80" s="47">
        <f t="shared" ca="1" si="13"/>
        <v>0</v>
      </c>
    </row>
    <row r="81" spans="5:22">
      <c r="E81" s="32">
        <v>80</v>
      </c>
      <c r="F81" s="45">
        <f t="shared" si="7"/>
        <v>0.21333333333333335</v>
      </c>
      <c r="G81" s="45">
        <f t="shared" si="8"/>
        <v>9.1022222222222234E-3</v>
      </c>
      <c r="H81" s="45">
        <f ca="1">F81*F81*('Sheet1 select'!$B$25)*$B$3</f>
        <v>1.0351073257284544E-3</v>
      </c>
      <c r="I81" s="45">
        <f>F81*(1-$B$3)*'Sheet1 select'!$B$41</f>
        <v>4.9777777777777782E-2</v>
      </c>
      <c r="J81" s="45">
        <f ca="1">F81*F81*('Sheet1 select'!$B$26)*(1-$B$3)</f>
        <v>0</v>
      </c>
      <c r="K81" s="45">
        <f>0.0000005*$B$10*F81*$B$8*((('Sheet1 select'!$B$33+0.5*'Sheet1 select'!$B$32)/(('Sheet1 select'!$B$10-'Sheet1 select'!$B$23)/('Sheet1 select'!$B$27+'Sheet1 select'!$B$8)))+(('Sheet1 select'!$B$33+0.5*'Sheet1 select'!$B$32)/(('Sheet1 select'!$B$23)/('Sheet1 select'!$B$27+'Sheet1 select'!$B$9))))</f>
        <v>2.9209996941089609E-3</v>
      </c>
      <c r="L81" s="45">
        <f>(F81*$B$28)*(('Sheet1 select'!$B$12+'Sheet1 select'!$B$13)*(0.000000001))*$B$8*1000</f>
        <v>0</v>
      </c>
      <c r="M81" s="45">
        <f t="shared" si="9"/>
        <v>3.6617357284970928E-5</v>
      </c>
      <c r="N81" s="46">
        <f>$B$10*'Sheet1 select'!$B$29*0.001</f>
        <v>1.2E-2</v>
      </c>
      <c r="O81" s="44">
        <f>'Sheet1 select'!$B$10*'Sheet1 select'!$B$31*$B$8*1000*0.000000001</f>
        <v>3.0000000000000001E-3</v>
      </c>
      <c r="P81" s="44">
        <f>'Sheet1 select'!$B$35*$B$10*$B$8*1000*0.000000001</f>
        <v>0</v>
      </c>
      <c r="Q81" s="47">
        <f>IF('Sheet1 select'!$B$17=0,0,(0.00000006*0.7+0.00000003*(0.7+F81*1.1*'Sheet1 select'!$B$26))*F81*$B$8*1000)</f>
        <v>0</v>
      </c>
      <c r="R81" s="45">
        <f t="shared" ca="1" si="10"/>
        <v>7.7872724377122393E-2</v>
      </c>
      <c r="S81" s="48">
        <f t="shared" ca="1" si="11"/>
        <v>0.93196151658344883</v>
      </c>
      <c r="T81" s="49">
        <f ca="1">H81+K81+O81+N81+'Sheet1 select'!$B$40*I81+J81+P81</f>
        <v>1.8956107019837416E-2</v>
      </c>
      <c r="U81" s="169">
        <f t="shared" ca="1" si="12"/>
        <v>6.9561070198374151E-3</v>
      </c>
      <c r="V81" s="47">
        <f t="shared" ca="1" si="13"/>
        <v>0</v>
      </c>
    </row>
    <row r="82" spans="5:22">
      <c r="E82" s="32">
        <v>81</v>
      </c>
      <c r="F82" s="45">
        <f t="shared" si="7"/>
        <v>0.216</v>
      </c>
      <c r="G82" s="45">
        <f t="shared" si="8"/>
        <v>9.3311999999999996E-3</v>
      </c>
      <c r="H82" s="45">
        <f ca="1">F82*F82*('Sheet1 select'!$B$25)*$B$3</f>
        <v>1.0611467443913105E-3</v>
      </c>
      <c r="I82" s="45">
        <f>F82*(1-$B$3)*'Sheet1 select'!$B$41</f>
        <v>5.0399999999999993E-2</v>
      </c>
      <c r="J82" s="45">
        <f ca="1">F82*F82*('Sheet1 select'!$B$26)*(1-$B$3)</f>
        <v>0</v>
      </c>
      <c r="K82" s="45">
        <f>0.0000005*$B$10*F82*$B$8*((('Sheet1 select'!$B$33+0.5*'Sheet1 select'!$B$32)/(('Sheet1 select'!$B$10-'Sheet1 select'!$B$23)/('Sheet1 select'!$B$27+'Sheet1 select'!$B$8)))+(('Sheet1 select'!$B$33+0.5*'Sheet1 select'!$B$32)/(('Sheet1 select'!$B$23)/('Sheet1 select'!$B$27+'Sheet1 select'!$B$9))))</f>
        <v>2.9575121902853233E-3</v>
      </c>
      <c r="L82" s="45">
        <f>(F82*$B$28)*(('Sheet1 select'!$B$12+'Sheet1 select'!$B$13)*(0.000000001))*$B$8*1000</f>
        <v>0</v>
      </c>
      <c r="M82" s="45">
        <f t="shared" si="9"/>
        <v>3.6617357284970928E-5</v>
      </c>
      <c r="N82" s="46">
        <f>$B$10*'Sheet1 select'!$B$29*0.001</f>
        <v>1.2E-2</v>
      </c>
      <c r="O82" s="44">
        <f>'Sheet1 select'!$B$10*'Sheet1 select'!$B$31*$B$8*1000*0.000000001</f>
        <v>3.0000000000000001E-3</v>
      </c>
      <c r="P82" s="44">
        <f>'Sheet1 select'!$B$35*$B$10*$B$8*1000*0.000000001</f>
        <v>0</v>
      </c>
      <c r="Q82" s="47">
        <f>IF('Sheet1 select'!$B$17=0,0,(0.00000006*0.7+0.00000003*(0.7+F82*1.1*'Sheet1 select'!$B$26))*F82*$B$8*1000)</f>
        <v>0</v>
      </c>
      <c r="R82" s="45">
        <f t="shared" ca="1" si="10"/>
        <v>7.8786476291961588E-2</v>
      </c>
      <c r="S82" s="48">
        <f t="shared" ca="1" si="11"/>
        <v>0.93200949622395224</v>
      </c>
      <c r="T82" s="49">
        <f ca="1">H82+K82+O82+N82+'Sheet1 select'!$B$40*I82+J82+P82</f>
        <v>1.9018658934676635E-2</v>
      </c>
      <c r="U82" s="169">
        <f t="shared" ca="1" si="12"/>
        <v>7.0186589346766344E-3</v>
      </c>
      <c r="V82" s="47">
        <f t="shared" ca="1" si="13"/>
        <v>0</v>
      </c>
    </row>
    <row r="83" spans="5:22">
      <c r="E83" s="32">
        <v>82</v>
      </c>
      <c r="F83" s="45">
        <f t="shared" si="7"/>
        <v>0.2186666666666667</v>
      </c>
      <c r="G83" s="45">
        <f t="shared" si="8"/>
        <v>9.5630222222222241E-3</v>
      </c>
      <c r="H83" s="45">
        <f ca="1">F83*F83*('Sheet1 select'!$B$25)*$B$3</f>
        <v>1.0875096340934576E-3</v>
      </c>
      <c r="I83" s="45">
        <f>F83*(1-$B$3)*'Sheet1 select'!$B$41</f>
        <v>5.1022222222222226E-2</v>
      </c>
      <c r="J83" s="45">
        <f ca="1">F83*F83*('Sheet1 select'!$B$26)*(1-$B$3)</f>
        <v>0</v>
      </c>
      <c r="K83" s="45">
        <f>0.0000005*$B$10*F83*$B$8*((('Sheet1 select'!$B$33+0.5*'Sheet1 select'!$B$32)/(('Sheet1 select'!$B$10-'Sheet1 select'!$B$23)/('Sheet1 select'!$B$27+'Sheet1 select'!$B$8)))+(('Sheet1 select'!$B$33+0.5*'Sheet1 select'!$B$32)/(('Sheet1 select'!$B$23)/('Sheet1 select'!$B$27+'Sheet1 select'!$B$9))))</f>
        <v>2.9940246864616862E-3</v>
      </c>
      <c r="L83" s="45">
        <f>(F83*$B$28)*(('Sheet1 select'!$B$12+'Sheet1 select'!$B$13)*(0.000000001))*$B$8*1000</f>
        <v>0</v>
      </c>
      <c r="M83" s="45">
        <f t="shared" si="9"/>
        <v>3.6617357284970928E-5</v>
      </c>
      <c r="N83" s="46">
        <f>$B$10*'Sheet1 select'!$B$29*0.001</f>
        <v>1.2E-2</v>
      </c>
      <c r="O83" s="44">
        <f>'Sheet1 select'!$B$10*'Sheet1 select'!$B$31*$B$8*1000*0.000000001</f>
        <v>3.0000000000000001E-3</v>
      </c>
      <c r="P83" s="44">
        <f>'Sheet1 select'!$B$35*$B$10*$B$8*1000*0.000000001</f>
        <v>0</v>
      </c>
      <c r="Q83" s="47">
        <f>IF('Sheet1 select'!$B$17=0,0,(0.00000006*0.7+0.00000003*(0.7+F83*1.1*'Sheet1 select'!$B$26))*F83*$B$8*1000)</f>
        <v>0</v>
      </c>
      <c r="R83" s="45">
        <f t="shared" ca="1" si="10"/>
        <v>7.9703396122284567E-2</v>
      </c>
      <c r="S83" s="48">
        <f t="shared" ca="1" si="11"/>
        <v>0.93205379326930937</v>
      </c>
      <c r="T83" s="49">
        <f ca="1">H83+K83+O83+N83+'Sheet1 select'!$B$40*I83+J83+P83</f>
        <v>1.9081534320555142E-2</v>
      </c>
      <c r="U83" s="169">
        <f t="shared" ca="1" si="12"/>
        <v>7.0815343205551436E-3</v>
      </c>
      <c r="V83" s="47">
        <f t="shared" ca="1" si="13"/>
        <v>0</v>
      </c>
    </row>
    <row r="84" spans="5:22">
      <c r="E84" s="32">
        <v>83</v>
      </c>
      <c r="F84" s="45">
        <f t="shared" si="7"/>
        <v>0.22133333333333335</v>
      </c>
      <c r="G84" s="45">
        <f t="shared" si="8"/>
        <v>9.7976888888888902E-3</v>
      </c>
      <c r="H84" s="45">
        <f ca="1">F84*F84*('Sheet1 select'!$B$25)*$B$3</f>
        <v>1.1141959948348941E-3</v>
      </c>
      <c r="I84" s="45">
        <f>F84*(1-$B$3)*'Sheet1 select'!$B$41</f>
        <v>5.1644444444444437E-2</v>
      </c>
      <c r="J84" s="45">
        <f ca="1">F84*F84*('Sheet1 select'!$B$26)*(1-$B$3)</f>
        <v>0</v>
      </c>
      <c r="K84" s="45">
        <f>0.0000005*$B$10*F84*$B$8*((('Sheet1 select'!$B$33+0.5*'Sheet1 select'!$B$32)/(('Sheet1 select'!$B$10-'Sheet1 select'!$B$23)/('Sheet1 select'!$B$27+'Sheet1 select'!$B$8)))+(('Sheet1 select'!$B$33+0.5*'Sheet1 select'!$B$32)/(('Sheet1 select'!$B$23)/('Sheet1 select'!$B$27+'Sheet1 select'!$B$9))))</f>
        <v>3.0305371826380477E-3</v>
      </c>
      <c r="L84" s="45">
        <f>(F84*$B$28)*(('Sheet1 select'!$B$12+'Sheet1 select'!$B$13)*(0.000000001))*$B$8*1000</f>
        <v>0</v>
      </c>
      <c r="M84" s="45">
        <f t="shared" si="9"/>
        <v>3.6617357284970928E-5</v>
      </c>
      <c r="N84" s="46">
        <f>$B$10*'Sheet1 select'!$B$29*0.001</f>
        <v>1.2E-2</v>
      </c>
      <c r="O84" s="44">
        <f>'Sheet1 select'!$B$10*'Sheet1 select'!$B$31*$B$8*1000*0.000000001</f>
        <v>3.0000000000000001E-3</v>
      </c>
      <c r="P84" s="44">
        <f>'Sheet1 select'!$B$35*$B$10*$B$8*1000*0.000000001</f>
        <v>0</v>
      </c>
      <c r="Q84" s="47">
        <f>IF('Sheet1 select'!$B$17=0,0,(0.00000006*0.7+0.00000003*(0.7+F84*1.1*'Sheet1 select'!$B$26))*F84*$B$8*1000)</f>
        <v>0</v>
      </c>
      <c r="R84" s="45">
        <f t="shared" ca="1" si="10"/>
        <v>8.0623483868091234E-2</v>
      </c>
      <c r="S84" s="48">
        <f t="shared" ca="1" si="11"/>
        <v>0.93209453996415426</v>
      </c>
      <c r="T84" s="49">
        <f ca="1">H84+K84+O84+N84+'Sheet1 select'!$B$40*I84+J84+P84</f>
        <v>1.9144733177472943E-2</v>
      </c>
      <c r="U84" s="169">
        <f t="shared" ca="1" si="12"/>
        <v>7.1447331774729421E-3</v>
      </c>
      <c r="V84" s="47">
        <f t="shared" ca="1" si="13"/>
        <v>0</v>
      </c>
    </row>
    <row r="85" spans="5:22">
      <c r="E85" s="32">
        <v>84</v>
      </c>
      <c r="F85" s="45">
        <f t="shared" si="7"/>
        <v>0.224</v>
      </c>
      <c r="G85" s="45">
        <f t="shared" si="8"/>
        <v>1.0035200000000001E-2</v>
      </c>
      <c r="H85" s="45">
        <f ca="1">F85*F85*('Sheet1 select'!$B$25)*$B$3</f>
        <v>1.141205826615621E-3</v>
      </c>
      <c r="I85" s="45">
        <f>F85*(1-$B$3)*'Sheet1 select'!$B$41</f>
        <v>5.2266666666666663E-2</v>
      </c>
      <c r="J85" s="45">
        <f ca="1">F85*F85*('Sheet1 select'!$B$26)*(1-$B$3)</f>
        <v>0</v>
      </c>
      <c r="K85" s="45">
        <f>0.0000005*$B$10*F85*$B$8*((('Sheet1 select'!$B$33+0.5*'Sheet1 select'!$B$32)/(('Sheet1 select'!$B$10-'Sheet1 select'!$B$23)/('Sheet1 select'!$B$27+'Sheet1 select'!$B$8)))+(('Sheet1 select'!$B$33+0.5*'Sheet1 select'!$B$32)/(('Sheet1 select'!$B$23)/('Sheet1 select'!$B$27+'Sheet1 select'!$B$9))))</f>
        <v>3.0670496788144088E-3</v>
      </c>
      <c r="L85" s="45">
        <f>(F85*$B$28)*(('Sheet1 select'!$B$12+'Sheet1 select'!$B$13)*(0.000000001))*$B$8*1000</f>
        <v>0</v>
      </c>
      <c r="M85" s="45">
        <f t="shared" si="9"/>
        <v>3.6617357284970928E-5</v>
      </c>
      <c r="N85" s="46">
        <f>$B$10*'Sheet1 select'!$B$29*0.001</f>
        <v>1.2E-2</v>
      </c>
      <c r="O85" s="44">
        <f>'Sheet1 select'!$B$10*'Sheet1 select'!$B$31*$B$8*1000*0.000000001</f>
        <v>3.0000000000000001E-3</v>
      </c>
      <c r="P85" s="44">
        <f>'Sheet1 select'!$B$35*$B$10*$B$8*1000*0.000000001</f>
        <v>0</v>
      </c>
      <c r="Q85" s="47">
        <f>IF('Sheet1 select'!$B$17=0,0,(0.00000006*0.7+0.00000003*(0.7+F85*1.1*'Sheet1 select'!$B$26))*F85*$B$8*1000)</f>
        <v>0</v>
      </c>
      <c r="R85" s="45">
        <f t="shared" ca="1" si="10"/>
        <v>8.1546739529381657E-2</v>
      </c>
      <c r="S85" s="48">
        <f t="shared" ca="1" si="11"/>
        <v>0.93213186233494205</v>
      </c>
      <c r="T85" s="49">
        <f ca="1">H85+K85+O85+N85+'Sheet1 select'!$B$40*I85+J85+P85</f>
        <v>1.9208255505430032E-2</v>
      </c>
      <c r="U85" s="169">
        <f t="shared" ca="1" si="12"/>
        <v>7.2082555054300296E-3</v>
      </c>
      <c r="V85" s="47">
        <f t="shared" ca="1" si="13"/>
        <v>0</v>
      </c>
    </row>
    <row r="86" spans="5:22">
      <c r="E86" s="32">
        <v>85</v>
      </c>
      <c r="F86" s="45">
        <f t="shared" si="7"/>
        <v>0.22666666666666666</v>
      </c>
      <c r="G86" s="45">
        <f t="shared" si="8"/>
        <v>1.0275555555555555E-2</v>
      </c>
      <c r="H86" s="45">
        <f ca="1">F86*F86*('Sheet1 select'!$B$25)*$B$3</f>
        <v>1.1685391294356377E-3</v>
      </c>
      <c r="I86" s="45">
        <f>F86*(1-$B$3)*'Sheet1 select'!$B$41</f>
        <v>5.2888888888888874E-2</v>
      </c>
      <c r="J86" s="45">
        <f ca="1">F86*F86*('Sheet1 select'!$B$26)*(1-$B$3)</f>
        <v>0</v>
      </c>
      <c r="K86" s="45">
        <f>0.0000005*$B$10*F86*$B$8*((('Sheet1 select'!$B$33+0.5*'Sheet1 select'!$B$32)/(('Sheet1 select'!$B$10-'Sheet1 select'!$B$23)/('Sheet1 select'!$B$27+'Sheet1 select'!$B$8)))+(('Sheet1 select'!$B$33+0.5*'Sheet1 select'!$B$32)/(('Sheet1 select'!$B$23)/('Sheet1 select'!$B$27+'Sheet1 select'!$B$9))))</f>
        <v>3.1035621749907713E-3</v>
      </c>
      <c r="L86" s="45">
        <f>(F86*$B$28)*(('Sheet1 select'!$B$12+'Sheet1 select'!$B$13)*(0.000000001))*$B$8*1000</f>
        <v>0</v>
      </c>
      <c r="M86" s="45">
        <f t="shared" si="9"/>
        <v>3.6617357284970928E-5</v>
      </c>
      <c r="N86" s="46">
        <f>$B$10*'Sheet1 select'!$B$29*0.001</f>
        <v>1.2E-2</v>
      </c>
      <c r="O86" s="44">
        <f>'Sheet1 select'!$B$10*'Sheet1 select'!$B$31*$B$8*1000*0.000000001</f>
        <v>3.0000000000000001E-3</v>
      </c>
      <c r="P86" s="44">
        <f>'Sheet1 select'!$B$35*$B$10*$B$8*1000*0.000000001</f>
        <v>0</v>
      </c>
      <c r="Q86" s="47">
        <f>IF('Sheet1 select'!$B$17=0,0,(0.00000006*0.7+0.00000003*(0.7+F86*1.1*'Sheet1 select'!$B$26))*F86*$B$8*1000)</f>
        <v>0</v>
      </c>
      <c r="R86" s="45">
        <f t="shared" ca="1" si="10"/>
        <v>8.2473163106155808E-2</v>
      </c>
      <c r="S86" s="48">
        <f t="shared" ca="1" si="11"/>
        <v>0.9321658805511569</v>
      </c>
      <c r="T86" s="49">
        <f ca="1">H86+K86+O86+N86+'Sheet1 select'!$B$40*I86+J86+P86</f>
        <v>1.9272101304426408E-2</v>
      </c>
      <c r="U86" s="169">
        <f t="shared" ca="1" si="12"/>
        <v>7.272101304426409E-3</v>
      </c>
      <c r="V86" s="47">
        <f t="shared" ca="1" si="13"/>
        <v>0</v>
      </c>
    </row>
    <row r="87" spans="5:22">
      <c r="E87" s="32">
        <v>86</v>
      </c>
      <c r="F87" s="45">
        <f t="shared" si="7"/>
        <v>0.22933333333333333</v>
      </c>
      <c r="G87" s="45">
        <f t="shared" si="8"/>
        <v>1.0518755555555556E-2</v>
      </c>
      <c r="H87" s="45">
        <f ca="1">F87*F87*('Sheet1 select'!$B$25)*$B$3</f>
        <v>1.1961959032949449E-3</v>
      </c>
      <c r="I87" s="45">
        <f>F87*(1-$B$3)*'Sheet1 select'!$B$41</f>
        <v>5.3511111111111113E-2</v>
      </c>
      <c r="J87" s="45">
        <f ca="1">F87*F87*('Sheet1 select'!$B$26)*(1-$B$3)</f>
        <v>0</v>
      </c>
      <c r="K87" s="45">
        <f>0.0000005*$B$10*F87*$B$8*((('Sheet1 select'!$B$33+0.5*'Sheet1 select'!$B$32)/(('Sheet1 select'!$B$10-'Sheet1 select'!$B$23)/('Sheet1 select'!$B$27+'Sheet1 select'!$B$8)))+(('Sheet1 select'!$B$33+0.5*'Sheet1 select'!$B$32)/(('Sheet1 select'!$B$23)/('Sheet1 select'!$B$27+'Sheet1 select'!$B$9))))</f>
        <v>3.1400746711671337E-3</v>
      </c>
      <c r="L87" s="45">
        <f>(F87*$B$28)*(('Sheet1 select'!$B$12+'Sheet1 select'!$B$13)*(0.000000001))*$B$8*1000</f>
        <v>0</v>
      </c>
      <c r="M87" s="45">
        <f t="shared" si="9"/>
        <v>3.6617357284970928E-5</v>
      </c>
      <c r="N87" s="46">
        <f>$B$10*'Sheet1 select'!$B$29*0.001</f>
        <v>1.2E-2</v>
      </c>
      <c r="O87" s="44">
        <f>'Sheet1 select'!$B$10*'Sheet1 select'!$B$31*$B$8*1000*0.000000001</f>
        <v>3.0000000000000001E-3</v>
      </c>
      <c r="P87" s="44">
        <f>'Sheet1 select'!$B$35*$B$10*$B$8*1000*0.000000001</f>
        <v>0</v>
      </c>
      <c r="Q87" s="47">
        <f>IF('Sheet1 select'!$B$17=0,0,(0.00000006*0.7+0.00000003*(0.7+F87*1.1*'Sheet1 select'!$B$26))*F87*$B$8*1000)</f>
        <v>0</v>
      </c>
      <c r="R87" s="45">
        <f t="shared" ca="1" si="10"/>
        <v>8.3402754598413703E-2</v>
      </c>
      <c r="S87" s="48">
        <f t="shared" ca="1" si="11"/>
        <v>0.9321967092616309</v>
      </c>
      <c r="T87" s="49">
        <f ca="1">H87+K87+O87+N87+'Sheet1 select'!$B$40*I87+J87+P87</f>
        <v>1.9336270574462078E-2</v>
      </c>
      <c r="U87" s="169">
        <f t="shared" ca="1" si="12"/>
        <v>7.3362705744620784E-3</v>
      </c>
      <c r="V87" s="47">
        <f t="shared" ca="1" si="13"/>
        <v>0</v>
      </c>
    </row>
    <row r="88" spans="5:22">
      <c r="E88" s="32">
        <v>87</v>
      </c>
      <c r="F88" s="45">
        <f t="shared" si="7"/>
        <v>0.23200000000000004</v>
      </c>
      <c r="G88" s="45">
        <f t="shared" si="8"/>
        <v>1.0764800000000003E-2</v>
      </c>
      <c r="H88" s="45">
        <f ca="1">F88*F88*('Sheet1 select'!$B$25)*$B$3</f>
        <v>1.2241761481935425E-3</v>
      </c>
      <c r="I88" s="45">
        <f>F88*(1-$B$3)*'Sheet1 select'!$B$41</f>
        <v>5.4133333333333339E-2</v>
      </c>
      <c r="J88" s="45">
        <f ca="1">F88*F88*('Sheet1 select'!$B$26)*(1-$B$3)</f>
        <v>0</v>
      </c>
      <c r="K88" s="45">
        <f>0.0000005*$B$10*F88*$B$8*((('Sheet1 select'!$B$33+0.5*'Sheet1 select'!$B$32)/(('Sheet1 select'!$B$10-'Sheet1 select'!$B$23)/('Sheet1 select'!$B$27+'Sheet1 select'!$B$8)))+(('Sheet1 select'!$B$33+0.5*'Sheet1 select'!$B$32)/(('Sheet1 select'!$B$23)/('Sheet1 select'!$B$27+'Sheet1 select'!$B$9))))</f>
        <v>3.1765871673434956E-3</v>
      </c>
      <c r="L88" s="45">
        <f>(F88*$B$28)*(('Sheet1 select'!$B$12+'Sheet1 select'!$B$13)*(0.000000001))*$B$8*1000</f>
        <v>0</v>
      </c>
      <c r="M88" s="45">
        <f t="shared" si="9"/>
        <v>3.6617357284970928E-5</v>
      </c>
      <c r="N88" s="46">
        <f>$B$10*'Sheet1 select'!$B$29*0.001</f>
        <v>1.2E-2</v>
      </c>
      <c r="O88" s="44">
        <f>'Sheet1 select'!$B$10*'Sheet1 select'!$B$31*$B$8*1000*0.000000001</f>
        <v>3.0000000000000001E-3</v>
      </c>
      <c r="P88" s="44">
        <f>'Sheet1 select'!$B$35*$B$10*$B$8*1000*0.000000001</f>
        <v>0</v>
      </c>
      <c r="Q88" s="47">
        <f>IF('Sheet1 select'!$B$17=0,0,(0.00000006*0.7+0.00000003*(0.7+F88*1.1*'Sheet1 select'!$B$26))*F88*$B$8*1000)</f>
        <v>0</v>
      </c>
      <c r="R88" s="45">
        <f t="shared" ca="1" si="10"/>
        <v>8.4335514006155354E-2</v>
      </c>
      <c r="S88" s="48">
        <f t="shared" ca="1" si="11"/>
        <v>0.93222445790795128</v>
      </c>
      <c r="T88" s="49">
        <f ca="1">H88+K88+O88+N88+'Sheet1 select'!$B$40*I88+J88+P88</f>
        <v>1.9400763315537039E-2</v>
      </c>
      <c r="U88" s="169">
        <f t="shared" ca="1" si="12"/>
        <v>7.4007633155370378E-3</v>
      </c>
      <c r="V88" s="47">
        <f t="shared" ca="1" si="13"/>
        <v>0</v>
      </c>
    </row>
    <row r="89" spans="5:22">
      <c r="E89" s="32">
        <v>88</v>
      </c>
      <c r="F89" s="45">
        <f t="shared" si="7"/>
        <v>0.23466666666666669</v>
      </c>
      <c r="G89" s="45">
        <f t="shared" si="8"/>
        <v>1.1013688888888892E-2</v>
      </c>
      <c r="H89" s="45">
        <f ca="1">F89*F89*('Sheet1 select'!$B$25)*$B$3</f>
        <v>1.2524798641314297E-3</v>
      </c>
      <c r="I89" s="45">
        <f>F89*(1-$B$3)*'Sheet1 select'!$B$41</f>
        <v>5.4755555555555557E-2</v>
      </c>
      <c r="J89" s="45">
        <f ca="1">F89*F89*('Sheet1 select'!$B$26)*(1-$B$3)</f>
        <v>0</v>
      </c>
      <c r="K89" s="45">
        <f>0.0000005*$B$10*F89*$B$8*((('Sheet1 select'!$B$33+0.5*'Sheet1 select'!$B$32)/(('Sheet1 select'!$B$10-'Sheet1 select'!$B$23)/('Sheet1 select'!$B$27+'Sheet1 select'!$B$8)))+(('Sheet1 select'!$B$33+0.5*'Sheet1 select'!$B$32)/(('Sheet1 select'!$B$23)/('Sheet1 select'!$B$27+'Sheet1 select'!$B$9))))</f>
        <v>3.2130996635198576E-3</v>
      </c>
      <c r="L89" s="45">
        <f>(F89*$B$28)*(('Sheet1 select'!$B$12+'Sheet1 select'!$B$13)*(0.000000001))*$B$8*1000</f>
        <v>0</v>
      </c>
      <c r="M89" s="45">
        <f t="shared" si="9"/>
        <v>3.6617357284970928E-5</v>
      </c>
      <c r="N89" s="46">
        <f>$B$10*'Sheet1 select'!$B$29*0.001</f>
        <v>1.2E-2</v>
      </c>
      <c r="O89" s="44">
        <f>'Sheet1 select'!$B$10*'Sheet1 select'!$B$31*$B$8*1000*0.000000001</f>
        <v>3.0000000000000001E-3</v>
      </c>
      <c r="P89" s="44">
        <f>'Sheet1 select'!$B$35*$B$10*$B$8*1000*0.000000001</f>
        <v>0</v>
      </c>
      <c r="Q89" s="47">
        <f>IF('Sheet1 select'!$B$17=0,0,(0.00000006*0.7+0.00000003*(0.7+F89*1.1*'Sheet1 select'!$B$26))*F89*$B$8*1000)</f>
        <v>0</v>
      </c>
      <c r="R89" s="45">
        <f t="shared" ca="1" si="10"/>
        <v>8.5271441329380707E-2</v>
      </c>
      <c r="S89" s="48">
        <f t="shared" ca="1" si="11"/>
        <v>0.93224923101675661</v>
      </c>
      <c r="T89" s="49">
        <f ca="1">H89+K89+O89+N89+'Sheet1 select'!$B$40*I89+J89+P89</f>
        <v>1.9465579527651287E-2</v>
      </c>
      <c r="U89" s="169">
        <f t="shared" ca="1" si="12"/>
        <v>7.4655795276512872E-3</v>
      </c>
      <c r="V89" s="47">
        <f t="shared" ca="1" si="13"/>
        <v>0</v>
      </c>
    </row>
    <row r="90" spans="5:22">
      <c r="E90" s="32">
        <v>89</v>
      </c>
      <c r="F90" s="45">
        <f t="shared" si="7"/>
        <v>0.23733333333333334</v>
      </c>
      <c r="G90" s="45">
        <f t="shared" si="8"/>
        <v>1.1265422222222222E-2</v>
      </c>
      <c r="H90" s="45">
        <f ca="1">F90*F90*('Sheet1 select'!$B$25)*$B$3</f>
        <v>1.281107051108607E-3</v>
      </c>
      <c r="I90" s="45">
        <f>F90*(1-$B$3)*'Sheet1 select'!$B$41</f>
        <v>5.5377777777777776E-2</v>
      </c>
      <c r="J90" s="45">
        <f ca="1">F90*F90*('Sheet1 select'!$B$26)*(1-$B$3)</f>
        <v>0</v>
      </c>
      <c r="K90" s="45">
        <f>0.0000005*$B$10*F90*$B$8*((('Sheet1 select'!$B$33+0.5*'Sheet1 select'!$B$32)/(('Sheet1 select'!$B$10-'Sheet1 select'!$B$23)/('Sheet1 select'!$B$27+'Sheet1 select'!$B$8)))+(('Sheet1 select'!$B$33+0.5*'Sheet1 select'!$B$32)/(('Sheet1 select'!$B$23)/('Sheet1 select'!$B$27+'Sheet1 select'!$B$9))))</f>
        <v>3.2496121596962192E-3</v>
      </c>
      <c r="L90" s="45">
        <f>(F90*$B$28)*(('Sheet1 select'!$B$12+'Sheet1 select'!$B$13)*(0.000000001))*$B$8*1000</f>
        <v>0</v>
      </c>
      <c r="M90" s="45">
        <f t="shared" si="9"/>
        <v>3.6617357284970928E-5</v>
      </c>
      <c r="N90" s="46">
        <f>$B$10*'Sheet1 select'!$B$29*0.001</f>
        <v>1.2E-2</v>
      </c>
      <c r="O90" s="44">
        <f>'Sheet1 select'!$B$10*'Sheet1 select'!$B$31*$B$8*1000*0.000000001</f>
        <v>3.0000000000000001E-3</v>
      </c>
      <c r="P90" s="44">
        <f>'Sheet1 select'!$B$35*$B$10*$B$8*1000*0.000000001</f>
        <v>0</v>
      </c>
      <c r="Q90" s="47">
        <f>IF('Sheet1 select'!$B$17=0,0,(0.00000006*0.7+0.00000003*(0.7+F90*1.1*'Sheet1 select'!$B$26))*F90*$B$8*1000)</f>
        <v>0</v>
      </c>
      <c r="R90" s="45">
        <f t="shared" ca="1" si="10"/>
        <v>8.6210536568089788E-2</v>
      </c>
      <c r="S90" s="48">
        <f t="shared" ca="1" si="11"/>
        <v>0.93227112847256322</v>
      </c>
      <c r="T90" s="49">
        <f ca="1">H90+K90+O90+N90+'Sheet1 select'!$B$40*I90+J90+P90</f>
        <v>1.9530719210804827E-2</v>
      </c>
      <c r="U90" s="169">
        <f t="shared" ca="1" si="12"/>
        <v>7.5307192108048258E-3</v>
      </c>
      <c r="V90" s="47">
        <f t="shared" ca="1" si="13"/>
        <v>0</v>
      </c>
    </row>
    <row r="91" spans="5:22">
      <c r="E91" s="32">
        <v>90</v>
      </c>
      <c r="F91" s="45">
        <f t="shared" si="7"/>
        <v>0.24</v>
      </c>
      <c r="G91" s="45">
        <f t="shared" si="8"/>
        <v>1.1519999999999999E-2</v>
      </c>
      <c r="H91" s="45">
        <f ca="1">F91*F91*('Sheet1 select'!$B$25)*$B$3</f>
        <v>1.3100577091250747E-3</v>
      </c>
      <c r="I91" s="45">
        <f>F91*(1-$B$3)*'Sheet1 select'!$B$41</f>
        <v>5.5999999999999994E-2</v>
      </c>
      <c r="J91" s="45">
        <f ca="1">F91*F91*('Sheet1 select'!$B$26)*(1-$B$3)</f>
        <v>0</v>
      </c>
      <c r="K91" s="45">
        <f>0.0000005*$B$10*F91*$B$8*((('Sheet1 select'!$B$33+0.5*'Sheet1 select'!$B$32)/(('Sheet1 select'!$B$10-'Sheet1 select'!$B$23)/('Sheet1 select'!$B$27+'Sheet1 select'!$B$8)))+(('Sheet1 select'!$B$33+0.5*'Sheet1 select'!$B$32)/(('Sheet1 select'!$B$23)/('Sheet1 select'!$B$27+'Sheet1 select'!$B$9))))</f>
        <v>3.2861246558725816E-3</v>
      </c>
      <c r="L91" s="45">
        <f>(F91*$B$28)*(('Sheet1 select'!$B$12+'Sheet1 select'!$B$13)*(0.000000001))*$B$8*1000</f>
        <v>0</v>
      </c>
      <c r="M91" s="45">
        <f t="shared" si="9"/>
        <v>3.6617357284970928E-5</v>
      </c>
      <c r="N91" s="46">
        <f>$B$10*'Sheet1 select'!$B$29*0.001</f>
        <v>1.2E-2</v>
      </c>
      <c r="O91" s="44">
        <f>'Sheet1 select'!$B$10*'Sheet1 select'!$B$31*$B$8*1000*0.000000001</f>
        <v>3.0000000000000001E-3</v>
      </c>
      <c r="P91" s="44">
        <f>'Sheet1 select'!$B$35*$B$10*$B$8*1000*0.000000001</f>
        <v>0</v>
      </c>
      <c r="Q91" s="47">
        <f>IF('Sheet1 select'!$B$17=0,0,(0.00000006*0.7+0.00000003*(0.7+F91*1.1*'Sheet1 select'!$B$26))*F91*$B$8*1000)</f>
        <v>0</v>
      </c>
      <c r="R91" s="45">
        <f t="shared" ca="1" si="10"/>
        <v>8.7152799722282612E-2</v>
      </c>
      <c r="S91" s="48">
        <f t="shared" ca="1" si="11"/>
        <v>0.93229024577261788</v>
      </c>
      <c r="T91" s="49">
        <f ca="1">H91+K91+O91+N91+'Sheet1 select'!$B$40*I91+J91+P91</f>
        <v>1.9596182364997657E-2</v>
      </c>
      <c r="U91" s="169">
        <f t="shared" ca="1" si="12"/>
        <v>7.5961823649976562E-3</v>
      </c>
      <c r="V91" s="47">
        <f t="shared" ca="1" si="13"/>
        <v>0</v>
      </c>
    </row>
    <row r="92" spans="5:22">
      <c r="E92" s="32">
        <v>91</v>
      </c>
      <c r="F92" s="45">
        <f t="shared" si="7"/>
        <v>0.24266666666666667</v>
      </c>
      <c r="G92" s="45">
        <f t="shared" si="8"/>
        <v>1.1777422222222222E-2</v>
      </c>
      <c r="H92" s="45">
        <f ca="1">F92*F92*('Sheet1 select'!$B$25)*$B$3</f>
        <v>1.3393318381808327E-3</v>
      </c>
      <c r="I92" s="45">
        <f>F92*(1-$B$3)*'Sheet1 select'!$B$41</f>
        <v>5.662222222222222E-2</v>
      </c>
      <c r="J92" s="45">
        <f ca="1">F92*F92*('Sheet1 select'!$B$26)*(1-$B$3)</f>
        <v>0</v>
      </c>
      <c r="K92" s="45">
        <f>0.0000005*$B$10*F92*$B$8*((('Sheet1 select'!$B$33+0.5*'Sheet1 select'!$B$32)/(('Sheet1 select'!$B$10-'Sheet1 select'!$B$23)/('Sheet1 select'!$B$27+'Sheet1 select'!$B$8)))+(('Sheet1 select'!$B$33+0.5*'Sheet1 select'!$B$32)/(('Sheet1 select'!$B$23)/('Sheet1 select'!$B$27+'Sheet1 select'!$B$9))))</f>
        <v>3.3226371520489436E-3</v>
      </c>
      <c r="L92" s="45">
        <f>(F92*$B$28)*(('Sheet1 select'!$B$12+'Sheet1 select'!$B$13)*(0.000000001))*$B$8*1000</f>
        <v>0</v>
      </c>
      <c r="M92" s="45">
        <f t="shared" si="9"/>
        <v>3.6617357284970928E-5</v>
      </c>
      <c r="N92" s="46">
        <f>$B$10*'Sheet1 select'!$B$29*0.001</f>
        <v>1.2E-2</v>
      </c>
      <c r="O92" s="44">
        <f>'Sheet1 select'!$B$10*'Sheet1 select'!$B$31*$B$8*1000*0.000000001</f>
        <v>3.0000000000000001E-3</v>
      </c>
      <c r="P92" s="44">
        <f>'Sheet1 select'!$B$35*$B$10*$B$8*1000*0.000000001</f>
        <v>0</v>
      </c>
      <c r="Q92" s="47">
        <f>IF('Sheet1 select'!$B$17=0,0,(0.00000006*0.7+0.00000003*(0.7+F92*1.1*'Sheet1 select'!$B$26))*F92*$B$8*1000)</f>
        <v>0</v>
      </c>
      <c r="R92" s="45">
        <f t="shared" ca="1" si="10"/>
        <v>8.8098230791959192E-2</v>
      </c>
      <c r="S92" s="48">
        <f t="shared" ca="1" si="11"/>
        <v>0.93230667426514202</v>
      </c>
      <c r="T92" s="49">
        <f ca="1">H92+K92+O92+N92+'Sheet1 select'!$B$40*I92+J92+P92</f>
        <v>1.9661968990229775E-2</v>
      </c>
      <c r="U92" s="169">
        <f t="shared" ca="1" si="12"/>
        <v>7.6619689902297766E-3</v>
      </c>
      <c r="V92" s="47">
        <f t="shared" ca="1" si="13"/>
        <v>0</v>
      </c>
    </row>
    <row r="93" spans="5:22">
      <c r="E93" s="32">
        <v>92</v>
      </c>
      <c r="F93" s="45">
        <f t="shared" si="7"/>
        <v>0.24533333333333338</v>
      </c>
      <c r="G93" s="45">
        <f t="shared" si="8"/>
        <v>1.2037688888888894E-2</v>
      </c>
      <c r="H93" s="45">
        <f ca="1">F93*F93*('Sheet1 select'!$B$25)*$B$3</f>
        <v>1.3689294382758811E-3</v>
      </c>
      <c r="I93" s="45">
        <f>F93*(1-$B$3)*'Sheet1 select'!$B$41</f>
        <v>5.7244444444444445E-2</v>
      </c>
      <c r="J93" s="45">
        <f ca="1">F93*F93*('Sheet1 select'!$B$26)*(1-$B$3)</f>
        <v>0</v>
      </c>
      <c r="K93" s="45">
        <f>0.0000005*$B$10*F93*$B$8*((('Sheet1 select'!$B$33+0.5*'Sheet1 select'!$B$32)/(('Sheet1 select'!$B$10-'Sheet1 select'!$B$23)/('Sheet1 select'!$B$27+'Sheet1 select'!$B$8)))+(('Sheet1 select'!$B$33+0.5*'Sheet1 select'!$B$32)/(('Sheet1 select'!$B$23)/('Sheet1 select'!$B$27+'Sheet1 select'!$B$9))))</f>
        <v>3.359149648225306E-3</v>
      </c>
      <c r="L93" s="45">
        <f>(F93*$B$28)*(('Sheet1 select'!$B$12+'Sheet1 select'!$B$13)*(0.000000001))*$B$8*1000</f>
        <v>0</v>
      </c>
      <c r="M93" s="45">
        <f t="shared" si="9"/>
        <v>3.6617357284970928E-5</v>
      </c>
      <c r="N93" s="46">
        <f>$B$10*'Sheet1 select'!$B$29*0.001</f>
        <v>1.2E-2</v>
      </c>
      <c r="O93" s="44">
        <f>'Sheet1 select'!$B$10*'Sheet1 select'!$B$31*$B$8*1000*0.000000001</f>
        <v>3.0000000000000001E-3</v>
      </c>
      <c r="P93" s="44">
        <f>'Sheet1 select'!$B$35*$B$10*$B$8*1000*0.000000001</f>
        <v>0</v>
      </c>
      <c r="Q93" s="47">
        <f>IF('Sheet1 select'!$B$17=0,0,(0.00000006*0.7+0.00000003*(0.7+F93*1.1*'Sheet1 select'!$B$26))*F93*$B$8*1000)</f>
        <v>0</v>
      </c>
      <c r="R93" s="45">
        <f t="shared" ca="1" si="10"/>
        <v>8.9046829777119502E-2</v>
      </c>
      <c r="S93" s="48">
        <f t="shared" ca="1" si="11"/>
        <v>0.93232050137221956</v>
      </c>
      <c r="T93" s="49">
        <f ca="1">H93+K93+O93+N93+'Sheet1 select'!$B$40*I93+J93+P93</f>
        <v>1.9728079086501187E-2</v>
      </c>
      <c r="U93" s="169">
        <f t="shared" ca="1" si="12"/>
        <v>7.728079086501187E-3</v>
      </c>
      <c r="V93" s="47">
        <f t="shared" ca="1" si="13"/>
        <v>0</v>
      </c>
    </row>
    <row r="94" spans="5:22">
      <c r="E94" s="32">
        <v>93</v>
      </c>
      <c r="F94" s="45">
        <f t="shared" si="7"/>
        <v>0.24800000000000003</v>
      </c>
      <c r="G94" s="45">
        <f t="shared" si="8"/>
        <v>1.2300800000000002E-2</v>
      </c>
      <c r="H94" s="45">
        <f ca="1">F94*F94*('Sheet1 select'!$B$25)*$B$3</f>
        <v>1.398850509410219E-3</v>
      </c>
      <c r="I94" s="45">
        <f>F94*(1-$B$3)*'Sheet1 select'!$B$41</f>
        <v>5.786666666666667E-2</v>
      </c>
      <c r="J94" s="45">
        <f ca="1">F94*F94*('Sheet1 select'!$B$26)*(1-$B$3)</f>
        <v>0</v>
      </c>
      <c r="K94" s="45">
        <f>0.0000005*$B$10*F94*$B$8*((('Sheet1 select'!$B$33+0.5*'Sheet1 select'!$B$32)/(('Sheet1 select'!$B$10-'Sheet1 select'!$B$23)/('Sheet1 select'!$B$27+'Sheet1 select'!$B$8)))+(('Sheet1 select'!$B$33+0.5*'Sheet1 select'!$B$32)/(('Sheet1 select'!$B$23)/('Sheet1 select'!$B$27+'Sheet1 select'!$B$9))))</f>
        <v>3.3956621444016675E-3</v>
      </c>
      <c r="L94" s="45">
        <f>(F94*$B$28)*(('Sheet1 select'!$B$12+'Sheet1 select'!$B$13)*(0.000000001))*$B$8*1000</f>
        <v>0</v>
      </c>
      <c r="M94" s="45">
        <f t="shared" si="9"/>
        <v>3.6617357284970928E-5</v>
      </c>
      <c r="N94" s="46">
        <f>$B$10*'Sheet1 select'!$B$29*0.001</f>
        <v>1.2E-2</v>
      </c>
      <c r="O94" s="44">
        <f>'Sheet1 select'!$B$10*'Sheet1 select'!$B$31*$B$8*1000*0.000000001</f>
        <v>3.0000000000000001E-3</v>
      </c>
      <c r="P94" s="44">
        <f>'Sheet1 select'!$B$35*$B$10*$B$8*1000*0.000000001</f>
        <v>0</v>
      </c>
      <c r="Q94" s="47">
        <f>IF('Sheet1 select'!$B$17=0,0,(0.00000006*0.7+0.00000003*(0.7+F94*1.1*'Sheet1 select'!$B$26))*F94*$B$8*1000)</f>
        <v>0</v>
      </c>
      <c r="R94" s="45">
        <f t="shared" ca="1" si="10"/>
        <v>8.9998596677763526E-2</v>
      </c>
      <c r="S94" s="48">
        <f t="shared" ca="1" si="11"/>
        <v>0.93233181079846761</v>
      </c>
      <c r="T94" s="49">
        <f ca="1">H94+K94+O94+N94+'Sheet1 select'!$B$40*I94+J94+P94</f>
        <v>1.9794512653811887E-2</v>
      </c>
      <c r="U94" s="169">
        <f t="shared" ca="1" si="12"/>
        <v>7.7945126538118865E-3</v>
      </c>
      <c r="V94" s="47">
        <f t="shared" ca="1" si="13"/>
        <v>0</v>
      </c>
    </row>
    <row r="95" spans="5:22">
      <c r="E95" s="32">
        <v>94</v>
      </c>
      <c r="F95" s="45">
        <f t="shared" si="7"/>
        <v>0.25066666666666665</v>
      </c>
      <c r="G95" s="45">
        <f t="shared" si="8"/>
        <v>1.2566755555555552E-2</v>
      </c>
      <c r="H95" s="45">
        <f ca="1">F95*F95*('Sheet1 select'!$B$25)*$B$3</f>
        <v>1.4290950515838468E-3</v>
      </c>
      <c r="I95" s="45">
        <f>F95*(1-$B$3)*'Sheet1 select'!$B$41</f>
        <v>5.8488888888888882E-2</v>
      </c>
      <c r="J95" s="45">
        <f ca="1">F95*F95*('Sheet1 select'!$B$26)*(1-$B$3)</f>
        <v>0</v>
      </c>
      <c r="K95" s="45">
        <f>0.0000005*$B$10*F95*$B$8*((('Sheet1 select'!$B$33+0.5*'Sheet1 select'!$B$32)/(('Sheet1 select'!$B$10-'Sheet1 select'!$B$23)/('Sheet1 select'!$B$27+'Sheet1 select'!$B$8)))+(('Sheet1 select'!$B$33+0.5*'Sheet1 select'!$B$32)/(('Sheet1 select'!$B$23)/('Sheet1 select'!$B$27+'Sheet1 select'!$B$9))))</f>
        <v>3.4321746405780295E-3</v>
      </c>
      <c r="L95" s="45">
        <f>(F95*$B$28)*(('Sheet1 select'!$B$12+'Sheet1 select'!$B$13)*(0.000000001))*$B$8*1000</f>
        <v>0</v>
      </c>
      <c r="M95" s="45">
        <f t="shared" si="9"/>
        <v>3.6617357284970928E-5</v>
      </c>
      <c r="N95" s="46">
        <f>$B$10*'Sheet1 select'!$B$29*0.001</f>
        <v>1.2E-2</v>
      </c>
      <c r="O95" s="44">
        <f>'Sheet1 select'!$B$10*'Sheet1 select'!$B$31*$B$8*1000*0.000000001</f>
        <v>3.0000000000000001E-3</v>
      </c>
      <c r="P95" s="44">
        <f>'Sheet1 select'!$B$35*$B$10*$B$8*1000*0.000000001</f>
        <v>0</v>
      </c>
      <c r="Q95" s="47">
        <f>IF('Sheet1 select'!$B$17=0,0,(0.00000006*0.7+0.00000003*(0.7+F95*1.1*'Sheet1 select'!$B$26))*F95*$B$8*1000)</f>
        <v>0</v>
      </c>
      <c r="R95" s="45">
        <f t="shared" ca="1" si="10"/>
        <v>9.0953531493891279E-2</v>
      </c>
      <c r="S95" s="48">
        <f t="shared" ca="1" si="11"/>
        <v>0.93234068272653914</v>
      </c>
      <c r="T95" s="49">
        <f ca="1">H95+K95+O95+N95+'Sheet1 select'!$B$40*I95+J95+P95</f>
        <v>1.9861269692161877E-2</v>
      </c>
      <c r="U95" s="169">
        <f t="shared" ca="1" si="12"/>
        <v>7.861269692161877E-3</v>
      </c>
      <c r="V95" s="47">
        <f t="shared" ca="1" si="13"/>
        <v>0</v>
      </c>
    </row>
    <row r="96" spans="5:22">
      <c r="E96" s="32">
        <v>95</v>
      </c>
      <c r="F96" s="45">
        <f t="shared" si="7"/>
        <v>0.25333333333333335</v>
      </c>
      <c r="G96" s="45">
        <f t="shared" si="8"/>
        <v>1.2835555555555558E-2</v>
      </c>
      <c r="H96" s="45">
        <f ca="1">F96*F96*('Sheet1 select'!$B$25)*$B$3</f>
        <v>1.4596630647967658E-3</v>
      </c>
      <c r="I96" s="45">
        <f>F96*(1-$B$3)*'Sheet1 select'!$B$41</f>
        <v>5.9111111111111107E-2</v>
      </c>
      <c r="J96" s="45">
        <f ca="1">F96*F96*('Sheet1 select'!$B$26)*(1-$B$3)</f>
        <v>0</v>
      </c>
      <c r="K96" s="45">
        <f>0.0000005*$B$10*F96*$B$8*((('Sheet1 select'!$B$33+0.5*'Sheet1 select'!$B$32)/(('Sheet1 select'!$B$10-'Sheet1 select'!$B$23)/('Sheet1 select'!$B$27+'Sheet1 select'!$B$8)))+(('Sheet1 select'!$B$33+0.5*'Sheet1 select'!$B$32)/(('Sheet1 select'!$B$23)/('Sheet1 select'!$B$27+'Sheet1 select'!$B$9))))</f>
        <v>3.4686871367543923E-3</v>
      </c>
      <c r="L96" s="45">
        <f>(F96*$B$28)*(('Sheet1 select'!$B$12+'Sheet1 select'!$B$13)*(0.000000001))*$B$8*1000</f>
        <v>0</v>
      </c>
      <c r="M96" s="45">
        <f t="shared" si="9"/>
        <v>3.6617357284970928E-5</v>
      </c>
      <c r="N96" s="46">
        <f>$B$10*'Sheet1 select'!$B$29*0.001</f>
        <v>1.2E-2</v>
      </c>
      <c r="O96" s="44">
        <f>'Sheet1 select'!$B$10*'Sheet1 select'!$B$31*$B$8*1000*0.000000001</f>
        <v>3.0000000000000001E-3</v>
      </c>
      <c r="P96" s="44">
        <f>'Sheet1 select'!$B$35*$B$10*$B$8*1000*0.000000001</f>
        <v>0</v>
      </c>
      <c r="Q96" s="47">
        <f>IF('Sheet1 select'!$B$17=0,0,(0.00000006*0.7+0.00000003*(0.7+F96*1.1*'Sheet1 select'!$B$26))*F96*$B$8*1000)</f>
        <v>0</v>
      </c>
      <c r="R96" s="45">
        <f t="shared" ca="1" si="10"/>
        <v>9.1911634225502803E-2</v>
      </c>
      <c r="S96" s="48">
        <f t="shared" ca="1" si="11"/>
        <v>0.93234719400041566</v>
      </c>
      <c r="T96" s="49">
        <f ca="1">H96+K96+O96+N96+'Sheet1 select'!$B$40*I96+J96+P96</f>
        <v>1.9928350201551159E-2</v>
      </c>
      <c r="U96" s="169">
        <f t="shared" ca="1" si="12"/>
        <v>7.9283502015511584E-3</v>
      </c>
      <c r="V96" s="47">
        <f t="shared" ca="1" si="13"/>
        <v>0</v>
      </c>
    </row>
    <row r="97" spans="5:22">
      <c r="E97" s="32">
        <v>96</v>
      </c>
      <c r="F97" s="45">
        <f t="shared" si="7"/>
        <v>0.25600000000000006</v>
      </c>
      <c r="G97" s="45">
        <f t="shared" si="8"/>
        <v>1.3107200000000005E-2</v>
      </c>
      <c r="H97" s="45">
        <f ca="1">F97*F97*('Sheet1 select'!$B$25)*$B$3</f>
        <v>1.4905545490489745E-3</v>
      </c>
      <c r="I97" s="45">
        <f>F97*(1-$B$3)*'Sheet1 select'!$B$41</f>
        <v>5.973333333333334E-2</v>
      </c>
      <c r="J97" s="45">
        <f ca="1">F97*F97*('Sheet1 select'!$B$26)*(1-$B$3)</f>
        <v>0</v>
      </c>
      <c r="K97" s="45">
        <f>0.0000005*$B$10*F97*$B$8*((('Sheet1 select'!$B$33+0.5*'Sheet1 select'!$B$32)/(('Sheet1 select'!$B$10-'Sheet1 select'!$B$23)/('Sheet1 select'!$B$27+'Sheet1 select'!$B$8)))+(('Sheet1 select'!$B$33+0.5*'Sheet1 select'!$B$32)/(('Sheet1 select'!$B$23)/('Sheet1 select'!$B$27+'Sheet1 select'!$B$9))))</f>
        <v>3.5051996329307543E-3</v>
      </c>
      <c r="L97" s="45">
        <f>(F97*$B$28)*(('Sheet1 select'!$B$12+'Sheet1 select'!$B$13)*(0.000000001))*$B$8*1000</f>
        <v>0</v>
      </c>
      <c r="M97" s="45">
        <f t="shared" si="9"/>
        <v>3.6617357284970928E-5</v>
      </c>
      <c r="N97" s="46">
        <f>$B$10*'Sheet1 select'!$B$29*0.001</f>
        <v>1.2E-2</v>
      </c>
      <c r="O97" s="44">
        <f>'Sheet1 select'!$B$10*'Sheet1 select'!$B$31*$B$8*1000*0.000000001</f>
        <v>3.0000000000000001E-3</v>
      </c>
      <c r="P97" s="44">
        <f>'Sheet1 select'!$B$35*$B$10*$B$8*1000*0.000000001</f>
        <v>0</v>
      </c>
      <c r="Q97" s="47">
        <f>IF('Sheet1 select'!$B$17=0,0,(0.00000006*0.7+0.00000003*(0.7+F97*1.1*'Sheet1 select'!$B$26))*F97*$B$8*1000)</f>
        <v>0</v>
      </c>
      <c r="R97" s="45">
        <f t="shared" ca="1" si="10"/>
        <v>9.2872904872598042E-2</v>
      </c>
      <c r="S97" s="48">
        <f t="shared" ca="1" si="11"/>
        <v>0.93235141829737211</v>
      </c>
      <c r="T97" s="49">
        <f ca="1">H97+K97+O97+N97+'Sheet1 select'!$B$40*I97+J97+P97</f>
        <v>1.9995754181979727E-2</v>
      </c>
      <c r="U97" s="169">
        <f t="shared" ca="1" si="12"/>
        <v>7.9957541819797289E-3</v>
      </c>
      <c r="V97" s="47">
        <f t="shared" ca="1" si="13"/>
        <v>0</v>
      </c>
    </row>
    <row r="98" spans="5:22">
      <c r="E98" s="32">
        <v>97</v>
      </c>
      <c r="F98" s="45">
        <f t="shared" si="7"/>
        <v>0.25866666666666671</v>
      </c>
      <c r="G98" s="45">
        <f t="shared" si="8"/>
        <v>1.3381688888888894E-2</v>
      </c>
      <c r="H98" s="45">
        <f ca="1">F98*F98*('Sheet1 select'!$B$25)*$B$3</f>
        <v>1.5217695043404731E-3</v>
      </c>
      <c r="I98" s="45">
        <f>F98*(1-$B$3)*'Sheet1 select'!$B$41</f>
        <v>6.0355555555555565E-2</v>
      </c>
      <c r="J98" s="45">
        <f ca="1">F98*F98*('Sheet1 select'!$B$26)*(1-$B$3)</f>
        <v>0</v>
      </c>
      <c r="K98" s="45">
        <f>0.0000005*$B$10*F98*$B$8*((('Sheet1 select'!$B$33+0.5*'Sheet1 select'!$B$32)/(('Sheet1 select'!$B$10-'Sheet1 select'!$B$23)/('Sheet1 select'!$B$27+'Sheet1 select'!$B$8)))+(('Sheet1 select'!$B$33+0.5*'Sheet1 select'!$B$32)/(('Sheet1 select'!$B$23)/('Sheet1 select'!$B$27+'Sheet1 select'!$B$9))))</f>
        <v>3.5417121291071163E-3</v>
      </c>
      <c r="L98" s="45">
        <f>(F98*$B$28)*(('Sheet1 select'!$B$12+'Sheet1 select'!$B$13)*(0.000000001))*$B$8*1000</f>
        <v>0</v>
      </c>
      <c r="M98" s="45">
        <f t="shared" si="9"/>
        <v>3.6617357284970928E-5</v>
      </c>
      <c r="N98" s="46">
        <f>$B$10*'Sheet1 select'!$B$29*0.001</f>
        <v>1.2E-2</v>
      </c>
      <c r="O98" s="44">
        <f>'Sheet1 select'!$B$10*'Sheet1 select'!$B$31*$B$8*1000*0.000000001</f>
        <v>3.0000000000000001E-3</v>
      </c>
      <c r="P98" s="44">
        <f>'Sheet1 select'!$B$35*$B$10*$B$8*1000*0.000000001</f>
        <v>0</v>
      </c>
      <c r="Q98" s="47">
        <f>IF('Sheet1 select'!$B$17=0,0,(0.00000006*0.7+0.00000003*(0.7+F98*1.1*'Sheet1 select'!$B$26))*F98*$B$8*1000)</f>
        <v>0</v>
      </c>
      <c r="R98" s="45">
        <f t="shared" ca="1" si="10"/>
        <v>9.3837343435177009E-2</v>
      </c>
      <c r="S98" s="48">
        <f t="shared" ca="1" si="11"/>
        <v>0.93235342628941942</v>
      </c>
      <c r="T98" s="49">
        <f ca="1">H98+K98+O98+N98+'Sheet1 select'!$B$40*I98+J98+P98</f>
        <v>2.0063481633447591E-2</v>
      </c>
      <c r="U98" s="169">
        <f t="shared" ca="1" si="12"/>
        <v>8.0634816334475903E-3</v>
      </c>
      <c r="V98" s="47">
        <f t="shared" ca="1" si="13"/>
        <v>0</v>
      </c>
    </row>
    <row r="99" spans="5:22">
      <c r="E99" s="32">
        <v>98</v>
      </c>
      <c r="F99" s="45">
        <f t="shared" si="7"/>
        <v>0.26133333333333336</v>
      </c>
      <c r="G99" s="45">
        <f t="shared" si="8"/>
        <v>1.3659022222222225E-2</v>
      </c>
      <c r="H99" s="45">
        <f ca="1">F99*F99*('Sheet1 select'!$B$25)*$B$3</f>
        <v>1.5533079306712619E-3</v>
      </c>
      <c r="I99" s="45">
        <f>F99*(1-$B$3)*'Sheet1 select'!$B$41</f>
        <v>6.0977777777777777E-2</v>
      </c>
      <c r="J99" s="45">
        <f ca="1">F99*F99*('Sheet1 select'!$B$26)*(1-$B$3)</f>
        <v>0</v>
      </c>
      <c r="K99" s="45">
        <f>0.0000005*$B$10*F99*$B$8*((('Sheet1 select'!$B$33+0.5*'Sheet1 select'!$B$32)/(('Sheet1 select'!$B$10-'Sheet1 select'!$B$23)/('Sheet1 select'!$B$27+'Sheet1 select'!$B$8)))+(('Sheet1 select'!$B$33+0.5*'Sheet1 select'!$B$32)/(('Sheet1 select'!$B$23)/('Sheet1 select'!$B$27+'Sheet1 select'!$B$9))))</f>
        <v>3.5782246252834778E-3</v>
      </c>
      <c r="L99" s="45">
        <f>(F99*$B$28)*(('Sheet1 select'!$B$12+'Sheet1 select'!$B$13)*(0.000000001))*$B$8*1000</f>
        <v>0</v>
      </c>
      <c r="M99" s="45">
        <f t="shared" si="9"/>
        <v>3.6617357284970928E-5</v>
      </c>
      <c r="N99" s="46">
        <f>$B$10*'Sheet1 select'!$B$29*0.001</f>
        <v>1.2E-2</v>
      </c>
      <c r="O99" s="44">
        <f>'Sheet1 select'!$B$10*'Sheet1 select'!$B$31*$B$8*1000*0.000000001</f>
        <v>3.0000000000000001E-3</v>
      </c>
      <c r="P99" s="44">
        <f>'Sheet1 select'!$B$35*$B$10*$B$8*1000*0.000000001</f>
        <v>0</v>
      </c>
      <c r="Q99" s="47">
        <f>IF('Sheet1 select'!$B$17=0,0,(0.00000006*0.7+0.00000003*(0.7+F99*1.1*'Sheet1 select'!$B$26))*F99*$B$8*1000)</f>
        <v>0</v>
      </c>
      <c r="R99" s="45">
        <f t="shared" ca="1" si="10"/>
        <v>9.4804949913239719E-2</v>
      </c>
      <c r="S99" s="48">
        <f t="shared" ca="1" si="11"/>
        <v>0.9323532857949719</v>
      </c>
      <c r="T99" s="49">
        <f ca="1">H99+K99+O99+N99+'Sheet1 select'!$B$40*I99+J99+P99</f>
        <v>2.0131532555954741E-2</v>
      </c>
      <c r="U99" s="169">
        <f t="shared" ca="1" si="12"/>
        <v>8.1315325559547409E-3</v>
      </c>
      <c r="V99" s="47">
        <f t="shared" ca="1" si="13"/>
        <v>0</v>
      </c>
    </row>
    <row r="100" spans="5:22">
      <c r="E100" s="32">
        <v>99</v>
      </c>
      <c r="F100" s="45">
        <f t="shared" si="7"/>
        <v>0.26400000000000001</v>
      </c>
      <c r="G100" s="45">
        <f t="shared" si="8"/>
        <v>1.3939200000000002E-2</v>
      </c>
      <c r="H100" s="45">
        <f ca="1">F100*F100*('Sheet1 select'!$B$25)*$B$3</f>
        <v>1.5851698280413408E-3</v>
      </c>
      <c r="I100" s="45">
        <f>F100*(1-$B$3)*'Sheet1 select'!$B$41</f>
        <v>6.1600000000000002E-2</v>
      </c>
      <c r="J100" s="45">
        <f ca="1">F100*F100*('Sheet1 select'!$B$26)*(1-$B$3)</f>
        <v>0</v>
      </c>
      <c r="K100" s="45">
        <f>0.0000005*$B$10*F100*$B$8*((('Sheet1 select'!$B$33+0.5*'Sheet1 select'!$B$32)/(('Sheet1 select'!$B$10-'Sheet1 select'!$B$23)/('Sheet1 select'!$B$27+'Sheet1 select'!$B$8)))+(('Sheet1 select'!$B$33+0.5*'Sheet1 select'!$B$32)/(('Sheet1 select'!$B$23)/('Sheet1 select'!$B$27+'Sheet1 select'!$B$9))))</f>
        <v>3.6147371214598403E-3</v>
      </c>
      <c r="L100" s="45">
        <f>(F100*$B$28)*(('Sheet1 select'!$B$12+'Sheet1 select'!$B$13)*(0.000000001))*$B$8*1000</f>
        <v>0</v>
      </c>
      <c r="M100" s="45">
        <f t="shared" si="9"/>
        <v>3.6617357284970928E-5</v>
      </c>
      <c r="N100" s="46">
        <f>$B$10*'Sheet1 select'!$B$29*0.001</f>
        <v>1.2E-2</v>
      </c>
      <c r="O100" s="44">
        <f>'Sheet1 select'!$B$10*'Sheet1 select'!$B$31*$B$8*1000*0.000000001</f>
        <v>3.0000000000000001E-3</v>
      </c>
      <c r="P100" s="44">
        <f>'Sheet1 select'!$B$35*$B$10*$B$8*1000*0.000000001</f>
        <v>0</v>
      </c>
      <c r="Q100" s="47">
        <f>IF('Sheet1 select'!$B$17=0,0,(0.00000006*0.7+0.00000003*(0.7+F100*1.1*'Sheet1 select'!$B$26))*F100*$B$8*1000)</f>
        <v>0</v>
      </c>
      <c r="R100" s="45">
        <f t="shared" ca="1" si="10"/>
        <v>9.5775724306786145E-2</v>
      </c>
      <c r="S100" s="48">
        <f t="shared" ca="1" si="11"/>
        <v>0.93235106192142037</v>
      </c>
      <c r="T100" s="49">
        <f ca="1">H100+K100+O100+N100+'Sheet1 select'!$B$40*I100+J100+P100</f>
        <v>2.0199906949501183E-2</v>
      </c>
      <c r="U100" s="169">
        <f t="shared" ca="1" si="12"/>
        <v>8.1999069495011824E-3</v>
      </c>
      <c r="V100" s="47">
        <f t="shared" ca="1" si="13"/>
        <v>0</v>
      </c>
    </row>
    <row r="101" spans="5:22">
      <c r="E101" s="32">
        <v>100</v>
      </c>
      <c r="F101" s="45">
        <f t="shared" si="7"/>
        <v>0.26666666666666666</v>
      </c>
      <c r="G101" s="45">
        <f t="shared" si="8"/>
        <v>1.4222222222222221E-2</v>
      </c>
      <c r="H101" s="45">
        <f ca="1">F101*F101*('Sheet1 select'!$B$25)*$B$3</f>
        <v>1.6173551964507097E-3</v>
      </c>
      <c r="I101" s="45">
        <f>F101*(1-$B$3)*'Sheet1 select'!$B$41</f>
        <v>6.2222222222222213E-2</v>
      </c>
      <c r="J101" s="45">
        <f ca="1">F101*F101*('Sheet1 select'!$B$26)*(1-$B$3)</f>
        <v>0</v>
      </c>
      <c r="K101" s="45">
        <f>0.0000005*$B$10*F101*$B$8*((('Sheet1 select'!$B$33+0.5*'Sheet1 select'!$B$32)/(('Sheet1 select'!$B$10-'Sheet1 select'!$B$23)/('Sheet1 select'!$B$27+'Sheet1 select'!$B$8)))+(('Sheet1 select'!$B$33+0.5*'Sheet1 select'!$B$32)/(('Sheet1 select'!$B$23)/('Sheet1 select'!$B$27+'Sheet1 select'!$B$9))))</f>
        <v>3.6512496176362014E-3</v>
      </c>
      <c r="L101" s="45">
        <f>(F101*$B$28)*(('Sheet1 select'!$B$12+'Sheet1 select'!$B$13)*(0.000000001))*$B$8*1000</f>
        <v>0</v>
      </c>
      <c r="M101" s="45">
        <f t="shared" si="9"/>
        <v>3.6617357284970928E-5</v>
      </c>
      <c r="N101" s="46">
        <f>$B$10*'Sheet1 select'!$B$29*0.001</f>
        <v>1.2E-2</v>
      </c>
      <c r="O101" s="44">
        <f>'Sheet1 select'!$B$10*'Sheet1 select'!$B$31*$B$8*1000*0.000000001</f>
        <v>3.0000000000000001E-3</v>
      </c>
      <c r="P101" s="44">
        <f>'Sheet1 select'!$B$35*$B$10*$B$8*1000*0.000000001</f>
        <v>0</v>
      </c>
      <c r="Q101" s="47">
        <f>IF('Sheet1 select'!$B$17=0,0,(0.00000006*0.7+0.00000003*(0.7+F101*1.1*'Sheet1 select'!$B$26))*F101*$B$8*1000)</f>
        <v>0</v>
      </c>
      <c r="R101" s="45">
        <f t="shared" ca="1" si="10"/>
        <v>9.6749666615816313E-2</v>
      </c>
      <c r="S101" s="48">
        <f t="shared" ca="1" si="11"/>
        <v>0.93234681719924195</v>
      </c>
      <c r="T101" s="49">
        <f ca="1">H101+K101+O101+N101+'Sheet1 select'!$B$40*I101+J101+P101</f>
        <v>2.0268604814086912E-2</v>
      </c>
      <c r="U101" s="169">
        <f t="shared" ca="1" si="12"/>
        <v>8.2686048140869113E-3</v>
      </c>
      <c r="V101" s="47">
        <f t="shared" ca="1" si="13"/>
        <v>0</v>
      </c>
    </row>
    <row r="102" spans="5:22">
      <c r="E102" s="32">
        <v>101</v>
      </c>
      <c r="F102" s="45">
        <f t="shared" si="7"/>
        <v>0.26933333333333337</v>
      </c>
      <c r="G102" s="45">
        <f t="shared" si="8"/>
        <v>1.4508088888888892E-2</v>
      </c>
      <c r="H102" s="45">
        <f ca="1">F102*F102*('Sheet1 select'!$B$25)*$B$3</f>
        <v>1.6498640358993694E-3</v>
      </c>
      <c r="I102" s="45">
        <f>F102*(1-$B$3)*'Sheet1 select'!$B$41</f>
        <v>6.2844444444444453E-2</v>
      </c>
      <c r="J102" s="45">
        <f ca="1">F102*F102*('Sheet1 select'!$B$26)*(1-$B$3)</f>
        <v>0</v>
      </c>
      <c r="K102" s="45">
        <f>0.0000005*$B$10*F102*$B$8*((('Sheet1 select'!$B$33+0.5*'Sheet1 select'!$B$32)/(('Sheet1 select'!$B$10-'Sheet1 select'!$B$23)/('Sheet1 select'!$B$27+'Sheet1 select'!$B$8)))+(('Sheet1 select'!$B$33+0.5*'Sheet1 select'!$B$32)/(('Sheet1 select'!$B$23)/('Sheet1 select'!$B$27+'Sheet1 select'!$B$9))))</f>
        <v>3.6877621138125642E-3</v>
      </c>
      <c r="L102" s="45">
        <f>(F102*$B$28)*(('Sheet1 select'!$B$12+'Sheet1 select'!$B$13)*(0.000000001))*$B$8*1000</f>
        <v>0</v>
      </c>
      <c r="M102" s="45">
        <f t="shared" si="9"/>
        <v>3.6617357284970928E-5</v>
      </c>
      <c r="N102" s="46">
        <f>$B$10*'Sheet1 select'!$B$29*0.001</f>
        <v>1.2E-2</v>
      </c>
      <c r="O102" s="44">
        <f>'Sheet1 select'!$B$10*'Sheet1 select'!$B$31*$B$8*1000*0.000000001</f>
        <v>3.0000000000000001E-3</v>
      </c>
      <c r="P102" s="44">
        <f>'Sheet1 select'!$B$35*$B$10*$B$8*1000*0.000000001</f>
        <v>0</v>
      </c>
      <c r="Q102" s="47">
        <f>IF('Sheet1 select'!$B$17=0,0,(0.00000006*0.7+0.00000003*(0.7+F102*1.1*'Sheet1 select'!$B$26))*F102*$B$8*1000)</f>
        <v>0</v>
      </c>
      <c r="R102" s="45">
        <f t="shared" ca="1" si="10"/>
        <v>9.7726776840330251E-2</v>
      </c>
      <c r="S102" s="48">
        <f t="shared" ca="1" si="11"/>
        <v>0.93234061170822746</v>
      </c>
      <c r="T102" s="49">
        <f ca="1">H102+K102+O102+N102+'Sheet1 select'!$B$40*I102+J102+P102</f>
        <v>2.0337626149711935E-2</v>
      </c>
      <c r="U102" s="169">
        <f t="shared" ca="1" si="12"/>
        <v>8.3376261497119346E-3</v>
      </c>
      <c r="V102" s="47">
        <f t="shared" ca="1" si="13"/>
        <v>0</v>
      </c>
    </row>
    <row r="103" spans="5:22">
      <c r="E103" s="32">
        <v>102</v>
      </c>
      <c r="F103" s="45">
        <f t="shared" si="7"/>
        <v>0.27200000000000002</v>
      </c>
      <c r="G103" s="45">
        <f t="shared" si="8"/>
        <v>1.4796800000000001E-2</v>
      </c>
      <c r="H103" s="45">
        <f ca="1">F103*F103*('Sheet1 select'!$B$25)*$B$3</f>
        <v>1.6826963463873184E-3</v>
      </c>
      <c r="I103" s="45">
        <f>F103*(1-$B$3)*'Sheet1 select'!$B$41</f>
        <v>6.3466666666666657E-2</v>
      </c>
      <c r="J103" s="45">
        <f ca="1">F103*F103*('Sheet1 select'!$B$26)*(1-$B$3)</f>
        <v>0</v>
      </c>
      <c r="K103" s="45">
        <f>0.0000005*$B$10*F103*$B$8*((('Sheet1 select'!$B$33+0.5*'Sheet1 select'!$B$32)/(('Sheet1 select'!$B$10-'Sheet1 select'!$B$23)/('Sheet1 select'!$B$27+'Sheet1 select'!$B$8)))+(('Sheet1 select'!$B$33+0.5*'Sheet1 select'!$B$32)/(('Sheet1 select'!$B$23)/('Sheet1 select'!$B$27+'Sheet1 select'!$B$9))))</f>
        <v>3.7242746099889258E-3</v>
      </c>
      <c r="L103" s="45">
        <f>(F103*$B$28)*(('Sheet1 select'!$B$12+'Sheet1 select'!$B$13)*(0.000000001))*$B$8*1000</f>
        <v>0</v>
      </c>
      <c r="M103" s="45">
        <f t="shared" si="9"/>
        <v>3.6617357284970928E-5</v>
      </c>
      <c r="N103" s="46">
        <f>$B$10*'Sheet1 select'!$B$29*0.001</f>
        <v>1.2E-2</v>
      </c>
      <c r="O103" s="44">
        <f>'Sheet1 select'!$B$10*'Sheet1 select'!$B$31*$B$8*1000*0.000000001</f>
        <v>3.0000000000000001E-3</v>
      </c>
      <c r="P103" s="44">
        <f>'Sheet1 select'!$B$35*$B$10*$B$8*1000*0.000000001</f>
        <v>0</v>
      </c>
      <c r="Q103" s="47">
        <f>IF('Sheet1 select'!$B$17=0,0,(0.00000006*0.7+0.00000003*(0.7+F103*1.1*'Sheet1 select'!$B$26))*F103*$B$8*1000)</f>
        <v>0</v>
      </c>
      <c r="R103" s="45">
        <f t="shared" ca="1" si="10"/>
        <v>9.8707054980327863E-2</v>
      </c>
      <c r="S103" s="48">
        <f t="shared" ca="1" si="11"/>
        <v>0.93233250319636041</v>
      </c>
      <c r="T103" s="49">
        <f ca="1">H103+K103+O103+N103+'Sheet1 select'!$B$40*I103+J103+P103</f>
        <v>2.0406970956376246E-2</v>
      </c>
      <c r="U103" s="169">
        <f t="shared" ca="1" si="12"/>
        <v>8.4069709563762453E-3</v>
      </c>
      <c r="V103" s="47">
        <f t="shared" ca="1" si="13"/>
        <v>0</v>
      </c>
    </row>
    <row r="104" spans="5:22">
      <c r="E104" s="32">
        <v>103</v>
      </c>
      <c r="F104" s="45">
        <f t="shared" si="7"/>
        <v>0.27466666666666667</v>
      </c>
      <c r="G104" s="45">
        <f t="shared" si="8"/>
        <v>1.5088355555555556E-2</v>
      </c>
      <c r="H104" s="45">
        <f ca="1">F104*F104*('Sheet1 select'!$B$25)*$B$3</f>
        <v>1.715852127914558E-3</v>
      </c>
      <c r="I104" s="45">
        <f>F104*(1-$B$3)*'Sheet1 select'!$B$41</f>
        <v>6.408888888888889E-2</v>
      </c>
      <c r="J104" s="45">
        <f ca="1">F104*F104*('Sheet1 select'!$B$26)*(1-$B$3)</f>
        <v>0</v>
      </c>
      <c r="K104" s="45">
        <f>0.0000005*$B$10*F104*$B$8*((('Sheet1 select'!$B$33+0.5*'Sheet1 select'!$B$32)/(('Sheet1 select'!$B$10-'Sheet1 select'!$B$23)/('Sheet1 select'!$B$27+'Sheet1 select'!$B$8)))+(('Sheet1 select'!$B$33+0.5*'Sheet1 select'!$B$32)/(('Sheet1 select'!$B$23)/('Sheet1 select'!$B$27+'Sheet1 select'!$B$9))))</f>
        <v>3.7607871061652882E-3</v>
      </c>
      <c r="L104" s="45">
        <f>(F104*$B$28)*(('Sheet1 select'!$B$12+'Sheet1 select'!$B$13)*(0.000000001))*$B$8*1000</f>
        <v>0</v>
      </c>
      <c r="M104" s="45">
        <f t="shared" si="9"/>
        <v>3.6617357284970928E-5</v>
      </c>
      <c r="N104" s="46">
        <f>$B$10*'Sheet1 select'!$B$29*0.001</f>
        <v>1.2E-2</v>
      </c>
      <c r="O104" s="44">
        <f>'Sheet1 select'!$B$10*'Sheet1 select'!$B$31*$B$8*1000*0.000000001</f>
        <v>3.0000000000000001E-3</v>
      </c>
      <c r="P104" s="44">
        <f>'Sheet1 select'!$B$35*$B$10*$B$8*1000*0.000000001</f>
        <v>0</v>
      </c>
      <c r="Q104" s="47">
        <f>IF('Sheet1 select'!$B$17=0,0,(0.00000006*0.7+0.00000003*(0.7+F104*1.1*'Sheet1 select'!$B$26))*F104*$B$8*1000)</f>
        <v>0</v>
      </c>
      <c r="R104" s="45">
        <f t="shared" ca="1" si="10"/>
        <v>9.9690501035809259E-2</v>
      </c>
      <c r="S104" s="48">
        <f t="shared" ca="1" si="11"/>
        <v>0.93232254719184215</v>
      </c>
      <c r="T104" s="49">
        <f ca="1">H104+K104+O104+N104+'Sheet1 select'!$B$40*I104+J104+P104</f>
        <v>2.0476639234079847E-2</v>
      </c>
      <c r="U104" s="169">
        <f t="shared" ca="1" si="12"/>
        <v>8.4766392340798469E-3</v>
      </c>
      <c r="V104" s="47">
        <f t="shared" ca="1" si="13"/>
        <v>0</v>
      </c>
    </row>
    <row r="105" spans="5:22">
      <c r="E105" s="32">
        <v>104</v>
      </c>
      <c r="F105" s="45">
        <f t="shared" si="7"/>
        <v>0.27733333333333332</v>
      </c>
      <c r="G105" s="45">
        <f t="shared" si="8"/>
        <v>1.5382755555555554E-2</v>
      </c>
      <c r="H105" s="45">
        <f ca="1">F105*F105*('Sheet1 select'!$B$25)*$B$3</f>
        <v>1.7493313804810874E-3</v>
      </c>
      <c r="I105" s="45">
        <f>F105*(1-$B$3)*'Sheet1 select'!$B$41</f>
        <v>6.4711111111111094E-2</v>
      </c>
      <c r="J105" s="45">
        <f ca="1">F105*F105*('Sheet1 select'!$B$26)*(1-$B$3)</f>
        <v>0</v>
      </c>
      <c r="K105" s="45">
        <f>0.0000005*$B$10*F105*$B$8*((('Sheet1 select'!$B$33+0.5*'Sheet1 select'!$B$32)/(('Sheet1 select'!$B$10-'Sheet1 select'!$B$23)/('Sheet1 select'!$B$27+'Sheet1 select'!$B$8)))+(('Sheet1 select'!$B$33+0.5*'Sheet1 select'!$B$32)/(('Sheet1 select'!$B$23)/('Sheet1 select'!$B$27+'Sheet1 select'!$B$9))))</f>
        <v>3.7972996023416489E-3</v>
      </c>
      <c r="L105" s="45">
        <f>(F105*$B$28)*(('Sheet1 select'!$B$12+'Sheet1 select'!$B$13)*(0.000000001))*$B$8*1000</f>
        <v>0</v>
      </c>
      <c r="M105" s="45">
        <f t="shared" si="9"/>
        <v>3.6617357284970928E-5</v>
      </c>
      <c r="N105" s="46">
        <f>$B$10*'Sheet1 select'!$B$29*0.001</f>
        <v>1.2E-2</v>
      </c>
      <c r="O105" s="44">
        <f>'Sheet1 select'!$B$10*'Sheet1 select'!$B$31*$B$8*1000*0.000000001</f>
        <v>3.0000000000000001E-3</v>
      </c>
      <c r="P105" s="44">
        <f>'Sheet1 select'!$B$35*$B$10*$B$8*1000*0.000000001</f>
        <v>0</v>
      </c>
      <c r="Q105" s="47">
        <f>IF('Sheet1 select'!$B$17=0,0,(0.00000006*0.7+0.00000003*(0.7+F105*1.1*'Sheet1 select'!$B$26))*F105*$B$8*1000)</f>
        <v>0</v>
      </c>
      <c r="R105" s="45">
        <f t="shared" ca="1" si="10"/>
        <v>0.10067711500677436</v>
      </c>
      <c r="S105" s="48">
        <f t="shared" ca="1" si="11"/>
        <v>0.93231079710872189</v>
      </c>
      <c r="T105" s="49">
        <f ca="1">H105+K105+O105+N105+'Sheet1 select'!$B$40*I105+J105+P105</f>
        <v>2.0546630982822736E-2</v>
      </c>
      <c r="U105" s="169">
        <f t="shared" ca="1" si="12"/>
        <v>8.5466309828227359E-3</v>
      </c>
      <c r="V105" s="47">
        <f t="shared" ca="1" si="13"/>
        <v>0</v>
      </c>
    </row>
    <row r="106" spans="5:22">
      <c r="E106" s="32">
        <v>105</v>
      </c>
      <c r="F106" s="45">
        <f t="shared" si="7"/>
        <v>0.28000000000000003</v>
      </c>
      <c r="G106" s="45">
        <f t="shared" si="8"/>
        <v>1.5680000000000003E-2</v>
      </c>
      <c r="H106" s="45">
        <f ca="1">F106*F106*('Sheet1 select'!$B$25)*$B$3</f>
        <v>1.7831341040869077E-3</v>
      </c>
      <c r="I106" s="45">
        <f>F106*(1-$B$3)*'Sheet1 select'!$B$41</f>
        <v>6.533333333333334E-2</v>
      </c>
      <c r="J106" s="45">
        <f ca="1">F106*F106*('Sheet1 select'!$B$26)*(1-$B$3)</f>
        <v>0</v>
      </c>
      <c r="K106" s="45">
        <f>0.0000005*$B$10*F106*$B$8*((('Sheet1 select'!$B$33+0.5*'Sheet1 select'!$B$32)/(('Sheet1 select'!$B$10-'Sheet1 select'!$B$23)/('Sheet1 select'!$B$27+'Sheet1 select'!$B$8)))+(('Sheet1 select'!$B$33+0.5*'Sheet1 select'!$B$32)/(('Sheet1 select'!$B$23)/('Sheet1 select'!$B$27+'Sheet1 select'!$B$9))))</f>
        <v>3.8338120985180121E-3</v>
      </c>
      <c r="L106" s="45">
        <f>(F106*$B$28)*(('Sheet1 select'!$B$12+'Sheet1 select'!$B$13)*(0.000000001))*$B$8*1000</f>
        <v>0</v>
      </c>
      <c r="M106" s="45">
        <f t="shared" si="9"/>
        <v>3.6617357284970928E-5</v>
      </c>
      <c r="N106" s="46">
        <f>$B$10*'Sheet1 select'!$B$29*0.001</f>
        <v>1.2E-2</v>
      </c>
      <c r="O106" s="44">
        <f>'Sheet1 select'!$B$10*'Sheet1 select'!$B$31*$B$8*1000*0.000000001</f>
        <v>3.0000000000000001E-3</v>
      </c>
      <c r="P106" s="44">
        <f>'Sheet1 select'!$B$35*$B$10*$B$8*1000*0.000000001</f>
        <v>0</v>
      </c>
      <c r="Q106" s="47">
        <f>IF('Sheet1 select'!$B$17=0,0,(0.00000006*0.7+0.00000003*(0.7+F106*1.1*'Sheet1 select'!$B$26))*F106*$B$8*1000)</f>
        <v>0</v>
      </c>
      <c r="R106" s="45">
        <f t="shared" ca="1" si="10"/>
        <v>0.10166689689322324</v>
      </c>
      <c r="S106" s="48">
        <f t="shared" ca="1" si="11"/>
        <v>0.93229730434654956</v>
      </c>
      <c r="T106" s="49">
        <f ca="1">H106+K106+O106+N106+'Sheet1 select'!$B$40*I106+J106+P106</f>
        <v>2.061694620260492E-2</v>
      </c>
      <c r="U106" s="169">
        <f t="shared" ca="1" si="12"/>
        <v>8.6169462026049193E-3</v>
      </c>
      <c r="V106" s="47">
        <f t="shared" ca="1" si="13"/>
        <v>0</v>
      </c>
    </row>
    <row r="107" spans="5:22">
      <c r="E107" s="32">
        <v>106</v>
      </c>
      <c r="F107" s="45">
        <f t="shared" si="7"/>
        <v>0.28266666666666668</v>
      </c>
      <c r="G107" s="45">
        <f t="shared" si="8"/>
        <v>1.5980088888888893E-2</v>
      </c>
      <c r="H107" s="45">
        <f ca="1">F107*F107*('Sheet1 select'!$B$25)*$B$3</f>
        <v>1.8172602987320177E-3</v>
      </c>
      <c r="I107" s="45">
        <f>F107*(1-$B$3)*'Sheet1 select'!$B$41</f>
        <v>6.5955555555555545E-2</v>
      </c>
      <c r="J107" s="45">
        <f ca="1">F107*F107*('Sheet1 select'!$B$26)*(1-$B$3)</f>
        <v>0</v>
      </c>
      <c r="K107" s="45">
        <f>0.0000005*$B$10*F107*$B$8*((('Sheet1 select'!$B$33+0.5*'Sheet1 select'!$B$32)/(('Sheet1 select'!$B$10-'Sheet1 select'!$B$23)/('Sheet1 select'!$B$27+'Sheet1 select'!$B$8)))+(('Sheet1 select'!$B$33+0.5*'Sheet1 select'!$B$32)/(('Sheet1 select'!$B$23)/('Sheet1 select'!$B$27+'Sheet1 select'!$B$9))))</f>
        <v>3.8703245946943737E-3</v>
      </c>
      <c r="L107" s="45">
        <f>(F107*$B$28)*(('Sheet1 select'!$B$12+'Sheet1 select'!$B$13)*(0.000000001))*$B$8*1000</f>
        <v>0</v>
      </c>
      <c r="M107" s="45">
        <f t="shared" si="9"/>
        <v>3.6617357284970928E-5</v>
      </c>
      <c r="N107" s="46">
        <f>$B$10*'Sheet1 select'!$B$29*0.001</f>
        <v>1.2E-2</v>
      </c>
      <c r="O107" s="44">
        <f>'Sheet1 select'!$B$10*'Sheet1 select'!$B$31*$B$8*1000*0.000000001</f>
        <v>3.0000000000000001E-3</v>
      </c>
      <c r="P107" s="44">
        <f>'Sheet1 select'!$B$35*$B$10*$B$8*1000*0.000000001</f>
        <v>0</v>
      </c>
      <c r="Q107" s="47">
        <f>IF('Sheet1 select'!$B$17=0,0,(0.00000006*0.7+0.00000003*(0.7+F107*1.1*'Sheet1 select'!$B$26))*F107*$B$8*1000)</f>
        <v>0</v>
      </c>
      <c r="R107" s="45">
        <f t="shared" ca="1" si="10"/>
        <v>0.10265984669515579</v>
      </c>
      <c r="S107" s="48">
        <f t="shared" ca="1" si="11"/>
        <v>0.93228211838444641</v>
      </c>
      <c r="T107" s="49">
        <f ca="1">H107+K107+O107+N107+'Sheet1 select'!$B$40*I107+J107+P107</f>
        <v>2.068758489342639E-2</v>
      </c>
      <c r="U107" s="169">
        <f t="shared" ca="1" si="12"/>
        <v>8.6875848934263901E-3</v>
      </c>
      <c r="V107" s="47">
        <f t="shared" ca="1" si="13"/>
        <v>0</v>
      </c>
    </row>
    <row r="108" spans="5:22">
      <c r="E108" s="32">
        <v>107</v>
      </c>
      <c r="F108" s="45">
        <f t="shared" si="7"/>
        <v>0.28533333333333338</v>
      </c>
      <c r="G108" s="45">
        <f t="shared" si="8"/>
        <v>1.6283022222222228E-2</v>
      </c>
      <c r="H108" s="45">
        <f ca="1">F108*F108*('Sheet1 select'!$B$25)*$B$3</f>
        <v>1.8517099644164182E-3</v>
      </c>
      <c r="I108" s="45">
        <f>F108*(1-$B$3)*'Sheet1 select'!$B$41</f>
        <v>6.6577777777777777E-2</v>
      </c>
      <c r="J108" s="45">
        <f ca="1">F108*F108*('Sheet1 select'!$B$26)*(1-$B$3)</f>
        <v>0</v>
      </c>
      <c r="K108" s="45">
        <f>0.0000005*$B$10*F108*$B$8*((('Sheet1 select'!$B$33+0.5*'Sheet1 select'!$B$32)/(('Sheet1 select'!$B$10-'Sheet1 select'!$B$23)/('Sheet1 select'!$B$27+'Sheet1 select'!$B$8)))+(('Sheet1 select'!$B$33+0.5*'Sheet1 select'!$B$32)/(('Sheet1 select'!$B$23)/('Sheet1 select'!$B$27+'Sheet1 select'!$B$9))))</f>
        <v>3.906837090870737E-3</v>
      </c>
      <c r="L108" s="45">
        <f>(F108*$B$28)*(('Sheet1 select'!$B$12+'Sheet1 select'!$B$13)*(0.000000001))*$B$8*1000</f>
        <v>0</v>
      </c>
      <c r="M108" s="45">
        <f t="shared" si="9"/>
        <v>3.6617357284970928E-5</v>
      </c>
      <c r="N108" s="46">
        <f>$B$10*'Sheet1 select'!$B$29*0.001</f>
        <v>1.2E-2</v>
      </c>
      <c r="O108" s="44">
        <f>'Sheet1 select'!$B$10*'Sheet1 select'!$B$31*$B$8*1000*0.000000001</f>
        <v>3.0000000000000001E-3</v>
      </c>
      <c r="P108" s="44">
        <f>'Sheet1 select'!$B$35*$B$10*$B$8*1000*0.000000001</f>
        <v>0</v>
      </c>
      <c r="Q108" s="47">
        <f>IF('Sheet1 select'!$B$17=0,0,(0.00000006*0.7+0.00000003*(0.7+F108*1.1*'Sheet1 select'!$B$26))*F108*$B$8*1000)</f>
        <v>0</v>
      </c>
      <c r="R108" s="45">
        <f t="shared" ca="1" si="10"/>
        <v>0.10365596441257213</v>
      </c>
      <c r="S108" s="48">
        <f t="shared" ca="1" si="11"/>
        <v>0.93226528686995225</v>
      </c>
      <c r="T108" s="49">
        <f ca="1">H108+K108+O108+N108+'Sheet1 select'!$B$40*I108+J108+P108</f>
        <v>2.0758547055287156E-2</v>
      </c>
      <c r="U108" s="169">
        <f t="shared" ca="1" si="12"/>
        <v>8.7585470552871553E-3</v>
      </c>
      <c r="V108" s="47">
        <f t="shared" ca="1" si="13"/>
        <v>0</v>
      </c>
    </row>
    <row r="109" spans="5:22">
      <c r="E109" s="32">
        <v>108</v>
      </c>
      <c r="F109" s="45">
        <f t="shared" si="7"/>
        <v>0.28800000000000003</v>
      </c>
      <c r="G109" s="45">
        <f t="shared" si="8"/>
        <v>1.6588800000000004E-2</v>
      </c>
      <c r="H109" s="45">
        <f ca="1">F109*F109*('Sheet1 select'!$B$25)*$B$3</f>
        <v>1.8864831011401082E-3</v>
      </c>
      <c r="I109" s="45">
        <f>F109*(1-$B$3)*'Sheet1 select'!$B$41</f>
        <v>6.720000000000001E-2</v>
      </c>
      <c r="J109" s="45">
        <f ca="1">F109*F109*('Sheet1 select'!$B$26)*(1-$B$3)</f>
        <v>0</v>
      </c>
      <c r="K109" s="45">
        <f>0.0000005*$B$10*F109*$B$8*((('Sheet1 select'!$B$33+0.5*'Sheet1 select'!$B$32)/(('Sheet1 select'!$B$10-'Sheet1 select'!$B$23)/('Sheet1 select'!$B$27+'Sheet1 select'!$B$8)))+(('Sheet1 select'!$B$33+0.5*'Sheet1 select'!$B$32)/(('Sheet1 select'!$B$23)/('Sheet1 select'!$B$27+'Sheet1 select'!$B$9))))</f>
        <v>3.9433495870470981E-3</v>
      </c>
      <c r="L109" s="45">
        <f>(F109*$B$28)*(('Sheet1 select'!$B$12+'Sheet1 select'!$B$13)*(0.000000001))*$B$8*1000</f>
        <v>0</v>
      </c>
      <c r="M109" s="45">
        <f t="shared" si="9"/>
        <v>3.6617357284970928E-5</v>
      </c>
      <c r="N109" s="46">
        <f>$B$10*'Sheet1 select'!$B$29*0.001</f>
        <v>1.2E-2</v>
      </c>
      <c r="O109" s="44">
        <f>'Sheet1 select'!$B$10*'Sheet1 select'!$B$31*$B$8*1000*0.000000001</f>
        <v>3.0000000000000001E-3</v>
      </c>
      <c r="P109" s="44">
        <f>'Sheet1 select'!$B$35*$B$10*$B$8*1000*0.000000001</f>
        <v>0</v>
      </c>
      <c r="Q109" s="47">
        <f>IF('Sheet1 select'!$B$17=0,0,(0.00000006*0.7+0.00000003*(0.7+F109*1.1*'Sheet1 select'!$B$26))*F109*$B$8*1000)</f>
        <v>0</v>
      </c>
      <c r="R109" s="45">
        <f t="shared" ca="1" si="10"/>
        <v>0.10465525004547219</v>
      </c>
      <c r="S109" s="48">
        <f t="shared" ca="1" si="11"/>
        <v>0.93224685570298527</v>
      </c>
      <c r="T109" s="49">
        <f ca="1">H109+K109+O109+N109+'Sheet1 select'!$B$40*I109+J109+P109</f>
        <v>2.0829832688187208E-2</v>
      </c>
      <c r="U109" s="169">
        <f t="shared" ca="1" si="12"/>
        <v>8.8298326881872061E-3</v>
      </c>
      <c r="V109" s="47">
        <f t="shared" ca="1" si="13"/>
        <v>0</v>
      </c>
    </row>
    <row r="110" spans="5:22">
      <c r="E110" s="32">
        <v>109</v>
      </c>
      <c r="F110" s="45">
        <f t="shared" si="7"/>
        <v>0.29066666666666668</v>
      </c>
      <c r="G110" s="45">
        <f t="shared" si="8"/>
        <v>1.6897422222222225E-2</v>
      </c>
      <c r="H110" s="45">
        <f ca="1">F110*F110*('Sheet1 select'!$B$25)*$B$3</f>
        <v>1.9215797089030882E-3</v>
      </c>
      <c r="I110" s="45">
        <f>F110*(1-$B$3)*'Sheet1 select'!$B$41</f>
        <v>6.7822222222222214E-2</v>
      </c>
      <c r="J110" s="45">
        <f ca="1">F110*F110*('Sheet1 select'!$B$26)*(1-$B$3)</f>
        <v>0</v>
      </c>
      <c r="K110" s="45">
        <f>0.0000005*$B$10*F110*$B$8*((('Sheet1 select'!$B$33+0.5*'Sheet1 select'!$B$32)/(('Sheet1 select'!$B$10-'Sheet1 select'!$B$23)/('Sheet1 select'!$B$27+'Sheet1 select'!$B$8)))+(('Sheet1 select'!$B$33+0.5*'Sheet1 select'!$B$32)/(('Sheet1 select'!$B$23)/('Sheet1 select'!$B$27+'Sheet1 select'!$B$9))))</f>
        <v>3.9798620832234601E-3</v>
      </c>
      <c r="L110" s="45">
        <f>(F110*$B$28)*(('Sheet1 select'!$B$12+'Sheet1 select'!$B$13)*(0.000000001))*$B$8*1000</f>
        <v>0</v>
      </c>
      <c r="M110" s="45">
        <f t="shared" si="9"/>
        <v>3.6617357284970928E-5</v>
      </c>
      <c r="N110" s="46">
        <f>$B$10*'Sheet1 select'!$B$29*0.001</f>
        <v>1.2E-2</v>
      </c>
      <c r="O110" s="44">
        <f>'Sheet1 select'!$B$10*'Sheet1 select'!$B$31*$B$8*1000*0.000000001</f>
        <v>3.0000000000000001E-3</v>
      </c>
      <c r="P110" s="44">
        <f>'Sheet1 select'!$B$35*$B$10*$B$8*1000*0.000000001</f>
        <v>0</v>
      </c>
      <c r="Q110" s="47">
        <f>IF('Sheet1 select'!$B$17=0,0,(0.00000006*0.7+0.00000003*(0.7+F110*1.1*'Sheet1 select'!$B$26))*F110*$B$8*1000)</f>
        <v>0</v>
      </c>
      <c r="R110" s="45">
        <f t="shared" ca="1" si="10"/>
        <v>0.10565770359385596</v>
      </c>
      <c r="S110" s="48">
        <f t="shared" ca="1" si="11"/>
        <v>0.93222686911522601</v>
      </c>
      <c r="T110" s="49">
        <f ca="1">H110+K110+O110+N110+'Sheet1 select'!$B$40*I110+J110+P110</f>
        <v>2.0901441792126548E-2</v>
      </c>
      <c r="U110" s="169">
        <f t="shared" ca="1" si="12"/>
        <v>8.9014417921265479E-3</v>
      </c>
      <c r="V110" s="47">
        <f t="shared" ca="1" si="13"/>
        <v>0</v>
      </c>
    </row>
    <row r="111" spans="5:22">
      <c r="E111" s="32">
        <v>110</v>
      </c>
      <c r="F111" s="45">
        <f t="shared" si="7"/>
        <v>0.29333333333333333</v>
      </c>
      <c r="G111" s="45">
        <f t="shared" si="8"/>
        <v>1.7208888888888892E-2</v>
      </c>
      <c r="H111" s="45">
        <f ca="1">F111*F111*('Sheet1 select'!$B$25)*$B$3</f>
        <v>1.9569997877053585E-3</v>
      </c>
      <c r="I111" s="45">
        <f>F111*(1-$B$3)*'Sheet1 select'!$B$41</f>
        <v>6.8444444444444447E-2</v>
      </c>
      <c r="J111" s="45">
        <f ca="1">F111*F111*('Sheet1 select'!$B$26)*(1-$B$3)</f>
        <v>0</v>
      </c>
      <c r="K111" s="45">
        <f>0.0000005*$B$10*F111*$B$8*((('Sheet1 select'!$B$33+0.5*'Sheet1 select'!$B$32)/(('Sheet1 select'!$B$10-'Sheet1 select'!$B$23)/('Sheet1 select'!$B$27+'Sheet1 select'!$B$8)))+(('Sheet1 select'!$B$33+0.5*'Sheet1 select'!$B$32)/(('Sheet1 select'!$B$23)/('Sheet1 select'!$B$27+'Sheet1 select'!$B$9))))</f>
        <v>4.0163745793998212E-3</v>
      </c>
      <c r="L111" s="45">
        <f>(F111*$B$28)*(('Sheet1 select'!$B$12+'Sheet1 select'!$B$13)*(0.000000001))*$B$8*1000</f>
        <v>0</v>
      </c>
      <c r="M111" s="45">
        <f t="shared" si="9"/>
        <v>3.6617357284970928E-5</v>
      </c>
      <c r="N111" s="46">
        <f>$B$10*'Sheet1 select'!$B$29*0.001</f>
        <v>1.2E-2</v>
      </c>
      <c r="O111" s="44">
        <f>'Sheet1 select'!$B$10*'Sheet1 select'!$B$31*$B$8*1000*0.000000001</f>
        <v>3.0000000000000001E-3</v>
      </c>
      <c r="P111" s="44">
        <f>'Sheet1 select'!$B$35*$B$10*$B$8*1000*0.000000001</f>
        <v>0</v>
      </c>
      <c r="Q111" s="47">
        <f>IF('Sheet1 select'!$B$17=0,0,(0.00000006*0.7+0.00000003*(0.7+F111*1.1*'Sheet1 select'!$B$26))*F111*$B$8*1000)</f>
        <v>0</v>
      </c>
      <c r="R111" s="45">
        <f t="shared" ca="1" si="10"/>
        <v>0.10666332505772348</v>
      </c>
      <c r="S111" s="48">
        <f t="shared" ca="1" si="11"/>
        <v>0.93220536974521206</v>
      </c>
      <c r="T111" s="49">
        <f ca="1">H111+K111+O111+N111+'Sheet1 select'!$B$40*I111+J111+P111</f>
        <v>2.0973374367105179E-2</v>
      </c>
      <c r="U111" s="169">
        <f t="shared" ca="1" si="12"/>
        <v>8.9733743671051788E-3</v>
      </c>
      <c r="V111" s="47">
        <f t="shared" ca="1" si="13"/>
        <v>0</v>
      </c>
    </row>
    <row r="112" spans="5:22">
      <c r="E112" s="32">
        <v>111</v>
      </c>
      <c r="F112" s="45">
        <f t="shared" si="7"/>
        <v>0.29600000000000004</v>
      </c>
      <c r="G112" s="45">
        <f t="shared" si="8"/>
        <v>1.7523200000000006E-2</v>
      </c>
      <c r="H112" s="45">
        <f ca="1">F112*F112*('Sheet1 select'!$B$25)*$B$3</f>
        <v>1.9927433375469196E-3</v>
      </c>
      <c r="I112" s="45">
        <f>F112*(1-$B$3)*'Sheet1 select'!$B$41</f>
        <v>6.9066666666666665E-2</v>
      </c>
      <c r="J112" s="45">
        <f ca="1">F112*F112*('Sheet1 select'!$B$26)*(1-$B$3)</f>
        <v>0</v>
      </c>
      <c r="K112" s="45">
        <f>0.0000005*$B$10*F112*$B$8*((('Sheet1 select'!$B$33+0.5*'Sheet1 select'!$B$32)/(('Sheet1 select'!$B$10-'Sheet1 select'!$B$23)/('Sheet1 select'!$B$27+'Sheet1 select'!$B$8)))+(('Sheet1 select'!$B$33+0.5*'Sheet1 select'!$B$32)/(('Sheet1 select'!$B$23)/('Sheet1 select'!$B$27+'Sheet1 select'!$B$9))))</f>
        <v>4.052887075576184E-3</v>
      </c>
      <c r="L112" s="45">
        <f>(F112*$B$28)*(('Sheet1 select'!$B$12+'Sheet1 select'!$B$13)*(0.000000001))*$B$8*1000</f>
        <v>0</v>
      </c>
      <c r="M112" s="45">
        <f t="shared" si="9"/>
        <v>3.6617357284970928E-5</v>
      </c>
      <c r="N112" s="46">
        <f>$B$10*'Sheet1 select'!$B$29*0.001</f>
        <v>1.2E-2</v>
      </c>
      <c r="O112" s="44">
        <f>'Sheet1 select'!$B$10*'Sheet1 select'!$B$31*$B$8*1000*0.000000001</f>
        <v>3.0000000000000001E-3</v>
      </c>
      <c r="P112" s="44">
        <f>'Sheet1 select'!$B$35*$B$10*$B$8*1000*0.000000001</f>
        <v>0</v>
      </c>
      <c r="Q112" s="47">
        <f>IF('Sheet1 select'!$B$17=0,0,(0.00000006*0.7+0.00000003*(0.7+F112*1.1*'Sheet1 select'!$B$26))*F112*$B$8*1000)</f>
        <v>0</v>
      </c>
      <c r="R112" s="45">
        <f t="shared" ca="1" si="10"/>
        <v>0.10767211443707475</v>
      </c>
      <c r="S112" s="48">
        <f t="shared" ca="1" si="11"/>
        <v>0.93218239870941433</v>
      </c>
      <c r="T112" s="49">
        <f ca="1">H112+K112+O112+N112+'Sheet1 select'!$B$40*I112+J112+P112</f>
        <v>2.1045630413123104E-2</v>
      </c>
      <c r="U112" s="169">
        <f t="shared" ca="1" si="12"/>
        <v>9.0456304131231041E-3</v>
      </c>
      <c r="V112" s="47">
        <f t="shared" ca="1" si="13"/>
        <v>0</v>
      </c>
    </row>
    <row r="113" spans="5:22">
      <c r="E113" s="32">
        <v>112</v>
      </c>
      <c r="F113" s="45">
        <f t="shared" si="7"/>
        <v>0.29866666666666669</v>
      </c>
      <c r="G113" s="45">
        <f t="shared" si="8"/>
        <v>1.7840355555555559E-2</v>
      </c>
      <c r="H113" s="45">
        <f ca="1">F113*F113*('Sheet1 select'!$B$25)*$B$3</f>
        <v>2.0288103584277708E-3</v>
      </c>
      <c r="I113" s="45">
        <f>F113*(1-$B$3)*'Sheet1 select'!$B$41</f>
        <v>6.9688888888888897E-2</v>
      </c>
      <c r="J113" s="45">
        <f ca="1">F113*F113*('Sheet1 select'!$B$26)*(1-$B$3)</f>
        <v>0</v>
      </c>
      <c r="K113" s="45">
        <f>0.0000005*$B$10*F113*$B$8*((('Sheet1 select'!$B$33+0.5*'Sheet1 select'!$B$32)/(('Sheet1 select'!$B$10-'Sheet1 select'!$B$23)/('Sheet1 select'!$B$27+'Sheet1 select'!$B$8)))+(('Sheet1 select'!$B$33+0.5*'Sheet1 select'!$B$32)/(('Sheet1 select'!$B$23)/('Sheet1 select'!$B$27+'Sheet1 select'!$B$9))))</f>
        <v>4.089399571752546E-3</v>
      </c>
      <c r="L113" s="45">
        <f>(F113*$B$28)*(('Sheet1 select'!$B$12+'Sheet1 select'!$B$13)*(0.000000001))*$B$8*1000</f>
        <v>0</v>
      </c>
      <c r="M113" s="45">
        <f t="shared" si="9"/>
        <v>3.6617357284970928E-5</v>
      </c>
      <c r="N113" s="46">
        <f>$B$10*'Sheet1 select'!$B$29*0.001</f>
        <v>1.2E-2</v>
      </c>
      <c r="O113" s="44">
        <f>'Sheet1 select'!$B$10*'Sheet1 select'!$B$31*$B$8*1000*0.000000001</f>
        <v>3.0000000000000001E-3</v>
      </c>
      <c r="P113" s="44">
        <f>'Sheet1 select'!$B$35*$B$10*$B$8*1000*0.000000001</f>
        <v>0</v>
      </c>
      <c r="Q113" s="47">
        <f>IF('Sheet1 select'!$B$17=0,0,(0.00000006*0.7+0.00000003*(0.7+F113*1.1*'Sheet1 select'!$B$26))*F113*$B$8*1000)</f>
        <v>0</v>
      </c>
      <c r="R113" s="45">
        <f t="shared" ca="1" si="10"/>
        <v>0.10868407173190973</v>
      </c>
      <c r="S113" s="48">
        <f t="shared" ca="1" si="11"/>
        <v>0.93215799566953927</v>
      </c>
      <c r="T113" s="49">
        <f ca="1">H113+K113+O113+N113+'Sheet1 select'!$B$40*I113+J113+P113</f>
        <v>2.1118209930180317E-2</v>
      </c>
      <c r="U113" s="169">
        <f t="shared" ca="1" si="12"/>
        <v>9.1182099301803168E-3</v>
      </c>
      <c r="V113" s="47">
        <f t="shared" ca="1" si="13"/>
        <v>0</v>
      </c>
    </row>
    <row r="114" spans="5:22">
      <c r="E114" s="32">
        <v>113</v>
      </c>
      <c r="F114" s="45">
        <f t="shared" si="7"/>
        <v>0.30133333333333334</v>
      </c>
      <c r="G114" s="45">
        <f t="shared" si="8"/>
        <v>1.8160355555555559E-2</v>
      </c>
      <c r="H114" s="45">
        <f ca="1">F114*F114*('Sheet1 select'!$B$25)*$B$3</f>
        <v>2.0652008503479116E-3</v>
      </c>
      <c r="I114" s="45">
        <f>F114*(1-$B$3)*'Sheet1 select'!$B$41</f>
        <v>7.0311111111111102E-2</v>
      </c>
      <c r="J114" s="45">
        <f ca="1">F114*F114*('Sheet1 select'!$B$26)*(1-$B$3)</f>
        <v>0</v>
      </c>
      <c r="K114" s="45">
        <f>0.0000005*$B$10*F114*$B$8*((('Sheet1 select'!$B$33+0.5*'Sheet1 select'!$B$32)/(('Sheet1 select'!$B$10-'Sheet1 select'!$B$23)/('Sheet1 select'!$B$27+'Sheet1 select'!$B$8)))+(('Sheet1 select'!$B$33+0.5*'Sheet1 select'!$B$32)/(('Sheet1 select'!$B$23)/('Sheet1 select'!$B$27+'Sheet1 select'!$B$9))))</f>
        <v>4.125912067928908E-3</v>
      </c>
      <c r="L114" s="45">
        <f>(F114*$B$28)*(('Sheet1 select'!$B$12+'Sheet1 select'!$B$13)*(0.000000001))*$B$8*1000</f>
        <v>0</v>
      </c>
      <c r="M114" s="45">
        <f t="shared" si="9"/>
        <v>3.6617357284970928E-5</v>
      </c>
      <c r="N114" s="46">
        <f>$B$10*'Sheet1 select'!$B$29*0.001</f>
        <v>1.2E-2</v>
      </c>
      <c r="O114" s="44">
        <f>'Sheet1 select'!$B$10*'Sheet1 select'!$B$31*$B$8*1000*0.000000001</f>
        <v>3.0000000000000001E-3</v>
      </c>
      <c r="P114" s="44">
        <f>'Sheet1 select'!$B$35*$B$10*$B$8*1000*0.000000001</f>
        <v>0</v>
      </c>
      <c r="Q114" s="47">
        <f>IF('Sheet1 select'!$B$17=0,0,(0.00000006*0.7+0.00000003*(0.7+F114*1.1*'Sheet1 select'!$B$26))*F114*$B$8*1000)</f>
        <v>0</v>
      </c>
      <c r="R114" s="45">
        <f t="shared" ca="1" si="10"/>
        <v>0.10969919694222845</v>
      </c>
      <c r="S114" s="48">
        <f t="shared" ca="1" si="11"/>
        <v>0.93213219889629395</v>
      </c>
      <c r="T114" s="49">
        <f ca="1">H114+K114+O114+N114+'Sheet1 select'!$B$40*I114+J114+P114</f>
        <v>2.1191112918276821E-2</v>
      </c>
      <c r="U114" s="169">
        <f t="shared" ca="1" si="12"/>
        <v>9.1911129182768204E-3</v>
      </c>
      <c r="V114" s="47">
        <f t="shared" ca="1" si="13"/>
        <v>0</v>
      </c>
    </row>
    <row r="115" spans="5:22">
      <c r="E115" s="32">
        <v>114</v>
      </c>
      <c r="F115" s="45">
        <f t="shared" si="7"/>
        <v>0.30399999999999999</v>
      </c>
      <c r="G115" s="45">
        <f t="shared" si="8"/>
        <v>1.8483200000000002E-2</v>
      </c>
      <c r="H115" s="45">
        <f ca="1">F115*F115*('Sheet1 select'!$B$25)*$B$3</f>
        <v>2.1019148133073423E-3</v>
      </c>
      <c r="I115" s="45">
        <f>F115*(1-$B$3)*'Sheet1 select'!$B$41</f>
        <v>7.0933333333333334E-2</v>
      </c>
      <c r="J115" s="45">
        <f ca="1">F115*F115*('Sheet1 select'!$B$26)*(1-$B$3)</f>
        <v>0</v>
      </c>
      <c r="K115" s="45">
        <f>0.0000005*$B$10*F115*$B$8*((('Sheet1 select'!$B$33+0.5*'Sheet1 select'!$B$32)/(('Sheet1 select'!$B$10-'Sheet1 select'!$B$23)/('Sheet1 select'!$B$27+'Sheet1 select'!$B$8)))+(('Sheet1 select'!$B$33+0.5*'Sheet1 select'!$B$32)/(('Sheet1 select'!$B$23)/('Sheet1 select'!$B$27+'Sheet1 select'!$B$9))))</f>
        <v>4.1624245641052699E-3</v>
      </c>
      <c r="L115" s="45">
        <f>(F115*$B$28)*(('Sheet1 select'!$B$12+'Sheet1 select'!$B$13)*(0.000000001))*$B$8*1000</f>
        <v>0</v>
      </c>
      <c r="M115" s="45">
        <f t="shared" si="9"/>
        <v>3.6617357284970928E-5</v>
      </c>
      <c r="N115" s="46">
        <f>$B$10*'Sheet1 select'!$B$29*0.001</f>
        <v>1.2E-2</v>
      </c>
      <c r="O115" s="44">
        <f>'Sheet1 select'!$B$10*'Sheet1 select'!$B$31*$B$8*1000*0.000000001</f>
        <v>3.0000000000000001E-3</v>
      </c>
      <c r="P115" s="44">
        <f>'Sheet1 select'!$B$35*$B$10*$B$8*1000*0.000000001</f>
        <v>0</v>
      </c>
      <c r="Q115" s="47">
        <f>IF('Sheet1 select'!$B$17=0,0,(0.00000006*0.7+0.00000003*(0.7+F115*1.1*'Sheet1 select'!$B$26))*F115*$B$8*1000)</f>
        <v>0</v>
      </c>
      <c r="R115" s="45">
        <f t="shared" ca="1" si="10"/>
        <v>0.11071749006803092</v>
      </c>
      <c r="S115" s="48">
        <f t="shared" ca="1" si="11"/>
        <v>0.93210504532982474</v>
      </c>
      <c r="T115" s="49">
        <f ca="1">H115+K115+O115+N115+'Sheet1 select'!$B$40*I115+J115+P115</f>
        <v>2.1264339377412612E-2</v>
      </c>
      <c r="U115" s="169">
        <f t="shared" ca="1" si="12"/>
        <v>9.2643393774126115E-3</v>
      </c>
      <c r="V115" s="47">
        <f t="shared" ca="1" si="13"/>
        <v>0</v>
      </c>
    </row>
    <row r="116" spans="5:22">
      <c r="E116" s="32">
        <v>115</v>
      </c>
      <c r="F116" s="45">
        <f t="shared" si="7"/>
        <v>0.30666666666666664</v>
      </c>
      <c r="G116" s="45">
        <f t="shared" si="8"/>
        <v>1.8808888888888889E-2</v>
      </c>
      <c r="H116" s="45">
        <f ca="1">F116*F116*('Sheet1 select'!$B$25)*$B$3</f>
        <v>2.1389522473060632E-3</v>
      </c>
      <c r="I116" s="45">
        <f>F116*(1-$B$3)*'Sheet1 select'!$B$41</f>
        <v>7.1555555555555539E-2</v>
      </c>
      <c r="J116" s="45">
        <f ca="1">F116*F116*('Sheet1 select'!$B$26)*(1-$B$3)</f>
        <v>0</v>
      </c>
      <c r="K116" s="45">
        <f>0.0000005*$B$10*F116*$B$8*((('Sheet1 select'!$B$33+0.5*'Sheet1 select'!$B$32)/(('Sheet1 select'!$B$10-'Sheet1 select'!$B$23)/('Sheet1 select'!$B$27+'Sheet1 select'!$B$8)))+(('Sheet1 select'!$B$33+0.5*'Sheet1 select'!$B$32)/(('Sheet1 select'!$B$23)/('Sheet1 select'!$B$27+'Sheet1 select'!$B$9))))</f>
        <v>4.1989370602816319E-3</v>
      </c>
      <c r="L116" s="45">
        <f>(F116*$B$28)*(('Sheet1 select'!$B$12+'Sheet1 select'!$B$13)*(0.000000001))*$B$8*1000</f>
        <v>0</v>
      </c>
      <c r="M116" s="45">
        <f t="shared" si="9"/>
        <v>3.6617357284970928E-5</v>
      </c>
      <c r="N116" s="46">
        <f>$B$10*'Sheet1 select'!$B$29*0.001</f>
        <v>1.2E-2</v>
      </c>
      <c r="O116" s="44">
        <f>'Sheet1 select'!$B$10*'Sheet1 select'!$B$31*$B$8*1000*0.000000001</f>
        <v>3.0000000000000001E-3</v>
      </c>
      <c r="P116" s="44">
        <f>'Sheet1 select'!$B$35*$B$10*$B$8*1000*0.000000001</f>
        <v>0</v>
      </c>
      <c r="Q116" s="47">
        <f>IF('Sheet1 select'!$B$17=0,0,(0.00000006*0.7+0.00000003*(0.7+F116*1.1*'Sheet1 select'!$B$26))*F116*$B$8*1000)</f>
        <v>0</v>
      </c>
      <c r="R116" s="45">
        <f t="shared" ca="1" si="10"/>
        <v>0.11173895110931709</v>
      </c>
      <c r="S116" s="48">
        <f t="shared" ca="1" si="11"/>
        <v>0.93207657063703186</v>
      </c>
      <c r="T116" s="49">
        <f ca="1">H116+K116+O116+N116+'Sheet1 select'!$B$40*I116+J116+P116</f>
        <v>2.1337889307587697E-2</v>
      </c>
      <c r="U116" s="169">
        <f t="shared" ca="1" si="12"/>
        <v>9.3378893075876952E-3</v>
      </c>
      <c r="V116" s="47">
        <f t="shared" ca="1" si="13"/>
        <v>0</v>
      </c>
    </row>
    <row r="117" spans="5:22">
      <c r="E117" s="32">
        <v>116</v>
      </c>
      <c r="F117" s="45">
        <f t="shared" si="7"/>
        <v>0.30933333333333335</v>
      </c>
      <c r="G117" s="45">
        <f t="shared" si="8"/>
        <v>1.9137422222222224E-2</v>
      </c>
      <c r="H117" s="45">
        <f ca="1">F117*F117*('Sheet1 select'!$B$25)*$B$3</f>
        <v>2.1763131523440753E-3</v>
      </c>
      <c r="I117" s="45">
        <f>F117*(1-$B$3)*'Sheet1 select'!$B$41</f>
        <v>7.2177777777777771E-2</v>
      </c>
      <c r="J117" s="45">
        <f ca="1">F117*F117*('Sheet1 select'!$B$26)*(1-$B$3)</f>
        <v>0</v>
      </c>
      <c r="K117" s="45">
        <f>0.0000005*$B$10*F117*$B$8*((('Sheet1 select'!$B$33+0.5*'Sheet1 select'!$B$32)/(('Sheet1 select'!$B$10-'Sheet1 select'!$B$23)/('Sheet1 select'!$B$27+'Sheet1 select'!$B$8)))+(('Sheet1 select'!$B$33+0.5*'Sheet1 select'!$B$32)/(('Sheet1 select'!$B$23)/('Sheet1 select'!$B$27+'Sheet1 select'!$B$9))))</f>
        <v>4.2354495564579939E-3</v>
      </c>
      <c r="L117" s="45">
        <f>(F117*$B$28)*(('Sheet1 select'!$B$12+'Sheet1 select'!$B$13)*(0.000000001))*$B$8*1000</f>
        <v>0</v>
      </c>
      <c r="M117" s="45">
        <f t="shared" si="9"/>
        <v>3.6617357284970928E-5</v>
      </c>
      <c r="N117" s="46">
        <f>$B$10*'Sheet1 select'!$B$29*0.001</f>
        <v>1.2E-2</v>
      </c>
      <c r="O117" s="44">
        <f>'Sheet1 select'!$B$10*'Sheet1 select'!$B$31*$B$8*1000*0.000000001</f>
        <v>3.0000000000000001E-3</v>
      </c>
      <c r="P117" s="44">
        <f>'Sheet1 select'!$B$35*$B$10*$B$8*1000*0.000000001</f>
        <v>0</v>
      </c>
      <c r="Q117" s="47">
        <f>IF('Sheet1 select'!$B$17=0,0,(0.00000006*0.7+0.00000003*(0.7+F117*1.1*'Sheet1 select'!$B$26))*F117*$B$8*1000)</f>
        <v>0</v>
      </c>
      <c r="R117" s="45">
        <f t="shared" ca="1" si="10"/>
        <v>0.11276358006608703</v>
      </c>
      <c r="S117" s="48">
        <f t="shared" ca="1" si="11"/>
        <v>0.93204680926594718</v>
      </c>
      <c r="T117" s="49">
        <f ca="1">H117+K117+O117+N117+'Sheet1 select'!$B$40*I117+J117+P117</f>
        <v>2.141176270880207E-2</v>
      </c>
      <c r="U117" s="169">
        <f t="shared" ca="1" si="12"/>
        <v>9.4117627088020697E-3</v>
      </c>
      <c r="V117" s="47">
        <f t="shared" ca="1" si="13"/>
        <v>0</v>
      </c>
    </row>
    <row r="118" spans="5:22">
      <c r="E118" s="32">
        <v>117</v>
      </c>
      <c r="F118" s="45">
        <f t="shared" si="7"/>
        <v>0.31200000000000006</v>
      </c>
      <c r="G118" s="45">
        <f t="shared" si="8"/>
        <v>1.9468800000000005E-2</v>
      </c>
      <c r="H118" s="45">
        <f ca="1">F118*F118*('Sheet1 select'!$B$25)*$B$3</f>
        <v>2.2139975284213771E-3</v>
      </c>
      <c r="I118" s="45">
        <f>F118*(1-$B$3)*'Sheet1 select'!$B$41</f>
        <v>7.2800000000000017E-2</v>
      </c>
      <c r="J118" s="45">
        <f ca="1">F118*F118*('Sheet1 select'!$B$26)*(1-$B$3)</f>
        <v>0</v>
      </c>
      <c r="K118" s="45">
        <f>0.0000005*$B$10*F118*$B$8*((('Sheet1 select'!$B$33+0.5*'Sheet1 select'!$B$32)/(('Sheet1 select'!$B$10-'Sheet1 select'!$B$23)/('Sheet1 select'!$B$27+'Sheet1 select'!$B$8)))+(('Sheet1 select'!$B$33+0.5*'Sheet1 select'!$B$32)/(('Sheet1 select'!$B$23)/('Sheet1 select'!$B$27+'Sheet1 select'!$B$9))))</f>
        <v>4.2719620526343568E-3</v>
      </c>
      <c r="L118" s="45">
        <f>(F118*$B$28)*(('Sheet1 select'!$B$12+'Sheet1 select'!$B$13)*(0.000000001))*$B$8*1000</f>
        <v>0</v>
      </c>
      <c r="M118" s="45">
        <f t="shared" si="9"/>
        <v>3.6617357284970928E-5</v>
      </c>
      <c r="N118" s="46">
        <f>$B$10*'Sheet1 select'!$B$29*0.001</f>
        <v>1.2E-2</v>
      </c>
      <c r="O118" s="44">
        <f>'Sheet1 select'!$B$10*'Sheet1 select'!$B$31*$B$8*1000*0.000000001</f>
        <v>3.0000000000000001E-3</v>
      </c>
      <c r="P118" s="44">
        <f>'Sheet1 select'!$B$35*$B$10*$B$8*1000*0.000000001</f>
        <v>0</v>
      </c>
      <c r="Q118" s="47">
        <f>IF('Sheet1 select'!$B$17=0,0,(0.00000006*0.7+0.00000003*(0.7+F118*1.1*'Sheet1 select'!$B$26))*F118*$B$8*1000)</f>
        <v>0</v>
      </c>
      <c r="R118" s="45">
        <f t="shared" ca="1" si="10"/>
        <v>0.11379137693834072</v>
      </c>
      <c r="S118" s="48">
        <f t="shared" ca="1" si="11"/>
        <v>0.93201579449734939</v>
      </c>
      <c r="T118" s="49">
        <f ca="1">H118+K118+O118+N118+'Sheet1 select'!$B$40*I118+J118+P118</f>
        <v>2.1485959581055734E-2</v>
      </c>
      <c r="U118" s="169">
        <f t="shared" ca="1" si="12"/>
        <v>9.4859595810557334E-3</v>
      </c>
      <c r="V118" s="47">
        <f t="shared" ca="1" si="13"/>
        <v>0</v>
      </c>
    </row>
    <row r="119" spans="5:22">
      <c r="E119" s="32">
        <v>118</v>
      </c>
      <c r="F119" s="45">
        <f t="shared" si="7"/>
        <v>0.31466666666666671</v>
      </c>
      <c r="G119" s="45">
        <f t="shared" si="8"/>
        <v>1.980302222222223E-2</v>
      </c>
      <c r="H119" s="45">
        <f ca="1">F119*F119*('Sheet1 select'!$B$25)*$B$3</f>
        <v>2.2520053755379684E-3</v>
      </c>
      <c r="I119" s="45">
        <f>F119*(1-$B$3)*'Sheet1 select'!$B$41</f>
        <v>7.3422222222222222E-2</v>
      </c>
      <c r="J119" s="45">
        <f ca="1">F119*F119*('Sheet1 select'!$B$26)*(1-$B$3)</f>
        <v>0</v>
      </c>
      <c r="K119" s="45">
        <f>0.0000005*$B$10*F119*$B$8*((('Sheet1 select'!$B$33+0.5*'Sheet1 select'!$B$32)/(('Sheet1 select'!$B$10-'Sheet1 select'!$B$23)/('Sheet1 select'!$B$27+'Sheet1 select'!$B$8)))+(('Sheet1 select'!$B$33+0.5*'Sheet1 select'!$B$32)/(('Sheet1 select'!$B$23)/('Sheet1 select'!$B$27+'Sheet1 select'!$B$9))))</f>
        <v>4.3084745488107179E-3</v>
      </c>
      <c r="L119" s="45">
        <f>(F119*$B$28)*(('Sheet1 select'!$B$12+'Sheet1 select'!$B$13)*(0.000000001))*$B$8*1000</f>
        <v>0</v>
      </c>
      <c r="M119" s="45">
        <f t="shared" si="9"/>
        <v>3.6617357284970928E-5</v>
      </c>
      <c r="N119" s="46">
        <f>$B$10*'Sheet1 select'!$B$29*0.001</f>
        <v>1.2E-2</v>
      </c>
      <c r="O119" s="44">
        <f>'Sheet1 select'!$B$10*'Sheet1 select'!$B$31*$B$8*1000*0.000000001</f>
        <v>3.0000000000000001E-3</v>
      </c>
      <c r="P119" s="44">
        <f>'Sheet1 select'!$B$35*$B$10*$B$8*1000*0.000000001</f>
        <v>0</v>
      </c>
      <c r="Q119" s="47">
        <f>IF('Sheet1 select'!$B$17=0,0,(0.00000006*0.7+0.00000003*(0.7+F119*1.1*'Sheet1 select'!$B$26))*F119*$B$8*1000)</f>
        <v>0</v>
      </c>
      <c r="R119" s="45">
        <f t="shared" ca="1" si="10"/>
        <v>0.11482234172607811</v>
      </c>
      <c r="S119" s="48">
        <f t="shared" ca="1" si="11"/>
        <v>0.93198355849377623</v>
      </c>
      <c r="T119" s="49">
        <f ca="1">H119+K119+O119+N119+'Sheet1 select'!$B$40*I119+J119+P119</f>
        <v>2.1560479924348688E-2</v>
      </c>
      <c r="U119" s="169">
        <f t="shared" ca="1" si="12"/>
        <v>9.5604799243486863E-3</v>
      </c>
      <c r="V119" s="47">
        <f t="shared" ca="1" si="13"/>
        <v>0</v>
      </c>
    </row>
    <row r="120" spans="5:22">
      <c r="E120" s="32">
        <v>119</v>
      </c>
      <c r="F120" s="45">
        <f t="shared" si="7"/>
        <v>0.31733333333333336</v>
      </c>
      <c r="G120" s="45">
        <f t="shared" si="8"/>
        <v>2.014008888888889E-2</v>
      </c>
      <c r="H120" s="45">
        <f ca="1">F120*F120*('Sheet1 select'!$B$25)*$B$3</f>
        <v>2.2903366936938498E-3</v>
      </c>
      <c r="I120" s="45">
        <f>F120*(1-$B$3)*'Sheet1 select'!$B$41</f>
        <v>7.4044444444444441E-2</v>
      </c>
      <c r="J120" s="45">
        <f ca="1">F120*F120*('Sheet1 select'!$B$26)*(1-$B$3)</f>
        <v>0</v>
      </c>
      <c r="K120" s="45">
        <f>0.0000005*$B$10*F120*$B$8*((('Sheet1 select'!$B$33+0.5*'Sheet1 select'!$B$32)/(('Sheet1 select'!$B$10-'Sheet1 select'!$B$23)/('Sheet1 select'!$B$27+'Sheet1 select'!$B$8)))+(('Sheet1 select'!$B$33+0.5*'Sheet1 select'!$B$32)/(('Sheet1 select'!$B$23)/('Sheet1 select'!$B$27+'Sheet1 select'!$B$9))))</f>
        <v>4.3449870449870798E-3</v>
      </c>
      <c r="L120" s="45">
        <f>(F120*$B$28)*(('Sheet1 select'!$B$12+'Sheet1 select'!$B$13)*(0.000000001))*$B$8*1000</f>
        <v>0</v>
      </c>
      <c r="M120" s="45">
        <f t="shared" si="9"/>
        <v>3.6617357284970928E-5</v>
      </c>
      <c r="N120" s="46">
        <f>$B$10*'Sheet1 select'!$B$29*0.001</f>
        <v>1.2E-2</v>
      </c>
      <c r="O120" s="44">
        <f>'Sheet1 select'!$B$10*'Sheet1 select'!$B$31*$B$8*1000*0.000000001</f>
        <v>3.0000000000000001E-3</v>
      </c>
      <c r="P120" s="44">
        <f>'Sheet1 select'!$B$35*$B$10*$B$8*1000*0.000000001</f>
        <v>0</v>
      </c>
      <c r="Q120" s="47">
        <f>IF('Sheet1 select'!$B$17=0,0,(0.00000006*0.7+0.00000003*(0.7+F120*1.1*'Sheet1 select'!$B$26))*F120*$B$8*1000)</f>
        <v>0</v>
      </c>
      <c r="R120" s="45">
        <f t="shared" ca="1" si="10"/>
        <v>0.11585647442929922</v>
      </c>
      <c r="S120" s="48">
        <f t="shared" ca="1" si="11"/>
        <v>0.93195013234609025</v>
      </c>
      <c r="T120" s="49">
        <f ca="1">H120+K120+O120+N120+'Sheet1 select'!$B$40*I120+J120+P120</f>
        <v>2.163532373868093E-2</v>
      </c>
      <c r="U120" s="169">
        <f t="shared" ca="1" si="12"/>
        <v>9.6353237386809301E-3</v>
      </c>
      <c r="V120" s="47">
        <f t="shared" ca="1" si="13"/>
        <v>0</v>
      </c>
    </row>
    <row r="121" spans="5:22">
      <c r="E121" s="32">
        <v>120</v>
      </c>
      <c r="F121" s="45">
        <f t="shared" si="7"/>
        <v>0.32</v>
      </c>
      <c r="G121" s="45">
        <f t="shared" si="8"/>
        <v>2.0480000000000002E-2</v>
      </c>
      <c r="H121" s="45">
        <f ca="1">F121*F121*('Sheet1 select'!$B$25)*$B$3</f>
        <v>2.328991482889022E-3</v>
      </c>
      <c r="I121" s="45">
        <f>F121*(1-$B$3)*'Sheet1 select'!$B$41</f>
        <v>7.4666666666666659E-2</v>
      </c>
      <c r="J121" s="45">
        <f ca="1">F121*F121*('Sheet1 select'!$B$26)*(1-$B$3)</f>
        <v>0</v>
      </c>
      <c r="K121" s="45">
        <f>0.0000005*$B$10*F121*$B$8*((('Sheet1 select'!$B$33+0.5*'Sheet1 select'!$B$32)/(('Sheet1 select'!$B$10-'Sheet1 select'!$B$23)/('Sheet1 select'!$B$27+'Sheet1 select'!$B$8)))+(('Sheet1 select'!$B$33+0.5*'Sheet1 select'!$B$32)/(('Sheet1 select'!$B$23)/('Sheet1 select'!$B$27+'Sheet1 select'!$B$9))))</f>
        <v>4.3814995411634427E-3</v>
      </c>
      <c r="L121" s="45">
        <f>(F121*$B$28)*(('Sheet1 select'!$B$12+'Sheet1 select'!$B$13)*(0.000000001))*$B$8*1000</f>
        <v>0</v>
      </c>
      <c r="M121" s="45">
        <f t="shared" si="9"/>
        <v>3.6617357284970928E-5</v>
      </c>
      <c r="N121" s="46">
        <f>$B$10*'Sheet1 select'!$B$29*0.001</f>
        <v>1.2E-2</v>
      </c>
      <c r="O121" s="44">
        <f>'Sheet1 select'!$B$10*'Sheet1 select'!$B$31*$B$8*1000*0.000000001</f>
        <v>3.0000000000000001E-3</v>
      </c>
      <c r="P121" s="44">
        <f>'Sheet1 select'!$B$35*$B$10*$B$8*1000*0.000000001</f>
        <v>0</v>
      </c>
      <c r="Q121" s="47">
        <f>IF('Sheet1 select'!$B$17=0,0,(0.00000006*0.7+0.00000003*(0.7+F121*1.1*'Sheet1 select'!$B$26))*F121*$B$8*1000)</f>
        <v>0</v>
      </c>
      <c r="R121" s="45">
        <f t="shared" ca="1" si="10"/>
        <v>0.11689377504800409</v>
      </c>
      <c r="S121" s="48">
        <f t="shared" ca="1" si="11"/>
        <v>0.93191554611773475</v>
      </c>
      <c r="T121" s="49">
        <f ca="1">H121+K121+O121+N121+'Sheet1 select'!$B$40*I121+J121+P121</f>
        <v>2.1710491024052467E-2</v>
      </c>
      <c r="U121" s="169">
        <f t="shared" ca="1" si="12"/>
        <v>9.7104910240524648E-3</v>
      </c>
      <c r="V121" s="47">
        <f t="shared" ca="1" si="13"/>
        <v>0</v>
      </c>
    </row>
    <row r="122" spans="5:22">
      <c r="E122" s="32">
        <v>121</v>
      </c>
      <c r="F122" s="45">
        <f t="shared" si="7"/>
        <v>0.32266666666666671</v>
      </c>
      <c r="G122" s="45">
        <f t="shared" si="8"/>
        <v>2.0822755555555562E-2</v>
      </c>
      <c r="H122" s="45">
        <f ca="1">F122*F122*('Sheet1 select'!$B$25)*$B$3</f>
        <v>2.3679697431234848E-3</v>
      </c>
      <c r="I122" s="45">
        <f>F122*(1-$B$3)*'Sheet1 select'!$B$41</f>
        <v>7.5288888888888905E-2</v>
      </c>
      <c r="J122" s="45">
        <f ca="1">F122*F122*('Sheet1 select'!$B$26)*(1-$B$3)</f>
        <v>0</v>
      </c>
      <c r="K122" s="45">
        <f>0.0000005*$B$10*F122*$B$8*((('Sheet1 select'!$B$33+0.5*'Sheet1 select'!$B$32)/(('Sheet1 select'!$B$10-'Sheet1 select'!$B$23)/('Sheet1 select'!$B$27+'Sheet1 select'!$B$8)))+(('Sheet1 select'!$B$33+0.5*'Sheet1 select'!$B$32)/(('Sheet1 select'!$B$23)/('Sheet1 select'!$B$27+'Sheet1 select'!$B$9))))</f>
        <v>4.4180120373398038E-3</v>
      </c>
      <c r="L122" s="45">
        <f>(F122*$B$28)*(('Sheet1 select'!$B$12+'Sheet1 select'!$B$13)*(0.000000001))*$B$8*1000</f>
        <v>0</v>
      </c>
      <c r="M122" s="45">
        <f t="shared" si="9"/>
        <v>3.6617357284970928E-5</v>
      </c>
      <c r="N122" s="46">
        <f>$B$10*'Sheet1 select'!$B$29*0.001</f>
        <v>1.2E-2</v>
      </c>
      <c r="O122" s="44">
        <f>'Sheet1 select'!$B$10*'Sheet1 select'!$B$31*$B$8*1000*0.000000001</f>
        <v>3.0000000000000001E-3</v>
      </c>
      <c r="P122" s="44">
        <f>'Sheet1 select'!$B$35*$B$10*$B$8*1000*0.000000001</f>
        <v>0</v>
      </c>
      <c r="Q122" s="47">
        <f>IF('Sheet1 select'!$B$17=0,0,(0.00000006*0.7+0.00000003*(0.7+F122*1.1*'Sheet1 select'!$B$26))*F122*$B$8*1000)</f>
        <v>0</v>
      </c>
      <c r="R122" s="45">
        <f t="shared" ca="1" si="10"/>
        <v>0.11793424358219272</v>
      </c>
      <c r="S122" s="48">
        <f t="shared" ca="1" si="11"/>
        <v>0.93187982888681631</v>
      </c>
      <c r="T122" s="49">
        <f ca="1">H122+K122+O122+N122+'Sheet1 select'!$B$40*I122+J122+P122</f>
        <v>2.1785981780463287E-2</v>
      </c>
      <c r="U122" s="169">
        <f t="shared" ca="1" si="12"/>
        <v>9.7859817804632886E-3</v>
      </c>
      <c r="V122" s="47">
        <f t="shared" ca="1" si="13"/>
        <v>0</v>
      </c>
    </row>
    <row r="123" spans="5:22">
      <c r="E123" s="32">
        <v>122</v>
      </c>
      <c r="F123" s="45">
        <f t="shared" si="7"/>
        <v>0.32533333333333336</v>
      </c>
      <c r="G123" s="45">
        <f t="shared" si="8"/>
        <v>2.116835555555556E-2</v>
      </c>
      <c r="H123" s="45">
        <f ca="1">F123*F123*('Sheet1 select'!$B$25)*$B$3</f>
        <v>2.4072714743972367E-3</v>
      </c>
      <c r="I123" s="45">
        <f>F123*(1-$B$3)*'Sheet1 select'!$B$41</f>
        <v>7.591111111111111E-2</v>
      </c>
      <c r="J123" s="45">
        <f ca="1">F123*F123*('Sheet1 select'!$B$26)*(1-$B$3)</f>
        <v>0</v>
      </c>
      <c r="K123" s="45">
        <f>0.0000005*$B$10*F123*$B$8*((('Sheet1 select'!$B$33+0.5*'Sheet1 select'!$B$32)/(('Sheet1 select'!$B$10-'Sheet1 select'!$B$23)/('Sheet1 select'!$B$27+'Sheet1 select'!$B$8)))+(('Sheet1 select'!$B$33+0.5*'Sheet1 select'!$B$32)/(('Sheet1 select'!$B$23)/('Sheet1 select'!$B$27+'Sheet1 select'!$B$9))))</f>
        <v>4.4545245335161658E-3</v>
      </c>
      <c r="L123" s="45">
        <f>(F123*$B$28)*(('Sheet1 select'!$B$12+'Sheet1 select'!$B$13)*(0.000000001))*$B$8*1000</f>
        <v>0</v>
      </c>
      <c r="M123" s="45">
        <f t="shared" si="9"/>
        <v>3.6617357284970928E-5</v>
      </c>
      <c r="N123" s="46">
        <f>$B$10*'Sheet1 select'!$B$29*0.001</f>
        <v>1.2E-2</v>
      </c>
      <c r="O123" s="44">
        <f>'Sheet1 select'!$B$10*'Sheet1 select'!$B$31*$B$8*1000*0.000000001</f>
        <v>3.0000000000000001E-3</v>
      </c>
      <c r="P123" s="44">
        <f>'Sheet1 select'!$B$35*$B$10*$B$8*1000*0.000000001</f>
        <v>0</v>
      </c>
      <c r="Q123" s="47">
        <f>IF('Sheet1 select'!$B$17=0,0,(0.00000006*0.7+0.00000003*(0.7+F123*1.1*'Sheet1 select'!$B$26))*F123*$B$8*1000)</f>
        <v>0</v>
      </c>
      <c r="R123" s="45">
        <f t="shared" ca="1" si="10"/>
        <v>0.11897788003186503</v>
      </c>
      <c r="S123" s="48">
        <f t="shared" ca="1" si="11"/>
        <v>0.93184300878613391</v>
      </c>
      <c r="T123" s="49">
        <f ca="1">H123+K123+O123+N123+'Sheet1 select'!$B$40*I123+J123+P123</f>
        <v>2.1861796007913402E-2</v>
      </c>
      <c r="U123" s="169">
        <f t="shared" ca="1" si="12"/>
        <v>9.8617960079134016E-3</v>
      </c>
      <c r="V123" s="47">
        <f t="shared" ca="1" si="13"/>
        <v>0</v>
      </c>
    </row>
    <row r="124" spans="5:22">
      <c r="E124" s="32">
        <v>123</v>
      </c>
      <c r="F124" s="45">
        <f t="shared" si="7"/>
        <v>0.32800000000000001</v>
      </c>
      <c r="G124" s="45">
        <f t="shared" si="8"/>
        <v>2.1516800000000003E-2</v>
      </c>
      <c r="H124" s="45">
        <f ca="1">F124*F124*('Sheet1 select'!$B$25)*$B$3</f>
        <v>2.446896676710279E-3</v>
      </c>
      <c r="I124" s="45">
        <f>F124*(1-$B$3)*'Sheet1 select'!$B$41</f>
        <v>7.6533333333333342E-2</v>
      </c>
      <c r="J124" s="45">
        <f ca="1">F124*F124*('Sheet1 select'!$B$26)*(1-$B$3)</f>
        <v>0</v>
      </c>
      <c r="K124" s="45">
        <f>0.0000005*$B$10*F124*$B$8*((('Sheet1 select'!$B$33+0.5*'Sheet1 select'!$B$32)/(('Sheet1 select'!$B$10-'Sheet1 select'!$B$23)/('Sheet1 select'!$B$27+'Sheet1 select'!$B$8)))+(('Sheet1 select'!$B$33+0.5*'Sheet1 select'!$B$32)/(('Sheet1 select'!$B$23)/('Sheet1 select'!$B$27+'Sheet1 select'!$B$9))))</f>
        <v>4.4910370296925278E-3</v>
      </c>
      <c r="L124" s="45">
        <f>(F124*$B$28)*(('Sheet1 select'!$B$12+'Sheet1 select'!$B$13)*(0.000000001))*$B$8*1000</f>
        <v>0</v>
      </c>
      <c r="M124" s="45">
        <f t="shared" si="9"/>
        <v>3.6617357284970928E-5</v>
      </c>
      <c r="N124" s="46">
        <f>$B$10*'Sheet1 select'!$B$29*0.001</f>
        <v>1.2E-2</v>
      </c>
      <c r="O124" s="44">
        <f>'Sheet1 select'!$B$10*'Sheet1 select'!$B$31*$B$8*1000*0.000000001</f>
        <v>3.0000000000000001E-3</v>
      </c>
      <c r="P124" s="44">
        <f>'Sheet1 select'!$B$35*$B$10*$B$8*1000*0.000000001</f>
        <v>0</v>
      </c>
      <c r="Q124" s="47">
        <f>IF('Sheet1 select'!$B$17=0,0,(0.00000006*0.7+0.00000003*(0.7+F124*1.1*'Sheet1 select'!$B$26))*F124*$B$8*1000)</f>
        <v>0</v>
      </c>
      <c r="R124" s="45">
        <f t="shared" ca="1" si="10"/>
        <v>0.12002468439702112</v>
      </c>
      <c r="S124" s="48">
        <f t="shared" ca="1" si="11"/>
        <v>0.93180511304127467</v>
      </c>
      <c r="T124" s="49">
        <f ca="1">H124+K124+O124+N124+'Sheet1 select'!$B$40*I124+J124+P124</f>
        <v>2.1937933706402808E-2</v>
      </c>
      <c r="U124" s="169">
        <f t="shared" ca="1" si="12"/>
        <v>9.9379337064028073E-3</v>
      </c>
      <c r="V124" s="47">
        <f t="shared" ca="1" si="13"/>
        <v>0</v>
      </c>
    </row>
    <row r="125" spans="5:22">
      <c r="E125" s="32">
        <v>124</v>
      </c>
      <c r="F125" s="45">
        <f t="shared" si="7"/>
        <v>0.33066666666666666</v>
      </c>
      <c r="G125" s="45">
        <f t="shared" si="8"/>
        <v>2.1868088888888887E-2</v>
      </c>
      <c r="H125" s="45">
        <f ca="1">F125*F125*('Sheet1 select'!$B$25)*$B$3</f>
        <v>2.4868453500626114E-3</v>
      </c>
      <c r="I125" s="45">
        <f>F125*(1-$B$3)*'Sheet1 select'!$B$41</f>
        <v>7.7155555555555547E-2</v>
      </c>
      <c r="J125" s="45">
        <f ca="1">F125*F125*('Sheet1 select'!$B$26)*(1-$B$3)</f>
        <v>0</v>
      </c>
      <c r="K125" s="45">
        <f>0.0000005*$B$10*F125*$B$8*((('Sheet1 select'!$B$33+0.5*'Sheet1 select'!$B$32)/(('Sheet1 select'!$B$10-'Sheet1 select'!$B$23)/('Sheet1 select'!$B$27+'Sheet1 select'!$B$8)))+(('Sheet1 select'!$B$33+0.5*'Sheet1 select'!$B$32)/(('Sheet1 select'!$B$23)/('Sheet1 select'!$B$27+'Sheet1 select'!$B$9))))</f>
        <v>4.5275495258688897E-3</v>
      </c>
      <c r="L125" s="45">
        <f>(F125*$B$28)*(('Sheet1 select'!$B$12+'Sheet1 select'!$B$13)*(0.000000001))*$B$8*1000</f>
        <v>0</v>
      </c>
      <c r="M125" s="45">
        <f t="shared" si="9"/>
        <v>3.6617357284970928E-5</v>
      </c>
      <c r="N125" s="46">
        <f>$B$10*'Sheet1 select'!$B$29*0.001</f>
        <v>1.2E-2</v>
      </c>
      <c r="O125" s="44">
        <f>'Sheet1 select'!$B$10*'Sheet1 select'!$B$31*$B$8*1000*0.000000001</f>
        <v>3.0000000000000001E-3</v>
      </c>
      <c r="P125" s="44">
        <f>'Sheet1 select'!$B$35*$B$10*$B$8*1000*0.000000001</f>
        <v>0</v>
      </c>
      <c r="Q125" s="47">
        <f>IF('Sheet1 select'!$B$17=0,0,(0.00000006*0.7+0.00000003*(0.7+F125*1.1*'Sheet1 select'!$B$26))*F125*$B$8*1000)</f>
        <v>0</v>
      </c>
      <c r="R125" s="45">
        <f t="shared" ca="1" si="10"/>
        <v>0.12107465667766092</v>
      </c>
      <c r="S125" s="48">
        <f t="shared" ca="1" si="11"/>
        <v>0.9317661680068795</v>
      </c>
      <c r="T125" s="49">
        <f ca="1">H125+K125+O125+N125+'Sheet1 select'!$B$40*I125+J125+P125</f>
        <v>2.2014394875931501E-2</v>
      </c>
      <c r="U125" s="169">
        <f t="shared" ca="1" si="12"/>
        <v>1.00143948759315E-2</v>
      </c>
      <c r="V125" s="47">
        <f t="shared" ca="1" si="13"/>
        <v>0</v>
      </c>
    </row>
    <row r="126" spans="5:22">
      <c r="E126" s="32">
        <v>125</v>
      </c>
      <c r="F126" s="45">
        <f t="shared" si="7"/>
        <v>0.33333333333333331</v>
      </c>
      <c r="G126" s="45">
        <f t="shared" si="8"/>
        <v>2.2222222222222223E-2</v>
      </c>
      <c r="H126" s="45">
        <f ca="1">F126*F126*('Sheet1 select'!$B$25)*$B$3</f>
        <v>2.5271174944542338E-3</v>
      </c>
      <c r="I126" s="45">
        <f>F126*(1-$B$3)*'Sheet1 select'!$B$41</f>
        <v>7.7777777777777779E-2</v>
      </c>
      <c r="J126" s="45">
        <f ca="1">F126*F126*('Sheet1 select'!$B$26)*(1-$B$3)</f>
        <v>0</v>
      </c>
      <c r="K126" s="45">
        <f>0.0000005*$B$10*F126*$B$8*((('Sheet1 select'!$B$33+0.5*'Sheet1 select'!$B$32)/(('Sheet1 select'!$B$10-'Sheet1 select'!$B$23)/('Sheet1 select'!$B$27+'Sheet1 select'!$B$8)))+(('Sheet1 select'!$B$33+0.5*'Sheet1 select'!$B$32)/(('Sheet1 select'!$B$23)/('Sheet1 select'!$B$27+'Sheet1 select'!$B$9))))</f>
        <v>4.5640620220452517E-3</v>
      </c>
      <c r="L126" s="45">
        <f>(F126*$B$28)*(('Sheet1 select'!$B$12+'Sheet1 select'!$B$13)*(0.000000001))*$B$8*1000</f>
        <v>0</v>
      </c>
      <c r="M126" s="45">
        <f t="shared" si="9"/>
        <v>3.6617357284970928E-5</v>
      </c>
      <c r="N126" s="46">
        <f>$B$10*'Sheet1 select'!$B$29*0.001</f>
        <v>1.2E-2</v>
      </c>
      <c r="O126" s="44">
        <f>'Sheet1 select'!$B$10*'Sheet1 select'!$B$31*$B$8*1000*0.000000001</f>
        <v>3.0000000000000001E-3</v>
      </c>
      <c r="P126" s="44">
        <f>'Sheet1 select'!$B$35*$B$10*$B$8*1000*0.000000001</f>
        <v>0</v>
      </c>
      <c r="Q126" s="47">
        <f>IF('Sheet1 select'!$B$17=0,0,(0.00000006*0.7+0.00000003*(0.7+F126*1.1*'Sheet1 select'!$B$26))*F126*$B$8*1000)</f>
        <v>0</v>
      </c>
      <c r="R126" s="45">
        <f t="shared" ca="1" si="10"/>
        <v>0.12212779687378444</v>
      </c>
      <c r="S126" s="48">
        <f t="shared" ca="1" si="11"/>
        <v>0.93172619920118471</v>
      </c>
      <c r="T126" s="49">
        <f ca="1">H126+K126+O126+N126+'Sheet1 select'!$B$40*I126+J126+P126</f>
        <v>2.2091179516499485E-2</v>
      </c>
      <c r="U126" s="169">
        <f t="shared" ca="1" si="12"/>
        <v>1.0091179516499484E-2</v>
      </c>
      <c r="V126" s="47">
        <f t="shared" ca="1" si="13"/>
        <v>0</v>
      </c>
    </row>
    <row r="127" spans="5:22">
      <c r="E127" s="32">
        <v>126</v>
      </c>
      <c r="F127" s="45">
        <f t="shared" si="7"/>
        <v>0.33600000000000002</v>
      </c>
      <c r="G127" s="45">
        <f t="shared" si="8"/>
        <v>2.2579200000000004E-2</v>
      </c>
      <c r="H127" s="45">
        <f ca="1">F127*F127*('Sheet1 select'!$B$25)*$B$3</f>
        <v>2.5677131098851467E-3</v>
      </c>
      <c r="I127" s="45">
        <f>F127*(1-$B$3)*'Sheet1 select'!$B$41</f>
        <v>7.8399999999999997E-2</v>
      </c>
      <c r="J127" s="45">
        <f ca="1">F127*F127*('Sheet1 select'!$B$26)*(1-$B$3)</f>
        <v>0</v>
      </c>
      <c r="K127" s="45">
        <f>0.0000005*$B$10*F127*$B$8*((('Sheet1 select'!$B$33+0.5*'Sheet1 select'!$B$32)/(('Sheet1 select'!$B$10-'Sheet1 select'!$B$23)/('Sheet1 select'!$B$27+'Sheet1 select'!$B$8)))+(('Sheet1 select'!$B$33+0.5*'Sheet1 select'!$B$32)/(('Sheet1 select'!$B$23)/('Sheet1 select'!$B$27+'Sheet1 select'!$B$9))))</f>
        <v>4.6005745182216146E-3</v>
      </c>
      <c r="L127" s="45">
        <f>(F127*$B$28)*(('Sheet1 select'!$B$12+'Sheet1 select'!$B$13)*(0.000000001))*$B$8*1000</f>
        <v>0</v>
      </c>
      <c r="M127" s="45">
        <f t="shared" si="9"/>
        <v>3.6617357284970928E-5</v>
      </c>
      <c r="N127" s="46">
        <f>$B$10*'Sheet1 select'!$B$29*0.001</f>
        <v>1.2E-2</v>
      </c>
      <c r="O127" s="44">
        <f>'Sheet1 select'!$B$10*'Sheet1 select'!$B$31*$B$8*1000*0.000000001</f>
        <v>3.0000000000000001E-3</v>
      </c>
      <c r="P127" s="44">
        <f>'Sheet1 select'!$B$35*$B$10*$B$8*1000*0.000000001</f>
        <v>0</v>
      </c>
      <c r="Q127" s="47">
        <f>IF('Sheet1 select'!$B$17=0,0,(0.00000006*0.7+0.00000003*(0.7+F127*1.1*'Sheet1 select'!$B$26))*F127*$B$8*1000)</f>
        <v>0</v>
      </c>
      <c r="R127" s="45">
        <f t="shared" ca="1" si="10"/>
        <v>0.12318410498539173</v>
      </c>
      <c r="S127" s="48">
        <f t="shared" ca="1" si="11"/>
        <v>0.93168523133893222</v>
      </c>
      <c r="T127" s="49">
        <f ca="1">H127+K127+O127+N127+'Sheet1 select'!$B$40*I127+J127+P127</f>
        <v>2.2168287628106763E-2</v>
      </c>
      <c r="U127" s="169">
        <f t="shared" ca="1" si="12"/>
        <v>1.0168287628106763E-2</v>
      </c>
      <c r="V127" s="47">
        <f t="shared" ca="1" si="13"/>
        <v>0</v>
      </c>
    </row>
    <row r="128" spans="5:22">
      <c r="E128" s="32">
        <v>127</v>
      </c>
      <c r="F128" s="45">
        <f t="shared" si="7"/>
        <v>0.33866666666666667</v>
      </c>
      <c r="G128" s="45">
        <f t="shared" si="8"/>
        <v>2.293902222222222E-2</v>
      </c>
      <c r="H128" s="45">
        <f ca="1">F128*F128*('Sheet1 select'!$B$25)*$B$3</f>
        <v>2.6086321963553496E-3</v>
      </c>
      <c r="I128" s="45">
        <f>F128*(1-$B$3)*'Sheet1 select'!$B$41</f>
        <v>7.9022222222222216E-2</v>
      </c>
      <c r="J128" s="45">
        <f ca="1">F128*F128*('Sheet1 select'!$B$26)*(1-$B$3)</f>
        <v>0</v>
      </c>
      <c r="K128" s="45">
        <f>0.0000005*$B$10*F128*$B$8*((('Sheet1 select'!$B$33+0.5*'Sheet1 select'!$B$32)/(('Sheet1 select'!$B$10-'Sheet1 select'!$B$23)/('Sheet1 select'!$B$27+'Sheet1 select'!$B$8)))+(('Sheet1 select'!$B$33+0.5*'Sheet1 select'!$B$32)/(('Sheet1 select'!$B$23)/('Sheet1 select'!$B$27+'Sheet1 select'!$B$9))))</f>
        <v>4.6370870143979757E-3</v>
      </c>
      <c r="L128" s="45">
        <f>(F128*$B$28)*(('Sheet1 select'!$B$12+'Sheet1 select'!$B$13)*(0.000000001))*$B$8*1000</f>
        <v>0</v>
      </c>
      <c r="M128" s="45">
        <f t="shared" si="9"/>
        <v>3.6617357284970928E-5</v>
      </c>
      <c r="N128" s="46">
        <f>$B$10*'Sheet1 select'!$B$29*0.001</f>
        <v>1.2E-2</v>
      </c>
      <c r="O128" s="44">
        <f>'Sheet1 select'!$B$10*'Sheet1 select'!$B$31*$B$8*1000*0.000000001</f>
        <v>3.0000000000000001E-3</v>
      </c>
      <c r="P128" s="44">
        <f>'Sheet1 select'!$B$35*$B$10*$B$8*1000*0.000000001</f>
        <v>0</v>
      </c>
      <c r="Q128" s="47">
        <f>IF('Sheet1 select'!$B$17=0,0,(0.00000006*0.7+0.00000003*(0.7+F128*1.1*'Sheet1 select'!$B$26))*F128*$B$8*1000)</f>
        <v>0</v>
      </c>
      <c r="R128" s="45">
        <f t="shared" ca="1" si="10"/>
        <v>0.12424358101248273</v>
      </c>
      <c r="S128" s="48">
        <f t="shared" ca="1" si="11"/>
        <v>0.93164328836273735</v>
      </c>
      <c r="T128" s="49">
        <f ca="1">H128+K128+O128+N128+'Sheet1 select'!$B$40*I128+J128+P128</f>
        <v>2.2245719210753325E-2</v>
      </c>
      <c r="U128" s="169">
        <f t="shared" ca="1" si="12"/>
        <v>1.0245719210753325E-2</v>
      </c>
      <c r="V128" s="47">
        <f t="shared" ca="1" si="13"/>
        <v>0</v>
      </c>
    </row>
    <row r="129" spans="5:22">
      <c r="E129" s="32">
        <v>128</v>
      </c>
      <c r="F129" s="45">
        <f t="shared" si="7"/>
        <v>0.34133333333333338</v>
      </c>
      <c r="G129" s="45">
        <f t="shared" si="8"/>
        <v>2.3301688888888894E-2</v>
      </c>
      <c r="H129" s="45">
        <f ca="1">F129*F129*('Sheet1 select'!$B$25)*$B$3</f>
        <v>2.6498747538648434E-3</v>
      </c>
      <c r="I129" s="45">
        <f>F129*(1-$B$3)*'Sheet1 select'!$B$41</f>
        <v>7.9644444444444448E-2</v>
      </c>
      <c r="J129" s="45">
        <f ca="1">F129*F129*('Sheet1 select'!$B$26)*(1-$B$3)</f>
        <v>0</v>
      </c>
      <c r="K129" s="45">
        <f>0.0000005*$B$10*F129*$B$8*((('Sheet1 select'!$B$33+0.5*'Sheet1 select'!$B$32)/(('Sheet1 select'!$B$10-'Sheet1 select'!$B$23)/('Sheet1 select'!$B$27+'Sheet1 select'!$B$8)))+(('Sheet1 select'!$B$33+0.5*'Sheet1 select'!$B$32)/(('Sheet1 select'!$B$23)/('Sheet1 select'!$B$27+'Sheet1 select'!$B$9))))</f>
        <v>4.6735995105743385E-3</v>
      </c>
      <c r="L129" s="45">
        <f>(F129*$B$28)*(('Sheet1 select'!$B$12+'Sheet1 select'!$B$13)*(0.000000001))*$B$8*1000</f>
        <v>0</v>
      </c>
      <c r="M129" s="45">
        <f t="shared" si="9"/>
        <v>3.6617357284970928E-5</v>
      </c>
      <c r="N129" s="46">
        <f>$B$10*'Sheet1 select'!$B$29*0.001</f>
        <v>1.2E-2</v>
      </c>
      <c r="O129" s="44">
        <f>'Sheet1 select'!$B$10*'Sheet1 select'!$B$31*$B$8*1000*0.000000001</f>
        <v>3.0000000000000001E-3</v>
      </c>
      <c r="P129" s="44">
        <f>'Sheet1 select'!$B$35*$B$10*$B$8*1000*0.000000001</f>
        <v>0</v>
      </c>
      <c r="Q129" s="47">
        <f>IF('Sheet1 select'!$B$17=0,0,(0.00000006*0.7+0.00000003*(0.7+F129*1.1*'Sheet1 select'!$B$26))*F129*$B$8*1000)</f>
        <v>0</v>
      </c>
      <c r="R129" s="45">
        <f t="shared" ca="1" si="10"/>
        <v>0.12530622495505747</v>
      </c>
      <c r="S129" s="48">
        <f t="shared" ca="1" si="11"/>
        <v>0.93160039347299939</v>
      </c>
      <c r="T129" s="49">
        <f ca="1">H129+K129+O129+N129+'Sheet1 select'!$B$40*I129+J129+P129</f>
        <v>2.2323474264439182E-2</v>
      </c>
      <c r="U129" s="169">
        <f t="shared" ca="1" si="12"/>
        <v>1.0323474264439182E-2</v>
      </c>
      <c r="V129" s="47">
        <f t="shared" ca="1" si="13"/>
        <v>0</v>
      </c>
    </row>
    <row r="130" spans="5:22">
      <c r="E130" s="32">
        <v>129</v>
      </c>
      <c r="F130" s="45">
        <f t="shared" ref="F130:F193" si="14">$B$12*E130/300</f>
        <v>0.34400000000000003</v>
      </c>
      <c r="G130" s="45">
        <f t="shared" ref="G130:G193" si="15">F130*F130*$B$14*0.001*2</f>
        <v>2.3667200000000006E-2</v>
      </c>
      <c r="H130" s="45">
        <f ca="1">F130*F130*('Sheet1 select'!$B$25)*$B$3</f>
        <v>2.6914407824136263E-3</v>
      </c>
      <c r="I130" s="45">
        <f>F130*(1-$B$3)*'Sheet1 select'!$B$41</f>
        <v>8.0266666666666667E-2</v>
      </c>
      <c r="J130" s="45">
        <f ca="1">F130*F130*('Sheet1 select'!$B$26)*(1-$B$3)</f>
        <v>0</v>
      </c>
      <c r="K130" s="45">
        <f>0.0000005*$B$10*F130*$B$8*((('Sheet1 select'!$B$33+0.5*'Sheet1 select'!$B$32)/(('Sheet1 select'!$B$10-'Sheet1 select'!$B$23)/('Sheet1 select'!$B$27+'Sheet1 select'!$B$8)))+(('Sheet1 select'!$B$33+0.5*'Sheet1 select'!$B$32)/(('Sheet1 select'!$B$23)/('Sheet1 select'!$B$27+'Sheet1 select'!$B$9))))</f>
        <v>4.7101120067506996E-3</v>
      </c>
      <c r="L130" s="45">
        <f>(F130*$B$28)*(('Sheet1 select'!$B$12+'Sheet1 select'!$B$13)*(0.000000001))*$B$8*1000</f>
        <v>0</v>
      </c>
      <c r="M130" s="45">
        <f t="shared" ref="M130:M193" si="16">($B$2^2)*$B$16*0.001</f>
        <v>3.6617357284970928E-5</v>
      </c>
      <c r="N130" s="46">
        <f>$B$10*'Sheet1 select'!$B$29*0.001</f>
        <v>1.2E-2</v>
      </c>
      <c r="O130" s="44">
        <f>'Sheet1 select'!$B$10*'Sheet1 select'!$B$31*$B$8*1000*0.000000001</f>
        <v>3.0000000000000001E-3</v>
      </c>
      <c r="P130" s="44">
        <f>'Sheet1 select'!$B$35*$B$10*$B$8*1000*0.000000001</f>
        <v>0</v>
      </c>
      <c r="Q130" s="47">
        <f>IF('Sheet1 select'!$B$17=0,0,(0.00000006*0.7+0.00000003*(0.7+F130*1.1*'Sheet1 select'!$B$26))*F130*$B$8*1000)</f>
        <v>0</v>
      </c>
      <c r="R130" s="45">
        <f t="shared" ref="R130:R193" ca="1" si="17">SUM(G130:P130)+Q130</f>
        <v>0.12637203681311596</v>
      </c>
      <c r="S130" s="48">
        <f t="shared" ref="S130:S193" ca="1" si="18">($B$11*F130)/($B$11*F130+R130)</f>
        <v>0.93155656915643215</v>
      </c>
      <c r="T130" s="49">
        <f ca="1">H130+K130+O130+N130+'Sheet1 select'!$B$40*I130+J130+P130</f>
        <v>2.2401552789164326E-2</v>
      </c>
      <c r="U130" s="169">
        <f t="shared" ref="U130:U193" ca="1" si="19">H130+K130+O130</f>
        <v>1.0401552789164326E-2</v>
      </c>
      <c r="V130" s="47">
        <f t="shared" ref="V130:V193" ca="1" si="20">J130+P130+Q130</f>
        <v>0</v>
      </c>
    </row>
    <row r="131" spans="5:22">
      <c r="E131" s="32">
        <v>130</v>
      </c>
      <c r="F131" s="45">
        <f t="shared" si="14"/>
        <v>0.34666666666666668</v>
      </c>
      <c r="G131" s="45">
        <f t="shared" si="15"/>
        <v>2.4035555555555557E-2</v>
      </c>
      <c r="H131" s="45">
        <f ca="1">F131*F131*('Sheet1 select'!$B$25)*$B$3</f>
        <v>2.7333302820016997E-3</v>
      </c>
      <c r="I131" s="45">
        <f>F131*(1-$B$3)*'Sheet1 select'!$B$41</f>
        <v>8.0888888888888885E-2</v>
      </c>
      <c r="J131" s="45">
        <f ca="1">F131*F131*('Sheet1 select'!$B$26)*(1-$B$3)</f>
        <v>0</v>
      </c>
      <c r="K131" s="45">
        <f>0.0000005*$B$10*F131*$B$8*((('Sheet1 select'!$B$33+0.5*'Sheet1 select'!$B$32)/(('Sheet1 select'!$B$10-'Sheet1 select'!$B$23)/('Sheet1 select'!$B$27+'Sheet1 select'!$B$8)))+(('Sheet1 select'!$B$33+0.5*'Sheet1 select'!$B$32)/(('Sheet1 select'!$B$23)/('Sheet1 select'!$B$27+'Sheet1 select'!$B$9))))</f>
        <v>4.7466245029270616E-3</v>
      </c>
      <c r="L131" s="45">
        <f>(F131*$B$28)*(('Sheet1 select'!$B$12+'Sheet1 select'!$B$13)*(0.000000001))*$B$8*1000</f>
        <v>0</v>
      </c>
      <c r="M131" s="45">
        <f t="shared" si="16"/>
        <v>3.6617357284970928E-5</v>
      </c>
      <c r="N131" s="46">
        <f>$B$10*'Sheet1 select'!$B$29*0.001</f>
        <v>1.2E-2</v>
      </c>
      <c r="O131" s="44">
        <f>'Sheet1 select'!$B$10*'Sheet1 select'!$B$31*$B$8*1000*0.000000001</f>
        <v>3.0000000000000001E-3</v>
      </c>
      <c r="P131" s="44">
        <f>'Sheet1 select'!$B$35*$B$10*$B$8*1000*0.000000001</f>
        <v>0</v>
      </c>
      <c r="Q131" s="47">
        <f>IF('Sheet1 select'!$B$17=0,0,(0.00000006*0.7+0.00000003*(0.7+F131*1.1*'Sheet1 select'!$B$26))*F131*$B$8*1000)</f>
        <v>0</v>
      </c>
      <c r="R131" s="45">
        <f t="shared" ca="1" si="17"/>
        <v>0.12744101658665816</v>
      </c>
      <c r="S131" s="48">
        <f t="shared" ca="1" si="18"/>
        <v>0.93151183721328823</v>
      </c>
      <c r="T131" s="49">
        <f ca="1">H131+K131+O131+N131+'Sheet1 select'!$B$40*I131+J131+P131</f>
        <v>2.2479954784928761E-2</v>
      </c>
      <c r="U131" s="169">
        <f t="shared" ca="1" si="19"/>
        <v>1.0479954784928761E-2</v>
      </c>
      <c r="V131" s="47">
        <f t="shared" ca="1" si="20"/>
        <v>0</v>
      </c>
    </row>
    <row r="132" spans="5:22">
      <c r="E132" s="32">
        <v>131</v>
      </c>
      <c r="F132" s="45">
        <f t="shared" si="14"/>
        <v>0.34933333333333338</v>
      </c>
      <c r="G132" s="45">
        <f t="shared" si="15"/>
        <v>2.4406755555555562E-2</v>
      </c>
      <c r="H132" s="45">
        <f ca="1">F132*F132*('Sheet1 select'!$B$25)*$B$3</f>
        <v>2.7755432526290636E-3</v>
      </c>
      <c r="I132" s="45">
        <f>F132*(1-$B$3)*'Sheet1 select'!$B$41</f>
        <v>8.1511111111111118E-2</v>
      </c>
      <c r="J132" s="45">
        <f ca="1">F132*F132*('Sheet1 select'!$B$26)*(1-$B$3)</f>
        <v>0</v>
      </c>
      <c r="K132" s="45">
        <f>0.0000005*$B$10*F132*$B$8*((('Sheet1 select'!$B$33+0.5*'Sheet1 select'!$B$32)/(('Sheet1 select'!$B$10-'Sheet1 select'!$B$23)/('Sheet1 select'!$B$27+'Sheet1 select'!$B$8)))+(('Sheet1 select'!$B$33+0.5*'Sheet1 select'!$B$32)/(('Sheet1 select'!$B$23)/('Sheet1 select'!$B$27+'Sheet1 select'!$B$9))))</f>
        <v>4.7831369991034245E-3</v>
      </c>
      <c r="L132" s="45">
        <f>(F132*$B$28)*(('Sheet1 select'!$B$12+'Sheet1 select'!$B$13)*(0.000000001))*$B$8*1000</f>
        <v>0</v>
      </c>
      <c r="M132" s="45">
        <f t="shared" si="16"/>
        <v>3.6617357284970928E-5</v>
      </c>
      <c r="N132" s="46">
        <f>$B$10*'Sheet1 select'!$B$29*0.001</f>
        <v>1.2E-2</v>
      </c>
      <c r="O132" s="44">
        <f>'Sheet1 select'!$B$10*'Sheet1 select'!$B$31*$B$8*1000*0.000000001</f>
        <v>3.0000000000000001E-3</v>
      </c>
      <c r="P132" s="44">
        <f>'Sheet1 select'!$B$35*$B$10*$B$8*1000*0.000000001</f>
        <v>0</v>
      </c>
      <c r="Q132" s="47">
        <f>IF('Sheet1 select'!$B$17=0,0,(0.00000006*0.7+0.00000003*(0.7+F132*1.1*'Sheet1 select'!$B$26))*F132*$B$8*1000)</f>
        <v>0</v>
      </c>
      <c r="R132" s="45">
        <f t="shared" ca="1" si="17"/>
        <v>0.12851316427568413</v>
      </c>
      <c r="S132" s="48">
        <f t="shared" ca="1" si="18"/>
        <v>0.93146621878334668</v>
      </c>
      <c r="T132" s="49">
        <f ca="1">H132+K132+O132+N132+'Sheet1 select'!$B$40*I132+J132+P132</f>
        <v>2.2558680251732487E-2</v>
      </c>
      <c r="U132" s="169">
        <f t="shared" ca="1" si="19"/>
        <v>1.0558680251732488E-2</v>
      </c>
      <c r="V132" s="47">
        <f t="shared" ca="1" si="20"/>
        <v>0</v>
      </c>
    </row>
    <row r="133" spans="5:22">
      <c r="E133" s="32">
        <v>132</v>
      </c>
      <c r="F133" s="45">
        <f t="shared" si="14"/>
        <v>0.35200000000000004</v>
      </c>
      <c r="G133" s="45">
        <f t="shared" si="15"/>
        <v>2.4780800000000006E-2</v>
      </c>
      <c r="H133" s="45">
        <f ca="1">F133*F133*('Sheet1 select'!$B$25)*$B$3</f>
        <v>2.8180796942957171E-3</v>
      </c>
      <c r="I133" s="45">
        <f>F133*(1-$B$3)*'Sheet1 select'!$B$41</f>
        <v>8.2133333333333336E-2</v>
      </c>
      <c r="J133" s="45">
        <f ca="1">F133*F133*('Sheet1 select'!$B$26)*(1-$B$3)</f>
        <v>0</v>
      </c>
      <c r="K133" s="45">
        <f>0.0000005*$B$10*F133*$B$8*((('Sheet1 select'!$B$33+0.5*'Sheet1 select'!$B$32)/(('Sheet1 select'!$B$10-'Sheet1 select'!$B$23)/('Sheet1 select'!$B$27+'Sheet1 select'!$B$8)))+(('Sheet1 select'!$B$33+0.5*'Sheet1 select'!$B$32)/(('Sheet1 select'!$B$23)/('Sheet1 select'!$B$27+'Sheet1 select'!$B$9))))</f>
        <v>4.8196494952797864E-3</v>
      </c>
      <c r="L133" s="45">
        <f>(F133*$B$28)*(('Sheet1 select'!$B$12+'Sheet1 select'!$B$13)*(0.000000001))*$B$8*1000</f>
        <v>0</v>
      </c>
      <c r="M133" s="45">
        <f t="shared" si="16"/>
        <v>3.6617357284970928E-5</v>
      </c>
      <c r="N133" s="46">
        <f>$B$10*'Sheet1 select'!$B$29*0.001</f>
        <v>1.2E-2</v>
      </c>
      <c r="O133" s="44">
        <f>'Sheet1 select'!$B$10*'Sheet1 select'!$B$31*$B$8*1000*0.000000001</f>
        <v>3.0000000000000001E-3</v>
      </c>
      <c r="P133" s="44">
        <f>'Sheet1 select'!$B$35*$B$10*$B$8*1000*0.000000001</f>
        <v>0</v>
      </c>
      <c r="Q133" s="47">
        <f>IF('Sheet1 select'!$B$17=0,0,(0.00000006*0.7+0.00000003*(0.7+F133*1.1*'Sheet1 select'!$B$26))*F133*$B$8*1000)</f>
        <v>0</v>
      </c>
      <c r="R133" s="45">
        <f t="shared" ca="1" si="17"/>
        <v>0.12958847988019381</v>
      </c>
      <c r="S133" s="48">
        <f t="shared" ca="1" si="18"/>
        <v>0.93141973437072911</v>
      </c>
      <c r="T133" s="49">
        <f ca="1">H133+K133+O133+N133+'Sheet1 select'!$B$40*I133+J133+P133</f>
        <v>2.2637729189575503E-2</v>
      </c>
      <c r="U133" s="169">
        <f t="shared" ca="1" si="19"/>
        <v>1.0637729189575503E-2</v>
      </c>
      <c r="V133" s="47">
        <f t="shared" ca="1" si="20"/>
        <v>0</v>
      </c>
    </row>
    <row r="134" spans="5:22">
      <c r="E134" s="32">
        <v>133</v>
      </c>
      <c r="F134" s="45">
        <f t="shared" si="14"/>
        <v>0.35466666666666669</v>
      </c>
      <c r="G134" s="45">
        <f t="shared" si="15"/>
        <v>2.5157688888888891E-2</v>
      </c>
      <c r="H134" s="45">
        <f ca="1">F134*F134*('Sheet1 select'!$B$25)*$B$3</f>
        <v>2.8609396070016606E-3</v>
      </c>
      <c r="I134" s="45">
        <f>F134*(1-$B$3)*'Sheet1 select'!$B$41</f>
        <v>8.2755555555555554E-2</v>
      </c>
      <c r="J134" s="45">
        <f ca="1">F134*F134*('Sheet1 select'!$B$26)*(1-$B$3)</f>
        <v>0</v>
      </c>
      <c r="K134" s="45">
        <f>0.0000005*$B$10*F134*$B$8*((('Sheet1 select'!$B$33+0.5*'Sheet1 select'!$B$32)/(('Sheet1 select'!$B$10-'Sheet1 select'!$B$23)/('Sheet1 select'!$B$27+'Sheet1 select'!$B$8)))+(('Sheet1 select'!$B$33+0.5*'Sheet1 select'!$B$32)/(('Sheet1 select'!$B$23)/('Sheet1 select'!$B$27+'Sheet1 select'!$B$9))))</f>
        <v>4.8561619914561484E-3</v>
      </c>
      <c r="L134" s="45">
        <f>(F134*$B$28)*(('Sheet1 select'!$B$12+'Sheet1 select'!$B$13)*(0.000000001))*$B$8*1000</f>
        <v>0</v>
      </c>
      <c r="M134" s="45">
        <f t="shared" si="16"/>
        <v>3.6617357284970928E-5</v>
      </c>
      <c r="N134" s="46">
        <f>$B$10*'Sheet1 select'!$B$29*0.001</f>
        <v>1.2E-2</v>
      </c>
      <c r="O134" s="44">
        <f>'Sheet1 select'!$B$10*'Sheet1 select'!$B$31*$B$8*1000*0.000000001</f>
        <v>3.0000000000000001E-3</v>
      </c>
      <c r="P134" s="44">
        <f>'Sheet1 select'!$B$35*$B$10*$B$8*1000*0.000000001</f>
        <v>0</v>
      </c>
      <c r="Q134" s="47">
        <f>IF('Sheet1 select'!$B$17=0,0,(0.00000006*0.7+0.00000003*(0.7+F134*1.1*'Sheet1 select'!$B$26))*F134*$B$8*1000)</f>
        <v>0</v>
      </c>
      <c r="R134" s="45">
        <f t="shared" ca="1" si="17"/>
        <v>0.13066696340018724</v>
      </c>
      <c r="S134" s="48">
        <f t="shared" ca="1" si="18"/>
        <v>0.93137240386760545</v>
      </c>
      <c r="T134" s="49">
        <f ca="1">H134+K134+O134+N134+'Sheet1 select'!$B$40*I134+J134+P134</f>
        <v>2.2717101598457808E-2</v>
      </c>
      <c r="U134" s="169">
        <f t="shared" ca="1" si="19"/>
        <v>1.0717101598457809E-2</v>
      </c>
      <c r="V134" s="47">
        <f t="shared" ca="1" si="20"/>
        <v>0</v>
      </c>
    </row>
    <row r="135" spans="5:22">
      <c r="E135" s="32">
        <v>134</v>
      </c>
      <c r="F135" s="45">
        <f t="shared" si="14"/>
        <v>0.35733333333333334</v>
      </c>
      <c r="G135" s="45">
        <f t="shared" si="15"/>
        <v>2.5537422222222224E-2</v>
      </c>
      <c r="H135" s="45">
        <f ca="1">F135*F135*('Sheet1 select'!$B$25)*$B$3</f>
        <v>2.9041229907468941E-3</v>
      </c>
      <c r="I135" s="45">
        <f>F135*(1-$B$3)*'Sheet1 select'!$B$41</f>
        <v>8.3377777777777773E-2</v>
      </c>
      <c r="J135" s="45">
        <f ca="1">F135*F135*('Sheet1 select'!$B$26)*(1-$B$3)</f>
        <v>0</v>
      </c>
      <c r="K135" s="45">
        <f>0.0000005*$B$10*F135*$B$8*((('Sheet1 select'!$B$33+0.5*'Sheet1 select'!$B$32)/(('Sheet1 select'!$B$10-'Sheet1 select'!$B$23)/('Sheet1 select'!$B$27+'Sheet1 select'!$B$8)))+(('Sheet1 select'!$B$33+0.5*'Sheet1 select'!$B$32)/(('Sheet1 select'!$B$23)/('Sheet1 select'!$B$27+'Sheet1 select'!$B$9))))</f>
        <v>4.8926744876325104E-3</v>
      </c>
      <c r="L135" s="45">
        <f>(F135*$B$28)*(('Sheet1 select'!$B$12+'Sheet1 select'!$B$13)*(0.000000001))*$B$8*1000</f>
        <v>0</v>
      </c>
      <c r="M135" s="45">
        <f t="shared" si="16"/>
        <v>3.6617357284970928E-5</v>
      </c>
      <c r="N135" s="46">
        <f>$B$10*'Sheet1 select'!$B$29*0.001</f>
        <v>1.2E-2</v>
      </c>
      <c r="O135" s="44">
        <f>'Sheet1 select'!$B$10*'Sheet1 select'!$B$31*$B$8*1000*0.000000001</f>
        <v>3.0000000000000001E-3</v>
      </c>
      <c r="P135" s="44">
        <f>'Sheet1 select'!$B$35*$B$10*$B$8*1000*0.000000001</f>
        <v>0</v>
      </c>
      <c r="Q135" s="47">
        <f>IF('Sheet1 select'!$B$17=0,0,(0.00000006*0.7+0.00000003*(0.7+F135*1.1*'Sheet1 select'!$B$26))*F135*$B$8*1000)</f>
        <v>0</v>
      </c>
      <c r="R135" s="45">
        <f t="shared" ca="1" si="17"/>
        <v>0.13174861483566438</v>
      </c>
      <c r="S135" s="48">
        <f t="shared" ca="1" si="18"/>
        <v>0.9313242465768462</v>
      </c>
      <c r="T135" s="49">
        <f ca="1">H135+K135+O135+N135+'Sheet1 select'!$B$40*I135+J135+P135</f>
        <v>2.2796797478379406E-2</v>
      </c>
      <c r="U135" s="169">
        <f t="shared" ca="1" si="19"/>
        <v>1.0796797478379406E-2</v>
      </c>
      <c r="V135" s="47">
        <f t="shared" ca="1" si="20"/>
        <v>0</v>
      </c>
    </row>
    <row r="136" spans="5:22">
      <c r="E136" s="32">
        <v>135</v>
      </c>
      <c r="F136" s="45">
        <f t="shared" si="14"/>
        <v>0.36</v>
      </c>
      <c r="G136" s="45">
        <f t="shared" si="15"/>
        <v>2.5919999999999999E-2</v>
      </c>
      <c r="H136" s="45">
        <f ca="1">F136*F136*('Sheet1 select'!$B$25)*$B$3</f>
        <v>2.9476298455314181E-3</v>
      </c>
      <c r="I136" s="45">
        <f>F136*(1-$B$3)*'Sheet1 select'!$B$41</f>
        <v>8.3999999999999991E-2</v>
      </c>
      <c r="J136" s="45">
        <f ca="1">F136*F136*('Sheet1 select'!$B$26)*(1-$B$3)</f>
        <v>0</v>
      </c>
      <c r="K136" s="45">
        <f>0.0000005*$B$10*F136*$B$8*((('Sheet1 select'!$B$33+0.5*'Sheet1 select'!$B$32)/(('Sheet1 select'!$B$10-'Sheet1 select'!$B$23)/('Sheet1 select'!$B$27+'Sheet1 select'!$B$8)))+(('Sheet1 select'!$B$33+0.5*'Sheet1 select'!$B$32)/(('Sheet1 select'!$B$23)/('Sheet1 select'!$B$27+'Sheet1 select'!$B$9))))</f>
        <v>4.9291869838088724E-3</v>
      </c>
      <c r="L136" s="45">
        <f>(F136*$B$28)*(('Sheet1 select'!$B$12+'Sheet1 select'!$B$13)*(0.000000001))*$B$8*1000</f>
        <v>0</v>
      </c>
      <c r="M136" s="45">
        <f t="shared" si="16"/>
        <v>3.6617357284970928E-5</v>
      </c>
      <c r="N136" s="46">
        <f>$B$10*'Sheet1 select'!$B$29*0.001</f>
        <v>1.2E-2</v>
      </c>
      <c r="O136" s="44">
        <f>'Sheet1 select'!$B$10*'Sheet1 select'!$B$31*$B$8*1000*0.000000001</f>
        <v>3.0000000000000001E-3</v>
      </c>
      <c r="P136" s="44">
        <f>'Sheet1 select'!$B$35*$B$10*$B$8*1000*0.000000001</f>
        <v>0</v>
      </c>
      <c r="Q136" s="47">
        <f>IF('Sheet1 select'!$B$17=0,0,(0.00000006*0.7+0.00000003*(0.7+F136*1.1*'Sheet1 select'!$B$26))*F136*$B$8*1000)</f>
        <v>0</v>
      </c>
      <c r="R136" s="45">
        <f t="shared" ca="1" si="17"/>
        <v>0.13283343418662524</v>
      </c>
      <c r="S136" s="48">
        <f t="shared" ca="1" si="18"/>
        <v>0.93127528123367531</v>
      </c>
      <c r="T136" s="49">
        <f ca="1">H136+K136+O136+N136+'Sheet1 select'!$B$40*I136+J136+P136</f>
        <v>2.2876816829340292E-2</v>
      </c>
      <c r="U136" s="169">
        <f t="shared" ca="1" si="19"/>
        <v>1.0876816829340292E-2</v>
      </c>
      <c r="V136" s="47">
        <f t="shared" ca="1" si="20"/>
        <v>0</v>
      </c>
    </row>
    <row r="137" spans="5:22">
      <c r="E137" s="32">
        <v>136</v>
      </c>
      <c r="F137" s="45">
        <f t="shared" si="14"/>
        <v>0.36266666666666669</v>
      </c>
      <c r="G137" s="45">
        <f t="shared" si="15"/>
        <v>2.6305422222222225E-2</v>
      </c>
      <c r="H137" s="45">
        <f ca="1">F137*F137*('Sheet1 select'!$B$25)*$B$3</f>
        <v>2.991460171355233E-3</v>
      </c>
      <c r="I137" s="45">
        <f>F137*(1-$B$3)*'Sheet1 select'!$B$41</f>
        <v>8.4622222222222224E-2</v>
      </c>
      <c r="J137" s="45">
        <f ca="1">F137*F137*('Sheet1 select'!$B$26)*(1-$B$3)</f>
        <v>0</v>
      </c>
      <c r="K137" s="45">
        <f>0.0000005*$B$10*F137*$B$8*((('Sheet1 select'!$B$33+0.5*'Sheet1 select'!$B$32)/(('Sheet1 select'!$B$10-'Sheet1 select'!$B$23)/('Sheet1 select'!$B$27+'Sheet1 select'!$B$8)))+(('Sheet1 select'!$B$33+0.5*'Sheet1 select'!$B$32)/(('Sheet1 select'!$B$23)/('Sheet1 select'!$B$27+'Sheet1 select'!$B$9))))</f>
        <v>4.9656994799852344E-3</v>
      </c>
      <c r="L137" s="45">
        <f>(F137*$B$28)*(('Sheet1 select'!$B$12+'Sheet1 select'!$B$13)*(0.000000001))*$B$8*1000</f>
        <v>0</v>
      </c>
      <c r="M137" s="45">
        <f t="shared" si="16"/>
        <v>3.6617357284970928E-5</v>
      </c>
      <c r="N137" s="46">
        <f>$B$10*'Sheet1 select'!$B$29*0.001</f>
        <v>1.2E-2</v>
      </c>
      <c r="O137" s="44">
        <f>'Sheet1 select'!$B$10*'Sheet1 select'!$B$31*$B$8*1000*0.000000001</f>
        <v>3.0000000000000001E-3</v>
      </c>
      <c r="P137" s="44">
        <f>'Sheet1 select'!$B$35*$B$10*$B$8*1000*0.000000001</f>
        <v>0</v>
      </c>
      <c r="Q137" s="47">
        <f>IF('Sheet1 select'!$B$17=0,0,(0.00000006*0.7+0.00000003*(0.7+F137*1.1*'Sheet1 select'!$B$26))*F137*$B$8*1000)</f>
        <v>0</v>
      </c>
      <c r="R137" s="45">
        <f t="shared" ca="1" si="17"/>
        <v>0.1339214214530699</v>
      </c>
      <c r="S137" s="48">
        <f t="shared" ca="1" si="18"/>
        <v>0.93122552602637765</v>
      </c>
      <c r="T137" s="49">
        <f ca="1">H137+K137+O137+N137+'Sheet1 select'!$B$40*I137+J137+P137</f>
        <v>2.2957159651340469E-2</v>
      </c>
      <c r="U137" s="169">
        <f t="shared" ca="1" si="19"/>
        <v>1.0957159651340469E-2</v>
      </c>
      <c r="V137" s="47">
        <f t="shared" ca="1" si="20"/>
        <v>0</v>
      </c>
    </row>
    <row r="138" spans="5:22">
      <c r="E138" s="32">
        <v>137</v>
      </c>
      <c r="F138" s="45">
        <f t="shared" si="14"/>
        <v>0.36533333333333334</v>
      </c>
      <c r="G138" s="45">
        <f t="shared" si="15"/>
        <v>2.669368888888889E-2</v>
      </c>
      <c r="H138" s="45">
        <f ca="1">F138*F138*('Sheet1 select'!$B$25)*$B$3</f>
        <v>3.035613968218337E-3</v>
      </c>
      <c r="I138" s="45">
        <f>F138*(1-$B$3)*'Sheet1 select'!$B$41</f>
        <v>8.5244444444444442E-2</v>
      </c>
      <c r="J138" s="45">
        <f ca="1">F138*F138*('Sheet1 select'!$B$26)*(1-$B$3)</f>
        <v>0</v>
      </c>
      <c r="K138" s="45">
        <f>0.0000005*$B$10*F138*$B$8*((('Sheet1 select'!$B$33+0.5*'Sheet1 select'!$B$32)/(('Sheet1 select'!$B$10-'Sheet1 select'!$B$23)/('Sheet1 select'!$B$27+'Sheet1 select'!$B$8)))+(('Sheet1 select'!$B$33+0.5*'Sheet1 select'!$B$32)/(('Sheet1 select'!$B$23)/('Sheet1 select'!$B$27+'Sheet1 select'!$B$9))))</f>
        <v>5.0022119761615955E-3</v>
      </c>
      <c r="L138" s="45">
        <f>(F138*$B$28)*(('Sheet1 select'!$B$12+'Sheet1 select'!$B$13)*(0.000000001))*$B$8*1000</f>
        <v>0</v>
      </c>
      <c r="M138" s="45">
        <f t="shared" si="16"/>
        <v>3.6617357284970928E-5</v>
      </c>
      <c r="N138" s="46">
        <f>$B$10*'Sheet1 select'!$B$29*0.001</f>
        <v>1.2E-2</v>
      </c>
      <c r="O138" s="44">
        <f>'Sheet1 select'!$B$10*'Sheet1 select'!$B$31*$B$8*1000*0.000000001</f>
        <v>3.0000000000000001E-3</v>
      </c>
      <c r="P138" s="44">
        <f>'Sheet1 select'!$B$35*$B$10*$B$8*1000*0.000000001</f>
        <v>0</v>
      </c>
      <c r="Q138" s="47">
        <f>IF('Sheet1 select'!$B$17=0,0,(0.00000006*0.7+0.00000003*(0.7+F138*1.1*'Sheet1 select'!$B$26))*F138*$B$8*1000)</f>
        <v>0</v>
      </c>
      <c r="R138" s="45">
        <f t="shared" ca="1" si="17"/>
        <v>0.13501257663499824</v>
      </c>
      <c r="S138" s="48">
        <f t="shared" ca="1" si="18"/>
        <v>0.93117499861610342</v>
      </c>
      <c r="T138" s="49">
        <f ca="1">H138+K138+O138+N138+'Sheet1 select'!$B$40*I138+J138+P138</f>
        <v>2.3037825944379933E-2</v>
      </c>
      <c r="U138" s="169">
        <f t="shared" ca="1" si="19"/>
        <v>1.1037825944379933E-2</v>
      </c>
      <c r="V138" s="47">
        <f t="shared" ca="1" si="20"/>
        <v>0</v>
      </c>
    </row>
    <row r="139" spans="5:22">
      <c r="E139" s="32">
        <v>138</v>
      </c>
      <c r="F139" s="45">
        <f t="shared" si="14"/>
        <v>0.36799999999999999</v>
      </c>
      <c r="G139" s="45">
        <f t="shared" si="15"/>
        <v>2.7084799999999999E-2</v>
      </c>
      <c r="H139" s="45">
        <f ca="1">F139*F139*('Sheet1 select'!$B$25)*$B$3</f>
        <v>3.0800912361207311E-3</v>
      </c>
      <c r="I139" s="45">
        <f>F139*(1-$B$3)*'Sheet1 select'!$B$41</f>
        <v>8.5866666666666661E-2</v>
      </c>
      <c r="J139" s="45">
        <f ca="1">F139*F139*('Sheet1 select'!$B$26)*(1-$B$3)</f>
        <v>0</v>
      </c>
      <c r="K139" s="45">
        <f>0.0000005*$B$10*F139*$B$8*((('Sheet1 select'!$B$33+0.5*'Sheet1 select'!$B$32)/(('Sheet1 select'!$B$10-'Sheet1 select'!$B$23)/('Sheet1 select'!$B$27+'Sheet1 select'!$B$8)))+(('Sheet1 select'!$B$33+0.5*'Sheet1 select'!$B$32)/(('Sheet1 select'!$B$23)/('Sheet1 select'!$B$27+'Sheet1 select'!$B$9))))</f>
        <v>5.0387244723379583E-3</v>
      </c>
      <c r="L139" s="45">
        <f>(F139*$B$28)*(('Sheet1 select'!$B$12+'Sheet1 select'!$B$13)*(0.000000001))*$B$8*1000</f>
        <v>0</v>
      </c>
      <c r="M139" s="45">
        <f t="shared" si="16"/>
        <v>3.6617357284970928E-5</v>
      </c>
      <c r="N139" s="46">
        <f>$B$10*'Sheet1 select'!$B$29*0.001</f>
        <v>1.2E-2</v>
      </c>
      <c r="O139" s="44">
        <f>'Sheet1 select'!$B$10*'Sheet1 select'!$B$31*$B$8*1000*0.000000001</f>
        <v>3.0000000000000001E-3</v>
      </c>
      <c r="P139" s="44">
        <f>'Sheet1 select'!$B$35*$B$10*$B$8*1000*0.000000001</f>
        <v>0</v>
      </c>
      <c r="Q139" s="47">
        <f>IF('Sheet1 select'!$B$17=0,0,(0.00000006*0.7+0.00000003*(0.7+F139*1.1*'Sheet1 select'!$B$26))*F139*$B$8*1000)</f>
        <v>0</v>
      </c>
      <c r="R139" s="45">
        <f t="shared" ca="1" si="17"/>
        <v>0.13610689973241033</v>
      </c>
      <c r="S139" s="48">
        <f t="shared" ca="1" si="18"/>
        <v>0.93112371615582079</v>
      </c>
      <c r="T139" s="49">
        <f ca="1">H139+K139+O139+N139+'Sheet1 select'!$B$40*I139+J139+P139</f>
        <v>2.3118815708458688E-2</v>
      </c>
      <c r="U139" s="169">
        <f t="shared" ca="1" si="19"/>
        <v>1.1118815708458688E-2</v>
      </c>
      <c r="V139" s="47">
        <f t="shared" ca="1" si="20"/>
        <v>0</v>
      </c>
    </row>
    <row r="140" spans="5:22">
      <c r="E140" s="32">
        <v>139</v>
      </c>
      <c r="F140" s="45">
        <f t="shared" si="14"/>
        <v>0.3706666666666667</v>
      </c>
      <c r="G140" s="45">
        <f t="shared" si="15"/>
        <v>2.7478755555555564E-2</v>
      </c>
      <c r="H140" s="45">
        <f ca="1">F140*F140*('Sheet1 select'!$B$25)*$B$3</f>
        <v>3.124891975062417E-3</v>
      </c>
      <c r="I140" s="45">
        <f>F140*(1-$B$3)*'Sheet1 select'!$B$41</f>
        <v>8.6488888888888893E-2</v>
      </c>
      <c r="J140" s="45">
        <f ca="1">F140*F140*('Sheet1 select'!$B$26)*(1-$B$3)</f>
        <v>0</v>
      </c>
      <c r="K140" s="45">
        <f>0.0000005*$B$10*F140*$B$8*((('Sheet1 select'!$B$33+0.5*'Sheet1 select'!$B$32)/(('Sheet1 select'!$B$10-'Sheet1 select'!$B$23)/('Sheet1 select'!$B$27+'Sheet1 select'!$B$8)))+(('Sheet1 select'!$B$33+0.5*'Sheet1 select'!$B$32)/(('Sheet1 select'!$B$23)/('Sheet1 select'!$B$27+'Sheet1 select'!$B$9))))</f>
        <v>5.0752369685143203E-3</v>
      </c>
      <c r="L140" s="45">
        <f>(F140*$B$28)*(('Sheet1 select'!$B$12+'Sheet1 select'!$B$13)*(0.000000001))*$B$8*1000</f>
        <v>0</v>
      </c>
      <c r="M140" s="45">
        <f t="shared" si="16"/>
        <v>3.6617357284970928E-5</v>
      </c>
      <c r="N140" s="46">
        <f>$B$10*'Sheet1 select'!$B$29*0.001</f>
        <v>1.2E-2</v>
      </c>
      <c r="O140" s="44">
        <f>'Sheet1 select'!$B$10*'Sheet1 select'!$B$31*$B$8*1000*0.000000001</f>
        <v>3.0000000000000001E-3</v>
      </c>
      <c r="P140" s="44">
        <f>'Sheet1 select'!$B$35*$B$10*$B$8*1000*0.000000001</f>
        <v>0</v>
      </c>
      <c r="Q140" s="47">
        <f>IF('Sheet1 select'!$B$17=0,0,(0.00000006*0.7+0.00000003*(0.7+F140*1.1*'Sheet1 select'!$B$26))*F140*$B$8*1000)</f>
        <v>0</v>
      </c>
      <c r="R140" s="45">
        <f t="shared" ca="1" si="17"/>
        <v>0.13720439074530616</v>
      </c>
      <c r="S140" s="48">
        <f t="shared" ca="1" si="18"/>
        <v>0.93107169530845535</v>
      </c>
      <c r="T140" s="49">
        <f ca="1">H140+K140+O140+N140+'Sheet1 select'!$B$40*I140+J140+P140</f>
        <v>2.3200128943576738E-2</v>
      </c>
      <c r="U140" s="169">
        <f t="shared" ca="1" si="19"/>
        <v>1.1200128943576738E-2</v>
      </c>
      <c r="V140" s="47">
        <f t="shared" ca="1" si="20"/>
        <v>0</v>
      </c>
    </row>
    <row r="141" spans="5:22">
      <c r="E141" s="32">
        <v>140</v>
      </c>
      <c r="F141" s="45">
        <f t="shared" si="14"/>
        <v>0.37333333333333335</v>
      </c>
      <c r="G141" s="45">
        <f t="shared" si="15"/>
        <v>2.787555555555556E-2</v>
      </c>
      <c r="H141" s="45">
        <f ca="1">F141*F141*('Sheet1 select'!$B$25)*$B$3</f>
        <v>3.1700161850433911E-3</v>
      </c>
      <c r="I141" s="45">
        <f>F141*(1-$B$3)*'Sheet1 select'!$B$41</f>
        <v>8.7111111111111111E-2</v>
      </c>
      <c r="J141" s="45">
        <f ca="1">F141*F141*('Sheet1 select'!$B$26)*(1-$B$3)</f>
        <v>0</v>
      </c>
      <c r="K141" s="45">
        <f>0.0000005*$B$10*F141*$B$8*((('Sheet1 select'!$B$33+0.5*'Sheet1 select'!$B$32)/(('Sheet1 select'!$B$10-'Sheet1 select'!$B$23)/('Sheet1 select'!$B$27+'Sheet1 select'!$B$8)))+(('Sheet1 select'!$B$33+0.5*'Sheet1 select'!$B$32)/(('Sheet1 select'!$B$23)/('Sheet1 select'!$B$27+'Sheet1 select'!$B$9))))</f>
        <v>5.1117494646906823E-3</v>
      </c>
      <c r="L141" s="45">
        <f>(F141*$B$28)*(('Sheet1 select'!$B$12+'Sheet1 select'!$B$13)*(0.000000001))*$B$8*1000</f>
        <v>0</v>
      </c>
      <c r="M141" s="45">
        <f t="shared" si="16"/>
        <v>3.6617357284970928E-5</v>
      </c>
      <c r="N141" s="46">
        <f>$B$10*'Sheet1 select'!$B$29*0.001</f>
        <v>1.2E-2</v>
      </c>
      <c r="O141" s="44">
        <f>'Sheet1 select'!$B$10*'Sheet1 select'!$B$31*$B$8*1000*0.000000001</f>
        <v>3.0000000000000001E-3</v>
      </c>
      <c r="P141" s="44">
        <f>'Sheet1 select'!$B$35*$B$10*$B$8*1000*0.000000001</f>
        <v>0</v>
      </c>
      <c r="Q141" s="47">
        <f>IF('Sheet1 select'!$B$17=0,0,(0.00000006*0.7+0.00000003*(0.7+F141*1.1*'Sheet1 select'!$B$26))*F141*$B$8*1000)</f>
        <v>0</v>
      </c>
      <c r="R141" s="45">
        <f t="shared" ca="1" si="17"/>
        <v>0.13830504967368573</v>
      </c>
      <c r="S141" s="48">
        <f t="shared" ca="1" si="18"/>
        <v>0.93101895226425824</v>
      </c>
      <c r="T141" s="49">
        <f ca="1">H141+K141+O141+N141+'Sheet1 select'!$B$40*I141+J141+P141</f>
        <v>2.3281765649734075E-2</v>
      </c>
      <c r="U141" s="169">
        <f t="shared" ca="1" si="19"/>
        <v>1.1281765649734075E-2</v>
      </c>
      <c r="V141" s="47">
        <f t="shared" ca="1" si="20"/>
        <v>0</v>
      </c>
    </row>
    <row r="142" spans="5:22">
      <c r="E142" s="32">
        <v>141</v>
      </c>
      <c r="F142" s="45">
        <f t="shared" si="14"/>
        <v>0.37600000000000006</v>
      </c>
      <c r="G142" s="45">
        <f t="shared" si="15"/>
        <v>2.8275200000000007E-2</v>
      </c>
      <c r="H142" s="45">
        <f ca="1">F142*F142*('Sheet1 select'!$B$25)*$B$3</f>
        <v>3.2154638660636561E-3</v>
      </c>
      <c r="I142" s="45">
        <f>F142*(1-$B$3)*'Sheet1 select'!$B$41</f>
        <v>8.773333333333333E-2</v>
      </c>
      <c r="J142" s="45">
        <f ca="1">F142*F142*('Sheet1 select'!$B$26)*(1-$B$3)</f>
        <v>0</v>
      </c>
      <c r="K142" s="45">
        <f>0.0000005*$B$10*F142*$B$8*((('Sheet1 select'!$B$33+0.5*'Sheet1 select'!$B$32)/(('Sheet1 select'!$B$10-'Sheet1 select'!$B$23)/('Sheet1 select'!$B$27+'Sheet1 select'!$B$8)))+(('Sheet1 select'!$B$33+0.5*'Sheet1 select'!$B$32)/(('Sheet1 select'!$B$23)/('Sheet1 select'!$B$27+'Sheet1 select'!$B$9))))</f>
        <v>5.1482619608670451E-3</v>
      </c>
      <c r="L142" s="45">
        <f>(F142*$B$28)*(('Sheet1 select'!$B$12+'Sheet1 select'!$B$13)*(0.000000001))*$B$8*1000</f>
        <v>0</v>
      </c>
      <c r="M142" s="45">
        <f t="shared" si="16"/>
        <v>3.6617357284970928E-5</v>
      </c>
      <c r="N142" s="46">
        <f>$B$10*'Sheet1 select'!$B$29*0.001</f>
        <v>1.2E-2</v>
      </c>
      <c r="O142" s="44">
        <f>'Sheet1 select'!$B$10*'Sheet1 select'!$B$31*$B$8*1000*0.000000001</f>
        <v>3.0000000000000001E-3</v>
      </c>
      <c r="P142" s="44">
        <f>'Sheet1 select'!$B$35*$B$10*$B$8*1000*0.000000001</f>
        <v>0</v>
      </c>
      <c r="Q142" s="47">
        <f>IF('Sheet1 select'!$B$17=0,0,(0.00000006*0.7+0.00000003*(0.7+F142*1.1*'Sheet1 select'!$B$26))*F142*$B$8*1000)</f>
        <v>0</v>
      </c>
      <c r="R142" s="45">
        <f t="shared" ca="1" si="17"/>
        <v>0.13940887651754902</v>
      </c>
      <c r="S142" s="48">
        <f t="shared" ca="1" si="18"/>
        <v>0.93096550275744139</v>
      </c>
      <c r="T142" s="49">
        <f ca="1">H142+K142+O142+N142+'Sheet1 select'!$B$40*I142+J142+P142</f>
        <v>2.3363725826930703E-2</v>
      </c>
      <c r="U142" s="169">
        <f t="shared" ca="1" si="19"/>
        <v>1.1363725826930703E-2</v>
      </c>
      <c r="V142" s="47">
        <f t="shared" ca="1" si="20"/>
        <v>0</v>
      </c>
    </row>
    <row r="143" spans="5:22">
      <c r="E143" s="32">
        <v>142</v>
      </c>
      <c r="F143" s="45">
        <f t="shared" si="14"/>
        <v>0.37866666666666671</v>
      </c>
      <c r="G143" s="45">
        <f t="shared" si="15"/>
        <v>2.86776888888889E-2</v>
      </c>
      <c r="H143" s="45">
        <f ca="1">F143*F143*('Sheet1 select'!$B$25)*$B$3</f>
        <v>3.2612350181232116E-3</v>
      </c>
      <c r="I143" s="45">
        <f>F143*(1-$B$3)*'Sheet1 select'!$B$41</f>
        <v>8.8355555555555562E-2</v>
      </c>
      <c r="J143" s="45">
        <f ca="1">F143*F143*('Sheet1 select'!$B$26)*(1-$B$3)</f>
        <v>0</v>
      </c>
      <c r="K143" s="45">
        <f>0.0000005*$B$10*F143*$B$8*((('Sheet1 select'!$B$33+0.5*'Sheet1 select'!$B$32)/(('Sheet1 select'!$B$10-'Sheet1 select'!$B$23)/('Sheet1 select'!$B$27+'Sheet1 select'!$B$8)))+(('Sheet1 select'!$B$33+0.5*'Sheet1 select'!$B$32)/(('Sheet1 select'!$B$23)/('Sheet1 select'!$B$27+'Sheet1 select'!$B$9))))</f>
        <v>5.1847744570434071E-3</v>
      </c>
      <c r="L143" s="45">
        <f>(F143*$B$28)*(('Sheet1 select'!$B$12+'Sheet1 select'!$B$13)*(0.000000001))*$B$8*1000</f>
        <v>0</v>
      </c>
      <c r="M143" s="45">
        <f t="shared" si="16"/>
        <v>3.6617357284970928E-5</v>
      </c>
      <c r="N143" s="46">
        <f>$B$10*'Sheet1 select'!$B$29*0.001</f>
        <v>1.2E-2</v>
      </c>
      <c r="O143" s="44">
        <f>'Sheet1 select'!$B$10*'Sheet1 select'!$B$31*$B$8*1000*0.000000001</f>
        <v>3.0000000000000001E-3</v>
      </c>
      <c r="P143" s="44">
        <f>'Sheet1 select'!$B$35*$B$10*$B$8*1000*0.000000001</f>
        <v>0</v>
      </c>
      <c r="Q143" s="47">
        <f>IF('Sheet1 select'!$B$17=0,0,(0.00000006*0.7+0.00000003*(0.7+F143*1.1*'Sheet1 select'!$B$26))*F143*$B$8*1000)</f>
        <v>0</v>
      </c>
      <c r="R143" s="45">
        <f t="shared" ca="1" si="17"/>
        <v>0.14051587127689608</v>
      </c>
      <c r="S143" s="48">
        <f t="shared" ca="1" si="18"/>
        <v>0.93091136208211422</v>
      </c>
      <c r="T143" s="49">
        <f ca="1">H143+K143+O143+N143+'Sheet1 select'!$B$40*I143+J143+P143</f>
        <v>2.3446009475166618E-2</v>
      </c>
      <c r="U143" s="169">
        <f t="shared" ca="1" si="19"/>
        <v>1.1446009475166618E-2</v>
      </c>
      <c r="V143" s="47">
        <f t="shared" ca="1" si="20"/>
        <v>0</v>
      </c>
    </row>
    <row r="144" spans="5:22">
      <c r="E144" s="32">
        <v>143</v>
      </c>
      <c r="F144" s="45">
        <f t="shared" si="14"/>
        <v>0.38133333333333336</v>
      </c>
      <c r="G144" s="45">
        <f t="shared" si="15"/>
        <v>2.9083022222222227E-2</v>
      </c>
      <c r="H144" s="45">
        <f ca="1">F144*F144*('Sheet1 select'!$B$25)*$B$3</f>
        <v>3.3073296412220567E-3</v>
      </c>
      <c r="I144" s="45">
        <f>F144*(1-$B$3)*'Sheet1 select'!$B$41</f>
        <v>8.8977777777777767E-2</v>
      </c>
      <c r="J144" s="45">
        <f ca="1">F144*F144*('Sheet1 select'!$B$26)*(1-$B$3)</f>
        <v>0</v>
      </c>
      <c r="K144" s="45">
        <f>0.0000005*$B$10*F144*$B$8*((('Sheet1 select'!$B$33+0.5*'Sheet1 select'!$B$32)/(('Sheet1 select'!$B$10-'Sheet1 select'!$B$23)/('Sheet1 select'!$B$27+'Sheet1 select'!$B$8)))+(('Sheet1 select'!$B$33+0.5*'Sheet1 select'!$B$32)/(('Sheet1 select'!$B$23)/('Sheet1 select'!$B$27+'Sheet1 select'!$B$9))))</f>
        <v>5.2212869532197691E-3</v>
      </c>
      <c r="L144" s="45">
        <f>(F144*$B$28)*(('Sheet1 select'!$B$12+'Sheet1 select'!$B$13)*(0.000000001))*$B$8*1000</f>
        <v>0</v>
      </c>
      <c r="M144" s="45">
        <f t="shared" si="16"/>
        <v>3.6617357284970928E-5</v>
      </c>
      <c r="N144" s="46">
        <f>$B$10*'Sheet1 select'!$B$29*0.001</f>
        <v>1.2E-2</v>
      </c>
      <c r="O144" s="44">
        <f>'Sheet1 select'!$B$10*'Sheet1 select'!$B$31*$B$8*1000*0.000000001</f>
        <v>3.0000000000000001E-3</v>
      </c>
      <c r="P144" s="44">
        <f>'Sheet1 select'!$B$35*$B$10*$B$8*1000*0.000000001</f>
        <v>0</v>
      </c>
      <c r="Q144" s="47">
        <f>IF('Sheet1 select'!$B$17=0,0,(0.00000006*0.7+0.00000003*(0.7+F144*1.1*'Sheet1 select'!$B$26))*F144*$B$8*1000)</f>
        <v>0</v>
      </c>
      <c r="R144" s="45">
        <f t="shared" ca="1" si="17"/>
        <v>0.14162603395172679</v>
      </c>
      <c r="S144" s="48">
        <f t="shared" ca="1" si="18"/>
        <v>0.93085654510755766</v>
      </c>
      <c r="T144" s="49">
        <f ca="1">H144+K144+O144+N144+'Sheet1 select'!$B$40*I144+J144+P144</f>
        <v>2.3528616594441824E-2</v>
      </c>
      <c r="U144" s="169">
        <f t="shared" ca="1" si="19"/>
        <v>1.1528616594441824E-2</v>
      </c>
      <c r="V144" s="47">
        <f t="shared" ca="1" si="20"/>
        <v>0</v>
      </c>
    </row>
    <row r="145" spans="5:22">
      <c r="E145" s="32">
        <v>144</v>
      </c>
      <c r="F145" s="45">
        <f t="shared" si="14"/>
        <v>0.38400000000000001</v>
      </c>
      <c r="G145" s="45">
        <f t="shared" si="15"/>
        <v>2.9491199999999999E-2</v>
      </c>
      <c r="H145" s="45">
        <f ca="1">F145*F145*('Sheet1 select'!$B$25)*$B$3</f>
        <v>3.3537477353601914E-3</v>
      </c>
      <c r="I145" s="45">
        <f>F145*(1-$B$3)*'Sheet1 select'!$B$41</f>
        <v>8.9599999999999999E-2</v>
      </c>
      <c r="J145" s="45">
        <f ca="1">F145*F145*('Sheet1 select'!$B$26)*(1-$B$3)</f>
        <v>0</v>
      </c>
      <c r="K145" s="45">
        <f>0.0000005*$B$10*F145*$B$8*((('Sheet1 select'!$B$33+0.5*'Sheet1 select'!$B$32)/(('Sheet1 select'!$B$10-'Sheet1 select'!$B$23)/('Sheet1 select'!$B$27+'Sheet1 select'!$B$8)))+(('Sheet1 select'!$B$33+0.5*'Sheet1 select'!$B$32)/(('Sheet1 select'!$B$23)/('Sheet1 select'!$B$27+'Sheet1 select'!$B$9))))</f>
        <v>5.2577994493961302E-3</v>
      </c>
      <c r="L145" s="45">
        <f>(F145*$B$28)*(('Sheet1 select'!$B$12+'Sheet1 select'!$B$13)*(0.000000001))*$B$8*1000</f>
        <v>0</v>
      </c>
      <c r="M145" s="45">
        <f t="shared" si="16"/>
        <v>3.6617357284970928E-5</v>
      </c>
      <c r="N145" s="46">
        <f>$B$10*'Sheet1 select'!$B$29*0.001</f>
        <v>1.2E-2</v>
      </c>
      <c r="O145" s="44">
        <f>'Sheet1 select'!$B$10*'Sheet1 select'!$B$31*$B$8*1000*0.000000001</f>
        <v>3.0000000000000001E-3</v>
      </c>
      <c r="P145" s="44">
        <f>'Sheet1 select'!$B$35*$B$10*$B$8*1000*0.000000001</f>
        <v>0</v>
      </c>
      <c r="Q145" s="47">
        <f>IF('Sheet1 select'!$B$17=0,0,(0.00000006*0.7+0.00000003*(0.7+F145*1.1*'Sheet1 select'!$B$26))*F145*$B$8*1000)</f>
        <v>0</v>
      </c>
      <c r="R145" s="45">
        <f t="shared" ca="1" si="17"/>
        <v>0.14273936454204131</v>
      </c>
      <c r="S145" s="48">
        <f t="shared" ca="1" si="18"/>
        <v>0.93080106629286563</v>
      </c>
      <c r="T145" s="49">
        <f ca="1">H145+K145+O145+N145+'Sheet1 select'!$B$40*I145+J145+P145</f>
        <v>2.3611547184756321E-2</v>
      </c>
      <c r="U145" s="169">
        <f t="shared" ca="1" si="19"/>
        <v>1.1611547184756321E-2</v>
      </c>
      <c r="V145" s="47">
        <f t="shared" ca="1" si="20"/>
        <v>0</v>
      </c>
    </row>
    <row r="146" spans="5:22">
      <c r="E146" s="32">
        <v>145</v>
      </c>
      <c r="F146" s="45">
        <f t="shared" si="14"/>
        <v>0.38666666666666666</v>
      </c>
      <c r="G146" s="45">
        <f t="shared" si="15"/>
        <v>2.9902222222222219E-2</v>
      </c>
      <c r="H146" s="45">
        <f ca="1">F146*F146*('Sheet1 select'!$B$25)*$B$3</f>
        <v>3.4004893005376165E-3</v>
      </c>
      <c r="I146" s="45">
        <f>F146*(1-$B$3)*'Sheet1 select'!$B$41</f>
        <v>9.0222222222222204E-2</v>
      </c>
      <c r="J146" s="45">
        <f ca="1">F146*F146*('Sheet1 select'!$B$26)*(1-$B$3)</f>
        <v>0</v>
      </c>
      <c r="K146" s="45">
        <f>0.0000005*$B$10*F146*$B$8*((('Sheet1 select'!$B$33+0.5*'Sheet1 select'!$B$32)/(('Sheet1 select'!$B$10-'Sheet1 select'!$B$23)/('Sheet1 select'!$B$27+'Sheet1 select'!$B$8)))+(('Sheet1 select'!$B$33+0.5*'Sheet1 select'!$B$32)/(('Sheet1 select'!$B$23)/('Sheet1 select'!$B$27+'Sheet1 select'!$B$9))))</f>
        <v>5.2943119455724913E-3</v>
      </c>
      <c r="L146" s="45">
        <f>(F146*$B$28)*(('Sheet1 select'!$B$12+'Sheet1 select'!$B$13)*(0.000000001))*$B$8*1000</f>
        <v>0</v>
      </c>
      <c r="M146" s="45">
        <f t="shared" si="16"/>
        <v>3.6617357284970928E-5</v>
      </c>
      <c r="N146" s="46">
        <f>$B$10*'Sheet1 select'!$B$29*0.001</f>
        <v>1.2E-2</v>
      </c>
      <c r="O146" s="44">
        <f>'Sheet1 select'!$B$10*'Sheet1 select'!$B$31*$B$8*1000*0.000000001</f>
        <v>3.0000000000000001E-3</v>
      </c>
      <c r="P146" s="44">
        <f>'Sheet1 select'!$B$35*$B$10*$B$8*1000*0.000000001</f>
        <v>0</v>
      </c>
      <c r="Q146" s="47">
        <f>IF('Sheet1 select'!$B$17=0,0,(0.00000006*0.7+0.00000003*(0.7+F146*1.1*'Sheet1 select'!$B$26))*F146*$B$8*1000)</f>
        <v>0</v>
      </c>
      <c r="R146" s="45">
        <f t="shared" ca="1" si="17"/>
        <v>0.14385586304783951</v>
      </c>
      <c r="S146" s="48">
        <f t="shared" ca="1" si="18"/>
        <v>0.9307449397009856</v>
      </c>
      <c r="T146" s="49">
        <f ca="1">H146+K146+O146+N146+'Sheet1 select'!$B$40*I146+J146+P146</f>
        <v>2.3694801246110109E-2</v>
      </c>
      <c r="U146" s="169">
        <f t="shared" ca="1" si="19"/>
        <v>1.1694801246110109E-2</v>
      </c>
      <c r="V146" s="47">
        <f t="shared" ca="1" si="20"/>
        <v>0</v>
      </c>
    </row>
    <row r="147" spans="5:22">
      <c r="E147" s="32">
        <v>146</v>
      </c>
      <c r="F147" s="45">
        <f t="shared" si="14"/>
        <v>0.38933333333333336</v>
      </c>
      <c r="G147" s="45">
        <f t="shared" si="15"/>
        <v>3.0316088888888891E-2</v>
      </c>
      <c r="H147" s="45">
        <f ca="1">F147*F147*('Sheet1 select'!$B$25)*$B$3</f>
        <v>3.447554336754333E-3</v>
      </c>
      <c r="I147" s="45">
        <f>F147*(1-$B$3)*'Sheet1 select'!$B$41</f>
        <v>9.084444444444445E-2</v>
      </c>
      <c r="J147" s="45">
        <f ca="1">F147*F147*('Sheet1 select'!$B$26)*(1-$B$3)</f>
        <v>0</v>
      </c>
      <c r="K147" s="45">
        <f>0.0000005*$B$10*F147*$B$8*((('Sheet1 select'!$B$33+0.5*'Sheet1 select'!$B$32)/(('Sheet1 select'!$B$10-'Sheet1 select'!$B$23)/('Sheet1 select'!$B$27+'Sheet1 select'!$B$8)))+(('Sheet1 select'!$B$33+0.5*'Sheet1 select'!$B$32)/(('Sheet1 select'!$B$23)/('Sheet1 select'!$B$27+'Sheet1 select'!$B$9))))</f>
        <v>5.3308244417488541E-3</v>
      </c>
      <c r="L147" s="45">
        <f>(F147*$B$28)*(('Sheet1 select'!$B$12+'Sheet1 select'!$B$13)*(0.000000001))*$B$8*1000</f>
        <v>0</v>
      </c>
      <c r="M147" s="45">
        <f t="shared" si="16"/>
        <v>3.6617357284970928E-5</v>
      </c>
      <c r="N147" s="46">
        <f>$B$10*'Sheet1 select'!$B$29*0.001</f>
        <v>1.2E-2</v>
      </c>
      <c r="O147" s="44">
        <f>'Sheet1 select'!$B$10*'Sheet1 select'!$B$31*$B$8*1000*0.000000001</f>
        <v>3.0000000000000001E-3</v>
      </c>
      <c r="P147" s="44">
        <f>'Sheet1 select'!$B$35*$B$10*$B$8*1000*0.000000001</f>
        <v>0</v>
      </c>
      <c r="Q147" s="47">
        <f>IF('Sheet1 select'!$B$17=0,0,(0.00000006*0.7+0.00000003*(0.7+F147*1.1*'Sheet1 select'!$B$26))*F147*$B$8*1000)</f>
        <v>0</v>
      </c>
      <c r="R147" s="45">
        <f t="shared" ca="1" si="17"/>
        <v>0.14497552946912151</v>
      </c>
      <c r="S147" s="48">
        <f t="shared" ca="1" si="18"/>
        <v>0.93068817901218615</v>
      </c>
      <c r="T147" s="49">
        <f ca="1">H147+K147+O147+N147+'Sheet1 select'!$B$40*I147+J147+P147</f>
        <v>2.3778378778503188E-2</v>
      </c>
      <c r="U147" s="169">
        <f t="shared" ca="1" si="19"/>
        <v>1.1778378778503188E-2</v>
      </c>
      <c r="V147" s="47">
        <f t="shared" ca="1" si="20"/>
        <v>0</v>
      </c>
    </row>
    <row r="148" spans="5:22">
      <c r="E148" s="32">
        <v>147</v>
      </c>
      <c r="F148" s="45">
        <f t="shared" si="14"/>
        <v>0.39200000000000002</v>
      </c>
      <c r="G148" s="45">
        <f t="shared" si="15"/>
        <v>3.0732800000000005E-2</v>
      </c>
      <c r="H148" s="45">
        <f ca="1">F148*F148*('Sheet1 select'!$B$25)*$B$3</f>
        <v>3.4949428440103386E-3</v>
      </c>
      <c r="I148" s="45">
        <f>F148*(1-$B$3)*'Sheet1 select'!$B$41</f>
        <v>9.1466666666666668E-2</v>
      </c>
      <c r="J148" s="45">
        <f ca="1">F148*F148*('Sheet1 select'!$B$26)*(1-$B$3)</f>
        <v>0</v>
      </c>
      <c r="K148" s="45">
        <f>0.0000005*$B$10*F148*$B$8*((('Sheet1 select'!$B$33+0.5*'Sheet1 select'!$B$32)/(('Sheet1 select'!$B$10-'Sheet1 select'!$B$23)/('Sheet1 select'!$B$27+'Sheet1 select'!$B$8)))+(('Sheet1 select'!$B$33+0.5*'Sheet1 select'!$B$32)/(('Sheet1 select'!$B$23)/('Sheet1 select'!$B$27+'Sheet1 select'!$B$9))))</f>
        <v>5.3673369379252161E-3</v>
      </c>
      <c r="L148" s="45">
        <f>(F148*$B$28)*(('Sheet1 select'!$B$12+'Sheet1 select'!$B$13)*(0.000000001))*$B$8*1000</f>
        <v>0</v>
      </c>
      <c r="M148" s="45">
        <f t="shared" si="16"/>
        <v>3.6617357284970928E-5</v>
      </c>
      <c r="N148" s="46">
        <f>$B$10*'Sheet1 select'!$B$29*0.001</f>
        <v>1.2E-2</v>
      </c>
      <c r="O148" s="44">
        <f>'Sheet1 select'!$B$10*'Sheet1 select'!$B$31*$B$8*1000*0.000000001</f>
        <v>3.0000000000000001E-3</v>
      </c>
      <c r="P148" s="44">
        <f>'Sheet1 select'!$B$35*$B$10*$B$8*1000*0.000000001</f>
        <v>0</v>
      </c>
      <c r="Q148" s="47">
        <f>IF('Sheet1 select'!$B$17=0,0,(0.00000006*0.7+0.00000003*(0.7+F148*1.1*'Sheet1 select'!$B$26))*F148*$B$8*1000)</f>
        <v>0</v>
      </c>
      <c r="R148" s="45">
        <f t="shared" ca="1" si="17"/>
        <v>0.1460983638058872</v>
      </c>
      <c r="S148" s="48">
        <f t="shared" ca="1" si="18"/>
        <v>0.93063079753697941</v>
      </c>
      <c r="T148" s="49">
        <f ca="1">H148+K148+O148+N148+'Sheet1 select'!$B$40*I148+J148+P148</f>
        <v>2.3862279781935555E-2</v>
      </c>
      <c r="U148" s="169">
        <f t="shared" ca="1" si="19"/>
        <v>1.1862279781935554E-2</v>
      </c>
      <c r="V148" s="47">
        <f t="shared" ca="1" si="20"/>
        <v>0</v>
      </c>
    </row>
    <row r="149" spans="5:22">
      <c r="E149" s="32">
        <v>148</v>
      </c>
      <c r="F149" s="45">
        <f t="shared" si="14"/>
        <v>0.39466666666666667</v>
      </c>
      <c r="G149" s="45">
        <f t="shared" si="15"/>
        <v>3.1152355555555556E-2</v>
      </c>
      <c r="H149" s="45">
        <f ca="1">F149*F149*('Sheet1 select'!$B$25)*$B$3</f>
        <v>3.5426548223056347E-3</v>
      </c>
      <c r="I149" s="45">
        <f>F149*(1-$B$3)*'Sheet1 select'!$B$41</f>
        <v>9.2088888888888887E-2</v>
      </c>
      <c r="J149" s="45">
        <f ca="1">F149*F149*('Sheet1 select'!$B$26)*(1-$B$3)</f>
        <v>0</v>
      </c>
      <c r="K149" s="45">
        <f>0.0000005*$B$10*F149*$B$8*((('Sheet1 select'!$B$33+0.5*'Sheet1 select'!$B$32)/(('Sheet1 select'!$B$10-'Sheet1 select'!$B$23)/('Sheet1 select'!$B$27+'Sheet1 select'!$B$8)))+(('Sheet1 select'!$B$33+0.5*'Sheet1 select'!$B$32)/(('Sheet1 select'!$B$23)/('Sheet1 select'!$B$27+'Sheet1 select'!$B$9))))</f>
        <v>5.4038494341015781E-3</v>
      </c>
      <c r="L149" s="45">
        <f>(F149*$B$28)*(('Sheet1 select'!$B$12+'Sheet1 select'!$B$13)*(0.000000001))*$B$8*1000</f>
        <v>0</v>
      </c>
      <c r="M149" s="45">
        <f t="shared" si="16"/>
        <v>3.6617357284970928E-5</v>
      </c>
      <c r="N149" s="46">
        <f>$B$10*'Sheet1 select'!$B$29*0.001</f>
        <v>1.2E-2</v>
      </c>
      <c r="O149" s="44">
        <f>'Sheet1 select'!$B$10*'Sheet1 select'!$B$31*$B$8*1000*0.000000001</f>
        <v>3.0000000000000001E-3</v>
      </c>
      <c r="P149" s="44">
        <f>'Sheet1 select'!$B$35*$B$10*$B$8*1000*0.000000001</f>
        <v>0</v>
      </c>
      <c r="Q149" s="47">
        <f>IF('Sheet1 select'!$B$17=0,0,(0.00000006*0.7+0.00000003*(0.7+F149*1.1*'Sheet1 select'!$B$26))*F149*$B$8*1000)</f>
        <v>0</v>
      </c>
      <c r="R149" s="45">
        <f t="shared" ca="1" si="17"/>
        <v>0.14722436605813663</v>
      </c>
      <c r="S149" s="48">
        <f t="shared" ca="1" si="18"/>
        <v>0.93057280822852162</v>
      </c>
      <c r="T149" s="49">
        <f ca="1">H149+K149+O149+N149+'Sheet1 select'!$B$40*I149+J149+P149</f>
        <v>2.3946504256407212E-2</v>
      </c>
      <c r="U149" s="169">
        <f t="shared" ca="1" si="19"/>
        <v>1.1946504256407212E-2</v>
      </c>
      <c r="V149" s="47">
        <f t="shared" ca="1" si="20"/>
        <v>0</v>
      </c>
    </row>
    <row r="150" spans="5:22">
      <c r="E150" s="32">
        <v>149</v>
      </c>
      <c r="F150" s="45">
        <f t="shared" si="14"/>
        <v>0.39733333333333332</v>
      </c>
      <c r="G150" s="45">
        <f t="shared" si="15"/>
        <v>3.1574755555555549E-2</v>
      </c>
      <c r="H150" s="45">
        <f ca="1">F150*F150*('Sheet1 select'!$B$25)*$B$3</f>
        <v>3.5906902716402195E-3</v>
      </c>
      <c r="I150" s="45">
        <f>F150*(1-$B$3)*'Sheet1 select'!$B$41</f>
        <v>9.2711111111111105E-2</v>
      </c>
      <c r="J150" s="45">
        <f ca="1">F150*F150*('Sheet1 select'!$B$26)*(1-$B$3)</f>
        <v>0</v>
      </c>
      <c r="K150" s="45">
        <f>0.0000005*$B$10*F150*$B$8*((('Sheet1 select'!$B$33+0.5*'Sheet1 select'!$B$32)/(('Sheet1 select'!$B$10-'Sheet1 select'!$B$23)/('Sheet1 select'!$B$27+'Sheet1 select'!$B$8)))+(('Sheet1 select'!$B$33+0.5*'Sheet1 select'!$B$32)/(('Sheet1 select'!$B$23)/('Sheet1 select'!$B$27+'Sheet1 select'!$B$9))))</f>
        <v>5.4403619302779401E-3</v>
      </c>
      <c r="L150" s="45">
        <f>(F150*$B$28)*(('Sheet1 select'!$B$12+'Sheet1 select'!$B$13)*(0.000000001))*$B$8*1000</f>
        <v>0</v>
      </c>
      <c r="M150" s="45">
        <f t="shared" si="16"/>
        <v>3.6617357284970928E-5</v>
      </c>
      <c r="N150" s="46">
        <f>$B$10*'Sheet1 select'!$B$29*0.001</f>
        <v>1.2E-2</v>
      </c>
      <c r="O150" s="44">
        <f>'Sheet1 select'!$B$10*'Sheet1 select'!$B$31*$B$8*1000*0.000000001</f>
        <v>3.0000000000000001E-3</v>
      </c>
      <c r="P150" s="44">
        <f>'Sheet1 select'!$B$35*$B$10*$B$8*1000*0.000000001</f>
        <v>0</v>
      </c>
      <c r="Q150" s="47">
        <f>IF('Sheet1 select'!$B$17=0,0,(0.00000006*0.7+0.00000003*(0.7+F150*1.1*'Sheet1 select'!$B$26))*F150*$B$8*1000)</f>
        <v>0</v>
      </c>
      <c r="R150" s="45">
        <f t="shared" ca="1" si="17"/>
        <v>0.1483535362258698</v>
      </c>
      <c r="S150" s="48">
        <f t="shared" ca="1" si="18"/>
        <v>0.93051422369452064</v>
      </c>
      <c r="T150" s="49">
        <f ca="1">H150+K150+O150+N150+'Sheet1 select'!$B$40*I150+J150+P150</f>
        <v>2.403105220191816E-2</v>
      </c>
      <c r="U150" s="169">
        <f t="shared" ca="1" si="19"/>
        <v>1.203105220191816E-2</v>
      </c>
      <c r="V150" s="47">
        <f t="shared" ca="1" si="20"/>
        <v>0</v>
      </c>
    </row>
    <row r="151" spans="5:22">
      <c r="E151" s="32">
        <v>150</v>
      </c>
      <c r="F151" s="45">
        <f t="shared" si="14"/>
        <v>0.4</v>
      </c>
      <c r="G151" s="45">
        <f t="shared" si="15"/>
        <v>3.2000000000000008E-2</v>
      </c>
      <c r="H151" s="45">
        <f ca="1">F151*F151*('Sheet1 select'!$B$25)*$B$3</f>
        <v>3.639049192014097E-3</v>
      </c>
      <c r="I151" s="45">
        <f>F151*(1-$B$3)*'Sheet1 select'!$B$41</f>
        <v>9.3333333333333324E-2</v>
      </c>
      <c r="J151" s="45">
        <f ca="1">F151*F151*('Sheet1 select'!$B$26)*(1-$B$3)</f>
        <v>0</v>
      </c>
      <c r="K151" s="45">
        <f>0.0000005*$B$10*F151*$B$8*((('Sheet1 select'!$B$33+0.5*'Sheet1 select'!$B$32)/(('Sheet1 select'!$B$10-'Sheet1 select'!$B$23)/('Sheet1 select'!$B$27+'Sheet1 select'!$B$8)))+(('Sheet1 select'!$B$33+0.5*'Sheet1 select'!$B$32)/(('Sheet1 select'!$B$23)/('Sheet1 select'!$B$27+'Sheet1 select'!$B$9))))</f>
        <v>5.4768744264543029E-3</v>
      </c>
      <c r="L151" s="45">
        <f>(F151*$B$28)*(('Sheet1 select'!$B$12+'Sheet1 select'!$B$13)*(0.000000001))*$B$8*1000</f>
        <v>0</v>
      </c>
      <c r="M151" s="45">
        <f t="shared" si="16"/>
        <v>3.6617357284970928E-5</v>
      </c>
      <c r="N151" s="46">
        <f>$B$10*'Sheet1 select'!$B$29*0.001</f>
        <v>1.2E-2</v>
      </c>
      <c r="O151" s="44">
        <f>'Sheet1 select'!$B$10*'Sheet1 select'!$B$31*$B$8*1000*0.000000001</f>
        <v>3.0000000000000001E-3</v>
      </c>
      <c r="P151" s="44">
        <f>'Sheet1 select'!$B$35*$B$10*$B$8*1000*0.000000001</f>
        <v>0</v>
      </c>
      <c r="Q151" s="47">
        <f>IF('Sheet1 select'!$B$17=0,0,(0.00000006*0.7+0.00000003*(0.7+F151*1.1*'Sheet1 select'!$B$26))*F151*$B$8*1000)</f>
        <v>0</v>
      </c>
      <c r="R151" s="45">
        <f t="shared" ca="1" si="17"/>
        <v>0.14948587430908672</v>
      </c>
      <c r="S151" s="48">
        <f t="shared" ca="1" si="18"/>
        <v>0.93045505620866842</v>
      </c>
      <c r="T151" s="49">
        <f ca="1">H151+K151+O151+N151+'Sheet1 select'!$B$40*I151+J151+P151</f>
        <v>2.4115923618468399E-2</v>
      </c>
      <c r="U151" s="169">
        <f t="shared" ca="1" si="19"/>
        <v>1.2115923618468399E-2</v>
      </c>
      <c r="V151" s="47">
        <f t="shared" ca="1" si="20"/>
        <v>0</v>
      </c>
    </row>
    <row r="152" spans="5:22">
      <c r="E152" s="32">
        <v>151</v>
      </c>
      <c r="F152" s="45">
        <f t="shared" si="14"/>
        <v>0.40266666666666673</v>
      </c>
      <c r="G152" s="45">
        <f t="shared" si="15"/>
        <v>3.2428088888888901E-2</v>
      </c>
      <c r="H152" s="45">
        <f ca="1">F152*F152*('Sheet1 select'!$B$25)*$B$3</f>
        <v>3.6877315834272645E-3</v>
      </c>
      <c r="I152" s="45">
        <f>F152*(1-$B$3)*'Sheet1 select'!$B$41</f>
        <v>9.395555555555557E-2</v>
      </c>
      <c r="J152" s="45">
        <f ca="1">F152*F152*('Sheet1 select'!$B$26)*(1-$B$3)</f>
        <v>0</v>
      </c>
      <c r="K152" s="45">
        <f>0.0000005*$B$10*F152*$B$8*((('Sheet1 select'!$B$33+0.5*'Sheet1 select'!$B$32)/(('Sheet1 select'!$B$10-'Sheet1 select'!$B$23)/('Sheet1 select'!$B$27+'Sheet1 select'!$B$8)))+(('Sheet1 select'!$B$33+0.5*'Sheet1 select'!$B$32)/(('Sheet1 select'!$B$23)/('Sheet1 select'!$B$27+'Sheet1 select'!$B$9))))</f>
        <v>5.5133869226306649E-3</v>
      </c>
      <c r="L152" s="45">
        <f>(F152*$B$28)*(('Sheet1 select'!$B$12+'Sheet1 select'!$B$13)*(0.000000001))*$B$8*1000</f>
        <v>0</v>
      </c>
      <c r="M152" s="45">
        <f t="shared" si="16"/>
        <v>3.6617357284970928E-5</v>
      </c>
      <c r="N152" s="46">
        <f>$B$10*'Sheet1 select'!$B$29*0.001</f>
        <v>1.2E-2</v>
      </c>
      <c r="O152" s="44">
        <f>'Sheet1 select'!$B$10*'Sheet1 select'!$B$31*$B$8*1000*0.000000001</f>
        <v>3.0000000000000001E-3</v>
      </c>
      <c r="P152" s="44">
        <f>'Sheet1 select'!$B$35*$B$10*$B$8*1000*0.000000001</f>
        <v>0</v>
      </c>
      <c r="Q152" s="47">
        <f>IF('Sheet1 select'!$B$17=0,0,(0.00000006*0.7+0.00000003*(0.7+F152*1.1*'Sheet1 select'!$B$26))*F152*$B$8*1000)</f>
        <v>0</v>
      </c>
      <c r="R152" s="45">
        <f t="shared" ca="1" si="17"/>
        <v>0.15062138030778738</v>
      </c>
      <c r="S152" s="48">
        <f t="shared" ca="1" si="18"/>
        <v>0.93039531772162265</v>
      </c>
      <c r="T152" s="49">
        <f ca="1">H152+K152+O152+N152+'Sheet1 select'!$B$40*I152+J152+P152</f>
        <v>2.4201118506057929E-2</v>
      </c>
      <c r="U152" s="169">
        <f t="shared" ca="1" si="19"/>
        <v>1.2201118506057929E-2</v>
      </c>
      <c r="V152" s="47">
        <f t="shared" ca="1" si="20"/>
        <v>0</v>
      </c>
    </row>
    <row r="153" spans="5:22">
      <c r="E153" s="32">
        <v>152</v>
      </c>
      <c r="F153" s="45">
        <f t="shared" si="14"/>
        <v>0.40533333333333338</v>
      </c>
      <c r="G153" s="45">
        <f t="shared" si="15"/>
        <v>3.2859022222222228E-2</v>
      </c>
      <c r="H153" s="45">
        <f ca="1">F153*F153*('Sheet1 select'!$B$25)*$B$3</f>
        <v>3.7367374458797203E-3</v>
      </c>
      <c r="I153" s="45">
        <f>F153*(1-$B$3)*'Sheet1 select'!$B$41</f>
        <v>9.4577777777777775E-2</v>
      </c>
      <c r="J153" s="45">
        <f ca="1">F153*F153*('Sheet1 select'!$B$26)*(1-$B$3)</f>
        <v>0</v>
      </c>
      <c r="K153" s="45">
        <f>0.0000005*$B$10*F153*$B$8*((('Sheet1 select'!$B$33+0.5*'Sheet1 select'!$B$32)/(('Sheet1 select'!$B$10-'Sheet1 select'!$B$23)/('Sheet1 select'!$B$27+'Sheet1 select'!$B$8)))+(('Sheet1 select'!$B$33+0.5*'Sheet1 select'!$B$32)/(('Sheet1 select'!$B$23)/('Sheet1 select'!$B$27+'Sheet1 select'!$B$9))))</f>
        <v>5.5498994188070269E-3</v>
      </c>
      <c r="L153" s="45">
        <f>(F153*$B$28)*(('Sheet1 select'!$B$12+'Sheet1 select'!$B$13)*(0.000000001))*$B$8*1000</f>
        <v>0</v>
      </c>
      <c r="M153" s="45">
        <f t="shared" si="16"/>
        <v>3.6617357284970928E-5</v>
      </c>
      <c r="N153" s="46">
        <f>$B$10*'Sheet1 select'!$B$29*0.001</f>
        <v>1.2E-2</v>
      </c>
      <c r="O153" s="44">
        <f>'Sheet1 select'!$B$10*'Sheet1 select'!$B$31*$B$8*1000*0.000000001</f>
        <v>3.0000000000000001E-3</v>
      </c>
      <c r="P153" s="44">
        <f>'Sheet1 select'!$B$35*$B$10*$B$8*1000*0.000000001</f>
        <v>0</v>
      </c>
      <c r="Q153" s="47">
        <f>IF('Sheet1 select'!$B$17=0,0,(0.00000006*0.7+0.00000003*(0.7+F153*1.1*'Sheet1 select'!$B$26))*F153*$B$8*1000)</f>
        <v>0</v>
      </c>
      <c r="R153" s="45">
        <f t="shared" ca="1" si="17"/>
        <v>0.15176005422197172</v>
      </c>
      <c r="S153" s="48">
        <f t="shared" ca="1" si="18"/>
        <v>0.93033501987155909</v>
      </c>
      <c r="T153" s="49">
        <f ca="1">H153+K153+O153+N153+'Sheet1 select'!$B$40*I153+J153+P153</f>
        <v>2.4286636864686746E-2</v>
      </c>
      <c r="U153" s="169">
        <f t="shared" ca="1" si="19"/>
        <v>1.2286636864686746E-2</v>
      </c>
      <c r="V153" s="47">
        <f t="shared" ca="1" si="20"/>
        <v>0</v>
      </c>
    </row>
    <row r="154" spans="5:22">
      <c r="E154" s="32">
        <v>153</v>
      </c>
      <c r="F154" s="45">
        <f t="shared" si="14"/>
        <v>0.40800000000000003</v>
      </c>
      <c r="G154" s="45">
        <f t="shared" si="15"/>
        <v>3.3292800000000004E-2</v>
      </c>
      <c r="H154" s="45">
        <f ca="1">F154*F154*('Sheet1 select'!$B$25)*$B$3</f>
        <v>3.7860667793714669E-3</v>
      </c>
      <c r="I154" s="45">
        <f>F154*(1-$B$3)*'Sheet1 select'!$B$41</f>
        <v>9.5200000000000007E-2</v>
      </c>
      <c r="J154" s="45">
        <f ca="1">F154*F154*('Sheet1 select'!$B$26)*(1-$B$3)</f>
        <v>0</v>
      </c>
      <c r="K154" s="45">
        <f>0.0000005*$B$10*F154*$B$8*((('Sheet1 select'!$B$33+0.5*'Sheet1 select'!$B$32)/(('Sheet1 select'!$B$10-'Sheet1 select'!$B$23)/('Sheet1 select'!$B$27+'Sheet1 select'!$B$8)))+(('Sheet1 select'!$B$33+0.5*'Sheet1 select'!$B$32)/(('Sheet1 select'!$B$23)/('Sheet1 select'!$B$27+'Sheet1 select'!$B$9))))</f>
        <v>5.586411914983388E-3</v>
      </c>
      <c r="L154" s="45">
        <f>(F154*$B$28)*(('Sheet1 select'!$B$12+'Sheet1 select'!$B$13)*(0.000000001))*$B$8*1000</f>
        <v>0</v>
      </c>
      <c r="M154" s="45">
        <f t="shared" si="16"/>
        <v>3.6617357284970928E-5</v>
      </c>
      <c r="N154" s="46">
        <f>$B$10*'Sheet1 select'!$B$29*0.001</f>
        <v>1.2E-2</v>
      </c>
      <c r="O154" s="44">
        <f>'Sheet1 select'!$B$10*'Sheet1 select'!$B$31*$B$8*1000*0.000000001</f>
        <v>3.0000000000000001E-3</v>
      </c>
      <c r="P154" s="44">
        <f>'Sheet1 select'!$B$35*$B$10*$B$8*1000*0.000000001</f>
        <v>0</v>
      </c>
      <c r="Q154" s="47">
        <f>IF('Sheet1 select'!$B$17=0,0,(0.00000006*0.7+0.00000003*(0.7+F154*1.1*'Sheet1 select'!$B$26))*F154*$B$8*1000)</f>
        <v>0</v>
      </c>
      <c r="R154" s="45">
        <f t="shared" ca="1" si="17"/>
        <v>0.15290189605163984</v>
      </c>
      <c r="S154" s="48">
        <f t="shared" ca="1" si="18"/>
        <v>0.930274173994312</v>
      </c>
      <c r="T154" s="49">
        <f ca="1">H154+K154+O154+N154+'Sheet1 select'!$B$40*I154+J154+P154</f>
        <v>2.4372478694354854E-2</v>
      </c>
      <c r="U154" s="169">
        <f t="shared" ca="1" si="19"/>
        <v>1.2372478694354854E-2</v>
      </c>
      <c r="V154" s="47">
        <f t="shared" ca="1" si="20"/>
        <v>0</v>
      </c>
    </row>
    <row r="155" spans="5:22">
      <c r="E155" s="32">
        <v>154</v>
      </c>
      <c r="F155" s="45">
        <f t="shared" si="14"/>
        <v>0.41066666666666668</v>
      </c>
      <c r="G155" s="45">
        <f t="shared" si="15"/>
        <v>3.3729422222222222E-2</v>
      </c>
      <c r="H155" s="45">
        <f ca="1">F155*F155*('Sheet1 select'!$B$25)*$B$3</f>
        <v>3.8357195839025028E-3</v>
      </c>
      <c r="I155" s="45">
        <f>F155*(1-$B$3)*'Sheet1 select'!$B$41</f>
        <v>9.5822222222222211E-2</v>
      </c>
      <c r="J155" s="45">
        <f ca="1">F155*F155*('Sheet1 select'!$B$26)*(1-$B$3)</f>
        <v>0</v>
      </c>
      <c r="K155" s="45">
        <f>0.0000005*$B$10*F155*$B$8*((('Sheet1 select'!$B$33+0.5*'Sheet1 select'!$B$32)/(('Sheet1 select'!$B$10-'Sheet1 select'!$B$23)/('Sheet1 select'!$B$27+'Sheet1 select'!$B$8)))+(('Sheet1 select'!$B$33+0.5*'Sheet1 select'!$B$32)/(('Sheet1 select'!$B$23)/('Sheet1 select'!$B$27+'Sheet1 select'!$B$9))))</f>
        <v>5.6229244111597508E-3</v>
      </c>
      <c r="L155" s="45">
        <f>(F155*$B$28)*(('Sheet1 select'!$B$12+'Sheet1 select'!$B$13)*(0.000000001))*$B$8*1000</f>
        <v>0</v>
      </c>
      <c r="M155" s="45">
        <f t="shared" si="16"/>
        <v>3.6617357284970928E-5</v>
      </c>
      <c r="N155" s="46">
        <f>$B$10*'Sheet1 select'!$B$29*0.001</f>
        <v>1.2E-2</v>
      </c>
      <c r="O155" s="44">
        <f>'Sheet1 select'!$B$10*'Sheet1 select'!$B$31*$B$8*1000*0.000000001</f>
        <v>3.0000000000000001E-3</v>
      </c>
      <c r="P155" s="44">
        <f>'Sheet1 select'!$B$35*$B$10*$B$8*1000*0.000000001</f>
        <v>0</v>
      </c>
      <c r="Q155" s="47">
        <f>IF('Sheet1 select'!$B$17=0,0,(0.00000006*0.7+0.00000003*(0.7+F155*1.1*'Sheet1 select'!$B$26))*F155*$B$8*1000)</f>
        <v>0</v>
      </c>
      <c r="R155" s="45">
        <f t="shared" ca="1" si="17"/>
        <v>0.15404690579679167</v>
      </c>
      <c r="S155" s="48">
        <f t="shared" ca="1" si="18"/>
        <v>0.93021279113312272</v>
      </c>
      <c r="T155" s="49">
        <f ca="1">H155+K155+O155+N155+'Sheet1 select'!$B$40*I155+J155+P155</f>
        <v>2.4458643995062253E-2</v>
      </c>
      <c r="U155" s="169">
        <f t="shared" ca="1" si="19"/>
        <v>1.2458643995062253E-2</v>
      </c>
      <c r="V155" s="47">
        <f t="shared" ca="1" si="20"/>
        <v>0</v>
      </c>
    </row>
    <row r="156" spans="5:22">
      <c r="E156" s="32">
        <v>155</v>
      </c>
      <c r="F156" s="45">
        <f t="shared" si="14"/>
        <v>0.41333333333333333</v>
      </c>
      <c r="G156" s="45">
        <f t="shared" si="15"/>
        <v>3.4168888888888888E-2</v>
      </c>
      <c r="H156" s="45">
        <f ca="1">F156*F156*('Sheet1 select'!$B$25)*$B$3</f>
        <v>3.8856958594728295E-3</v>
      </c>
      <c r="I156" s="45">
        <f>F156*(1-$B$3)*'Sheet1 select'!$B$41</f>
        <v>9.6444444444444444E-2</v>
      </c>
      <c r="J156" s="45">
        <f ca="1">F156*F156*('Sheet1 select'!$B$26)*(1-$B$3)</f>
        <v>0</v>
      </c>
      <c r="K156" s="45">
        <f>0.0000005*$B$10*F156*$B$8*((('Sheet1 select'!$B$33+0.5*'Sheet1 select'!$B$32)/(('Sheet1 select'!$B$10-'Sheet1 select'!$B$23)/('Sheet1 select'!$B$27+'Sheet1 select'!$B$8)))+(('Sheet1 select'!$B$33+0.5*'Sheet1 select'!$B$32)/(('Sheet1 select'!$B$23)/('Sheet1 select'!$B$27+'Sheet1 select'!$B$9))))</f>
        <v>5.6594369073361128E-3</v>
      </c>
      <c r="L156" s="45">
        <f>(F156*$B$28)*(('Sheet1 select'!$B$12+'Sheet1 select'!$B$13)*(0.000000001))*$B$8*1000</f>
        <v>0</v>
      </c>
      <c r="M156" s="45">
        <f t="shared" si="16"/>
        <v>3.6617357284970928E-5</v>
      </c>
      <c r="N156" s="46">
        <f>$B$10*'Sheet1 select'!$B$29*0.001</f>
        <v>1.2E-2</v>
      </c>
      <c r="O156" s="44">
        <f>'Sheet1 select'!$B$10*'Sheet1 select'!$B$31*$B$8*1000*0.000000001</f>
        <v>3.0000000000000001E-3</v>
      </c>
      <c r="P156" s="44">
        <f>'Sheet1 select'!$B$35*$B$10*$B$8*1000*0.000000001</f>
        <v>0</v>
      </c>
      <c r="Q156" s="47">
        <f>IF('Sheet1 select'!$B$17=0,0,(0.00000006*0.7+0.00000003*(0.7+F156*1.1*'Sheet1 select'!$B$26))*F156*$B$8*1000)</f>
        <v>0</v>
      </c>
      <c r="R156" s="45">
        <f t="shared" ca="1" si="17"/>
        <v>0.15519508345742725</v>
      </c>
      <c r="S156" s="48">
        <f t="shared" ca="1" si="18"/>
        <v>0.93015088204801255</v>
      </c>
      <c r="T156" s="49">
        <f ca="1">H156+K156+O156+N156+'Sheet1 select'!$B$40*I156+J156+P156</f>
        <v>2.4545132766808943E-2</v>
      </c>
      <c r="U156" s="169">
        <f t="shared" ca="1" si="19"/>
        <v>1.2545132766808943E-2</v>
      </c>
      <c r="V156" s="47">
        <f t="shared" ca="1" si="20"/>
        <v>0</v>
      </c>
    </row>
    <row r="157" spans="5:22">
      <c r="E157" s="32">
        <v>156</v>
      </c>
      <c r="F157" s="45">
        <f t="shared" si="14"/>
        <v>0.41600000000000004</v>
      </c>
      <c r="G157" s="45">
        <f t="shared" si="15"/>
        <v>3.4611200000000009E-2</v>
      </c>
      <c r="H157" s="45">
        <f ca="1">F157*F157*('Sheet1 select'!$B$25)*$B$3</f>
        <v>3.9359956060824475E-3</v>
      </c>
      <c r="I157" s="45">
        <f>F157*(1-$B$3)*'Sheet1 select'!$B$41</f>
        <v>9.7066666666666676E-2</v>
      </c>
      <c r="J157" s="45">
        <f ca="1">F157*F157*('Sheet1 select'!$B$26)*(1-$B$3)</f>
        <v>0</v>
      </c>
      <c r="K157" s="45">
        <f>0.0000005*$B$10*F157*$B$8*((('Sheet1 select'!$B$33+0.5*'Sheet1 select'!$B$32)/(('Sheet1 select'!$B$10-'Sheet1 select'!$B$23)/('Sheet1 select'!$B$27+'Sheet1 select'!$B$8)))+(('Sheet1 select'!$B$33+0.5*'Sheet1 select'!$B$32)/(('Sheet1 select'!$B$23)/('Sheet1 select'!$B$27+'Sheet1 select'!$B$9))))</f>
        <v>5.6959494035124757E-3</v>
      </c>
      <c r="L157" s="45">
        <f>(F157*$B$28)*(('Sheet1 select'!$B$12+'Sheet1 select'!$B$13)*(0.000000001))*$B$8*1000</f>
        <v>0</v>
      </c>
      <c r="M157" s="45">
        <f t="shared" si="16"/>
        <v>3.6617357284970928E-5</v>
      </c>
      <c r="N157" s="46">
        <f>$B$10*'Sheet1 select'!$B$29*0.001</f>
        <v>1.2E-2</v>
      </c>
      <c r="O157" s="44">
        <f>'Sheet1 select'!$B$10*'Sheet1 select'!$B$31*$B$8*1000*0.000000001</f>
        <v>3.0000000000000001E-3</v>
      </c>
      <c r="P157" s="44">
        <f>'Sheet1 select'!$B$35*$B$10*$B$8*1000*0.000000001</f>
        <v>0</v>
      </c>
      <c r="Q157" s="47">
        <f>IF('Sheet1 select'!$B$17=0,0,(0.00000006*0.7+0.00000003*(0.7+F157*1.1*'Sheet1 select'!$B$26))*F157*$B$8*1000)</f>
        <v>0</v>
      </c>
      <c r="R157" s="45">
        <f t="shared" ca="1" si="17"/>
        <v>0.15634642903354659</v>
      </c>
      <c r="S157" s="48">
        <f t="shared" ca="1" si="18"/>
        <v>0.93008845722479916</v>
      </c>
      <c r="T157" s="49">
        <f ca="1">H157+K157+O157+N157+'Sheet1 select'!$B$40*I157+J157+P157</f>
        <v>2.4631945009594924E-2</v>
      </c>
      <c r="U157" s="169">
        <f t="shared" ca="1" si="19"/>
        <v>1.2631945009594924E-2</v>
      </c>
      <c r="V157" s="47">
        <f t="shared" ca="1" si="20"/>
        <v>0</v>
      </c>
    </row>
    <row r="158" spans="5:22">
      <c r="E158" s="32">
        <v>157</v>
      </c>
      <c r="F158" s="45">
        <f t="shared" si="14"/>
        <v>0.41866666666666669</v>
      </c>
      <c r="G158" s="45">
        <f t="shared" si="15"/>
        <v>3.5056355555555557E-2</v>
      </c>
      <c r="H158" s="45">
        <f ca="1">F158*F158*('Sheet1 select'!$B$25)*$B$3</f>
        <v>3.9866188237313548E-3</v>
      </c>
      <c r="I158" s="45">
        <f>F158*(1-$B$3)*'Sheet1 select'!$B$41</f>
        <v>9.7688888888888881E-2</v>
      </c>
      <c r="J158" s="45">
        <f ca="1">F158*F158*('Sheet1 select'!$B$26)*(1-$B$3)</f>
        <v>0</v>
      </c>
      <c r="K158" s="45">
        <f>0.0000005*$B$10*F158*$B$8*((('Sheet1 select'!$B$33+0.5*'Sheet1 select'!$B$32)/(('Sheet1 select'!$B$10-'Sheet1 select'!$B$23)/('Sheet1 select'!$B$27+'Sheet1 select'!$B$8)))+(('Sheet1 select'!$B$33+0.5*'Sheet1 select'!$B$32)/(('Sheet1 select'!$B$23)/('Sheet1 select'!$B$27+'Sheet1 select'!$B$9))))</f>
        <v>5.7324618996888368E-3</v>
      </c>
      <c r="L158" s="45">
        <f>(F158*$B$28)*(('Sheet1 select'!$B$12+'Sheet1 select'!$B$13)*(0.000000001))*$B$8*1000</f>
        <v>0</v>
      </c>
      <c r="M158" s="45">
        <f t="shared" si="16"/>
        <v>3.6617357284970928E-5</v>
      </c>
      <c r="N158" s="46">
        <f>$B$10*'Sheet1 select'!$B$29*0.001</f>
        <v>1.2E-2</v>
      </c>
      <c r="O158" s="44">
        <f>'Sheet1 select'!$B$10*'Sheet1 select'!$B$31*$B$8*1000*0.000000001</f>
        <v>3.0000000000000001E-3</v>
      </c>
      <c r="P158" s="44">
        <f>'Sheet1 select'!$B$35*$B$10*$B$8*1000*0.000000001</f>
        <v>0</v>
      </c>
      <c r="Q158" s="47">
        <f>IF('Sheet1 select'!$B$17=0,0,(0.00000006*0.7+0.00000003*(0.7+F158*1.1*'Sheet1 select'!$B$26))*F158*$B$8*1000)</f>
        <v>0</v>
      </c>
      <c r="R158" s="45">
        <f t="shared" ca="1" si="17"/>
        <v>0.15750094252514962</v>
      </c>
      <c r="S158" s="48">
        <f t="shared" ca="1" si="18"/>
        <v>0.93002552688376949</v>
      </c>
      <c r="T158" s="49">
        <f ca="1">H158+K158+O158+N158+'Sheet1 select'!$B$40*I158+J158+P158</f>
        <v>2.4719080723420193E-2</v>
      </c>
      <c r="U158" s="169">
        <f t="shared" ca="1" si="19"/>
        <v>1.2719080723420192E-2</v>
      </c>
      <c r="V158" s="47">
        <f t="shared" ca="1" si="20"/>
        <v>0</v>
      </c>
    </row>
    <row r="159" spans="5:22">
      <c r="E159" s="32">
        <v>158</v>
      </c>
      <c r="F159" s="45">
        <f t="shared" si="14"/>
        <v>0.42133333333333334</v>
      </c>
      <c r="G159" s="45">
        <f t="shared" si="15"/>
        <v>3.5504355555555554E-2</v>
      </c>
      <c r="H159" s="45">
        <f ca="1">F159*F159*('Sheet1 select'!$B$25)*$B$3</f>
        <v>4.0375655124195511E-3</v>
      </c>
      <c r="I159" s="45">
        <f>F159*(1-$B$3)*'Sheet1 select'!$B$41</f>
        <v>9.8311111111111113E-2</v>
      </c>
      <c r="J159" s="45">
        <f ca="1">F159*F159*('Sheet1 select'!$B$26)*(1-$B$3)</f>
        <v>0</v>
      </c>
      <c r="K159" s="45">
        <f>0.0000005*$B$10*F159*$B$8*((('Sheet1 select'!$B$33+0.5*'Sheet1 select'!$B$32)/(('Sheet1 select'!$B$10-'Sheet1 select'!$B$23)/('Sheet1 select'!$B$27+'Sheet1 select'!$B$8)))+(('Sheet1 select'!$B$33+0.5*'Sheet1 select'!$B$32)/(('Sheet1 select'!$B$23)/('Sheet1 select'!$B$27+'Sheet1 select'!$B$9))))</f>
        <v>5.7689743958651988E-3</v>
      </c>
      <c r="L159" s="45">
        <f>(F159*$B$28)*(('Sheet1 select'!$B$12+'Sheet1 select'!$B$13)*(0.000000001))*$B$8*1000</f>
        <v>0</v>
      </c>
      <c r="M159" s="45">
        <f t="shared" si="16"/>
        <v>3.6617357284970928E-5</v>
      </c>
      <c r="N159" s="46">
        <f>$B$10*'Sheet1 select'!$B$29*0.001</f>
        <v>1.2E-2</v>
      </c>
      <c r="O159" s="44">
        <f>'Sheet1 select'!$B$10*'Sheet1 select'!$B$31*$B$8*1000*0.000000001</f>
        <v>3.0000000000000001E-3</v>
      </c>
      <c r="P159" s="44">
        <f>'Sheet1 select'!$B$35*$B$10*$B$8*1000*0.000000001</f>
        <v>0</v>
      </c>
      <c r="Q159" s="47">
        <f>IF('Sheet1 select'!$B$17=0,0,(0.00000006*0.7+0.00000003*(0.7+F159*1.1*'Sheet1 select'!$B$26))*F159*$B$8*1000)</f>
        <v>0</v>
      </c>
      <c r="R159" s="45">
        <f t="shared" ca="1" si="17"/>
        <v>0.15865862393223643</v>
      </c>
      <c r="S159" s="48">
        <f t="shared" ca="1" si="18"/>
        <v>0.92996210098802601</v>
      </c>
      <c r="T159" s="49">
        <f ca="1">H159+K159+O159+N159+'Sheet1 select'!$B$40*I159+J159+P159</f>
        <v>2.4806539908284748E-2</v>
      </c>
      <c r="U159" s="169">
        <f t="shared" ca="1" si="19"/>
        <v>1.2806539908284748E-2</v>
      </c>
      <c r="V159" s="47">
        <f t="shared" ca="1" si="20"/>
        <v>0</v>
      </c>
    </row>
    <row r="160" spans="5:22">
      <c r="E160" s="32">
        <v>159</v>
      </c>
      <c r="F160" s="45">
        <f t="shared" si="14"/>
        <v>0.42399999999999999</v>
      </c>
      <c r="G160" s="45">
        <f t="shared" si="15"/>
        <v>3.59552E-2</v>
      </c>
      <c r="H160" s="45">
        <f ca="1">F160*F160*('Sheet1 select'!$B$25)*$B$3</f>
        <v>4.0888356721470393E-3</v>
      </c>
      <c r="I160" s="45">
        <f>F160*(1-$B$3)*'Sheet1 select'!$B$41</f>
        <v>9.8933333333333318E-2</v>
      </c>
      <c r="J160" s="45">
        <f ca="1">F160*F160*('Sheet1 select'!$B$26)*(1-$B$3)</f>
        <v>0</v>
      </c>
      <c r="K160" s="45">
        <f>0.0000005*$B$10*F160*$B$8*((('Sheet1 select'!$B$33+0.5*'Sheet1 select'!$B$32)/(('Sheet1 select'!$B$10-'Sheet1 select'!$B$23)/('Sheet1 select'!$B$27+'Sheet1 select'!$B$8)))+(('Sheet1 select'!$B$33+0.5*'Sheet1 select'!$B$32)/(('Sheet1 select'!$B$23)/('Sheet1 select'!$B$27+'Sheet1 select'!$B$9))))</f>
        <v>5.8054868920415607E-3</v>
      </c>
      <c r="L160" s="45">
        <f>(F160*$B$28)*(('Sheet1 select'!$B$12+'Sheet1 select'!$B$13)*(0.000000001))*$B$8*1000</f>
        <v>0</v>
      </c>
      <c r="M160" s="45">
        <f t="shared" si="16"/>
        <v>3.6617357284970928E-5</v>
      </c>
      <c r="N160" s="46">
        <f>$B$10*'Sheet1 select'!$B$29*0.001</f>
        <v>1.2E-2</v>
      </c>
      <c r="O160" s="44">
        <f>'Sheet1 select'!$B$10*'Sheet1 select'!$B$31*$B$8*1000*0.000000001</f>
        <v>3.0000000000000001E-3</v>
      </c>
      <c r="P160" s="44">
        <f>'Sheet1 select'!$B$35*$B$10*$B$8*1000*0.000000001</f>
        <v>0</v>
      </c>
      <c r="Q160" s="47">
        <f>IF('Sheet1 select'!$B$17=0,0,(0.00000006*0.7+0.00000003*(0.7+F160*1.1*'Sheet1 select'!$B$26))*F160*$B$8*1000)</f>
        <v>0</v>
      </c>
      <c r="R160" s="45">
        <f t="shared" ca="1" si="17"/>
        <v>0.15981947325480689</v>
      </c>
      <c r="S160" s="48">
        <f t="shared" ca="1" si="18"/>
        <v>0.92989818925152035</v>
      </c>
      <c r="T160" s="49">
        <f ca="1">H160+K160+O160+N160+'Sheet1 select'!$B$40*I160+J160+P160</f>
        <v>2.4894322564188599E-2</v>
      </c>
      <c r="U160" s="169">
        <f t="shared" ca="1" si="19"/>
        <v>1.2894322564188598E-2</v>
      </c>
      <c r="V160" s="47">
        <f t="shared" ca="1" si="20"/>
        <v>0</v>
      </c>
    </row>
    <row r="161" spans="5:22">
      <c r="E161" s="32">
        <v>160</v>
      </c>
      <c r="F161" s="45">
        <f t="shared" si="14"/>
        <v>0.42666666666666669</v>
      </c>
      <c r="G161" s="45">
        <f t="shared" si="15"/>
        <v>3.6408888888888893E-2</v>
      </c>
      <c r="H161" s="45">
        <f ca="1">F161*F161*('Sheet1 select'!$B$25)*$B$3</f>
        <v>4.1404293029138175E-3</v>
      </c>
      <c r="I161" s="45">
        <f>F161*(1-$B$3)*'Sheet1 select'!$B$41</f>
        <v>9.9555555555555564E-2</v>
      </c>
      <c r="J161" s="45">
        <f ca="1">F161*F161*('Sheet1 select'!$B$26)*(1-$B$3)</f>
        <v>0</v>
      </c>
      <c r="K161" s="45">
        <f>0.0000005*$B$10*F161*$B$8*((('Sheet1 select'!$B$33+0.5*'Sheet1 select'!$B$32)/(('Sheet1 select'!$B$10-'Sheet1 select'!$B$23)/('Sheet1 select'!$B$27+'Sheet1 select'!$B$8)))+(('Sheet1 select'!$B$33+0.5*'Sheet1 select'!$B$32)/(('Sheet1 select'!$B$23)/('Sheet1 select'!$B$27+'Sheet1 select'!$B$9))))</f>
        <v>5.8419993882179218E-3</v>
      </c>
      <c r="L161" s="45">
        <f>(F161*$B$28)*(('Sheet1 select'!$B$12+'Sheet1 select'!$B$13)*(0.000000001))*$B$8*1000</f>
        <v>0</v>
      </c>
      <c r="M161" s="45">
        <f t="shared" si="16"/>
        <v>3.6617357284970928E-5</v>
      </c>
      <c r="N161" s="46">
        <f>$B$10*'Sheet1 select'!$B$29*0.001</f>
        <v>1.2E-2</v>
      </c>
      <c r="O161" s="44">
        <f>'Sheet1 select'!$B$10*'Sheet1 select'!$B$31*$B$8*1000*0.000000001</f>
        <v>3.0000000000000001E-3</v>
      </c>
      <c r="P161" s="44">
        <f>'Sheet1 select'!$B$35*$B$10*$B$8*1000*0.000000001</f>
        <v>0</v>
      </c>
      <c r="Q161" s="47">
        <f>IF('Sheet1 select'!$B$17=0,0,(0.00000006*0.7+0.00000003*(0.7+F161*1.1*'Sheet1 select'!$B$26))*F161*$B$8*1000)</f>
        <v>0</v>
      </c>
      <c r="R161" s="45">
        <f t="shared" ca="1" si="17"/>
        <v>0.16098349049286118</v>
      </c>
      <c r="S161" s="48">
        <f t="shared" ca="1" si="18"/>
        <v>0.92983380114678682</v>
      </c>
      <c r="T161" s="49">
        <f ca="1">H161+K161+O161+N161+'Sheet1 select'!$B$40*I161+J161+P161</f>
        <v>2.498242869113174E-2</v>
      </c>
      <c r="U161" s="169">
        <f t="shared" ca="1" si="19"/>
        <v>1.2982428691131739E-2</v>
      </c>
      <c r="V161" s="47">
        <f t="shared" ca="1" si="20"/>
        <v>0</v>
      </c>
    </row>
    <row r="162" spans="5:22">
      <c r="E162" s="32">
        <v>161</v>
      </c>
      <c r="F162" s="45">
        <f t="shared" si="14"/>
        <v>0.42933333333333334</v>
      </c>
      <c r="G162" s="45">
        <f t="shared" si="15"/>
        <v>3.6865422222222222E-2</v>
      </c>
      <c r="H162" s="45">
        <f ca="1">F162*F162*('Sheet1 select'!$B$25)*$B$3</f>
        <v>4.1923464047198839E-3</v>
      </c>
      <c r="I162" s="45">
        <f>F162*(1-$B$3)*'Sheet1 select'!$B$41</f>
        <v>0.10017777777777777</v>
      </c>
      <c r="J162" s="45">
        <f ca="1">F162*F162*('Sheet1 select'!$B$26)*(1-$B$3)</f>
        <v>0</v>
      </c>
      <c r="K162" s="45">
        <f>0.0000005*$B$10*F162*$B$8*((('Sheet1 select'!$B$33+0.5*'Sheet1 select'!$B$32)/(('Sheet1 select'!$B$10-'Sheet1 select'!$B$23)/('Sheet1 select'!$B$27+'Sheet1 select'!$B$8)))+(('Sheet1 select'!$B$33+0.5*'Sheet1 select'!$B$32)/(('Sheet1 select'!$B$23)/('Sheet1 select'!$B$27+'Sheet1 select'!$B$9))))</f>
        <v>5.8785118843942838E-3</v>
      </c>
      <c r="L162" s="45">
        <f>(F162*$B$28)*(('Sheet1 select'!$B$12+'Sheet1 select'!$B$13)*(0.000000001))*$B$8*1000</f>
        <v>0</v>
      </c>
      <c r="M162" s="45">
        <f t="shared" si="16"/>
        <v>3.6617357284970928E-5</v>
      </c>
      <c r="N162" s="46">
        <f>$B$10*'Sheet1 select'!$B$29*0.001</f>
        <v>1.2E-2</v>
      </c>
      <c r="O162" s="44">
        <f>'Sheet1 select'!$B$10*'Sheet1 select'!$B$31*$B$8*1000*0.000000001</f>
        <v>3.0000000000000001E-3</v>
      </c>
      <c r="P162" s="44">
        <f>'Sheet1 select'!$B$35*$B$10*$B$8*1000*0.000000001</f>
        <v>0</v>
      </c>
      <c r="Q162" s="47">
        <f>IF('Sheet1 select'!$B$17=0,0,(0.00000006*0.7+0.00000003*(0.7+F162*1.1*'Sheet1 select'!$B$26))*F162*$B$8*1000)</f>
        <v>0</v>
      </c>
      <c r="R162" s="45">
        <f t="shared" ca="1" si="17"/>
        <v>0.16215067564639912</v>
      </c>
      <c r="S162" s="48">
        <f t="shared" ca="1" si="18"/>
        <v>0.92976894591239068</v>
      </c>
      <c r="T162" s="49">
        <f ca="1">H162+K162+O162+N162+'Sheet1 select'!$B$40*I162+J162+P162</f>
        <v>2.5070858289114168E-2</v>
      </c>
      <c r="U162" s="169">
        <f t="shared" ca="1" si="19"/>
        <v>1.3070858289114168E-2</v>
      </c>
      <c r="V162" s="47">
        <f t="shared" ca="1" si="20"/>
        <v>0</v>
      </c>
    </row>
    <row r="163" spans="5:22">
      <c r="E163" s="32">
        <v>162</v>
      </c>
      <c r="F163" s="45">
        <f t="shared" si="14"/>
        <v>0.432</v>
      </c>
      <c r="G163" s="45">
        <f t="shared" si="15"/>
        <v>3.7324799999999998E-2</v>
      </c>
      <c r="H163" s="45">
        <f ca="1">F163*F163*('Sheet1 select'!$B$25)*$B$3</f>
        <v>4.2445869775652421E-3</v>
      </c>
      <c r="I163" s="45">
        <f>F163*(1-$B$3)*'Sheet1 select'!$B$41</f>
        <v>0.10079999999999999</v>
      </c>
      <c r="J163" s="45">
        <f ca="1">F163*F163*('Sheet1 select'!$B$26)*(1-$B$3)</f>
        <v>0</v>
      </c>
      <c r="K163" s="45">
        <f>0.0000005*$B$10*F163*$B$8*((('Sheet1 select'!$B$33+0.5*'Sheet1 select'!$B$32)/(('Sheet1 select'!$B$10-'Sheet1 select'!$B$23)/('Sheet1 select'!$B$27+'Sheet1 select'!$B$8)))+(('Sheet1 select'!$B$33+0.5*'Sheet1 select'!$B$32)/(('Sheet1 select'!$B$23)/('Sheet1 select'!$B$27+'Sheet1 select'!$B$9))))</f>
        <v>5.9150243805706467E-3</v>
      </c>
      <c r="L163" s="45">
        <f>(F163*$B$28)*(('Sheet1 select'!$B$12+'Sheet1 select'!$B$13)*(0.000000001))*$B$8*1000</f>
        <v>0</v>
      </c>
      <c r="M163" s="45">
        <f t="shared" si="16"/>
        <v>3.6617357284970928E-5</v>
      </c>
      <c r="N163" s="46">
        <f>$B$10*'Sheet1 select'!$B$29*0.001</f>
        <v>1.2E-2</v>
      </c>
      <c r="O163" s="44">
        <f>'Sheet1 select'!$B$10*'Sheet1 select'!$B$31*$B$8*1000*0.000000001</f>
        <v>3.0000000000000001E-3</v>
      </c>
      <c r="P163" s="44">
        <f>'Sheet1 select'!$B$35*$B$10*$B$8*1000*0.000000001</f>
        <v>0</v>
      </c>
      <c r="Q163" s="47">
        <f>IF('Sheet1 select'!$B$17=0,0,(0.00000006*0.7+0.00000003*(0.7+F163*1.1*'Sheet1 select'!$B$26))*F163*$B$8*1000)</f>
        <v>0</v>
      </c>
      <c r="R163" s="45">
        <f t="shared" ca="1" si="17"/>
        <v>0.16332102871542087</v>
      </c>
      <c r="S163" s="48">
        <f t="shared" ca="1" si="18"/>
        <v>0.92970363256010202</v>
      </c>
      <c r="T163" s="49">
        <f ca="1">H163+K163+O163+N163+'Sheet1 select'!$B$40*I163+J163+P163</f>
        <v>2.5159611358135887E-2</v>
      </c>
      <c r="U163" s="169">
        <f t="shared" ca="1" si="19"/>
        <v>1.3159611358135887E-2</v>
      </c>
      <c r="V163" s="47">
        <f t="shared" ca="1" si="20"/>
        <v>0</v>
      </c>
    </row>
    <row r="164" spans="5:22">
      <c r="E164" s="32">
        <v>163</v>
      </c>
      <c r="F164" s="45">
        <f t="shared" si="14"/>
        <v>0.4346666666666667</v>
      </c>
      <c r="G164" s="45">
        <f t="shared" si="15"/>
        <v>3.778702222222223E-2</v>
      </c>
      <c r="H164" s="45">
        <f ca="1">F164*F164*('Sheet1 select'!$B$25)*$B$3</f>
        <v>4.2971510214498913E-3</v>
      </c>
      <c r="I164" s="45">
        <f>F164*(1-$B$3)*'Sheet1 select'!$B$41</f>
        <v>0.10142222222222222</v>
      </c>
      <c r="J164" s="45">
        <f ca="1">F164*F164*('Sheet1 select'!$B$26)*(1-$B$3)</f>
        <v>0</v>
      </c>
      <c r="K164" s="45">
        <f>0.0000005*$B$10*F164*$B$8*((('Sheet1 select'!$B$33+0.5*'Sheet1 select'!$B$32)/(('Sheet1 select'!$B$10-'Sheet1 select'!$B$23)/('Sheet1 select'!$B$27+'Sheet1 select'!$B$8)))+(('Sheet1 select'!$B$33+0.5*'Sheet1 select'!$B$32)/(('Sheet1 select'!$B$23)/('Sheet1 select'!$B$27+'Sheet1 select'!$B$9))))</f>
        <v>5.9515368767470095E-3</v>
      </c>
      <c r="L164" s="45">
        <f>(F164*$B$28)*(('Sheet1 select'!$B$12+'Sheet1 select'!$B$13)*(0.000000001))*$B$8*1000</f>
        <v>0</v>
      </c>
      <c r="M164" s="45">
        <f t="shared" si="16"/>
        <v>3.6617357284970928E-5</v>
      </c>
      <c r="N164" s="46">
        <f>$B$10*'Sheet1 select'!$B$29*0.001</f>
        <v>1.2E-2</v>
      </c>
      <c r="O164" s="44">
        <f>'Sheet1 select'!$B$10*'Sheet1 select'!$B$31*$B$8*1000*0.000000001</f>
        <v>3.0000000000000001E-3</v>
      </c>
      <c r="P164" s="44">
        <f>'Sheet1 select'!$B$35*$B$10*$B$8*1000*0.000000001</f>
        <v>0</v>
      </c>
      <c r="Q164" s="47">
        <f>IF('Sheet1 select'!$B$17=0,0,(0.00000006*0.7+0.00000003*(0.7+F164*1.1*'Sheet1 select'!$B$26))*F164*$B$8*1000)</f>
        <v>0</v>
      </c>
      <c r="R164" s="45">
        <f t="shared" ca="1" si="17"/>
        <v>0.16449454969992633</v>
      </c>
      <c r="S164" s="48">
        <f t="shared" ca="1" si="18"/>
        <v>0.92963786988180674</v>
      </c>
      <c r="T164" s="49">
        <f ca="1">H164+K164+O164+N164+'Sheet1 select'!$B$40*I164+J164+P164</f>
        <v>2.5248687898196901E-2</v>
      </c>
      <c r="U164" s="169">
        <f t="shared" ca="1" si="19"/>
        <v>1.3248687898196901E-2</v>
      </c>
      <c r="V164" s="47">
        <f t="shared" ca="1" si="20"/>
        <v>0</v>
      </c>
    </row>
    <row r="165" spans="5:22">
      <c r="E165" s="32">
        <v>164</v>
      </c>
      <c r="F165" s="45">
        <f t="shared" si="14"/>
        <v>0.43733333333333341</v>
      </c>
      <c r="G165" s="45">
        <f t="shared" si="15"/>
        <v>3.8252088888888897E-2</v>
      </c>
      <c r="H165" s="45">
        <f ca="1">F165*F165*('Sheet1 select'!$B$25)*$B$3</f>
        <v>4.3500385363738304E-3</v>
      </c>
      <c r="I165" s="45">
        <f>F165*(1-$B$3)*'Sheet1 select'!$B$41</f>
        <v>0.10204444444444445</v>
      </c>
      <c r="J165" s="45">
        <f ca="1">F165*F165*('Sheet1 select'!$B$26)*(1-$B$3)</f>
        <v>0</v>
      </c>
      <c r="K165" s="45">
        <f>0.0000005*$B$10*F165*$B$8*((('Sheet1 select'!$B$33+0.5*'Sheet1 select'!$B$32)/(('Sheet1 select'!$B$10-'Sheet1 select'!$B$23)/('Sheet1 select'!$B$27+'Sheet1 select'!$B$8)))+(('Sheet1 select'!$B$33+0.5*'Sheet1 select'!$B$32)/(('Sheet1 select'!$B$23)/('Sheet1 select'!$B$27+'Sheet1 select'!$B$9))))</f>
        <v>5.9880493729233724E-3</v>
      </c>
      <c r="L165" s="45">
        <f>(F165*$B$28)*(('Sheet1 select'!$B$12+'Sheet1 select'!$B$13)*(0.000000001))*$B$8*1000</f>
        <v>0</v>
      </c>
      <c r="M165" s="45">
        <f t="shared" si="16"/>
        <v>3.6617357284970928E-5</v>
      </c>
      <c r="N165" s="46">
        <f>$B$10*'Sheet1 select'!$B$29*0.001</f>
        <v>1.2E-2</v>
      </c>
      <c r="O165" s="44">
        <f>'Sheet1 select'!$B$10*'Sheet1 select'!$B$31*$B$8*1000*0.000000001</f>
        <v>3.0000000000000001E-3</v>
      </c>
      <c r="P165" s="44">
        <f>'Sheet1 select'!$B$35*$B$10*$B$8*1000*0.000000001</f>
        <v>0</v>
      </c>
      <c r="Q165" s="47">
        <f>IF('Sheet1 select'!$B$17=0,0,(0.00000006*0.7+0.00000003*(0.7+F165*1.1*'Sheet1 select'!$B$26))*F165*$B$8*1000)</f>
        <v>0</v>
      </c>
      <c r="R165" s="45">
        <f t="shared" ca="1" si="17"/>
        <v>0.16567123859991553</v>
      </c>
      <c r="S165" s="48">
        <f t="shared" ca="1" si="18"/>
        <v>0.92957166645616729</v>
      </c>
      <c r="T165" s="49">
        <f ca="1">H165+K165+O165+N165+'Sheet1 select'!$B$40*I165+J165+P165</f>
        <v>2.5338087909297202E-2</v>
      </c>
      <c r="U165" s="169">
        <f t="shared" ca="1" si="19"/>
        <v>1.3338087909297202E-2</v>
      </c>
      <c r="V165" s="47">
        <f t="shared" ca="1" si="20"/>
        <v>0</v>
      </c>
    </row>
    <row r="166" spans="5:22">
      <c r="E166" s="32">
        <v>165</v>
      </c>
      <c r="F166" s="45">
        <f t="shared" si="14"/>
        <v>0.44</v>
      </c>
      <c r="G166" s="45">
        <f t="shared" si="15"/>
        <v>3.8719999999999997E-2</v>
      </c>
      <c r="H166" s="45">
        <f ca="1">F166*F166*('Sheet1 select'!$B$25)*$B$3</f>
        <v>4.403249522337057E-3</v>
      </c>
      <c r="I166" s="45">
        <f>F166*(1-$B$3)*'Sheet1 select'!$B$41</f>
        <v>0.10266666666666667</v>
      </c>
      <c r="J166" s="45">
        <f ca="1">F166*F166*('Sheet1 select'!$B$26)*(1-$B$3)</f>
        <v>0</v>
      </c>
      <c r="K166" s="45">
        <f>0.0000005*$B$10*F166*$B$8*((('Sheet1 select'!$B$33+0.5*'Sheet1 select'!$B$32)/(('Sheet1 select'!$B$10-'Sheet1 select'!$B$23)/('Sheet1 select'!$B$27+'Sheet1 select'!$B$8)))+(('Sheet1 select'!$B$33+0.5*'Sheet1 select'!$B$32)/(('Sheet1 select'!$B$23)/('Sheet1 select'!$B$27+'Sheet1 select'!$B$9))))</f>
        <v>6.0245618690997326E-3</v>
      </c>
      <c r="L166" s="45">
        <f>(F166*$B$28)*(('Sheet1 select'!$B$12+'Sheet1 select'!$B$13)*(0.000000001))*$B$8*1000</f>
        <v>0</v>
      </c>
      <c r="M166" s="45">
        <f t="shared" si="16"/>
        <v>3.6617357284970928E-5</v>
      </c>
      <c r="N166" s="46">
        <f>$B$10*'Sheet1 select'!$B$29*0.001</f>
        <v>1.2E-2</v>
      </c>
      <c r="O166" s="44">
        <f>'Sheet1 select'!$B$10*'Sheet1 select'!$B$31*$B$8*1000*0.000000001</f>
        <v>3.0000000000000001E-3</v>
      </c>
      <c r="P166" s="44">
        <f>'Sheet1 select'!$B$35*$B$10*$B$8*1000*0.000000001</f>
        <v>0</v>
      </c>
      <c r="Q166" s="47">
        <f>IF('Sheet1 select'!$B$17=0,0,(0.00000006*0.7+0.00000003*(0.7+F166*1.1*'Sheet1 select'!$B$26))*F166*$B$8*1000)</f>
        <v>0</v>
      </c>
      <c r="R166" s="45">
        <f t="shared" ca="1" si="17"/>
        <v>0.16685109541538842</v>
      </c>
      <c r="S166" s="48">
        <f t="shared" ca="1" si="18"/>
        <v>0.92950503065504186</v>
      </c>
      <c r="T166" s="49">
        <f ca="1">H166+K166+O166+N166+'Sheet1 select'!$B$40*I166+J166+P166</f>
        <v>2.5427811391436791E-2</v>
      </c>
      <c r="U166" s="169">
        <f t="shared" ca="1" si="19"/>
        <v>1.3427811391436791E-2</v>
      </c>
      <c r="V166" s="47">
        <f t="shared" ca="1" si="20"/>
        <v>0</v>
      </c>
    </row>
    <row r="167" spans="5:22">
      <c r="E167" s="32">
        <v>166</v>
      </c>
      <c r="F167" s="45">
        <f t="shared" si="14"/>
        <v>0.44266666666666671</v>
      </c>
      <c r="G167" s="45">
        <f t="shared" si="15"/>
        <v>3.9190755555555561E-2</v>
      </c>
      <c r="H167" s="45">
        <f ca="1">F167*F167*('Sheet1 select'!$B$25)*$B$3</f>
        <v>4.4567839793395762E-3</v>
      </c>
      <c r="I167" s="45">
        <f>F167*(1-$B$3)*'Sheet1 select'!$B$41</f>
        <v>0.10328888888888887</v>
      </c>
      <c r="J167" s="45">
        <f ca="1">F167*F167*('Sheet1 select'!$B$26)*(1-$B$3)</f>
        <v>0</v>
      </c>
      <c r="K167" s="45">
        <f>0.0000005*$B$10*F167*$B$8*((('Sheet1 select'!$B$33+0.5*'Sheet1 select'!$B$32)/(('Sheet1 select'!$B$10-'Sheet1 select'!$B$23)/('Sheet1 select'!$B$27+'Sheet1 select'!$B$8)))+(('Sheet1 select'!$B$33+0.5*'Sheet1 select'!$B$32)/(('Sheet1 select'!$B$23)/('Sheet1 select'!$B$27+'Sheet1 select'!$B$9))))</f>
        <v>6.0610743652760955E-3</v>
      </c>
      <c r="L167" s="45">
        <f>(F167*$B$28)*(('Sheet1 select'!$B$12+'Sheet1 select'!$B$13)*(0.000000001))*$B$8*1000</f>
        <v>0</v>
      </c>
      <c r="M167" s="45">
        <f t="shared" si="16"/>
        <v>3.6617357284970928E-5</v>
      </c>
      <c r="N167" s="46">
        <f>$B$10*'Sheet1 select'!$B$29*0.001</f>
        <v>1.2E-2</v>
      </c>
      <c r="O167" s="44">
        <f>'Sheet1 select'!$B$10*'Sheet1 select'!$B$31*$B$8*1000*0.000000001</f>
        <v>3.0000000000000001E-3</v>
      </c>
      <c r="P167" s="44">
        <f>'Sheet1 select'!$B$35*$B$10*$B$8*1000*0.000000001</f>
        <v>0</v>
      </c>
      <c r="Q167" s="47">
        <f>IF('Sheet1 select'!$B$17=0,0,(0.00000006*0.7+0.00000003*(0.7+F167*1.1*'Sheet1 select'!$B$26))*F167*$B$8*1000)</f>
        <v>0</v>
      </c>
      <c r="R167" s="45">
        <f t="shared" ca="1" si="17"/>
        <v>0.16803412014634508</v>
      </c>
      <c r="S167" s="48">
        <f t="shared" ca="1" si="18"/>
        <v>0.92943797064967371</v>
      </c>
      <c r="T167" s="49">
        <f ca="1">H167+K167+O167+N167+'Sheet1 select'!$B$40*I167+J167+P167</f>
        <v>2.551785834461567E-2</v>
      </c>
      <c r="U167" s="169">
        <f t="shared" ca="1" si="19"/>
        <v>1.351785834461567E-2</v>
      </c>
      <c r="V167" s="47">
        <f t="shared" ca="1" si="20"/>
        <v>0</v>
      </c>
    </row>
    <row r="168" spans="5:22">
      <c r="E168" s="32">
        <v>167</v>
      </c>
      <c r="F168" s="45">
        <f t="shared" si="14"/>
        <v>0.4453333333333333</v>
      </c>
      <c r="G168" s="45">
        <f t="shared" si="15"/>
        <v>3.9664355555555551E-2</v>
      </c>
      <c r="H168" s="45">
        <f ca="1">F168*F168*('Sheet1 select'!$B$25)*$B$3</f>
        <v>4.5106419073813837E-3</v>
      </c>
      <c r="I168" s="45">
        <f>F168*(1-$B$3)*'Sheet1 select'!$B$41</f>
        <v>0.10391111111111109</v>
      </c>
      <c r="J168" s="45">
        <f ca="1">F168*F168*('Sheet1 select'!$B$26)*(1-$B$3)</f>
        <v>0</v>
      </c>
      <c r="K168" s="45">
        <f>0.0000005*$B$10*F168*$B$8*((('Sheet1 select'!$B$33+0.5*'Sheet1 select'!$B$32)/(('Sheet1 select'!$B$10-'Sheet1 select'!$B$23)/('Sheet1 select'!$B$27+'Sheet1 select'!$B$8)))+(('Sheet1 select'!$B$33+0.5*'Sheet1 select'!$B$32)/(('Sheet1 select'!$B$23)/('Sheet1 select'!$B$27+'Sheet1 select'!$B$9))))</f>
        <v>6.0975868614524566E-3</v>
      </c>
      <c r="L168" s="45">
        <f>(F168*$B$28)*(('Sheet1 select'!$B$12+'Sheet1 select'!$B$13)*(0.000000001))*$B$8*1000</f>
        <v>0</v>
      </c>
      <c r="M168" s="45">
        <f t="shared" si="16"/>
        <v>3.6617357284970928E-5</v>
      </c>
      <c r="N168" s="46">
        <f>$B$10*'Sheet1 select'!$B$29*0.001</f>
        <v>1.2E-2</v>
      </c>
      <c r="O168" s="44">
        <f>'Sheet1 select'!$B$10*'Sheet1 select'!$B$31*$B$8*1000*0.000000001</f>
        <v>3.0000000000000001E-3</v>
      </c>
      <c r="P168" s="44">
        <f>'Sheet1 select'!$B$35*$B$10*$B$8*1000*0.000000001</f>
        <v>0</v>
      </c>
      <c r="Q168" s="47">
        <f>IF('Sheet1 select'!$B$17=0,0,(0.00000006*0.7+0.00000003*(0.7+F168*1.1*'Sheet1 select'!$B$26))*F168*$B$8*1000)</f>
        <v>0</v>
      </c>
      <c r="R168" s="45">
        <f t="shared" ca="1" si="17"/>
        <v>0.16922031279278546</v>
      </c>
      <c r="S168" s="48">
        <f t="shared" ca="1" si="18"/>
        <v>0.92937049441665887</v>
      </c>
      <c r="T168" s="49">
        <f ca="1">H168+K168+O168+N168+'Sheet1 select'!$B$40*I168+J168+P168</f>
        <v>2.5608228768833841E-2</v>
      </c>
      <c r="U168" s="169">
        <f t="shared" ca="1" si="19"/>
        <v>1.360822876883384E-2</v>
      </c>
      <c r="V168" s="47">
        <f t="shared" ca="1" si="20"/>
        <v>0</v>
      </c>
    </row>
    <row r="169" spans="5:22">
      <c r="E169" s="32">
        <v>168</v>
      </c>
      <c r="F169" s="45">
        <f t="shared" si="14"/>
        <v>0.44800000000000001</v>
      </c>
      <c r="G169" s="45">
        <f t="shared" si="15"/>
        <v>4.0140800000000004E-2</v>
      </c>
      <c r="H169" s="45">
        <f ca="1">F169*F169*('Sheet1 select'!$B$25)*$B$3</f>
        <v>4.5648233064624838E-3</v>
      </c>
      <c r="I169" s="45">
        <f>F169*(1-$B$3)*'Sheet1 select'!$B$41</f>
        <v>0.10453333333333333</v>
      </c>
      <c r="J169" s="45">
        <f ca="1">F169*F169*('Sheet1 select'!$B$26)*(1-$B$3)</f>
        <v>0</v>
      </c>
      <c r="K169" s="45">
        <f>0.0000005*$B$10*F169*$B$8*((('Sheet1 select'!$B$33+0.5*'Sheet1 select'!$B$32)/(('Sheet1 select'!$B$10-'Sheet1 select'!$B$23)/('Sheet1 select'!$B$27+'Sheet1 select'!$B$8)))+(('Sheet1 select'!$B$33+0.5*'Sheet1 select'!$B$32)/(('Sheet1 select'!$B$23)/('Sheet1 select'!$B$27+'Sheet1 select'!$B$9))))</f>
        <v>6.1340993576288177E-3</v>
      </c>
      <c r="L169" s="45">
        <f>(F169*$B$28)*(('Sheet1 select'!$B$12+'Sheet1 select'!$B$13)*(0.000000001))*$B$8*1000</f>
        <v>0</v>
      </c>
      <c r="M169" s="45">
        <f t="shared" si="16"/>
        <v>3.6617357284970928E-5</v>
      </c>
      <c r="N169" s="46">
        <f>$B$10*'Sheet1 select'!$B$29*0.001</f>
        <v>1.2E-2</v>
      </c>
      <c r="O169" s="44">
        <f>'Sheet1 select'!$B$10*'Sheet1 select'!$B$31*$B$8*1000*0.000000001</f>
        <v>3.0000000000000001E-3</v>
      </c>
      <c r="P169" s="44">
        <f>'Sheet1 select'!$B$35*$B$10*$B$8*1000*0.000000001</f>
        <v>0</v>
      </c>
      <c r="Q169" s="47">
        <f>IF('Sheet1 select'!$B$17=0,0,(0.00000006*0.7+0.00000003*(0.7+F169*1.1*'Sheet1 select'!$B$26))*F169*$B$8*1000)</f>
        <v>0</v>
      </c>
      <c r="R169" s="45">
        <f t="shared" ca="1" si="17"/>
        <v>0.17040967335470961</v>
      </c>
      <c r="S169" s="48">
        <f t="shared" ca="1" si="18"/>
        <v>0.92930260974370371</v>
      </c>
      <c r="T169" s="49">
        <f ca="1">H169+K169+O169+N169+'Sheet1 select'!$B$40*I169+J169+P169</f>
        <v>2.5698922664091302E-2</v>
      </c>
      <c r="U169" s="169">
        <f t="shared" ca="1" si="19"/>
        <v>1.3698922664091302E-2</v>
      </c>
      <c r="V169" s="47">
        <f t="shared" ca="1" si="20"/>
        <v>0</v>
      </c>
    </row>
    <row r="170" spans="5:22">
      <c r="E170" s="32">
        <v>169</v>
      </c>
      <c r="F170" s="45">
        <f t="shared" si="14"/>
        <v>0.45066666666666672</v>
      </c>
      <c r="G170" s="45">
        <f t="shared" si="15"/>
        <v>4.0620088888888899E-2</v>
      </c>
      <c r="H170" s="45">
        <f ca="1">F170*F170*('Sheet1 select'!$B$25)*$B$3</f>
        <v>4.6193281765828731E-3</v>
      </c>
      <c r="I170" s="45">
        <f>F170*(1-$B$3)*'Sheet1 select'!$B$41</f>
        <v>0.10515555555555556</v>
      </c>
      <c r="J170" s="45">
        <f ca="1">F170*F170*('Sheet1 select'!$B$26)*(1-$B$3)</f>
        <v>0</v>
      </c>
      <c r="K170" s="45">
        <f>0.0000005*$B$10*F170*$B$8*((('Sheet1 select'!$B$33+0.5*'Sheet1 select'!$B$32)/(('Sheet1 select'!$B$10-'Sheet1 select'!$B$23)/('Sheet1 select'!$B$27+'Sheet1 select'!$B$8)))+(('Sheet1 select'!$B$33+0.5*'Sheet1 select'!$B$32)/(('Sheet1 select'!$B$23)/('Sheet1 select'!$B$27+'Sheet1 select'!$B$9))))</f>
        <v>6.1706118538051805E-3</v>
      </c>
      <c r="L170" s="45">
        <f>(F170*$B$28)*(('Sheet1 select'!$B$12+'Sheet1 select'!$B$13)*(0.000000001))*$B$8*1000</f>
        <v>0</v>
      </c>
      <c r="M170" s="45">
        <f t="shared" si="16"/>
        <v>3.6617357284970928E-5</v>
      </c>
      <c r="N170" s="46">
        <f>$B$10*'Sheet1 select'!$B$29*0.001</f>
        <v>1.2E-2</v>
      </c>
      <c r="O170" s="44">
        <f>'Sheet1 select'!$B$10*'Sheet1 select'!$B$31*$B$8*1000*0.000000001</f>
        <v>3.0000000000000001E-3</v>
      </c>
      <c r="P170" s="44">
        <f>'Sheet1 select'!$B$35*$B$10*$B$8*1000*0.000000001</f>
        <v>0</v>
      </c>
      <c r="Q170" s="47">
        <f>IF('Sheet1 select'!$B$17=0,0,(0.00000006*0.7+0.00000003*(0.7+F170*1.1*'Sheet1 select'!$B$26))*F170*$B$8*1000)</f>
        <v>0</v>
      </c>
      <c r="R170" s="45">
        <f t="shared" ca="1" si="17"/>
        <v>0.1716022018321175</v>
      </c>
      <c r="S170" s="48">
        <f t="shared" ca="1" si="18"/>
        <v>0.92923432423517627</v>
      </c>
      <c r="T170" s="49">
        <f ca="1">H170+K170+O170+N170+'Sheet1 select'!$B$40*I170+J170+P170</f>
        <v>2.5789940030388054E-2</v>
      </c>
      <c r="U170" s="169">
        <f t="shared" ca="1" si="19"/>
        <v>1.3789940030388054E-2</v>
      </c>
      <c r="V170" s="47">
        <f t="shared" ca="1" si="20"/>
        <v>0</v>
      </c>
    </row>
    <row r="171" spans="5:22">
      <c r="E171" s="32">
        <v>170</v>
      </c>
      <c r="F171" s="45">
        <f t="shared" si="14"/>
        <v>0.45333333333333331</v>
      </c>
      <c r="G171" s="45">
        <f t="shared" si="15"/>
        <v>4.1102222222222221E-2</v>
      </c>
      <c r="H171" s="45">
        <f ca="1">F171*F171*('Sheet1 select'!$B$25)*$B$3</f>
        <v>4.6741565177425507E-3</v>
      </c>
      <c r="I171" s="45">
        <f>F171*(1-$B$3)*'Sheet1 select'!$B$41</f>
        <v>0.10577777777777775</v>
      </c>
      <c r="J171" s="45">
        <f ca="1">F171*F171*('Sheet1 select'!$B$26)*(1-$B$3)</f>
        <v>0</v>
      </c>
      <c r="K171" s="45">
        <f>0.0000005*$B$10*F171*$B$8*((('Sheet1 select'!$B$33+0.5*'Sheet1 select'!$B$32)/(('Sheet1 select'!$B$10-'Sheet1 select'!$B$23)/('Sheet1 select'!$B$27+'Sheet1 select'!$B$8)))+(('Sheet1 select'!$B$33+0.5*'Sheet1 select'!$B$32)/(('Sheet1 select'!$B$23)/('Sheet1 select'!$B$27+'Sheet1 select'!$B$9))))</f>
        <v>6.2071243499815425E-3</v>
      </c>
      <c r="L171" s="45">
        <f>(F171*$B$28)*(('Sheet1 select'!$B$12+'Sheet1 select'!$B$13)*(0.000000001))*$B$8*1000</f>
        <v>0</v>
      </c>
      <c r="M171" s="45">
        <f t="shared" si="16"/>
        <v>3.6617357284970928E-5</v>
      </c>
      <c r="N171" s="46">
        <f>$B$10*'Sheet1 select'!$B$29*0.001</f>
        <v>1.2E-2</v>
      </c>
      <c r="O171" s="44">
        <f>'Sheet1 select'!$B$10*'Sheet1 select'!$B$31*$B$8*1000*0.000000001</f>
        <v>3.0000000000000001E-3</v>
      </c>
      <c r="P171" s="44">
        <f>'Sheet1 select'!$B$35*$B$10*$B$8*1000*0.000000001</f>
        <v>0</v>
      </c>
      <c r="Q171" s="47">
        <f>IF('Sheet1 select'!$B$17=0,0,(0.00000006*0.7+0.00000003*(0.7+F171*1.1*'Sheet1 select'!$B$26))*F171*$B$8*1000)</f>
        <v>0</v>
      </c>
      <c r="R171" s="45">
        <f t="shared" ca="1" si="17"/>
        <v>0.17279789822500904</v>
      </c>
      <c r="S171" s="48">
        <f t="shared" ca="1" si="18"/>
        <v>0.92916564531746648</v>
      </c>
      <c r="T171" s="49">
        <f ca="1">H171+K171+O171+N171+'Sheet1 select'!$B$40*I171+J171+P171</f>
        <v>2.5881280867724094E-2</v>
      </c>
      <c r="U171" s="169">
        <f t="shared" ca="1" si="19"/>
        <v>1.3881280867724093E-2</v>
      </c>
      <c r="V171" s="47">
        <f t="shared" ca="1" si="20"/>
        <v>0</v>
      </c>
    </row>
    <row r="172" spans="5:22">
      <c r="E172" s="32">
        <v>171</v>
      </c>
      <c r="F172" s="45">
        <f t="shared" si="14"/>
        <v>0.45600000000000002</v>
      </c>
      <c r="G172" s="45">
        <f t="shared" si="15"/>
        <v>4.1587200000000005E-2</v>
      </c>
      <c r="H172" s="45">
        <f ca="1">F172*F172*('Sheet1 select'!$B$25)*$B$3</f>
        <v>4.7293083299415201E-3</v>
      </c>
      <c r="I172" s="45">
        <f>F172*(1-$B$3)*'Sheet1 select'!$B$41</f>
        <v>0.10639999999999999</v>
      </c>
      <c r="J172" s="45">
        <f ca="1">F172*F172*('Sheet1 select'!$B$26)*(1-$B$3)</f>
        <v>0</v>
      </c>
      <c r="K172" s="45">
        <f>0.0000005*$B$10*F172*$B$8*((('Sheet1 select'!$B$33+0.5*'Sheet1 select'!$B$32)/(('Sheet1 select'!$B$10-'Sheet1 select'!$B$23)/('Sheet1 select'!$B$27+'Sheet1 select'!$B$8)))+(('Sheet1 select'!$B$33+0.5*'Sheet1 select'!$B$32)/(('Sheet1 select'!$B$23)/('Sheet1 select'!$B$27+'Sheet1 select'!$B$9))))</f>
        <v>6.2436368461579054E-3</v>
      </c>
      <c r="L172" s="45">
        <f>(F172*$B$28)*(('Sheet1 select'!$B$12+'Sheet1 select'!$B$13)*(0.000000001))*$B$8*1000</f>
        <v>0</v>
      </c>
      <c r="M172" s="45">
        <f t="shared" si="16"/>
        <v>3.6617357284970928E-5</v>
      </c>
      <c r="N172" s="46">
        <f>$B$10*'Sheet1 select'!$B$29*0.001</f>
        <v>1.2E-2</v>
      </c>
      <c r="O172" s="44">
        <f>'Sheet1 select'!$B$10*'Sheet1 select'!$B$31*$B$8*1000*0.000000001</f>
        <v>3.0000000000000001E-3</v>
      </c>
      <c r="P172" s="44">
        <f>'Sheet1 select'!$B$35*$B$10*$B$8*1000*0.000000001</f>
        <v>0</v>
      </c>
      <c r="Q172" s="47">
        <f>IF('Sheet1 select'!$B$17=0,0,(0.00000006*0.7+0.00000003*(0.7+F172*1.1*'Sheet1 select'!$B$26))*F172*$B$8*1000)</f>
        <v>0</v>
      </c>
      <c r="R172" s="45">
        <f t="shared" ca="1" si="17"/>
        <v>0.17399676253338442</v>
      </c>
      <c r="S172" s="48">
        <f t="shared" ca="1" si="18"/>
        <v>0.92909658024415709</v>
      </c>
      <c r="T172" s="49">
        <f ca="1">H172+K172+O172+N172+'Sheet1 select'!$B$40*I172+J172+P172</f>
        <v>2.5972945176099424E-2</v>
      </c>
      <c r="U172" s="169">
        <f t="shared" ca="1" si="19"/>
        <v>1.3972945176099424E-2</v>
      </c>
      <c r="V172" s="47">
        <f t="shared" ca="1" si="20"/>
        <v>0</v>
      </c>
    </row>
    <row r="173" spans="5:22">
      <c r="E173" s="32">
        <v>172</v>
      </c>
      <c r="F173" s="45">
        <f t="shared" si="14"/>
        <v>0.45866666666666667</v>
      </c>
      <c r="G173" s="45">
        <f t="shared" si="15"/>
        <v>4.2075022222222223E-2</v>
      </c>
      <c r="H173" s="45">
        <f ca="1">F173*F173*('Sheet1 select'!$B$25)*$B$3</f>
        <v>4.7847836131797794E-3</v>
      </c>
      <c r="I173" s="45">
        <f>F173*(1-$B$3)*'Sheet1 select'!$B$41</f>
        <v>0.10702222222222223</v>
      </c>
      <c r="J173" s="45">
        <f ca="1">F173*F173*('Sheet1 select'!$B$26)*(1-$B$3)</f>
        <v>0</v>
      </c>
      <c r="K173" s="45">
        <f>0.0000005*$B$10*F173*$B$8*((('Sheet1 select'!$B$33+0.5*'Sheet1 select'!$B$32)/(('Sheet1 select'!$B$10-'Sheet1 select'!$B$23)/('Sheet1 select'!$B$27+'Sheet1 select'!$B$8)))+(('Sheet1 select'!$B$33+0.5*'Sheet1 select'!$B$32)/(('Sheet1 select'!$B$23)/('Sheet1 select'!$B$27+'Sheet1 select'!$B$9))))</f>
        <v>6.2801493423342673E-3</v>
      </c>
      <c r="L173" s="45">
        <f>(F173*$B$28)*(('Sheet1 select'!$B$12+'Sheet1 select'!$B$13)*(0.000000001))*$B$8*1000</f>
        <v>0</v>
      </c>
      <c r="M173" s="45">
        <f t="shared" si="16"/>
        <v>3.6617357284970928E-5</v>
      </c>
      <c r="N173" s="46">
        <f>$B$10*'Sheet1 select'!$B$29*0.001</f>
        <v>1.2E-2</v>
      </c>
      <c r="O173" s="44">
        <f>'Sheet1 select'!$B$10*'Sheet1 select'!$B$31*$B$8*1000*0.000000001</f>
        <v>3.0000000000000001E-3</v>
      </c>
      <c r="P173" s="44">
        <f>'Sheet1 select'!$B$35*$B$10*$B$8*1000*0.000000001</f>
        <v>0</v>
      </c>
      <c r="Q173" s="47">
        <f>IF('Sheet1 select'!$B$17=0,0,(0.00000006*0.7+0.00000003*(0.7+F173*1.1*'Sheet1 select'!$B$26))*F173*$B$8*1000)</f>
        <v>0</v>
      </c>
      <c r="R173" s="45">
        <f t="shared" ca="1" si="17"/>
        <v>0.17519879475724348</v>
      </c>
      <c r="S173" s="48">
        <f t="shared" ca="1" si="18"/>
        <v>0.92902713610101528</v>
      </c>
      <c r="T173" s="49">
        <f ca="1">H173+K173+O173+N173+'Sheet1 select'!$B$40*I173+J173+P173</f>
        <v>2.6064932955514045E-2</v>
      </c>
      <c r="U173" s="169">
        <f t="shared" ca="1" si="19"/>
        <v>1.4064932955514045E-2</v>
      </c>
      <c r="V173" s="47">
        <f t="shared" ca="1" si="20"/>
        <v>0</v>
      </c>
    </row>
    <row r="174" spans="5:22">
      <c r="E174" s="32">
        <v>173</v>
      </c>
      <c r="F174" s="45">
        <f t="shared" si="14"/>
        <v>0.46133333333333337</v>
      </c>
      <c r="G174" s="45">
        <f t="shared" si="15"/>
        <v>4.2565688888888904E-2</v>
      </c>
      <c r="H174" s="45">
        <f ca="1">F174*F174*('Sheet1 select'!$B$25)*$B$3</f>
        <v>4.8405823674573297E-3</v>
      </c>
      <c r="I174" s="45">
        <f>F174*(1-$B$3)*'Sheet1 select'!$B$41</f>
        <v>0.10764444444444443</v>
      </c>
      <c r="J174" s="45">
        <f ca="1">F174*F174*('Sheet1 select'!$B$26)*(1-$B$3)</f>
        <v>0</v>
      </c>
      <c r="K174" s="45">
        <f>0.0000005*$B$10*F174*$B$8*((('Sheet1 select'!$B$33+0.5*'Sheet1 select'!$B$32)/(('Sheet1 select'!$B$10-'Sheet1 select'!$B$23)/('Sheet1 select'!$B$27+'Sheet1 select'!$B$8)))+(('Sheet1 select'!$B$33+0.5*'Sheet1 select'!$B$32)/(('Sheet1 select'!$B$23)/('Sheet1 select'!$B$27+'Sheet1 select'!$B$9))))</f>
        <v>6.3166618385106302E-3</v>
      </c>
      <c r="L174" s="45">
        <f>(F174*$B$28)*(('Sheet1 select'!$B$12+'Sheet1 select'!$B$13)*(0.000000001))*$B$8*1000</f>
        <v>0</v>
      </c>
      <c r="M174" s="45">
        <f t="shared" si="16"/>
        <v>3.6617357284970928E-5</v>
      </c>
      <c r="N174" s="46">
        <f>$B$10*'Sheet1 select'!$B$29*0.001</f>
        <v>1.2E-2</v>
      </c>
      <c r="O174" s="44">
        <f>'Sheet1 select'!$B$10*'Sheet1 select'!$B$31*$B$8*1000*0.000000001</f>
        <v>3.0000000000000001E-3</v>
      </c>
      <c r="P174" s="44">
        <f>'Sheet1 select'!$B$35*$B$10*$B$8*1000*0.000000001</f>
        <v>0</v>
      </c>
      <c r="Q174" s="47">
        <f>IF('Sheet1 select'!$B$17=0,0,(0.00000006*0.7+0.00000003*(0.7+F174*1.1*'Sheet1 select'!$B$26))*F174*$B$8*1000)</f>
        <v>0</v>
      </c>
      <c r="R174" s="45">
        <f t="shared" ca="1" si="17"/>
        <v>0.17640399489658626</v>
      </c>
      <c r="S174" s="48">
        <f t="shared" ca="1" si="18"/>
        <v>0.92895731981081509</v>
      </c>
      <c r="T174" s="49">
        <f ca="1">H174+K174+O174+N174+'Sheet1 select'!$B$40*I174+J174+P174</f>
        <v>2.6157244205967961E-2</v>
      </c>
      <c r="U174" s="169">
        <f t="shared" ca="1" si="19"/>
        <v>1.4157244205967961E-2</v>
      </c>
      <c r="V174" s="47">
        <f t="shared" ca="1" si="20"/>
        <v>0</v>
      </c>
    </row>
    <row r="175" spans="5:22">
      <c r="E175" s="32">
        <v>174</v>
      </c>
      <c r="F175" s="45">
        <f t="shared" si="14"/>
        <v>0.46400000000000008</v>
      </c>
      <c r="G175" s="45">
        <f t="shared" si="15"/>
        <v>4.3059200000000013E-2</v>
      </c>
      <c r="H175" s="45">
        <f ca="1">F175*F175*('Sheet1 select'!$B$25)*$B$3</f>
        <v>4.89670459277417E-3</v>
      </c>
      <c r="I175" s="45">
        <f>F175*(1-$B$3)*'Sheet1 select'!$B$41</f>
        <v>0.10826666666666668</v>
      </c>
      <c r="J175" s="45">
        <f ca="1">F175*F175*('Sheet1 select'!$B$26)*(1-$B$3)</f>
        <v>0</v>
      </c>
      <c r="K175" s="45">
        <f>0.0000005*$B$10*F175*$B$8*((('Sheet1 select'!$B$33+0.5*'Sheet1 select'!$B$32)/(('Sheet1 select'!$B$10-'Sheet1 select'!$B$23)/('Sheet1 select'!$B$27+'Sheet1 select'!$B$8)))+(('Sheet1 select'!$B$33+0.5*'Sheet1 select'!$B$32)/(('Sheet1 select'!$B$23)/('Sheet1 select'!$B$27+'Sheet1 select'!$B$9))))</f>
        <v>6.3531743346869913E-3</v>
      </c>
      <c r="L175" s="45">
        <f>(F175*$B$28)*(('Sheet1 select'!$B$12+'Sheet1 select'!$B$13)*(0.000000001))*$B$8*1000</f>
        <v>0</v>
      </c>
      <c r="M175" s="45">
        <f t="shared" si="16"/>
        <v>3.6617357284970928E-5</v>
      </c>
      <c r="N175" s="46">
        <f>$B$10*'Sheet1 select'!$B$29*0.001</f>
        <v>1.2E-2</v>
      </c>
      <c r="O175" s="44">
        <f>'Sheet1 select'!$B$10*'Sheet1 select'!$B$31*$B$8*1000*0.000000001</f>
        <v>3.0000000000000001E-3</v>
      </c>
      <c r="P175" s="44">
        <f>'Sheet1 select'!$B$35*$B$10*$B$8*1000*0.000000001</f>
        <v>0</v>
      </c>
      <c r="Q175" s="47">
        <f>IF('Sheet1 select'!$B$17=0,0,(0.00000006*0.7+0.00000003*(0.7+F175*1.1*'Sheet1 select'!$B$26))*F175*$B$8*1000)</f>
        <v>0</v>
      </c>
      <c r="R175" s="45">
        <f t="shared" ca="1" si="17"/>
        <v>0.17761236295141283</v>
      </c>
      <c r="S175" s="48">
        <f t="shared" ca="1" si="18"/>
        <v>0.92888713813798973</v>
      </c>
      <c r="T175" s="49">
        <f ca="1">H175+K175+O175+N175+'Sheet1 select'!$B$40*I175+J175+P175</f>
        <v>2.6249878927461161E-2</v>
      </c>
      <c r="U175" s="169">
        <f t="shared" ca="1" si="19"/>
        <v>1.424987892746116E-2</v>
      </c>
      <c r="V175" s="47">
        <f t="shared" ca="1" si="20"/>
        <v>0</v>
      </c>
    </row>
    <row r="176" spans="5:22">
      <c r="E176" s="32">
        <v>175</v>
      </c>
      <c r="F176" s="45">
        <f t="shared" si="14"/>
        <v>0.46666666666666667</v>
      </c>
      <c r="G176" s="45">
        <f t="shared" si="15"/>
        <v>4.3555555555555556E-2</v>
      </c>
      <c r="H176" s="45">
        <f ca="1">F176*F176*('Sheet1 select'!$B$25)*$B$3</f>
        <v>4.9531502891302986E-3</v>
      </c>
      <c r="I176" s="45">
        <f>F176*(1-$B$3)*'Sheet1 select'!$B$41</f>
        <v>0.10888888888888888</v>
      </c>
      <c r="J176" s="45">
        <f ca="1">F176*F176*('Sheet1 select'!$B$26)*(1-$B$3)</f>
        <v>0</v>
      </c>
      <c r="K176" s="45">
        <f>0.0000005*$B$10*F176*$B$8*((('Sheet1 select'!$B$33+0.5*'Sheet1 select'!$B$32)/(('Sheet1 select'!$B$10-'Sheet1 select'!$B$23)/('Sheet1 select'!$B$27+'Sheet1 select'!$B$8)))+(('Sheet1 select'!$B$33+0.5*'Sheet1 select'!$B$32)/(('Sheet1 select'!$B$23)/('Sheet1 select'!$B$27+'Sheet1 select'!$B$9))))</f>
        <v>6.3896868308633533E-3</v>
      </c>
      <c r="L176" s="45">
        <f>(F176*$B$28)*(('Sheet1 select'!$B$12+'Sheet1 select'!$B$13)*(0.000000001))*$B$8*1000</f>
        <v>0</v>
      </c>
      <c r="M176" s="45">
        <f t="shared" si="16"/>
        <v>3.6617357284970928E-5</v>
      </c>
      <c r="N176" s="46">
        <f>$B$10*'Sheet1 select'!$B$29*0.001</f>
        <v>1.2E-2</v>
      </c>
      <c r="O176" s="44">
        <f>'Sheet1 select'!$B$10*'Sheet1 select'!$B$31*$B$8*1000*0.000000001</f>
        <v>3.0000000000000001E-3</v>
      </c>
      <c r="P176" s="44">
        <f>'Sheet1 select'!$B$35*$B$10*$B$8*1000*0.000000001</f>
        <v>0</v>
      </c>
      <c r="Q176" s="47">
        <f>IF('Sheet1 select'!$B$17=0,0,(0.00000006*0.7+0.00000003*(0.7+F176*1.1*'Sheet1 select'!$B$26))*F176*$B$8*1000)</f>
        <v>0</v>
      </c>
      <c r="R176" s="45">
        <f t="shared" ca="1" si="17"/>
        <v>0.17882389892172307</v>
      </c>
      <c r="S176" s="48">
        <f t="shared" ca="1" si="18"/>
        <v>0.92881659769313063</v>
      </c>
      <c r="T176" s="49">
        <f ca="1">H176+K176+O176+N176+'Sheet1 select'!$B$40*I176+J176+P176</f>
        <v>2.6342837119993651E-2</v>
      </c>
      <c r="U176" s="169">
        <f t="shared" ca="1" si="19"/>
        <v>1.4342837119993651E-2</v>
      </c>
      <c r="V176" s="47">
        <f t="shared" ca="1" si="20"/>
        <v>0</v>
      </c>
    </row>
    <row r="177" spans="5:22">
      <c r="E177" s="32">
        <v>176</v>
      </c>
      <c r="F177" s="45">
        <f t="shared" si="14"/>
        <v>0.46933333333333338</v>
      </c>
      <c r="G177" s="45">
        <f t="shared" si="15"/>
        <v>4.4054755555555568E-2</v>
      </c>
      <c r="H177" s="45">
        <f ca="1">F177*F177*('Sheet1 select'!$B$25)*$B$3</f>
        <v>5.009919456525719E-3</v>
      </c>
      <c r="I177" s="45">
        <f>F177*(1-$B$3)*'Sheet1 select'!$B$41</f>
        <v>0.10951111111111111</v>
      </c>
      <c r="J177" s="45">
        <f ca="1">F177*F177*('Sheet1 select'!$B$26)*(1-$B$3)</f>
        <v>0</v>
      </c>
      <c r="K177" s="45">
        <f>0.0000005*$B$10*F177*$B$8*((('Sheet1 select'!$B$33+0.5*'Sheet1 select'!$B$32)/(('Sheet1 select'!$B$10-'Sheet1 select'!$B$23)/('Sheet1 select'!$B$27+'Sheet1 select'!$B$8)))+(('Sheet1 select'!$B$33+0.5*'Sheet1 select'!$B$32)/(('Sheet1 select'!$B$23)/('Sheet1 select'!$B$27+'Sheet1 select'!$B$9))))</f>
        <v>6.4261993270397152E-3</v>
      </c>
      <c r="L177" s="45">
        <f>(F177*$B$28)*(('Sheet1 select'!$B$12+'Sheet1 select'!$B$13)*(0.000000001))*$B$8*1000</f>
        <v>0</v>
      </c>
      <c r="M177" s="45">
        <f t="shared" si="16"/>
        <v>3.6617357284970928E-5</v>
      </c>
      <c r="N177" s="46">
        <f>$B$10*'Sheet1 select'!$B$29*0.001</f>
        <v>1.2E-2</v>
      </c>
      <c r="O177" s="44">
        <f>'Sheet1 select'!$B$10*'Sheet1 select'!$B$31*$B$8*1000*0.000000001</f>
        <v>3.0000000000000001E-3</v>
      </c>
      <c r="P177" s="44">
        <f>'Sheet1 select'!$B$35*$B$10*$B$8*1000*0.000000001</f>
        <v>0</v>
      </c>
      <c r="Q177" s="47">
        <f>IF('Sheet1 select'!$B$17=0,0,(0.00000006*0.7+0.00000003*(0.7+F177*1.1*'Sheet1 select'!$B$26))*F177*$B$8*1000)</f>
        <v>0</v>
      </c>
      <c r="R177" s="45">
        <f t="shared" ca="1" si="17"/>
        <v>0.1800386028075171</v>
      </c>
      <c r="S177" s="48">
        <f t="shared" ca="1" si="18"/>
        <v>0.92874570493732989</v>
      </c>
      <c r="T177" s="49">
        <f ca="1">H177+K177+O177+N177+'Sheet1 select'!$B$40*I177+J177+P177</f>
        <v>2.6436118783565433E-2</v>
      </c>
      <c r="U177" s="169">
        <f t="shared" ca="1" si="19"/>
        <v>1.4436118783565433E-2</v>
      </c>
      <c r="V177" s="47">
        <f t="shared" ca="1" si="20"/>
        <v>0</v>
      </c>
    </row>
    <row r="178" spans="5:22">
      <c r="E178" s="32">
        <v>177</v>
      </c>
      <c r="F178" s="45">
        <f t="shared" si="14"/>
        <v>0.47199999999999998</v>
      </c>
      <c r="G178" s="45">
        <f t="shared" si="15"/>
        <v>4.4556799999999994E-2</v>
      </c>
      <c r="H178" s="45">
        <f ca="1">F178*F178*('Sheet1 select'!$B$25)*$B$3</f>
        <v>5.0670120949604285E-3</v>
      </c>
      <c r="I178" s="45">
        <f>F178*(1-$B$3)*'Sheet1 select'!$B$41</f>
        <v>0.11013333333333331</v>
      </c>
      <c r="J178" s="45">
        <f ca="1">F178*F178*('Sheet1 select'!$B$26)*(1-$B$3)</f>
        <v>0</v>
      </c>
      <c r="K178" s="45">
        <f>0.0000005*$B$10*F178*$B$8*((('Sheet1 select'!$B$33+0.5*'Sheet1 select'!$B$32)/(('Sheet1 select'!$B$10-'Sheet1 select'!$B$23)/('Sheet1 select'!$B$27+'Sheet1 select'!$B$8)))+(('Sheet1 select'!$B$33+0.5*'Sheet1 select'!$B$32)/(('Sheet1 select'!$B$23)/('Sheet1 select'!$B$27+'Sheet1 select'!$B$9))))</f>
        <v>6.4627118232160764E-3</v>
      </c>
      <c r="L178" s="45">
        <f>(F178*$B$28)*(('Sheet1 select'!$B$12+'Sheet1 select'!$B$13)*(0.000000001))*$B$8*1000</f>
        <v>0</v>
      </c>
      <c r="M178" s="45">
        <f t="shared" si="16"/>
        <v>3.6617357284970928E-5</v>
      </c>
      <c r="N178" s="46">
        <f>$B$10*'Sheet1 select'!$B$29*0.001</f>
        <v>1.2E-2</v>
      </c>
      <c r="O178" s="44">
        <f>'Sheet1 select'!$B$10*'Sheet1 select'!$B$31*$B$8*1000*0.000000001</f>
        <v>3.0000000000000001E-3</v>
      </c>
      <c r="P178" s="44">
        <f>'Sheet1 select'!$B$35*$B$10*$B$8*1000*0.000000001</f>
        <v>0</v>
      </c>
      <c r="Q178" s="47">
        <f>IF('Sheet1 select'!$B$17=0,0,(0.00000006*0.7+0.00000003*(0.7+F178*1.1*'Sheet1 select'!$B$26))*F178*$B$8*1000)</f>
        <v>0</v>
      </c>
      <c r="R178" s="45">
        <f t="shared" ca="1" si="17"/>
        <v>0.18125647460879479</v>
      </c>
      <c r="S178" s="48">
        <f t="shared" ca="1" si="18"/>
        <v>0.92867446618637828</v>
      </c>
      <c r="T178" s="49">
        <f ca="1">H178+K178+O178+N178+'Sheet1 select'!$B$40*I178+J178+P178</f>
        <v>2.6529723918176505E-2</v>
      </c>
      <c r="U178" s="169">
        <f t="shared" ca="1" si="19"/>
        <v>1.4529723918176505E-2</v>
      </c>
      <c r="V178" s="47">
        <f t="shared" ca="1" si="20"/>
        <v>0</v>
      </c>
    </row>
    <row r="179" spans="5:22">
      <c r="E179" s="32">
        <v>178</v>
      </c>
      <c r="F179" s="45">
        <f t="shared" si="14"/>
        <v>0.47466666666666668</v>
      </c>
      <c r="G179" s="45">
        <f t="shared" si="15"/>
        <v>4.5061688888888889E-2</v>
      </c>
      <c r="H179" s="45">
        <f ca="1">F179*F179*('Sheet1 select'!$B$25)*$B$3</f>
        <v>5.124428204434428E-3</v>
      </c>
      <c r="I179" s="45">
        <f>F179*(1-$B$3)*'Sheet1 select'!$B$41</f>
        <v>0.11075555555555555</v>
      </c>
      <c r="J179" s="45">
        <f ca="1">F179*F179*('Sheet1 select'!$B$26)*(1-$B$3)</f>
        <v>0</v>
      </c>
      <c r="K179" s="45">
        <f>0.0000005*$B$10*F179*$B$8*((('Sheet1 select'!$B$33+0.5*'Sheet1 select'!$B$32)/(('Sheet1 select'!$B$10-'Sheet1 select'!$B$23)/('Sheet1 select'!$B$27+'Sheet1 select'!$B$8)))+(('Sheet1 select'!$B$33+0.5*'Sheet1 select'!$B$32)/(('Sheet1 select'!$B$23)/('Sheet1 select'!$B$27+'Sheet1 select'!$B$9))))</f>
        <v>6.4992243193924383E-3</v>
      </c>
      <c r="L179" s="45">
        <f>(F179*$B$28)*(('Sheet1 select'!$B$12+'Sheet1 select'!$B$13)*(0.000000001))*$B$8*1000</f>
        <v>0</v>
      </c>
      <c r="M179" s="45">
        <f t="shared" si="16"/>
        <v>3.6617357284970928E-5</v>
      </c>
      <c r="N179" s="46">
        <f>$B$10*'Sheet1 select'!$B$29*0.001</f>
        <v>1.2E-2</v>
      </c>
      <c r="O179" s="44">
        <f>'Sheet1 select'!$B$10*'Sheet1 select'!$B$31*$B$8*1000*0.000000001</f>
        <v>3.0000000000000001E-3</v>
      </c>
      <c r="P179" s="44">
        <f>'Sheet1 select'!$B$35*$B$10*$B$8*1000*0.000000001</f>
        <v>0</v>
      </c>
      <c r="Q179" s="47">
        <f>IF('Sheet1 select'!$B$17=0,0,(0.00000006*0.7+0.00000003*(0.7+F179*1.1*'Sheet1 select'!$B$26))*F179*$B$8*1000)</f>
        <v>0</v>
      </c>
      <c r="R179" s="45">
        <f t="shared" ca="1" si="17"/>
        <v>0.18247751432555628</v>
      </c>
      <c r="S179" s="48">
        <f t="shared" ca="1" si="18"/>
        <v>0.9286028876148229</v>
      </c>
      <c r="T179" s="49">
        <f ca="1">H179+K179+O179+N179+'Sheet1 select'!$B$40*I179+J179+P179</f>
        <v>2.6623652523826865E-2</v>
      </c>
      <c r="U179" s="169">
        <f t="shared" ca="1" si="19"/>
        <v>1.4623652523826865E-2</v>
      </c>
      <c r="V179" s="47">
        <f t="shared" ca="1" si="20"/>
        <v>0</v>
      </c>
    </row>
    <row r="180" spans="5:22">
      <c r="E180" s="32">
        <v>179</v>
      </c>
      <c r="F180" s="45">
        <f t="shared" si="14"/>
        <v>0.47733333333333339</v>
      </c>
      <c r="G180" s="45">
        <f t="shared" si="15"/>
        <v>4.5569422222222239E-2</v>
      </c>
      <c r="H180" s="45">
        <f ca="1">F180*F180*('Sheet1 select'!$B$25)*$B$3</f>
        <v>5.1821677849477202E-3</v>
      </c>
      <c r="I180" s="45">
        <f>F180*(1-$B$3)*'Sheet1 select'!$B$41</f>
        <v>0.11137777777777778</v>
      </c>
      <c r="J180" s="45">
        <f ca="1">F180*F180*('Sheet1 select'!$B$26)*(1-$B$3)</f>
        <v>0</v>
      </c>
      <c r="K180" s="45">
        <f>0.0000005*$B$10*F180*$B$8*((('Sheet1 select'!$B$33+0.5*'Sheet1 select'!$B$32)/(('Sheet1 select'!$B$10-'Sheet1 select'!$B$23)/('Sheet1 select'!$B$27+'Sheet1 select'!$B$8)))+(('Sheet1 select'!$B$33+0.5*'Sheet1 select'!$B$32)/(('Sheet1 select'!$B$23)/('Sheet1 select'!$B$27+'Sheet1 select'!$B$9))))</f>
        <v>6.5357368155688012E-3</v>
      </c>
      <c r="L180" s="45">
        <f>(F180*$B$28)*(('Sheet1 select'!$B$12+'Sheet1 select'!$B$13)*(0.000000001))*$B$8*1000</f>
        <v>0</v>
      </c>
      <c r="M180" s="45">
        <f t="shared" si="16"/>
        <v>3.6617357284970928E-5</v>
      </c>
      <c r="N180" s="46">
        <f>$B$10*'Sheet1 select'!$B$29*0.001</f>
        <v>1.2E-2</v>
      </c>
      <c r="O180" s="44">
        <f>'Sheet1 select'!$B$10*'Sheet1 select'!$B$31*$B$8*1000*0.000000001</f>
        <v>3.0000000000000001E-3</v>
      </c>
      <c r="P180" s="44">
        <f>'Sheet1 select'!$B$35*$B$10*$B$8*1000*0.000000001</f>
        <v>0</v>
      </c>
      <c r="Q180" s="47">
        <f>IF('Sheet1 select'!$B$17=0,0,(0.00000006*0.7+0.00000003*(0.7+F180*1.1*'Sheet1 select'!$B$26))*F180*$B$8*1000)</f>
        <v>0</v>
      </c>
      <c r="R180" s="45">
        <f t="shared" ca="1" si="17"/>
        <v>0.18370172195780152</v>
      </c>
      <c r="S180" s="48">
        <f t="shared" ca="1" si="18"/>
        <v>0.92853097525988892</v>
      </c>
      <c r="T180" s="49">
        <f ca="1">H180+K180+O180+N180+'Sheet1 select'!$B$40*I180+J180+P180</f>
        <v>2.6717904600516523E-2</v>
      </c>
      <c r="U180" s="169">
        <f t="shared" ca="1" si="19"/>
        <v>1.4717904600516522E-2</v>
      </c>
      <c r="V180" s="47">
        <f t="shared" ca="1" si="20"/>
        <v>0</v>
      </c>
    </row>
    <row r="181" spans="5:22">
      <c r="E181" s="32">
        <v>180</v>
      </c>
      <c r="F181" s="45">
        <f t="shared" si="14"/>
        <v>0.48</v>
      </c>
      <c r="G181" s="45">
        <f t="shared" si="15"/>
        <v>4.6079999999999996E-2</v>
      </c>
      <c r="H181" s="45">
        <f ca="1">F181*F181*('Sheet1 select'!$B$25)*$B$3</f>
        <v>5.240230836500299E-3</v>
      </c>
      <c r="I181" s="45">
        <f>F181*(1-$B$3)*'Sheet1 select'!$B$41</f>
        <v>0.11199999999999999</v>
      </c>
      <c r="J181" s="45">
        <f ca="1">F181*F181*('Sheet1 select'!$B$26)*(1-$B$3)</f>
        <v>0</v>
      </c>
      <c r="K181" s="45">
        <f>0.0000005*$B$10*F181*$B$8*((('Sheet1 select'!$B$33+0.5*'Sheet1 select'!$B$32)/(('Sheet1 select'!$B$10-'Sheet1 select'!$B$23)/('Sheet1 select'!$B$27+'Sheet1 select'!$B$8)))+(('Sheet1 select'!$B$33+0.5*'Sheet1 select'!$B$32)/(('Sheet1 select'!$B$23)/('Sheet1 select'!$B$27+'Sheet1 select'!$B$9))))</f>
        <v>6.5722493117451632E-3</v>
      </c>
      <c r="L181" s="45">
        <f>(F181*$B$28)*(('Sheet1 select'!$B$12+'Sheet1 select'!$B$13)*(0.000000001))*$B$8*1000</f>
        <v>0</v>
      </c>
      <c r="M181" s="45">
        <f t="shared" si="16"/>
        <v>3.6617357284970928E-5</v>
      </c>
      <c r="N181" s="46">
        <f>$B$10*'Sheet1 select'!$B$29*0.001</f>
        <v>1.2E-2</v>
      </c>
      <c r="O181" s="44">
        <f>'Sheet1 select'!$B$10*'Sheet1 select'!$B$31*$B$8*1000*0.000000001</f>
        <v>3.0000000000000001E-3</v>
      </c>
      <c r="P181" s="44">
        <f>'Sheet1 select'!$B$35*$B$10*$B$8*1000*0.000000001</f>
        <v>0</v>
      </c>
      <c r="Q181" s="47">
        <f>IF('Sheet1 select'!$B$17=0,0,(0.00000006*0.7+0.00000003*(0.7+F181*1.1*'Sheet1 select'!$B$26))*F181*$B$8*1000)</f>
        <v>0</v>
      </c>
      <c r="R181" s="45">
        <f t="shared" ca="1" si="17"/>
        <v>0.18492909750553041</v>
      </c>
      <c r="S181" s="48">
        <f t="shared" ca="1" si="18"/>
        <v>0.92845873502527099</v>
      </c>
      <c r="T181" s="49">
        <f ca="1">H181+K181+O181+N181+'Sheet1 select'!$B$40*I181+J181+P181</f>
        <v>2.6812480148245461E-2</v>
      </c>
      <c r="U181" s="169">
        <f t="shared" ca="1" si="19"/>
        <v>1.481248014824546E-2</v>
      </c>
      <c r="V181" s="47">
        <f t="shared" ca="1" si="20"/>
        <v>0</v>
      </c>
    </row>
    <row r="182" spans="5:22">
      <c r="E182" s="32">
        <v>181</v>
      </c>
      <c r="F182" s="45">
        <f t="shared" si="14"/>
        <v>0.48266666666666669</v>
      </c>
      <c r="G182" s="45">
        <f t="shared" si="15"/>
        <v>4.6593422222222222E-2</v>
      </c>
      <c r="H182" s="45">
        <f ca="1">F182*F182*('Sheet1 select'!$B$25)*$B$3</f>
        <v>5.2986173590921703E-3</v>
      </c>
      <c r="I182" s="45">
        <f>F182*(1-$B$3)*'Sheet1 select'!$B$41</f>
        <v>0.11262222222222223</v>
      </c>
      <c r="J182" s="45">
        <f ca="1">F182*F182*('Sheet1 select'!$B$26)*(1-$B$3)</f>
        <v>0</v>
      </c>
      <c r="K182" s="45">
        <f>0.0000005*$B$10*F182*$B$8*((('Sheet1 select'!$B$33+0.5*'Sheet1 select'!$B$32)/(('Sheet1 select'!$B$10-'Sheet1 select'!$B$23)/('Sheet1 select'!$B$27+'Sheet1 select'!$B$8)))+(('Sheet1 select'!$B$33+0.5*'Sheet1 select'!$B$32)/(('Sheet1 select'!$B$23)/('Sheet1 select'!$B$27+'Sheet1 select'!$B$9))))</f>
        <v>6.608761807921526E-3</v>
      </c>
      <c r="L182" s="45">
        <f>(F182*$B$28)*(('Sheet1 select'!$B$12+'Sheet1 select'!$B$13)*(0.000000001))*$B$8*1000</f>
        <v>0</v>
      </c>
      <c r="M182" s="45">
        <f t="shared" si="16"/>
        <v>3.6617357284970928E-5</v>
      </c>
      <c r="N182" s="46">
        <f>$B$10*'Sheet1 select'!$B$29*0.001</f>
        <v>1.2E-2</v>
      </c>
      <c r="O182" s="44">
        <f>'Sheet1 select'!$B$10*'Sheet1 select'!$B$31*$B$8*1000*0.000000001</f>
        <v>3.0000000000000001E-3</v>
      </c>
      <c r="P182" s="44">
        <f>'Sheet1 select'!$B$35*$B$10*$B$8*1000*0.000000001</f>
        <v>0</v>
      </c>
      <c r="Q182" s="47">
        <f>IF('Sheet1 select'!$B$17=0,0,(0.00000006*0.7+0.00000003*(0.7+F182*1.1*'Sheet1 select'!$B$26))*F182*$B$8*1000)</f>
        <v>0</v>
      </c>
      <c r="R182" s="45">
        <f t="shared" ca="1" si="17"/>
        <v>0.18615964096874313</v>
      </c>
      <c r="S182" s="48">
        <f t="shared" ca="1" si="18"/>
        <v>0.92838617268480061</v>
      </c>
      <c r="T182" s="49">
        <f ca="1">H182+K182+O182+N182+'Sheet1 select'!$B$40*I182+J182+P182</f>
        <v>2.6907379167013697E-2</v>
      </c>
      <c r="U182" s="169">
        <f t="shared" ca="1" si="19"/>
        <v>1.4907379167013696E-2</v>
      </c>
      <c r="V182" s="47">
        <f t="shared" ca="1" si="20"/>
        <v>0</v>
      </c>
    </row>
    <row r="183" spans="5:22">
      <c r="E183" s="32">
        <v>182</v>
      </c>
      <c r="F183" s="45">
        <f t="shared" si="14"/>
        <v>0.48533333333333334</v>
      </c>
      <c r="G183" s="45">
        <f t="shared" si="15"/>
        <v>4.710968888888889E-2</v>
      </c>
      <c r="H183" s="45">
        <f ca="1">F183*F183*('Sheet1 select'!$B$25)*$B$3</f>
        <v>5.3573273527233308E-3</v>
      </c>
      <c r="I183" s="45">
        <f>F183*(1-$B$3)*'Sheet1 select'!$B$41</f>
        <v>0.11324444444444444</v>
      </c>
      <c r="J183" s="45">
        <f ca="1">F183*F183*('Sheet1 select'!$B$26)*(1-$B$3)</f>
        <v>0</v>
      </c>
      <c r="K183" s="45">
        <f>0.0000005*$B$10*F183*$B$8*((('Sheet1 select'!$B$33+0.5*'Sheet1 select'!$B$32)/(('Sheet1 select'!$B$10-'Sheet1 select'!$B$23)/('Sheet1 select'!$B$27+'Sheet1 select'!$B$8)))+(('Sheet1 select'!$B$33+0.5*'Sheet1 select'!$B$32)/(('Sheet1 select'!$B$23)/('Sheet1 select'!$B$27+'Sheet1 select'!$B$9))))</f>
        <v>6.6452743040978871E-3</v>
      </c>
      <c r="L183" s="45">
        <f>(F183*$B$28)*(('Sheet1 select'!$B$12+'Sheet1 select'!$B$13)*(0.000000001))*$B$8*1000</f>
        <v>0</v>
      </c>
      <c r="M183" s="45">
        <f t="shared" si="16"/>
        <v>3.6617357284970928E-5</v>
      </c>
      <c r="N183" s="46">
        <f>$B$10*'Sheet1 select'!$B$29*0.001</f>
        <v>1.2E-2</v>
      </c>
      <c r="O183" s="44">
        <f>'Sheet1 select'!$B$10*'Sheet1 select'!$B$31*$B$8*1000*0.000000001</f>
        <v>3.0000000000000001E-3</v>
      </c>
      <c r="P183" s="44">
        <f>'Sheet1 select'!$B$35*$B$10*$B$8*1000*0.000000001</f>
        <v>0</v>
      </c>
      <c r="Q183" s="47">
        <f>IF('Sheet1 select'!$B$17=0,0,(0.00000006*0.7+0.00000003*(0.7+F183*1.1*'Sheet1 select'!$B$26))*F183*$B$8*1000)</f>
        <v>0</v>
      </c>
      <c r="R183" s="45">
        <f t="shared" ca="1" si="17"/>
        <v>0.18739335234743953</v>
      </c>
      <c r="S183" s="48">
        <f t="shared" ca="1" si="18"/>
        <v>0.92831329388599315</v>
      </c>
      <c r="T183" s="49">
        <f ca="1">H183+K183+O183+N183+'Sheet1 select'!$B$40*I183+J183+P183</f>
        <v>2.7002601656821217E-2</v>
      </c>
      <c r="U183" s="169">
        <f t="shared" ca="1" si="19"/>
        <v>1.5002601656821216E-2</v>
      </c>
      <c r="V183" s="47">
        <f t="shared" ca="1" si="20"/>
        <v>0</v>
      </c>
    </row>
    <row r="184" spans="5:22">
      <c r="E184" s="32">
        <v>183</v>
      </c>
      <c r="F184" s="45">
        <f t="shared" si="14"/>
        <v>0.48800000000000004</v>
      </c>
      <c r="G184" s="45">
        <f t="shared" si="15"/>
        <v>4.7628800000000013E-2</v>
      </c>
      <c r="H184" s="45">
        <f ca="1">F184*F184*('Sheet1 select'!$B$25)*$B$3</f>
        <v>5.4163608173937823E-3</v>
      </c>
      <c r="I184" s="45">
        <f>F184*(1-$B$3)*'Sheet1 select'!$B$41</f>
        <v>0.11386666666666667</v>
      </c>
      <c r="J184" s="45">
        <f ca="1">F184*F184*('Sheet1 select'!$B$26)*(1-$B$3)</f>
        <v>0</v>
      </c>
      <c r="K184" s="45">
        <f>0.0000005*$B$10*F184*$B$8*((('Sheet1 select'!$B$33+0.5*'Sheet1 select'!$B$32)/(('Sheet1 select'!$B$10-'Sheet1 select'!$B$23)/('Sheet1 select'!$B$27+'Sheet1 select'!$B$8)))+(('Sheet1 select'!$B$33+0.5*'Sheet1 select'!$B$32)/(('Sheet1 select'!$B$23)/('Sheet1 select'!$B$27+'Sheet1 select'!$B$9))))</f>
        <v>6.6817868002742491E-3</v>
      </c>
      <c r="L184" s="45">
        <f>(F184*$B$28)*(('Sheet1 select'!$B$12+'Sheet1 select'!$B$13)*(0.000000001))*$B$8*1000</f>
        <v>0</v>
      </c>
      <c r="M184" s="45">
        <f t="shared" si="16"/>
        <v>3.6617357284970928E-5</v>
      </c>
      <c r="N184" s="46">
        <f>$B$10*'Sheet1 select'!$B$29*0.001</f>
        <v>1.2E-2</v>
      </c>
      <c r="O184" s="44">
        <f>'Sheet1 select'!$B$10*'Sheet1 select'!$B$31*$B$8*1000*0.000000001</f>
        <v>3.0000000000000001E-3</v>
      </c>
      <c r="P184" s="44">
        <f>'Sheet1 select'!$B$35*$B$10*$B$8*1000*0.000000001</f>
        <v>0</v>
      </c>
      <c r="Q184" s="47">
        <f>IF('Sheet1 select'!$B$17=0,0,(0.00000006*0.7+0.00000003*(0.7+F184*1.1*'Sheet1 select'!$B$26))*F184*$B$8*1000)</f>
        <v>0</v>
      </c>
      <c r="R184" s="45">
        <f t="shared" ca="1" si="17"/>
        <v>0.18863023164161971</v>
      </c>
      <c r="S184" s="48">
        <f t="shared" ca="1" si="18"/>
        <v>0.9282401041534788</v>
      </c>
      <c r="T184" s="49">
        <f ca="1">H184+K184+O184+N184+'Sheet1 select'!$B$40*I184+J184+P184</f>
        <v>2.7098147617668031E-2</v>
      </c>
      <c r="U184" s="169">
        <f t="shared" ca="1" si="19"/>
        <v>1.5098147617668031E-2</v>
      </c>
      <c r="V184" s="47">
        <f t="shared" ca="1" si="20"/>
        <v>0</v>
      </c>
    </row>
    <row r="185" spans="5:22">
      <c r="E185" s="32">
        <v>184</v>
      </c>
      <c r="F185" s="45">
        <f t="shared" si="14"/>
        <v>0.49066666666666675</v>
      </c>
      <c r="G185" s="45">
        <f t="shared" si="15"/>
        <v>4.8150755555555577E-2</v>
      </c>
      <c r="H185" s="45">
        <f ca="1">F185*F185*('Sheet1 select'!$B$25)*$B$3</f>
        <v>5.4757177531035246E-3</v>
      </c>
      <c r="I185" s="45">
        <f>F185*(1-$B$3)*'Sheet1 select'!$B$41</f>
        <v>0.11448888888888889</v>
      </c>
      <c r="J185" s="45">
        <f ca="1">F185*F185*('Sheet1 select'!$B$26)*(1-$B$3)</f>
        <v>0</v>
      </c>
      <c r="K185" s="45">
        <f>0.0000005*$B$10*F185*$B$8*((('Sheet1 select'!$B$33+0.5*'Sheet1 select'!$B$32)/(('Sheet1 select'!$B$10-'Sheet1 select'!$B$23)/('Sheet1 select'!$B$27+'Sheet1 select'!$B$8)))+(('Sheet1 select'!$B$33+0.5*'Sheet1 select'!$B$32)/(('Sheet1 select'!$B$23)/('Sheet1 select'!$B$27+'Sheet1 select'!$B$9))))</f>
        <v>6.7182992964506119E-3</v>
      </c>
      <c r="L185" s="45">
        <f>(F185*$B$28)*(('Sheet1 select'!$B$12+'Sheet1 select'!$B$13)*(0.000000001))*$B$8*1000</f>
        <v>0</v>
      </c>
      <c r="M185" s="45">
        <f t="shared" si="16"/>
        <v>3.6617357284970928E-5</v>
      </c>
      <c r="N185" s="46">
        <f>$B$10*'Sheet1 select'!$B$29*0.001</f>
        <v>1.2E-2</v>
      </c>
      <c r="O185" s="44">
        <f>'Sheet1 select'!$B$10*'Sheet1 select'!$B$31*$B$8*1000*0.000000001</f>
        <v>3.0000000000000001E-3</v>
      </c>
      <c r="P185" s="44">
        <f>'Sheet1 select'!$B$35*$B$10*$B$8*1000*0.000000001</f>
        <v>0</v>
      </c>
      <c r="Q185" s="47">
        <f>IF('Sheet1 select'!$B$17=0,0,(0.00000006*0.7+0.00000003*(0.7+F185*1.1*'Sheet1 select'!$B$26))*F185*$B$8*1000)</f>
        <v>0</v>
      </c>
      <c r="R185" s="45">
        <f t="shared" ca="1" si="17"/>
        <v>0.1898702788512836</v>
      </c>
      <c r="S185" s="48">
        <f t="shared" ca="1" si="18"/>
        <v>0.92816660889232239</v>
      </c>
      <c r="T185" s="49">
        <f ca="1">H185+K185+O185+N185+'Sheet1 select'!$B$40*I185+J185+P185</f>
        <v>2.7194017049554136E-2</v>
      </c>
      <c r="U185" s="169">
        <f t="shared" ca="1" si="19"/>
        <v>1.5194017049554136E-2</v>
      </c>
      <c r="V185" s="47">
        <f t="shared" ca="1" si="20"/>
        <v>0</v>
      </c>
    </row>
    <row r="186" spans="5:22">
      <c r="E186" s="32">
        <v>185</v>
      </c>
      <c r="F186" s="45">
        <f t="shared" si="14"/>
        <v>0.49333333333333335</v>
      </c>
      <c r="G186" s="45">
        <f t="shared" si="15"/>
        <v>4.8675555555555562E-2</v>
      </c>
      <c r="H186" s="45">
        <f ca="1">F186*F186*('Sheet1 select'!$B$25)*$B$3</f>
        <v>5.5353981598525543E-3</v>
      </c>
      <c r="I186" s="45">
        <f>F186*(1-$B$3)*'Sheet1 select'!$B$41</f>
        <v>0.11511111111111111</v>
      </c>
      <c r="J186" s="45">
        <f ca="1">F186*F186*('Sheet1 select'!$B$26)*(1-$B$3)</f>
        <v>0</v>
      </c>
      <c r="K186" s="45">
        <f>0.0000005*$B$10*F186*$B$8*((('Sheet1 select'!$B$33+0.5*'Sheet1 select'!$B$32)/(('Sheet1 select'!$B$10-'Sheet1 select'!$B$23)/('Sheet1 select'!$B$27+'Sheet1 select'!$B$8)))+(('Sheet1 select'!$B$33+0.5*'Sheet1 select'!$B$32)/(('Sheet1 select'!$B$23)/('Sheet1 select'!$B$27+'Sheet1 select'!$B$9))))</f>
        <v>6.7548117926269722E-3</v>
      </c>
      <c r="L186" s="45">
        <f>(F186*$B$28)*(('Sheet1 select'!$B$12+'Sheet1 select'!$B$13)*(0.000000001))*$B$8*1000</f>
        <v>0</v>
      </c>
      <c r="M186" s="45">
        <f t="shared" si="16"/>
        <v>3.6617357284970928E-5</v>
      </c>
      <c r="N186" s="46">
        <f>$B$10*'Sheet1 select'!$B$29*0.001</f>
        <v>1.2E-2</v>
      </c>
      <c r="O186" s="44">
        <f>'Sheet1 select'!$B$10*'Sheet1 select'!$B$31*$B$8*1000*0.000000001</f>
        <v>3.0000000000000001E-3</v>
      </c>
      <c r="P186" s="44">
        <f>'Sheet1 select'!$B$35*$B$10*$B$8*1000*0.000000001</f>
        <v>0</v>
      </c>
      <c r="Q186" s="47">
        <f>IF('Sheet1 select'!$B$17=0,0,(0.00000006*0.7+0.00000003*(0.7+F186*1.1*'Sheet1 select'!$B$26))*F186*$B$8*1000)</f>
        <v>0</v>
      </c>
      <c r="R186" s="45">
        <f t="shared" ca="1" si="17"/>
        <v>0.19111349397643118</v>
      </c>
      <c r="S186" s="48">
        <f t="shared" ca="1" si="18"/>
        <v>0.92809281339123717</v>
      </c>
      <c r="T186" s="49">
        <f ca="1">H186+K186+O186+N186+'Sheet1 select'!$B$40*I186+J186+P186</f>
        <v>2.7290209952479525E-2</v>
      </c>
      <c r="U186" s="169">
        <f t="shared" ca="1" si="19"/>
        <v>1.5290209952479525E-2</v>
      </c>
      <c r="V186" s="47">
        <f t="shared" ca="1" si="20"/>
        <v>0</v>
      </c>
    </row>
    <row r="187" spans="5:22">
      <c r="E187" s="32">
        <v>186</v>
      </c>
      <c r="F187" s="45">
        <f t="shared" si="14"/>
        <v>0.49600000000000005</v>
      </c>
      <c r="G187" s="45">
        <f t="shared" si="15"/>
        <v>4.9203200000000009E-2</v>
      </c>
      <c r="H187" s="45">
        <f ca="1">F187*F187*('Sheet1 select'!$B$25)*$B$3</f>
        <v>5.5954020376408758E-3</v>
      </c>
      <c r="I187" s="45">
        <f>F187*(1-$B$3)*'Sheet1 select'!$B$41</f>
        <v>0.11573333333333334</v>
      </c>
      <c r="J187" s="45">
        <f ca="1">F187*F187*('Sheet1 select'!$B$26)*(1-$B$3)</f>
        <v>0</v>
      </c>
      <c r="K187" s="45">
        <f>0.0000005*$B$10*F187*$B$8*((('Sheet1 select'!$B$33+0.5*'Sheet1 select'!$B$32)/(('Sheet1 select'!$B$10-'Sheet1 select'!$B$23)/('Sheet1 select'!$B$27+'Sheet1 select'!$B$8)))+(('Sheet1 select'!$B$33+0.5*'Sheet1 select'!$B$32)/(('Sheet1 select'!$B$23)/('Sheet1 select'!$B$27+'Sheet1 select'!$B$9))))</f>
        <v>6.791324288803335E-3</v>
      </c>
      <c r="L187" s="45">
        <f>(F187*$B$28)*(('Sheet1 select'!$B$12+'Sheet1 select'!$B$13)*(0.000000001))*$B$8*1000</f>
        <v>0</v>
      </c>
      <c r="M187" s="45">
        <f t="shared" si="16"/>
        <v>3.6617357284970928E-5</v>
      </c>
      <c r="N187" s="46">
        <f>$B$10*'Sheet1 select'!$B$29*0.001</f>
        <v>1.2E-2</v>
      </c>
      <c r="O187" s="44">
        <f>'Sheet1 select'!$B$10*'Sheet1 select'!$B$31*$B$8*1000*0.000000001</f>
        <v>3.0000000000000001E-3</v>
      </c>
      <c r="P187" s="44">
        <f>'Sheet1 select'!$B$35*$B$10*$B$8*1000*0.000000001</f>
        <v>0</v>
      </c>
      <c r="Q187" s="47">
        <f>IF('Sheet1 select'!$B$17=0,0,(0.00000006*0.7+0.00000003*(0.7+F187*1.1*'Sheet1 select'!$B$26))*F187*$B$8*1000)</f>
        <v>0</v>
      </c>
      <c r="R187" s="45">
        <f t="shared" ca="1" si="17"/>
        <v>0.19235987701706253</v>
      </c>
      <c r="S187" s="48">
        <f t="shared" ca="1" si="18"/>
        <v>0.92801872282569275</v>
      </c>
      <c r="T187" s="49">
        <f ca="1">H187+K187+O187+N187+'Sheet1 select'!$B$40*I187+J187+P187</f>
        <v>2.7386726326444212E-2</v>
      </c>
      <c r="U187" s="169">
        <f t="shared" ca="1" si="19"/>
        <v>1.5386726326444212E-2</v>
      </c>
      <c r="V187" s="47">
        <f t="shared" ca="1" si="20"/>
        <v>0</v>
      </c>
    </row>
    <row r="188" spans="5:22">
      <c r="E188" s="32">
        <v>187</v>
      </c>
      <c r="F188" s="45">
        <f t="shared" si="14"/>
        <v>0.49866666666666665</v>
      </c>
      <c r="G188" s="45">
        <f t="shared" si="15"/>
        <v>4.9733688888888884E-2</v>
      </c>
      <c r="H188" s="45">
        <f ca="1">F188*F188*('Sheet1 select'!$B$25)*$B$3</f>
        <v>5.6557293864684857E-3</v>
      </c>
      <c r="I188" s="45">
        <f>F188*(1-$B$3)*'Sheet1 select'!$B$41</f>
        <v>0.11635555555555555</v>
      </c>
      <c r="J188" s="45">
        <f ca="1">F188*F188*('Sheet1 select'!$B$26)*(1-$B$3)</f>
        <v>0</v>
      </c>
      <c r="K188" s="45">
        <f>0.0000005*$B$10*F188*$B$8*((('Sheet1 select'!$B$33+0.5*'Sheet1 select'!$B$32)/(('Sheet1 select'!$B$10-'Sheet1 select'!$B$23)/('Sheet1 select'!$B$27+'Sheet1 select'!$B$8)))+(('Sheet1 select'!$B$33+0.5*'Sheet1 select'!$B$32)/(('Sheet1 select'!$B$23)/('Sheet1 select'!$B$27+'Sheet1 select'!$B$9))))</f>
        <v>6.827836784979697E-3</v>
      </c>
      <c r="L188" s="45">
        <f>(F188*$B$28)*(('Sheet1 select'!$B$12+'Sheet1 select'!$B$13)*(0.000000001))*$B$8*1000</f>
        <v>0</v>
      </c>
      <c r="M188" s="45">
        <f t="shared" si="16"/>
        <v>3.6617357284970928E-5</v>
      </c>
      <c r="N188" s="46">
        <f>$B$10*'Sheet1 select'!$B$29*0.001</f>
        <v>1.2E-2</v>
      </c>
      <c r="O188" s="44">
        <f>'Sheet1 select'!$B$10*'Sheet1 select'!$B$31*$B$8*1000*0.000000001</f>
        <v>3.0000000000000001E-3</v>
      </c>
      <c r="P188" s="44">
        <f>'Sheet1 select'!$B$35*$B$10*$B$8*1000*0.000000001</f>
        <v>0</v>
      </c>
      <c r="Q188" s="47">
        <f>IF('Sheet1 select'!$B$17=0,0,(0.00000006*0.7+0.00000003*(0.7+F188*1.1*'Sheet1 select'!$B$26))*F188*$B$8*1000)</f>
        <v>0</v>
      </c>
      <c r="R188" s="45">
        <f t="shared" ca="1" si="17"/>
        <v>0.19360942797317759</v>
      </c>
      <c r="S188" s="48">
        <f t="shared" ca="1" si="18"/>
        <v>0.92794434226092848</v>
      </c>
      <c r="T188" s="49">
        <f ca="1">H188+K188+O188+N188+'Sheet1 select'!$B$40*I188+J188+P188</f>
        <v>2.7483566171448183E-2</v>
      </c>
      <c r="U188" s="169">
        <f t="shared" ca="1" si="19"/>
        <v>1.5483566171448183E-2</v>
      </c>
      <c r="V188" s="47">
        <f t="shared" ca="1" si="20"/>
        <v>0</v>
      </c>
    </row>
    <row r="189" spans="5:22">
      <c r="E189" s="32">
        <v>188</v>
      </c>
      <c r="F189" s="45">
        <f t="shared" si="14"/>
        <v>0.5013333333333333</v>
      </c>
      <c r="G189" s="45">
        <f t="shared" si="15"/>
        <v>5.0267022222222207E-2</v>
      </c>
      <c r="H189" s="45">
        <f ca="1">F189*F189*('Sheet1 select'!$B$25)*$B$3</f>
        <v>5.7163802063353872E-3</v>
      </c>
      <c r="I189" s="45">
        <f>F189*(1-$B$3)*'Sheet1 select'!$B$41</f>
        <v>0.11697777777777776</v>
      </c>
      <c r="J189" s="45">
        <f ca="1">F189*F189*('Sheet1 select'!$B$26)*(1-$B$3)</f>
        <v>0</v>
      </c>
      <c r="K189" s="45">
        <f>0.0000005*$B$10*F189*$B$8*((('Sheet1 select'!$B$33+0.5*'Sheet1 select'!$B$32)/(('Sheet1 select'!$B$10-'Sheet1 select'!$B$23)/('Sheet1 select'!$B$27+'Sheet1 select'!$B$8)))+(('Sheet1 select'!$B$33+0.5*'Sheet1 select'!$B$32)/(('Sheet1 select'!$B$23)/('Sheet1 select'!$B$27+'Sheet1 select'!$B$9))))</f>
        <v>6.864349281156059E-3</v>
      </c>
      <c r="L189" s="45">
        <f>(F189*$B$28)*(('Sheet1 select'!$B$12+'Sheet1 select'!$B$13)*(0.000000001))*$B$8*1000</f>
        <v>0</v>
      </c>
      <c r="M189" s="45">
        <f t="shared" si="16"/>
        <v>3.6617357284970928E-5</v>
      </c>
      <c r="N189" s="46">
        <f>$B$10*'Sheet1 select'!$B$29*0.001</f>
        <v>1.2E-2</v>
      </c>
      <c r="O189" s="44">
        <f>'Sheet1 select'!$B$10*'Sheet1 select'!$B$31*$B$8*1000*0.000000001</f>
        <v>3.0000000000000001E-3</v>
      </c>
      <c r="P189" s="44">
        <f>'Sheet1 select'!$B$35*$B$10*$B$8*1000*0.000000001</f>
        <v>0</v>
      </c>
      <c r="Q189" s="47">
        <f>IF('Sheet1 select'!$B$17=0,0,(0.00000006*0.7+0.00000003*(0.7+F189*1.1*'Sheet1 select'!$B$26))*F189*$B$8*1000)</f>
        <v>0</v>
      </c>
      <c r="R189" s="45">
        <f t="shared" ca="1" si="17"/>
        <v>0.1948621468447764</v>
      </c>
      <c r="S189" s="48">
        <f t="shared" ca="1" si="18"/>
        <v>0.92786967665486608</v>
      </c>
      <c r="T189" s="49">
        <f ca="1">H189+K189+O189+N189+'Sheet1 select'!$B$40*I189+J189+P189</f>
        <v>2.7580729487491445E-2</v>
      </c>
      <c r="U189" s="169">
        <f t="shared" ca="1" si="19"/>
        <v>1.5580729487491445E-2</v>
      </c>
      <c r="V189" s="47">
        <f t="shared" ca="1" si="20"/>
        <v>0</v>
      </c>
    </row>
    <row r="190" spans="5:22">
      <c r="E190" s="32">
        <v>189</v>
      </c>
      <c r="F190" s="45">
        <f t="shared" si="14"/>
        <v>0.504</v>
      </c>
      <c r="G190" s="45">
        <f t="shared" si="15"/>
        <v>5.0803200000000007E-2</v>
      </c>
      <c r="H190" s="45">
        <f ca="1">F190*F190*('Sheet1 select'!$B$25)*$B$3</f>
        <v>5.7773544972415805E-3</v>
      </c>
      <c r="I190" s="45">
        <f>F190*(1-$B$3)*'Sheet1 select'!$B$41</f>
        <v>0.1176</v>
      </c>
      <c r="J190" s="45">
        <f ca="1">F190*F190*('Sheet1 select'!$B$26)*(1-$B$3)</f>
        <v>0</v>
      </c>
      <c r="K190" s="45">
        <f>0.0000005*$B$10*F190*$B$8*((('Sheet1 select'!$B$33+0.5*'Sheet1 select'!$B$32)/(('Sheet1 select'!$B$10-'Sheet1 select'!$B$23)/('Sheet1 select'!$B$27+'Sheet1 select'!$B$8)))+(('Sheet1 select'!$B$33+0.5*'Sheet1 select'!$B$32)/(('Sheet1 select'!$B$23)/('Sheet1 select'!$B$27+'Sheet1 select'!$B$9))))</f>
        <v>6.9008617773324218E-3</v>
      </c>
      <c r="L190" s="45">
        <f>(F190*$B$28)*(('Sheet1 select'!$B$12+'Sheet1 select'!$B$13)*(0.000000001))*$B$8*1000</f>
        <v>0</v>
      </c>
      <c r="M190" s="45">
        <f t="shared" si="16"/>
        <v>3.6617357284970928E-5</v>
      </c>
      <c r="N190" s="46">
        <f>$B$10*'Sheet1 select'!$B$29*0.001</f>
        <v>1.2E-2</v>
      </c>
      <c r="O190" s="44">
        <f>'Sheet1 select'!$B$10*'Sheet1 select'!$B$31*$B$8*1000*0.000000001</f>
        <v>3.0000000000000001E-3</v>
      </c>
      <c r="P190" s="44">
        <f>'Sheet1 select'!$B$35*$B$10*$B$8*1000*0.000000001</f>
        <v>0</v>
      </c>
      <c r="Q190" s="47">
        <f>IF('Sheet1 select'!$B$17=0,0,(0.00000006*0.7+0.00000003*(0.7+F190*1.1*'Sheet1 select'!$B$26))*F190*$B$8*1000)</f>
        <v>0</v>
      </c>
      <c r="R190" s="45">
        <f t="shared" ca="1" si="17"/>
        <v>0.19611803363185898</v>
      </c>
      <c r="S190" s="48">
        <f t="shared" ca="1" si="18"/>
        <v>0.92779473086093411</v>
      </c>
      <c r="T190" s="49">
        <f ca="1">H190+K190+O190+N190+'Sheet1 select'!$B$40*I190+J190+P190</f>
        <v>2.7678216274574001E-2</v>
      </c>
      <c r="U190" s="169">
        <f t="shared" ca="1" si="19"/>
        <v>1.5678216274574001E-2</v>
      </c>
      <c r="V190" s="47">
        <f t="shared" ca="1" si="20"/>
        <v>0</v>
      </c>
    </row>
    <row r="191" spans="5:22">
      <c r="E191" s="32">
        <v>190</v>
      </c>
      <c r="F191" s="45">
        <f t="shared" si="14"/>
        <v>0.50666666666666671</v>
      </c>
      <c r="G191" s="45">
        <f t="shared" si="15"/>
        <v>5.1342222222222234E-2</v>
      </c>
      <c r="H191" s="45">
        <f ca="1">F191*F191*('Sheet1 select'!$B$25)*$B$3</f>
        <v>5.838652259187063E-3</v>
      </c>
      <c r="I191" s="45">
        <f>F191*(1-$B$3)*'Sheet1 select'!$B$41</f>
        <v>0.11822222222222221</v>
      </c>
      <c r="J191" s="45">
        <f ca="1">F191*F191*('Sheet1 select'!$B$26)*(1-$B$3)</f>
        <v>0</v>
      </c>
      <c r="K191" s="45">
        <f>0.0000005*$B$10*F191*$B$8*((('Sheet1 select'!$B$33+0.5*'Sheet1 select'!$B$32)/(('Sheet1 select'!$B$10-'Sheet1 select'!$B$23)/('Sheet1 select'!$B$27+'Sheet1 select'!$B$8)))+(('Sheet1 select'!$B$33+0.5*'Sheet1 select'!$B$32)/(('Sheet1 select'!$B$23)/('Sheet1 select'!$B$27+'Sheet1 select'!$B$9))))</f>
        <v>6.9373742735087847E-3</v>
      </c>
      <c r="L191" s="45">
        <f>(F191*$B$28)*(('Sheet1 select'!$B$12+'Sheet1 select'!$B$13)*(0.000000001))*$B$8*1000</f>
        <v>0</v>
      </c>
      <c r="M191" s="45">
        <f t="shared" si="16"/>
        <v>3.6617357284970928E-5</v>
      </c>
      <c r="N191" s="46">
        <f>$B$10*'Sheet1 select'!$B$29*0.001</f>
        <v>1.2E-2</v>
      </c>
      <c r="O191" s="44">
        <f>'Sheet1 select'!$B$10*'Sheet1 select'!$B$31*$B$8*1000*0.000000001</f>
        <v>3.0000000000000001E-3</v>
      </c>
      <c r="P191" s="44">
        <f>'Sheet1 select'!$B$35*$B$10*$B$8*1000*0.000000001</f>
        <v>0</v>
      </c>
      <c r="Q191" s="47">
        <f>IF('Sheet1 select'!$B$17=0,0,(0.00000006*0.7+0.00000003*(0.7+F191*1.1*'Sheet1 select'!$B$26))*F191*$B$8*1000)</f>
        <v>0</v>
      </c>
      <c r="R191" s="45">
        <f t="shared" ca="1" si="17"/>
        <v>0.1973770883344253</v>
      </c>
      <c r="S191" s="48">
        <f t="shared" ca="1" si="18"/>
        <v>0.92771950963080185</v>
      </c>
      <c r="T191" s="49">
        <f ca="1">H191+K191+O191+N191+'Sheet1 select'!$B$40*I191+J191+P191</f>
        <v>2.7776026532695848E-2</v>
      </c>
      <c r="U191" s="169">
        <f t="shared" ca="1" si="19"/>
        <v>1.5776026532695848E-2</v>
      </c>
      <c r="V191" s="47">
        <f t="shared" ca="1" si="20"/>
        <v>0</v>
      </c>
    </row>
    <row r="192" spans="5:22">
      <c r="E192" s="32">
        <v>191</v>
      </c>
      <c r="F192" s="45">
        <f t="shared" si="14"/>
        <v>0.50933333333333342</v>
      </c>
      <c r="G192" s="45">
        <f t="shared" si="15"/>
        <v>5.1884088888888902E-2</v>
      </c>
      <c r="H192" s="45">
        <f ca="1">F192*F192*('Sheet1 select'!$B$25)*$B$3</f>
        <v>5.9002734921718356E-3</v>
      </c>
      <c r="I192" s="45">
        <f>F192*(1-$B$3)*'Sheet1 select'!$B$41</f>
        <v>0.11884444444444445</v>
      </c>
      <c r="J192" s="45">
        <f ca="1">F192*F192*('Sheet1 select'!$B$26)*(1-$B$3)</f>
        <v>0</v>
      </c>
      <c r="K192" s="45">
        <f>0.0000005*$B$10*F192*$B$8*((('Sheet1 select'!$B$33+0.5*'Sheet1 select'!$B$32)/(('Sheet1 select'!$B$10-'Sheet1 select'!$B$23)/('Sheet1 select'!$B$27+'Sheet1 select'!$B$8)))+(('Sheet1 select'!$B$33+0.5*'Sheet1 select'!$B$32)/(('Sheet1 select'!$B$23)/('Sheet1 select'!$B$27+'Sheet1 select'!$B$9))))</f>
        <v>6.9738867696851458E-3</v>
      </c>
      <c r="L192" s="45">
        <f>(F192*$B$28)*(('Sheet1 select'!$B$12+'Sheet1 select'!$B$13)*(0.000000001))*$B$8*1000</f>
        <v>0</v>
      </c>
      <c r="M192" s="45">
        <f t="shared" si="16"/>
        <v>3.6617357284970928E-5</v>
      </c>
      <c r="N192" s="46">
        <f>$B$10*'Sheet1 select'!$B$29*0.001</f>
        <v>1.2E-2</v>
      </c>
      <c r="O192" s="44">
        <f>'Sheet1 select'!$B$10*'Sheet1 select'!$B$31*$B$8*1000*0.000000001</f>
        <v>3.0000000000000001E-3</v>
      </c>
      <c r="P192" s="44">
        <f>'Sheet1 select'!$B$35*$B$10*$B$8*1000*0.000000001</f>
        <v>0</v>
      </c>
      <c r="Q192" s="47">
        <f>IF('Sheet1 select'!$B$17=0,0,(0.00000006*0.7+0.00000003*(0.7+F192*1.1*'Sheet1 select'!$B$26))*F192*$B$8*1000)</f>
        <v>0</v>
      </c>
      <c r="R192" s="45">
        <f t="shared" ca="1" si="17"/>
        <v>0.19863931095247531</v>
      </c>
      <c r="S192" s="48">
        <f t="shared" ca="1" si="18"/>
        <v>0.92764401761702908</v>
      </c>
      <c r="T192" s="49">
        <f ca="1">H192+K192+O192+N192+'Sheet1 select'!$B$40*I192+J192+P192</f>
        <v>2.7874160261856983E-2</v>
      </c>
      <c r="U192" s="169">
        <f t="shared" ca="1" si="19"/>
        <v>1.5874160261856982E-2</v>
      </c>
      <c r="V192" s="47">
        <f t="shared" ca="1" si="20"/>
        <v>0</v>
      </c>
    </row>
    <row r="193" spans="5:22">
      <c r="E193" s="32">
        <v>192</v>
      </c>
      <c r="F193" s="45">
        <f t="shared" si="14"/>
        <v>0.51200000000000012</v>
      </c>
      <c r="G193" s="45">
        <f t="shared" si="15"/>
        <v>5.2428800000000018E-2</v>
      </c>
      <c r="H193" s="45">
        <f ca="1">F193*F193*('Sheet1 select'!$B$25)*$B$3</f>
        <v>5.9622181961958981E-3</v>
      </c>
      <c r="I193" s="45">
        <f>F193*(1-$B$3)*'Sheet1 select'!$B$41</f>
        <v>0.11946666666666668</v>
      </c>
      <c r="J193" s="45">
        <f ca="1">F193*F193*('Sheet1 select'!$B$26)*(1-$B$3)</f>
        <v>0</v>
      </c>
      <c r="K193" s="45">
        <f>0.0000005*$B$10*F193*$B$8*((('Sheet1 select'!$B$33+0.5*'Sheet1 select'!$B$32)/(('Sheet1 select'!$B$10-'Sheet1 select'!$B$23)/('Sheet1 select'!$B$27+'Sheet1 select'!$B$8)))+(('Sheet1 select'!$B$33+0.5*'Sheet1 select'!$B$32)/(('Sheet1 select'!$B$23)/('Sheet1 select'!$B$27+'Sheet1 select'!$B$9))))</f>
        <v>7.0103992658615086E-3</v>
      </c>
      <c r="L193" s="45">
        <f>(F193*$B$28)*(('Sheet1 select'!$B$12+'Sheet1 select'!$B$13)*(0.000000001))*$B$8*1000</f>
        <v>0</v>
      </c>
      <c r="M193" s="45">
        <f t="shared" si="16"/>
        <v>3.6617357284970928E-5</v>
      </c>
      <c r="N193" s="46">
        <f>$B$10*'Sheet1 select'!$B$29*0.001</f>
        <v>1.2E-2</v>
      </c>
      <c r="O193" s="44">
        <f>'Sheet1 select'!$B$10*'Sheet1 select'!$B$31*$B$8*1000*0.000000001</f>
        <v>3.0000000000000001E-3</v>
      </c>
      <c r="P193" s="44">
        <f>'Sheet1 select'!$B$35*$B$10*$B$8*1000*0.000000001</f>
        <v>0</v>
      </c>
      <c r="Q193" s="47">
        <f>IF('Sheet1 select'!$B$17=0,0,(0.00000006*0.7+0.00000003*(0.7+F193*1.1*'Sheet1 select'!$B$26))*F193*$B$8*1000)</f>
        <v>0</v>
      </c>
      <c r="R193" s="45">
        <f t="shared" ca="1" si="17"/>
        <v>0.19990470148600908</v>
      </c>
      <c r="S193" s="48">
        <f t="shared" ca="1" si="18"/>
        <v>0.92756825937563181</v>
      </c>
      <c r="T193" s="49">
        <f ca="1">H193+K193+O193+N193+'Sheet1 select'!$B$40*I193+J193+P193</f>
        <v>2.7972617462057408E-2</v>
      </c>
      <c r="U193" s="169">
        <f t="shared" ca="1" si="19"/>
        <v>1.5972617462057408E-2</v>
      </c>
      <c r="V193" s="47">
        <f t="shared" ca="1" si="20"/>
        <v>0</v>
      </c>
    </row>
    <row r="194" spans="5:22">
      <c r="E194" s="32">
        <v>193</v>
      </c>
      <c r="F194" s="45">
        <f t="shared" ref="F194:F257" si="21">$B$12*E194/300</f>
        <v>0.51466666666666672</v>
      </c>
      <c r="G194" s="45">
        <f t="shared" ref="G194:G257" si="22">F194*F194*$B$14*0.001*2</f>
        <v>5.2976355555555563E-2</v>
      </c>
      <c r="H194" s="45">
        <f ca="1">F194*F194*('Sheet1 select'!$B$25)*$B$3</f>
        <v>6.0244863712592498E-3</v>
      </c>
      <c r="I194" s="45">
        <f>F194*(1-$B$3)*'Sheet1 select'!$B$41</f>
        <v>0.1200888888888889</v>
      </c>
      <c r="J194" s="45">
        <f ca="1">F194*F194*('Sheet1 select'!$B$26)*(1-$B$3)</f>
        <v>0</v>
      </c>
      <c r="K194" s="45">
        <f>0.0000005*$B$10*F194*$B$8*((('Sheet1 select'!$B$33+0.5*'Sheet1 select'!$B$32)/(('Sheet1 select'!$B$10-'Sheet1 select'!$B$23)/('Sheet1 select'!$B$27+'Sheet1 select'!$B$8)))+(('Sheet1 select'!$B$33+0.5*'Sheet1 select'!$B$32)/(('Sheet1 select'!$B$23)/('Sheet1 select'!$B$27+'Sheet1 select'!$B$9))))</f>
        <v>7.0469117620378698E-3</v>
      </c>
      <c r="L194" s="45">
        <f>(F194*$B$28)*(('Sheet1 select'!$B$12+'Sheet1 select'!$B$13)*(0.000000001))*$B$8*1000</f>
        <v>0</v>
      </c>
      <c r="M194" s="45">
        <f t="shared" ref="M194:M257" si="23">($B$2^2)*$B$16*0.001</f>
        <v>3.6617357284970928E-5</v>
      </c>
      <c r="N194" s="46">
        <f>$B$10*'Sheet1 select'!$B$29*0.001</f>
        <v>1.2E-2</v>
      </c>
      <c r="O194" s="44">
        <f>'Sheet1 select'!$B$10*'Sheet1 select'!$B$31*$B$8*1000*0.000000001</f>
        <v>3.0000000000000001E-3</v>
      </c>
      <c r="P194" s="44">
        <f>'Sheet1 select'!$B$35*$B$10*$B$8*1000*0.000000001</f>
        <v>0</v>
      </c>
      <c r="Q194" s="47">
        <f>IF('Sheet1 select'!$B$17=0,0,(0.00000006*0.7+0.00000003*(0.7+F194*1.1*'Sheet1 select'!$B$26))*F194*$B$8*1000)</f>
        <v>0</v>
      </c>
      <c r="R194" s="45">
        <f t="shared" ref="R194:R257" ca="1" si="24">SUM(G194:P194)+Q194</f>
        <v>0.20117325993502655</v>
      </c>
      <c r="S194" s="48">
        <f t="shared" ref="S194:S257" ca="1" si="25">($B$11*F194)/($B$11*F194+R194)</f>
        <v>0.92749223936856995</v>
      </c>
      <c r="T194" s="49">
        <f ca="1">H194+K194+O194+N194+'Sheet1 select'!$B$40*I194+J194+P194</f>
        <v>2.8071398133297121E-2</v>
      </c>
      <c r="U194" s="169">
        <f t="shared" ref="U194:U257" ca="1" si="26">H194+K194+O194</f>
        <v>1.607139813329712E-2</v>
      </c>
      <c r="V194" s="47">
        <f t="shared" ref="V194:V257" ca="1" si="27">J194+P194+Q194</f>
        <v>0</v>
      </c>
    </row>
    <row r="195" spans="5:22">
      <c r="E195" s="32">
        <v>194</v>
      </c>
      <c r="F195" s="45">
        <f t="shared" si="21"/>
        <v>0.51733333333333342</v>
      </c>
      <c r="G195" s="45">
        <f t="shared" si="22"/>
        <v>5.3526755555555576E-2</v>
      </c>
      <c r="H195" s="45">
        <f ca="1">F195*F195*('Sheet1 select'!$B$25)*$B$3</f>
        <v>6.0870780173618924E-3</v>
      </c>
      <c r="I195" s="45">
        <f>F195*(1-$B$3)*'Sheet1 select'!$B$41</f>
        <v>0.12071111111111113</v>
      </c>
      <c r="J195" s="45">
        <f ca="1">F195*F195*('Sheet1 select'!$B$26)*(1-$B$3)</f>
        <v>0</v>
      </c>
      <c r="K195" s="45">
        <f>0.0000005*$B$10*F195*$B$8*((('Sheet1 select'!$B$33+0.5*'Sheet1 select'!$B$32)/(('Sheet1 select'!$B$10-'Sheet1 select'!$B$23)/('Sheet1 select'!$B$27+'Sheet1 select'!$B$8)))+(('Sheet1 select'!$B$33+0.5*'Sheet1 select'!$B$32)/(('Sheet1 select'!$B$23)/('Sheet1 select'!$B$27+'Sheet1 select'!$B$9))))</f>
        <v>7.0834242582142326E-3</v>
      </c>
      <c r="L195" s="45">
        <f>(F195*$B$28)*(('Sheet1 select'!$B$12+'Sheet1 select'!$B$13)*(0.000000001))*$B$8*1000</f>
        <v>0</v>
      </c>
      <c r="M195" s="45">
        <f t="shared" si="23"/>
        <v>3.6617357284970928E-5</v>
      </c>
      <c r="N195" s="46">
        <f>$B$10*'Sheet1 select'!$B$29*0.001</f>
        <v>1.2E-2</v>
      </c>
      <c r="O195" s="44">
        <f>'Sheet1 select'!$B$10*'Sheet1 select'!$B$31*$B$8*1000*0.000000001</f>
        <v>3.0000000000000001E-3</v>
      </c>
      <c r="P195" s="44">
        <f>'Sheet1 select'!$B$35*$B$10*$B$8*1000*0.000000001</f>
        <v>0</v>
      </c>
      <c r="Q195" s="47">
        <f>IF('Sheet1 select'!$B$17=0,0,(0.00000006*0.7+0.00000003*(0.7+F195*1.1*'Sheet1 select'!$B$26))*F195*$B$8*1000)</f>
        <v>0</v>
      </c>
      <c r="R195" s="45">
        <f t="shared" ca="1" si="24"/>
        <v>0.20244498629952781</v>
      </c>
      <c r="S195" s="48">
        <f t="shared" ca="1" si="25"/>
        <v>0.92741596196615894</v>
      </c>
      <c r="T195" s="49">
        <f ca="1">H195+K195+O195+N195+'Sheet1 select'!$B$40*I195+J195+P195</f>
        <v>2.8170502275576124E-2</v>
      </c>
      <c r="U195" s="169">
        <f t="shared" ca="1" si="26"/>
        <v>1.6170502275576124E-2</v>
      </c>
      <c r="V195" s="47">
        <f t="shared" ca="1" si="27"/>
        <v>0</v>
      </c>
    </row>
    <row r="196" spans="5:22">
      <c r="E196" s="32">
        <v>195</v>
      </c>
      <c r="F196" s="45">
        <f t="shared" si="21"/>
        <v>0.52</v>
      </c>
      <c r="G196" s="45">
        <f t="shared" si="22"/>
        <v>5.4080000000000003E-2</v>
      </c>
      <c r="H196" s="45">
        <f ca="1">F196*F196*('Sheet1 select'!$B$25)*$B$3</f>
        <v>6.1499931345038242E-3</v>
      </c>
      <c r="I196" s="45">
        <f>F196*(1-$B$3)*'Sheet1 select'!$B$41</f>
        <v>0.12133333333333332</v>
      </c>
      <c r="J196" s="45">
        <f ca="1">F196*F196*('Sheet1 select'!$B$26)*(1-$B$3)</f>
        <v>0</v>
      </c>
      <c r="K196" s="45">
        <f>0.0000005*$B$10*F196*$B$8*((('Sheet1 select'!$B$33+0.5*'Sheet1 select'!$B$32)/(('Sheet1 select'!$B$10-'Sheet1 select'!$B$23)/('Sheet1 select'!$B$27+'Sheet1 select'!$B$8)))+(('Sheet1 select'!$B$33+0.5*'Sheet1 select'!$B$32)/(('Sheet1 select'!$B$23)/('Sheet1 select'!$B$27+'Sheet1 select'!$B$9))))</f>
        <v>7.1199367543905928E-3</v>
      </c>
      <c r="L196" s="45">
        <f>(F196*$B$28)*(('Sheet1 select'!$B$12+'Sheet1 select'!$B$13)*(0.000000001))*$B$8*1000</f>
        <v>0</v>
      </c>
      <c r="M196" s="45">
        <f t="shared" si="23"/>
        <v>3.6617357284970928E-5</v>
      </c>
      <c r="N196" s="46">
        <f>$B$10*'Sheet1 select'!$B$29*0.001</f>
        <v>1.2E-2</v>
      </c>
      <c r="O196" s="44">
        <f>'Sheet1 select'!$B$10*'Sheet1 select'!$B$31*$B$8*1000*0.000000001</f>
        <v>3.0000000000000001E-3</v>
      </c>
      <c r="P196" s="44">
        <f>'Sheet1 select'!$B$35*$B$10*$B$8*1000*0.000000001</f>
        <v>0</v>
      </c>
      <c r="Q196" s="47">
        <f>IF('Sheet1 select'!$B$17=0,0,(0.00000006*0.7+0.00000003*(0.7+F196*1.1*'Sheet1 select'!$B$26))*F196*$B$8*1000)</f>
        <v>0</v>
      </c>
      <c r="R196" s="45">
        <f t="shared" ca="1" si="24"/>
        <v>0.20371988057951274</v>
      </c>
      <c r="S196" s="48">
        <f t="shared" ca="1" si="25"/>
        <v>0.92733943144940534</v>
      </c>
      <c r="T196" s="49">
        <f ca="1">H196+K196+O196+N196+'Sheet1 select'!$B$40*I196+J196+P196</f>
        <v>2.8269929888894416E-2</v>
      </c>
      <c r="U196" s="169">
        <f t="shared" ca="1" si="26"/>
        <v>1.6269929888894415E-2</v>
      </c>
      <c r="V196" s="47">
        <f t="shared" ca="1" si="27"/>
        <v>0</v>
      </c>
    </row>
    <row r="197" spans="5:22">
      <c r="E197" s="32">
        <v>196</v>
      </c>
      <c r="F197" s="45">
        <f t="shared" si="21"/>
        <v>0.52266666666666672</v>
      </c>
      <c r="G197" s="45">
        <f t="shared" si="22"/>
        <v>5.4636088888888899E-2</v>
      </c>
      <c r="H197" s="45">
        <f ca="1">F197*F197*('Sheet1 select'!$B$25)*$B$3</f>
        <v>6.2132317226850477E-3</v>
      </c>
      <c r="I197" s="45">
        <f>F197*(1-$B$3)*'Sheet1 select'!$B$41</f>
        <v>0.12195555555555555</v>
      </c>
      <c r="J197" s="45">
        <f ca="1">F197*F197*('Sheet1 select'!$B$26)*(1-$B$3)</f>
        <v>0</v>
      </c>
      <c r="K197" s="45">
        <f>0.0000005*$B$10*F197*$B$8*((('Sheet1 select'!$B$33+0.5*'Sheet1 select'!$B$32)/(('Sheet1 select'!$B$10-'Sheet1 select'!$B$23)/('Sheet1 select'!$B$27+'Sheet1 select'!$B$8)))+(('Sheet1 select'!$B$33+0.5*'Sheet1 select'!$B$32)/(('Sheet1 select'!$B$23)/('Sheet1 select'!$B$27+'Sheet1 select'!$B$9))))</f>
        <v>7.1564492505669557E-3</v>
      </c>
      <c r="L197" s="45">
        <f>(F197*$B$28)*(('Sheet1 select'!$B$12+'Sheet1 select'!$B$13)*(0.000000001))*$B$8*1000</f>
        <v>0</v>
      </c>
      <c r="M197" s="45">
        <f t="shared" si="23"/>
        <v>3.6617357284970928E-5</v>
      </c>
      <c r="N197" s="46">
        <f>$B$10*'Sheet1 select'!$B$29*0.001</f>
        <v>1.2E-2</v>
      </c>
      <c r="O197" s="44">
        <f>'Sheet1 select'!$B$10*'Sheet1 select'!$B$31*$B$8*1000*0.000000001</f>
        <v>3.0000000000000001E-3</v>
      </c>
      <c r="P197" s="44">
        <f>'Sheet1 select'!$B$35*$B$10*$B$8*1000*0.000000001</f>
        <v>0</v>
      </c>
      <c r="Q197" s="47">
        <f>IF('Sheet1 select'!$B$17=0,0,(0.00000006*0.7+0.00000003*(0.7+F197*1.1*'Sheet1 select'!$B$26))*F197*$B$8*1000)</f>
        <v>0</v>
      </c>
      <c r="R197" s="45">
        <f t="shared" ca="1" si="24"/>
        <v>0.20499794277498146</v>
      </c>
      <c r="S197" s="48">
        <f t="shared" ca="1" si="25"/>
        <v>0.92726265201227442</v>
      </c>
      <c r="T197" s="49">
        <f ca="1">H197+K197+O197+N197+'Sheet1 select'!$B$40*I197+J197+P197</f>
        <v>2.8369680973252005E-2</v>
      </c>
      <c r="U197" s="169">
        <f t="shared" ca="1" si="26"/>
        <v>1.6369680973252004E-2</v>
      </c>
      <c r="V197" s="47">
        <f t="shared" ca="1" si="27"/>
        <v>0</v>
      </c>
    </row>
    <row r="198" spans="5:22">
      <c r="E198" s="32">
        <v>197</v>
      </c>
      <c r="F198" s="45">
        <f t="shared" si="21"/>
        <v>0.52533333333333343</v>
      </c>
      <c r="G198" s="45">
        <f t="shared" si="22"/>
        <v>5.5195022222222244E-2</v>
      </c>
      <c r="H198" s="45">
        <f ca="1">F198*F198*('Sheet1 select'!$B$25)*$B$3</f>
        <v>6.2767937819055613E-3</v>
      </c>
      <c r="I198" s="45">
        <f>F198*(1-$B$3)*'Sheet1 select'!$B$41</f>
        <v>0.12257777777777779</v>
      </c>
      <c r="J198" s="45">
        <f ca="1">F198*F198*('Sheet1 select'!$B$26)*(1-$B$3)</f>
        <v>0</v>
      </c>
      <c r="K198" s="45">
        <f>0.0000005*$B$10*F198*$B$8*((('Sheet1 select'!$B$33+0.5*'Sheet1 select'!$B$32)/(('Sheet1 select'!$B$10-'Sheet1 select'!$B$23)/('Sheet1 select'!$B$27+'Sheet1 select'!$B$8)))+(('Sheet1 select'!$B$33+0.5*'Sheet1 select'!$B$32)/(('Sheet1 select'!$B$23)/('Sheet1 select'!$B$27+'Sheet1 select'!$B$9))))</f>
        <v>7.1929617467433185E-3</v>
      </c>
      <c r="L198" s="45">
        <f>(F198*$B$28)*(('Sheet1 select'!$B$12+'Sheet1 select'!$B$13)*(0.000000001))*$B$8*1000</f>
        <v>0</v>
      </c>
      <c r="M198" s="45">
        <f t="shared" si="23"/>
        <v>3.6617357284970928E-5</v>
      </c>
      <c r="N198" s="46">
        <f>$B$10*'Sheet1 select'!$B$29*0.001</f>
        <v>1.2E-2</v>
      </c>
      <c r="O198" s="44">
        <f>'Sheet1 select'!$B$10*'Sheet1 select'!$B$31*$B$8*1000*0.000000001</f>
        <v>3.0000000000000001E-3</v>
      </c>
      <c r="P198" s="44">
        <f>'Sheet1 select'!$B$35*$B$10*$B$8*1000*0.000000001</f>
        <v>0</v>
      </c>
      <c r="Q198" s="47">
        <f>IF('Sheet1 select'!$B$17=0,0,(0.00000006*0.7+0.00000003*(0.7+F198*1.1*'Sheet1 select'!$B$26))*F198*$B$8*1000)</f>
        <v>0</v>
      </c>
      <c r="R198" s="45">
        <f t="shared" ca="1" si="24"/>
        <v>0.20627917288593392</v>
      </c>
      <c r="S198" s="48">
        <f t="shared" ca="1" si="25"/>
        <v>0.92718562776388591</v>
      </c>
      <c r="T198" s="49">
        <f ca="1">H198+K198+O198+N198+'Sheet1 select'!$B$40*I198+J198+P198</f>
        <v>2.8469755528648881E-2</v>
      </c>
      <c r="U198" s="169">
        <f t="shared" ca="1" si="26"/>
        <v>1.6469755528648881E-2</v>
      </c>
      <c r="V198" s="47">
        <f t="shared" ca="1" si="27"/>
        <v>0</v>
      </c>
    </row>
    <row r="199" spans="5:22">
      <c r="E199" s="32">
        <v>198</v>
      </c>
      <c r="F199" s="45">
        <f t="shared" si="21"/>
        <v>0.52800000000000002</v>
      </c>
      <c r="G199" s="45">
        <f t="shared" si="22"/>
        <v>5.5756800000000009E-2</v>
      </c>
      <c r="H199" s="45">
        <f ca="1">F199*F199*('Sheet1 select'!$B$25)*$B$3</f>
        <v>6.3406793121653631E-3</v>
      </c>
      <c r="I199" s="45">
        <f>F199*(1-$B$3)*'Sheet1 select'!$B$41</f>
        <v>0.1232</v>
      </c>
      <c r="J199" s="45">
        <f ca="1">F199*F199*('Sheet1 select'!$B$26)*(1-$B$3)</f>
        <v>0</v>
      </c>
      <c r="K199" s="45">
        <f>0.0000005*$B$10*F199*$B$8*((('Sheet1 select'!$B$33+0.5*'Sheet1 select'!$B$32)/(('Sheet1 select'!$B$10-'Sheet1 select'!$B$23)/('Sheet1 select'!$B$27+'Sheet1 select'!$B$8)))+(('Sheet1 select'!$B$33+0.5*'Sheet1 select'!$B$32)/(('Sheet1 select'!$B$23)/('Sheet1 select'!$B$27+'Sheet1 select'!$B$9))))</f>
        <v>7.2294742429196805E-3</v>
      </c>
      <c r="L199" s="45">
        <f>(F199*$B$28)*(('Sheet1 select'!$B$12+'Sheet1 select'!$B$13)*(0.000000001))*$B$8*1000</f>
        <v>0</v>
      </c>
      <c r="M199" s="45">
        <f t="shared" si="23"/>
        <v>3.6617357284970928E-5</v>
      </c>
      <c r="N199" s="46">
        <f>$B$10*'Sheet1 select'!$B$29*0.001</f>
        <v>1.2E-2</v>
      </c>
      <c r="O199" s="44">
        <f>'Sheet1 select'!$B$10*'Sheet1 select'!$B$31*$B$8*1000*0.000000001</f>
        <v>3.0000000000000001E-3</v>
      </c>
      <c r="P199" s="44">
        <f>'Sheet1 select'!$B$35*$B$10*$B$8*1000*0.000000001</f>
        <v>0</v>
      </c>
      <c r="Q199" s="47">
        <f>IF('Sheet1 select'!$B$17=0,0,(0.00000006*0.7+0.00000003*(0.7+F199*1.1*'Sheet1 select'!$B$26))*F199*$B$8*1000)</f>
        <v>0</v>
      </c>
      <c r="R199" s="45">
        <f t="shared" ca="1" si="24"/>
        <v>0.20756357091237004</v>
      </c>
      <c r="S199" s="48">
        <f t="shared" ca="1" si="25"/>
        <v>0.92710836273064623</v>
      </c>
      <c r="T199" s="49">
        <f ca="1">H199+K199+O199+N199+'Sheet1 select'!$B$40*I199+J199+P199</f>
        <v>2.8570153555085045E-2</v>
      </c>
      <c r="U199" s="169">
        <f t="shared" ca="1" si="26"/>
        <v>1.6570153555085045E-2</v>
      </c>
      <c r="V199" s="47">
        <f t="shared" ca="1" si="27"/>
        <v>0</v>
      </c>
    </row>
    <row r="200" spans="5:22">
      <c r="E200" s="32">
        <v>199</v>
      </c>
      <c r="F200" s="45">
        <f t="shared" si="21"/>
        <v>0.53066666666666673</v>
      </c>
      <c r="G200" s="45">
        <f t="shared" si="22"/>
        <v>5.6321422222222244E-2</v>
      </c>
      <c r="H200" s="45">
        <f ca="1">F200*F200*('Sheet1 select'!$B$25)*$B$3</f>
        <v>6.4048883134644576E-3</v>
      </c>
      <c r="I200" s="45">
        <f>F200*(1-$B$3)*'Sheet1 select'!$B$41</f>
        <v>0.12382222222222222</v>
      </c>
      <c r="J200" s="45">
        <f ca="1">F200*F200*('Sheet1 select'!$B$26)*(1-$B$3)</f>
        <v>0</v>
      </c>
      <c r="K200" s="45">
        <f>0.0000005*$B$10*F200*$B$8*((('Sheet1 select'!$B$33+0.5*'Sheet1 select'!$B$32)/(('Sheet1 select'!$B$10-'Sheet1 select'!$B$23)/('Sheet1 select'!$B$27+'Sheet1 select'!$B$8)))+(('Sheet1 select'!$B$33+0.5*'Sheet1 select'!$B$32)/(('Sheet1 select'!$B$23)/('Sheet1 select'!$B$27+'Sheet1 select'!$B$9))))</f>
        <v>7.2659867390960416E-3</v>
      </c>
      <c r="L200" s="45">
        <f>(F200*$B$28)*(('Sheet1 select'!$B$12+'Sheet1 select'!$B$13)*(0.000000001))*$B$8*1000</f>
        <v>0</v>
      </c>
      <c r="M200" s="45">
        <f t="shared" si="23"/>
        <v>3.6617357284970928E-5</v>
      </c>
      <c r="N200" s="46">
        <f>$B$10*'Sheet1 select'!$B$29*0.001</f>
        <v>1.2E-2</v>
      </c>
      <c r="O200" s="44">
        <f>'Sheet1 select'!$B$10*'Sheet1 select'!$B$31*$B$8*1000*0.000000001</f>
        <v>3.0000000000000001E-3</v>
      </c>
      <c r="P200" s="44">
        <f>'Sheet1 select'!$B$35*$B$10*$B$8*1000*0.000000001</f>
        <v>0</v>
      </c>
      <c r="Q200" s="47">
        <f>IF('Sheet1 select'!$B$17=0,0,(0.00000006*0.7+0.00000003*(0.7+F200*1.1*'Sheet1 select'!$B$26))*F200*$B$8*1000)</f>
        <v>0</v>
      </c>
      <c r="R200" s="45">
        <f t="shared" ca="1" si="24"/>
        <v>0.20885113685428994</v>
      </c>
      <c r="S200" s="48">
        <f t="shared" ca="1" si="25"/>
        <v>0.92703086085831532</v>
      </c>
      <c r="T200" s="49">
        <f ca="1">H200+K200+O200+N200+'Sheet1 select'!$B$40*I200+J200+P200</f>
        <v>2.86708750525605E-2</v>
      </c>
      <c r="U200" s="169">
        <f t="shared" ca="1" si="26"/>
        <v>1.6670875052560499E-2</v>
      </c>
      <c r="V200" s="47">
        <f t="shared" ca="1" si="27"/>
        <v>0</v>
      </c>
    </row>
    <row r="201" spans="5:22">
      <c r="E201" s="32">
        <v>200</v>
      </c>
      <c r="F201" s="45">
        <f t="shared" si="21"/>
        <v>0.53333333333333333</v>
      </c>
      <c r="G201" s="45">
        <f t="shared" si="22"/>
        <v>5.6888888888888885E-2</v>
      </c>
      <c r="H201" s="45">
        <f ca="1">F201*F201*('Sheet1 select'!$B$25)*$B$3</f>
        <v>6.4694207858028386E-3</v>
      </c>
      <c r="I201" s="45">
        <f>F201*(1-$B$3)*'Sheet1 select'!$B$41</f>
        <v>0.12444444444444443</v>
      </c>
      <c r="J201" s="45">
        <f ca="1">F201*F201*('Sheet1 select'!$B$26)*(1-$B$3)</f>
        <v>0</v>
      </c>
      <c r="K201" s="45">
        <f>0.0000005*$B$10*F201*$B$8*((('Sheet1 select'!$B$33+0.5*'Sheet1 select'!$B$32)/(('Sheet1 select'!$B$10-'Sheet1 select'!$B$23)/('Sheet1 select'!$B$27+'Sheet1 select'!$B$8)))+(('Sheet1 select'!$B$33+0.5*'Sheet1 select'!$B$32)/(('Sheet1 select'!$B$23)/('Sheet1 select'!$B$27+'Sheet1 select'!$B$9))))</f>
        <v>7.3024992352724027E-3</v>
      </c>
      <c r="L201" s="45">
        <f>(F201*$B$28)*(('Sheet1 select'!$B$12+'Sheet1 select'!$B$13)*(0.000000001))*$B$8*1000</f>
        <v>0</v>
      </c>
      <c r="M201" s="45">
        <f t="shared" si="23"/>
        <v>3.6617357284970928E-5</v>
      </c>
      <c r="N201" s="46">
        <f>$B$10*'Sheet1 select'!$B$29*0.001</f>
        <v>1.2E-2</v>
      </c>
      <c r="O201" s="44">
        <f>'Sheet1 select'!$B$10*'Sheet1 select'!$B$31*$B$8*1000*0.000000001</f>
        <v>3.0000000000000001E-3</v>
      </c>
      <c r="P201" s="44">
        <f>'Sheet1 select'!$B$35*$B$10*$B$8*1000*0.000000001</f>
        <v>0</v>
      </c>
      <c r="Q201" s="47">
        <f>IF('Sheet1 select'!$B$17=0,0,(0.00000006*0.7+0.00000003*(0.7+F201*1.1*'Sheet1 select'!$B$26))*F201*$B$8*1000)</f>
        <v>0</v>
      </c>
      <c r="R201" s="45">
        <f t="shared" ca="1" si="24"/>
        <v>0.21014187071169355</v>
      </c>
      <c r="S201" s="48">
        <f t="shared" ca="1" si="25"/>
        <v>0.92695312601401125</v>
      </c>
      <c r="T201" s="49">
        <f ca="1">H201+K201+O201+N201+'Sheet1 select'!$B$40*I201+J201+P201</f>
        <v>2.8771920021075242E-2</v>
      </c>
      <c r="U201" s="169">
        <f t="shared" ca="1" si="26"/>
        <v>1.6771920021075241E-2</v>
      </c>
      <c r="V201" s="47">
        <f t="shared" ca="1" si="27"/>
        <v>0</v>
      </c>
    </row>
    <row r="202" spans="5:22">
      <c r="E202" s="32">
        <v>201</v>
      </c>
      <c r="F202" s="45">
        <f t="shared" si="21"/>
        <v>0.53600000000000003</v>
      </c>
      <c r="G202" s="45">
        <f t="shared" si="22"/>
        <v>5.7459200000000009E-2</v>
      </c>
      <c r="H202" s="45">
        <f ca="1">F202*F202*('Sheet1 select'!$B$25)*$B$3</f>
        <v>6.5342767291805132E-3</v>
      </c>
      <c r="I202" s="45">
        <f>F202*(1-$B$3)*'Sheet1 select'!$B$41</f>
        <v>0.12506666666666666</v>
      </c>
      <c r="J202" s="45">
        <f ca="1">F202*F202*('Sheet1 select'!$B$26)*(1-$B$3)</f>
        <v>0</v>
      </c>
      <c r="K202" s="45">
        <f>0.0000005*$B$10*F202*$B$8*((('Sheet1 select'!$B$33+0.5*'Sheet1 select'!$B$32)/(('Sheet1 select'!$B$10-'Sheet1 select'!$B$23)/('Sheet1 select'!$B$27+'Sheet1 select'!$B$8)))+(('Sheet1 select'!$B$33+0.5*'Sheet1 select'!$B$32)/(('Sheet1 select'!$B$23)/('Sheet1 select'!$B$27+'Sheet1 select'!$B$9))))</f>
        <v>7.3390117314487656E-3</v>
      </c>
      <c r="L202" s="45">
        <f>(F202*$B$28)*(('Sheet1 select'!$B$12+'Sheet1 select'!$B$13)*(0.000000001))*$B$8*1000</f>
        <v>0</v>
      </c>
      <c r="M202" s="45">
        <f t="shared" si="23"/>
        <v>3.6617357284970928E-5</v>
      </c>
      <c r="N202" s="46">
        <f>$B$10*'Sheet1 select'!$B$29*0.001</f>
        <v>1.2E-2</v>
      </c>
      <c r="O202" s="44">
        <f>'Sheet1 select'!$B$10*'Sheet1 select'!$B$31*$B$8*1000*0.000000001</f>
        <v>3.0000000000000001E-3</v>
      </c>
      <c r="P202" s="44">
        <f>'Sheet1 select'!$B$35*$B$10*$B$8*1000*0.000000001</f>
        <v>0</v>
      </c>
      <c r="Q202" s="47">
        <f>IF('Sheet1 select'!$B$17=0,0,(0.00000006*0.7+0.00000003*(0.7+F202*1.1*'Sheet1 select'!$B$26))*F202*$B$8*1000)</f>
        <v>0</v>
      </c>
      <c r="R202" s="45">
        <f t="shared" ca="1" si="24"/>
        <v>0.21143577248458092</v>
      </c>
      <c r="S202" s="48">
        <f t="shared" ca="1" si="25"/>
        <v>0.92687516198815778</v>
      </c>
      <c r="T202" s="49">
        <f ca="1">H202+K202+O202+N202+'Sheet1 select'!$B$40*I202+J202+P202</f>
        <v>2.8873288460629278E-2</v>
      </c>
      <c r="U202" s="169">
        <f t="shared" ca="1" si="26"/>
        <v>1.6873288460629278E-2</v>
      </c>
      <c r="V202" s="47">
        <f t="shared" ca="1" si="27"/>
        <v>0</v>
      </c>
    </row>
    <row r="203" spans="5:22">
      <c r="E203" s="32">
        <v>202</v>
      </c>
      <c r="F203" s="45">
        <f t="shared" si="21"/>
        <v>0.53866666666666674</v>
      </c>
      <c r="G203" s="45">
        <f t="shared" si="22"/>
        <v>5.8032355555555568E-2</v>
      </c>
      <c r="H203" s="45">
        <f ca="1">F203*F203*('Sheet1 select'!$B$25)*$B$3</f>
        <v>6.5994561435974777E-3</v>
      </c>
      <c r="I203" s="45">
        <f>F203*(1-$B$3)*'Sheet1 select'!$B$41</f>
        <v>0.12568888888888891</v>
      </c>
      <c r="J203" s="45">
        <f ca="1">F203*F203*('Sheet1 select'!$B$26)*(1-$B$3)</f>
        <v>0</v>
      </c>
      <c r="K203" s="45">
        <f>0.0000005*$B$10*F203*$B$8*((('Sheet1 select'!$B$33+0.5*'Sheet1 select'!$B$32)/(('Sheet1 select'!$B$10-'Sheet1 select'!$B$23)/('Sheet1 select'!$B$27+'Sheet1 select'!$B$8)))+(('Sheet1 select'!$B$33+0.5*'Sheet1 select'!$B$32)/(('Sheet1 select'!$B$23)/('Sheet1 select'!$B$27+'Sheet1 select'!$B$9))))</f>
        <v>7.3755242276251284E-3</v>
      </c>
      <c r="L203" s="45">
        <f>(F203*$B$28)*(('Sheet1 select'!$B$12+'Sheet1 select'!$B$13)*(0.000000001))*$B$8*1000</f>
        <v>0</v>
      </c>
      <c r="M203" s="45">
        <f t="shared" si="23"/>
        <v>3.6617357284970928E-5</v>
      </c>
      <c r="N203" s="46">
        <f>$B$10*'Sheet1 select'!$B$29*0.001</f>
        <v>1.2E-2</v>
      </c>
      <c r="O203" s="44">
        <f>'Sheet1 select'!$B$10*'Sheet1 select'!$B$31*$B$8*1000*0.000000001</f>
        <v>3.0000000000000001E-3</v>
      </c>
      <c r="P203" s="44">
        <f>'Sheet1 select'!$B$35*$B$10*$B$8*1000*0.000000001</f>
        <v>0</v>
      </c>
      <c r="Q203" s="47">
        <f>IF('Sheet1 select'!$B$17=0,0,(0.00000006*0.7+0.00000003*(0.7+F203*1.1*'Sheet1 select'!$B$26))*F203*$B$8*1000)</f>
        <v>0</v>
      </c>
      <c r="R203" s="45">
        <f t="shared" ca="1" si="24"/>
        <v>0.21273284217295207</v>
      </c>
      <c r="S203" s="48">
        <f t="shared" ca="1" si="25"/>
        <v>0.92679697249637116</v>
      </c>
      <c r="T203" s="49">
        <f ca="1">H203+K203+O203+N203+'Sheet1 select'!$B$40*I203+J203+P203</f>
        <v>2.8974980371222606E-2</v>
      </c>
      <c r="U203" s="169">
        <f t="shared" ca="1" si="26"/>
        <v>1.6974980371222605E-2</v>
      </c>
      <c r="V203" s="47">
        <f t="shared" ca="1" si="27"/>
        <v>0</v>
      </c>
    </row>
    <row r="204" spans="5:22">
      <c r="E204" s="32">
        <v>203</v>
      </c>
      <c r="F204" s="45">
        <f t="shared" si="21"/>
        <v>0.54133333333333333</v>
      </c>
      <c r="G204" s="45">
        <f t="shared" si="22"/>
        <v>5.8608355555555554E-2</v>
      </c>
      <c r="H204" s="45">
        <f ca="1">F204*F204*('Sheet1 select'!$B$25)*$B$3</f>
        <v>6.6649590290537289E-3</v>
      </c>
      <c r="I204" s="45">
        <f>F204*(1-$B$3)*'Sheet1 select'!$B$41</f>
        <v>0.1263111111111111</v>
      </c>
      <c r="J204" s="45">
        <f ca="1">F204*F204*('Sheet1 select'!$B$26)*(1-$B$3)</f>
        <v>0</v>
      </c>
      <c r="K204" s="45">
        <f>0.0000005*$B$10*F204*$B$8*((('Sheet1 select'!$B$33+0.5*'Sheet1 select'!$B$32)/(('Sheet1 select'!$B$10-'Sheet1 select'!$B$23)/('Sheet1 select'!$B$27+'Sheet1 select'!$B$8)))+(('Sheet1 select'!$B$33+0.5*'Sheet1 select'!$B$32)/(('Sheet1 select'!$B$23)/('Sheet1 select'!$B$27+'Sheet1 select'!$B$9))))</f>
        <v>7.4120367238014887E-3</v>
      </c>
      <c r="L204" s="45">
        <f>(F204*$B$28)*(('Sheet1 select'!$B$12+'Sheet1 select'!$B$13)*(0.000000001))*$B$8*1000</f>
        <v>0</v>
      </c>
      <c r="M204" s="45">
        <f t="shared" si="23"/>
        <v>3.6617357284970928E-5</v>
      </c>
      <c r="N204" s="46">
        <f>$B$10*'Sheet1 select'!$B$29*0.001</f>
        <v>1.2E-2</v>
      </c>
      <c r="O204" s="44">
        <f>'Sheet1 select'!$B$10*'Sheet1 select'!$B$31*$B$8*1000*0.000000001</f>
        <v>3.0000000000000001E-3</v>
      </c>
      <c r="P204" s="44">
        <f>'Sheet1 select'!$B$35*$B$10*$B$8*1000*0.000000001</f>
        <v>0</v>
      </c>
      <c r="Q204" s="47">
        <f>IF('Sheet1 select'!$B$17=0,0,(0.00000006*0.7+0.00000003*(0.7+F204*1.1*'Sheet1 select'!$B$26))*F204*$B$8*1000)</f>
        <v>0</v>
      </c>
      <c r="R204" s="45">
        <f t="shared" ca="1" si="24"/>
        <v>0.21403307977680686</v>
      </c>
      <c r="S204" s="48">
        <f t="shared" ca="1" si="25"/>
        <v>0.92671856118129425</v>
      </c>
      <c r="T204" s="49">
        <f ca="1">H204+K204+O204+N204+'Sheet1 select'!$B$40*I204+J204+P204</f>
        <v>2.9076995752855217E-2</v>
      </c>
      <c r="U204" s="169">
        <f t="shared" ca="1" si="26"/>
        <v>1.7076995752855217E-2</v>
      </c>
      <c r="V204" s="47">
        <f t="shared" ca="1" si="27"/>
        <v>0</v>
      </c>
    </row>
    <row r="205" spans="5:22">
      <c r="E205" s="32">
        <v>204</v>
      </c>
      <c r="F205" s="45">
        <f t="shared" si="21"/>
        <v>0.54400000000000004</v>
      </c>
      <c r="G205" s="45">
        <f t="shared" si="22"/>
        <v>5.9187200000000002E-2</v>
      </c>
      <c r="H205" s="45">
        <f ca="1">F205*F205*('Sheet1 select'!$B$25)*$B$3</f>
        <v>6.7307853855492735E-3</v>
      </c>
      <c r="I205" s="45">
        <f>F205*(1-$B$3)*'Sheet1 select'!$B$41</f>
        <v>0.12693333333333331</v>
      </c>
      <c r="J205" s="45">
        <f ca="1">F205*F205*('Sheet1 select'!$B$26)*(1-$B$3)</f>
        <v>0</v>
      </c>
      <c r="K205" s="45">
        <f>0.0000005*$B$10*F205*$B$8*((('Sheet1 select'!$B$33+0.5*'Sheet1 select'!$B$32)/(('Sheet1 select'!$B$10-'Sheet1 select'!$B$23)/('Sheet1 select'!$B$27+'Sheet1 select'!$B$8)))+(('Sheet1 select'!$B$33+0.5*'Sheet1 select'!$B$32)/(('Sheet1 select'!$B$23)/('Sheet1 select'!$B$27+'Sheet1 select'!$B$9))))</f>
        <v>7.4485492199778515E-3</v>
      </c>
      <c r="L205" s="45">
        <f>(F205*$B$28)*(('Sheet1 select'!$B$12+'Sheet1 select'!$B$13)*(0.000000001))*$B$8*1000</f>
        <v>0</v>
      </c>
      <c r="M205" s="45">
        <f t="shared" si="23"/>
        <v>3.6617357284970928E-5</v>
      </c>
      <c r="N205" s="46">
        <f>$B$10*'Sheet1 select'!$B$29*0.001</f>
        <v>1.2E-2</v>
      </c>
      <c r="O205" s="44">
        <f>'Sheet1 select'!$B$10*'Sheet1 select'!$B$31*$B$8*1000*0.000000001</f>
        <v>3.0000000000000001E-3</v>
      </c>
      <c r="P205" s="44">
        <f>'Sheet1 select'!$B$35*$B$10*$B$8*1000*0.000000001</f>
        <v>0</v>
      </c>
      <c r="Q205" s="47">
        <f>IF('Sheet1 select'!$B$17=0,0,(0.00000006*0.7+0.00000003*(0.7+F205*1.1*'Sheet1 select'!$B$26))*F205*$B$8*1000)</f>
        <v>0</v>
      </c>
      <c r="R205" s="45">
        <f t="shared" ca="1" si="24"/>
        <v>0.21533648529614541</v>
      </c>
      <c r="S205" s="48">
        <f t="shared" ca="1" si="25"/>
        <v>0.92663993161437508</v>
      </c>
      <c r="T205" s="49">
        <f ca="1">H205+K205+O205+N205+'Sheet1 select'!$B$40*I205+J205+P205</f>
        <v>2.9179334605527126E-2</v>
      </c>
      <c r="U205" s="169">
        <f t="shared" ca="1" si="26"/>
        <v>1.7179334605527126E-2</v>
      </c>
      <c r="V205" s="47">
        <f t="shared" ca="1" si="27"/>
        <v>0</v>
      </c>
    </row>
    <row r="206" spans="5:22">
      <c r="E206" s="32">
        <v>205</v>
      </c>
      <c r="F206" s="45">
        <f t="shared" si="21"/>
        <v>0.54666666666666663</v>
      </c>
      <c r="G206" s="45">
        <f t="shared" si="22"/>
        <v>5.9768888888888885E-2</v>
      </c>
      <c r="H206" s="45">
        <f ca="1">F206*F206*('Sheet1 select'!$B$25)*$B$3</f>
        <v>6.7969352130841073E-3</v>
      </c>
      <c r="I206" s="45">
        <f>F206*(1-$B$3)*'Sheet1 select'!$B$41</f>
        <v>0.12755555555555553</v>
      </c>
      <c r="J206" s="45">
        <f ca="1">F206*F206*('Sheet1 select'!$B$26)*(1-$B$3)</f>
        <v>0</v>
      </c>
      <c r="K206" s="45">
        <f>0.0000005*$B$10*F206*$B$8*((('Sheet1 select'!$B$33+0.5*'Sheet1 select'!$B$32)/(('Sheet1 select'!$B$10-'Sheet1 select'!$B$23)/('Sheet1 select'!$B$27+'Sheet1 select'!$B$8)))+(('Sheet1 select'!$B$33+0.5*'Sheet1 select'!$B$32)/(('Sheet1 select'!$B$23)/('Sheet1 select'!$B$27+'Sheet1 select'!$B$9))))</f>
        <v>7.4850617161542135E-3</v>
      </c>
      <c r="L206" s="45">
        <f>(F206*$B$28)*(('Sheet1 select'!$B$12+'Sheet1 select'!$B$13)*(0.000000001))*$B$8*1000</f>
        <v>0</v>
      </c>
      <c r="M206" s="45">
        <f t="shared" si="23"/>
        <v>3.6617357284970928E-5</v>
      </c>
      <c r="N206" s="46">
        <f>$B$10*'Sheet1 select'!$B$29*0.001</f>
        <v>1.2E-2</v>
      </c>
      <c r="O206" s="44">
        <f>'Sheet1 select'!$B$10*'Sheet1 select'!$B$31*$B$8*1000*0.000000001</f>
        <v>3.0000000000000001E-3</v>
      </c>
      <c r="P206" s="44">
        <f>'Sheet1 select'!$B$35*$B$10*$B$8*1000*0.000000001</f>
        <v>0</v>
      </c>
      <c r="Q206" s="47">
        <f>IF('Sheet1 select'!$B$17=0,0,(0.00000006*0.7+0.00000003*(0.7+F206*1.1*'Sheet1 select'!$B$26))*F206*$B$8*1000)</f>
        <v>0</v>
      </c>
      <c r="R206" s="45">
        <f t="shared" ca="1" si="24"/>
        <v>0.2166430587309677</v>
      </c>
      <c r="S206" s="48">
        <f t="shared" ca="1" si="25"/>
        <v>0.92656108729759445</v>
      </c>
      <c r="T206" s="49">
        <f ca="1">H206+K206+O206+N206+'Sheet1 select'!$B$40*I206+J206+P206</f>
        <v>2.9281996929238319E-2</v>
      </c>
      <c r="U206" s="169">
        <f t="shared" ca="1" si="26"/>
        <v>1.7281996929238319E-2</v>
      </c>
      <c r="V206" s="47">
        <f t="shared" ca="1" si="27"/>
        <v>0</v>
      </c>
    </row>
    <row r="207" spans="5:22">
      <c r="E207" s="32">
        <v>206</v>
      </c>
      <c r="F207" s="45">
        <f t="shared" si="21"/>
        <v>0.54933333333333334</v>
      </c>
      <c r="G207" s="45">
        <f t="shared" si="22"/>
        <v>6.0353422222222224E-2</v>
      </c>
      <c r="H207" s="45">
        <f ca="1">F207*F207*('Sheet1 select'!$B$25)*$B$3</f>
        <v>6.8634085116582319E-3</v>
      </c>
      <c r="I207" s="45">
        <f>F207*(1-$B$3)*'Sheet1 select'!$B$41</f>
        <v>0.12817777777777778</v>
      </c>
      <c r="J207" s="45">
        <f ca="1">F207*F207*('Sheet1 select'!$B$26)*(1-$B$3)</f>
        <v>0</v>
      </c>
      <c r="K207" s="45">
        <f>0.0000005*$B$10*F207*$B$8*((('Sheet1 select'!$B$33+0.5*'Sheet1 select'!$B$32)/(('Sheet1 select'!$B$10-'Sheet1 select'!$B$23)/('Sheet1 select'!$B$27+'Sheet1 select'!$B$8)))+(('Sheet1 select'!$B$33+0.5*'Sheet1 select'!$B$32)/(('Sheet1 select'!$B$23)/('Sheet1 select'!$B$27+'Sheet1 select'!$B$9))))</f>
        <v>7.5215742123305764E-3</v>
      </c>
      <c r="L207" s="45">
        <f>(F207*$B$28)*(('Sheet1 select'!$B$12+'Sheet1 select'!$B$13)*(0.000000001))*$B$8*1000</f>
        <v>0</v>
      </c>
      <c r="M207" s="45">
        <f t="shared" si="23"/>
        <v>3.6617357284970928E-5</v>
      </c>
      <c r="N207" s="46">
        <f>$B$10*'Sheet1 select'!$B$29*0.001</f>
        <v>1.2E-2</v>
      </c>
      <c r="O207" s="44">
        <f>'Sheet1 select'!$B$10*'Sheet1 select'!$B$31*$B$8*1000*0.000000001</f>
        <v>3.0000000000000001E-3</v>
      </c>
      <c r="P207" s="44">
        <f>'Sheet1 select'!$B$35*$B$10*$B$8*1000*0.000000001</f>
        <v>0</v>
      </c>
      <c r="Q207" s="47">
        <f>IF('Sheet1 select'!$B$17=0,0,(0.00000006*0.7+0.00000003*(0.7+F207*1.1*'Sheet1 select'!$B$26))*F207*$B$8*1000)</f>
        <v>0</v>
      </c>
      <c r="R207" s="45">
        <f t="shared" ca="1" si="24"/>
        <v>0.2179528000812738</v>
      </c>
      <c r="S207" s="48">
        <f t="shared" ca="1" si="25"/>
        <v>0.92648203166514376</v>
      </c>
      <c r="T207" s="49">
        <f ca="1">H207+K207+O207+N207+'Sheet1 select'!$B$40*I207+J207+P207</f>
        <v>2.9384982723988807E-2</v>
      </c>
      <c r="U207" s="169">
        <f t="shared" ca="1" si="26"/>
        <v>1.7384982723988807E-2</v>
      </c>
      <c r="V207" s="47">
        <f t="shared" ca="1" si="27"/>
        <v>0</v>
      </c>
    </row>
    <row r="208" spans="5:22">
      <c r="E208" s="32">
        <v>207</v>
      </c>
      <c r="F208" s="45">
        <f t="shared" si="21"/>
        <v>0.55200000000000005</v>
      </c>
      <c r="G208" s="45">
        <f t="shared" si="22"/>
        <v>6.0940800000000003E-2</v>
      </c>
      <c r="H208" s="45">
        <f ca="1">F208*F208*('Sheet1 select'!$B$25)*$B$3</f>
        <v>6.9302052812716466E-3</v>
      </c>
      <c r="I208" s="45">
        <f>F208*(1-$B$3)*'Sheet1 select'!$B$41</f>
        <v>0.1288</v>
      </c>
      <c r="J208" s="45">
        <f ca="1">F208*F208*('Sheet1 select'!$B$26)*(1-$B$3)</f>
        <v>0</v>
      </c>
      <c r="K208" s="45">
        <f>0.0000005*$B$10*F208*$B$8*((('Sheet1 select'!$B$33+0.5*'Sheet1 select'!$B$32)/(('Sheet1 select'!$B$10-'Sheet1 select'!$B$23)/('Sheet1 select'!$B$27+'Sheet1 select'!$B$8)))+(('Sheet1 select'!$B$33+0.5*'Sheet1 select'!$B$32)/(('Sheet1 select'!$B$23)/('Sheet1 select'!$B$27+'Sheet1 select'!$B$9))))</f>
        <v>7.5580867085069375E-3</v>
      </c>
      <c r="L208" s="45">
        <f>(F208*$B$28)*(('Sheet1 select'!$B$12+'Sheet1 select'!$B$13)*(0.000000001))*$B$8*1000</f>
        <v>0</v>
      </c>
      <c r="M208" s="45">
        <f t="shared" si="23"/>
        <v>3.6617357284970928E-5</v>
      </c>
      <c r="N208" s="46">
        <f>$B$10*'Sheet1 select'!$B$29*0.001</f>
        <v>1.2E-2</v>
      </c>
      <c r="O208" s="44">
        <f>'Sheet1 select'!$B$10*'Sheet1 select'!$B$31*$B$8*1000*0.000000001</f>
        <v>3.0000000000000001E-3</v>
      </c>
      <c r="P208" s="44">
        <f>'Sheet1 select'!$B$35*$B$10*$B$8*1000*0.000000001</f>
        <v>0</v>
      </c>
      <c r="Q208" s="47">
        <f>IF('Sheet1 select'!$B$17=0,0,(0.00000006*0.7+0.00000003*(0.7+F208*1.1*'Sheet1 select'!$B$26))*F208*$B$8*1000)</f>
        <v>0</v>
      </c>
      <c r="R208" s="45">
        <f t="shared" ca="1" si="24"/>
        <v>0.21926570934706358</v>
      </c>
      <c r="S208" s="48">
        <f t="shared" ca="1" si="25"/>
        <v>0.92640276808505351</v>
      </c>
      <c r="T208" s="49">
        <f ca="1">H208+K208+O208+N208+'Sheet1 select'!$B$40*I208+J208+P208</f>
        <v>2.9488291989778585E-2</v>
      </c>
      <c r="U208" s="169">
        <f t="shared" ca="1" si="26"/>
        <v>1.7488291989778585E-2</v>
      </c>
      <c r="V208" s="47">
        <f t="shared" ca="1" si="27"/>
        <v>0</v>
      </c>
    </row>
    <row r="209" spans="5:22">
      <c r="E209" s="32">
        <v>208</v>
      </c>
      <c r="F209" s="45">
        <f t="shared" si="21"/>
        <v>0.55466666666666664</v>
      </c>
      <c r="G209" s="45">
        <f t="shared" si="22"/>
        <v>6.1531022222222218E-2</v>
      </c>
      <c r="H209" s="45">
        <f ca="1">F209*F209*('Sheet1 select'!$B$25)*$B$3</f>
        <v>6.9973255219243496E-3</v>
      </c>
      <c r="I209" s="45">
        <f>F209*(1-$B$3)*'Sheet1 select'!$B$41</f>
        <v>0.12942222222222219</v>
      </c>
      <c r="J209" s="45">
        <f ca="1">F209*F209*('Sheet1 select'!$B$26)*(1-$B$3)</f>
        <v>0</v>
      </c>
      <c r="K209" s="45">
        <f>0.0000005*$B$10*F209*$B$8*((('Sheet1 select'!$B$33+0.5*'Sheet1 select'!$B$32)/(('Sheet1 select'!$B$10-'Sheet1 select'!$B$23)/('Sheet1 select'!$B$27+'Sheet1 select'!$B$8)))+(('Sheet1 select'!$B$33+0.5*'Sheet1 select'!$B$32)/(('Sheet1 select'!$B$23)/('Sheet1 select'!$B$27+'Sheet1 select'!$B$9))))</f>
        <v>7.5945992046832977E-3</v>
      </c>
      <c r="L209" s="45">
        <f>(F209*$B$28)*(('Sheet1 select'!$B$12+'Sheet1 select'!$B$13)*(0.000000001))*$B$8*1000</f>
        <v>0</v>
      </c>
      <c r="M209" s="45">
        <f t="shared" si="23"/>
        <v>3.6617357284970928E-5</v>
      </c>
      <c r="N209" s="46">
        <f>$B$10*'Sheet1 select'!$B$29*0.001</f>
        <v>1.2E-2</v>
      </c>
      <c r="O209" s="44">
        <f>'Sheet1 select'!$B$10*'Sheet1 select'!$B$31*$B$8*1000*0.000000001</f>
        <v>3.0000000000000001E-3</v>
      </c>
      <c r="P209" s="44">
        <f>'Sheet1 select'!$B$35*$B$10*$B$8*1000*0.000000001</f>
        <v>0</v>
      </c>
      <c r="Q209" s="47">
        <f>IF('Sheet1 select'!$B$17=0,0,(0.00000006*0.7+0.00000003*(0.7+F209*1.1*'Sheet1 select'!$B$26))*F209*$B$8*1000)</f>
        <v>0</v>
      </c>
      <c r="R209" s="45">
        <f t="shared" ca="1" si="24"/>
        <v>0.22058178652833704</v>
      </c>
      <c r="S209" s="48">
        <f t="shared" ca="1" si="25"/>
        <v>0.92632329986077611</v>
      </c>
      <c r="T209" s="49">
        <f ca="1">H209+K209+O209+N209+'Sheet1 select'!$B$40*I209+J209+P209</f>
        <v>2.9591924726607648E-2</v>
      </c>
      <c r="U209" s="169">
        <f t="shared" ca="1" si="26"/>
        <v>1.7591924726607647E-2</v>
      </c>
      <c r="V209" s="47">
        <f t="shared" ca="1" si="27"/>
        <v>0</v>
      </c>
    </row>
    <row r="210" spans="5:22">
      <c r="E210" s="32">
        <v>209</v>
      </c>
      <c r="F210" s="45">
        <f t="shared" si="21"/>
        <v>0.55733333333333335</v>
      </c>
      <c r="G210" s="45">
        <f t="shared" si="22"/>
        <v>6.2124088888888894E-2</v>
      </c>
      <c r="H210" s="45">
        <f ca="1">F210*F210*('Sheet1 select'!$B$25)*$B$3</f>
        <v>7.0647692336163461E-3</v>
      </c>
      <c r="I210" s="45">
        <f>F210*(1-$B$3)*'Sheet1 select'!$B$41</f>
        <v>0.13004444444444443</v>
      </c>
      <c r="J210" s="45">
        <f ca="1">F210*F210*('Sheet1 select'!$B$26)*(1-$B$3)</f>
        <v>0</v>
      </c>
      <c r="K210" s="45">
        <f>0.0000005*$B$10*F210*$B$8*((('Sheet1 select'!$B$33+0.5*'Sheet1 select'!$B$32)/(('Sheet1 select'!$B$10-'Sheet1 select'!$B$23)/('Sheet1 select'!$B$27+'Sheet1 select'!$B$8)))+(('Sheet1 select'!$B$33+0.5*'Sheet1 select'!$B$32)/(('Sheet1 select'!$B$23)/('Sheet1 select'!$B$27+'Sheet1 select'!$B$9))))</f>
        <v>7.6311117008596614E-3</v>
      </c>
      <c r="L210" s="45">
        <f>(F210*$B$28)*(('Sheet1 select'!$B$12+'Sheet1 select'!$B$13)*(0.000000001))*$B$8*1000</f>
        <v>0</v>
      </c>
      <c r="M210" s="45">
        <f t="shared" si="23"/>
        <v>3.6617357284970928E-5</v>
      </c>
      <c r="N210" s="46">
        <f>$B$10*'Sheet1 select'!$B$29*0.001</f>
        <v>1.2E-2</v>
      </c>
      <c r="O210" s="44">
        <f>'Sheet1 select'!$B$10*'Sheet1 select'!$B$31*$B$8*1000*0.000000001</f>
        <v>3.0000000000000001E-3</v>
      </c>
      <c r="P210" s="44">
        <f>'Sheet1 select'!$B$35*$B$10*$B$8*1000*0.000000001</f>
        <v>0</v>
      </c>
      <c r="Q210" s="47">
        <f>IF('Sheet1 select'!$B$17=0,0,(0.00000006*0.7+0.00000003*(0.7+F210*1.1*'Sheet1 select'!$B$26))*F210*$B$8*1000)</f>
        <v>0</v>
      </c>
      <c r="R210" s="45">
        <f t="shared" ca="1" si="24"/>
        <v>0.22190103162509431</v>
      </c>
      <c r="S210" s="48">
        <f t="shared" ca="1" si="25"/>
        <v>0.92624363023272238</v>
      </c>
      <c r="T210" s="49">
        <f ca="1">H210+K210+O210+N210+'Sheet1 select'!$B$40*I210+J210+P210</f>
        <v>2.9695880934476008E-2</v>
      </c>
      <c r="U210" s="169">
        <f t="shared" ca="1" si="26"/>
        <v>1.7695880934476008E-2</v>
      </c>
      <c r="V210" s="47">
        <f t="shared" ca="1" si="27"/>
        <v>0</v>
      </c>
    </row>
    <row r="211" spans="5:22">
      <c r="E211" s="32">
        <v>210</v>
      </c>
      <c r="F211" s="45">
        <f t="shared" si="21"/>
        <v>0.56000000000000005</v>
      </c>
      <c r="G211" s="45">
        <f t="shared" si="22"/>
        <v>6.2720000000000012E-2</v>
      </c>
      <c r="H211" s="45">
        <f ca="1">F211*F211*('Sheet1 select'!$B$25)*$B$3</f>
        <v>7.1325364163476309E-3</v>
      </c>
      <c r="I211" s="45">
        <f>F211*(1-$B$3)*'Sheet1 select'!$B$41</f>
        <v>0.13066666666666668</v>
      </c>
      <c r="J211" s="45">
        <f ca="1">F211*F211*('Sheet1 select'!$B$26)*(1-$B$3)</f>
        <v>0</v>
      </c>
      <c r="K211" s="45">
        <f>0.0000005*$B$10*F211*$B$8*((('Sheet1 select'!$B$33+0.5*'Sheet1 select'!$B$32)/(('Sheet1 select'!$B$10-'Sheet1 select'!$B$23)/('Sheet1 select'!$B$27+'Sheet1 select'!$B$8)))+(('Sheet1 select'!$B$33+0.5*'Sheet1 select'!$B$32)/(('Sheet1 select'!$B$23)/('Sheet1 select'!$B$27+'Sheet1 select'!$B$9))))</f>
        <v>7.6676241970360243E-3</v>
      </c>
      <c r="L211" s="45">
        <f>(F211*$B$28)*(('Sheet1 select'!$B$12+'Sheet1 select'!$B$13)*(0.000000001))*$B$8*1000</f>
        <v>0</v>
      </c>
      <c r="M211" s="45">
        <f t="shared" si="23"/>
        <v>3.6617357284970928E-5</v>
      </c>
      <c r="N211" s="46">
        <f>$B$10*'Sheet1 select'!$B$29*0.001</f>
        <v>1.2E-2</v>
      </c>
      <c r="O211" s="44">
        <f>'Sheet1 select'!$B$10*'Sheet1 select'!$B$31*$B$8*1000*0.000000001</f>
        <v>3.0000000000000001E-3</v>
      </c>
      <c r="P211" s="44">
        <f>'Sheet1 select'!$B$35*$B$10*$B$8*1000*0.000000001</f>
        <v>0</v>
      </c>
      <c r="Q211" s="47">
        <f>IF('Sheet1 select'!$B$17=0,0,(0.00000006*0.7+0.00000003*(0.7+F211*1.1*'Sheet1 select'!$B$26))*F211*$B$8*1000)</f>
        <v>0</v>
      </c>
      <c r="R211" s="45">
        <f t="shared" ca="1" si="24"/>
        <v>0.22322344463733532</v>
      </c>
      <c r="S211" s="48">
        <f t="shared" ca="1" si="25"/>
        <v>0.92616376237975584</v>
      </c>
      <c r="T211" s="49">
        <f ca="1">H211+K211+O211+N211+'Sheet1 select'!$B$40*I211+J211+P211</f>
        <v>2.9800160613383656E-2</v>
      </c>
      <c r="U211" s="169">
        <f t="shared" ca="1" si="26"/>
        <v>1.7800160613383655E-2</v>
      </c>
      <c r="V211" s="47">
        <f t="shared" ca="1" si="27"/>
        <v>0</v>
      </c>
    </row>
    <row r="212" spans="5:22">
      <c r="E212" s="32">
        <v>211</v>
      </c>
      <c r="F212" s="45">
        <f t="shared" si="21"/>
        <v>0.56266666666666676</v>
      </c>
      <c r="G212" s="45">
        <f t="shared" si="22"/>
        <v>6.3318755555555564E-2</v>
      </c>
      <c r="H212" s="45">
        <f ca="1">F212*F212*('Sheet1 select'!$B$25)*$B$3</f>
        <v>7.2006270701182066E-3</v>
      </c>
      <c r="I212" s="45">
        <f>F212*(1-$B$3)*'Sheet1 select'!$B$41</f>
        <v>0.1312888888888889</v>
      </c>
      <c r="J212" s="45">
        <f ca="1">F212*F212*('Sheet1 select'!$B$26)*(1-$B$3)</f>
        <v>0</v>
      </c>
      <c r="K212" s="45">
        <f>0.0000005*$B$10*F212*$B$8*((('Sheet1 select'!$B$33+0.5*'Sheet1 select'!$B$32)/(('Sheet1 select'!$B$10-'Sheet1 select'!$B$23)/('Sheet1 select'!$B$27+'Sheet1 select'!$B$8)))+(('Sheet1 select'!$B$33+0.5*'Sheet1 select'!$B$32)/(('Sheet1 select'!$B$23)/('Sheet1 select'!$B$27+'Sheet1 select'!$B$9))))</f>
        <v>7.7041366932123871E-3</v>
      </c>
      <c r="L212" s="45">
        <f>(F212*$B$28)*(('Sheet1 select'!$B$12+'Sheet1 select'!$B$13)*(0.000000001))*$B$8*1000</f>
        <v>0</v>
      </c>
      <c r="M212" s="45">
        <f t="shared" si="23"/>
        <v>3.6617357284970928E-5</v>
      </c>
      <c r="N212" s="46">
        <f>$B$10*'Sheet1 select'!$B$29*0.001</f>
        <v>1.2E-2</v>
      </c>
      <c r="O212" s="44">
        <f>'Sheet1 select'!$B$10*'Sheet1 select'!$B$31*$B$8*1000*0.000000001</f>
        <v>3.0000000000000001E-3</v>
      </c>
      <c r="P212" s="44">
        <f>'Sheet1 select'!$B$35*$B$10*$B$8*1000*0.000000001</f>
        <v>0</v>
      </c>
      <c r="Q212" s="47">
        <f>IF('Sheet1 select'!$B$17=0,0,(0.00000006*0.7+0.00000003*(0.7+F212*1.1*'Sheet1 select'!$B$26))*F212*$B$8*1000)</f>
        <v>0</v>
      </c>
      <c r="R212" s="45">
        <f t="shared" ca="1" si="24"/>
        <v>0.22454902556506001</v>
      </c>
      <c r="S212" s="48">
        <f t="shared" ca="1" si="25"/>
        <v>0.92608369942064295</v>
      </c>
      <c r="T212" s="49">
        <f ca="1">H212+K212+O212+N212+'Sheet1 select'!$B$40*I212+J212+P212</f>
        <v>2.9904763763330594E-2</v>
      </c>
      <c r="U212" s="169">
        <f t="shared" ca="1" si="26"/>
        <v>1.7904763763330594E-2</v>
      </c>
      <c r="V212" s="47">
        <f t="shared" ca="1" si="27"/>
        <v>0</v>
      </c>
    </row>
    <row r="213" spans="5:22">
      <c r="E213" s="32">
        <v>212</v>
      </c>
      <c r="F213" s="45">
        <f t="shared" si="21"/>
        <v>0.56533333333333335</v>
      </c>
      <c r="G213" s="45">
        <f t="shared" si="22"/>
        <v>6.3920355555555572E-2</v>
      </c>
      <c r="H213" s="45">
        <f ca="1">F213*F213*('Sheet1 select'!$B$25)*$B$3</f>
        <v>7.2690411949280706E-3</v>
      </c>
      <c r="I213" s="45">
        <f>F213*(1-$B$3)*'Sheet1 select'!$B$41</f>
        <v>0.13191111111111109</v>
      </c>
      <c r="J213" s="45">
        <f ca="1">F213*F213*('Sheet1 select'!$B$26)*(1-$B$3)</f>
        <v>0</v>
      </c>
      <c r="K213" s="45">
        <f>0.0000005*$B$10*F213*$B$8*((('Sheet1 select'!$B$33+0.5*'Sheet1 select'!$B$32)/(('Sheet1 select'!$B$10-'Sheet1 select'!$B$23)/('Sheet1 select'!$B$27+'Sheet1 select'!$B$8)))+(('Sheet1 select'!$B$33+0.5*'Sheet1 select'!$B$32)/(('Sheet1 select'!$B$23)/('Sheet1 select'!$B$27+'Sheet1 select'!$B$9))))</f>
        <v>7.7406491893887474E-3</v>
      </c>
      <c r="L213" s="45">
        <f>(F213*$B$28)*(('Sheet1 select'!$B$12+'Sheet1 select'!$B$13)*(0.000000001))*$B$8*1000</f>
        <v>0</v>
      </c>
      <c r="M213" s="45">
        <f t="shared" si="23"/>
        <v>3.6617357284970928E-5</v>
      </c>
      <c r="N213" s="46">
        <f>$B$10*'Sheet1 select'!$B$29*0.001</f>
        <v>1.2E-2</v>
      </c>
      <c r="O213" s="44">
        <f>'Sheet1 select'!$B$10*'Sheet1 select'!$B$31*$B$8*1000*0.000000001</f>
        <v>3.0000000000000001E-3</v>
      </c>
      <c r="P213" s="44">
        <f>'Sheet1 select'!$B$35*$B$10*$B$8*1000*0.000000001</f>
        <v>0</v>
      </c>
      <c r="Q213" s="47">
        <f>IF('Sheet1 select'!$B$17=0,0,(0.00000006*0.7+0.00000003*(0.7+F213*1.1*'Sheet1 select'!$B$26))*F213*$B$8*1000)</f>
        <v>0</v>
      </c>
      <c r="R213" s="45">
        <f t="shared" ca="1" si="24"/>
        <v>0.22587777440826845</v>
      </c>
      <c r="S213" s="48">
        <f t="shared" ca="1" si="25"/>
        <v>0.92600344441546389</v>
      </c>
      <c r="T213" s="49">
        <f ca="1">H213+K213+O213+N213+'Sheet1 select'!$B$40*I213+J213+P213</f>
        <v>3.0009690384316817E-2</v>
      </c>
      <c r="U213" s="169">
        <f t="shared" ca="1" si="26"/>
        <v>1.8009690384316816E-2</v>
      </c>
      <c r="V213" s="47">
        <f t="shared" ca="1" si="27"/>
        <v>0</v>
      </c>
    </row>
    <row r="214" spans="5:22">
      <c r="E214" s="32">
        <v>213</v>
      </c>
      <c r="F214" s="45">
        <f t="shared" si="21"/>
        <v>0.56800000000000006</v>
      </c>
      <c r="G214" s="45">
        <f t="shared" si="22"/>
        <v>6.4524800000000021E-2</v>
      </c>
      <c r="H214" s="45">
        <f ca="1">F214*F214*('Sheet1 select'!$B$25)*$B$3</f>
        <v>7.3377787907772263E-3</v>
      </c>
      <c r="I214" s="45">
        <f>F214*(1-$B$3)*'Sheet1 select'!$B$41</f>
        <v>0.13253333333333334</v>
      </c>
      <c r="J214" s="45">
        <f ca="1">F214*F214*('Sheet1 select'!$B$26)*(1-$B$3)</f>
        <v>0</v>
      </c>
      <c r="K214" s="45">
        <f>0.0000005*$B$10*F214*$B$8*((('Sheet1 select'!$B$33+0.5*'Sheet1 select'!$B$32)/(('Sheet1 select'!$B$10-'Sheet1 select'!$B$23)/('Sheet1 select'!$B$27+'Sheet1 select'!$B$8)))+(('Sheet1 select'!$B$33+0.5*'Sheet1 select'!$B$32)/(('Sheet1 select'!$B$23)/('Sheet1 select'!$B$27+'Sheet1 select'!$B$9))))</f>
        <v>7.7771616855651102E-3</v>
      </c>
      <c r="L214" s="45">
        <f>(F214*$B$28)*(('Sheet1 select'!$B$12+'Sheet1 select'!$B$13)*(0.000000001))*$B$8*1000</f>
        <v>0</v>
      </c>
      <c r="M214" s="45">
        <f t="shared" si="23"/>
        <v>3.6617357284970928E-5</v>
      </c>
      <c r="N214" s="46">
        <f>$B$10*'Sheet1 select'!$B$29*0.001</f>
        <v>1.2E-2</v>
      </c>
      <c r="O214" s="44">
        <f>'Sheet1 select'!$B$10*'Sheet1 select'!$B$31*$B$8*1000*0.000000001</f>
        <v>3.0000000000000001E-3</v>
      </c>
      <c r="P214" s="44">
        <f>'Sheet1 select'!$B$35*$B$10*$B$8*1000*0.000000001</f>
        <v>0</v>
      </c>
      <c r="Q214" s="47">
        <f>IF('Sheet1 select'!$B$17=0,0,(0.00000006*0.7+0.00000003*(0.7+F214*1.1*'Sheet1 select'!$B$26))*F214*$B$8*1000)</f>
        <v>0</v>
      </c>
      <c r="R214" s="45">
        <f t="shared" ca="1" si="24"/>
        <v>0.22720969116696066</v>
      </c>
      <c r="S214" s="48">
        <f t="shared" ca="1" si="25"/>
        <v>0.92592300036698316</v>
      </c>
      <c r="T214" s="49">
        <f ca="1">H214+K214+O214+N214+'Sheet1 select'!$B$40*I214+J214+P214</f>
        <v>3.0114940476342337E-2</v>
      </c>
      <c r="U214" s="169">
        <f t="shared" ca="1" si="26"/>
        <v>1.8114940476342337E-2</v>
      </c>
      <c r="V214" s="47">
        <f t="shared" ca="1" si="27"/>
        <v>0</v>
      </c>
    </row>
    <row r="215" spans="5:22">
      <c r="E215" s="32">
        <v>214</v>
      </c>
      <c r="F215" s="45">
        <f t="shared" si="21"/>
        <v>0.57066666666666677</v>
      </c>
      <c r="G215" s="45">
        <f t="shared" si="22"/>
        <v>6.5132088888888912E-2</v>
      </c>
      <c r="H215" s="45">
        <f ca="1">F215*F215*('Sheet1 select'!$B$25)*$B$3</f>
        <v>7.406839857665673E-3</v>
      </c>
      <c r="I215" s="45">
        <f>F215*(1-$B$3)*'Sheet1 select'!$B$41</f>
        <v>0.13315555555555555</v>
      </c>
      <c r="J215" s="45">
        <f ca="1">F215*F215*('Sheet1 select'!$B$26)*(1-$B$3)</f>
        <v>0</v>
      </c>
      <c r="K215" s="45">
        <f>0.0000005*$B$10*F215*$B$8*((('Sheet1 select'!$B$33+0.5*'Sheet1 select'!$B$32)/(('Sheet1 select'!$B$10-'Sheet1 select'!$B$23)/('Sheet1 select'!$B$27+'Sheet1 select'!$B$8)))+(('Sheet1 select'!$B$33+0.5*'Sheet1 select'!$B$32)/(('Sheet1 select'!$B$23)/('Sheet1 select'!$B$27+'Sheet1 select'!$B$9))))</f>
        <v>7.8136741817414739E-3</v>
      </c>
      <c r="L215" s="45">
        <f>(F215*$B$28)*(('Sheet1 select'!$B$12+'Sheet1 select'!$B$13)*(0.000000001))*$B$8*1000</f>
        <v>0</v>
      </c>
      <c r="M215" s="45">
        <f t="shared" si="23"/>
        <v>3.6617357284970928E-5</v>
      </c>
      <c r="N215" s="46">
        <f>$B$10*'Sheet1 select'!$B$29*0.001</f>
        <v>1.2E-2</v>
      </c>
      <c r="O215" s="44">
        <f>'Sheet1 select'!$B$10*'Sheet1 select'!$B$31*$B$8*1000*0.000000001</f>
        <v>3.0000000000000001E-3</v>
      </c>
      <c r="P215" s="44">
        <f>'Sheet1 select'!$B$35*$B$10*$B$8*1000*0.000000001</f>
        <v>0</v>
      </c>
      <c r="Q215" s="47">
        <f>IF('Sheet1 select'!$B$17=0,0,(0.00000006*0.7+0.00000003*(0.7+F215*1.1*'Sheet1 select'!$B$26))*F215*$B$8*1000)</f>
        <v>0</v>
      </c>
      <c r="R215" s="45">
        <f t="shared" ca="1" si="24"/>
        <v>0.22854477584113658</v>
      </c>
      <c r="S215" s="48">
        <f t="shared" ca="1" si="25"/>
        <v>0.92584237022198268</v>
      </c>
      <c r="T215" s="49">
        <f ca="1">H215+K215+O215+N215+'Sheet1 select'!$B$40*I215+J215+P215</f>
        <v>3.0220514039407148E-2</v>
      </c>
      <c r="U215" s="169">
        <f t="shared" ca="1" si="26"/>
        <v>1.8220514039407148E-2</v>
      </c>
      <c r="V215" s="47">
        <f t="shared" ca="1" si="27"/>
        <v>0</v>
      </c>
    </row>
    <row r="216" spans="5:22">
      <c r="E216" s="32">
        <v>215</v>
      </c>
      <c r="F216" s="45">
        <f t="shared" si="21"/>
        <v>0.57333333333333336</v>
      </c>
      <c r="G216" s="45">
        <f t="shared" si="22"/>
        <v>6.574222222222223E-2</v>
      </c>
      <c r="H216" s="45">
        <f ca="1">F216*F216*('Sheet1 select'!$B$25)*$B$3</f>
        <v>7.4762243955934053E-3</v>
      </c>
      <c r="I216" s="45">
        <f>F216*(1-$B$3)*'Sheet1 select'!$B$41</f>
        <v>0.13377777777777777</v>
      </c>
      <c r="J216" s="45">
        <f ca="1">F216*F216*('Sheet1 select'!$B$26)*(1-$B$3)</f>
        <v>0</v>
      </c>
      <c r="K216" s="45">
        <f>0.0000005*$B$10*F216*$B$8*((('Sheet1 select'!$B$33+0.5*'Sheet1 select'!$B$32)/(('Sheet1 select'!$B$10-'Sheet1 select'!$B$23)/('Sheet1 select'!$B$27+'Sheet1 select'!$B$8)))+(('Sheet1 select'!$B$33+0.5*'Sheet1 select'!$B$32)/(('Sheet1 select'!$B$23)/('Sheet1 select'!$B$27+'Sheet1 select'!$B$9))))</f>
        <v>7.8501866779178333E-3</v>
      </c>
      <c r="L216" s="45">
        <f>(F216*$B$28)*(('Sheet1 select'!$B$12+'Sheet1 select'!$B$13)*(0.000000001))*$B$8*1000</f>
        <v>0</v>
      </c>
      <c r="M216" s="45">
        <f t="shared" si="23"/>
        <v>3.6617357284970928E-5</v>
      </c>
      <c r="N216" s="46">
        <f>$B$10*'Sheet1 select'!$B$29*0.001</f>
        <v>1.2E-2</v>
      </c>
      <c r="O216" s="44">
        <f>'Sheet1 select'!$B$10*'Sheet1 select'!$B$31*$B$8*1000*0.000000001</f>
        <v>3.0000000000000001E-3</v>
      </c>
      <c r="P216" s="44">
        <f>'Sheet1 select'!$B$35*$B$10*$B$8*1000*0.000000001</f>
        <v>0</v>
      </c>
      <c r="Q216" s="47">
        <f>IF('Sheet1 select'!$B$17=0,0,(0.00000006*0.7+0.00000003*(0.7+F216*1.1*'Sheet1 select'!$B$26))*F216*$B$8*1000)</f>
        <v>0</v>
      </c>
      <c r="R216" s="45">
        <f t="shared" ca="1" si="24"/>
        <v>0.22988302843079622</v>
      </c>
      <c r="S216" s="48">
        <f t="shared" ca="1" si="25"/>
        <v>0.92576155687255635</v>
      </c>
      <c r="T216" s="49">
        <f ca="1">H216+K216+O216+N216+'Sheet1 select'!$B$40*I216+J216+P216</f>
        <v>3.032641107351124E-2</v>
      </c>
      <c r="U216" s="169">
        <f t="shared" ca="1" si="26"/>
        <v>1.832641107351124E-2</v>
      </c>
      <c r="V216" s="47">
        <f t="shared" ca="1" si="27"/>
        <v>0</v>
      </c>
    </row>
    <row r="217" spans="5:22">
      <c r="E217" s="32">
        <v>216</v>
      </c>
      <c r="F217" s="45">
        <f t="shared" si="21"/>
        <v>0.57600000000000007</v>
      </c>
      <c r="G217" s="45">
        <f t="shared" si="22"/>
        <v>6.6355200000000017E-2</v>
      </c>
      <c r="H217" s="45">
        <f ca="1">F217*F217*('Sheet1 select'!$B$25)*$B$3</f>
        <v>7.5459324045604329E-3</v>
      </c>
      <c r="I217" s="45">
        <f>F217*(1-$B$3)*'Sheet1 select'!$B$41</f>
        <v>0.13440000000000002</v>
      </c>
      <c r="J217" s="45">
        <f ca="1">F217*F217*('Sheet1 select'!$B$26)*(1-$B$3)</f>
        <v>0</v>
      </c>
      <c r="K217" s="45">
        <f>0.0000005*$B$10*F217*$B$8*((('Sheet1 select'!$B$33+0.5*'Sheet1 select'!$B$32)/(('Sheet1 select'!$B$10-'Sheet1 select'!$B$23)/('Sheet1 select'!$B$27+'Sheet1 select'!$B$8)))+(('Sheet1 select'!$B$33+0.5*'Sheet1 select'!$B$32)/(('Sheet1 select'!$B$23)/('Sheet1 select'!$B$27+'Sheet1 select'!$B$9))))</f>
        <v>7.8866991740941961E-3</v>
      </c>
      <c r="L217" s="45">
        <f>(F217*$B$28)*(('Sheet1 select'!$B$12+'Sheet1 select'!$B$13)*(0.000000001))*$B$8*1000</f>
        <v>0</v>
      </c>
      <c r="M217" s="45">
        <f t="shared" si="23"/>
        <v>3.6617357284970928E-5</v>
      </c>
      <c r="N217" s="46">
        <f>$B$10*'Sheet1 select'!$B$29*0.001</f>
        <v>1.2E-2</v>
      </c>
      <c r="O217" s="44">
        <f>'Sheet1 select'!$B$10*'Sheet1 select'!$B$31*$B$8*1000*0.000000001</f>
        <v>3.0000000000000001E-3</v>
      </c>
      <c r="P217" s="44">
        <f>'Sheet1 select'!$B$35*$B$10*$B$8*1000*0.000000001</f>
        <v>0</v>
      </c>
      <c r="Q217" s="47">
        <f>IF('Sheet1 select'!$B$17=0,0,(0.00000006*0.7+0.00000003*(0.7+F217*1.1*'Sheet1 select'!$B$26))*F217*$B$8*1000)</f>
        <v>0</v>
      </c>
      <c r="R217" s="45">
        <f t="shared" ca="1" si="24"/>
        <v>0.23122444893593966</v>
      </c>
      <c r="S217" s="48">
        <f t="shared" ca="1" si="25"/>
        <v>0.92568056315737046</v>
      </c>
      <c r="T217" s="49">
        <f ca="1">H217+K217+O217+N217+'Sheet1 select'!$B$40*I217+J217+P217</f>
        <v>3.0432631578654629E-2</v>
      </c>
      <c r="U217" s="169">
        <f t="shared" ca="1" si="26"/>
        <v>1.8432631578654629E-2</v>
      </c>
      <c r="V217" s="47">
        <f t="shared" ca="1" si="27"/>
        <v>0</v>
      </c>
    </row>
    <row r="218" spans="5:22">
      <c r="E218" s="32">
        <v>217</v>
      </c>
      <c r="F218" s="45">
        <f t="shared" si="21"/>
        <v>0.57866666666666677</v>
      </c>
      <c r="G218" s="45">
        <f t="shared" si="22"/>
        <v>6.6971022222222246E-2</v>
      </c>
      <c r="H218" s="45">
        <f ca="1">F218*F218*('Sheet1 select'!$B$25)*$B$3</f>
        <v>7.6159638845667496E-3</v>
      </c>
      <c r="I218" s="45">
        <f>F218*(1-$B$3)*'Sheet1 select'!$B$41</f>
        <v>0.13502222222222224</v>
      </c>
      <c r="J218" s="45">
        <f ca="1">F218*F218*('Sheet1 select'!$B$26)*(1-$B$3)</f>
        <v>0</v>
      </c>
      <c r="K218" s="45">
        <f>0.0000005*$B$10*F218*$B$8*((('Sheet1 select'!$B$33+0.5*'Sheet1 select'!$B$32)/(('Sheet1 select'!$B$10-'Sheet1 select'!$B$23)/('Sheet1 select'!$B$27+'Sheet1 select'!$B$8)))+(('Sheet1 select'!$B$33+0.5*'Sheet1 select'!$B$32)/(('Sheet1 select'!$B$23)/('Sheet1 select'!$B$27+'Sheet1 select'!$B$9))))</f>
        <v>7.923211670270559E-3</v>
      </c>
      <c r="L218" s="45">
        <f>(F218*$B$28)*(('Sheet1 select'!$B$12+'Sheet1 select'!$B$13)*(0.000000001))*$B$8*1000</f>
        <v>0</v>
      </c>
      <c r="M218" s="45">
        <f t="shared" si="23"/>
        <v>3.6617357284970928E-5</v>
      </c>
      <c r="N218" s="46">
        <f>$B$10*'Sheet1 select'!$B$29*0.001</f>
        <v>1.2E-2</v>
      </c>
      <c r="O218" s="44">
        <f>'Sheet1 select'!$B$10*'Sheet1 select'!$B$31*$B$8*1000*0.000000001</f>
        <v>3.0000000000000001E-3</v>
      </c>
      <c r="P218" s="44">
        <f>'Sheet1 select'!$B$35*$B$10*$B$8*1000*0.000000001</f>
        <v>0</v>
      </c>
      <c r="Q218" s="47">
        <f>IF('Sheet1 select'!$B$17=0,0,(0.00000006*0.7+0.00000003*(0.7+F218*1.1*'Sheet1 select'!$B$26))*F218*$B$8*1000)</f>
        <v>0</v>
      </c>
      <c r="R218" s="45">
        <f t="shared" ca="1" si="24"/>
        <v>0.23256903735656675</v>
      </c>
      <c r="S218" s="48">
        <f t="shared" ca="1" si="25"/>
        <v>0.92559939186288853</v>
      </c>
      <c r="T218" s="49">
        <f ca="1">H218+K218+O218+N218+'Sheet1 select'!$B$40*I218+J218+P218</f>
        <v>3.053917555483731E-2</v>
      </c>
      <c r="U218" s="169">
        <f t="shared" ca="1" si="26"/>
        <v>1.853917555483731E-2</v>
      </c>
      <c r="V218" s="47">
        <f t="shared" ca="1" si="27"/>
        <v>0</v>
      </c>
    </row>
    <row r="219" spans="5:22">
      <c r="E219" s="32">
        <v>218</v>
      </c>
      <c r="F219" s="45">
        <f t="shared" si="21"/>
        <v>0.58133333333333337</v>
      </c>
      <c r="G219" s="45">
        <f t="shared" si="22"/>
        <v>6.7589688888888902E-2</v>
      </c>
      <c r="H219" s="45">
        <f ca="1">F219*F219*('Sheet1 select'!$B$25)*$B$3</f>
        <v>7.6863188356123529E-3</v>
      </c>
      <c r="I219" s="45">
        <f>F219*(1-$B$3)*'Sheet1 select'!$B$41</f>
        <v>0.13564444444444443</v>
      </c>
      <c r="J219" s="45">
        <f ca="1">F219*F219*('Sheet1 select'!$B$26)*(1-$B$3)</f>
        <v>0</v>
      </c>
      <c r="K219" s="45">
        <f>0.0000005*$B$10*F219*$B$8*((('Sheet1 select'!$B$33+0.5*'Sheet1 select'!$B$32)/(('Sheet1 select'!$B$10-'Sheet1 select'!$B$23)/('Sheet1 select'!$B$27+'Sheet1 select'!$B$8)))+(('Sheet1 select'!$B$33+0.5*'Sheet1 select'!$B$32)/(('Sheet1 select'!$B$23)/('Sheet1 select'!$B$27+'Sheet1 select'!$B$9))))</f>
        <v>7.9597241664469201E-3</v>
      </c>
      <c r="L219" s="45">
        <f>(F219*$B$28)*(('Sheet1 select'!$B$12+'Sheet1 select'!$B$13)*(0.000000001))*$B$8*1000</f>
        <v>0</v>
      </c>
      <c r="M219" s="45">
        <f t="shared" si="23"/>
        <v>3.6617357284970928E-5</v>
      </c>
      <c r="N219" s="46">
        <f>$B$10*'Sheet1 select'!$B$29*0.001</f>
        <v>1.2E-2</v>
      </c>
      <c r="O219" s="44">
        <f>'Sheet1 select'!$B$10*'Sheet1 select'!$B$31*$B$8*1000*0.000000001</f>
        <v>3.0000000000000001E-3</v>
      </c>
      <c r="P219" s="44">
        <f>'Sheet1 select'!$B$35*$B$10*$B$8*1000*0.000000001</f>
        <v>0</v>
      </c>
      <c r="Q219" s="47">
        <f>IF('Sheet1 select'!$B$17=0,0,(0.00000006*0.7+0.00000003*(0.7+F219*1.1*'Sheet1 select'!$B$26))*F219*$B$8*1000)</f>
        <v>0</v>
      </c>
      <c r="R219" s="45">
        <f t="shared" ca="1" si="24"/>
        <v>0.23391679369267757</v>
      </c>
      <c r="S219" s="48">
        <f t="shared" ca="1" si="25"/>
        <v>0.92551804572456331</v>
      </c>
      <c r="T219" s="49">
        <f ca="1">H219+K219+O219+N219+'Sheet1 select'!$B$40*I219+J219+P219</f>
        <v>3.0646043002059274E-2</v>
      </c>
      <c r="U219" s="169">
        <f t="shared" ca="1" si="26"/>
        <v>1.8646043002059274E-2</v>
      </c>
      <c r="V219" s="47">
        <f t="shared" ca="1" si="27"/>
        <v>0</v>
      </c>
    </row>
    <row r="220" spans="5:22">
      <c r="E220" s="32">
        <v>219</v>
      </c>
      <c r="F220" s="45">
        <f t="shared" si="21"/>
        <v>0.58400000000000007</v>
      </c>
      <c r="G220" s="45">
        <f t="shared" si="22"/>
        <v>6.8211200000000027E-2</v>
      </c>
      <c r="H220" s="45">
        <f ca="1">F220*F220*('Sheet1 select'!$B$25)*$B$3</f>
        <v>7.7569972576972505E-3</v>
      </c>
      <c r="I220" s="45">
        <f>F220*(1-$B$3)*'Sheet1 select'!$B$41</f>
        <v>0.13626666666666667</v>
      </c>
      <c r="J220" s="45">
        <f ca="1">F220*F220*('Sheet1 select'!$B$26)*(1-$B$3)</f>
        <v>0</v>
      </c>
      <c r="K220" s="45">
        <f>0.0000005*$B$10*F220*$B$8*((('Sheet1 select'!$B$33+0.5*'Sheet1 select'!$B$32)/(('Sheet1 select'!$B$10-'Sheet1 select'!$B$23)/('Sheet1 select'!$B$27+'Sheet1 select'!$B$8)))+(('Sheet1 select'!$B$33+0.5*'Sheet1 select'!$B$32)/(('Sheet1 select'!$B$23)/('Sheet1 select'!$B$27+'Sheet1 select'!$B$9))))</f>
        <v>7.9962366626232829E-3</v>
      </c>
      <c r="L220" s="45">
        <f>(F220*$B$28)*(('Sheet1 select'!$B$12+'Sheet1 select'!$B$13)*(0.000000001))*$B$8*1000</f>
        <v>0</v>
      </c>
      <c r="M220" s="45">
        <f t="shared" si="23"/>
        <v>3.6617357284970928E-5</v>
      </c>
      <c r="N220" s="46">
        <f>$B$10*'Sheet1 select'!$B$29*0.001</f>
        <v>1.2E-2</v>
      </c>
      <c r="O220" s="44">
        <f>'Sheet1 select'!$B$10*'Sheet1 select'!$B$31*$B$8*1000*0.000000001</f>
        <v>3.0000000000000001E-3</v>
      </c>
      <c r="P220" s="44">
        <f>'Sheet1 select'!$B$35*$B$10*$B$8*1000*0.000000001</f>
        <v>0</v>
      </c>
      <c r="Q220" s="47">
        <f>IF('Sheet1 select'!$B$17=0,0,(0.00000006*0.7+0.00000003*(0.7+F220*1.1*'Sheet1 select'!$B$26))*F220*$B$8*1000)</f>
        <v>0</v>
      </c>
      <c r="R220" s="45">
        <f t="shared" ca="1" si="24"/>
        <v>0.23526771794427223</v>
      </c>
      <c r="S220" s="48">
        <f t="shared" ca="1" si="25"/>
        <v>0.92543652742799443</v>
      </c>
      <c r="T220" s="49">
        <f ca="1">H220+K220+O220+N220+'Sheet1 select'!$B$40*I220+J220+P220</f>
        <v>3.0753233920320533E-2</v>
      </c>
      <c r="U220" s="169">
        <f t="shared" ca="1" si="26"/>
        <v>1.8753233920320533E-2</v>
      </c>
      <c r="V220" s="47">
        <f t="shared" ca="1" si="27"/>
        <v>0</v>
      </c>
    </row>
    <row r="221" spans="5:22">
      <c r="E221" s="32">
        <v>220</v>
      </c>
      <c r="F221" s="45">
        <f t="shared" si="21"/>
        <v>0.58666666666666667</v>
      </c>
      <c r="G221" s="45">
        <f t="shared" si="22"/>
        <v>6.8835555555555566E-2</v>
      </c>
      <c r="H221" s="45">
        <f ca="1">F221*F221*('Sheet1 select'!$B$25)*$B$3</f>
        <v>7.8279991508214339E-3</v>
      </c>
      <c r="I221" s="45">
        <f>F221*(1-$B$3)*'Sheet1 select'!$B$41</f>
        <v>0.13688888888888889</v>
      </c>
      <c r="J221" s="45">
        <f ca="1">F221*F221*('Sheet1 select'!$B$26)*(1-$B$3)</f>
        <v>0</v>
      </c>
      <c r="K221" s="45">
        <f>0.0000005*$B$10*F221*$B$8*((('Sheet1 select'!$B$33+0.5*'Sheet1 select'!$B$32)/(('Sheet1 select'!$B$10-'Sheet1 select'!$B$23)/('Sheet1 select'!$B$27+'Sheet1 select'!$B$8)))+(('Sheet1 select'!$B$33+0.5*'Sheet1 select'!$B$32)/(('Sheet1 select'!$B$23)/('Sheet1 select'!$B$27+'Sheet1 select'!$B$9))))</f>
        <v>8.0327491587996423E-3</v>
      </c>
      <c r="L221" s="45">
        <f>(F221*$B$28)*(('Sheet1 select'!$B$12+'Sheet1 select'!$B$13)*(0.000000001))*$B$8*1000</f>
        <v>0</v>
      </c>
      <c r="M221" s="45">
        <f t="shared" si="23"/>
        <v>3.6617357284970928E-5</v>
      </c>
      <c r="N221" s="46">
        <f>$B$10*'Sheet1 select'!$B$29*0.001</f>
        <v>1.2E-2</v>
      </c>
      <c r="O221" s="44">
        <f>'Sheet1 select'!$B$10*'Sheet1 select'!$B$31*$B$8*1000*0.000000001</f>
        <v>3.0000000000000001E-3</v>
      </c>
      <c r="P221" s="44">
        <f>'Sheet1 select'!$B$35*$B$10*$B$8*1000*0.000000001</f>
        <v>0</v>
      </c>
      <c r="Q221" s="47">
        <f>IF('Sheet1 select'!$B$17=0,0,(0.00000006*0.7+0.00000003*(0.7+F221*1.1*'Sheet1 select'!$B$26))*F221*$B$8*1000)</f>
        <v>0</v>
      </c>
      <c r="R221" s="45">
        <f t="shared" ca="1" si="24"/>
        <v>0.23662181011135053</v>
      </c>
      <c r="S221" s="48">
        <f t="shared" ca="1" si="25"/>
        <v>0.92535483961005793</v>
      </c>
      <c r="T221" s="49">
        <f ca="1">H221+K221+O221+N221+'Sheet1 select'!$B$40*I221+J221+P221</f>
        <v>3.0860748309621076E-2</v>
      </c>
      <c r="U221" s="169">
        <f t="shared" ca="1" si="26"/>
        <v>1.8860748309621075E-2</v>
      </c>
      <c r="V221" s="47">
        <f t="shared" ca="1" si="27"/>
        <v>0</v>
      </c>
    </row>
    <row r="222" spans="5:22">
      <c r="E222" s="32">
        <v>221</v>
      </c>
      <c r="F222" s="45">
        <f t="shared" si="21"/>
        <v>0.58933333333333338</v>
      </c>
      <c r="G222" s="45">
        <f t="shared" si="22"/>
        <v>6.9462755555555561E-2</v>
      </c>
      <c r="H222" s="45">
        <f ca="1">F222*F222*('Sheet1 select'!$B$25)*$B$3</f>
        <v>7.8993245149849133E-3</v>
      </c>
      <c r="I222" s="45">
        <f>F222*(1-$B$3)*'Sheet1 select'!$B$41</f>
        <v>0.13751111111111111</v>
      </c>
      <c r="J222" s="45">
        <f ca="1">F222*F222*('Sheet1 select'!$B$26)*(1-$B$3)</f>
        <v>0</v>
      </c>
      <c r="K222" s="45">
        <f>0.0000005*$B$10*F222*$B$8*((('Sheet1 select'!$B$33+0.5*'Sheet1 select'!$B$32)/(('Sheet1 select'!$B$10-'Sheet1 select'!$B$23)/('Sheet1 select'!$B$27+'Sheet1 select'!$B$8)))+(('Sheet1 select'!$B$33+0.5*'Sheet1 select'!$B$32)/(('Sheet1 select'!$B$23)/('Sheet1 select'!$B$27+'Sheet1 select'!$B$9))))</f>
        <v>8.0692616549760052E-3</v>
      </c>
      <c r="L222" s="45">
        <f>(F222*$B$28)*(('Sheet1 select'!$B$12+'Sheet1 select'!$B$13)*(0.000000001))*$B$8*1000</f>
        <v>0</v>
      </c>
      <c r="M222" s="45">
        <f t="shared" si="23"/>
        <v>3.6617357284970928E-5</v>
      </c>
      <c r="N222" s="46">
        <f>$B$10*'Sheet1 select'!$B$29*0.001</f>
        <v>1.2E-2</v>
      </c>
      <c r="O222" s="44">
        <f>'Sheet1 select'!$B$10*'Sheet1 select'!$B$31*$B$8*1000*0.000000001</f>
        <v>3.0000000000000001E-3</v>
      </c>
      <c r="P222" s="44">
        <f>'Sheet1 select'!$B$35*$B$10*$B$8*1000*0.000000001</f>
        <v>0</v>
      </c>
      <c r="Q222" s="47">
        <f>IF('Sheet1 select'!$B$17=0,0,(0.00000006*0.7+0.00000003*(0.7+F222*1.1*'Sheet1 select'!$B$26))*F222*$B$8*1000)</f>
        <v>0</v>
      </c>
      <c r="R222" s="45">
        <f t="shared" ca="1" si="24"/>
        <v>0.2379790701939126</v>
      </c>
      <c r="S222" s="48">
        <f t="shared" ca="1" si="25"/>
        <v>0.92527298486000131</v>
      </c>
      <c r="T222" s="49">
        <f ca="1">H222+K222+O222+N222+'Sheet1 select'!$B$40*I222+J222+P222</f>
        <v>3.096858616996092E-2</v>
      </c>
      <c r="U222" s="169">
        <f t="shared" ca="1" si="26"/>
        <v>1.8968586169960919E-2</v>
      </c>
      <c r="V222" s="47">
        <f t="shared" ca="1" si="27"/>
        <v>0</v>
      </c>
    </row>
    <row r="223" spans="5:22">
      <c r="E223" s="32">
        <v>222</v>
      </c>
      <c r="F223" s="45">
        <f t="shared" si="21"/>
        <v>0.59200000000000008</v>
      </c>
      <c r="G223" s="45">
        <f t="shared" si="22"/>
        <v>7.0092800000000025E-2</v>
      </c>
      <c r="H223" s="45">
        <f ca="1">F223*F223*('Sheet1 select'!$B$25)*$B$3</f>
        <v>7.9709733501876785E-3</v>
      </c>
      <c r="I223" s="45">
        <f>F223*(1-$B$3)*'Sheet1 select'!$B$41</f>
        <v>0.13813333333333333</v>
      </c>
      <c r="J223" s="45">
        <f ca="1">F223*F223*('Sheet1 select'!$B$26)*(1-$B$3)</f>
        <v>0</v>
      </c>
      <c r="K223" s="45">
        <f>0.0000005*$B$10*F223*$B$8*((('Sheet1 select'!$B$33+0.5*'Sheet1 select'!$B$32)/(('Sheet1 select'!$B$10-'Sheet1 select'!$B$23)/('Sheet1 select'!$B$27+'Sheet1 select'!$B$8)))+(('Sheet1 select'!$B$33+0.5*'Sheet1 select'!$B$32)/(('Sheet1 select'!$B$23)/('Sheet1 select'!$B$27+'Sheet1 select'!$B$9))))</f>
        <v>8.105774151152368E-3</v>
      </c>
      <c r="L223" s="45">
        <f>(F223*$B$28)*(('Sheet1 select'!$B$12+'Sheet1 select'!$B$13)*(0.000000001))*$B$8*1000</f>
        <v>0</v>
      </c>
      <c r="M223" s="45">
        <f t="shared" si="23"/>
        <v>3.6617357284970928E-5</v>
      </c>
      <c r="N223" s="46">
        <f>$B$10*'Sheet1 select'!$B$29*0.001</f>
        <v>1.2E-2</v>
      </c>
      <c r="O223" s="44">
        <f>'Sheet1 select'!$B$10*'Sheet1 select'!$B$31*$B$8*1000*0.000000001</f>
        <v>3.0000000000000001E-3</v>
      </c>
      <c r="P223" s="44">
        <f>'Sheet1 select'!$B$35*$B$10*$B$8*1000*0.000000001</f>
        <v>0</v>
      </c>
      <c r="Q223" s="47">
        <f>IF('Sheet1 select'!$B$17=0,0,(0.00000006*0.7+0.00000003*(0.7+F223*1.1*'Sheet1 select'!$B$26))*F223*$B$8*1000)</f>
        <v>0</v>
      </c>
      <c r="R223" s="45">
        <f t="shared" ca="1" si="24"/>
        <v>0.23933949819195841</v>
      </c>
      <c r="S223" s="48">
        <f t="shared" ca="1" si="25"/>
        <v>0.92519096572051318</v>
      </c>
      <c r="T223" s="49">
        <f ca="1">H223+K223+O223+N223+'Sheet1 select'!$B$40*I223+J223+P223</f>
        <v>3.1076747501340048E-2</v>
      </c>
      <c r="U223" s="169">
        <f t="shared" ca="1" si="26"/>
        <v>1.9076747501340047E-2</v>
      </c>
      <c r="V223" s="47">
        <f t="shared" ca="1" si="27"/>
        <v>0</v>
      </c>
    </row>
    <row r="224" spans="5:22">
      <c r="E224" s="32">
        <v>223</v>
      </c>
      <c r="F224" s="45">
        <f t="shared" si="21"/>
        <v>0.59466666666666668</v>
      </c>
      <c r="G224" s="45">
        <f t="shared" si="22"/>
        <v>7.0725688888888902E-2</v>
      </c>
      <c r="H224" s="45">
        <f ca="1">F224*F224*('Sheet1 select'!$B$25)*$B$3</f>
        <v>8.0429456564297345E-3</v>
      </c>
      <c r="I224" s="45">
        <f>F224*(1-$B$3)*'Sheet1 select'!$B$41</f>
        <v>0.13875555555555555</v>
      </c>
      <c r="J224" s="45">
        <f ca="1">F224*F224*('Sheet1 select'!$B$26)*(1-$B$3)</f>
        <v>0</v>
      </c>
      <c r="K224" s="45">
        <f>0.0000005*$B$10*F224*$B$8*((('Sheet1 select'!$B$33+0.5*'Sheet1 select'!$B$32)/(('Sheet1 select'!$B$10-'Sheet1 select'!$B$23)/('Sheet1 select'!$B$27+'Sheet1 select'!$B$8)))+(('Sheet1 select'!$B$33+0.5*'Sheet1 select'!$B$32)/(('Sheet1 select'!$B$23)/('Sheet1 select'!$B$27+'Sheet1 select'!$B$9))))</f>
        <v>8.1422866473287291E-3</v>
      </c>
      <c r="L224" s="45">
        <f>(F224*$B$28)*(('Sheet1 select'!$B$12+'Sheet1 select'!$B$13)*(0.000000001))*$B$8*1000</f>
        <v>0</v>
      </c>
      <c r="M224" s="45">
        <f t="shared" si="23"/>
        <v>3.6617357284970928E-5</v>
      </c>
      <c r="N224" s="46">
        <f>$B$10*'Sheet1 select'!$B$29*0.001</f>
        <v>1.2E-2</v>
      </c>
      <c r="O224" s="44">
        <f>'Sheet1 select'!$B$10*'Sheet1 select'!$B$31*$B$8*1000*0.000000001</f>
        <v>3.0000000000000001E-3</v>
      </c>
      <c r="P224" s="44">
        <f>'Sheet1 select'!$B$35*$B$10*$B$8*1000*0.000000001</f>
        <v>0</v>
      </c>
      <c r="Q224" s="47">
        <f>IF('Sheet1 select'!$B$17=0,0,(0.00000006*0.7+0.00000003*(0.7+F224*1.1*'Sheet1 select'!$B$26))*F224*$B$8*1000)</f>
        <v>0</v>
      </c>
      <c r="R224" s="45">
        <f t="shared" ca="1" si="24"/>
        <v>0.2407030941054879</v>
      </c>
      <c r="S224" s="48">
        <f t="shared" ca="1" si="25"/>
        <v>0.92510878468876045</v>
      </c>
      <c r="T224" s="49">
        <f ca="1">H224+K224+O224+N224+'Sheet1 select'!$B$40*I224+J224+P224</f>
        <v>3.1185232303758463E-2</v>
      </c>
      <c r="U224" s="169">
        <f t="shared" ca="1" si="26"/>
        <v>1.9185232303758463E-2</v>
      </c>
      <c r="V224" s="47">
        <f t="shared" ca="1" si="27"/>
        <v>0</v>
      </c>
    </row>
    <row r="225" spans="5:22">
      <c r="E225" s="32">
        <v>224</v>
      </c>
      <c r="F225" s="45">
        <f t="shared" si="21"/>
        <v>0.59733333333333338</v>
      </c>
      <c r="G225" s="45">
        <f t="shared" si="22"/>
        <v>7.1361422222222234E-2</v>
      </c>
      <c r="H225" s="45">
        <f ca="1">F225*F225*('Sheet1 select'!$B$25)*$B$3</f>
        <v>8.1152414337110831E-3</v>
      </c>
      <c r="I225" s="45">
        <f>F225*(1-$B$3)*'Sheet1 select'!$B$41</f>
        <v>0.13937777777777779</v>
      </c>
      <c r="J225" s="45">
        <f ca="1">F225*F225*('Sheet1 select'!$B$26)*(1-$B$3)</f>
        <v>0</v>
      </c>
      <c r="K225" s="45">
        <f>0.0000005*$B$10*F225*$B$8*((('Sheet1 select'!$B$33+0.5*'Sheet1 select'!$B$32)/(('Sheet1 select'!$B$10-'Sheet1 select'!$B$23)/('Sheet1 select'!$B$27+'Sheet1 select'!$B$8)))+(('Sheet1 select'!$B$33+0.5*'Sheet1 select'!$B$32)/(('Sheet1 select'!$B$23)/('Sheet1 select'!$B$27+'Sheet1 select'!$B$9))))</f>
        <v>8.178799143505092E-3</v>
      </c>
      <c r="L225" s="45">
        <f>(F225*$B$28)*(('Sheet1 select'!$B$12+'Sheet1 select'!$B$13)*(0.000000001))*$B$8*1000</f>
        <v>0</v>
      </c>
      <c r="M225" s="45">
        <f t="shared" si="23"/>
        <v>3.6617357284970928E-5</v>
      </c>
      <c r="N225" s="46">
        <f>$B$10*'Sheet1 select'!$B$29*0.001</f>
        <v>1.2E-2</v>
      </c>
      <c r="O225" s="44">
        <f>'Sheet1 select'!$B$10*'Sheet1 select'!$B$31*$B$8*1000*0.000000001</f>
        <v>3.0000000000000001E-3</v>
      </c>
      <c r="P225" s="44">
        <f>'Sheet1 select'!$B$35*$B$10*$B$8*1000*0.000000001</f>
        <v>0</v>
      </c>
      <c r="Q225" s="47">
        <f>IF('Sheet1 select'!$B$17=0,0,(0.00000006*0.7+0.00000003*(0.7+F225*1.1*'Sheet1 select'!$B$26))*F225*$B$8*1000)</f>
        <v>0</v>
      </c>
      <c r="R225" s="45">
        <f t="shared" ca="1" si="24"/>
        <v>0.24206985793450117</v>
      </c>
      <c r="S225" s="48">
        <f t="shared" ca="1" si="25"/>
        <v>0.92502644421740077</v>
      </c>
      <c r="T225" s="49">
        <f ca="1">H225+K225+O225+N225+'Sheet1 select'!$B$40*I225+J225+P225</f>
        <v>3.1294040577216173E-2</v>
      </c>
      <c r="U225" s="169">
        <f t="shared" ca="1" si="26"/>
        <v>1.9294040577216173E-2</v>
      </c>
      <c r="V225" s="47">
        <f t="shared" ca="1" si="27"/>
        <v>0</v>
      </c>
    </row>
    <row r="226" spans="5:22">
      <c r="E226" s="32">
        <v>225</v>
      </c>
      <c r="F226" s="45">
        <f t="shared" si="21"/>
        <v>0.6</v>
      </c>
      <c r="G226" s="45">
        <f t="shared" si="22"/>
        <v>7.2000000000000008E-2</v>
      </c>
      <c r="H226" s="45">
        <f ca="1">F226*F226*('Sheet1 select'!$B$25)*$B$3</f>
        <v>8.1878606820317175E-3</v>
      </c>
      <c r="I226" s="45">
        <f>F226*(1-$B$3)*'Sheet1 select'!$B$41</f>
        <v>0.13999999999999999</v>
      </c>
      <c r="J226" s="45">
        <f ca="1">F226*F226*('Sheet1 select'!$B$26)*(1-$B$3)</f>
        <v>0</v>
      </c>
      <c r="K226" s="45">
        <f>0.0000005*$B$10*F226*$B$8*((('Sheet1 select'!$B$33+0.5*'Sheet1 select'!$B$32)/(('Sheet1 select'!$B$10-'Sheet1 select'!$B$23)/('Sheet1 select'!$B$27+'Sheet1 select'!$B$8)))+(('Sheet1 select'!$B$33+0.5*'Sheet1 select'!$B$32)/(('Sheet1 select'!$B$23)/('Sheet1 select'!$B$27+'Sheet1 select'!$B$9))))</f>
        <v>8.2153116396814531E-3</v>
      </c>
      <c r="L226" s="45">
        <f>(F226*$B$28)*(('Sheet1 select'!$B$12+'Sheet1 select'!$B$13)*(0.000000001))*$B$8*1000</f>
        <v>0</v>
      </c>
      <c r="M226" s="45">
        <f t="shared" si="23"/>
        <v>3.6617357284970928E-5</v>
      </c>
      <c r="N226" s="46">
        <f>$B$10*'Sheet1 select'!$B$29*0.001</f>
        <v>1.2E-2</v>
      </c>
      <c r="O226" s="44">
        <f>'Sheet1 select'!$B$10*'Sheet1 select'!$B$31*$B$8*1000*0.000000001</f>
        <v>3.0000000000000001E-3</v>
      </c>
      <c r="P226" s="44">
        <f>'Sheet1 select'!$B$35*$B$10*$B$8*1000*0.000000001</f>
        <v>0</v>
      </c>
      <c r="Q226" s="47">
        <f>IF('Sheet1 select'!$B$17=0,0,(0.00000006*0.7+0.00000003*(0.7+F226*1.1*'Sheet1 select'!$B$26))*F226*$B$8*1000)</f>
        <v>0</v>
      </c>
      <c r="R226" s="45">
        <f t="shared" ca="1" si="24"/>
        <v>0.24343978967899815</v>
      </c>
      <c r="S226" s="48">
        <f t="shared" ca="1" si="25"/>
        <v>0.92494394671556668</v>
      </c>
      <c r="T226" s="49">
        <f ca="1">H226+K226+O226+N226+'Sheet1 select'!$B$40*I226+J226+P226</f>
        <v>3.140317232171317E-2</v>
      </c>
      <c r="U226" s="169">
        <f t="shared" ca="1" si="26"/>
        <v>1.940317232171317E-2</v>
      </c>
      <c r="V226" s="47">
        <f t="shared" ca="1" si="27"/>
        <v>0</v>
      </c>
    </row>
    <row r="227" spans="5:22">
      <c r="E227" s="32">
        <v>226</v>
      </c>
      <c r="F227" s="45">
        <f t="shared" si="21"/>
        <v>0.60266666666666668</v>
      </c>
      <c r="G227" s="45">
        <f t="shared" si="22"/>
        <v>7.2641422222222238E-2</v>
      </c>
      <c r="H227" s="45">
        <f ca="1">F227*F227*('Sheet1 select'!$B$25)*$B$3</f>
        <v>8.2608034013916462E-3</v>
      </c>
      <c r="I227" s="45">
        <f>F227*(1-$B$3)*'Sheet1 select'!$B$41</f>
        <v>0.1406222222222222</v>
      </c>
      <c r="J227" s="45">
        <f ca="1">F227*F227*('Sheet1 select'!$B$26)*(1-$B$3)</f>
        <v>0</v>
      </c>
      <c r="K227" s="45">
        <f>0.0000005*$B$10*F227*$B$8*((('Sheet1 select'!$B$33+0.5*'Sheet1 select'!$B$32)/(('Sheet1 select'!$B$10-'Sheet1 select'!$B$23)/('Sheet1 select'!$B$27+'Sheet1 select'!$B$8)))+(('Sheet1 select'!$B$33+0.5*'Sheet1 select'!$B$32)/(('Sheet1 select'!$B$23)/('Sheet1 select'!$B$27+'Sheet1 select'!$B$9))))</f>
        <v>8.2518241358578159E-3</v>
      </c>
      <c r="L227" s="45">
        <f>(F227*$B$28)*(('Sheet1 select'!$B$12+'Sheet1 select'!$B$13)*(0.000000001))*$B$8*1000</f>
        <v>0</v>
      </c>
      <c r="M227" s="45">
        <f t="shared" si="23"/>
        <v>3.6617357284970928E-5</v>
      </c>
      <c r="N227" s="46">
        <f>$B$10*'Sheet1 select'!$B$29*0.001</f>
        <v>1.2E-2</v>
      </c>
      <c r="O227" s="44">
        <f>'Sheet1 select'!$B$10*'Sheet1 select'!$B$31*$B$8*1000*0.000000001</f>
        <v>3.0000000000000001E-3</v>
      </c>
      <c r="P227" s="44">
        <f>'Sheet1 select'!$B$35*$B$10*$B$8*1000*0.000000001</f>
        <v>0</v>
      </c>
      <c r="Q227" s="47">
        <f>IF('Sheet1 select'!$B$17=0,0,(0.00000006*0.7+0.00000003*(0.7+F227*1.1*'Sheet1 select'!$B$26))*F227*$B$8*1000)</f>
        <v>0</v>
      </c>
      <c r="R227" s="45">
        <f t="shared" ca="1" si="24"/>
        <v>0.24481288933897888</v>
      </c>
      <c r="S227" s="48">
        <f t="shared" ca="1" si="25"/>
        <v>0.9248612945498238</v>
      </c>
      <c r="T227" s="49">
        <f ca="1">H227+K227+O227+N227+'Sheet1 select'!$B$40*I227+J227+P227</f>
        <v>3.1512627537249462E-2</v>
      </c>
      <c r="U227" s="169">
        <f t="shared" ca="1" si="26"/>
        <v>1.9512627537249461E-2</v>
      </c>
      <c r="V227" s="47">
        <f t="shared" ca="1" si="27"/>
        <v>0</v>
      </c>
    </row>
    <row r="228" spans="5:22">
      <c r="E228" s="32">
        <v>227</v>
      </c>
      <c r="F228" s="45">
        <f t="shared" si="21"/>
        <v>0.60533333333333339</v>
      </c>
      <c r="G228" s="45">
        <f t="shared" si="22"/>
        <v>7.3285688888888895E-2</v>
      </c>
      <c r="H228" s="45">
        <f ca="1">F228*F228*('Sheet1 select'!$B$25)*$B$3</f>
        <v>8.3340695917908623E-3</v>
      </c>
      <c r="I228" s="45">
        <f>F228*(1-$B$3)*'Sheet1 select'!$B$41</f>
        <v>0.14124444444444445</v>
      </c>
      <c r="J228" s="45">
        <f ca="1">F228*F228*('Sheet1 select'!$B$26)*(1-$B$3)</f>
        <v>0</v>
      </c>
      <c r="K228" s="45">
        <f>0.0000005*$B$10*F228*$B$8*((('Sheet1 select'!$B$33+0.5*'Sheet1 select'!$B$32)/(('Sheet1 select'!$B$10-'Sheet1 select'!$B$23)/('Sheet1 select'!$B$27+'Sheet1 select'!$B$8)))+(('Sheet1 select'!$B$33+0.5*'Sheet1 select'!$B$32)/(('Sheet1 select'!$B$23)/('Sheet1 select'!$B$27+'Sheet1 select'!$B$9))))</f>
        <v>8.2883366320341788E-3</v>
      </c>
      <c r="L228" s="45">
        <f>(F228*$B$28)*(('Sheet1 select'!$B$12+'Sheet1 select'!$B$13)*(0.000000001))*$B$8*1000</f>
        <v>0</v>
      </c>
      <c r="M228" s="45">
        <f t="shared" si="23"/>
        <v>3.6617357284970928E-5</v>
      </c>
      <c r="N228" s="46">
        <f>$B$10*'Sheet1 select'!$B$29*0.001</f>
        <v>1.2E-2</v>
      </c>
      <c r="O228" s="44">
        <f>'Sheet1 select'!$B$10*'Sheet1 select'!$B$31*$B$8*1000*0.000000001</f>
        <v>3.0000000000000001E-3</v>
      </c>
      <c r="P228" s="44">
        <f>'Sheet1 select'!$B$35*$B$10*$B$8*1000*0.000000001</f>
        <v>0</v>
      </c>
      <c r="Q228" s="47">
        <f>IF('Sheet1 select'!$B$17=0,0,(0.00000006*0.7+0.00000003*(0.7+F228*1.1*'Sheet1 select'!$B$26))*F228*$B$8*1000)</f>
        <v>0</v>
      </c>
      <c r="R228" s="45">
        <f t="shared" ca="1" si="24"/>
        <v>0.24618915691444337</v>
      </c>
      <c r="S228" s="48">
        <f t="shared" ca="1" si="25"/>
        <v>0.92477849004510471</v>
      </c>
      <c r="T228" s="49">
        <f ca="1">H228+K228+O228+N228+'Sheet1 select'!$B$40*I228+J228+P228</f>
        <v>3.1622406223825041E-2</v>
      </c>
      <c r="U228" s="169">
        <f t="shared" ca="1" si="26"/>
        <v>1.962240622382504E-2</v>
      </c>
      <c r="V228" s="47">
        <f t="shared" ca="1" si="27"/>
        <v>0</v>
      </c>
    </row>
    <row r="229" spans="5:22">
      <c r="E229" s="32">
        <v>228</v>
      </c>
      <c r="F229" s="45">
        <f t="shared" si="21"/>
        <v>0.60799999999999998</v>
      </c>
      <c r="G229" s="45">
        <f t="shared" si="22"/>
        <v>7.3932800000000007E-2</v>
      </c>
      <c r="H229" s="45">
        <f ca="1">F229*F229*('Sheet1 select'!$B$25)*$B$3</f>
        <v>8.4076592532293694E-3</v>
      </c>
      <c r="I229" s="45">
        <f>F229*(1-$B$3)*'Sheet1 select'!$B$41</f>
        <v>0.14186666666666667</v>
      </c>
      <c r="J229" s="45">
        <f ca="1">F229*F229*('Sheet1 select'!$B$26)*(1-$B$3)</f>
        <v>0</v>
      </c>
      <c r="K229" s="45">
        <f>0.0000005*$B$10*F229*$B$8*((('Sheet1 select'!$B$33+0.5*'Sheet1 select'!$B$32)/(('Sheet1 select'!$B$10-'Sheet1 select'!$B$23)/('Sheet1 select'!$B$27+'Sheet1 select'!$B$8)))+(('Sheet1 select'!$B$33+0.5*'Sheet1 select'!$B$32)/(('Sheet1 select'!$B$23)/('Sheet1 select'!$B$27+'Sheet1 select'!$B$9))))</f>
        <v>8.3248491282105399E-3</v>
      </c>
      <c r="L229" s="45">
        <f>(F229*$B$28)*(('Sheet1 select'!$B$12+'Sheet1 select'!$B$13)*(0.000000001))*$B$8*1000</f>
        <v>0</v>
      </c>
      <c r="M229" s="45">
        <f t="shared" si="23"/>
        <v>3.6617357284970928E-5</v>
      </c>
      <c r="N229" s="46">
        <f>$B$10*'Sheet1 select'!$B$29*0.001</f>
        <v>1.2E-2</v>
      </c>
      <c r="O229" s="44">
        <f>'Sheet1 select'!$B$10*'Sheet1 select'!$B$31*$B$8*1000*0.000000001</f>
        <v>3.0000000000000001E-3</v>
      </c>
      <c r="P229" s="44">
        <f>'Sheet1 select'!$B$35*$B$10*$B$8*1000*0.000000001</f>
        <v>0</v>
      </c>
      <c r="Q229" s="47">
        <f>IF('Sheet1 select'!$B$17=0,0,(0.00000006*0.7+0.00000003*(0.7+F229*1.1*'Sheet1 select'!$B$26))*F229*$B$8*1000)</f>
        <v>0</v>
      </c>
      <c r="R229" s="45">
        <f t="shared" ca="1" si="24"/>
        <v>0.24756859240539159</v>
      </c>
      <c r="S229" s="48">
        <f t="shared" ca="1" si="25"/>
        <v>0.92469553548561711</v>
      </c>
      <c r="T229" s="49">
        <f ca="1">H229+K229+O229+N229+'Sheet1 select'!$B$40*I229+J229+P229</f>
        <v>3.1732508381439907E-2</v>
      </c>
      <c r="U229" s="169">
        <f t="shared" ca="1" si="26"/>
        <v>1.9732508381439907E-2</v>
      </c>
      <c r="V229" s="47">
        <f t="shared" ca="1" si="27"/>
        <v>0</v>
      </c>
    </row>
    <row r="230" spans="5:22">
      <c r="E230" s="32">
        <v>229</v>
      </c>
      <c r="F230" s="45">
        <f t="shared" si="21"/>
        <v>0.61066666666666669</v>
      </c>
      <c r="G230" s="45">
        <f t="shared" si="22"/>
        <v>7.458275555555556E-2</v>
      </c>
      <c r="H230" s="45">
        <f ca="1">F230*F230*('Sheet1 select'!$B$25)*$B$3</f>
        <v>8.4815723857071656E-3</v>
      </c>
      <c r="I230" s="45">
        <f>F230*(1-$B$3)*'Sheet1 select'!$B$41</f>
        <v>0.14248888888888889</v>
      </c>
      <c r="J230" s="45">
        <f ca="1">F230*F230*('Sheet1 select'!$B$26)*(1-$B$3)</f>
        <v>0</v>
      </c>
      <c r="K230" s="45">
        <f>0.0000005*$B$10*F230*$B$8*((('Sheet1 select'!$B$33+0.5*'Sheet1 select'!$B$32)/(('Sheet1 select'!$B$10-'Sheet1 select'!$B$23)/('Sheet1 select'!$B$27+'Sheet1 select'!$B$8)))+(('Sheet1 select'!$B$33+0.5*'Sheet1 select'!$B$32)/(('Sheet1 select'!$B$23)/('Sheet1 select'!$B$27+'Sheet1 select'!$B$9))))</f>
        <v>8.361361624386901E-3</v>
      </c>
      <c r="L230" s="45">
        <f>(F230*$B$28)*(('Sheet1 select'!$B$12+'Sheet1 select'!$B$13)*(0.000000001))*$B$8*1000</f>
        <v>0</v>
      </c>
      <c r="M230" s="45">
        <f t="shared" si="23"/>
        <v>3.6617357284970928E-5</v>
      </c>
      <c r="N230" s="46">
        <f>$B$10*'Sheet1 select'!$B$29*0.001</f>
        <v>1.2E-2</v>
      </c>
      <c r="O230" s="44">
        <f>'Sheet1 select'!$B$10*'Sheet1 select'!$B$31*$B$8*1000*0.000000001</f>
        <v>3.0000000000000001E-3</v>
      </c>
      <c r="P230" s="44">
        <f>'Sheet1 select'!$B$35*$B$10*$B$8*1000*0.000000001</f>
        <v>0</v>
      </c>
      <c r="Q230" s="47">
        <f>IF('Sheet1 select'!$B$17=0,0,(0.00000006*0.7+0.00000003*(0.7+F230*1.1*'Sheet1 select'!$B$26))*F230*$B$8*1000)</f>
        <v>0</v>
      </c>
      <c r="R230" s="45">
        <f t="shared" ca="1" si="24"/>
        <v>0.24895119581182348</v>
      </c>
      <c r="S230" s="48">
        <f t="shared" ca="1" si="25"/>
        <v>0.92461243311572905</v>
      </c>
      <c r="T230" s="49">
        <f ca="1">H230+K230+O230+N230+'Sheet1 select'!$B$40*I230+J230+P230</f>
        <v>3.1842934010094068E-2</v>
      </c>
      <c r="U230" s="169">
        <f t="shared" ca="1" si="26"/>
        <v>1.9842934010094068E-2</v>
      </c>
      <c r="V230" s="47">
        <f t="shared" ca="1" si="27"/>
        <v>0</v>
      </c>
    </row>
    <row r="231" spans="5:22">
      <c r="E231" s="32">
        <v>230</v>
      </c>
      <c r="F231" s="45">
        <f t="shared" si="21"/>
        <v>0.61333333333333329</v>
      </c>
      <c r="G231" s="45">
        <f t="shared" si="22"/>
        <v>7.5235555555555556E-2</v>
      </c>
      <c r="H231" s="45">
        <f ca="1">F231*F231*('Sheet1 select'!$B$25)*$B$3</f>
        <v>8.5558089892242527E-3</v>
      </c>
      <c r="I231" s="45">
        <f>F231*(1-$B$3)*'Sheet1 select'!$B$41</f>
        <v>0.14311111111111108</v>
      </c>
      <c r="J231" s="45">
        <f ca="1">F231*F231*('Sheet1 select'!$B$26)*(1-$B$3)</f>
        <v>0</v>
      </c>
      <c r="K231" s="45">
        <f>0.0000005*$B$10*F231*$B$8*((('Sheet1 select'!$B$33+0.5*'Sheet1 select'!$B$32)/(('Sheet1 select'!$B$10-'Sheet1 select'!$B$23)/('Sheet1 select'!$B$27+'Sheet1 select'!$B$8)))+(('Sheet1 select'!$B$33+0.5*'Sheet1 select'!$B$32)/(('Sheet1 select'!$B$23)/('Sheet1 select'!$B$27+'Sheet1 select'!$B$9))))</f>
        <v>8.3978741205632639E-3</v>
      </c>
      <c r="L231" s="45">
        <f>(F231*$B$28)*(('Sheet1 select'!$B$12+'Sheet1 select'!$B$13)*(0.000000001))*$B$8*1000</f>
        <v>0</v>
      </c>
      <c r="M231" s="45">
        <f t="shared" si="23"/>
        <v>3.6617357284970928E-5</v>
      </c>
      <c r="N231" s="46">
        <f>$B$10*'Sheet1 select'!$B$29*0.001</f>
        <v>1.2E-2</v>
      </c>
      <c r="O231" s="44">
        <f>'Sheet1 select'!$B$10*'Sheet1 select'!$B$31*$B$8*1000*0.000000001</f>
        <v>3.0000000000000001E-3</v>
      </c>
      <c r="P231" s="44">
        <f>'Sheet1 select'!$B$35*$B$10*$B$8*1000*0.000000001</f>
        <v>0</v>
      </c>
      <c r="Q231" s="47">
        <f>IF('Sheet1 select'!$B$17=0,0,(0.00000006*0.7+0.00000003*(0.7+F231*1.1*'Sheet1 select'!$B$26))*F231*$B$8*1000)</f>
        <v>0</v>
      </c>
      <c r="R231" s="45">
        <f t="shared" ca="1" si="24"/>
        <v>0.2503369671337391</v>
      </c>
      <c r="S231" s="48">
        <f t="shared" ca="1" si="25"/>
        <v>0.9245291851408316</v>
      </c>
      <c r="T231" s="49">
        <f ca="1">H231+K231+O231+N231+'Sheet1 select'!$B$40*I231+J231+P231</f>
        <v>3.1953683109787516E-2</v>
      </c>
      <c r="U231" s="169">
        <f t="shared" ca="1" si="26"/>
        <v>1.9953683109787516E-2</v>
      </c>
      <c r="V231" s="47">
        <f t="shared" ca="1" si="27"/>
        <v>0</v>
      </c>
    </row>
    <row r="232" spans="5:22">
      <c r="E232" s="32">
        <v>231</v>
      </c>
      <c r="F232" s="45">
        <f t="shared" si="21"/>
        <v>0.61599999999999999</v>
      </c>
      <c r="G232" s="45">
        <f t="shared" si="22"/>
        <v>7.5891200000000006E-2</v>
      </c>
      <c r="H232" s="45">
        <f ca="1">F232*F232*('Sheet1 select'!$B$25)*$B$3</f>
        <v>8.6303690637806324E-3</v>
      </c>
      <c r="I232" s="45">
        <f>F232*(1-$B$3)*'Sheet1 select'!$B$41</f>
        <v>0.14373333333333332</v>
      </c>
      <c r="J232" s="45">
        <f ca="1">F232*F232*('Sheet1 select'!$B$26)*(1-$B$3)</f>
        <v>0</v>
      </c>
      <c r="K232" s="45">
        <f>0.0000005*$B$10*F232*$B$8*((('Sheet1 select'!$B$33+0.5*'Sheet1 select'!$B$32)/(('Sheet1 select'!$B$10-'Sheet1 select'!$B$23)/('Sheet1 select'!$B$27+'Sheet1 select'!$B$8)))+(('Sheet1 select'!$B$33+0.5*'Sheet1 select'!$B$32)/(('Sheet1 select'!$B$23)/('Sheet1 select'!$B$27+'Sheet1 select'!$B$9))))</f>
        <v>8.434386616739625E-3</v>
      </c>
      <c r="L232" s="45">
        <f>(F232*$B$28)*(('Sheet1 select'!$B$12+'Sheet1 select'!$B$13)*(0.000000001))*$B$8*1000</f>
        <v>0</v>
      </c>
      <c r="M232" s="45">
        <f t="shared" si="23"/>
        <v>3.6617357284970928E-5</v>
      </c>
      <c r="N232" s="46">
        <f>$B$10*'Sheet1 select'!$B$29*0.001</f>
        <v>1.2E-2</v>
      </c>
      <c r="O232" s="44">
        <f>'Sheet1 select'!$B$10*'Sheet1 select'!$B$31*$B$8*1000*0.000000001</f>
        <v>3.0000000000000001E-3</v>
      </c>
      <c r="P232" s="44">
        <f>'Sheet1 select'!$B$35*$B$10*$B$8*1000*0.000000001</f>
        <v>0</v>
      </c>
      <c r="Q232" s="47">
        <f>IF('Sheet1 select'!$B$17=0,0,(0.00000006*0.7+0.00000003*(0.7+F232*1.1*'Sheet1 select'!$B$26))*F232*$B$8*1000)</f>
        <v>0</v>
      </c>
      <c r="R232" s="45">
        <f t="shared" ca="1" si="24"/>
        <v>0.25172590637113856</v>
      </c>
      <c r="S232" s="48">
        <f t="shared" ca="1" si="25"/>
        <v>0.92444579372817781</v>
      </c>
      <c r="T232" s="49">
        <f ca="1">H232+K232+O232+N232+'Sheet1 select'!$B$40*I232+J232+P232</f>
        <v>3.2064755680520259E-2</v>
      </c>
      <c r="U232" s="169">
        <f t="shared" ca="1" si="26"/>
        <v>2.0064755680520258E-2</v>
      </c>
      <c r="V232" s="47">
        <f t="shared" ca="1" si="27"/>
        <v>0</v>
      </c>
    </row>
    <row r="233" spans="5:22">
      <c r="E233" s="32">
        <v>232</v>
      </c>
      <c r="F233" s="45">
        <f t="shared" si="21"/>
        <v>0.6186666666666667</v>
      </c>
      <c r="G233" s="45">
        <f t="shared" si="22"/>
        <v>7.6549688888888898E-2</v>
      </c>
      <c r="H233" s="45">
        <f ca="1">F233*F233*('Sheet1 select'!$B$25)*$B$3</f>
        <v>8.7052526093763013E-3</v>
      </c>
      <c r="I233" s="45">
        <f>F233*(1-$B$3)*'Sheet1 select'!$B$41</f>
        <v>0.14435555555555554</v>
      </c>
      <c r="J233" s="45">
        <f ca="1">F233*F233*('Sheet1 select'!$B$26)*(1-$B$3)</f>
        <v>0</v>
      </c>
      <c r="K233" s="45">
        <f>0.0000005*$B$10*F233*$B$8*((('Sheet1 select'!$B$33+0.5*'Sheet1 select'!$B$32)/(('Sheet1 select'!$B$10-'Sheet1 select'!$B$23)/('Sheet1 select'!$B$27+'Sheet1 select'!$B$8)))+(('Sheet1 select'!$B$33+0.5*'Sheet1 select'!$B$32)/(('Sheet1 select'!$B$23)/('Sheet1 select'!$B$27+'Sheet1 select'!$B$9))))</f>
        <v>8.4708991129159878E-3</v>
      </c>
      <c r="L233" s="45">
        <f>(F233*$B$28)*(('Sheet1 select'!$B$12+'Sheet1 select'!$B$13)*(0.000000001))*$B$8*1000</f>
        <v>0</v>
      </c>
      <c r="M233" s="45">
        <f t="shared" si="23"/>
        <v>3.6617357284970928E-5</v>
      </c>
      <c r="N233" s="46">
        <f>$B$10*'Sheet1 select'!$B$29*0.001</f>
        <v>1.2E-2</v>
      </c>
      <c r="O233" s="44">
        <f>'Sheet1 select'!$B$10*'Sheet1 select'!$B$31*$B$8*1000*0.000000001</f>
        <v>3.0000000000000001E-3</v>
      </c>
      <c r="P233" s="44">
        <f>'Sheet1 select'!$B$35*$B$10*$B$8*1000*0.000000001</f>
        <v>0</v>
      </c>
      <c r="Q233" s="47">
        <f>IF('Sheet1 select'!$B$17=0,0,(0.00000006*0.7+0.00000003*(0.7+F233*1.1*'Sheet1 select'!$B$26))*F233*$B$8*1000)</f>
        <v>0</v>
      </c>
      <c r="R233" s="45">
        <f t="shared" ca="1" si="24"/>
        <v>0.25311801352402169</v>
      </c>
      <c r="S233" s="48">
        <f t="shared" ca="1" si="25"/>
        <v>0.92436226100770169</v>
      </c>
      <c r="T233" s="49">
        <f ca="1">H233+K233+O233+N233+'Sheet1 select'!$B$40*I233+J233+P233</f>
        <v>3.2176151722292289E-2</v>
      </c>
      <c r="U233" s="169">
        <f t="shared" ca="1" si="26"/>
        <v>2.0176151722292288E-2</v>
      </c>
      <c r="V233" s="47">
        <f t="shared" ca="1" si="27"/>
        <v>0</v>
      </c>
    </row>
    <row r="234" spans="5:22">
      <c r="E234" s="32">
        <v>233</v>
      </c>
      <c r="F234" s="45">
        <f t="shared" si="21"/>
        <v>0.6213333333333334</v>
      </c>
      <c r="G234" s="45">
        <f t="shared" si="22"/>
        <v>7.7211022222222245E-2</v>
      </c>
      <c r="H234" s="45">
        <f ca="1">F234*F234*('Sheet1 select'!$B$25)*$B$3</f>
        <v>8.7804596260112593E-3</v>
      </c>
      <c r="I234" s="45">
        <f>F234*(1-$B$3)*'Sheet1 select'!$B$41</f>
        <v>0.14497777777777779</v>
      </c>
      <c r="J234" s="45">
        <f ca="1">F234*F234*('Sheet1 select'!$B$26)*(1-$B$3)</f>
        <v>0</v>
      </c>
      <c r="K234" s="45">
        <f>0.0000005*$B$10*F234*$B$8*((('Sheet1 select'!$B$33+0.5*'Sheet1 select'!$B$32)/(('Sheet1 select'!$B$10-'Sheet1 select'!$B$23)/('Sheet1 select'!$B$27+'Sheet1 select'!$B$8)))+(('Sheet1 select'!$B$33+0.5*'Sheet1 select'!$B$32)/(('Sheet1 select'!$B$23)/('Sheet1 select'!$B$27+'Sheet1 select'!$B$9))))</f>
        <v>8.5074116090923507E-3</v>
      </c>
      <c r="L234" s="45">
        <f>(F234*$B$28)*(('Sheet1 select'!$B$12+'Sheet1 select'!$B$13)*(0.000000001))*$B$8*1000</f>
        <v>0</v>
      </c>
      <c r="M234" s="45">
        <f t="shared" si="23"/>
        <v>3.6617357284970928E-5</v>
      </c>
      <c r="N234" s="46">
        <f>$B$10*'Sheet1 select'!$B$29*0.001</f>
        <v>1.2E-2</v>
      </c>
      <c r="O234" s="44">
        <f>'Sheet1 select'!$B$10*'Sheet1 select'!$B$31*$B$8*1000*0.000000001</f>
        <v>3.0000000000000001E-3</v>
      </c>
      <c r="P234" s="44">
        <f>'Sheet1 select'!$B$35*$B$10*$B$8*1000*0.000000001</f>
        <v>0</v>
      </c>
      <c r="Q234" s="47">
        <f>IF('Sheet1 select'!$B$17=0,0,(0.00000006*0.7+0.00000003*(0.7+F234*1.1*'Sheet1 select'!$B$26))*F234*$B$8*1000)</f>
        <v>0</v>
      </c>
      <c r="R234" s="45">
        <f t="shared" ca="1" si="24"/>
        <v>0.25451328859238859</v>
      </c>
      <c r="S234" s="48">
        <f t="shared" ca="1" si="25"/>
        <v>0.9242785890728149</v>
      </c>
      <c r="T234" s="49">
        <f ca="1">H234+K234+O234+N234+'Sheet1 select'!$B$40*I234+J234+P234</f>
        <v>3.2287871235103613E-2</v>
      </c>
      <c r="U234" s="169">
        <f t="shared" ca="1" si="26"/>
        <v>2.0287871235103609E-2</v>
      </c>
      <c r="V234" s="47">
        <f t="shared" ca="1" si="27"/>
        <v>0</v>
      </c>
    </row>
    <row r="235" spans="5:22">
      <c r="E235" s="32">
        <v>234</v>
      </c>
      <c r="F235" s="45">
        <f t="shared" si="21"/>
        <v>0.62400000000000011</v>
      </c>
      <c r="G235" s="45">
        <f t="shared" si="22"/>
        <v>7.7875200000000019E-2</v>
      </c>
      <c r="H235" s="45">
        <f ca="1">F235*F235*('Sheet1 select'!$B$25)*$B$3</f>
        <v>8.8559901136855083E-3</v>
      </c>
      <c r="I235" s="45">
        <f>F235*(1-$B$3)*'Sheet1 select'!$B$41</f>
        <v>0.14560000000000003</v>
      </c>
      <c r="J235" s="45">
        <f ca="1">F235*F235*('Sheet1 select'!$B$26)*(1-$B$3)</f>
        <v>0</v>
      </c>
      <c r="K235" s="45">
        <f>0.0000005*$B$10*F235*$B$8*((('Sheet1 select'!$B$33+0.5*'Sheet1 select'!$B$32)/(('Sheet1 select'!$B$10-'Sheet1 select'!$B$23)/('Sheet1 select'!$B$27+'Sheet1 select'!$B$8)))+(('Sheet1 select'!$B$33+0.5*'Sheet1 select'!$B$32)/(('Sheet1 select'!$B$23)/('Sheet1 select'!$B$27+'Sheet1 select'!$B$9))))</f>
        <v>8.5439241052687135E-3</v>
      </c>
      <c r="L235" s="45">
        <f>(F235*$B$28)*(('Sheet1 select'!$B$12+'Sheet1 select'!$B$13)*(0.000000001))*$B$8*1000</f>
        <v>0</v>
      </c>
      <c r="M235" s="45">
        <f t="shared" si="23"/>
        <v>3.6617357284970928E-5</v>
      </c>
      <c r="N235" s="46">
        <f>$B$10*'Sheet1 select'!$B$29*0.001</f>
        <v>1.2E-2</v>
      </c>
      <c r="O235" s="44">
        <f>'Sheet1 select'!$B$10*'Sheet1 select'!$B$31*$B$8*1000*0.000000001</f>
        <v>3.0000000000000001E-3</v>
      </c>
      <c r="P235" s="44">
        <f>'Sheet1 select'!$B$35*$B$10*$B$8*1000*0.000000001</f>
        <v>0</v>
      </c>
      <c r="Q235" s="47">
        <f>IF('Sheet1 select'!$B$17=0,0,(0.00000006*0.7+0.00000003*(0.7+F235*1.1*'Sheet1 select'!$B$26))*F235*$B$8*1000)</f>
        <v>0</v>
      </c>
      <c r="R235" s="45">
        <f t="shared" ca="1" si="24"/>
        <v>0.25591173157623925</v>
      </c>
      <c r="S235" s="48">
        <f t="shared" ca="1" si="25"/>
        <v>0.92419477998118393</v>
      </c>
      <c r="T235" s="49">
        <f ca="1">H235+K235+O235+N235+'Sheet1 select'!$B$40*I235+J235+P235</f>
        <v>3.2399914218954218E-2</v>
      </c>
      <c r="U235" s="169">
        <f t="shared" ca="1" si="26"/>
        <v>2.0399914218954221E-2</v>
      </c>
      <c r="V235" s="47">
        <f t="shared" ca="1" si="27"/>
        <v>0</v>
      </c>
    </row>
    <row r="236" spans="5:22">
      <c r="E236" s="32">
        <v>235</v>
      </c>
      <c r="F236" s="45">
        <f t="shared" si="21"/>
        <v>0.62666666666666671</v>
      </c>
      <c r="G236" s="45">
        <f t="shared" si="22"/>
        <v>7.8542222222222235E-2</v>
      </c>
      <c r="H236" s="45">
        <f ca="1">F236*F236*('Sheet1 select'!$B$25)*$B$3</f>
        <v>8.9318440723990464E-3</v>
      </c>
      <c r="I236" s="45">
        <f>F236*(1-$B$3)*'Sheet1 select'!$B$41</f>
        <v>0.14622222222222223</v>
      </c>
      <c r="J236" s="45">
        <f ca="1">F236*F236*('Sheet1 select'!$B$26)*(1-$B$3)</f>
        <v>0</v>
      </c>
      <c r="K236" s="45">
        <f>0.0000005*$B$10*F236*$B$8*((('Sheet1 select'!$B$33+0.5*'Sheet1 select'!$B$32)/(('Sheet1 select'!$B$10-'Sheet1 select'!$B$23)/('Sheet1 select'!$B$27+'Sheet1 select'!$B$8)))+(('Sheet1 select'!$B$33+0.5*'Sheet1 select'!$B$32)/(('Sheet1 select'!$B$23)/('Sheet1 select'!$B$27+'Sheet1 select'!$B$9))))</f>
        <v>8.5804366014450746E-3</v>
      </c>
      <c r="L236" s="45">
        <f>(F236*$B$28)*(('Sheet1 select'!$B$12+'Sheet1 select'!$B$13)*(0.000000001))*$B$8*1000</f>
        <v>0</v>
      </c>
      <c r="M236" s="45">
        <f t="shared" si="23"/>
        <v>3.6617357284970928E-5</v>
      </c>
      <c r="N236" s="46">
        <f>$B$10*'Sheet1 select'!$B$29*0.001</f>
        <v>1.2E-2</v>
      </c>
      <c r="O236" s="44">
        <f>'Sheet1 select'!$B$10*'Sheet1 select'!$B$31*$B$8*1000*0.000000001</f>
        <v>3.0000000000000001E-3</v>
      </c>
      <c r="P236" s="44">
        <f>'Sheet1 select'!$B$35*$B$10*$B$8*1000*0.000000001</f>
        <v>0</v>
      </c>
      <c r="Q236" s="47">
        <f>IF('Sheet1 select'!$B$17=0,0,(0.00000006*0.7+0.00000003*(0.7+F236*1.1*'Sheet1 select'!$B$26))*F236*$B$8*1000)</f>
        <v>0</v>
      </c>
      <c r="R236" s="45">
        <f t="shared" ca="1" si="24"/>
        <v>0.25731334247557358</v>
      </c>
      <c r="S236" s="48">
        <f t="shared" ca="1" si="25"/>
        <v>0.92411083575548714</v>
      </c>
      <c r="T236" s="49">
        <f ca="1">H236+K236+O236+N236+'Sheet1 select'!$B$40*I236+J236+P236</f>
        <v>3.2512280673844124E-2</v>
      </c>
      <c r="U236" s="169">
        <f t="shared" ca="1" si="26"/>
        <v>2.051228067384412E-2</v>
      </c>
      <c r="V236" s="47">
        <f t="shared" ca="1" si="27"/>
        <v>0</v>
      </c>
    </row>
    <row r="237" spans="5:22">
      <c r="E237" s="32">
        <v>236</v>
      </c>
      <c r="F237" s="45">
        <f t="shared" si="21"/>
        <v>0.62933333333333341</v>
      </c>
      <c r="G237" s="45">
        <f t="shared" si="22"/>
        <v>7.9212088888888921E-2</v>
      </c>
      <c r="H237" s="45">
        <f ca="1">F237*F237*('Sheet1 select'!$B$25)*$B$3</f>
        <v>9.0080215021518736E-3</v>
      </c>
      <c r="I237" s="45">
        <f>F237*(1-$B$3)*'Sheet1 select'!$B$41</f>
        <v>0.14684444444444444</v>
      </c>
      <c r="J237" s="45">
        <f ca="1">F237*F237*('Sheet1 select'!$B$26)*(1-$B$3)</f>
        <v>0</v>
      </c>
      <c r="K237" s="45">
        <f>0.0000005*$B$10*F237*$B$8*((('Sheet1 select'!$B$33+0.5*'Sheet1 select'!$B$32)/(('Sheet1 select'!$B$10-'Sheet1 select'!$B$23)/('Sheet1 select'!$B$27+'Sheet1 select'!$B$8)))+(('Sheet1 select'!$B$33+0.5*'Sheet1 select'!$B$32)/(('Sheet1 select'!$B$23)/('Sheet1 select'!$B$27+'Sheet1 select'!$B$9))))</f>
        <v>8.6169490976214357E-3</v>
      </c>
      <c r="L237" s="45">
        <f>(F237*$B$28)*(('Sheet1 select'!$B$12+'Sheet1 select'!$B$13)*(0.000000001))*$B$8*1000</f>
        <v>0</v>
      </c>
      <c r="M237" s="45">
        <f t="shared" si="23"/>
        <v>3.6617357284970928E-5</v>
      </c>
      <c r="N237" s="46">
        <f>$B$10*'Sheet1 select'!$B$29*0.001</f>
        <v>1.2E-2</v>
      </c>
      <c r="O237" s="44">
        <f>'Sheet1 select'!$B$10*'Sheet1 select'!$B$31*$B$8*1000*0.000000001</f>
        <v>3.0000000000000001E-3</v>
      </c>
      <c r="P237" s="44">
        <f>'Sheet1 select'!$B$35*$B$10*$B$8*1000*0.000000001</f>
        <v>0</v>
      </c>
      <c r="Q237" s="47">
        <f>IF('Sheet1 select'!$B$17=0,0,(0.00000006*0.7+0.00000003*(0.7+F237*1.1*'Sheet1 select'!$B$26))*F237*$B$8*1000)</f>
        <v>0</v>
      </c>
      <c r="R237" s="45">
        <f t="shared" ca="1" si="24"/>
        <v>0.25871812129039162</v>
      </c>
      <c r="S237" s="48">
        <f t="shared" ca="1" si="25"/>
        <v>0.92402675838415305</v>
      </c>
      <c r="T237" s="49">
        <f ca="1">H237+K237+O237+N237+'Sheet1 select'!$B$40*I237+J237+P237</f>
        <v>3.2624970599773311E-2</v>
      </c>
      <c r="U237" s="169">
        <f t="shared" ca="1" si="26"/>
        <v>2.062497059977331E-2</v>
      </c>
      <c r="V237" s="47">
        <f t="shared" ca="1" si="27"/>
        <v>0</v>
      </c>
    </row>
    <row r="238" spans="5:22">
      <c r="E238" s="32">
        <v>237</v>
      </c>
      <c r="F238" s="45">
        <f t="shared" si="21"/>
        <v>0.63200000000000012</v>
      </c>
      <c r="G238" s="45">
        <f t="shared" si="22"/>
        <v>7.9884800000000034E-2</v>
      </c>
      <c r="H238" s="45">
        <f ca="1">F238*F238*('Sheet1 select'!$B$25)*$B$3</f>
        <v>9.0845224029439935E-3</v>
      </c>
      <c r="I238" s="45">
        <f>F238*(1-$B$3)*'Sheet1 select'!$B$41</f>
        <v>0.14746666666666669</v>
      </c>
      <c r="J238" s="45">
        <f ca="1">F238*F238*('Sheet1 select'!$B$26)*(1-$B$3)</f>
        <v>0</v>
      </c>
      <c r="K238" s="45">
        <f>0.0000005*$B$10*F238*$B$8*((('Sheet1 select'!$B$33+0.5*'Sheet1 select'!$B$32)/(('Sheet1 select'!$B$10-'Sheet1 select'!$B$23)/('Sheet1 select'!$B$27+'Sheet1 select'!$B$8)))+(('Sheet1 select'!$B$33+0.5*'Sheet1 select'!$B$32)/(('Sheet1 select'!$B$23)/('Sheet1 select'!$B$27+'Sheet1 select'!$B$9))))</f>
        <v>8.6534615937977986E-3</v>
      </c>
      <c r="L238" s="45">
        <f>(F238*$B$28)*(('Sheet1 select'!$B$12+'Sheet1 select'!$B$13)*(0.000000001))*$B$8*1000</f>
        <v>0</v>
      </c>
      <c r="M238" s="45">
        <f t="shared" si="23"/>
        <v>3.6617357284970928E-5</v>
      </c>
      <c r="N238" s="46">
        <f>$B$10*'Sheet1 select'!$B$29*0.001</f>
        <v>1.2E-2</v>
      </c>
      <c r="O238" s="44">
        <f>'Sheet1 select'!$B$10*'Sheet1 select'!$B$31*$B$8*1000*0.000000001</f>
        <v>3.0000000000000001E-3</v>
      </c>
      <c r="P238" s="44">
        <f>'Sheet1 select'!$B$35*$B$10*$B$8*1000*0.000000001</f>
        <v>0</v>
      </c>
      <c r="Q238" s="47">
        <f>IF('Sheet1 select'!$B$17=0,0,(0.00000006*0.7+0.00000003*(0.7+F238*1.1*'Sheet1 select'!$B$26))*F238*$B$8*1000)</f>
        <v>0</v>
      </c>
      <c r="R238" s="45">
        <f t="shared" ca="1" si="24"/>
        <v>0.26012606802069349</v>
      </c>
      <c r="S238" s="48">
        <f t="shared" ca="1" si="25"/>
        <v>0.9239425498220788</v>
      </c>
      <c r="T238" s="49">
        <f ca="1">H238+K238+O238+N238+'Sheet1 select'!$B$40*I238+J238+P238</f>
        <v>3.2737983996741792E-2</v>
      </c>
      <c r="U238" s="169">
        <f t="shared" ca="1" si="26"/>
        <v>2.0737983996741791E-2</v>
      </c>
      <c r="V238" s="47">
        <f t="shared" ca="1" si="27"/>
        <v>0</v>
      </c>
    </row>
    <row r="239" spans="5:22">
      <c r="E239" s="32">
        <v>238</v>
      </c>
      <c r="F239" s="45">
        <f t="shared" si="21"/>
        <v>0.63466666666666671</v>
      </c>
      <c r="G239" s="45">
        <f t="shared" si="22"/>
        <v>8.056035555555556E-2</v>
      </c>
      <c r="H239" s="45">
        <f ca="1">F239*F239*('Sheet1 select'!$B$25)*$B$3</f>
        <v>9.1613467747753991E-3</v>
      </c>
      <c r="I239" s="45">
        <f>F239*(1-$B$3)*'Sheet1 select'!$B$41</f>
        <v>0.14808888888888888</v>
      </c>
      <c r="J239" s="45">
        <f ca="1">F239*F239*('Sheet1 select'!$B$26)*(1-$B$3)</f>
        <v>0</v>
      </c>
      <c r="K239" s="45">
        <f>0.0000005*$B$10*F239*$B$8*((('Sheet1 select'!$B$33+0.5*'Sheet1 select'!$B$32)/(('Sheet1 select'!$B$10-'Sheet1 select'!$B$23)/('Sheet1 select'!$B$27+'Sheet1 select'!$B$8)))+(('Sheet1 select'!$B$33+0.5*'Sheet1 select'!$B$32)/(('Sheet1 select'!$B$23)/('Sheet1 select'!$B$27+'Sheet1 select'!$B$9))))</f>
        <v>8.6899740899741597E-3</v>
      </c>
      <c r="L239" s="45">
        <f>(F239*$B$28)*(('Sheet1 select'!$B$12+'Sheet1 select'!$B$13)*(0.000000001))*$B$8*1000</f>
        <v>0</v>
      </c>
      <c r="M239" s="45">
        <f t="shared" si="23"/>
        <v>3.6617357284970928E-5</v>
      </c>
      <c r="N239" s="46">
        <f>$B$10*'Sheet1 select'!$B$29*0.001</f>
        <v>1.2E-2</v>
      </c>
      <c r="O239" s="44">
        <f>'Sheet1 select'!$B$10*'Sheet1 select'!$B$31*$B$8*1000*0.000000001</f>
        <v>3.0000000000000001E-3</v>
      </c>
      <c r="P239" s="44">
        <f>'Sheet1 select'!$B$35*$B$10*$B$8*1000*0.000000001</f>
        <v>0</v>
      </c>
      <c r="Q239" s="47">
        <f>IF('Sheet1 select'!$B$17=0,0,(0.00000006*0.7+0.00000003*(0.7+F239*1.1*'Sheet1 select'!$B$26))*F239*$B$8*1000)</f>
        <v>0</v>
      </c>
      <c r="R239" s="45">
        <f t="shared" ca="1" si="24"/>
        <v>0.26153718266647896</v>
      </c>
      <c r="S239" s="48">
        <f t="shared" ca="1" si="25"/>
        <v>0.92385821199133278</v>
      </c>
      <c r="T239" s="49">
        <f ca="1">H239+K239+O239+N239+'Sheet1 select'!$B$40*I239+J239+P239</f>
        <v>3.285132086474956E-2</v>
      </c>
      <c r="U239" s="169">
        <f t="shared" ca="1" si="26"/>
        <v>2.085132086474956E-2</v>
      </c>
      <c r="V239" s="47">
        <f t="shared" ca="1" si="27"/>
        <v>0</v>
      </c>
    </row>
    <row r="240" spans="5:22">
      <c r="E240" s="32">
        <v>239</v>
      </c>
      <c r="F240" s="45">
        <f t="shared" si="21"/>
        <v>0.63733333333333342</v>
      </c>
      <c r="G240" s="45">
        <f t="shared" si="22"/>
        <v>8.123875555555557E-2</v>
      </c>
      <c r="H240" s="45">
        <f ca="1">F240*F240*('Sheet1 select'!$B$25)*$B$3</f>
        <v>9.2384946176461008E-3</v>
      </c>
      <c r="I240" s="45">
        <f>F240*(1-$B$3)*'Sheet1 select'!$B$41</f>
        <v>0.1487111111111111</v>
      </c>
      <c r="J240" s="45">
        <f ca="1">F240*F240*('Sheet1 select'!$B$26)*(1-$B$3)</f>
        <v>0</v>
      </c>
      <c r="K240" s="45">
        <f>0.0000005*$B$10*F240*$B$8*((('Sheet1 select'!$B$33+0.5*'Sheet1 select'!$B$32)/(('Sheet1 select'!$B$10-'Sheet1 select'!$B$23)/('Sheet1 select'!$B$27+'Sheet1 select'!$B$8)))+(('Sheet1 select'!$B$33+0.5*'Sheet1 select'!$B$32)/(('Sheet1 select'!$B$23)/('Sheet1 select'!$B$27+'Sheet1 select'!$B$9))))</f>
        <v>8.7264865861505225E-3</v>
      </c>
      <c r="L240" s="45">
        <f>(F240*$B$28)*(('Sheet1 select'!$B$12+'Sheet1 select'!$B$13)*(0.000000001))*$B$8*1000</f>
        <v>0</v>
      </c>
      <c r="M240" s="45">
        <f t="shared" si="23"/>
        <v>3.6617357284970928E-5</v>
      </c>
      <c r="N240" s="46">
        <f>$B$10*'Sheet1 select'!$B$29*0.001</f>
        <v>1.2E-2</v>
      </c>
      <c r="O240" s="44">
        <f>'Sheet1 select'!$B$10*'Sheet1 select'!$B$31*$B$8*1000*0.000000001</f>
        <v>3.0000000000000001E-3</v>
      </c>
      <c r="P240" s="44">
        <f>'Sheet1 select'!$B$35*$B$10*$B$8*1000*0.000000001</f>
        <v>0</v>
      </c>
      <c r="Q240" s="47">
        <f>IF('Sheet1 select'!$B$17=0,0,(0.00000006*0.7+0.00000003*(0.7+F240*1.1*'Sheet1 select'!$B$26))*F240*$B$8*1000)</f>
        <v>0</v>
      </c>
      <c r="R240" s="45">
        <f t="shared" ca="1" si="24"/>
        <v>0.26295146522774826</v>
      </c>
      <c r="S240" s="48">
        <f t="shared" ca="1" si="25"/>
        <v>0.92377374678183743</v>
      </c>
      <c r="T240" s="49">
        <f ca="1">H240+K240+O240+N240+'Sheet1 select'!$B$40*I240+J240+P240</f>
        <v>3.2964981203796623E-2</v>
      </c>
      <c r="U240" s="169">
        <f t="shared" ca="1" si="26"/>
        <v>2.0964981203796623E-2</v>
      </c>
      <c r="V240" s="47">
        <f t="shared" ca="1" si="27"/>
        <v>0</v>
      </c>
    </row>
    <row r="241" spans="5:22">
      <c r="E241" s="32">
        <v>240</v>
      </c>
      <c r="F241" s="45">
        <f t="shared" si="21"/>
        <v>0.64</v>
      </c>
      <c r="G241" s="45">
        <f t="shared" si="22"/>
        <v>8.1920000000000007E-2</v>
      </c>
      <c r="H241" s="45">
        <f ca="1">F241*F241*('Sheet1 select'!$B$25)*$B$3</f>
        <v>9.3159659315560882E-3</v>
      </c>
      <c r="I241" s="45">
        <f>F241*(1-$B$3)*'Sheet1 select'!$B$41</f>
        <v>0.14933333333333332</v>
      </c>
      <c r="J241" s="45">
        <f ca="1">F241*F241*('Sheet1 select'!$B$26)*(1-$B$3)</f>
        <v>0</v>
      </c>
      <c r="K241" s="45">
        <f>0.0000005*$B$10*F241*$B$8*((('Sheet1 select'!$B$33+0.5*'Sheet1 select'!$B$32)/(('Sheet1 select'!$B$10-'Sheet1 select'!$B$23)/('Sheet1 select'!$B$27+'Sheet1 select'!$B$8)))+(('Sheet1 select'!$B$33+0.5*'Sheet1 select'!$B$32)/(('Sheet1 select'!$B$23)/('Sheet1 select'!$B$27+'Sheet1 select'!$B$9))))</f>
        <v>8.7629990823268854E-3</v>
      </c>
      <c r="L241" s="45">
        <f>(F241*$B$28)*(('Sheet1 select'!$B$12+'Sheet1 select'!$B$13)*(0.000000001))*$B$8*1000</f>
        <v>0</v>
      </c>
      <c r="M241" s="45">
        <f t="shared" si="23"/>
        <v>3.6617357284970928E-5</v>
      </c>
      <c r="N241" s="46">
        <f>$B$10*'Sheet1 select'!$B$29*0.001</f>
        <v>1.2E-2</v>
      </c>
      <c r="O241" s="44">
        <f>'Sheet1 select'!$B$10*'Sheet1 select'!$B$31*$B$8*1000*0.000000001</f>
        <v>3.0000000000000001E-3</v>
      </c>
      <c r="P241" s="44">
        <f>'Sheet1 select'!$B$35*$B$10*$B$8*1000*0.000000001</f>
        <v>0</v>
      </c>
      <c r="Q241" s="47">
        <f>IF('Sheet1 select'!$B$17=0,0,(0.00000006*0.7+0.00000003*(0.7+F241*1.1*'Sheet1 select'!$B$26))*F241*$B$8*1000)</f>
        <v>0</v>
      </c>
      <c r="R241" s="45">
        <f t="shared" ca="1" si="24"/>
        <v>0.26436891570450127</v>
      </c>
      <c r="S241" s="48">
        <f t="shared" ca="1" si="25"/>
        <v>0.92368915605203661</v>
      </c>
      <c r="T241" s="49">
        <f ca="1">H241+K241+O241+N241+'Sheet1 select'!$B$40*I241+J241+P241</f>
        <v>3.3078965013882973E-2</v>
      </c>
      <c r="U241" s="169">
        <f t="shared" ca="1" si="26"/>
        <v>2.1078965013882973E-2</v>
      </c>
      <c r="V241" s="47">
        <f t="shared" ca="1" si="27"/>
        <v>0</v>
      </c>
    </row>
    <row r="242" spans="5:22">
      <c r="E242" s="32">
        <v>241</v>
      </c>
      <c r="F242" s="45">
        <f t="shared" si="21"/>
        <v>0.64266666666666672</v>
      </c>
      <c r="G242" s="45">
        <f t="shared" si="22"/>
        <v>8.2604088888888913E-2</v>
      </c>
      <c r="H242" s="45">
        <f ca="1">F242*F242*('Sheet1 select'!$B$25)*$B$3</f>
        <v>9.3937607165053682E-3</v>
      </c>
      <c r="I242" s="45">
        <f>F242*(1-$B$3)*'Sheet1 select'!$B$41</f>
        <v>0.14995555555555556</v>
      </c>
      <c r="J242" s="45">
        <f ca="1">F242*F242*('Sheet1 select'!$B$26)*(1-$B$3)</f>
        <v>0</v>
      </c>
      <c r="K242" s="45">
        <f>0.0000005*$B$10*F242*$B$8*((('Sheet1 select'!$B$33+0.5*'Sheet1 select'!$B$32)/(('Sheet1 select'!$B$10-'Sheet1 select'!$B$23)/('Sheet1 select'!$B$27+'Sheet1 select'!$B$8)))+(('Sheet1 select'!$B$33+0.5*'Sheet1 select'!$B$32)/(('Sheet1 select'!$B$23)/('Sheet1 select'!$B$27+'Sheet1 select'!$B$9))))</f>
        <v>8.7995115785032448E-3</v>
      </c>
      <c r="L242" s="45">
        <f>(F242*$B$28)*(('Sheet1 select'!$B$12+'Sheet1 select'!$B$13)*(0.000000001))*$B$8*1000</f>
        <v>0</v>
      </c>
      <c r="M242" s="45">
        <f t="shared" si="23"/>
        <v>3.6617357284970928E-5</v>
      </c>
      <c r="N242" s="46">
        <f>$B$10*'Sheet1 select'!$B$29*0.001</f>
        <v>1.2E-2</v>
      </c>
      <c r="O242" s="44">
        <f>'Sheet1 select'!$B$10*'Sheet1 select'!$B$31*$B$8*1000*0.000000001</f>
        <v>3.0000000000000001E-3</v>
      </c>
      <c r="P242" s="44">
        <f>'Sheet1 select'!$B$35*$B$10*$B$8*1000*0.000000001</f>
        <v>0</v>
      </c>
      <c r="Q242" s="47">
        <f>IF('Sheet1 select'!$B$17=0,0,(0.00000006*0.7+0.00000003*(0.7+F242*1.1*'Sheet1 select'!$B$26))*F242*$B$8*1000)</f>
        <v>0</v>
      </c>
      <c r="R242" s="45">
        <f t="shared" ca="1" si="24"/>
        <v>0.26578953409673811</v>
      </c>
      <c r="S242" s="48">
        <f t="shared" ca="1" si="25"/>
        <v>0.92360444162954514</v>
      </c>
      <c r="T242" s="49">
        <f ca="1">H242+K242+O242+N242+'Sheet1 select'!$B$40*I242+J242+P242</f>
        <v>3.3193272295008611E-2</v>
      </c>
      <c r="U242" s="169">
        <f t="shared" ca="1" si="26"/>
        <v>2.119327229500861E-2</v>
      </c>
      <c r="V242" s="47">
        <f t="shared" ca="1" si="27"/>
        <v>0</v>
      </c>
    </row>
    <row r="243" spans="5:22">
      <c r="E243" s="32">
        <v>242</v>
      </c>
      <c r="F243" s="45">
        <f t="shared" si="21"/>
        <v>0.64533333333333343</v>
      </c>
      <c r="G243" s="45">
        <f t="shared" si="22"/>
        <v>8.3291022222222247E-2</v>
      </c>
      <c r="H243" s="45">
        <f ca="1">F243*F243*('Sheet1 select'!$B$25)*$B$3</f>
        <v>9.4718789724939391E-3</v>
      </c>
      <c r="I243" s="45">
        <f>F243*(1-$B$3)*'Sheet1 select'!$B$41</f>
        <v>0.15057777777777781</v>
      </c>
      <c r="J243" s="45">
        <f ca="1">F243*F243*('Sheet1 select'!$B$26)*(1-$B$3)</f>
        <v>0</v>
      </c>
      <c r="K243" s="45">
        <f>0.0000005*$B$10*F243*$B$8*((('Sheet1 select'!$B$33+0.5*'Sheet1 select'!$B$32)/(('Sheet1 select'!$B$10-'Sheet1 select'!$B$23)/('Sheet1 select'!$B$27+'Sheet1 select'!$B$8)))+(('Sheet1 select'!$B$33+0.5*'Sheet1 select'!$B$32)/(('Sheet1 select'!$B$23)/('Sheet1 select'!$B$27+'Sheet1 select'!$B$9))))</f>
        <v>8.8360240746796076E-3</v>
      </c>
      <c r="L243" s="45">
        <f>(F243*$B$28)*(('Sheet1 select'!$B$12+'Sheet1 select'!$B$13)*(0.000000001))*$B$8*1000</f>
        <v>0</v>
      </c>
      <c r="M243" s="45">
        <f t="shared" si="23"/>
        <v>3.6617357284970928E-5</v>
      </c>
      <c r="N243" s="46">
        <f>$B$10*'Sheet1 select'!$B$29*0.001</f>
        <v>1.2E-2</v>
      </c>
      <c r="O243" s="44">
        <f>'Sheet1 select'!$B$10*'Sheet1 select'!$B$31*$B$8*1000*0.000000001</f>
        <v>3.0000000000000001E-3</v>
      </c>
      <c r="P243" s="44">
        <f>'Sheet1 select'!$B$35*$B$10*$B$8*1000*0.000000001</f>
        <v>0</v>
      </c>
      <c r="Q243" s="47">
        <f>IF('Sheet1 select'!$B$17=0,0,(0.00000006*0.7+0.00000003*(0.7+F243*1.1*'Sheet1 select'!$B$26))*F243*$B$8*1000)</f>
        <v>0</v>
      </c>
      <c r="R243" s="45">
        <f t="shared" ca="1" si="24"/>
        <v>0.26721332040445861</v>
      </c>
      <c r="S243" s="48">
        <f t="shared" ca="1" si="25"/>
        <v>0.92351960531178412</v>
      </c>
      <c r="T243" s="49">
        <f ca="1">H243+K243+O243+N243+'Sheet1 select'!$B$40*I243+J243+P243</f>
        <v>3.3307903047173543E-2</v>
      </c>
      <c r="U243" s="169">
        <f t="shared" ca="1" si="26"/>
        <v>2.1307903047173546E-2</v>
      </c>
      <c r="V243" s="47">
        <f t="shared" ca="1" si="27"/>
        <v>0</v>
      </c>
    </row>
    <row r="244" spans="5:22">
      <c r="E244" s="32">
        <v>243</v>
      </c>
      <c r="F244" s="45">
        <f t="shared" si="21"/>
        <v>0.64800000000000002</v>
      </c>
      <c r="G244" s="45">
        <f t="shared" si="22"/>
        <v>8.3980800000000008E-2</v>
      </c>
      <c r="H244" s="45">
        <f ca="1">F244*F244*('Sheet1 select'!$B$25)*$B$3</f>
        <v>9.5503206995217957E-3</v>
      </c>
      <c r="I244" s="45">
        <f>F244*(1-$B$3)*'Sheet1 select'!$B$41</f>
        <v>0.1512</v>
      </c>
      <c r="J244" s="45">
        <f ca="1">F244*F244*('Sheet1 select'!$B$26)*(1-$B$3)</f>
        <v>0</v>
      </c>
      <c r="K244" s="45">
        <f>0.0000005*$B$10*F244*$B$8*((('Sheet1 select'!$B$33+0.5*'Sheet1 select'!$B$32)/(('Sheet1 select'!$B$10-'Sheet1 select'!$B$23)/('Sheet1 select'!$B$27+'Sheet1 select'!$B$8)))+(('Sheet1 select'!$B$33+0.5*'Sheet1 select'!$B$32)/(('Sheet1 select'!$B$23)/('Sheet1 select'!$B$27+'Sheet1 select'!$B$9))))</f>
        <v>8.8725365708559687E-3</v>
      </c>
      <c r="L244" s="45">
        <f>(F244*$B$28)*(('Sheet1 select'!$B$12+'Sheet1 select'!$B$13)*(0.000000001))*$B$8*1000</f>
        <v>0</v>
      </c>
      <c r="M244" s="45">
        <f t="shared" si="23"/>
        <v>3.6617357284970928E-5</v>
      </c>
      <c r="N244" s="46">
        <f>$B$10*'Sheet1 select'!$B$29*0.001</f>
        <v>1.2E-2</v>
      </c>
      <c r="O244" s="44">
        <f>'Sheet1 select'!$B$10*'Sheet1 select'!$B$31*$B$8*1000*0.000000001</f>
        <v>3.0000000000000001E-3</v>
      </c>
      <c r="P244" s="44">
        <f>'Sheet1 select'!$B$35*$B$10*$B$8*1000*0.000000001</f>
        <v>0</v>
      </c>
      <c r="Q244" s="47">
        <f>IF('Sheet1 select'!$B$17=0,0,(0.00000006*0.7+0.00000003*(0.7+F244*1.1*'Sheet1 select'!$B$26))*F244*$B$8*1000)</f>
        <v>0</v>
      </c>
      <c r="R244" s="45">
        <f t="shared" ca="1" si="24"/>
        <v>0.26864027462766277</v>
      </c>
      <c r="S244" s="48">
        <f t="shared" ca="1" si="25"/>
        <v>0.9234346488665981</v>
      </c>
      <c r="T244" s="49">
        <f ca="1">H244+K244+O244+N244+'Sheet1 select'!$B$40*I244+J244+P244</f>
        <v>3.3422857270377762E-2</v>
      </c>
      <c r="U244" s="169">
        <f t="shared" ca="1" si="26"/>
        <v>2.1422857270377762E-2</v>
      </c>
      <c r="V244" s="47">
        <f t="shared" ca="1" si="27"/>
        <v>0</v>
      </c>
    </row>
    <row r="245" spans="5:22">
      <c r="E245" s="32">
        <v>244</v>
      </c>
      <c r="F245" s="45">
        <f t="shared" si="21"/>
        <v>0.65066666666666673</v>
      </c>
      <c r="G245" s="45">
        <f t="shared" si="22"/>
        <v>8.4673422222222239E-2</v>
      </c>
      <c r="H245" s="45">
        <f ca="1">F245*F245*('Sheet1 select'!$B$25)*$B$3</f>
        <v>9.6290858975889466E-3</v>
      </c>
      <c r="I245" s="45">
        <f>F245*(1-$B$3)*'Sheet1 select'!$B$41</f>
        <v>0.15182222222222222</v>
      </c>
      <c r="J245" s="45">
        <f ca="1">F245*F245*('Sheet1 select'!$B$26)*(1-$B$3)</f>
        <v>0</v>
      </c>
      <c r="K245" s="45">
        <f>0.0000005*$B$10*F245*$B$8*((('Sheet1 select'!$B$33+0.5*'Sheet1 select'!$B$32)/(('Sheet1 select'!$B$10-'Sheet1 select'!$B$23)/('Sheet1 select'!$B$27+'Sheet1 select'!$B$8)))+(('Sheet1 select'!$B$33+0.5*'Sheet1 select'!$B$32)/(('Sheet1 select'!$B$23)/('Sheet1 select'!$B$27+'Sheet1 select'!$B$9))))</f>
        <v>8.9090490670323316E-3</v>
      </c>
      <c r="L245" s="45">
        <f>(F245*$B$28)*(('Sheet1 select'!$B$12+'Sheet1 select'!$B$13)*(0.000000001))*$B$8*1000</f>
        <v>0</v>
      </c>
      <c r="M245" s="45">
        <f t="shared" si="23"/>
        <v>3.6617357284970928E-5</v>
      </c>
      <c r="N245" s="46">
        <f>$B$10*'Sheet1 select'!$B$29*0.001</f>
        <v>1.2E-2</v>
      </c>
      <c r="O245" s="44">
        <f>'Sheet1 select'!$B$10*'Sheet1 select'!$B$31*$B$8*1000*0.000000001</f>
        <v>3.0000000000000001E-3</v>
      </c>
      <c r="P245" s="44">
        <f>'Sheet1 select'!$B$35*$B$10*$B$8*1000*0.000000001</f>
        <v>0</v>
      </c>
      <c r="Q245" s="47">
        <f>IF('Sheet1 select'!$B$17=0,0,(0.00000006*0.7+0.00000003*(0.7+F245*1.1*'Sheet1 select'!$B$26))*F245*$B$8*1000)</f>
        <v>0</v>
      </c>
      <c r="R245" s="45">
        <f t="shared" ca="1" si="24"/>
        <v>0.27007039676635075</v>
      </c>
      <c r="S245" s="48">
        <f t="shared" ca="1" si="25"/>
        <v>0.92334957403286</v>
      </c>
      <c r="T245" s="49">
        <f ca="1">H245+K245+O245+N245+'Sheet1 select'!$B$40*I245+J245+P245</f>
        <v>3.3538134964621276E-2</v>
      </c>
      <c r="U245" s="169">
        <f t="shared" ca="1" si="26"/>
        <v>2.1538134964621276E-2</v>
      </c>
      <c r="V245" s="47">
        <f t="shared" ca="1" si="27"/>
        <v>0</v>
      </c>
    </row>
    <row r="246" spans="5:22">
      <c r="E246" s="32">
        <v>245</v>
      </c>
      <c r="F246" s="45">
        <f t="shared" si="21"/>
        <v>0.65333333333333332</v>
      </c>
      <c r="G246" s="45">
        <f t="shared" si="22"/>
        <v>8.5368888888888897E-2</v>
      </c>
      <c r="H246" s="45">
        <f ca="1">F246*F246*('Sheet1 select'!$B$25)*$B$3</f>
        <v>9.708174566695385E-3</v>
      </c>
      <c r="I246" s="45">
        <f>F246*(1-$B$3)*'Sheet1 select'!$B$41</f>
        <v>0.15244444444444444</v>
      </c>
      <c r="J246" s="45">
        <f ca="1">F246*F246*('Sheet1 select'!$B$26)*(1-$B$3)</f>
        <v>0</v>
      </c>
      <c r="K246" s="45">
        <f>0.0000005*$B$10*F246*$B$8*((('Sheet1 select'!$B$33+0.5*'Sheet1 select'!$B$32)/(('Sheet1 select'!$B$10-'Sheet1 select'!$B$23)/('Sheet1 select'!$B$27+'Sheet1 select'!$B$8)))+(('Sheet1 select'!$B$33+0.5*'Sheet1 select'!$B$32)/(('Sheet1 select'!$B$23)/('Sheet1 select'!$B$27+'Sheet1 select'!$B$9))))</f>
        <v>8.9455615632086927E-3</v>
      </c>
      <c r="L246" s="45">
        <f>(F246*$B$28)*(('Sheet1 select'!$B$12+'Sheet1 select'!$B$13)*(0.000000001))*$B$8*1000</f>
        <v>0</v>
      </c>
      <c r="M246" s="45">
        <f t="shared" si="23"/>
        <v>3.6617357284970928E-5</v>
      </c>
      <c r="N246" s="46">
        <f>$B$10*'Sheet1 select'!$B$29*0.001</f>
        <v>1.2E-2</v>
      </c>
      <c r="O246" s="44">
        <f>'Sheet1 select'!$B$10*'Sheet1 select'!$B$31*$B$8*1000*0.000000001</f>
        <v>3.0000000000000001E-3</v>
      </c>
      <c r="P246" s="44">
        <f>'Sheet1 select'!$B$35*$B$10*$B$8*1000*0.000000001</f>
        <v>0</v>
      </c>
      <c r="Q246" s="47">
        <f>IF('Sheet1 select'!$B$17=0,0,(0.00000006*0.7+0.00000003*(0.7+F246*1.1*'Sheet1 select'!$B$26))*F246*$B$8*1000)</f>
        <v>0</v>
      </c>
      <c r="R246" s="45">
        <f t="shared" ca="1" si="24"/>
        <v>0.27150368682052239</v>
      </c>
      <c r="S246" s="48">
        <f t="shared" ca="1" si="25"/>
        <v>0.92326438252105902</v>
      </c>
      <c r="T246" s="49">
        <f ca="1">H246+K246+O246+N246+'Sheet1 select'!$B$40*I246+J246+P246</f>
        <v>3.3653736129904077E-2</v>
      </c>
      <c r="U246" s="169">
        <f t="shared" ca="1" si="26"/>
        <v>2.1653736129904077E-2</v>
      </c>
      <c r="V246" s="47">
        <f t="shared" ca="1" si="27"/>
        <v>0</v>
      </c>
    </row>
    <row r="247" spans="5:22">
      <c r="E247" s="32">
        <v>246</v>
      </c>
      <c r="F247" s="45">
        <f t="shared" si="21"/>
        <v>0.65600000000000003</v>
      </c>
      <c r="G247" s="45">
        <f t="shared" si="22"/>
        <v>8.606720000000001E-2</v>
      </c>
      <c r="H247" s="45">
        <f ca="1">F247*F247*('Sheet1 select'!$B$25)*$B$3</f>
        <v>9.787586706841116E-3</v>
      </c>
      <c r="I247" s="45">
        <f>F247*(1-$B$3)*'Sheet1 select'!$B$41</f>
        <v>0.15306666666666668</v>
      </c>
      <c r="J247" s="45">
        <f ca="1">F247*F247*('Sheet1 select'!$B$26)*(1-$B$3)</f>
        <v>0</v>
      </c>
      <c r="K247" s="45">
        <f>0.0000005*$B$10*F247*$B$8*((('Sheet1 select'!$B$33+0.5*'Sheet1 select'!$B$32)/(('Sheet1 select'!$B$10-'Sheet1 select'!$B$23)/('Sheet1 select'!$B$27+'Sheet1 select'!$B$8)))+(('Sheet1 select'!$B$33+0.5*'Sheet1 select'!$B$32)/(('Sheet1 select'!$B$23)/('Sheet1 select'!$B$27+'Sheet1 select'!$B$9))))</f>
        <v>8.9820740593850555E-3</v>
      </c>
      <c r="L247" s="45">
        <f>(F247*$B$28)*(('Sheet1 select'!$B$12+'Sheet1 select'!$B$13)*(0.000000001))*$B$8*1000</f>
        <v>0</v>
      </c>
      <c r="M247" s="45">
        <f t="shared" si="23"/>
        <v>3.6617357284970928E-5</v>
      </c>
      <c r="N247" s="46">
        <f>$B$10*'Sheet1 select'!$B$29*0.001</f>
        <v>1.2E-2</v>
      </c>
      <c r="O247" s="44">
        <f>'Sheet1 select'!$B$10*'Sheet1 select'!$B$31*$B$8*1000*0.000000001</f>
        <v>3.0000000000000001E-3</v>
      </c>
      <c r="P247" s="44">
        <f>'Sheet1 select'!$B$35*$B$10*$B$8*1000*0.000000001</f>
        <v>0</v>
      </c>
      <c r="Q247" s="47">
        <f>IF('Sheet1 select'!$B$17=0,0,(0.00000006*0.7+0.00000003*(0.7+F247*1.1*'Sheet1 select'!$B$26))*F247*$B$8*1000)</f>
        <v>0</v>
      </c>
      <c r="R247" s="45">
        <f t="shared" ca="1" si="24"/>
        <v>0.27294014479017786</v>
      </c>
      <c r="S247" s="48">
        <f t="shared" ca="1" si="25"/>
        <v>0.92317907601387517</v>
      </c>
      <c r="T247" s="49">
        <f ca="1">H247+K247+O247+N247+'Sheet1 select'!$B$40*I247+J247+P247</f>
        <v>3.3769660766226173E-2</v>
      </c>
      <c r="U247" s="169">
        <f t="shared" ca="1" si="26"/>
        <v>2.1769660766226172E-2</v>
      </c>
      <c r="V247" s="47">
        <f t="shared" ca="1" si="27"/>
        <v>0</v>
      </c>
    </row>
    <row r="248" spans="5:22">
      <c r="E248" s="32">
        <v>247</v>
      </c>
      <c r="F248" s="45">
        <f t="shared" si="21"/>
        <v>0.65866666666666673</v>
      </c>
      <c r="G248" s="45">
        <f t="shared" si="22"/>
        <v>8.6768355555555579E-2</v>
      </c>
      <c r="H248" s="45">
        <f ca="1">F248*F248*('Sheet1 select'!$B$25)*$B$3</f>
        <v>9.8673223180261362E-3</v>
      </c>
      <c r="I248" s="45">
        <f>F248*(1-$B$3)*'Sheet1 select'!$B$41</f>
        <v>0.15368888888888887</v>
      </c>
      <c r="J248" s="45">
        <f ca="1">F248*F248*('Sheet1 select'!$B$26)*(1-$B$3)</f>
        <v>0</v>
      </c>
      <c r="K248" s="45">
        <f>0.0000005*$B$10*F248*$B$8*((('Sheet1 select'!$B$33+0.5*'Sheet1 select'!$B$32)/(('Sheet1 select'!$B$10-'Sheet1 select'!$B$23)/('Sheet1 select'!$B$27+'Sheet1 select'!$B$8)))+(('Sheet1 select'!$B$33+0.5*'Sheet1 select'!$B$32)/(('Sheet1 select'!$B$23)/('Sheet1 select'!$B$27+'Sheet1 select'!$B$9))))</f>
        <v>9.0185865555614184E-3</v>
      </c>
      <c r="L248" s="45">
        <f>(F248*$B$28)*(('Sheet1 select'!$B$12+'Sheet1 select'!$B$13)*(0.000000001))*$B$8*1000</f>
        <v>0</v>
      </c>
      <c r="M248" s="45">
        <f t="shared" si="23"/>
        <v>3.6617357284970928E-5</v>
      </c>
      <c r="N248" s="46">
        <f>$B$10*'Sheet1 select'!$B$29*0.001</f>
        <v>1.2E-2</v>
      </c>
      <c r="O248" s="44">
        <f>'Sheet1 select'!$B$10*'Sheet1 select'!$B$31*$B$8*1000*0.000000001</f>
        <v>3.0000000000000001E-3</v>
      </c>
      <c r="P248" s="44">
        <f>'Sheet1 select'!$B$35*$B$10*$B$8*1000*0.000000001</f>
        <v>0</v>
      </c>
      <c r="Q248" s="47">
        <f>IF('Sheet1 select'!$B$17=0,0,(0.00000006*0.7+0.00000003*(0.7+F248*1.1*'Sheet1 select'!$B$26))*F248*$B$8*1000)</f>
        <v>0</v>
      </c>
      <c r="R248" s="45">
        <f t="shared" ca="1" si="24"/>
        <v>0.27437977067531705</v>
      </c>
      <c r="S248" s="48">
        <f t="shared" ca="1" si="25"/>
        <v>0.92309365616673988</v>
      </c>
      <c r="T248" s="49">
        <f ca="1">H248+K248+O248+N248+'Sheet1 select'!$B$40*I248+J248+P248</f>
        <v>3.3885908873587556E-2</v>
      </c>
      <c r="U248" s="169">
        <f t="shared" ca="1" si="26"/>
        <v>2.1885908873587556E-2</v>
      </c>
      <c r="V248" s="47">
        <f t="shared" ca="1" si="27"/>
        <v>0</v>
      </c>
    </row>
    <row r="249" spans="5:22">
      <c r="E249" s="32">
        <v>248</v>
      </c>
      <c r="F249" s="45">
        <f t="shared" si="21"/>
        <v>0.66133333333333333</v>
      </c>
      <c r="G249" s="45">
        <f t="shared" si="22"/>
        <v>8.7472355555555548E-2</v>
      </c>
      <c r="H249" s="45">
        <f ca="1">F249*F249*('Sheet1 select'!$B$25)*$B$3</f>
        <v>9.9473814002504456E-3</v>
      </c>
      <c r="I249" s="45">
        <f>F249*(1-$B$3)*'Sheet1 select'!$B$41</f>
        <v>0.15431111111111109</v>
      </c>
      <c r="J249" s="45">
        <f ca="1">F249*F249*('Sheet1 select'!$B$26)*(1-$B$3)</f>
        <v>0</v>
      </c>
      <c r="K249" s="45">
        <f>0.0000005*$B$10*F249*$B$8*((('Sheet1 select'!$B$33+0.5*'Sheet1 select'!$B$32)/(('Sheet1 select'!$B$10-'Sheet1 select'!$B$23)/('Sheet1 select'!$B$27+'Sheet1 select'!$B$8)))+(('Sheet1 select'!$B$33+0.5*'Sheet1 select'!$B$32)/(('Sheet1 select'!$B$23)/('Sheet1 select'!$B$27+'Sheet1 select'!$B$9))))</f>
        <v>9.0550990517377795E-3</v>
      </c>
      <c r="L249" s="45">
        <f>(F249*$B$28)*(('Sheet1 select'!$B$12+'Sheet1 select'!$B$13)*(0.000000001))*$B$8*1000</f>
        <v>0</v>
      </c>
      <c r="M249" s="45">
        <f t="shared" si="23"/>
        <v>3.6617357284970928E-5</v>
      </c>
      <c r="N249" s="46">
        <f>$B$10*'Sheet1 select'!$B$29*0.001</f>
        <v>1.2E-2</v>
      </c>
      <c r="O249" s="44">
        <f>'Sheet1 select'!$B$10*'Sheet1 select'!$B$31*$B$8*1000*0.000000001</f>
        <v>3.0000000000000001E-3</v>
      </c>
      <c r="P249" s="44">
        <f>'Sheet1 select'!$B$35*$B$10*$B$8*1000*0.000000001</f>
        <v>0</v>
      </c>
      <c r="Q249" s="47">
        <f>IF('Sheet1 select'!$B$17=0,0,(0.00000006*0.7+0.00000003*(0.7+F249*1.1*'Sheet1 select'!$B$26))*F249*$B$8*1000)</f>
        <v>0</v>
      </c>
      <c r="R249" s="45">
        <f t="shared" ca="1" si="24"/>
        <v>0.27582256447593989</v>
      </c>
      <c r="S249" s="48">
        <f t="shared" ca="1" si="25"/>
        <v>0.92300812460838333</v>
      </c>
      <c r="T249" s="49">
        <f ca="1">H249+K249+O249+N249+'Sheet1 select'!$B$40*I249+J249+P249</f>
        <v>3.4002480451988226E-2</v>
      </c>
      <c r="U249" s="169">
        <f t="shared" ca="1" si="26"/>
        <v>2.2002480451988226E-2</v>
      </c>
      <c r="V249" s="47">
        <f t="shared" ca="1" si="27"/>
        <v>0</v>
      </c>
    </row>
    <row r="250" spans="5:22">
      <c r="E250" s="32">
        <v>249</v>
      </c>
      <c r="F250" s="45">
        <f t="shared" si="21"/>
        <v>0.66400000000000003</v>
      </c>
      <c r="G250" s="45">
        <f t="shared" si="22"/>
        <v>8.8179200000000013E-2</v>
      </c>
      <c r="H250" s="45">
        <f ca="1">F250*F250*('Sheet1 select'!$B$25)*$B$3</f>
        <v>1.0027763953514046E-2</v>
      </c>
      <c r="I250" s="45">
        <f>F250*(1-$B$3)*'Sheet1 select'!$B$41</f>
        <v>0.15493333333333334</v>
      </c>
      <c r="J250" s="45">
        <f ca="1">F250*F250*('Sheet1 select'!$B$26)*(1-$B$3)</f>
        <v>0</v>
      </c>
      <c r="K250" s="45">
        <f>0.0000005*$B$10*F250*$B$8*((('Sheet1 select'!$B$33+0.5*'Sheet1 select'!$B$32)/(('Sheet1 select'!$B$10-'Sheet1 select'!$B$23)/('Sheet1 select'!$B$27+'Sheet1 select'!$B$8)))+(('Sheet1 select'!$B$33+0.5*'Sheet1 select'!$B$32)/(('Sheet1 select'!$B$23)/('Sheet1 select'!$B$27+'Sheet1 select'!$B$9))))</f>
        <v>9.0916115479141423E-3</v>
      </c>
      <c r="L250" s="45">
        <f>(F250*$B$28)*(('Sheet1 select'!$B$12+'Sheet1 select'!$B$13)*(0.000000001))*$B$8*1000</f>
        <v>0</v>
      </c>
      <c r="M250" s="45">
        <f t="shared" si="23"/>
        <v>3.6617357284970928E-5</v>
      </c>
      <c r="N250" s="46">
        <f>$B$10*'Sheet1 select'!$B$29*0.001</f>
        <v>1.2E-2</v>
      </c>
      <c r="O250" s="44">
        <f>'Sheet1 select'!$B$10*'Sheet1 select'!$B$31*$B$8*1000*0.000000001</f>
        <v>3.0000000000000001E-3</v>
      </c>
      <c r="P250" s="44">
        <f>'Sheet1 select'!$B$35*$B$10*$B$8*1000*0.000000001</f>
        <v>0</v>
      </c>
      <c r="Q250" s="47">
        <f>IF('Sheet1 select'!$B$17=0,0,(0.00000006*0.7+0.00000003*(0.7+F250*1.1*'Sheet1 select'!$B$26))*F250*$B$8*1000)</f>
        <v>0</v>
      </c>
      <c r="R250" s="45">
        <f t="shared" ca="1" si="24"/>
        <v>0.27726852619204656</v>
      </c>
      <c r="S250" s="48">
        <f t="shared" ca="1" si="25"/>
        <v>0.92292248294136825</v>
      </c>
      <c r="T250" s="49">
        <f ca="1">H250+K250+O250+N250+'Sheet1 select'!$B$40*I250+J250+P250</f>
        <v>3.4119375501428184E-2</v>
      </c>
      <c r="U250" s="169">
        <f t="shared" ca="1" si="26"/>
        <v>2.2119375501428187E-2</v>
      </c>
      <c r="V250" s="47">
        <f t="shared" ca="1" si="27"/>
        <v>0</v>
      </c>
    </row>
    <row r="251" spans="5:22">
      <c r="E251" s="32">
        <v>250</v>
      </c>
      <c r="F251" s="45">
        <f t="shared" si="21"/>
        <v>0.66666666666666663</v>
      </c>
      <c r="G251" s="45">
        <f t="shared" si="22"/>
        <v>8.8888888888888892E-2</v>
      </c>
      <c r="H251" s="45">
        <f ca="1">F251*F251*('Sheet1 select'!$B$25)*$B$3</f>
        <v>1.0108469977816935E-2</v>
      </c>
      <c r="I251" s="45">
        <f>F251*(1-$B$3)*'Sheet1 select'!$B$41</f>
        <v>0.15555555555555556</v>
      </c>
      <c r="J251" s="45">
        <f ca="1">F251*F251*('Sheet1 select'!$B$26)*(1-$B$3)</f>
        <v>0</v>
      </c>
      <c r="K251" s="45">
        <f>0.0000005*$B$10*F251*$B$8*((('Sheet1 select'!$B$33+0.5*'Sheet1 select'!$B$32)/(('Sheet1 select'!$B$10-'Sheet1 select'!$B$23)/('Sheet1 select'!$B$27+'Sheet1 select'!$B$8)))+(('Sheet1 select'!$B$33+0.5*'Sheet1 select'!$B$32)/(('Sheet1 select'!$B$23)/('Sheet1 select'!$B$27+'Sheet1 select'!$B$9))))</f>
        <v>9.1281240440905034E-3</v>
      </c>
      <c r="L251" s="45">
        <f>(F251*$B$28)*(('Sheet1 select'!$B$12+'Sheet1 select'!$B$13)*(0.000000001))*$B$8*1000</f>
        <v>0</v>
      </c>
      <c r="M251" s="45">
        <f t="shared" si="23"/>
        <v>3.6617357284970928E-5</v>
      </c>
      <c r="N251" s="46">
        <f>$B$10*'Sheet1 select'!$B$29*0.001</f>
        <v>1.2E-2</v>
      </c>
      <c r="O251" s="44">
        <f>'Sheet1 select'!$B$10*'Sheet1 select'!$B$31*$B$8*1000*0.000000001</f>
        <v>3.0000000000000001E-3</v>
      </c>
      <c r="P251" s="44">
        <f>'Sheet1 select'!$B$35*$B$10*$B$8*1000*0.000000001</f>
        <v>0</v>
      </c>
      <c r="Q251" s="47">
        <f>IF('Sheet1 select'!$B$17=0,0,(0.00000006*0.7+0.00000003*(0.7+F251*1.1*'Sheet1 select'!$B$26))*F251*$B$8*1000)</f>
        <v>0</v>
      </c>
      <c r="R251" s="45">
        <f t="shared" ca="1" si="24"/>
        <v>0.27871765582363689</v>
      </c>
      <c r="S251" s="48">
        <f t="shared" ca="1" si="25"/>
        <v>0.92283673274261058</v>
      </c>
      <c r="T251" s="49">
        <f ca="1">H251+K251+O251+N251+'Sheet1 select'!$B$40*I251+J251+P251</f>
        <v>3.4236594021907436E-2</v>
      </c>
      <c r="U251" s="169">
        <f t="shared" ca="1" si="26"/>
        <v>2.2236594021907436E-2</v>
      </c>
      <c r="V251" s="47">
        <f t="shared" ca="1" si="27"/>
        <v>0</v>
      </c>
    </row>
    <row r="252" spans="5:22">
      <c r="E252" s="32">
        <v>251</v>
      </c>
      <c r="F252" s="45">
        <f t="shared" si="21"/>
        <v>0.66933333333333334</v>
      </c>
      <c r="G252" s="45">
        <f t="shared" si="22"/>
        <v>8.9601422222222227E-2</v>
      </c>
      <c r="H252" s="45">
        <f ca="1">F252*F252*('Sheet1 select'!$B$25)*$B$3</f>
        <v>1.0189499473159115E-2</v>
      </c>
      <c r="I252" s="45">
        <f>F252*(1-$B$3)*'Sheet1 select'!$B$41</f>
        <v>0.15617777777777775</v>
      </c>
      <c r="J252" s="45">
        <f ca="1">F252*F252*('Sheet1 select'!$B$26)*(1-$B$3)</f>
        <v>0</v>
      </c>
      <c r="K252" s="45">
        <f>0.0000005*$B$10*F252*$B$8*((('Sheet1 select'!$B$33+0.5*'Sheet1 select'!$B$32)/(('Sheet1 select'!$B$10-'Sheet1 select'!$B$23)/('Sheet1 select'!$B$27+'Sheet1 select'!$B$8)))+(('Sheet1 select'!$B$33+0.5*'Sheet1 select'!$B$32)/(('Sheet1 select'!$B$23)/('Sheet1 select'!$B$27+'Sheet1 select'!$B$9))))</f>
        <v>9.1646365402668663E-3</v>
      </c>
      <c r="L252" s="45">
        <f>(F252*$B$28)*(('Sheet1 select'!$B$12+'Sheet1 select'!$B$13)*(0.000000001))*$B$8*1000</f>
        <v>0</v>
      </c>
      <c r="M252" s="45">
        <f t="shared" si="23"/>
        <v>3.6617357284970928E-5</v>
      </c>
      <c r="N252" s="46">
        <f>$B$10*'Sheet1 select'!$B$29*0.001</f>
        <v>1.2E-2</v>
      </c>
      <c r="O252" s="44">
        <f>'Sheet1 select'!$B$10*'Sheet1 select'!$B$31*$B$8*1000*0.000000001</f>
        <v>3.0000000000000001E-3</v>
      </c>
      <c r="P252" s="44">
        <f>'Sheet1 select'!$B$35*$B$10*$B$8*1000*0.000000001</f>
        <v>0</v>
      </c>
      <c r="Q252" s="47">
        <f>IF('Sheet1 select'!$B$17=0,0,(0.00000006*0.7+0.00000003*(0.7+F252*1.1*'Sheet1 select'!$B$26))*F252*$B$8*1000)</f>
        <v>0</v>
      </c>
      <c r="R252" s="45">
        <f t="shared" ca="1" si="24"/>
        <v>0.28016995337071099</v>
      </c>
      <c r="S252" s="48">
        <f t="shared" ca="1" si="25"/>
        <v>0.92275087556388913</v>
      </c>
      <c r="T252" s="49">
        <f ca="1">H252+K252+O252+N252+'Sheet1 select'!$B$40*I252+J252+P252</f>
        <v>3.4354136013425983E-2</v>
      </c>
      <c r="U252" s="169">
        <f t="shared" ca="1" si="26"/>
        <v>2.2354136013425983E-2</v>
      </c>
      <c r="V252" s="47">
        <f t="shared" ca="1" si="27"/>
        <v>0</v>
      </c>
    </row>
    <row r="253" spans="5:22">
      <c r="E253" s="32">
        <v>252</v>
      </c>
      <c r="F253" s="45">
        <f t="shared" si="21"/>
        <v>0.67200000000000004</v>
      </c>
      <c r="G253" s="45">
        <f t="shared" si="22"/>
        <v>9.0316800000000017E-2</v>
      </c>
      <c r="H253" s="45">
        <f ca="1">F253*F253*('Sheet1 select'!$B$25)*$B$3</f>
        <v>1.0270852439540587E-2</v>
      </c>
      <c r="I253" s="45">
        <f>F253*(1-$B$3)*'Sheet1 select'!$B$41</f>
        <v>0.15679999999999999</v>
      </c>
      <c r="J253" s="45">
        <f ca="1">F253*F253*('Sheet1 select'!$B$26)*(1-$B$3)</f>
        <v>0</v>
      </c>
      <c r="K253" s="45">
        <f>0.0000005*$B$10*F253*$B$8*((('Sheet1 select'!$B$33+0.5*'Sheet1 select'!$B$32)/(('Sheet1 select'!$B$10-'Sheet1 select'!$B$23)/('Sheet1 select'!$B$27+'Sheet1 select'!$B$8)))+(('Sheet1 select'!$B$33+0.5*'Sheet1 select'!$B$32)/(('Sheet1 select'!$B$23)/('Sheet1 select'!$B$27+'Sheet1 select'!$B$9))))</f>
        <v>9.2011490364432291E-3</v>
      </c>
      <c r="L253" s="45">
        <f>(F253*$B$28)*(('Sheet1 select'!$B$12+'Sheet1 select'!$B$13)*(0.000000001))*$B$8*1000</f>
        <v>0</v>
      </c>
      <c r="M253" s="45">
        <f t="shared" si="23"/>
        <v>3.6617357284970928E-5</v>
      </c>
      <c r="N253" s="46">
        <f>$B$10*'Sheet1 select'!$B$29*0.001</f>
        <v>1.2E-2</v>
      </c>
      <c r="O253" s="44">
        <f>'Sheet1 select'!$B$10*'Sheet1 select'!$B$31*$B$8*1000*0.000000001</f>
        <v>3.0000000000000001E-3</v>
      </c>
      <c r="P253" s="44">
        <f>'Sheet1 select'!$B$35*$B$10*$B$8*1000*0.000000001</f>
        <v>0</v>
      </c>
      <c r="Q253" s="47">
        <f>IF('Sheet1 select'!$B$17=0,0,(0.00000006*0.7+0.00000003*(0.7+F253*1.1*'Sheet1 select'!$B$26))*F253*$B$8*1000)</f>
        <v>0</v>
      </c>
      <c r="R253" s="45">
        <f t="shared" ca="1" si="24"/>
        <v>0.28162541883326886</v>
      </c>
      <c r="S253" s="48">
        <f t="shared" ca="1" si="25"/>
        <v>0.92266491293234154</v>
      </c>
      <c r="T253" s="49">
        <f ca="1">H253+K253+O253+N253+'Sheet1 select'!$B$40*I253+J253+P253</f>
        <v>3.4472001475983817E-2</v>
      </c>
      <c r="U253" s="169">
        <f t="shared" ca="1" si="26"/>
        <v>2.2472001475983817E-2</v>
      </c>
      <c r="V253" s="47">
        <f t="shared" ca="1" si="27"/>
        <v>0</v>
      </c>
    </row>
    <row r="254" spans="5:22">
      <c r="E254" s="32">
        <v>253</v>
      </c>
      <c r="F254" s="45">
        <f t="shared" si="21"/>
        <v>0.67466666666666664</v>
      </c>
      <c r="G254" s="45">
        <f t="shared" si="22"/>
        <v>9.1035022222222206E-2</v>
      </c>
      <c r="H254" s="45">
        <f ca="1">F254*F254*('Sheet1 select'!$B$25)*$B$3</f>
        <v>1.0352528876961347E-2</v>
      </c>
      <c r="I254" s="45">
        <f>F254*(1-$B$3)*'Sheet1 select'!$B$41</f>
        <v>0.15742222222222221</v>
      </c>
      <c r="J254" s="45">
        <f ca="1">F254*F254*('Sheet1 select'!$B$26)*(1-$B$3)</f>
        <v>0</v>
      </c>
      <c r="K254" s="45">
        <f>0.0000005*$B$10*F254*$B$8*((('Sheet1 select'!$B$33+0.5*'Sheet1 select'!$B$32)/(('Sheet1 select'!$B$10-'Sheet1 select'!$B$23)/('Sheet1 select'!$B$27+'Sheet1 select'!$B$8)))+(('Sheet1 select'!$B$33+0.5*'Sheet1 select'!$B$32)/(('Sheet1 select'!$B$23)/('Sheet1 select'!$B$27+'Sheet1 select'!$B$9))))</f>
        <v>9.2376615326195902E-3</v>
      </c>
      <c r="L254" s="45">
        <f>(F254*$B$28)*(('Sheet1 select'!$B$12+'Sheet1 select'!$B$13)*(0.000000001))*$B$8*1000</f>
        <v>0</v>
      </c>
      <c r="M254" s="45">
        <f t="shared" si="23"/>
        <v>3.6617357284970928E-5</v>
      </c>
      <c r="N254" s="46">
        <f>$B$10*'Sheet1 select'!$B$29*0.001</f>
        <v>1.2E-2</v>
      </c>
      <c r="O254" s="44">
        <f>'Sheet1 select'!$B$10*'Sheet1 select'!$B$31*$B$8*1000*0.000000001</f>
        <v>3.0000000000000001E-3</v>
      </c>
      <c r="P254" s="44">
        <f>'Sheet1 select'!$B$35*$B$10*$B$8*1000*0.000000001</f>
        <v>0</v>
      </c>
      <c r="Q254" s="47">
        <f>IF('Sheet1 select'!$B$17=0,0,(0.00000006*0.7+0.00000003*(0.7+F254*1.1*'Sheet1 select'!$B$26))*F254*$B$8*1000)</f>
        <v>0</v>
      </c>
      <c r="R254" s="45">
        <f t="shared" ca="1" si="24"/>
        <v>0.28308405221131033</v>
      </c>
      <c r="S254" s="48">
        <f t="shared" ca="1" si="25"/>
        <v>0.92257884635094978</v>
      </c>
      <c r="T254" s="49">
        <f ca="1">H254+K254+O254+N254+'Sheet1 select'!$B$40*I254+J254+P254</f>
        <v>3.4590190409580938E-2</v>
      </c>
      <c r="U254" s="169">
        <f t="shared" ca="1" si="26"/>
        <v>2.2590190409580938E-2</v>
      </c>
      <c r="V254" s="47">
        <f t="shared" ca="1" si="27"/>
        <v>0</v>
      </c>
    </row>
    <row r="255" spans="5:22">
      <c r="E255" s="32">
        <v>254</v>
      </c>
      <c r="F255" s="45">
        <f t="shared" si="21"/>
        <v>0.67733333333333334</v>
      </c>
      <c r="G255" s="45">
        <f t="shared" si="22"/>
        <v>9.1756088888888879E-2</v>
      </c>
      <c r="H255" s="45">
        <f ca="1">F255*F255*('Sheet1 select'!$B$25)*$B$3</f>
        <v>1.0434528785421398E-2</v>
      </c>
      <c r="I255" s="45">
        <f>F255*(1-$B$3)*'Sheet1 select'!$B$41</f>
        <v>0.15804444444444443</v>
      </c>
      <c r="J255" s="45">
        <f ca="1">F255*F255*('Sheet1 select'!$B$26)*(1-$B$3)</f>
        <v>0</v>
      </c>
      <c r="K255" s="45">
        <f>0.0000005*$B$10*F255*$B$8*((('Sheet1 select'!$B$33+0.5*'Sheet1 select'!$B$32)/(('Sheet1 select'!$B$10-'Sheet1 select'!$B$23)/('Sheet1 select'!$B$27+'Sheet1 select'!$B$8)))+(('Sheet1 select'!$B$33+0.5*'Sheet1 select'!$B$32)/(('Sheet1 select'!$B$23)/('Sheet1 select'!$B$27+'Sheet1 select'!$B$9))))</f>
        <v>9.2741740287959513E-3</v>
      </c>
      <c r="L255" s="45">
        <f>(F255*$B$28)*(('Sheet1 select'!$B$12+'Sheet1 select'!$B$13)*(0.000000001))*$B$8*1000</f>
        <v>0</v>
      </c>
      <c r="M255" s="45">
        <f t="shared" si="23"/>
        <v>3.6617357284970928E-5</v>
      </c>
      <c r="N255" s="46">
        <f>$B$10*'Sheet1 select'!$B$29*0.001</f>
        <v>1.2E-2</v>
      </c>
      <c r="O255" s="44">
        <f>'Sheet1 select'!$B$10*'Sheet1 select'!$B$31*$B$8*1000*0.000000001</f>
        <v>3.0000000000000001E-3</v>
      </c>
      <c r="P255" s="44">
        <f>'Sheet1 select'!$B$35*$B$10*$B$8*1000*0.000000001</f>
        <v>0</v>
      </c>
      <c r="Q255" s="47">
        <f>IF('Sheet1 select'!$B$17=0,0,(0.00000006*0.7+0.00000003*(0.7+F255*1.1*'Sheet1 select'!$B$26))*F255*$B$8*1000)</f>
        <v>0</v>
      </c>
      <c r="R255" s="45">
        <f t="shared" ca="1" si="24"/>
        <v>0.28454585350483563</v>
      </c>
      <c r="S255" s="48">
        <f t="shared" ca="1" si="25"/>
        <v>0.92249267729901319</v>
      </c>
      <c r="T255" s="49">
        <f ca="1">H255+K255+O255+N255+'Sheet1 select'!$B$40*I255+J255+P255</f>
        <v>3.4708702814217347E-2</v>
      </c>
      <c r="U255" s="169">
        <f t="shared" ca="1" si="26"/>
        <v>2.2708702814217347E-2</v>
      </c>
      <c r="V255" s="47">
        <f t="shared" ca="1" si="27"/>
        <v>0</v>
      </c>
    </row>
    <row r="256" spans="5:22">
      <c r="E256" s="32">
        <v>255</v>
      </c>
      <c r="F256" s="45">
        <f t="shared" si="21"/>
        <v>0.68</v>
      </c>
      <c r="G256" s="45">
        <f t="shared" si="22"/>
        <v>9.2480000000000021E-2</v>
      </c>
      <c r="H256" s="45">
        <f ca="1">F256*F256*('Sheet1 select'!$B$25)*$B$3</f>
        <v>1.0516852164920742E-2</v>
      </c>
      <c r="I256" s="45">
        <f>F256*(1-$B$3)*'Sheet1 select'!$B$41</f>
        <v>0.15866666666666668</v>
      </c>
      <c r="J256" s="45">
        <f ca="1">F256*F256*('Sheet1 select'!$B$26)*(1-$B$3)</f>
        <v>0</v>
      </c>
      <c r="K256" s="45">
        <f>0.0000005*$B$10*F256*$B$8*((('Sheet1 select'!$B$33+0.5*'Sheet1 select'!$B$32)/(('Sheet1 select'!$B$10-'Sheet1 select'!$B$23)/('Sheet1 select'!$B$27+'Sheet1 select'!$B$8)))+(('Sheet1 select'!$B$33+0.5*'Sheet1 select'!$B$32)/(('Sheet1 select'!$B$23)/('Sheet1 select'!$B$27+'Sheet1 select'!$B$9))))</f>
        <v>9.3106865249723142E-3</v>
      </c>
      <c r="L256" s="45">
        <f>(F256*$B$28)*(('Sheet1 select'!$B$12+'Sheet1 select'!$B$13)*(0.000000001))*$B$8*1000</f>
        <v>0</v>
      </c>
      <c r="M256" s="45">
        <f t="shared" si="23"/>
        <v>3.6617357284970928E-5</v>
      </c>
      <c r="N256" s="46">
        <f>$B$10*'Sheet1 select'!$B$29*0.001</f>
        <v>1.2E-2</v>
      </c>
      <c r="O256" s="44">
        <f>'Sheet1 select'!$B$10*'Sheet1 select'!$B$31*$B$8*1000*0.000000001</f>
        <v>3.0000000000000001E-3</v>
      </c>
      <c r="P256" s="44">
        <f>'Sheet1 select'!$B$35*$B$10*$B$8*1000*0.000000001</f>
        <v>0</v>
      </c>
      <c r="Q256" s="47">
        <f>IF('Sheet1 select'!$B$17=0,0,(0.00000006*0.7+0.00000003*(0.7+F256*1.1*'Sheet1 select'!$B$26))*F256*$B$8*1000)</f>
        <v>0</v>
      </c>
      <c r="R256" s="45">
        <f t="shared" ca="1" si="24"/>
        <v>0.28601082271384476</v>
      </c>
      <c r="S256" s="48">
        <f t="shared" ca="1" si="25"/>
        <v>0.92240640723261147</v>
      </c>
      <c r="T256" s="49">
        <f ca="1">H256+K256+O256+N256+'Sheet1 select'!$B$40*I256+J256+P256</f>
        <v>3.4827538689893058E-2</v>
      </c>
      <c r="U256" s="169">
        <f t="shared" ca="1" si="26"/>
        <v>2.2827538689893057E-2</v>
      </c>
      <c r="V256" s="47">
        <f t="shared" ca="1" si="27"/>
        <v>0</v>
      </c>
    </row>
    <row r="257" spans="5:22">
      <c r="E257" s="32">
        <v>256</v>
      </c>
      <c r="F257" s="45">
        <f t="shared" si="21"/>
        <v>0.68266666666666675</v>
      </c>
      <c r="G257" s="45">
        <f t="shared" si="22"/>
        <v>9.3206755555555576E-2</v>
      </c>
      <c r="H257" s="45">
        <f ca="1">F257*F257*('Sheet1 select'!$B$25)*$B$3</f>
        <v>1.0599499015459373E-2</v>
      </c>
      <c r="I257" s="45">
        <f>F257*(1-$B$3)*'Sheet1 select'!$B$41</f>
        <v>0.1592888888888889</v>
      </c>
      <c r="J257" s="45">
        <f ca="1">F257*F257*('Sheet1 select'!$B$26)*(1-$B$3)</f>
        <v>0</v>
      </c>
      <c r="K257" s="45">
        <f>0.0000005*$B$10*F257*$B$8*((('Sheet1 select'!$B$33+0.5*'Sheet1 select'!$B$32)/(('Sheet1 select'!$B$10-'Sheet1 select'!$B$23)/('Sheet1 select'!$B$27+'Sheet1 select'!$B$8)))+(('Sheet1 select'!$B$33+0.5*'Sheet1 select'!$B$32)/(('Sheet1 select'!$B$23)/('Sheet1 select'!$B$27+'Sheet1 select'!$B$9))))</f>
        <v>9.347199021148677E-3</v>
      </c>
      <c r="L257" s="45">
        <f>(F257*$B$28)*(('Sheet1 select'!$B$12+'Sheet1 select'!$B$13)*(0.000000001))*$B$8*1000</f>
        <v>0</v>
      </c>
      <c r="M257" s="45">
        <f t="shared" si="23"/>
        <v>3.6617357284970928E-5</v>
      </c>
      <c r="N257" s="46">
        <f>$B$10*'Sheet1 select'!$B$29*0.001</f>
        <v>1.2E-2</v>
      </c>
      <c r="O257" s="44">
        <f>'Sheet1 select'!$B$10*'Sheet1 select'!$B$31*$B$8*1000*0.000000001</f>
        <v>3.0000000000000001E-3</v>
      </c>
      <c r="P257" s="44">
        <f>'Sheet1 select'!$B$35*$B$10*$B$8*1000*0.000000001</f>
        <v>0</v>
      </c>
      <c r="Q257" s="47">
        <f>IF('Sheet1 select'!$B$17=0,0,(0.00000006*0.7+0.00000003*(0.7+F257*1.1*'Sheet1 select'!$B$26))*F257*$B$8*1000)</f>
        <v>0</v>
      </c>
      <c r="R257" s="45">
        <f t="shared" ca="1" si="24"/>
        <v>0.28747895983833749</v>
      </c>
      <c r="S257" s="48">
        <f t="shared" ca="1" si="25"/>
        <v>0.92232003758505621</v>
      </c>
      <c r="T257" s="49">
        <f ca="1">H257+K257+O257+N257+'Sheet1 select'!$B$40*I257+J257+P257</f>
        <v>3.4946698036608048E-2</v>
      </c>
      <c r="U257" s="169">
        <f t="shared" ca="1" si="26"/>
        <v>2.2946698036608048E-2</v>
      </c>
      <c r="V257" s="47">
        <f t="shared" ca="1" si="27"/>
        <v>0</v>
      </c>
    </row>
    <row r="258" spans="5:22">
      <c r="E258" s="32">
        <v>257</v>
      </c>
      <c r="F258" s="45">
        <f t="shared" ref="F258:F301" si="28">$B$12*E258/300</f>
        <v>0.68533333333333346</v>
      </c>
      <c r="G258" s="45">
        <f t="shared" ref="G258:G301" si="29">F258*F258*$B$14*0.001*2</f>
        <v>9.3936355555555601E-2</v>
      </c>
      <c r="H258" s="45">
        <f ca="1">F258*F258*('Sheet1 select'!$B$25)*$B$3</f>
        <v>1.0682469337037297E-2</v>
      </c>
      <c r="I258" s="45">
        <f>F258*(1-$B$3)*'Sheet1 select'!$B$41</f>
        <v>0.15991111111111111</v>
      </c>
      <c r="J258" s="45">
        <f ca="1">F258*F258*('Sheet1 select'!$B$26)*(1-$B$3)</f>
        <v>0</v>
      </c>
      <c r="K258" s="45">
        <f>0.0000005*$B$10*F258*$B$8*((('Sheet1 select'!$B$33+0.5*'Sheet1 select'!$B$32)/(('Sheet1 select'!$B$10-'Sheet1 select'!$B$23)/('Sheet1 select'!$B$27+'Sheet1 select'!$B$8)))+(('Sheet1 select'!$B$33+0.5*'Sheet1 select'!$B$32)/(('Sheet1 select'!$B$23)/('Sheet1 select'!$B$27+'Sheet1 select'!$B$9))))</f>
        <v>9.3837115173250399E-3</v>
      </c>
      <c r="L258" s="45">
        <f>(F258*$B$28)*(('Sheet1 select'!$B$12+'Sheet1 select'!$B$13)*(0.000000001))*$B$8*1000</f>
        <v>0</v>
      </c>
      <c r="M258" s="45">
        <f t="shared" ref="M258:M301" si="30">($B$2^2)*$B$16*0.001</f>
        <v>3.6617357284970928E-5</v>
      </c>
      <c r="N258" s="46">
        <f>$B$10*'Sheet1 select'!$B$29*0.001</f>
        <v>1.2E-2</v>
      </c>
      <c r="O258" s="44">
        <f>'Sheet1 select'!$B$10*'Sheet1 select'!$B$31*$B$8*1000*0.000000001</f>
        <v>3.0000000000000001E-3</v>
      </c>
      <c r="P258" s="44">
        <f>'Sheet1 select'!$B$35*$B$10*$B$8*1000*0.000000001</f>
        <v>0</v>
      </c>
      <c r="Q258" s="47">
        <f>IF('Sheet1 select'!$B$17=0,0,(0.00000006*0.7+0.00000003*(0.7+F258*1.1*'Sheet1 select'!$B$26))*F258*$B$8*1000)</f>
        <v>0</v>
      </c>
      <c r="R258" s="45">
        <f t="shared" ref="R258:R301" ca="1" si="31">SUM(G258:P258)+Q258</f>
        <v>0.28895026487831404</v>
      </c>
      <c r="S258" s="48">
        <f t="shared" ref="S258:S301" ca="1" si="32">($B$11*F258)/($B$11*F258+R258)</f>
        <v>0.92223356976733162</v>
      </c>
      <c r="T258" s="49">
        <f ca="1">H258+K258+O258+N258+'Sheet1 select'!$B$40*I258+J258+P258</f>
        <v>3.5066180854362333E-2</v>
      </c>
      <c r="U258" s="169">
        <f t="shared" ref="U258:U301" ca="1" si="33">H258+K258+O258</f>
        <v>2.3066180854362336E-2</v>
      </c>
      <c r="V258" s="47">
        <f t="shared" ref="V258:V301" ca="1" si="34">J258+P258+Q258</f>
        <v>0</v>
      </c>
    </row>
    <row r="259" spans="5:22">
      <c r="E259" s="32">
        <v>258</v>
      </c>
      <c r="F259" s="45">
        <f t="shared" si="28"/>
        <v>0.68800000000000006</v>
      </c>
      <c r="G259" s="45">
        <f t="shared" si="29"/>
        <v>9.4668800000000025E-2</v>
      </c>
      <c r="H259" s="45">
        <f ca="1">F259*F259*('Sheet1 select'!$B$25)*$B$3</f>
        <v>1.0765763129654505E-2</v>
      </c>
      <c r="I259" s="45">
        <f>F259*(1-$B$3)*'Sheet1 select'!$B$41</f>
        <v>0.16053333333333333</v>
      </c>
      <c r="J259" s="45">
        <f ca="1">F259*F259*('Sheet1 select'!$B$26)*(1-$B$3)</f>
        <v>0</v>
      </c>
      <c r="K259" s="45">
        <f>0.0000005*$B$10*F259*$B$8*((('Sheet1 select'!$B$33+0.5*'Sheet1 select'!$B$32)/(('Sheet1 select'!$B$10-'Sheet1 select'!$B$23)/('Sheet1 select'!$B$27+'Sheet1 select'!$B$8)))+(('Sheet1 select'!$B$33+0.5*'Sheet1 select'!$B$32)/(('Sheet1 select'!$B$23)/('Sheet1 select'!$B$27+'Sheet1 select'!$B$9))))</f>
        <v>9.4202240135013993E-3</v>
      </c>
      <c r="L259" s="45">
        <f>(F259*$B$28)*(('Sheet1 select'!$B$12+'Sheet1 select'!$B$13)*(0.000000001))*$B$8*1000</f>
        <v>0</v>
      </c>
      <c r="M259" s="45">
        <f t="shared" si="30"/>
        <v>3.6617357284970928E-5</v>
      </c>
      <c r="N259" s="46">
        <f>$B$10*'Sheet1 select'!$B$29*0.001</f>
        <v>1.2E-2</v>
      </c>
      <c r="O259" s="44">
        <f>'Sheet1 select'!$B$10*'Sheet1 select'!$B$31*$B$8*1000*0.000000001</f>
        <v>3.0000000000000001E-3</v>
      </c>
      <c r="P259" s="44">
        <f>'Sheet1 select'!$B$35*$B$10*$B$8*1000*0.000000001</f>
        <v>0</v>
      </c>
      <c r="Q259" s="47">
        <f>IF('Sheet1 select'!$B$17=0,0,(0.00000006*0.7+0.00000003*(0.7+F259*1.1*'Sheet1 select'!$B$26))*F259*$B$8*1000)</f>
        <v>0</v>
      </c>
      <c r="R259" s="45">
        <f t="shared" ca="1" si="31"/>
        <v>0.29042473783377426</v>
      </c>
      <c r="S259" s="48">
        <f t="shared" ca="1" si="32"/>
        <v>0.92214700516852632</v>
      </c>
      <c r="T259" s="49">
        <f ca="1">H259+K259+O259+N259+'Sheet1 select'!$B$40*I259+J259+P259</f>
        <v>3.5185987143155906E-2</v>
      </c>
      <c r="U259" s="169">
        <f t="shared" ca="1" si="33"/>
        <v>2.3185987143155905E-2</v>
      </c>
      <c r="V259" s="47">
        <f t="shared" ca="1" si="34"/>
        <v>0</v>
      </c>
    </row>
    <row r="260" spans="5:22">
      <c r="E260" s="32">
        <v>259</v>
      </c>
      <c r="F260" s="45">
        <f t="shared" si="28"/>
        <v>0.69066666666666676</v>
      </c>
      <c r="G260" s="45">
        <f t="shared" si="29"/>
        <v>9.5404088888888919E-2</v>
      </c>
      <c r="H260" s="45">
        <f ca="1">F260*F260*('Sheet1 select'!$B$25)*$B$3</f>
        <v>1.0849380393311008E-2</v>
      </c>
      <c r="I260" s="45">
        <f>F260*(1-$B$3)*'Sheet1 select'!$B$41</f>
        <v>0.16115555555555558</v>
      </c>
      <c r="J260" s="45">
        <f ca="1">F260*F260*('Sheet1 select'!$B$26)*(1-$B$3)</f>
        <v>0</v>
      </c>
      <c r="K260" s="45">
        <f>0.0000005*$B$10*F260*$B$8*((('Sheet1 select'!$B$33+0.5*'Sheet1 select'!$B$32)/(('Sheet1 select'!$B$10-'Sheet1 select'!$B$23)/('Sheet1 select'!$B$27+'Sheet1 select'!$B$8)))+(('Sheet1 select'!$B$33+0.5*'Sheet1 select'!$B$32)/(('Sheet1 select'!$B$23)/('Sheet1 select'!$B$27+'Sheet1 select'!$B$9))))</f>
        <v>9.4567365096777621E-3</v>
      </c>
      <c r="L260" s="45">
        <f>(F260*$B$28)*(('Sheet1 select'!$B$12+'Sheet1 select'!$B$13)*(0.000000001))*$B$8*1000</f>
        <v>0</v>
      </c>
      <c r="M260" s="45">
        <f t="shared" si="30"/>
        <v>3.6617357284970928E-5</v>
      </c>
      <c r="N260" s="46">
        <f>$B$10*'Sheet1 select'!$B$29*0.001</f>
        <v>1.2E-2</v>
      </c>
      <c r="O260" s="44">
        <f>'Sheet1 select'!$B$10*'Sheet1 select'!$B$31*$B$8*1000*0.000000001</f>
        <v>3.0000000000000001E-3</v>
      </c>
      <c r="P260" s="44">
        <f>'Sheet1 select'!$B$35*$B$10*$B$8*1000*0.000000001</f>
        <v>0</v>
      </c>
      <c r="Q260" s="47">
        <f>IF('Sheet1 select'!$B$17=0,0,(0.00000006*0.7+0.00000003*(0.7+F260*1.1*'Sheet1 select'!$B$26))*F260*$B$8*1000)</f>
        <v>0</v>
      </c>
      <c r="R260" s="45">
        <f t="shared" ca="1" si="31"/>
        <v>0.2919023787047183</v>
      </c>
      <c r="S260" s="48">
        <f t="shared" ca="1" si="32"/>
        <v>0.92206034515625368</v>
      </c>
      <c r="T260" s="49">
        <f ca="1">H260+K260+O260+N260+'Sheet1 select'!$B$40*I260+J260+P260</f>
        <v>3.5306116902988766E-2</v>
      </c>
      <c r="U260" s="169">
        <f t="shared" ca="1" si="33"/>
        <v>2.3306116902988769E-2</v>
      </c>
      <c r="V260" s="47">
        <f t="shared" ca="1" si="34"/>
        <v>0</v>
      </c>
    </row>
    <row r="261" spans="5:22">
      <c r="E261" s="32">
        <v>260</v>
      </c>
      <c r="F261" s="45">
        <f t="shared" si="28"/>
        <v>0.69333333333333336</v>
      </c>
      <c r="G261" s="45">
        <f t="shared" si="29"/>
        <v>9.6142222222222226E-2</v>
      </c>
      <c r="H261" s="45">
        <f ca="1">F261*F261*('Sheet1 select'!$B$25)*$B$3</f>
        <v>1.0933321128006799E-2</v>
      </c>
      <c r="I261" s="45">
        <f>F261*(1-$B$3)*'Sheet1 select'!$B$41</f>
        <v>0.16177777777777777</v>
      </c>
      <c r="J261" s="45">
        <f ca="1">F261*F261*('Sheet1 select'!$B$26)*(1-$B$3)</f>
        <v>0</v>
      </c>
      <c r="K261" s="45">
        <f>0.0000005*$B$10*F261*$B$8*((('Sheet1 select'!$B$33+0.5*'Sheet1 select'!$B$32)/(('Sheet1 select'!$B$10-'Sheet1 select'!$B$23)/('Sheet1 select'!$B$27+'Sheet1 select'!$B$8)))+(('Sheet1 select'!$B$33+0.5*'Sheet1 select'!$B$32)/(('Sheet1 select'!$B$23)/('Sheet1 select'!$B$27+'Sheet1 select'!$B$9))))</f>
        <v>9.4932490058541232E-3</v>
      </c>
      <c r="L261" s="45">
        <f>(F261*$B$28)*(('Sheet1 select'!$B$12+'Sheet1 select'!$B$13)*(0.000000001))*$B$8*1000</f>
        <v>0</v>
      </c>
      <c r="M261" s="45">
        <f t="shared" si="30"/>
        <v>3.6617357284970928E-5</v>
      </c>
      <c r="N261" s="46">
        <f>$B$10*'Sheet1 select'!$B$29*0.001</f>
        <v>1.2E-2</v>
      </c>
      <c r="O261" s="44">
        <f>'Sheet1 select'!$B$10*'Sheet1 select'!$B$31*$B$8*1000*0.000000001</f>
        <v>3.0000000000000001E-3</v>
      </c>
      <c r="P261" s="44">
        <f>'Sheet1 select'!$B$35*$B$10*$B$8*1000*0.000000001</f>
        <v>0</v>
      </c>
      <c r="Q261" s="47">
        <f>IF('Sheet1 select'!$B$17=0,0,(0.00000006*0.7+0.00000003*(0.7+F261*1.1*'Sheet1 select'!$B$26))*F261*$B$8*1000)</f>
        <v>0</v>
      </c>
      <c r="R261" s="45">
        <f t="shared" ca="1" si="31"/>
        <v>0.29338318749114595</v>
      </c>
      <c r="S261" s="48">
        <f t="shared" ca="1" si="32"/>
        <v>0.92197359107706323</v>
      </c>
      <c r="T261" s="49">
        <f ca="1">H261+K261+O261+N261+'Sheet1 select'!$B$40*I261+J261+P261</f>
        <v>3.542657013386092E-2</v>
      </c>
      <c r="U261" s="169">
        <f t="shared" ca="1" si="33"/>
        <v>2.342657013386092E-2</v>
      </c>
      <c r="V261" s="47">
        <f t="shared" ca="1" si="34"/>
        <v>0</v>
      </c>
    </row>
    <row r="262" spans="5:22">
      <c r="E262" s="32">
        <v>261</v>
      </c>
      <c r="F262" s="45">
        <f t="shared" si="28"/>
        <v>0.69600000000000006</v>
      </c>
      <c r="G262" s="45">
        <f t="shared" si="29"/>
        <v>9.6883200000000017E-2</v>
      </c>
      <c r="H262" s="45">
        <f ca="1">F262*F262*('Sheet1 select'!$B$25)*$B$3</f>
        <v>1.1017585333741879E-2</v>
      </c>
      <c r="I262" s="45">
        <f>F262*(1-$B$3)*'Sheet1 select'!$B$41</f>
        <v>0.16239999999999999</v>
      </c>
      <c r="J262" s="45">
        <f ca="1">F262*F262*('Sheet1 select'!$B$26)*(1-$B$3)</f>
        <v>0</v>
      </c>
      <c r="K262" s="45">
        <f>0.0000005*$B$10*F262*$B$8*((('Sheet1 select'!$B$33+0.5*'Sheet1 select'!$B$32)/(('Sheet1 select'!$B$10-'Sheet1 select'!$B$23)/('Sheet1 select'!$B$27+'Sheet1 select'!$B$8)))+(('Sheet1 select'!$B$33+0.5*'Sheet1 select'!$B$32)/(('Sheet1 select'!$B$23)/('Sheet1 select'!$B$27+'Sheet1 select'!$B$9))))</f>
        <v>9.5297615020304861E-3</v>
      </c>
      <c r="L262" s="45">
        <f>(F262*$B$28)*(('Sheet1 select'!$B$12+'Sheet1 select'!$B$13)*(0.000000001))*$B$8*1000</f>
        <v>0</v>
      </c>
      <c r="M262" s="45">
        <f t="shared" si="30"/>
        <v>3.6617357284970928E-5</v>
      </c>
      <c r="N262" s="46">
        <f>$B$10*'Sheet1 select'!$B$29*0.001</f>
        <v>1.2E-2</v>
      </c>
      <c r="O262" s="44">
        <f>'Sheet1 select'!$B$10*'Sheet1 select'!$B$31*$B$8*1000*0.000000001</f>
        <v>3.0000000000000001E-3</v>
      </c>
      <c r="P262" s="44">
        <f>'Sheet1 select'!$B$35*$B$10*$B$8*1000*0.000000001</f>
        <v>0</v>
      </c>
      <c r="Q262" s="47">
        <f>IF('Sheet1 select'!$B$17=0,0,(0.00000006*0.7+0.00000003*(0.7+F262*1.1*'Sheet1 select'!$B$26))*F262*$B$8*1000)</f>
        <v>0</v>
      </c>
      <c r="R262" s="45">
        <f t="shared" ca="1" si="31"/>
        <v>0.29486716419305742</v>
      </c>
      <c r="S262" s="48">
        <f t="shared" ca="1" si="32"/>
        <v>0.92188674425684325</v>
      </c>
      <c r="T262" s="49">
        <f ca="1">H262+K262+O262+N262+'Sheet1 select'!$B$40*I262+J262+P262</f>
        <v>3.5547346835772362E-2</v>
      </c>
      <c r="U262" s="169">
        <f t="shared" ca="1" si="33"/>
        <v>2.3547346835772365E-2</v>
      </c>
      <c r="V262" s="47">
        <f t="shared" ca="1" si="34"/>
        <v>0</v>
      </c>
    </row>
    <row r="263" spans="5:22">
      <c r="E263" s="32">
        <v>262</v>
      </c>
      <c r="F263" s="45">
        <f t="shared" si="28"/>
        <v>0.69866666666666677</v>
      </c>
      <c r="G263" s="45">
        <f t="shared" si="29"/>
        <v>9.7627022222222248E-2</v>
      </c>
      <c r="H263" s="45">
        <f ca="1">F263*F263*('Sheet1 select'!$B$25)*$B$3</f>
        <v>1.1102173010516254E-2</v>
      </c>
      <c r="I263" s="45">
        <f>F263*(1-$B$3)*'Sheet1 select'!$B$41</f>
        <v>0.16302222222222224</v>
      </c>
      <c r="J263" s="45">
        <f ca="1">F263*F263*('Sheet1 select'!$B$26)*(1-$B$3)</f>
        <v>0</v>
      </c>
      <c r="K263" s="45">
        <f>0.0000005*$B$10*F263*$B$8*((('Sheet1 select'!$B$33+0.5*'Sheet1 select'!$B$32)/(('Sheet1 select'!$B$10-'Sheet1 select'!$B$23)/('Sheet1 select'!$B$27+'Sheet1 select'!$B$8)))+(('Sheet1 select'!$B$33+0.5*'Sheet1 select'!$B$32)/(('Sheet1 select'!$B$23)/('Sheet1 select'!$B$27+'Sheet1 select'!$B$9))))</f>
        <v>9.5662739982068489E-3</v>
      </c>
      <c r="L263" s="45">
        <f>(F263*$B$28)*(('Sheet1 select'!$B$12+'Sheet1 select'!$B$13)*(0.000000001))*$B$8*1000</f>
        <v>0</v>
      </c>
      <c r="M263" s="45">
        <f t="shared" si="30"/>
        <v>3.6617357284970928E-5</v>
      </c>
      <c r="N263" s="46">
        <f>$B$10*'Sheet1 select'!$B$29*0.001</f>
        <v>1.2E-2</v>
      </c>
      <c r="O263" s="44">
        <f>'Sheet1 select'!$B$10*'Sheet1 select'!$B$31*$B$8*1000*0.000000001</f>
        <v>3.0000000000000001E-3</v>
      </c>
      <c r="P263" s="44">
        <f>'Sheet1 select'!$B$35*$B$10*$B$8*1000*0.000000001</f>
        <v>0</v>
      </c>
      <c r="Q263" s="47">
        <f>IF('Sheet1 select'!$B$17=0,0,(0.00000006*0.7+0.00000003*(0.7+F263*1.1*'Sheet1 select'!$B$26))*F263*$B$8*1000)</f>
        <v>0</v>
      </c>
      <c r="R263" s="45">
        <f t="shared" ca="1" si="31"/>
        <v>0.2963543088104526</v>
      </c>
      <c r="S263" s="48">
        <f t="shared" ca="1" si="32"/>
        <v>0.92179980600121225</v>
      </c>
      <c r="T263" s="49">
        <f ca="1">H263+K263+O263+N263+'Sheet1 select'!$B$40*I263+J263+P263</f>
        <v>3.5668447008723105E-2</v>
      </c>
      <c r="U263" s="169">
        <f t="shared" ca="1" si="33"/>
        <v>2.3668447008723104E-2</v>
      </c>
      <c r="V263" s="47">
        <f t="shared" ca="1" si="34"/>
        <v>0</v>
      </c>
    </row>
    <row r="264" spans="5:22">
      <c r="E264" s="32">
        <v>263</v>
      </c>
      <c r="F264" s="45">
        <f t="shared" si="28"/>
        <v>0.70133333333333336</v>
      </c>
      <c r="G264" s="45">
        <f t="shared" si="29"/>
        <v>9.8373688888888894E-2</v>
      </c>
      <c r="H264" s="45">
        <f ca="1">F264*F264*('Sheet1 select'!$B$25)*$B$3</f>
        <v>1.1187084158329915E-2</v>
      </c>
      <c r="I264" s="45">
        <f>F264*(1-$B$3)*'Sheet1 select'!$B$41</f>
        <v>0.16364444444444445</v>
      </c>
      <c r="J264" s="45">
        <f ca="1">F264*F264*('Sheet1 select'!$B$26)*(1-$B$3)</f>
        <v>0</v>
      </c>
      <c r="K264" s="45">
        <f>0.0000005*$B$10*F264*$B$8*((('Sheet1 select'!$B$33+0.5*'Sheet1 select'!$B$32)/(('Sheet1 select'!$B$10-'Sheet1 select'!$B$23)/('Sheet1 select'!$B$27+'Sheet1 select'!$B$8)))+(('Sheet1 select'!$B$33+0.5*'Sheet1 select'!$B$32)/(('Sheet1 select'!$B$23)/('Sheet1 select'!$B$27+'Sheet1 select'!$B$9))))</f>
        <v>9.60278649438321E-3</v>
      </c>
      <c r="L264" s="45">
        <f>(F264*$B$28)*(('Sheet1 select'!$B$12+'Sheet1 select'!$B$13)*(0.000000001))*$B$8*1000</f>
        <v>0</v>
      </c>
      <c r="M264" s="45">
        <f t="shared" si="30"/>
        <v>3.6617357284970928E-5</v>
      </c>
      <c r="N264" s="46">
        <f>$B$10*'Sheet1 select'!$B$29*0.001</f>
        <v>1.2E-2</v>
      </c>
      <c r="O264" s="44">
        <f>'Sheet1 select'!$B$10*'Sheet1 select'!$B$31*$B$8*1000*0.000000001</f>
        <v>3.0000000000000001E-3</v>
      </c>
      <c r="P264" s="44">
        <f>'Sheet1 select'!$B$35*$B$10*$B$8*1000*0.000000001</f>
        <v>0</v>
      </c>
      <c r="Q264" s="47">
        <f>IF('Sheet1 select'!$B$17=0,0,(0.00000006*0.7+0.00000003*(0.7+F264*1.1*'Sheet1 select'!$B$26))*F264*$B$8*1000)</f>
        <v>0</v>
      </c>
      <c r="R264" s="45">
        <f t="shared" ca="1" si="31"/>
        <v>0.29784462134333151</v>
      </c>
      <c r="S264" s="48">
        <f t="shared" ca="1" si="32"/>
        <v>0.92171277759590431</v>
      </c>
      <c r="T264" s="49">
        <f ca="1">H264+K264+O264+N264+'Sheet1 select'!$B$40*I264+J264+P264</f>
        <v>3.5789870652713121E-2</v>
      </c>
      <c r="U264" s="169">
        <f t="shared" ca="1" si="33"/>
        <v>2.3789870652713124E-2</v>
      </c>
      <c r="V264" s="47">
        <f t="shared" ca="1" si="34"/>
        <v>0</v>
      </c>
    </row>
    <row r="265" spans="5:22">
      <c r="E265" s="32">
        <v>264</v>
      </c>
      <c r="F265" s="45">
        <f t="shared" si="28"/>
        <v>0.70400000000000007</v>
      </c>
      <c r="G265" s="45">
        <f t="shared" si="29"/>
        <v>9.9123200000000022E-2</v>
      </c>
      <c r="H265" s="45">
        <f ca="1">F265*F265*('Sheet1 select'!$B$25)*$B$3</f>
        <v>1.1272318777182868E-2</v>
      </c>
      <c r="I265" s="45">
        <f>F265*(1-$B$3)*'Sheet1 select'!$B$41</f>
        <v>0.16426666666666667</v>
      </c>
      <c r="J265" s="45">
        <f ca="1">F265*F265*('Sheet1 select'!$B$26)*(1-$B$3)</f>
        <v>0</v>
      </c>
      <c r="K265" s="45">
        <f>0.0000005*$B$10*F265*$B$8*((('Sheet1 select'!$B$33+0.5*'Sheet1 select'!$B$32)/(('Sheet1 select'!$B$10-'Sheet1 select'!$B$23)/('Sheet1 select'!$B$27+'Sheet1 select'!$B$8)))+(('Sheet1 select'!$B$33+0.5*'Sheet1 select'!$B$32)/(('Sheet1 select'!$B$23)/('Sheet1 select'!$B$27+'Sheet1 select'!$B$9))))</f>
        <v>9.6392989905595729E-3</v>
      </c>
      <c r="L265" s="45">
        <f>(F265*$B$28)*(('Sheet1 select'!$B$12+'Sheet1 select'!$B$13)*(0.000000001))*$B$8*1000</f>
        <v>0</v>
      </c>
      <c r="M265" s="45">
        <f t="shared" si="30"/>
        <v>3.6617357284970928E-5</v>
      </c>
      <c r="N265" s="46">
        <f>$B$10*'Sheet1 select'!$B$29*0.001</f>
        <v>1.2E-2</v>
      </c>
      <c r="O265" s="44">
        <f>'Sheet1 select'!$B$10*'Sheet1 select'!$B$31*$B$8*1000*0.000000001</f>
        <v>3.0000000000000001E-3</v>
      </c>
      <c r="P265" s="44">
        <f>'Sheet1 select'!$B$35*$B$10*$B$8*1000*0.000000001</f>
        <v>0</v>
      </c>
      <c r="Q265" s="47">
        <f>IF('Sheet1 select'!$B$17=0,0,(0.00000006*0.7+0.00000003*(0.7+F265*1.1*'Sheet1 select'!$B$26))*F265*$B$8*1000)</f>
        <v>0</v>
      </c>
      <c r="R265" s="45">
        <f t="shared" ca="1" si="31"/>
        <v>0.29933810179169418</v>
      </c>
      <c r="S265" s="48">
        <f t="shared" ca="1" si="32"/>
        <v>0.92162566030714288</v>
      </c>
      <c r="T265" s="49">
        <f ca="1">H265+K265+O265+N265+'Sheet1 select'!$B$40*I265+J265+P265</f>
        <v>3.5911617767742439E-2</v>
      </c>
      <c r="U265" s="169">
        <f t="shared" ca="1" si="33"/>
        <v>2.3911617767742439E-2</v>
      </c>
      <c r="V265" s="47">
        <f t="shared" ca="1" si="34"/>
        <v>0</v>
      </c>
    </row>
    <row r="266" spans="5:22">
      <c r="E266" s="32">
        <v>265</v>
      </c>
      <c r="F266" s="45">
        <f t="shared" si="28"/>
        <v>0.70666666666666667</v>
      </c>
      <c r="G266" s="45">
        <f t="shared" si="29"/>
        <v>9.9875555555555551E-2</v>
      </c>
      <c r="H266" s="45">
        <f ca="1">F266*F266*('Sheet1 select'!$B$25)*$B$3</f>
        <v>1.1357876867075107E-2</v>
      </c>
      <c r="I266" s="45">
        <f>F266*(1-$B$3)*'Sheet1 select'!$B$41</f>
        <v>0.16488888888888886</v>
      </c>
      <c r="J266" s="45">
        <f ca="1">F266*F266*('Sheet1 select'!$B$26)*(1-$B$3)</f>
        <v>0</v>
      </c>
      <c r="K266" s="45">
        <f>0.0000005*$B$10*F266*$B$8*((('Sheet1 select'!$B$33+0.5*'Sheet1 select'!$B$32)/(('Sheet1 select'!$B$10-'Sheet1 select'!$B$23)/('Sheet1 select'!$B$27+'Sheet1 select'!$B$8)))+(('Sheet1 select'!$B$33+0.5*'Sheet1 select'!$B$32)/(('Sheet1 select'!$B$23)/('Sheet1 select'!$B$27+'Sheet1 select'!$B$9))))</f>
        <v>9.675811486735934E-3</v>
      </c>
      <c r="L266" s="45">
        <f>(F266*$B$28)*(('Sheet1 select'!$B$12+'Sheet1 select'!$B$13)*(0.000000001))*$B$8*1000</f>
        <v>0</v>
      </c>
      <c r="M266" s="45">
        <f t="shared" si="30"/>
        <v>3.6617357284970928E-5</v>
      </c>
      <c r="N266" s="46">
        <f>$B$10*'Sheet1 select'!$B$29*0.001</f>
        <v>1.2E-2</v>
      </c>
      <c r="O266" s="44">
        <f>'Sheet1 select'!$B$10*'Sheet1 select'!$B$31*$B$8*1000*0.000000001</f>
        <v>3.0000000000000001E-3</v>
      </c>
      <c r="P266" s="44">
        <f>'Sheet1 select'!$B$35*$B$10*$B$8*1000*0.000000001</f>
        <v>0</v>
      </c>
      <c r="Q266" s="47">
        <f>IF('Sheet1 select'!$B$17=0,0,(0.00000006*0.7+0.00000003*(0.7+F266*1.1*'Sheet1 select'!$B$26))*F266*$B$8*1000)</f>
        <v>0</v>
      </c>
      <c r="R266" s="45">
        <f t="shared" ca="1" si="31"/>
        <v>0.30083475015554045</v>
      </c>
      <c r="S266" s="48">
        <f t="shared" ca="1" si="32"/>
        <v>0.92153845538200874</v>
      </c>
      <c r="T266" s="49">
        <f ca="1">H266+K266+O266+N266+'Sheet1 select'!$B$40*I266+J266+P266</f>
        <v>3.6033688353811044E-2</v>
      </c>
      <c r="U266" s="169">
        <f t="shared" ca="1" si="33"/>
        <v>2.403368835381104E-2</v>
      </c>
      <c r="V266" s="47">
        <f t="shared" ca="1" si="34"/>
        <v>0</v>
      </c>
    </row>
    <row r="267" spans="5:22">
      <c r="E267" s="32">
        <v>266</v>
      </c>
      <c r="F267" s="45">
        <f t="shared" si="28"/>
        <v>0.70933333333333337</v>
      </c>
      <c r="G267" s="45">
        <f t="shared" si="29"/>
        <v>0.10063075555555556</v>
      </c>
      <c r="H267" s="45">
        <f ca="1">F267*F267*('Sheet1 select'!$B$25)*$B$3</f>
        <v>1.1443758428006642E-2</v>
      </c>
      <c r="I267" s="45">
        <f>F267*(1-$B$3)*'Sheet1 select'!$B$41</f>
        <v>0.16551111111111111</v>
      </c>
      <c r="J267" s="45">
        <f ca="1">F267*F267*('Sheet1 select'!$B$26)*(1-$B$3)</f>
        <v>0</v>
      </c>
      <c r="K267" s="45">
        <f>0.0000005*$B$10*F267*$B$8*((('Sheet1 select'!$B$33+0.5*'Sheet1 select'!$B$32)/(('Sheet1 select'!$B$10-'Sheet1 select'!$B$23)/('Sheet1 select'!$B$27+'Sheet1 select'!$B$8)))+(('Sheet1 select'!$B$33+0.5*'Sheet1 select'!$B$32)/(('Sheet1 select'!$B$23)/('Sheet1 select'!$B$27+'Sheet1 select'!$B$9))))</f>
        <v>9.7123239829122968E-3</v>
      </c>
      <c r="L267" s="45">
        <f>(F267*$B$28)*(('Sheet1 select'!$B$12+'Sheet1 select'!$B$13)*(0.000000001))*$B$8*1000</f>
        <v>0</v>
      </c>
      <c r="M267" s="45">
        <f t="shared" si="30"/>
        <v>3.6617357284970928E-5</v>
      </c>
      <c r="N267" s="46">
        <f>$B$10*'Sheet1 select'!$B$29*0.001</f>
        <v>1.2E-2</v>
      </c>
      <c r="O267" s="44">
        <f>'Sheet1 select'!$B$10*'Sheet1 select'!$B$31*$B$8*1000*0.000000001</f>
        <v>3.0000000000000001E-3</v>
      </c>
      <c r="P267" s="44">
        <f>'Sheet1 select'!$B$35*$B$10*$B$8*1000*0.000000001</f>
        <v>0</v>
      </c>
      <c r="Q267" s="47">
        <f>IF('Sheet1 select'!$B$17=0,0,(0.00000006*0.7+0.00000003*(0.7+F267*1.1*'Sheet1 select'!$B$26))*F267*$B$8*1000)</f>
        <v>0</v>
      </c>
      <c r="R267" s="45">
        <f t="shared" ca="1" si="31"/>
        <v>0.30233456643487061</v>
      </c>
      <c r="S267" s="48">
        <f t="shared" ca="1" si="32"/>
        <v>0.92145116404879701</v>
      </c>
      <c r="T267" s="49">
        <f ca="1">H267+K267+O267+N267+'Sheet1 select'!$B$40*I267+J267+P267</f>
        <v>3.6156082410918937E-2</v>
      </c>
      <c r="U267" s="169">
        <f t="shared" ca="1" si="33"/>
        <v>2.4156082410918937E-2</v>
      </c>
      <c r="V267" s="47">
        <f t="shared" ca="1" si="34"/>
        <v>0</v>
      </c>
    </row>
    <row r="268" spans="5:22">
      <c r="E268" s="32">
        <v>267</v>
      </c>
      <c r="F268" s="45">
        <f t="shared" si="28"/>
        <v>0.71200000000000008</v>
      </c>
      <c r="G268" s="45">
        <f t="shared" si="29"/>
        <v>0.10138880000000002</v>
      </c>
      <c r="H268" s="45">
        <f ca="1">F268*F268*('Sheet1 select'!$B$25)*$B$3</f>
        <v>1.1529963459977467E-2</v>
      </c>
      <c r="I268" s="45">
        <f>F268*(1-$B$3)*'Sheet1 select'!$B$41</f>
        <v>0.16613333333333336</v>
      </c>
      <c r="J268" s="45">
        <f ca="1">F268*F268*('Sheet1 select'!$B$26)*(1-$B$3)</f>
        <v>0</v>
      </c>
      <c r="K268" s="45">
        <f>0.0000005*$B$10*F268*$B$8*((('Sheet1 select'!$B$33+0.5*'Sheet1 select'!$B$32)/(('Sheet1 select'!$B$10-'Sheet1 select'!$B$23)/('Sheet1 select'!$B$27+'Sheet1 select'!$B$8)))+(('Sheet1 select'!$B$33+0.5*'Sheet1 select'!$B$32)/(('Sheet1 select'!$B$23)/('Sheet1 select'!$B$27+'Sheet1 select'!$B$9))))</f>
        <v>9.7488364790886597E-3</v>
      </c>
      <c r="L268" s="45">
        <f>(F268*$B$28)*(('Sheet1 select'!$B$12+'Sheet1 select'!$B$13)*(0.000000001))*$B$8*1000</f>
        <v>0</v>
      </c>
      <c r="M268" s="45">
        <f t="shared" si="30"/>
        <v>3.6617357284970928E-5</v>
      </c>
      <c r="N268" s="46">
        <f>$B$10*'Sheet1 select'!$B$29*0.001</f>
        <v>1.2E-2</v>
      </c>
      <c r="O268" s="44">
        <f>'Sheet1 select'!$B$10*'Sheet1 select'!$B$31*$B$8*1000*0.000000001</f>
        <v>3.0000000000000001E-3</v>
      </c>
      <c r="P268" s="44">
        <f>'Sheet1 select'!$B$35*$B$10*$B$8*1000*0.000000001</f>
        <v>0</v>
      </c>
      <c r="Q268" s="47">
        <f>IF('Sheet1 select'!$B$17=0,0,(0.00000006*0.7+0.00000003*(0.7+F268*1.1*'Sheet1 select'!$B$26))*F268*$B$8*1000)</f>
        <v>0</v>
      </c>
      <c r="R268" s="45">
        <f t="shared" ca="1" si="31"/>
        <v>0.30383755062968448</v>
      </c>
      <c r="S268" s="48">
        <f t="shared" ca="1" si="32"/>
        <v>0.92136378751736892</v>
      </c>
      <c r="T268" s="49">
        <f ca="1">H268+K268+O268+N268+'Sheet1 select'!$B$40*I268+J268+P268</f>
        <v>3.6278799939066124E-2</v>
      </c>
      <c r="U268" s="169">
        <f t="shared" ca="1" si="33"/>
        <v>2.4278799939066124E-2</v>
      </c>
      <c r="V268" s="47">
        <f t="shared" ca="1" si="34"/>
        <v>0</v>
      </c>
    </row>
    <row r="269" spans="5:22">
      <c r="E269" s="32">
        <v>268</v>
      </c>
      <c r="F269" s="45">
        <f t="shared" si="28"/>
        <v>0.71466666666666667</v>
      </c>
      <c r="G269" s="45">
        <f t="shared" si="29"/>
        <v>0.1021496888888889</v>
      </c>
      <c r="H269" s="45">
        <f ca="1">F269*F269*('Sheet1 select'!$B$25)*$B$3</f>
        <v>1.1616491962987576E-2</v>
      </c>
      <c r="I269" s="45">
        <f>F269*(1-$B$3)*'Sheet1 select'!$B$41</f>
        <v>0.16675555555555555</v>
      </c>
      <c r="J269" s="45">
        <f ca="1">F269*F269*('Sheet1 select'!$B$26)*(1-$B$3)</f>
        <v>0</v>
      </c>
      <c r="K269" s="45">
        <f>0.0000005*$B$10*F269*$B$8*((('Sheet1 select'!$B$33+0.5*'Sheet1 select'!$B$32)/(('Sheet1 select'!$B$10-'Sheet1 select'!$B$23)/('Sheet1 select'!$B$27+'Sheet1 select'!$B$8)))+(('Sheet1 select'!$B$33+0.5*'Sheet1 select'!$B$32)/(('Sheet1 select'!$B$23)/('Sheet1 select'!$B$27+'Sheet1 select'!$B$9))))</f>
        <v>9.7853489752650208E-3</v>
      </c>
      <c r="L269" s="45">
        <f>(F269*$B$28)*(('Sheet1 select'!$B$12+'Sheet1 select'!$B$13)*(0.000000001))*$B$8*1000</f>
        <v>0</v>
      </c>
      <c r="M269" s="45">
        <f t="shared" si="30"/>
        <v>3.6617357284970928E-5</v>
      </c>
      <c r="N269" s="46">
        <f>$B$10*'Sheet1 select'!$B$29*0.001</f>
        <v>1.2E-2</v>
      </c>
      <c r="O269" s="44">
        <f>'Sheet1 select'!$B$10*'Sheet1 select'!$B$31*$B$8*1000*0.000000001</f>
        <v>3.0000000000000001E-3</v>
      </c>
      <c r="P269" s="44">
        <f>'Sheet1 select'!$B$35*$B$10*$B$8*1000*0.000000001</f>
        <v>0</v>
      </c>
      <c r="Q269" s="47">
        <f>IF('Sheet1 select'!$B$17=0,0,(0.00000006*0.7+0.00000003*(0.7+F269*1.1*'Sheet1 select'!$B$26))*F269*$B$8*1000)</f>
        <v>0</v>
      </c>
      <c r="R269" s="45">
        <f t="shared" ca="1" si="31"/>
        <v>0.30534370273998201</v>
      </c>
      <c r="S269" s="48">
        <f t="shared" ca="1" si="32"/>
        <v>0.9212763269794938</v>
      </c>
      <c r="T269" s="49">
        <f ca="1">H269+K269+O269+N269+'Sheet1 select'!$B$40*I269+J269+P269</f>
        <v>3.6401840938252598E-2</v>
      </c>
      <c r="U269" s="169">
        <f t="shared" ca="1" si="33"/>
        <v>2.4401840938252598E-2</v>
      </c>
      <c r="V269" s="47">
        <f t="shared" ca="1" si="34"/>
        <v>0</v>
      </c>
    </row>
    <row r="270" spans="5:22">
      <c r="E270" s="32">
        <v>269</v>
      </c>
      <c r="F270" s="45">
        <f t="shared" si="28"/>
        <v>0.71733333333333338</v>
      </c>
      <c r="G270" s="45">
        <f t="shared" si="29"/>
        <v>0.10291342222222225</v>
      </c>
      <c r="H270" s="45">
        <f ca="1">F270*F270*('Sheet1 select'!$B$25)*$B$3</f>
        <v>1.1703343937036982E-2</v>
      </c>
      <c r="I270" s="45">
        <f>F270*(1-$B$3)*'Sheet1 select'!$B$41</f>
        <v>0.16737777777777776</v>
      </c>
      <c r="J270" s="45">
        <f ca="1">F270*F270*('Sheet1 select'!$B$26)*(1-$B$3)</f>
        <v>0</v>
      </c>
      <c r="K270" s="45">
        <f>0.0000005*$B$10*F270*$B$8*((('Sheet1 select'!$B$33+0.5*'Sheet1 select'!$B$32)/(('Sheet1 select'!$B$10-'Sheet1 select'!$B$23)/('Sheet1 select'!$B$27+'Sheet1 select'!$B$8)))+(('Sheet1 select'!$B$33+0.5*'Sheet1 select'!$B$32)/(('Sheet1 select'!$B$23)/('Sheet1 select'!$B$27+'Sheet1 select'!$B$9))))</f>
        <v>9.8218614714413836E-3</v>
      </c>
      <c r="L270" s="45">
        <f>(F270*$B$28)*(('Sheet1 select'!$B$12+'Sheet1 select'!$B$13)*(0.000000001))*$B$8*1000</f>
        <v>0</v>
      </c>
      <c r="M270" s="45">
        <f t="shared" si="30"/>
        <v>3.6617357284970928E-5</v>
      </c>
      <c r="N270" s="46">
        <f>$B$10*'Sheet1 select'!$B$29*0.001</f>
        <v>1.2E-2</v>
      </c>
      <c r="O270" s="44">
        <f>'Sheet1 select'!$B$10*'Sheet1 select'!$B$31*$B$8*1000*0.000000001</f>
        <v>3.0000000000000001E-3</v>
      </c>
      <c r="P270" s="44">
        <f>'Sheet1 select'!$B$35*$B$10*$B$8*1000*0.000000001</f>
        <v>0</v>
      </c>
      <c r="Q270" s="47">
        <f>IF('Sheet1 select'!$B$17=0,0,(0.00000006*0.7+0.00000003*(0.7+F270*1.1*'Sheet1 select'!$B$26))*F270*$B$8*1000)</f>
        <v>0</v>
      </c>
      <c r="R270" s="45">
        <f t="shared" ca="1" si="31"/>
        <v>0.30685302276576337</v>
      </c>
      <c r="S270" s="48">
        <f t="shared" ca="1" si="32"/>
        <v>0.92118878360918366</v>
      </c>
      <c r="T270" s="49">
        <f ca="1">H270+K270+O270+N270+'Sheet1 select'!$B$40*I270+J270+P270</f>
        <v>3.6525205408478367E-2</v>
      </c>
      <c r="U270" s="169">
        <f t="shared" ca="1" si="33"/>
        <v>2.4525205408478367E-2</v>
      </c>
      <c r="V270" s="47">
        <f t="shared" ca="1" si="34"/>
        <v>0</v>
      </c>
    </row>
    <row r="271" spans="5:22">
      <c r="E271" s="32">
        <v>270</v>
      </c>
      <c r="F271" s="45">
        <f t="shared" si="28"/>
        <v>0.72</v>
      </c>
      <c r="G271" s="45">
        <f t="shared" si="29"/>
        <v>0.10367999999999999</v>
      </c>
      <c r="H271" s="45">
        <f ca="1">F271*F271*('Sheet1 select'!$B$25)*$B$3</f>
        <v>1.1790519382125672E-2</v>
      </c>
      <c r="I271" s="45">
        <f>F271*(1-$B$3)*'Sheet1 select'!$B$41</f>
        <v>0.16799999999999998</v>
      </c>
      <c r="J271" s="45">
        <f ca="1">F271*F271*('Sheet1 select'!$B$26)*(1-$B$3)</f>
        <v>0</v>
      </c>
      <c r="K271" s="45">
        <f>0.0000005*$B$10*F271*$B$8*((('Sheet1 select'!$B$33+0.5*'Sheet1 select'!$B$32)/(('Sheet1 select'!$B$10-'Sheet1 select'!$B$23)/('Sheet1 select'!$B$27+'Sheet1 select'!$B$8)))+(('Sheet1 select'!$B$33+0.5*'Sheet1 select'!$B$32)/(('Sheet1 select'!$B$23)/('Sheet1 select'!$B$27+'Sheet1 select'!$B$9))))</f>
        <v>9.8583739676177447E-3</v>
      </c>
      <c r="L271" s="45">
        <f>(F271*$B$28)*(('Sheet1 select'!$B$12+'Sheet1 select'!$B$13)*(0.000000001))*$B$8*1000</f>
        <v>0</v>
      </c>
      <c r="M271" s="45">
        <f t="shared" si="30"/>
        <v>3.6617357284970928E-5</v>
      </c>
      <c r="N271" s="46">
        <f>$B$10*'Sheet1 select'!$B$29*0.001</f>
        <v>1.2E-2</v>
      </c>
      <c r="O271" s="44">
        <f>'Sheet1 select'!$B$10*'Sheet1 select'!$B$31*$B$8*1000*0.000000001</f>
        <v>3.0000000000000001E-3</v>
      </c>
      <c r="P271" s="44">
        <f>'Sheet1 select'!$B$35*$B$10*$B$8*1000*0.000000001</f>
        <v>0</v>
      </c>
      <c r="Q271" s="47">
        <f>IF('Sheet1 select'!$B$17=0,0,(0.00000006*0.7+0.00000003*(0.7+F271*1.1*'Sheet1 select'!$B$26))*F271*$B$8*1000)</f>
        <v>0</v>
      </c>
      <c r="R271" s="45">
        <f t="shared" ca="1" si="31"/>
        <v>0.30836551070702839</v>
      </c>
      <c r="S271" s="48">
        <f t="shared" ca="1" si="32"/>
        <v>0.92110115856302177</v>
      </c>
      <c r="T271" s="49">
        <f ca="1">H271+K271+O271+N271+'Sheet1 select'!$B$40*I271+J271+P271</f>
        <v>3.6648893349743417E-2</v>
      </c>
      <c r="U271" s="169">
        <f t="shared" ca="1" si="33"/>
        <v>2.4648893349743416E-2</v>
      </c>
      <c r="V271" s="47">
        <f t="shared" ca="1" si="34"/>
        <v>0</v>
      </c>
    </row>
    <row r="272" spans="5:22">
      <c r="E272" s="32">
        <v>271</v>
      </c>
      <c r="F272" s="45">
        <f t="shared" si="28"/>
        <v>0.72266666666666668</v>
      </c>
      <c r="G272" s="45">
        <f t="shared" si="29"/>
        <v>0.10444942222222223</v>
      </c>
      <c r="H272" s="45">
        <f ca="1">F272*F272*('Sheet1 select'!$B$25)*$B$3</f>
        <v>1.1878018298253657E-2</v>
      </c>
      <c r="I272" s="45">
        <f>F272*(1-$B$3)*'Sheet1 select'!$B$41</f>
        <v>0.16862222222222223</v>
      </c>
      <c r="J272" s="45">
        <f ca="1">F272*F272*('Sheet1 select'!$B$26)*(1-$B$3)</f>
        <v>0</v>
      </c>
      <c r="K272" s="45">
        <f>0.0000005*$B$10*F272*$B$8*((('Sheet1 select'!$B$33+0.5*'Sheet1 select'!$B$32)/(('Sheet1 select'!$B$10-'Sheet1 select'!$B$23)/('Sheet1 select'!$B$27+'Sheet1 select'!$B$8)))+(('Sheet1 select'!$B$33+0.5*'Sheet1 select'!$B$32)/(('Sheet1 select'!$B$23)/('Sheet1 select'!$B$27+'Sheet1 select'!$B$9))))</f>
        <v>9.8948864637941059E-3</v>
      </c>
      <c r="L272" s="45">
        <f>(F272*$B$28)*(('Sheet1 select'!$B$12+'Sheet1 select'!$B$13)*(0.000000001))*$B$8*1000</f>
        <v>0</v>
      </c>
      <c r="M272" s="45">
        <f t="shared" si="30"/>
        <v>3.6617357284970928E-5</v>
      </c>
      <c r="N272" s="46">
        <f>$B$10*'Sheet1 select'!$B$29*0.001</f>
        <v>1.2E-2</v>
      </c>
      <c r="O272" s="44">
        <f>'Sheet1 select'!$B$10*'Sheet1 select'!$B$31*$B$8*1000*0.000000001</f>
        <v>3.0000000000000001E-3</v>
      </c>
      <c r="P272" s="44">
        <f>'Sheet1 select'!$B$35*$B$10*$B$8*1000*0.000000001</f>
        <v>0</v>
      </c>
      <c r="Q272" s="47">
        <f>IF('Sheet1 select'!$B$17=0,0,(0.00000006*0.7+0.00000003*(0.7+F272*1.1*'Sheet1 select'!$B$26))*F272*$B$8*1000)</f>
        <v>0</v>
      </c>
      <c r="R272" s="45">
        <f t="shared" ca="1" si="31"/>
        <v>0.30988116656377723</v>
      </c>
      <c r="S272" s="48">
        <f t="shared" ca="1" si="32"/>
        <v>0.92101345298048221</v>
      </c>
      <c r="T272" s="49">
        <f ca="1">H272+K272+O272+N272+'Sheet1 select'!$B$40*I272+J272+P272</f>
        <v>3.677290476204776E-2</v>
      </c>
      <c r="U272" s="169">
        <f t="shared" ca="1" si="33"/>
        <v>2.477290476204776E-2</v>
      </c>
      <c r="V272" s="47">
        <f t="shared" ca="1" si="34"/>
        <v>0</v>
      </c>
    </row>
    <row r="273" spans="5:22">
      <c r="E273" s="32">
        <v>272</v>
      </c>
      <c r="F273" s="45">
        <f t="shared" si="28"/>
        <v>0.72533333333333339</v>
      </c>
      <c r="G273" s="45">
        <f t="shared" si="29"/>
        <v>0.1052216888888889</v>
      </c>
      <c r="H273" s="45">
        <f ca="1">F273*F273*('Sheet1 select'!$B$25)*$B$3</f>
        <v>1.1965840685420932E-2</v>
      </c>
      <c r="I273" s="45">
        <f>F273*(1-$B$3)*'Sheet1 select'!$B$41</f>
        <v>0.16924444444444445</v>
      </c>
      <c r="J273" s="45">
        <f ca="1">F273*F273*('Sheet1 select'!$B$26)*(1-$B$3)</f>
        <v>0</v>
      </c>
      <c r="K273" s="45">
        <f>0.0000005*$B$10*F273*$B$8*((('Sheet1 select'!$B$33+0.5*'Sheet1 select'!$B$32)/(('Sheet1 select'!$B$10-'Sheet1 select'!$B$23)/('Sheet1 select'!$B$27+'Sheet1 select'!$B$8)))+(('Sheet1 select'!$B$33+0.5*'Sheet1 select'!$B$32)/(('Sheet1 select'!$B$23)/('Sheet1 select'!$B$27+'Sheet1 select'!$B$9))))</f>
        <v>9.9313989599704687E-3</v>
      </c>
      <c r="L273" s="45">
        <f>(F273*$B$28)*(('Sheet1 select'!$B$12+'Sheet1 select'!$B$13)*(0.000000001))*$B$8*1000</f>
        <v>0</v>
      </c>
      <c r="M273" s="45">
        <f t="shared" si="30"/>
        <v>3.6617357284970928E-5</v>
      </c>
      <c r="N273" s="46">
        <f>$B$10*'Sheet1 select'!$B$29*0.001</f>
        <v>1.2E-2</v>
      </c>
      <c r="O273" s="44">
        <f>'Sheet1 select'!$B$10*'Sheet1 select'!$B$31*$B$8*1000*0.000000001</f>
        <v>3.0000000000000001E-3</v>
      </c>
      <c r="P273" s="44">
        <f>'Sheet1 select'!$B$35*$B$10*$B$8*1000*0.000000001</f>
        <v>0</v>
      </c>
      <c r="Q273" s="47">
        <f>IF('Sheet1 select'!$B$17=0,0,(0.00000006*0.7+0.00000003*(0.7+F273*1.1*'Sheet1 select'!$B$26))*F273*$B$8*1000)</f>
        <v>0</v>
      </c>
      <c r="R273" s="45">
        <f t="shared" ca="1" si="31"/>
        <v>0.31139999033600979</v>
      </c>
      <c r="S273" s="48">
        <f t="shared" ca="1" si="32"/>
        <v>0.92092566798424347</v>
      </c>
      <c r="T273" s="49">
        <f ca="1">H273+K273+O273+N273+'Sheet1 select'!$B$40*I273+J273+P273</f>
        <v>3.6897239645391398E-2</v>
      </c>
      <c r="U273" s="169">
        <f t="shared" ca="1" si="33"/>
        <v>2.4897239645391398E-2</v>
      </c>
      <c r="V273" s="47">
        <f t="shared" ca="1" si="34"/>
        <v>0</v>
      </c>
    </row>
    <row r="274" spans="5:22">
      <c r="E274" s="32">
        <v>273</v>
      </c>
      <c r="F274" s="45">
        <f t="shared" si="28"/>
        <v>0.72799999999999998</v>
      </c>
      <c r="G274" s="45">
        <f t="shared" si="29"/>
        <v>0.10599680000000002</v>
      </c>
      <c r="H274" s="45">
        <f ca="1">F274*F274*('Sheet1 select'!$B$25)*$B$3</f>
        <v>1.2053986543627495E-2</v>
      </c>
      <c r="I274" s="45">
        <f>F274*(1-$B$3)*'Sheet1 select'!$B$41</f>
        <v>0.16986666666666664</v>
      </c>
      <c r="J274" s="45">
        <f ca="1">F274*F274*('Sheet1 select'!$B$26)*(1-$B$3)</f>
        <v>0</v>
      </c>
      <c r="K274" s="45">
        <f>0.0000005*$B$10*F274*$B$8*((('Sheet1 select'!$B$33+0.5*'Sheet1 select'!$B$32)/(('Sheet1 select'!$B$10-'Sheet1 select'!$B$23)/('Sheet1 select'!$B$27+'Sheet1 select'!$B$8)))+(('Sheet1 select'!$B$33+0.5*'Sheet1 select'!$B$32)/(('Sheet1 select'!$B$23)/('Sheet1 select'!$B$27+'Sheet1 select'!$B$9))))</f>
        <v>9.9679114561468316E-3</v>
      </c>
      <c r="L274" s="45">
        <f>(F274*$B$28)*(('Sheet1 select'!$B$12+'Sheet1 select'!$B$13)*(0.000000001))*$B$8*1000</f>
        <v>0</v>
      </c>
      <c r="M274" s="45">
        <f t="shared" si="30"/>
        <v>3.6617357284970928E-5</v>
      </c>
      <c r="N274" s="46">
        <f>$B$10*'Sheet1 select'!$B$29*0.001</f>
        <v>1.2E-2</v>
      </c>
      <c r="O274" s="44">
        <f>'Sheet1 select'!$B$10*'Sheet1 select'!$B$31*$B$8*1000*0.000000001</f>
        <v>3.0000000000000001E-3</v>
      </c>
      <c r="P274" s="44">
        <f>'Sheet1 select'!$B$35*$B$10*$B$8*1000*0.000000001</f>
        <v>0</v>
      </c>
      <c r="Q274" s="47">
        <f>IF('Sheet1 select'!$B$17=0,0,(0.00000006*0.7+0.00000003*(0.7+F274*1.1*'Sheet1 select'!$B$26))*F274*$B$8*1000)</f>
        <v>0</v>
      </c>
      <c r="R274" s="45">
        <f t="shared" ca="1" si="31"/>
        <v>0.31292198202372601</v>
      </c>
      <c r="S274" s="48">
        <f t="shared" ca="1" si="32"/>
        <v>0.92083780468049525</v>
      </c>
      <c r="T274" s="49">
        <f ca="1">H274+K274+O274+N274+'Sheet1 select'!$B$40*I274+J274+P274</f>
        <v>3.7021897999774324E-2</v>
      </c>
      <c r="U274" s="169">
        <f t="shared" ca="1" si="33"/>
        <v>2.5021897999774324E-2</v>
      </c>
      <c r="V274" s="47">
        <f t="shared" ca="1" si="34"/>
        <v>0</v>
      </c>
    </row>
    <row r="275" spans="5:22">
      <c r="E275" s="32">
        <v>274</v>
      </c>
      <c r="F275" s="45">
        <f t="shared" si="28"/>
        <v>0.73066666666666669</v>
      </c>
      <c r="G275" s="45">
        <f t="shared" si="29"/>
        <v>0.10677475555555556</v>
      </c>
      <c r="H275" s="45">
        <f ca="1">F275*F275*('Sheet1 select'!$B$25)*$B$3</f>
        <v>1.2142455872873348E-2</v>
      </c>
      <c r="I275" s="45">
        <f>F275*(1-$B$3)*'Sheet1 select'!$B$41</f>
        <v>0.17048888888888888</v>
      </c>
      <c r="J275" s="45">
        <f ca="1">F275*F275*('Sheet1 select'!$B$26)*(1-$B$3)</f>
        <v>0</v>
      </c>
      <c r="K275" s="45">
        <f>0.0000005*$B$10*F275*$B$8*((('Sheet1 select'!$B$33+0.5*'Sheet1 select'!$B$32)/(('Sheet1 select'!$B$10-'Sheet1 select'!$B$23)/('Sheet1 select'!$B$27+'Sheet1 select'!$B$8)))+(('Sheet1 select'!$B$33+0.5*'Sheet1 select'!$B$32)/(('Sheet1 select'!$B$23)/('Sheet1 select'!$B$27+'Sheet1 select'!$B$9))))</f>
        <v>1.0004423952323191E-2</v>
      </c>
      <c r="L275" s="45">
        <f>(F275*$B$28)*(('Sheet1 select'!$B$12+'Sheet1 select'!$B$13)*(0.000000001))*$B$8*1000</f>
        <v>0</v>
      </c>
      <c r="M275" s="45">
        <f t="shared" si="30"/>
        <v>3.6617357284970928E-5</v>
      </c>
      <c r="N275" s="46">
        <f>$B$10*'Sheet1 select'!$B$29*0.001</f>
        <v>1.2E-2</v>
      </c>
      <c r="O275" s="44">
        <f>'Sheet1 select'!$B$10*'Sheet1 select'!$B$31*$B$8*1000*0.000000001</f>
        <v>3.0000000000000001E-3</v>
      </c>
      <c r="P275" s="44">
        <f>'Sheet1 select'!$B$35*$B$10*$B$8*1000*0.000000001</f>
        <v>0</v>
      </c>
      <c r="Q275" s="47">
        <f>IF('Sheet1 select'!$B$17=0,0,(0.00000006*0.7+0.00000003*(0.7+F275*1.1*'Sheet1 select'!$B$26))*F275*$B$8*1000)</f>
        <v>0</v>
      </c>
      <c r="R275" s="45">
        <f t="shared" ca="1" si="31"/>
        <v>0.314447141626926</v>
      </c>
      <c r="S275" s="48">
        <f t="shared" ca="1" si="32"/>
        <v>0.92074986415923743</v>
      </c>
      <c r="T275" s="49">
        <f ca="1">H275+K275+O275+N275+'Sheet1 select'!$B$40*I275+J275+P275</f>
        <v>3.7146879825196537E-2</v>
      </c>
      <c r="U275" s="169">
        <f t="shared" ca="1" si="33"/>
        <v>2.5146879825196537E-2</v>
      </c>
      <c r="V275" s="47">
        <f t="shared" ca="1" si="34"/>
        <v>0</v>
      </c>
    </row>
    <row r="276" spans="5:22">
      <c r="E276" s="32">
        <v>275</v>
      </c>
      <c r="F276" s="45">
        <f t="shared" si="28"/>
        <v>0.73333333333333328</v>
      </c>
      <c r="G276" s="45">
        <f t="shared" si="29"/>
        <v>0.10755555555555554</v>
      </c>
      <c r="H276" s="45">
        <f ca="1">F276*F276*('Sheet1 select'!$B$25)*$B$3</f>
        <v>1.2231248673158491E-2</v>
      </c>
      <c r="I276" s="45">
        <f>F276*(1-$B$3)*'Sheet1 select'!$B$41</f>
        <v>0.1711111111111111</v>
      </c>
      <c r="J276" s="45">
        <f ca="1">F276*F276*('Sheet1 select'!$B$26)*(1-$B$3)</f>
        <v>0</v>
      </c>
      <c r="K276" s="45">
        <f>0.0000005*$B$10*F276*$B$8*((('Sheet1 select'!$B$33+0.5*'Sheet1 select'!$B$32)/(('Sheet1 select'!$B$10-'Sheet1 select'!$B$23)/('Sheet1 select'!$B$27+'Sheet1 select'!$B$8)))+(('Sheet1 select'!$B$33+0.5*'Sheet1 select'!$B$32)/(('Sheet1 select'!$B$23)/('Sheet1 select'!$B$27+'Sheet1 select'!$B$9))))</f>
        <v>1.0040936448499554E-2</v>
      </c>
      <c r="L276" s="45">
        <f>(F276*$B$28)*(('Sheet1 select'!$B$12+'Sheet1 select'!$B$13)*(0.000000001))*$B$8*1000</f>
        <v>0</v>
      </c>
      <c r="M276" s="45">
        <f t="shared" si="30"/>
        <v>3.6617357284970928E-5</v>
      </c>
      <c r="N276" s="46">
        <f>$B$10*'Sheet1 select'!$B$29*0.001</f>
        <v>1.2E-2</v>
      </c>
      <c r="O276" s="44">
        <f>'Sheet1 select'!$B$10*'Sheet1 select'!$B$31*$B$8*1000*0.000000001</f>
        <v>3.0000000000000001E-3</v>
      </c>
      <c r="P276" s="44">
        <f>'Sheet1 select'!$B$35*$B$10*$B$8*1000*0.000000001</f>
        <v>0</v>
      </c>
      <c r="Q276" s="47">
        <f>IF('Sheet1 select'!$B$17=0,0,(0.00000006*0.7+0.00000003*(0.7+F276*1.1*'Sheet1 select'!$B$26))*F276*$B$8*1000)</f>
        <v>0</v>
      </c>
      <c r="R276" s="45">
        <f t="shared" ca="1" si="31"/>
        <v>0.3159754691456097</v>
      </c>
      <c r="S276" s="48">
        <f t="shared" ca="1" si="32"/>
        <v>0.92066184749457403</v>
      </c>
      <c r="T276" s="49">
        <f ca="1">H276+K276+O276+N276+'Sheet1 select'!$B$40*I276+J276+P276</f>
        <v>3.7272185121658044E-2</v>
      </c>
      <c r="U276" s="169">
        <f t="shared" ca="1" si="33"/>
        <v>2.5272185121658044E-2</v>
      </c>
      <c r="V276" s="47">
        <f t="shared" ca="1" si="34"/>
        <v>0</v>
      </c>
    </row>
    <row r="277" spans="5:22">
      <c r="E277" s="32">
        <v>276</v>
      </c>
      <c r="F277" s="45">
        <f t="shared" si="28"/>
        <v>0.73599999999999999</v>
      </c>
      <c r="G277" s="45">
        <f t="shared" si="29"/>
        <v>0.1083392</v>
      </c>
      <c r="H277" s="45">
        <f ca="1">F277*F277*('Sheet1 select'!$B$25)*$B$3</f>
        <v>1.2320364944482924E-2</v>
      </c>
      <c r="I277" s="45">
        <f>F277*(1-$B$3)*'Sheet1 select'!$B$41</f>
        <v>0.17173333333333332</v>
      </c>
      <c r="J277" s="45">
        <f ca="1">F277*F277*('Sheet1 select'!$B$26)*(1-$B$3)</f>
        <v>0</v>
      </c>
      <c r="K277" s="45">
        <f>0.0000005*$B$10*F277*$B$8*((('Sheet1 select'!$B$33+0.5*'Sheet1 select'!$B$32)/(('Sheet1 select'!$B$10-'Sheet1 select'!$B$23)/('Sheet1 select'!$B$27+'Sheet1 select'!$B$8)))+(('Sheet1 select'!$B$33+0.5*'Sheet1 select'!$B$32)/(('Sheet1 select'!$B$23)/('Sheet1 select'!$B$27+'Sheet1 select'!$B$9))))</f>
        <v>1.0077448944675917E-2</v>
      </c>
      <c r="L277" s="45">
        <f>(F277*$B$28)*(('Sheet1 select'!$B$12+'Sheet1 select'!$B$13)*(0.000000001))*$B$8*1000</f>
        <v>0</v>
      </c>
      <c r="M277" s="45">
        <f t="shared" si="30"/>
        <v>3.6617357284970928E-5</v>
      </c>
      <c r="N277" s="46">
        <f>$B$10*'Sheet1 select'!$B$29*0.001</f>
        <v>1.2E-2</v>
      </c>
      <c r="O277" s="44">
        <f>'Sheet1 select'!$B$10*'Sheet1 select'!$B$31*$B$8*1000*0.000000001</f>
        <v>3.0000000000000001E-3</v>
      </c>
      <c r="P277" s="44">
        <f>'Sheet1 select'!$B$35*$B$10*$B$8*1000*0.000000001</f>
        <v>0</v>
      </c>
      <c r="Q277" s="47">
        <f>IF('Sheet1 select'!$B$17=0,0,(0.00000006*0.7+0.00000003*(0.7+F277*1.1*'Sheet1 select'!$B$26))*F277*$B$8*1000)</f>
        <v>0</v>
      </c>
      <c r="R277" s="45">
        <f t="shared" ca="1" si="31"/>
        <v>0.31750696457977717</v>
      </c>
      <c r="S277" s="48">
        <f t="shared" ca="1" si="32"/>
        <v>0.92057375574499989</v>
      </c>
      <c r="T277" s="49">
        <f ca="1">H277+K277+O277+N277+'Sheet1 select'!$B$40*I277+J277+P277</f>
        <v>3.7397813889158839E-2</v>
      </c>
      <c r="U277" s="169">
        <f t="shared" ca="1" si="33"/>
        <v>2.5397813889158839E-2</v>
      </c>
      <c r="V277" s="47">
        <f t="shared" ca="1" si="34"/>
        <v>0</v>
      </c>
    </row>
    <row r="278" spans="5:22">
      <c r="E278" s="32">
        <v>277</v>
      </c>
      <c r="F278" s="45">
        <f t="shared" si="28"/>
        <v>0.73866666666666669</v>
      </c>
      <c r="G278" s="45">
        <f t="shared" si="29"/>
        <v>0.10912568888888889</v>
      </c>
      <c r="H278" s="45">
        <f ca="1">F278*F278*('Sheet1 select'!$B$25)*$B$3</f>
        <v>1.2409804686846651E-2</v>
      </c>
      <c r="I278" s="45">
        <f>F278*(1-$B$3)*'Sheet1 select'!$B$41</f>
        <v>0.17235555555555557</v>
      </c>
      <c r="J278" s="45">
        <f ca="1">F278*F278*('Sheet1 select'!$B$26)*(1-$B$3)</f>
        <v>0</v>
      </c>
      <c r="K278" s="45">
        <f>0.0000005*$B$10*F278*$B$8*((('Sheet1 select'!$B$33+0.5*'Sheet1 select'!$B$32)/(('Sheet1 select'!$B$10-'Sheet1 select'!$B$23)/('Sheet1 select'!$B$27+'Sheet1 select'!$B$8)))+(('Sheet1 select'!$B$33+0.5*'Sheet1 select'!$B$32)/(('Sheet1 select'!$B$23)/('Sheet1 select'!$B$27+'Sheet1 select'!$B$9))))</f>
        <v>1.0113961440852278E-2</v>
      </c>
      <c r="L278" s="45">
        <f>(F278*$B$28)*(('Sheet1 select'!$B$12+'Sheet1 select'!$B$13)*(0.000000001))*$B$8*1000</f>
        <v>0</v>
      </c>
      <c r="M278" s="45">
        <f t="shared" si="30"/>
        <v>3.6617357284970928E-5</v>
      </c>
      <c r="N278" s="46">
        <f>$B$10*'Sheet1 select'!$B$29*0.001</f>
        <v>1.2E-2</v>
      </c>
      <c r="O278" s="44">
        <f>'Sheet1 select'!$B$10*'Sheet1 select'!$B$31*$B$8*1000*0.000000001</f>
        <v>3.0000000000000001E-3</v>
      </c>
      <c r="P278" s="44">
        <f>'Sheet1 select'!$B$35*$B$10*$B$8*1000*0.000000001</f>
        <v>0</v>
      </c>
      <c r="Q278" s="47">
        <f>IF('Sheet1 select'!$B$17=0,0,(0.00000006*0.7+0.00000003*(0.7+F278*1.1*'Sheet1 select'!$B$26))*F278*$B$8*1000)</f>
        <v>0</v>
      </c>
      <c r="R278" s="45">
        <f t="shared" ca="1" si="31"/>
        <v>0.31904162792942842</v>
      </c>
      <c r="S278" s="48">
        <f t="shared" ca="1" si="32"/>
        <v>0.92048558995368146</v>
      </c>
      <c r="T278" s="49">
        <f ca="1">H278+K278+O278+N278+'Sheet1 select'!$B$40*I278+J278+P278</f>
        <v>3.7523766127698928E-2</v>
      </c>
      <c r="U278" s="169">
        <f t="shared" ca="1" si="33"/>
        <v>2.5523766127698928E-2</v>
      </c>
      <c r="V278" s="47">
        <f t="shared" ca="1" si="34"/>
        <v>0</v>
      </c>
    </row>
    <row r="279" spans="5:22">
      <c r="E279" s="32">
        <v>278</v>
      </c>
      <c r="F279" s="45">
        <f t="shared" si="28"/>
        <v>0.7413333333333334</v>
      </c>
      <c r="G279" s="45">
        <f t="shared" si="29"/>
        <v>0.10991502222222226</v>
      </c>
      <c r="H279" s="45">
        <f ca="1">F279*F279*('Sheet1 select'!$B$25)*$B$3</f>
        <v>1.2499567900249668E-2</v>
      </c>
      <c r="I279" s="45">
        <f>F279*(1-$B$3)*'Sheet1 select'!$B$41</f>
        <v>0.17297777777777779</v>
      </c>
      <c r="J279" s="45">
        <f ca="1">F279*F279*('Sheet1 select'!$B$26)*(1-$B$3)</f>
        <v>0</v>
      </c>
      <c r="K279" s="45">
        <f>0.0000005*$B$10*F279*$B$8*((('Sheet1 select'!$B$33+0.5*'Sheet1 select'!$B$32)/(('Sheet1 select'!$B$10-'Sheet1 select'!$B$23)/('Sheet1 select'!$B$27+'Sheet1 select'!$B$8)))+(('Sheet1 select'!$B$33+0.5*'Sheet1 select'!$B$32)/(('Sheet1 select'!$B$23)/('Sheet1 select'!$B$27+'Sheet1 select'!$B$9))))</f>
        <v>1.0150473937028641E-2</v>
      </c>
      <c r="L279" s="45">
        <f>(F279*$B$28)*(('Sheet1 select'!$B$12+'Sheet1 select'!$B$13)*(0.000000001))*$B$8*1000</f>
        <v>0</v>
      </c>
      <c r="M279" s="45">
        <f t="shared" si="30"/>
        <v>3.6617357284970928E-5</v>
      </c>
      <c r="N279" s="46">
        <f>$B$10*'Sheet1 select'!$B$29*0.001</f>
        <v>1.2E-2</v>
      </c>
      <c r="O279" s="44">
        <f>'Sheet1 select'!$B$10*'Sheet1 select'!$B$31*$B$8*1000*0.000000001</f>
        <v>3.0000000000000001E-3</v>
      </c>
      <c r="P279" s="44">
        <f>'Sheet1 select'!$B$35*$B$10*$B$8*1000*0.000000001</f>
        <v>0</v>
      </c>
      <c r="Q279" s="47">
        <f>IF('Sheet1 select'!$B$17=0,0,(0.00000006*0.7+0.00000003*(0.7+F279*1.1*'Sheet1 select'!$B$26))*F279*$B$8*1000)</f>
        <v>0</v>
      </c>
      <c r="R279" s="45">
        <f t="shared" ca="1" si="31"/>
        <v>0.32057945919456332</v>
      </c>
      <c r="S279" s="48">
        <f t="shared" ca="1" si="32"/>
        <v>0.92039735114873134</v>
      </c>
      <c r="T279" s="49">
        <f ca="1">H279+K279+O279+N279+'Sheet1 select'!$B$40*I279+J279+P279</f>
        <v>3.7650041837278311E-2</v>
      </c>
      <c r="U279" s="169">
        <f t="shared" ca="1" si="33"/>
        <v>2.5650041837278308E-2</v>
      </c>
      <c r="V279" s="47">
        <f t="shared" ca="1" si="34"/>
        <v>0</v>
      </c>
    </row>
    <row r="280" spans="5:22">
      <c r="E280" s="32">
        <v>279</v>
      </c>
      <c r="F280" s="45">
        <f t="shared" si="28"/>
        <v>0.74400000000000011</v>
      </c>
      <c r="G280" s="45">
        <f t="shared" si="29"/>
        <v>0.11070720000000003</v>
      </c>
      <c r="H280" s="45">
        <f ca="1">F280*F280*('Sheet1 select'!$B$25)*$B$3</f>
        <v>1.2589654584691972E-2</v>
      </c>
      <c r="I280" s="45">
        <f>F280*(1-$B$3)*'Sheet1 select'!$B$41</f>
        <v>0.1736</v>
      </c>
      <c r="J280" s="45">
        <f ca="1">F280*F280*('Sheet1 select'!$B$26)*(1-$B$3)</f>
        <v>0</v>
      </c>
      <c r="K280" s="45">
        <f>0.0000005*$B$10*F280*$B$8*((('Sheet1 select'!$B$33+0.5*'Sheet1 select'!$B$32)/(('Sheet1 select'!$B$10-'Sheet1 select'!$B$23)/('Sheet1 select'!$B$27+'Sheet1 select'!$B$8)))+(('Sheet1 select'!$B$33+0.5*'Sheet1 select'!$B$32)/(('Sheet1 select'!$B$23)/('Sheet1 select'!$B$27+'Sheet1 select'!$B$9))))</f>
        <v>1.0186986433205003E-2</v>
      </c>
      <c r="L280" s="45">
        <f>(F280*$B$28)*(('Sheet1 select'!$B$12+'Sheet1 select'!$B$13)*(0.000000001))*$B$8*1000</f>
        <v>0</v>
      </c>
      <c r="M280" s="45">
        <f t="shared" si="30"/>
        <v>3.6617357284970928E-5</v>
      </c>
      <c r="N280" s="46">
        <f>$B$10*'Sheet1 select'!$B$29*0.001</f>
        <v>1.2E-2</v>
      </c>
      <c r="O280" s="44">
        <f>'Sheet1 select'!$B$10*'Sheet1 select'!$B$31*$B$8*1000*0.000000001</f>
        <v>3.0000000000000001E-3</v>
      </c>
      <c r="P280" s="44">
        <f>'Sheet1 select'!$B$35*$B$10*$B$8*1000*0.000000001</f>
        <v>0</v>
      </c>
      <c r="Q280" s="47">
        <f>IF('Sheet1 select'!$B$17=0,0,(0.00000006*0.7+0.00000003*(0.7+F280*1.1*'Sheet1 select'!$B$26))*F280*$B$8*1000)</f>
        <v>0</v>
      </c>
      <c r="R280" s="45">
        <f t="shared" ca="1" si="31"/>
        <v>0.32212045837518199</v>
      </c>
      <c r="S280" s="48">
        <f t="shared" ca="1" si="32"/>
        <v>0.92030904034347716</v>
      </c>
      <c r="T280" s="49">
        <f ca="1">H280+K280+O280+N280+'Sheet1 select'!$B$40*I280+J280+P280</f>
        <v>3.7776641017896975E-2</v>
      </c>
      <c r="U280" s="169">
        <f t="shared" ca="1" si="33"/>
        <v>2.5776641017896975E-2</v>
      </c>
      <c r="V280" s="47">
        <f t="shared" ca="1" si="34"/>
        <v>0</v>
      </c>
    </row>
    <row r="281" spans="5:22">
      <c r="E281" s="32">
        <v>280</v>
      </c>
      <c r="F281" s="45">
        <f t="shared" si="28"/>
        <v>0.7466666666666667</v>
      </c>
      <c r="G281" s="45">
        <f t="shared" si="29"/>
        <v>0.11150222222222224</v>
      </c>
      <c r="H281" s="45">
        <f ca="1">F281*F281*('Sheet1 select'!$B$25)*$B$3</f>
        <v>1.2680064740173564E-2</v>
      </c>
      <c r="I281" s="45">
        <f>F281*(1-$B$3)*'Sheet1 select'!$B$41</f>
        <v>0.17422222222222222</v>
      </c>
      <c r="J281" s="45">
        <f ca="1">F281*F281*('Sheet1 select'!$B$26)*(1-$B$3)</f>
        <v>0</v>
      </c>
      <c r="K281" s="45">
        <f>0.0000005*$B$10*F281*$B$8*((('Sheet1 select'!$B$33+0.5*'Sheet1 select'!$B$32)/(('Sheet1 select'!$B$10-'Sheet1 select'!$B$23)/('Sheet1 select'!$B$27+'Sheet1 select'!$B$8)))+(('Sheet1 select'!$B$33+0.5*'Sheet1 select'!$B$32)/(('Sheet1 select'!$B$23)/('Sheet1 select'!$B$27+'Sheet1 select'!$B$9))))</f>
        <v>1.0223498929381365E-2</v>
      </c>
      <c r="L281" s="45">
        <f>(F281*$B$28)*(('Sheet1 select'!$B$12+'Sheet1 select'!$B$13)*(0.000000001))*$B$8*1000</f>
        <v>0</v>
      </c>
      <c r="M281" s="45">
        <f t="shared" si="30"/>
        <v>3.6617357284970928E-5</v>
      </c>
      <c r="N281" s="46">
        <f>$B$10*'Sheet1 select'!$B$29*0.001</f>
        <v>1.2E-2</v>
      </c>
      <c r="O281" s="44">
        <f>'Sheet1 select'!$B$10*'Sheet1 select'!$B$31*$B$8*1000*0.000000001</f>
        <v>3.0000000000000001E-3</v>
      </c>
      <c r="P281" s="44">
        <f>'Sheet1 select'!$B$35*$B$10*$B$8*1000*0.000000001</f>
        <v>0</v>
      </c>
      <c r="Q281" s="47">
        <f>IF('Sheet1 select'!$B$17=0,0,(0.00000006*0.7+0.00000003*(0.7+F281*1.1*'Sheet1 select'!$B$26))*F281*$B$8*1000)</f>
        <v>0</v>
      </c>
      <c r="R281" s="45">
        <f t="shared" ca="1" si="31"/>
        <v>0.32366462547128438</v>
      </c>
      <c r="S281" s="48">
        <f t="shared" ca="1" si="32"/>
        <v>0.92022065853672474</v>
      </c>
      <c r="T281" s="49">
        <f ca="1">H281+K281+O281+N281+'Sheet1 select'!$B$40*I281+J281+P281</f>
        <v>3.7903563669554927E-2</v>
      </c>
      <c r="U281" s="169">
        <f t="shared" ca="1" si="33"/>
        <v>2.5903563669554926E-2</v>
      </c>
      <c r="V281" s="47">
        <f t="shared" ca="1" si="34"/>
        <v>0</v>
      </c>
    </row>
    <row r="282" spans="5:22">
      <c r="E282" s="32">
        <v>281</v>
      </c>
      <c r="F282" s="45">
        <f t="shared" si="28"/>
        <v>0.74933333333333341</v>
      </c>
      <c r="G282" s="45">
        <f t="shared" si="29"/>
        <v>0.11230008888888893</v>
      </c>
      <c r="H282" s="45">
        <f ca="1">F282*F282*('Sheet1 select'!$B$25)*$B$3</f>
        <v>1.2770798366694451E-2</v>
      </c>
      <c r="I282" s="45">
        <f>F282*(1-$B$3)*'Sheet1 select'!$B$41</f>
        <v>0.17484444444444447</v>
      </c>
      <c r="J282" s="45">
        <f ca="1">F282*F282*('Sheet1 select'!$B$26)*(1-$B$3)</f>
        <v>0</v>
      </c>
      <c r="K282" s="45">
        <f>0.0000005*$B$10*F282*$B$8*((('Sheet1 select'!$B$33+0.5*'Sheet1 select'!$B$32)/(('Sheet1 select'!$B$10-'Sheet1 select'!$B$23)/('Sheet1 select'!$B$27+'Sheet1 select'!$B$8)))+(('Sheet1 select'!$B$33+0.5*'Sheet1 select'!$B$32)/(('Sheet1 select'!$B$23)/('Sheet1 select'!$B$27+'Sheet1 select'!$B$9))))</f>
        <v>1.0260011425557727E-2</v>
      </c>
      <c r="L282" s="45">
        <f>(F282*$B$28)*(('Sheet1 select'!$B$12+'Sheet1 select'!$B$13)*(0.000000001))*$B$8*1000</f>
        <v>0</v>
      </c>
      <c r="M282" s="45">
        <f t="shared" si="30"/>
        <v>3.6617357284970928E-5</v>
      </c>
      <c r="N282" s="46">
        <f>$B$10*'Sheet1 select'!$B$29*0.001</f>
        <v>1.2E-2</v>
      </c>
      <c r="O282" s="44">
        <f>'Sheet1 select'!$B$10*'Sheet1 select'!$B$31*$B$8*1000*0.000000001</f>
        <v>3.0000000000000001E-3</v>
      </c>
      <c r="P282" s="44">
        <f>'Sheet1 select'!$B$35*$B$10*$B$8*1000*0.000000001</f>
        <v>0</v>
      </c>
      <c r="Q282" s="47">
        <f>IF('Sheet1 select'!$B$17=0,0,(0.00000006*0.7+0.00000003*(0.7+F282*1.1*'Sheet1 select'!$B$26))*F282*$B$8*1000)</f>
        <v>0</v>
      </c>
      <c r="R282" s="45">
        <f t="shared" ca="1" si="31"/>
        <v>0.32521196048287054</v>
      </c>
      <c r="S282" s="48">
        <f t="shared" ca="1" si="32"/>
        <v>0.92013220671301521</v>
      </c>
      <c r="T282" s="49">
        <f ca="1">H282+K282+O282+N282+'Sheet1 select'!$B$40*I282+J282+P282</f>
        <v>3.8030809792252179E-2</v>
      </c>
      <c r="U282" s="169">
        <f t="shared" ca="1" si="33"/>
        <v>2.6030809792252179E-2</v>
      </c>
      <c r="V282" s="47">
        <f t="shared" ca="1" si="34"/>
        <v>0</v>
      </c>
    </row>
    <row r="283" spans="5:22">
      <c r="E283" s="32">
        <v>282</v>
      </c>
      <c r="F283" s="45">
        <f t="shared" si="28"/>
        <v>0.75200000000000011</v>
      </c>
      <c r="G283" s="45">
        <f t="shared" si="29"/>
        <v>0.11310080000000003</v>
      </c>
      <c r="H283" s="45">
        <f ca="1">F283*F283*('Sheet1 select'!$B$25)*$B$3</f>
        <v>1.2861855464254624E-2</v>
      </c>
      <c r="I283" s="45">
        <f>F283*(1-$B$3)*'Sheet1 select'!$B$41</f>
        <v>0.17546666666666666</v>
      </c>
      <c r="J283" s="45">
        <f ca="1">F283*F283*('Sheet1 select'!$B$26)*(1-$B$3)</f>
        <v>0</v>
      </c>
      <c r="K283" s="45">
        <f>0.0000005*$B$10*F283*$B$8*((('Sheet1 select'!$B$33+0.5*'Sheet1 select'!$B$32)/(('Sheet1 select'!$B$10-'Sheet1 select'!$B$23)/('Sheet1 select'!$B$27+'Sheet1 select'!$B$8)))+(('Sheet1 select'!$B$33+0.5*'Sheet1 select'!$B$32)/(('Sheet1 select'!$B$23)/('Sheet1 select'!$B$27+'Sheet1 select'!$B$9))))</f>
        <v>1.029652392173409E-2</v>
      </c>
      <c r="L283" s="45">
        <f>(F283*$B$28)*(('Sheet1 select'!$B$12+'Sheet1 select'!$B$13)*(0.000000001))*$B$8*1000</f>
        <v>0</v>
      </c>
      <c r="M283" s="45">
        <f t="shared" si="30"/>
        <v>3.6617357284970928E-5</v>
      </c>
      <c r="N283" s="46">
        <f>$B$10*'Sheet1 select'!$B$29*0.001</f>
        <v>1.2E-2</v>
      </c>
      <c r="O283" s="44">
        <f>'Sheet1 select'!$B$10*'Sheet1 select'!$B$31*$B$8*1000*0.000000001</f>
        <v>3.0000000000000001E-3</v>
      </c>
      <c r="P283" s="44">
        <f>'Sheet1 select'!$B$35*$B$10*$B$8*1000*0.000000001</f>
        <v>0</v>
      </c>
      <c r="Q283" s="47">
        <f>IF('Sheet1 select'!$B$17=0,0,(0.00000006*0.7+0.00000003*(0.7+F283*1.1*'Sheet1 select'!$B$26))*F283*$B$8*1000)</f>
        <v>0</v>
      </c>
      <c r="R283" s="45">
        <f t="shared" ca="1" si="31"/>
        <v>0.32676246340994042</v>
      </c>
      <c r="S283" s="48">
        <f t="shared" ca="1" si="32"/>
        <v>0.92004368584287777</v>
      </c>
      <c r="T283" s="49">
        <f ca="1">H283+K283+O283+N283+'Sheet1 select'!$B$40*I283+J283+P283</f>
        <v>3.8158379385988712E-2</v>
      </c>
      <c r="U283" s="169">
        <f t="shared" ca="1" si="33"/>
        <v>2.6158379385988712E-2</v>
      </c>
      <c r="V283" s="47">
        <f t="shared" ca="1" si="34"/>
        <v>0</v>
      </c>
    </row>
    <row r="284" spans="5:22">
      <c r="E284" s="32">
        <v>283</v>
      </c>
      <c r="F284" s="45">
        <f t="shared" si="28"/>
        <v>0.75466666666666671</v>
      </c>
      <c r="G284" s="45">
        <f t="shared" si="29"/>
        <v>0.11390435555555556</v>
      </c>
      <c r="H284" s="45">
        <f ca="1">F284*F284*('Sheet1 select'!$B$25)*$B$3</f>
        <v>1.2953236032854087E-2</v>
      </c>
      <c r="I284" s="45">
        <f>F284*(1-$B$3)*'Sheet1 select'!$B$41</f>
        <v>0.17608888888888888</v>
      </c>
      <c r="J284" s="45">
        <f ca="1">F284*F284*('Sheet1 select'!$B$26)*(1-$B$3)</f>
        <v>0</v>
      </c>
      <c r="K284" s="45">
        <f>0.0000005*$B$10*F284*$B$8*((('Sheet1 select'!$B$33+0.5*'Sheet1 select'!$B$32)/(('Sheet1 select'!$B$10-'Sheet1 select'!$B$23)/('Sheet1 select'!$B$27+'Sheet1 select'!$B$8)))+(('Sheet1 select'!$B$33+0.5*'Sheet1 select'!$B$32)/(('Sheet1 select'!$B$23)/('Sheet1 select'!$B$27+'Sheet1 select'!$B$9))))</f>
        <v>1.0333036417910451E-2</v>
      </c>
      <c r="L284" s="45">
        <f>(F284*$B$28)*(('Sheet1 select'!$B$12+'Sheet1 select'!$B$13)*(0.000000001))*$B$8*1000</f>
        <v>0</v>
      </c>
      <c r="M284" s="45">
        <f t="shared" si="30"/>
        <v>3.6617357284970928E-5</v>
      </c>
      <c r="N284" s="46">
        <f>$B$10*'Sheet1 select'!$B$29*0.001</f>
        <v>1.2E-2</v>
      </c>
      <c r="O284" s="44">
        <f>'Sheet1 select'!$B$10*'Sheet1 select'!$B$31*$B$8*1000*0.000000001</f>
        <v>3.0000000000000001E-3</v>
      </c>
      <c r="P284" s="44">
        <f>'Sheet1 select'!$B$35*$B$10*$B$8*1000*0.000000001</f>
        <v>0</v>
      </c>
      <c r="Q284" s="47">
        <f>IF('Sheet1 select'!$B$17=0,0,(0.00000006*0.7+0.00000003*(0.7+F284*1.1*'Sheet1 select'!$B$26))*F284*$B$8*1000)</f>
        <v>0</v>
      </c>
      <c r="R284" s="45">
        <f t="shared" ca="1" si="31"/>
        <v>0.32831613425249401</v>
      </c>
      <c r="S284" s="48">
        <f t="shared" ca="1" si="32"/>
        <v>0.9199550968830752</v>
      </c>
      <c r="T284" s="49">
        <f ca="1">H284+K284+O284+N284+'Sheet1 select'!$B$40*I284+J284+P284</f>
        <v>3.828627245076454E-2</v>
      </c>
      <c r="U284" s="169">
        <f t="shared" ca="1" si="33"/>
        <v>2.628627245076454E-2</v>
      </c>
      <c r="V284" s="47">
        <f t="shared" ca="1" si="34"/>
        <v>0</v>
      </c>
    </row>
    <row r="285" spans="5:22">
      <c r="E285" s="32">
        <v>284</v>
      </c>
      <c r="F285" s="45">
        <f t="shared" si="28"/>
        <v>0.75733333333333341</v>
      </c>
      <c r="G285" s="45">
        <f t="shared" si="29"/>
        <v>0.1147107555555556</v>
      </c>
      <c r="H285" s="45">
        <f ca="1">F285*F285*('Sheet1 select'!$B$25)*$B$3</f>
        <v>1.3044940072492846E-2</v>
      </c>
      <c r="I285" s="45">
        <f>F285*(1-$B$3)*'Sheet1 select'!$B$41</f>
        <v>0.17671111111111112</v>
      </c>
      <c r="J285" s="45">
        <f ca="1">F285*F285*('Sheet1 select'!$B$26)*(1-$B$3)</f>
        <v>0</v>
      </c>
      <c r="K285" s="45">
        <f>0.0000005*$B$10*F285*$B$8*((('Sheet1 select'!$B$33+0.5*'Sheet1 select'!$B$32)/(('Sheet1 select'!$B$10-'Sheet1 select'!$B$23)/('Sheet1 select'!$B$27+'Sheet1 select'!$B$8)))+(('Sheet1 select'!$B$33+0.5*'Sheet1 select'!$B$32)/(('Sheet1 select'!$B$23)/('Sheet1 select'!$B$27+'Sheet1 select'!$B$9))))</f>
        <v>1.0369548914086814E-2</v>
      </c>
      <c r="L285" s="45">
        <f>(F285*$B$28)*(('Sheet1 select'!$B$12+'Sheet1 select'!$B$13)*(0.000000001))*$B$8*1000</f>
        <v>0</v>
      </c>
      <c r="M285" s="45">
        <f t="shared" si="30"/>
        <v>3.6617357284970928E-5</v>
      </c>
      <c r="N285" s="46">
        <f>$B$10*'Sheet1 select'!$B$29*0.001</f>
        <v>1.2E-2</v>
      </c>
      <c r="O285" s="44">
        <f>'Sheet1 select'!$B$10*'Sheet1 select'!$B$31*$B$8*1000*0.000000001</f>
        <v>3.0000000000000001E-3</v>
      </c>
      <c r="P285" s="44">
        <f>'Sheet1 select'!$B$35*$B$10*$B$8*1000*0.000000001</f>
        <v>0</v>
      </c>
      <c r="Q285" s="47">
        <f>IF('Sheet1 select'!$B$17=0,0,(0.00000006*0.7+0.00000003*(0.7+F285*1.1*'Sheet1 select'!$B$26))*F285*$B$8*1000)</f>
        <v>0</v>
      </c>
      <c r="R285" s="45">
        <f t="shared" ca="1" si="31"/>
        <v>0.32987297301053142</v>
      </c>
      <c r="S285" s="48">
        <f t="shared" ca="1" si="32"/>
        <v>0.91986644077684654</v>
      </c>
      <c r="T285" s="49">
        <f ca="1">H285+K285+O285+N285+'Sheet1 select'!$B$40*I285+J285+P285</f>
        <v>3.8414488986579662E-2</v>
      </c>
      <c r="U285" s="169">
        <f t="shared" ca="1" si="33"/>
        <v>2.6414488986579662E-2</v>
      </c>
      <c r="V285" s="47">
        <f t="shared" ca="1" si="34"/>
        <v>0</v>
      </c>
    </row>
    <row r="286" spans="5:22">
      <c r="E286" s="32">
        <v>285</v>
      </c>
      <c r="F286" s="45">
        <f t="shared" si="28"/>
        <v>0.76</v>
      </c>
      <c r="G286" s="45">
        <f t="shared" si="29"/>
        <v>0.11552</v>
      </c>
      <c r="H286" s="45">
        <f ca="1">F286*F286*('Sheet1 select'!$B$25)*$B$3</f>
        <v>1.3136967583170888E-2</v>
      </c>
      <c r="I286" s="45">
        <f>F286*(1-$B$3)*'Sheet1 select'!$B$41</f>
        <v>0.17733333333333334</v>
      </c>
      <c r="J286" s="45">
        <f ca="1">F286*F286*('Sheet1 select'!$B$26)*(1-$B$3)</f>
        <v>0</v>
      </c>
      <c r="K286" s="45">
        <f>0.0000005*$B$10*F286*$B$8*((('Sheet1 select'!$B$33+0.5*'Sheet1 select'!$B$32)/(('Sheet1 select'!$B$10-'Sheet1 select'!$B$23)/('Sheet1 select'!$B$27+'Sheet1 select'!$B$8)))+(('Sheet1 select'!$B$33+0.5*'Sheet1 select'!$B$32)/(('Sheet1 select'!$B$23)/('Sheet1 select'!$B$27+'Sheet1 select'!$B$9))))</f>
        <v>1.0406061410263175E-2</v>
      </c>
      <c r="L286" s="45">
        <f>(F286*$B$28)*(('Sheet1 select'!$B$12+'Sheet1 select'!$B$13)*(0.000000001))*$B$8*1000</f>
        <v>0</v>
      </c>
      <c r="M286" s="45">
        <f t="shared" si="30"/>
        <v>3.6617357284970928E-5</v>
      </c>
      <c r="N286" s="46">
        <f>$B$10*'Sheet1 select'!$B$29*0.001</f>
        <v>1.2E-2</v>
      </c>
      <c r="O286" s="44">
        <f>'Sheet1 select'!$B$10*'Sheet1 select'!$B$31*$B$8*1000*0.000000001</f>
        <v>3.0000000000000001E-3</v>
      </c>
      <c r="P286" s="44">
        <f>'Sheet1 select'!$B$35*$B$10*$B$8*1000*0.000000001</f>
        <v>0</v>
      </c>
      <c r="Q286" s="47">
        <f>IF('Sheet1 select'!$B$17=0,0,(0.00000006*0.7+0.00000003*(0.7+F286*1.1*'Sheet1 select'!$B$26))*F286*$B$8*1000)</f>
        <v>0</v>
      </c>
      <c r="R286" s="45">
        <f t="shared" ca="1" si="31"/>
        <v>0.33143297968405244</v>
      </c>
      <c r="S286" s="48">
        <f t="shared" ca="1" si="32"/>
        <v>0.91977771845414313</v>
      </c>
      <c r="T286" s="49">
        <f ca="1">H286+K286+O286+N286+'Sheet1 select'!$B$40*I286+J286+P286</f>
        <v>3.8543028993434064E-2</v>
      </c>
      <c r="U286" s="169">
        <f t="shared" ca="1" si="33"/>
        <v>2.6543028993434064E-2</v>
      </c>
      <c r="V286" s="47">
        <f t="shared" ca="1" si="34"/>
        <v>0</v>
      </c>
    </row>
    <row r="287" spans="5:22">
      <c r="E287" s="32">
        <v>286</v>
      </c>
      <c r="F287" s="45">
        <f t="shared" si="28"/>
        <v>0.76266666666666671</v>
      </c>
      <c r="G287" s="45">
        <f t="shared" si="29"/>
        <v>0.11633208888888891</v>
      </c>
      <c r="H287" s="45">
        <f ca="1">F287*F287*('Sheet1 select'!$B$25)*$B$3</f>
        <v>1.3229318564888227E-2</v>
      </c>
      <c r="I287" s="45">
        <f>F287*(1-$B$3)*'Sheet1 select'!$B$41</f>
        <v>0.17795555555555553</v>
      </c>
      <c r="J287" s="45">
        <f ca="1">F287*F287*('Sheet1 select'!$B$26)*(1-$B$3)</f>
        <v>0</v>
      </c>
      <c r="K287" s="45">
        <f>0.0000005*$B$10*F287*$B$8*((('Sheet1 select'!$B$33+0.5*'Sheet1 select'!$B$32)/(('Sheet1 select'!$B$10-'Sheet1 select'!$B$23)/('Sheet1 select'!$B$27+'Sheet1 select'!$B$8)))+(('Sheet1 select'!$B$33+0.5*'Sheet1 select'!$B$32)/(('Sheet1 select'!$B$23)/('Sheet1 select'!$B$27+'Sheet1 select'!$B$9))))</f>
        <v>1.0442573906439538E-2</v>
      </c>
      <c r="L287" s="45">
        <f>(F287*$B$28)*(('Sheet1 select'!$B$12+'Sheet1 select'!$B$13)*(0.000000001))*$B$8*1000</f>
        <v>0</v>
      </c>
      <c r="M287" s="45">
        <f t="shared" si="30"/>
        <v>3.6617357284970928E-5</v>
      </c>
      <c r="N287" s="46">
        <f>$B$10*'Sheet1 select'!$B$29*0.001</f>
        <v>1.2E-2</v>
      </c>
      <c r="O287" s="44">
        <f>'Sheet1 select'!$B$10*'Sheet1 select'!$B$31*$B$8*1000*0.000000001</f>
        <v>3.0000000000000001E-3</v>
      </c>
      <c r="P287" s="44">
        <f>'Sheet1 select'!$B$35*$B$10*$B$8*1000*0.000000001</f>
        <v>0</v>
      </c>
      <c r="Q287" s="47">
        <f>IF('Sheet1 select'!$B$17=0,0,(0.00000006*0.7+0.00000003*(0.7+F287*1.1*'Sheet1 select'!$B$26))*F287*$B$8*1000)</f>
        <v>0</v>
      </c>
      <c r="R287" s="45">
        <f t="shared" ca="1" si="31"/>
        <v>0.33299615427305723</v>
      </c>
      <c r="S287" s="48">
        <f t="shared" ca="1" si="32"/>
        <v>0.91968893083185954</v>
      </c>
      <c r="T287" s="49">
        <f ca="1">H287+K287+O287+N287+'Sheet1 select'!$B$40*I287+J287+P287</f>
        <v>3.8671892471327768E-2</v>
      </c>
      <c r="U287" s="169">
        <f t="shared" ca="1" si="33"/>
        <v>2.6671892471327764E-2</v>
      </c>
      <c r="V287" s="47">
        <f t="shared" ca="1" si="34"/>
        <v>0</v>
      </c>
    </row>
    <row r="288" spans="5:22">
      <c r="E288" s="32">
        <v>287</v>
      </c>
      <c r="F288" s="45">
        <f t="shared" si="28"/>
        <v>0.76533333333333342</v>
      </c>
      <c r="G288" s="45">
        <f t="shared" si="29"/>
        <v>0.11714702222222224</v>
      </c>
      <c r="H288" s="45">
        <f ca="1">F288*F288*('Sheet1 select'!$B$25)*$B$3</f>
        <v>1.3321993017644853E-2</v>
      </c>
      <c r="I288" s="45">
        <f>F288*(1-$B$3)*'Sheet1 select'!$B$41</f>
        <v>0.17857777777777778</v>
      </c>
      <c r="J288" s="45">
        <f ca="1">F288*F288*('Sheet1 select'!$B$26)*(1-$B$3)</f>
        <v>0</v>
      </c>
      <c r="K288" s="45">
        <f>0.0000005*$B$10*F288*$B$8*((('Sheet1 select'!$B$33+0.5*'Sheet1 select'!$B$32)/(('Sheet1 select'!$B$10-'Sheet1 select'!$B$23)/('Sheet1 select'!$B$27+'Sheet1 select'!$B$8)))+(('Sheet1 select'!$B$33+0.5*'Sheet1 select'!$B$32)/(('Sheet1 select'!$B$23)/('Sheet1 select'!$B$27+'Sheet1 select'!$B$9))))</f>
        <v>1.0479086402615899E-2</v>
      </c>
      <c r="L288" s="45">
        <f>(F288*$B$28)*(('Sheet1 select'!$B$12+'Sheet1 select'!$B$13)*(0.000000001))*$B$8*1000</f>
        <v>0</v>
      </c>
      <c r="M288" s="45">
        <f t="shared" si="30"/>
        <v>3.6617357284970928E-5</v>
      </c>
      <c r="N288" s="46">
        <f>$B$10*'Sheet1 select'!$B$29*0.001</f>
        <v>1.2E-2</v>
      </c>
      <c r="O288" s="44">
        <f>'Sheet1 select'!$B$10*'Sheet1 select'!$B$31*$B$8*1000*0.000000001</f>
        <v>3.0000000000000001E-3</v>
      </c>
      <c r="P288" s="44">
        <f>'Sheet1 select'!$B$35*$B$10*$B$8*1000*0.000000001</f>
        <v>0</v>
      </c>
      <c r="Q288" s="47">
        <f>IF('Sheet1 select'!$B$17=0,0,(0.00000006*0.7+0.00000003*(0.7+F288*1.1*'Sheet1 select'!$B$26))*F288*$B$8*1000)</f>
        <v>0</v>
      </c>
      <c r="R288" s="45">
        <f t="shared" ca="1" si="31"/>
        <v>0.33456249677754579</v>
      </c>
      <c r="S288" s="48">
        <f t="shared" ca="1" si="32"/>
        <v>0.91960007881406081</v>
      </c>
      <c r="T288" s="49">
        <f ca="1">H288+K288+O288+N288+'Sheet1 select'!$B$40*I288+J288+P288</f>
        <v>3.8801079420260752E-2</v>
      </c>
      <c r="U288" s="169">
        <f t="shared" ca="1" si="33"/>
        <v>2.6801079420260752E-2</v>
      </c>
      <c r="V288" s="47">
        <f t="shared" ca="1" si="34"/>
        <v>0</v>
      </c>
    </row>
    <row r="289" spans="5:22">
      <c r="E289" s="32">
        <v>288</v>
      </c>
      <c r="F289" s="45">
        <f t="shared" si="28"/>
        <v>0.76800000000000002</v>
      </c>
      <c r="G289" s="45">
        <f t="shared" si="29"/>
        <v>0.11796479999999999</v>
      </c>
      <c r="H289" s="45">
        <f ca="1">F289*F289*('Sheet1 select'!$B$25)*$B$3</f>
        <v>1.3414990941440766E-2</v>
      </c>
      <c r="I289" s="45">
        <f>F289*(1-$B$3)*'Sheet1 select'!$B$41</f>
        <v>0.1792</v>
      </c>
      <c r="J289" s="45">
        <f ca="1">F289*F289*('Sheet1 select'!$B$26)*(1-$B$3)</f>
        <v>0</v>
      </c>
      <c r="K289" s="45">
        <f>0.0000005*$B$10*F289*$B$8*((('Sheet1 select'!$B$33+0.5*'Sheet1 select'!$B$32)/(('Sheet1 select'!$B$10-'Sheet1 select'!$B$23)/('Sheet1 select'!$B$27+'Sheet1 select'!$B$8)))+(('Sheet1 select'!$B$33+0.5*'Sheet1 select'!$B$32)/(('Sheet1 select'!$B$23)/('Sheet1 select'!$B$27+'Sheet1 select'!$B$9))))</f>
        <v>1.051559889879226E-2</v>
      </c>
      <c r="L289" s="45">
        <f>(F289*$B$28)*(('Sheet1 select'!$B$12+'Sheet1 select'!$B$13)*(0.000000001))*$B$8*1000</f>
        <v>0</v>
      </c>
      <c r="M289" s="45">
        <f t="shared" si="30"/>
        <v>3.6617357284970928E-5</v>
      </c>
      <c r="N289" s="46">
        <f>$B$10*'Sheet1 select'!$B$29*0.001</f>
        <v>1.2E-2</v>
      </c>
      <c r="O289" s="44">
        <f>'Sheet1 select'!$B$10*'Sheet1 select'!$B$31*$B$8*1000*0.000000001</f>
        <v>3.0000000000000001E-3</v>
      </c>
      <c r="P289" s="44">
        <f>'Sheet1 select'!$B$35*$B$10*$B$8*1000*0.000000001</f>
        <v>0</v>
      </c>
      <c r="Q289" s="47">
        <f>IF('Sheet1 select'!$B$17=0,0,(0.00000006*0.7+0.00000003*(0.7+F289*1.1*'Sheet1 select'!$B$26))*F289*$B$8*1000)</f>
        <v>0</v>
      </c>
      <c r="R289" s="45">
        <f t="shared" ca="1" si="31"/>
        <v>0.33613200719751801</v>
      </c>
      <c r="S289" s="48">
        <f t="shared" ca="1" si="32"/>
        <v>0.91951116329220473</v>
      </c>
      <c r="T289" s="49">
        <f ca="1">H289+K289+O289+N289+'Sheet1 select'!$B$40*I289+J289+P289</f>
        <v>3.8930589840233024E-2</v>
      </c>
      <c r="U289" s="169">
        <f t="shared" ca="1" si="33"/>
        <v>2.6930589840233023E-2</v>
      </c>
      <c r="V289" s="47">
        <f t="shared" ca="1" si="34"/>
        <v>0</v>
      </c>
    </row>
    <row r="290" spans="5:22">
      <c r="E290" s="32">
        <v>289</v>
      </c>
      <c r="F290" s="45">
        <f t="shared" si="28"/>
        <v>0.77066666666666672</v>
      </c>
      <c r="G290" s="45">
        <f t="shared" si="29"/>
        <v>0.11878542222222224</v>
      </c>
      <c r="H290" s="45">
        <f ca="1">F290*F290*('Sheet1 select'!$B$25)*$B$3</f>
        <v>1.3508312336275974E-2</v>
      </c>
      <c r="I290" s="45">
        <f>F290*(1-$B$3)*'Sheet1 select'!$B$41</f>
        <v>0.17982222222222222</v>
      </c>
      <c r="J290" s="45">
        <f ca="1">F290*F290*('Sheet1 select'!$B$26)*(1-$B$3)</f>
        <v>0</v>
      </c>
      <c r="K290" s="45">
        <f>0.0000005*$B$10*F290*$B$8*((('Sheet1 select'!$B$33+0.5*'Sheet1 select'!$B$32)/(('Sheet1 select'!$B$10-'Sheet1 select'!$B$23)/('Sheet1 select'!$B$27+'Sheet1 select'!$B$8)))+(('Sheet1 select'!$B$33+0.5*'Sheet1 select'!$B$32)/(('Sheet1 select'!$B$23)/('Sheet1 select'!$B$27+'Sheet1 select'!$B$9))))</f>
        <v>1.0552111394968623E-2</v>
      </c>
      <c r="L290" s="45">
        <f>(F290*$B$28)*(('Sheet1 select'!$B$12+'Sheet1 select'!$B$13)*(0.000000001))*$B$8*1000</f>
        <v>0</v>
      </c>
      <c r="M290" s="45">
        <f t="shared" si="30"/>
        <v>3.6617357284970928E-5</v>
      </c>
      <c r="N290" s="46">
        <f>$B$10*'Sheet1 select'!$B$29*0.001</f>
        <v>1.2E-2</v>
      </c>
      <c r="O290" s="44">
        <f>'Sheet1 select'!$B$10*'Sheet1 select'!$B$31*$B$8*1000*0.000000001</f>
        <v>3.0000000000000001E-3</v>
      </c>
      <c r="P290" s="44">
        <f>'Sheet1 select'!$B$35*$B$10*$B$8*1000*0.000000001</f>
        <v>0</v>
      </c>
      <c r="Q290" s="47">
        <f>IF('Sheet1 select'!$B$17=0,0,(0.00000006*0.7+0.00000003*(0.7+F290*1.1*'Sheet1 select'!$B$26))*F290*$B$8*1000)</f>
        <v>0</v>
      </c>
      <c r="R290" s="45">
        <f t="shared" ca="1" si="31"/>
        <v>0.33770468553297411</v>
      </c>
      <c r="S290" s="48">
        <f t="shared" ca="1" si="32"/>
        <v>0.91942218514535823</v>
      </c>
      <c r="T290" s="49">
        <f ca="1">H290+K290+O290+N290+'Sheet1 select'!$B$40*I290+J290+P290</f>
        <v>3.9060423731244596E-2</v>
      </c>
      <c r="U290" s="169">
        <f t="shared" ca="1" si="33"/>
        <v>2.7060423731244596E-2</v>
      </c>
      <c r="V290" s="47">
        <f t="shared" ca="1" si="34"/>
        <v>0</v>
      </c>
    </row>
    <row r="291" spans="5:22">
      <c r="E291" s="32">
        <v>290</v>
      </c>
      <c r="F291" s="45">
        <f t="shared" si="28"/>
        <v>0.77333333333333332</v>
      </c>
      <c r="G291" s="45">
        <f t="shared" si="29"/>
        <v>0.11960888888888888</v>
      </c>
      <c r="H291" s="45">
        <f ca="1">F291*F291*('Sheet1 select'!$B$25)*$B$3</f>
        <v>1.3601957202150466E-2</v>
      </c>
      <c r="I291" s="45">
        <f>F291*(1-$B$3)*'Sheet1 select'!$B$41</f>
        <v>0.18044444444444441</v>
      </c>
      <c r="J291" s="45">
        <f ca="1">F291*F291*('Sheet1 select'!$B$26)*(1-$B$3)</f>
        <v>0</v>
      </c>
      <c r="K291" s="45">
        <f>0.0000005*$B$10*F291*$B$8*((('Sheet1 select'!$B$33+0.5*'Sheet1 select'!$B$32)/(('Sheet1 select'!$B$10-'Sheet1 select'!$B$23)/('Sheet1 select'!$B$27+'Sheet1 select'!$B$8)))+(('Sheet1 select'!$B$33+0.5*'Sheet1 select'!$B$32)/(('Sheet1 select'!$B$23)/('Sheet1 select'!$B$27+'Sheet1 select'!$B$9))))</f>
        <v>1.0588623891144983E-2</v>
      </c>
      <c r="L291" s="45">
        <f>(F291*$B$28)*(('Sheet1 select'!$B$12+'Sheet1 select'!$B$13)*(0.000000001))*$B$8*1000</f>
        <v>0</v>
      </c>
      <c r="M291" s="45">
        <f t="shared" si="30"/>
        <v>3.6617357284970928E-5</v>
      </c>
      <c r="N291" s="46">
        <f>$B$10*'Sheet1 select'!$B$29*0.001</f>
        <v>1.2E-2</v>
      </c>
      <c r="O291" s="44">
        <f>'Sheet1 select'!$B$10*'Sheet1 select'!$B$31*$B$8*1000*0.000000001</f>
        <v>3.0000000000000001E-3</v>
      </c>
      <c r="P291" s="44">
        <f>'Sheet1 select'!$B$35*$B$10*$B$8*1000*0.000000001</f>
        <v>0</v>
      </c>
      <c r="Q291" s="47">
        <f>IF('Sheet1 select'!$B$17=0,0,(0.00000006*0.7+0.00000003*(0.7+F291*1.1*'Sheet1 select'!$B$26))*F291*$B$8*1000)</f>
        <v>0</v>
      </c>
      <c r="R291" s="45">
        <f t="shared" ca="1" si="31"/>
        <v>0.33928053178391371</v>
      </c>
      <c r="S291" s="48">
        <f t="shared" ca="1" si="32"/>
        <v>0.91933314524041088</v>
      </c>
      <c r="T291" s="49">
        <f ca="1">H291+K291+O291+N291+'Sheet1 select'!$B$40*I291+J291+P291</f>
        <v>3.919058109329545E-2</v>
      </c>
      <c r="U291" s="169">
        <f t="shared" ca="1" si="33"/>
        <v>2.719058109329545E-2</v>
      </c>
      <c r="V291" s="47">
        <f t="shared" ca="1" si="34"/>
        <v>0</v>
      </c>
    </row>
    <row r="292" spans="5:22">
      <c r="E292" s="32">
        <v>291</v>
      </c>
      <c r="F292" s="45">
        <f t="shared" si="28"/>
        <v>0.77600000000000002</v>
      </c>
      <c r="G292" s="45">
        <f t="shared" si="29"/>
        <v>0.12043520000000001</v>
      </c>
      <c r="H292" s="45">
        <f ca="1">F292*F292*('Sheet1 select'!$B$25)*$B$3</f>
        <v>1.3695925539064256E-2</v>
      </c>
      <c r="I292" s="45">
        <f>F292*(1-$B$3)*'Sheet1 select'!$B$41</f>
        <v>0.18106666666666665</v>
      </c>
      <c r="J292" s="45">
        <f ca="1">F292*F292*('Sheet1 select'!$B$26)*(1-$B$3)</f>
        <v>0</v>
      </c>
      <c r="K292" s="45">
        <f>0.0000005*$B$10*F292*$B$8*((('Sheet1 select'!$B$33+0.5*'Sheet1 select'!$B$32)/(('Sheet1 select'!$B$10-'Sheet1 select'!$B$23)/('Sheet1 select'!$B$27+'Sheet1 select'!$B$8)))+(('Sheet1 select'!$B$33+0.5*'Sheet1 select'!$B$32)/(('Sheet1 select'!$B$23)/('Sheet1 select'!$B$27+'Sheet1 select'!$B$9))))</f>
        <v>1.0625136387321345E-2</v>
      </c>
      <c r="L292" s="45">
        <f>(F292*$B$28)*(('Sheet1 select'!$B$12+'Sheet1 select'!$B$13)*(0.000000001))*$B$8*1000</f>
        <v>0</v>
      </c>
      <c r="M292" s="45">
        <f t="shared" si="30"/>
        <v>3.6617357284970928E-5</v>
      </c>
      <c r="N292" s="46">
        <f>$B$10*'Sheet1 select'!$B$29*0.001</f>
        <v>1.2E-2</v>
      </c>
      <c r="O292" s="44">
        <f>'Sheet1 select'!$B$10*'Sheet1 select'!$B$31*$B$8*1000*0.000000001</f>
        <v>3.0000000000000001E-3</v>
      </c>
      <c r="P292" s="44">
        <f>'Sheet1 select'!$B$35*$B$10*$B$8*1000*0.000000001</f>
        <v>0</v>
      </c>
      <c r="Q292" s="47">
        <f>IF('Sheet1 select'!$B$17=0,0,(0.00000006*0.7+0.00000003*(0.7+F292*1.1*'Sheet1 select'!$B$26))*F292*$B$8*1000)</f>
        <v>0</v>
      </c>
      <c r="R292" s="45">
        <f t="shared" ca="1" si="31"/>
        <v>0.34085954595033724</v>
      </c>
      <c r="S292" s="48">
        <f t="shared" ca="1" si="32"/>
        <v>0.91924404443228347</v>
      </c>
      <c r="T292" s="49">
        <f ca="1">H292+K292+O292+N292+'Sheet1 select'!$B$40*I292+J292+P292</f>
        <v>3.9321061926385598E-2</v>
      </c>
      <c r="U292" s="169">
        <f t="shared" ca="1" si="33"/>
        <v>2.7321061926385601E-2</v>
      </c>
      <c r="V292" s="47">
        <f t="shared" ca="1" si="34"/>
        <v>0</v>
      </c>
    </row>
    <row r="293" spans="5:22">
      <c r="E293" s="32">
        <v>292</v>
      </c>
      <c r="F293" s="45">
        <f t="shared" si="28"/>
        <v>0.77866666666666673</v>
      </c>
      <c r="G293" s="45">
        <f t="shared" si="29"/>
        <v>0.12126435555555556</v>
      </c>
      <c r="H293" s="45">
        <f ca="1">F293*F293*('Sheet1 select'!$B$25)*$B$3</f>
        <v>1.3790217347017332E-2</v>
      </c>
      <c r="I293" s="45">
        <f>F293*(1-$B$3)*'Sheet1 select'!$B$41</f>
        <v>0.1816888888888889</v>
      </c>
      <c r="J293" s="45">
        <f ca="1">F293*F293*('Sheet1 select'!$B$26)*(1-$B$3)</f>
        <v>0</v>
      </c>
      <c r="K293" s="45">
        <f>0.0000005*$B$10*F293*$B$8*((('Sheet1 select'!$B$33+0.5*'Sheet1 select'!$B$32)/(('Sheet1 select'!$B$10-'Sheet1 select'!$B$23)/('Sheet1 select'!$B$27+'Sheet1 select'!$B$8)))+(('Sheet1 select'!$B$33+0.5*'Sheet1 select'!$B$32)/(('Sheet1 select'!$B$23)/('Sheet1 select'!$B$27+'Sheet1 select'!$B$9))))</f>
        <v>1.0661648883497708E-2</v>
      </c>
      <c r="L293" s="45">
        <f>(F293*$B$28)*(('Sheet1 select'!$B$12+'Sheet1 select'!$B$13)*(0.000000001))*$B$8*1000</f>
        <v>0</v>
      </c>
      <c r="M293" s="45">
        <f t="shared" si="30"/>
        <v>3.6617357284970928E-5</v>
      </c>
      <c r="N293" s="46">
        <f>$B$10*'Sheet1 select'!$B$29*0.001</f>
        <v>1.2E-2</v>
      </c>
      <c r="O293" s="44">
        <f>'Sheet1 select'!$B$10*'Sheet1 select'!$B$31*$B$8*1000*0.000000001</f>
        <v>3.0000000000000001E-3</v>
      </c>
      <c r="P293" s="44">
        <f>'Sheet1 select'!$B$35*$B$10*$B$8*1000*0.000000001</f>
        <v>0</v>
      </c>
      <c r="Q293" s="47">
        <f>IF('Sheet1 select'!$B$17=0,0,(0.00000006*0.7+0.00000003*(0.7+F293*1.1*'Sheet1 select'!$B$26))*F293*$B$8*1000)</f>
        <v>0</v>
      </c>
      <c r="R293" s="45">
        <f t="shared" ca="1" si="31"/>
        <v>0.34244172803224449</v>
      </c>
      <c r="S293" s="48">
        <f t="shared" ca="1" si="32"/>
        <v>0.91915488356413244</v>
      </c>
      <c r="T293" s="49">
        <f ca="1">H293+K293+O293+N293+'Sheet1 select'!$B$40*I293+J293+P293</f>
        <v>3.945186623051504E-2</v>
      </c>
      <c r="U293" s="169">
        <f t="shared" ca="1" si="33"/>
        <v>2.7451866230515039E-2</v>
      </c>
      <c r="V293" s="47">
        <f t="shared" ca="1" si="34"/>
        <v>0</v>
      </c>
    </row>
    <row r="294" spans="5:22">
      <c r="E294" s="32">
        <v>293</v>
      </c>
      <c r="F294" s="45">
        <f t="shared" si="28"/>
        <v>0.78133333333333332</v>
      </c>
      <c r="G294" s="45">
        <f t="shared" si="29"/>
        <v>0.12209635555555556</v>
      </c>
      <c r="H294" s="45">
        <f ca="1">F294*F294*('Sheet1 select'!$B$25)*$B$3</f>
        <v>1.3884832626009697E-2</v>
      </c>
      <c r="I294" s="45">
        <f>F294*(1-$B$3)*'Sheet1 select'!$B$41</f>
        <v>0.18231111111111109</v>
      </c>
      <c r="J294" s="45">
        <f ca="1">F294*F294*('Sheet1 select'!$B$26)*(1-$B$3)</f>
        <v>0</v>
      </c>
      <c r="K294" s="45">
        <f>0.0000005*$B$10*F294*$B$8*((('Sheet1 select'!$B$33+0.5*'Sheet1 select'!$B$32)/(('Sheet1 select'!$B$10-'Sheet1 select'!$B$23)/('Sheet1 select'!$B$27+'Sheet1 select'!$B$8)))+(('Sheet1 select'!$B$33+0.5*'Sheet1 select'!$B$32)/(('Sheet1 select'!$B$23)/('Sheet1 select'!$B$27+'Sheet1 select'!$B$9))))</f>
        <v>1.0698161379674071E-2</v>
      </c>
      <c r="L294" s="45">
        <f>(F294*$B$28)*(('Sheet1 select'!$B$12+'Sheet1 select'!$B$13)*(0.000000001))*$B$8*1000</f>
        <v>0</v>
      </c>
      <c r="M294" s="45">
        <f t="shared" si="30"/>
        <v>3.6617357284970928E-5</v>
      </c>
      <c r="N294" s="46">
        <f>$B$10*'Sheet1 select'!$B$29*0.001</f>
        <v>1.2E-2</v>
      </c>
      <c r="O294" s="44">
        <f>'Sheet1 select'!$B$10*'Sheet1 select'!$B$31*$B$8*1000*0.000000001</f>
        <v>3.0000000000000001E-3</v>
      </c>
      <c r="P294" s="44">
        <f>'Sheet1 select'!$B$35*$B$10*$B$8*1000*0.000000001</f>
        <v>0</v>
      </c>
      <c r="Q294" s="47">
        <f>IF('Sheet1 select'!$B$17=0,0,(0.00000006*0.7+0.00000003*(0.7+F294*1.1*'Sheet1 select'!$B$26))*F294*$B$8*1000)</f>
        <v>0</v>
      </c>
      <c r="R294" s="45">
        <f t="shared" ca="1" si="31"/>
        <v>0.34402707802963539</v>
      </c>
      <c r="S294" s="48">
        <f t="shared" ca="1" si="32"/>
        <v>0.91906566346754892</v>
      </c>
      <c r="T294" s="49">
        <f ca="1">H294+K294+O294+N294+'Sheet1 select'!$B$40*I294+J294+P294</f>
        <v>3.9582994005683769E-2</v>
      </c>
      <c r="U294" s="169">
        <f t="shared" ca="1" si="33"/>
        <v>2.7582994005683769E-2</v>
      </c>
      <c r="V294" s="47">
        <f t="shared" ca="1" si="34"/>
        <v>0</v>
      </c>
    </row>
    <row r="295" spans="5:22">
      <c r="E295" s="32">
        <v>294</v>
      </c>
      <c r="F295" s="45">
        <f t="shared" si="28"/>
        <v>0.78400000000000003</v>
      </c>
      <c r="G295" s="45">
        <f t="shared" si="29"/>
        <v>0.12293120000000002</v>
      </c>
      <c r="H295" s="45">
        <f ca="1">F295*F295*('Sheet1 select'!$B$25)*$B$3</f>
        <v>1.3979771376041355E-2</v>
      </c>
      <c r="I295" s="45">
        <f>F295*(1-$B$3)*'Sheet1 select'!$B$41</f>
        <v>0.18293333333333334</v>
      </c>
      <c r="J295" s="45">
        <f ca="1">F295*F295*('Sheet1 select'!$B$26)*(1-$B$3)</f>
        <v>0</v>
      </c>
      <c r="K295" s="45">
        <f>0.0000005*$B$10*F295*$B$8*((('Sheet1 select'!$B$33+0.5*'Sheet1 select'!$B$32)/(('Sheet1 select'!$B$10-'Sheet1 select'!$B$23)/('Sheet1 select'!$B$27+'Sheet1 select'!$B$8)))+(('Sheet1 select'!$B$33+0.5*'Sheet1 select'!$B$32)/(('Sheet1 select'!$B$23)/('Sheet1 select'!$B$27+'Sheet1 select'!$B$9))))</f>
        <v>1.0734673875850432E-2</v>
      </c>
      <c r="L295" s="45">
        <f>(F295*$B$28)*(('Sheet1 select'!$B$12+'Sheet1 select'!$B$13)*(0.000000001))*$B$8*1000</f>
        <v>0</v>
      </c>
      <c r="M295" s="45">
        <f t="shared" si="30"/>
        <v>3.6617357284970928E-5</v>
      </c>
      <c r="N295" s="46">
        <f>$B$10*'Sheet1 select'!$B$29*0.001</f>
        <v>1.2E-2</v>
      </c>
      <c r="O295" s="44">
        <f>'Sheet1 select'!$B$10*'Sheet1 select'!$B$31*$B$8*1000*0.000000001</f>
        <v>3.0000000000000001E-3</v>
      </c>
      <c r="P295" s="44">
        <f>'Sheet1 select'!$B$35*$B$10*$B$8*1000*0.000000001</f>
        <v>0</v>
      </c>
      <c r="Q295" s="47">
        <f>IF('Sheet1 select'!$B$17=0,0,(0.00000006*0.7+0.00000003*(0.7+F295*1.1*'Sheet1 select'!$B$26))*F295*$B$8*1000)</f>
        <v>0</v>
      </c>
      <c r="R295" s="45">
        <f t="shared" ca="1" si="31"/>
        <v>0.34561559594251018</v>
      </c>
      <c r="S295" s="48">
        <f t="shared" ca="1" si="32"/>
        <v>0.91897638496275602</v>
      </c>
      <c r="T295" s="49">
        <f ca="1">H295+K295+O295+N295+'Sheet1 select'!$B$40*I295+J295+P295</f>
        <v>3.9714445251891786E-2</v>
      </c>
      <c r="U295" s="169">
        <f t="shared" ca="1" si="33"/>
        <v>2.7714445251891786E-2</v>
      </c>
      <c r="V295" s="47">
        <f t="shared" ca="1" si="34"/>
        <v>0</v>
      </c>
    </row>
    <row r="296" spans="5:22">
      <c r="E296" s="32">
        <v>295</v>
      </c>
      <c r="F296" s="45">
        <f t="shared" si="28"/>
        <v>0.78666666666666663</v>
      </c>
      <c r="G296" s="45">
        <f t="shared" si="29"/>
        <v>0.12376888888888889</v>
      </c>
      <c r="H296" s="45">
        <f ca="1">F296*F296*('Sheet1 select'!$B$25)*$B$3</f>
        <v>1.40750335971123E-2</v>
      </c>
      <c r="I296" s="45">
        <f>F296*(1-$B$3)*'Sheet1 select'!$B$41</f>
        <v>0.18355555555555553</v>
      </c>
      <c r="J296" s="45">
        <f ca="1">F296*F296*('Sheet1 select'!$B$26)*(1-$B$3)</f>
        <v>0</v>
      </c>
      <c r="K296" s="45">
        <f>0.0000005*$B$10*F296*$B$8*((('Sheet1 select'!$B$33+0.5*'Sheet1 select'!$B$32)/(('Sheet1 select'!$B$10-'Sheet1 select'!$B$23)/('Sheet1 select'!$B$27+'Sheet1 select'!$B$8)))+(('Sheet1 select'!$B$33+0.5*'Sheet1 select'!$B$32)/(('Sheet1 select'!$B$23)/('Sheet1 select'!$B$27+'Sheet1 select'!$B$9))))</f>
        <v>1.0771186372026793E-2</v>
      </c>
      <c r="L296" s="45">
        <f>(F296*$B$28)*(('Sheet1 select'!$B$12+'Sheet1 select'!$B$13)*(0.000000001))*$B$8*1000</f>
        <v>0</v>
      </c>
      <c r="M296" s="45">
        <f t="shared" si="30"/>
        <v>3.6617357284970928E-5</v>
      </c>
      <c r="N296" s="46">
        <f>$B$10*'Sheet1 select'!$B$29*0.001</f>
        <v>1.2E-2</v>
      </c>
      <c r="O296" s="44">
        <f>'Sheet1 select'!$B$10*'Sheet1 select'!$B$31*$B$8*1000*0.000000001</f>
        <v>3.0000000000000001E-3</v>
      </c>
      <c r="P296" s="44">
        <f>'Sheet1 select'!$B$35*$B$10*$B$8*1000*0.000000001</f>
        <v>0</v>
      </c>
      <c r="Q296" s="47">
        <f>IF('Sheet1 select'!$B$17=0,0,(0.00000006*0.7+0.00000003*(0.7+F296*1.1*'Sheet1 select'!$B$26))*F296*$B$8*1000)</f>
        <v>0</v>
      </c>
      <c r="R296" s="45">
        <f t="shared" ca="1" si="31"/>
        <v>0.34720728177086851</v>
      </c>
      <c r="S296" s="48">
        <f t="shared" ca="1" si="32"/>
        <v>0.91888704885880024</v>
      </c>
      <c r="T296" s="49">
        <f ca="1">H296+K296+O296+N296+'Sheet1 select'!$B$40*I296+J296+P296</f>
        <v>3.9846219969139091E-2</v>
      </c>
      <c r="U296" s="169">
        <f t="shared" ca="1" si="33"/>
        <v>2.784621996913909E-2</v>
      </c>
      <c r="V296" s="47">
        <f t="shared" ca="1" si="34"/>
        <v>0</v>
      </c>
    </row>
    <row r="297" spans="5:22">
      <c r="E297" s="32">
        <v>296</v>
      </c>
      <c r="F297" s="45">
        <f t="shared" si="28"/>
        <v>0.78933333333333333</v>
      </c>
      <c r="G297" s="45">
        <f t="shared" si="29"/>
        <v>0.12460942222222222</v>
      </c>
      <c r="H297" s="45">
        <f ca="1">F297*F297*('Sheet1 select'!$B$25)*$B$3</f>
        <v>1.4170619289222539E-2</v>
      </c>
      <c r="I297" s="45">
        <f>F297*(1-$B$3)*'Sheet1 select'!$B$41</f>
        <v>0.18417777777777777</v>
      </c>
      <c r="J297" s="45">
        <f ca="1">F297*F297*('Sheet1 select'!$B$26)*(1-$B$3)</f>
        <v>0</v>
      </c>
      <c r="K297" s="45">
        <f>0.0000005*$B$10*F297*$B$8*((('Sheet1 select'!$B$33+0.5*'Sheet1 select'!$B$32)/(('Sheet1 select'!$B$10-'Sheet1 select'!$B$23)/('Sheet1 select'!$B$27+'Sheet1 select'!$B$8)))+(('Sheet1 select'!$B$33+0.5*'Sheet1 select'!$B$32)/(('Sheet1 select'!$B$23)/('Sheet1 select'!$B$27+'Sheet1 select'!$B$9))))</f>
        <v>1.0807698868203156E-2</v>
      </c>
      <c r="L297" s="45">
        <f>(F297*$B$28)*(('Sheet1 select'!$B$12+'Sheet1 select'!$B$13)*(0.000000001))*$B$8*1000</f>
        <v>0</v>
      </c>
      <c r="M297" s="45">
        <f t="shared" si="30"/>
        <v>3.6617357284970928E-5</v>
      </c>
      <c r="N297" s="46">
        <f>$B$10*'Sheet1 select'!$B$29*0.001</f>
        <v>1.2E-2</v>
      </c>
      <c r="O297" s="44">
        <f>'Sheet1 select'!$B$10*'Sheet1 select'!$B$31*$B$8*1000*0.000000001</f>
        <v>3.0000000000000001E-3</v>
      </c>
      <c r="P297" s="44">
        <f>'Sheet1 select'!$B$35*$B$10*$B$8*1000*0.000000001</f>
        <v>0</v>
      </c>
      <c r="Q297" s="47">
        <f>IF('Sheet1 select'!$B$17=0,0,(0.00000006*0.7+0.00000003*(0.7+F297*1.1*'Sheet1 select'!$B$26))*F297*$B$8*1000)</f>
        <v>0</v>
      </c>
      <c r="R297" s="45">
        <f t="shared" ca="1" si="31"/>
        <v>0.34880213551471068</v>
      </c>
      <c r="S297" s="48">
        <f t="shared" ca="1" si="32"/>
        <v>0.91879765595373941</v>
      </c>
      <c r="T297" s="49">
        <f ca="1">H297+K297+O297+N297+'Sheet1 select'!$B$40*I297+J297+P297</f>
        <v>3.9978318157425696E-2</v>
      </c>
      <c r="U297" s="169">
        <f t="shared" ca="1" si="33"/>
        <v>2.7978318157425696E-2</v>
      </c>
      <c r="V297" s="47">
        <f t="shared" ca="1" si="34"/>
        <v>0</v>
      </c>
    </row>
    <row r="298" spans="5:22">
      <c r="E298" s="32">
        <v>297</v>
      </c>
      <c r="F298" s="45">
        <f t="shared" si="28"/>
        <v>0.79200000000000004</v>
      </c>
      <c r="G298" s="45">
        <f t="shared" si="29"/>
        <v>0.1254528</v>
      </c>
      <c r="H298" s="45">
        <f ca="1">F298*F298*('Sheet1 select'!$B$25)*$B$3</f>
        <v>1.4266528452372066E-2</v>
      </c>
      <c r="I298" s="45">
        <f>F298*(1-$B$3)*'Sheet1 select'!$B$41</f>
        <v>0.18479999999999999</v>
      </c>
      <c r="J298" s="45">
        <f ca="1">F298*F298*('Sheet1 select'!$B$26)*(1-$B$3)</f>
        <v>0</v>
      </c>
      <c r="K298" s="45">
        <f>0.0000005*$B$10*F298*$B$8*((('Sheet1 select'!$B$33+0.5*'Sheet1 select'!$B$32)/(('Sheet1 select'!$B$10-'Sheet1 select'!$B$23)/('Sheet1 select'!$B$27+'Sheet1 select'!$B$8)))+(('Sheet1 select'!$B$33+0.5*'Sheet1 select'!$B$32)/(('Sheet1 select'!$B$23)/('Sheet1 select'!$B$27+'Sheet1 select'!$B$9))))</f>
        <v>1.0844211364379519E-2</v>
      </c>
      <c r="L298" s="45">
        <f>(F298*$B$28)*(('Sheet1 select'!$B$12+'Sheet1 select'!$B$13)*(0.000000001))*$B$8*1000</f>
        <v>0</v>
      </c>
      <c r="M298" s="45">
        <f t="shared" si="30"/>
        <v>3.6617357284970928E-5</v>
      </c>
      <c r="N298" s="46">
        <f>$B$10*'Sheet1 select'!$B$29*0.001</f>
        <v>1.2E-2</v>
      </c>
      <c r="O298" s="44">
        <f>'Sheet1 select'!$B$10*'Sheet1 select'!$B$31*$B$8*1000*0.000000001</f>
        <v>3.0000000000000001E-3</v>
      </c>
      <c r="P298" s="44">
        <f>'Sheet1 select'!$B$35*$B$10*$B$8*1000*0.000000001</f>
        <v>0</v>
      </c>
      <c r="Q298" s="47">
        <f>IF('Sheet1 select'!$B$17=0,0,(0.00000006*0.7+0.00000003*(0.7+F298*1.1*'Sheet1 select'!$B$26))*F298*$B$8*1000)</f>
        <v>0</v>
      </c>
      <c r="R298" s="45">
        <f t="shared" ca="1" si="31"/>
        <v>0.35040015717403661</v>
      </c>
      <c r="S298" s="48">
        <f t="shared" ca="1" si="32"/>
        <v>0.91870820703482792</v>
      </c>
      <c r="T298" s="49">
        <f ca="1">H298+K298+O298+N298+'Sheet1 select'!$B$40*I298+J298+P298</f>
        <v>4.0110739816751582E-2</v>
      </c>
      <c r="U298" s="169">
        <f t="shared" ca="1" si="33"/>
        <v>2.8110739816751582E-2</v>
      </c>
      <c r="V298" s="47">
        <f t="shared" ca="1" si="34"/>
        <v>0</v>
      </c>
    </row>
    <row r="299" spans="5:22">
      <c r="E299" s="32">
        <v>298</v>
      </c>
      <c r="F299" s="45">
        <f t="shared" si="28"/>
        <v>0.79466666666666663</v>
      </c>
      <c r="G299" s="45">
        <f t="shared" si="29"/>
        <v>0.1262990222222222</v>
      </c>
      <c r="H299" s="45">
        <f ca="1">F299*F299*('Sheet1 select'!$B$25)*$B$3</f>
        <v>1.4362761086560878E-2</v>
      </c>
      <c r="I299" s="45">
        <f>F299*(1-$B$3)*'Sheet1 select'!$B$41</f>
        <v>0.18542222222222221</v>
      </c>
      <c r="J299" s="45">
        <f ca="1">F299*F299*('Sheet1 select'!$B$26)*(1-$B$3)</f>
        <v>0</v>
      </c>
      <c r="K299" s="45">
        <f>0.0000005*$B$10*F299*$B$8*((('Sheet1 select'!$B$33+0.5*'Sheet1 select'!$B$32)/(('Sheet1 select'!$B$10-'Sheet1 select'!$B$23)/('Sheet1 select'!$B$27+'Sheet1 select'!$B$8)))+(('Sheet1 select'!$B$33+0.5*'Sheet1 select'!$B$32)/(('Sheet1 select'!$B$23)/('Sheet1 select'!$B$27+'Sheet1 select'!$B$9))))</f>
        <v>1.088072386055588E-2</v>
      </c>
      <c r="L299" s="45">
        <f>(F299*$B$28)*(('Sheet1 select'!$B$12+'Sheet1 select'!$B$13)*(0.000000001))*$B$8*1000</f>
        <v>0</v>
      </c>
      <c r="M299" s="45">
        <f t="shared" si="30"/>
        <v>3.6617357284970928E-5</v>
      </c>
      <c r="N299" s="46">
        <f>$B$10*'Sheet1 select'!$B$29*0.001</f>
        <v>1.2E-2</v>
      </c>
      <c r="O299" s="44">
        <f>'Sheet1 select'!$B$10*'Sheet1 select'!$B$31*$B$8*1000*0.000000001</f>
        <v>3.0000000000000001E-3</v>
      </c>
      <c r="P299" s="44">
        <f>'Sheet1 select'!$B$35*$B$10*$B$8*1000*0.000000001</f>
        <v>0</v>
      </c>
      <c r="Q299" s="47">
        <f>IF('Sheet1 select'!$B$17=0,0,(0.00000006*0.7+0.00000003*(0.7+F299*1.1*'Sheet1 select'!$B$26))*F299*$B$8*1000)</f>
        <v>0</v>
      </c>
      <c r="R299" s="45">
        <f t="shared" ca="1" si="31"/>
        <v>0.35200134674884614</v>
      </c>
      <c r="S299" s="48">
        <f t="shared" ca="1" si="32"/>
        <v>0.9186187028786964</v>
      </c>
      <c r="T299" s="49">
        <f ca="1">H299+K299+O299+N299+'Sheet1 select'!$B$40*I299+J299+P299</f>
        <v>4.0243484947116756E-2</v>
      </c>
      <c r="U299" s="169">
        <f t="shared" ca="1" si="33"/>
        <v>2.8243484947116756E-2</v>
      </c>
      <c r="V299" s="47">
        <f t="shared" ca="1" si="34"/>
        <v>0</v>
      </c>
    </row>
    <row r="300" spans="5:22">
      <c r="E300" s="32">
        <v>299</v>
      </c>
      <c r="F300" s="45">
        <f t="shared" si="28"/>
        <v>0.79733333333333334</v>
      </c>
      <c r="G300" s="45">
        <f t="shared" si="29"/>
        <v>0.1271480888888889</v>
      </c>
      <c r="H300" s="45">
        <f ca="1">F300*F300*('Sheet1 select'!$B$25)*$B$3</f>
        <v>1.4459317191788989E-2</v>
      </c>
      <c r="I300" s="45">
        <f>F300*(1-$B$3)*'Sheet1 select'!$B$41</f>
        <v>0.18604444444444443</v>
      </c>
      <c r="J300" s="45">
        <f ca="1">F300*F300*('Sheet1 select'!$B$26)*(1-$B$3)</f>
        <v>0</v>
      </c>
      <c r="K300" s="45">
        <f>0.0000005*$B$10*F300*$B$8*((('Sheet1 select'!$B$33+0.5*'Sheet1 select'!$B$32)/(('Sheet1 select'!$B$10-'Sheet1 select'!$B$23)/('Sheet1 select'!$B$27+'Sheet1 select'!$B$8)))+(('Sheet1 select'!$B$33+0.5*'Sheet1 select'!$B$32)/(('Sheet1 select'!$B$23)/('Sheet1 select'!$B$27+'Sheet1 select'!$B$9))))</f>
        <v>1.0917236356732243E-2</v>
      </c>
      <c r="L300" s="45">
        <f>(F300*$B$28)*(('Sheet1 select'!$B$12+'Sheet1 select'!$B$13)*(0.000000001))*$B$8*1000</f>
        <v>0</v>
      </c>
      <c r="M300" s="45">
        <f t="shared" si="30"/>
        <v>3.6617357284970928E-5</v>
      </c>
      <c r="N300" s="46">
        <f>$B$10*'Sheet1 select'!$B$29*0.001</f>
        <v>1.2E-2</v>
      </c>
      <c r="O300" s="44">
        <f>'Sheet1 select'!$B$10*'Sheet1 select'!$B$31*$B$8*1000*0.000000001</f>
        <v>3.0000000000000001E-3</v>
      </c>
      <c r="P300" s="44">
        <f>'Sheet1 select'!$B$35*$B$10*$B$8*1000*0.000000001</f>
        <v>0</v>
      </c>
      <c r="Q300" s="47">
        <f>IF('Sheet1 select'!$B$17=0,0,(0.00000006*0.7+0.00000003*(0.7+F300*1.1*'Sheet1 select'!$B$26))*F300*$B$8*1000)</f>
        <v>0</v>
      </c>
      <c r="R300" s="45">
        <f t="shared" ca="1" si="31"/>
        <v>0.35360570423913962</v>
      </c>
      <c r="S300" s="48">
        <f t="shared" ca="1" si="32"/>
        <v>0.91852914425152943</v>
      </c>
      <c r="T300" s="49">
        <f ca="1">H300+K300+O300+N300+'Sheet1 select'!$B$40*I300+J300+P300</f>
        <v>4.0376553548521231E-2</v>
      </c>
      <c r="U300" s="169">
        <f t="shared" ca="1" si="33"/>
        <v>2.8376553548521231E-2</v>
      </c>
      <c r="V300" s="47">
        <f t="shared" ca="1" si="34"/>
        <v>0</v>
      </c>
    </row>
    <row r="301" spans="5:22">
      <c r="E301" s="32">
        <v>300</v>
      </c>
      <c r="F301" s="50">
        <f t="shared" si="28"/>
        <v>0.8</v>
      </c>
      <c r="G301" s="45">
        <f t="shared" si="29"/>
        <v>0.12800000000000003</v>
      </c>
      <c r="H301" s="45">
        <f ca="1">F301*F301*('Sheet1 select'!$B$25)*$B$3</f>
        <v>1.4556196768056388E-2</v>
      </c>
      <c r="I301" s="45">
        <f>F301*(1-$B$3)*'Sheet1 select'!$B$41</f>
        <v>0.18666666666666665</v>
      </c>
      <c r="J301" s="45">
        <f ca="1">F301*F301*('Sheet1 select'!$B$26)*(1-$B$3)</f>
        <v>0</v>
      </c>
      <c r="K301" s="45">
        <f>0.0000005*$B$10*F301*$B$8*((('Sheet1 select'!$B$33+0.5*'Sheet1 select'!$B$32)/(('Sheet1 select'!$B$10-'Sheet1 select'!$B$23)/('Sheet1 select'!$B$27+'Sheet1 select'!$B$8)))+(('Sheet1 select'!$B$33+0.5*'Sheet1 select'!$B$32)/(('Sheet1 select'!$B$23)/('Sheet1 select'!$B$27+'Sheet1 select'!$B$9))))</f>
        <v>1.0953748852908606E-2</v>
      </c>
      <c r="L301" s="45">
        <f>(F301*$B$28)*(('Sheet1 select'!$B$12+'Sheet1 select'!$B$13)*(0.000000001))*$B$8*1000</f>
        <v>0</v>
      </c>
      <c r="M301" s="45">
        <f t="shared" si="30"/>
        <v>3.6617357284970928E-5</v>
      </c>
      <c r="N301" s="46">
        <f>$B$10*'Sheet1 select'!$B$29*0.001</f>
        <v>1.2E-2</v>
      </c>
      <c r="O301" s="44">
        <f>'Sheet1 select'!$B$10*'Sheet1 select'!$B$31*$B$8*1000*0.000000001</f>
        <v>3.0000000000000001E-3</v>
      </c>
      <c r="P301" s="44">
        <f>'Sheet1 select'!$B$35*$B$10*$B$8*1000*0.000000001</f>
        <v>0</v>
      </c>
      <c r="Q301" s="47">
        <f>IF('Sheet1 select'!$B$17=0,0,(0.00000006*0.7+0.00000003*(0.7+F301*1.1*'Sheet1 select'!$B$26))*F301*$B$8*1000)</f>
        <v>0</v>
      </c>
      <c r="R301" s="45">
        <f t="shared" ca="1" si="31"/>
        <v>0.35521322964491669</v>
      </c>
      <c r="S301" s="48">
        <f t="shared" ca="1" si="32"/>
        <v>0.91843953190923855</v>
      </c>
      <c r="T301" s="49">
        <f ca="1">H301+K301+O301+N301+'Sheet1 select'!$B$40*I301+J301+P301</f>
        <v>4.0509945620964993E-2</v>
      </c>
      <c r="U301" s="169">
        <f t="shared" ca="1" si="33"/>
        <v>2.8509945620964993E-2</v>
      </c>
      <c r="V301" s="47">
        <f t="shared" ca="1" si="34"/>
        <v>0</v>
      </c>
    </row>
  </sheetData>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D634"/>
  <sheetViews>
    <sheetView workbookViewId="0">
      <pane ySplit="13" topLeftCell="A606" activePane="bottomLeft" state="frozen"/>
      <selection pane="bottomLeft" activeCell="H7" sqref="H7"/>
    </sheetView>
  </sheetViews>
  <sheetFormatPr defaultColWidth="8" defaultRowHeight="13.2"/>
  <cols>
    <col min="1" max="1" width="13.69921875" style="71" customWidth="1"/>
    <col min="2" max="2" width="17.5" style="72" customWidth="1"/>
    <col min="3" max="3" width="9.5" style="72" customWidth="1"/>
    <col min="4" max="4" width="8.8984375" style="72" customWidth="1"/>
    <col min="5" max="5" width="10.3984375" style="72" customWidth="1"/>
    <col min="6" max="6" width="12.5" style="72" customWidth="1"/>
    <col min="7" max="7" width="9.59765625" style="72" customWidth="1"/>
    <col min="8" max="8" width="10.5" style="72" customWidth="1"/>
    <col min="9" max="9" width="10" style="72" customWidth="1"/>
    <col min="10" max="10" width="9.5" style="72" customWidth="1"/>
    <col min="11" max="15" width="13.19921875" style="72" customWidth="1"/>
    <col min="16" max="16" width="10.69921875" style="72" customWidth="1"/>
    <col min="17" max="17" width="10.59765625" style="72" customWidth="1"/>
    <col min="18" max="18" width="8.19921875" style="72" customWidth="1"/>
    <col min="19" max="19" width="10.69921875" style="72" customWidth="1"/>
    <col min="20" max="20" width="11.5" style="72" customWidth="1"/>
    <col min="21" max="21" width="8" style="72" customWidth="1"/>
    <col min="22" max="22" width="9.59765625" style="72" bestFit="1" customWidth="1"/>
    <col min="23" max="24" width="8" style="72" customWidth="1"/>
    <col min="25" max="25" width="11.8984375" style="72" customWidth="1"/>
    <col min="26" max="26" width="9.19921875" style="72" customWidth="1"/>
    <col min="27" max="27" width="8" style="72" customWidth="1"/>
    <col min="28" max="28" width="8.09765625" style="72" bestFit="1" customWidth="1"/>
    <col min="29" max="29" width="9.8984375" style="72" bestFit="1" customWidth="1"/>
    <col min="30" max="16384" width="8" style="72"/>
  </cols>
  <sheetData>
    <row r="1" spans="1:30" ht="13.8" thickBot="1"/>
    <row r="2" spans="1:30" ht="13.8" thickBot="1">
      <c r="A2" s="307" t="s">
        <v>187</v>
      </c>
      <c r="B2" s="308"/>
      <c r="C2" s="308"/>
      <c r="D2" s="307" t="s">
        <v>95</v>
      </c>
      <c r="E2" s="308"/>
      <c r="F2" s="310"/>
      <c r="G2" s="309" t="s">
        <v>188</v>
      </c>
      <c r="H2" s="308"/>
      <c r="I2" s="310"/>
      <c r="J2" s="307" t="s">
        <v>96</v>
      </c>
      <c r="K2" s="308"/>
      <c r="L2" s="308"/>
      <c r="M2" s="308"/>
      <c r="N2" s="308"/>
      <c r="O2" s="308"/>
      <c r="P2" s="310"/>
      <c r="Q2" s="73" t="s">
        <v>97</v>
      </c>
      <c r="R2" s="74"/>
      <c r="S2" s="75"/>
    </row>
    <row r="3" spans="1:30">
      <c r="A3" s="76" t="s">
        <v>98</v>
      </c>
      <c r="B3" s="77">
        <f>'Sheet1 select'!B18/'EZBuck design calculator'!N16</f>
        <v>0.16</v>
      </c>
      <c r="C3" s="225" t="s">
        <v>99</v>
      </c>
      <c r="D3" s="79" t="s">
        <v>100</v>
      </c>
      <c r="E3" s="77">
        <f ca="1">('EZBuck design calculator'!N16/'EZBuck design calculator'!N17)/('Sheet1 select'!B25*'Sheet1 select'!B5)</f>
        <v>57.249386403053137</v>
      </c>
      <c r="F3" s="78" t="s">
        <v>99</v>
      </c>
      <c r="G3" s="82" t="s">
        <v>101</v>
      </c>
      <c r="H3" s="81">
        <f>1000000000/(2*3.14159265*'EZBuck design calculator'!N40*'EZBuck design calculator'!N41)</f>
        <v>33862.753888033272</v>
      </c>
      <c r="I3" s="78" t="s">
        <v>29</v>
      </c>
      <c r="J3" s="80" t="s">
        <v>102</v>
      </c>
      <c r="K3" s="81">
        <f>'EZBuck design calculator'!N22*1000/2</f>
        <v>100000</v>
      </c>
      <c r="L3" s="230"/>
      <c r="M3" s="230"/>
      <c r="N3" s="230"/>
      <c r="O3" s="230"/>
      <c r="P3" s="78" t="s">
        <v>29</v>
      </c>
      <c r="Q3" s="82" t="s">
        <v>103</v>
      </c>
      <c r="R3" s="81">
        <f ca="1">E3*E4*B3*B6</f>
        <v>4071.9972997493237</v>
      </c>
      <c r="S3" s="83" t="s">
        <v>99</v>
      </c>
      <c r="T3" s="204" t="s">
        <v>104</v>
      </c>
    </row>
    <row r="4" spans="1:30" ht="13.8" thickBot="1">
      <c r="A4" s="76" t="s">
        <v>105</v>
      </c>
      <c r="B4" s="81">
        <f>1000000/(2*3.14159265*'EZBuck design calculator'!N58*'EZBuck design calculator'!N57)</f>
        <v>23.405138716728878</v>
      </c>
      <c r="C4" s="225" t="s">
        <v>29</v>
      </c>
      <c r="D4" s="80" t="s">
        <v>106</v>
      </c>
      <c r="E4" s="77">
        <f ca="1">1/(1+(1000*('EZBuck design calculator'!N16/'EZBuck design calculator'!N17)*(E7*(1-'Efficiency calculations'!B3)-0.5)/('EZBuck design calculator'!N22*'EZBuck design calculator'!N29)))</f>
        <v>0.27784122156630675</v>
      </c>
      <c r="F4" s="78" t="s">
        <v>99</v>
      </c>
      <c r="G4" s="82" t="s">
        <v>107</v>
      </c>
      <c r="H4" s="81">
        <f ca="1">(1000000/(2*3.14159265*'EZBuck design calculator'!N40*('EZBuck design calculator'!N16/'EZBuck design calculator'!N17)))+(1000000000*(E7*(1-'Efficiency calculations'!B3)-0.5)/(2*3.14159265*'EZBuck design calculator'!N22*'EZBuck design calculator'!N29*'EZBuck design calculator'!N40))</f>
        <v>19.500492373095579</v>
      </c>
      <c r="I4" s="78" t="s">
        <v>29</v>
      </c>
      <c r="J4" s="84" t="s">
        <v>108</v>
      </c>
      <c r="K4" s="85">
        <f ca="1">K6*Pole3</f>
        <v>17395.681743210138</v>
      </c>
      <c r="L4" s="231"/>
      <c r="M4" s="231"/>
      <c r="N4" s="231"/>
      <c r="O4" s="231"/>
      <c r="P4" s="83"/>
      <c r="Q4" s="86" t="s">
        <v>109</v>
      </c>
      <c r="R4" s="87">
        <f ca="1">MIN(V14:V614)/1000</f>
        <v>3.3113000000000001</v>
      </c>
      <c r="S4" s="78" t="s">
        <v>110</v>
      </c>
      <c r="T4" s="205">
        <f ca="1">K6</f>
        <v>0.1739568174321014</v>
      </c>
    </row>
    <row r="5" spans="1:30">
      <c r="A5" s="76" t="s">
        <v>111</v>
      </c>
      <c r="B5" s="88">
        <f>1000/(2*3.14159265*'Sheet1 select'!B7*'EZBuck design calculator'!N57)</f>
        <v>2.9256423395911098</v>
      </c>
      <c r="C5" s="225" t="s">
        <v>29</v>
      </c>
      <c r="D5" s="198" t="s">
        <v>135</v>
      </c>
      <c r="E5" s="199">
        <f>'Sheet1 select'!B4*'EZBuck design calculator'!N22*1000</f>
        <v>104000</v>
      </c>
      <c r="F5" s="83"/>
      <c r="G5" s="86"/>
      <c r="H5" s="199"/>
      <c r="I5" s="83"/>
      <c r="J5" s="84" t="s">
        <v>112</v>
      </c>
      <c r="K5" s="85">
        <f>Pole3^2</f>
        <v>10000000000</v>
      </c>
      <c r="L5" s="231"/>
      <c r="M5" s="231"/>
      <c r="N5" s="231"/>
      <c r="O5" s="231"/>
      <c r="P5" s="83"/>
      <c r="Q5" s="86" t="s">
        <v>113</v>
      </c>
      <c r="R5" s="87">
        <f ca="1">T618</f>
        <v>11.499380812174707</v>
      </c>
      <c r="S5" s="78" t="s">
        <v>114</v>
      </c>
    </row>
    <row r="6" spans="1:30" ht="13.8" thickBot="1">
      <c r="A6" s="215" t="s">
        <v>115</v>
      </c>
      <c r="B6" s="81">
        <f>'Sheet1 select'!B6*'Sheet1 select'!B7</f>
        <v>1600</v>
      </c>
      <c r="C6" s="226" t="s">
        <v>99</v>
      </c>
      <c r="D6" s="227" t="s">
        <v>136</v>
      </c>
      <c r="E6" s="223">
        <f ca="1">1000000*(1-'Efficiency calculations'!B3)*'EZBuck design calculator'!N15*'Sheet1 select'!B25*'Sheet1 select'!B5/'EZBuck design calculator'!N29</f>
        <v>34736.37865104364</v>
      </c>
      <c r="F6" s="224"/>
      <c r="G6" s="203"/>
      <c r="H6" s="202"/>
      <c r="I6" s="201"/>
      <c r="J6" s="200" t="s">
        <v>138</v>
      </c>
      <c r="K6" s="202">
        <f ca="1">1/(3.14159265*(E7*(1-'Efficiency calculations'!B3)-0.5))</f>
        <v>0.1739568174321014</v>
      </c>
      <c r="L6" s="232"/>
      <c r="M6" s="232"/>
      <c r="N6" s="232"/>
      <c r="O6" s="232"/>
      <c r="P6" s="201"/>
      <c r="Q6" s="203" t="s">
        <v>116</v>
      </c>
      <c r="R6" s="202">
        <f>180/3.14159265</f>
        <v>57.295779578552292</v>
      </c>
      <c r="S6" s="201"/>
    </row>
    <row r="7" spans="1:30" ht="13.8" thickBot="1">
      <c r="A7" s="216" t="s">
        <v>117</v>
      </c>
      <c r="B7" s="217">
        <f>IF('EZBuck design calculator'!N59=0,1/(2*3.14159265*'EZBuck design calculator'!N58*1000*G7*0.000000000001),1/(2*3.14159265*'EZBuck design calculator'!N58*1000*('EZBuck design calculator'!N59+G7)*0.000000000001))</f>
        <v>994.71839546097738</v>
      </c>
      <c r="C7" s="222" t="s">
        <v>217</v>
      </c>
      <c r="D7" s="228" t="s">
        <v>137</v>
      </c>
      <c r="E7" s="229">
        <f ca="1">1+E5/E6</f>
        <v>3.9939793392042429</v>
      </c>
      <c r="F7" s="90"/>
      <c r="G7" s="72">
        <f>IF('Efficiency calculations'!A2&lt;0.14,IF('EZBuck design calculator'!M16&lt;3.1,47,10),10)</f>
        <v>10</v>
      </c>
    </row>
    <row r="8" spans="1:30">
      <c r="A8" s="218" t="s">
        <v>215</v>
      </c>
      <c r="B8" s="81">
        <f>IF('EZBuck design calculator'!N60=0,1000000000/(2*3.14159265*0.0000001*'EZBuck design calculator'!N49),1000000000/(2*3.14159265*'EZBuck design calculator'!N60*'EZBuck design calculator'!N49))</f>
        <v>30315227290239.309</v>
      </c>
      <c r="C8" s="220" t="s">
        <v>217</v>
      </c>
      <c r="D8" s="127"/>
    </row>
    <row r="9" spans="1:30" ht="13.8" thickBot="1">
      <c r="A9" s="219" t="s">
        <v>216</v>
      </c>
      <c r="B9" s="89">
        <f>IF('EZBuck design calculator'!N60=0,1000000000/(2*3.14159265*0.0000001*(('EZBuck design calculator'!N48*'EZBuck design calculator'!N49)/('EZBuck design calculator'!N48+'EZBuck design calculator'!N49))),1000000000/(2*3.14159265*'EZBuck design calculator'!N60*(('EZBuck design calculator'!N48*'EZBuck design calculator'!N49)/('EZBuck design calculator'!N48+'EZBuck design calculator'!N49))))</f>
        <v>189470170563995.69</v>
      </c>
      <c r="C9" s="221" t="s">
        <v>217</v>
      </c>
      <c r="D9" s="127"/>
    </row>
    <row r="10" spans="1:30" ht="13.8" thickBot="1"/>
    <row r="11" spans="1:30" ht="13.8">
      <c r="A11" s="311" t="s">
        <v>118</v>
      </c>
      <c r="B11" s="314" t="s">
        <v>119</v>
      </c>
      <c r="C11" s="319"/>
      <c r="D11" s="319"/>
      <c r="E11" s="320"/>
      <c r="F11" s="314" t="s">
        <v>120</v>
      </c>
      <c r="G11" s="319"/>
      <c r="H11" s="319"/>
      <c r="I11" s="320"/>
      <c r="J11" s="206"/>
      <c r="K11" s="206"/>
      <c r="L11" s="206"/>
      <c r="M11" s="206"/>
      <c r="N11" s="206"/>
      <c r="O11" s="206"/>
      <c r="P11" s="314" t="s">
        <v>121</v>
      </c>
      <c r="Q11" s="320"/>
      <c r="R11" s="314" t="s">
        <v>122</v>
      </c>
      <c r="S11" s="315"/>
      <c r="T11" s="316"/>
      <c r="Y11" s="324" t="s">
        <v>123</v>
      </c>
      <c r="Z11" s="325"/>
      <c r="AB11" s="324" t="s">
        <v>124</v>
      </c>
      <c r="AC11" s="325"/>
    </row>
    <row r="12" spans="1:30">
      <c r="A12" s="312"/>
      <c r="B12" s="321" t="s">
        <v>107</v>
      </c>
      <c r="C12" s="317"/>
      <c r="D12" s="317" t="s">
        <v>101</v>
      </c>
      <c r="E12" s="318"/>
      <c r="F12" s="321" t="s">
        <v>111</v>
      </c>
      <c r="G12" s="317"/>
      <c r="H12" s="317" t="s">
        <v>105</v>
      </c>
      <c r="I12" s="318"/>
      <c r="J12" s="322" t="s">
        <v>117</v>
      </c>
      <c r="K12" s="323"/>
      <c r="L12" s="317" t="s">
        <v>218</v>
      </c>
      <c r="M12" s="318"/>
      <c r="N12" s="321" t="s">
        <v>219</v>
      </c>
      <c r="O12" s="317"/>
      <c r="P12" s="321" t="s">
        <v>125</v>
      </c>
      <c r="Q12" s="318"/>
      <c r="R12" s="80" t="s">
        <v>126</v>
      </c>
      <c r="S12" s="77"/>
      <c r="T12" s="78" t="s">
        <v>113</v>
      </c>
      <c r="Y12" s="80"/>
      <c r="Z12" s="78"/>
      <c r="AB12" s="80"/>
      <c r="AC12" s="78"/>
    </row>
    <row r="13" spans="1:30" ht="13.8" thickBot="1">
      <c r="A13" s="313"/>
      <c r="B13" s="91" t="s">
        <v>127</v>
      </c>
      <c r="C13" s="92" t="s">
        <v>128</v>
      </c>
      <c r="D13" s="92" t="s">
        <v>127</v>
      </c>
      <c r="E13" s="93" t="s">
        <v>128</v>
      </c>
      <c r="F13" s="91" t="s">
        <v>127</v>
      </c>
      <c r="G13" s="92" t="s">
        <v>128</v>
      </c>
      <c r="H13" s="92" t="s">
        <v>127</v>
      </c>
      <c r="I13" s="93" t="s">
        <v>128</v>
      </c>
      <c r="J13" s="91" t="s">
        <v>127</v>
      </c>
      <c r="K13" s="92" t="s">
        <v>128</v>
      </c>
      <c r="L13" s="92" t="s">
        <v>127</v>
      </c>
      <c r="M13" s="93" t="s">
        <v>128</v>
      </c>
      <c r="N13" s="91" t="s">
        <v>127</v>
      </c>
      <c r="O13" s="92" t="s">
        <v>128</v>
      </c>
      <c r="P13" s="91" t="s">
        <v>127</v>
      </c>
      <c r="Q13" s="93" t="s">
        <v>128</v>
      </c>
      <c r="R13" s="94" t="s">
        <v>126</v>
      </c>
      <c r="S13" s="95" t="s">
        <v>129</v>
      </c>
      <c r="T13" s="96" t="s">
        <v>113</v>
      </c>
      <c r="W13" s="97" t="s">
        <v>130</v>
      </c>
      <c r="Y13" s="98" t="s">
        <v>131</v>
      </c>
      <c r="Z13" s="99" t="s">
        <v>132</v>
      </c>
      <c r="AB13" s="98" t="s">
        <v>131</v>
      </c>
      <c r="AC13" s="99" t="s">
        <v>132</v>
      </c>
    </row>
    <row r="14" spans="1:30">
      <c r="A14" s="100">
        <v>1</v>
      </c>
      <c r="B14" s="101">
        <f t="shared" ref="B14:B77" ca="1" si="0">SQRT(1+(A14/Pole1)^2)</f>
        <v>1.0013139946999017</v>
      </c>
      <c r="C14" s="102">
        <f t="shared" ref="C14:C77" ca="1" si="1">ATAN(A14/Pole1)</f>
        <v>5.1235875965527332E-2</v>
      </c>
      <c r="D14" s="102">
        <f t="shared" ref="D14:D77" si="2">SQRT(1+(A14/Zero1)^2)</f>
        <v>1.000000000436039</v>
      </c>
      <c r="E14" s="103">
        <f t="shared" ref="E14:E77" si="3">ATAN(A14/Zero1)</f>
        <v>2.9530970901415563E-5</v>
      </c>
      <c r="F14" s="101">
        <f t="shared" ref="F14:F77" si="4">SQRT(1+(A14/Pole2)^2)</f>
        <v>1.0568021809471411</v>
      </c>
      <c r="G14" s="104">
        <f t="shared" ref="G14:G77" si="5">ATAN(A14/Pole2)</f>
        <v>0.32935583023018655</v>
      </c>
      <c r="H14" s="102">
        <f t="shared" ref="H14:H77" si="6">SQRT(1+(A14/Zero2)^2)</f>
        <v>1.0009123248446157</v>
      </c>
      <c r="I14" s="103">
        <f t="shared" ref="I14:I77" si="7">ATAN(A14/Zero2)</f>
        <v>4.2699690170440723E-2</v>
      </c>
      <c r="J14" s="101">
        <f t="shared" ref="J14:J77" si="8">SQRT(1+(A14/pole4)^2)</f>
        <v>1.0000005053236165</v>
      </c>
      <c r="K14" s="104">
        <f t="shared" ref="K14:K77" si="9">ATAN(A14/pole4)</f>
        <v>1.0053093093289817E-3</v>
      </c>
      <c r="L14" s="102">
        <f t="shared" ref="L14:L77" si="10">SQRT(1+(A14/Zerofeed)^2)</f>
        <v>1</v>
      </c>
      <c r="M14" s="103">
        <f t="shared" ref="M14:M77" si="11">ATAN(A14/Zerofeed)</f>
        <v>3.2986722825000002E-14</v>
      </c>
      <c r="N14" s="101">
        <f t="shared" ref="N14:N77" si="12">SQRT(1+(A14/Polefeed)^2)</f>
        <v>1</v>
      </c>
      <c r="O14" s="104">
        <f t="shared" ref="O14:O77" si="13">ATAN(A14/Polefeed)</f>
        <v>5.2778756520000003E-15</v>
      </c>
      <c r="P14" s="105">
        <f t="shared" ref="P14:P77" ca="1" si="14">SQRT((1-(W14/pterm2))^2+(A14/pterm1)^2)</f>
        <v>1.000000001552293</v>
      </c>
      <c r="Q14" s="106">
        <f t="shared" ref="Q14:Q77" ca="1" si="15">IF((ATAN((A14/pterm1)/(1-A14^2/pterm2))&gt;0),ATAN((A14/pterm1)/(1-A14^2/pterm2)),PI()+ATAN((A14/pterm1)/(1-A14^2/pterm2)))</f>
        <v>5.7485530820819371E-5</v>
      </c>
      <c r="R14" s="107">
        <f t="shared" ref="R14:R77" ca="1" si="16">20*LOG10(((D14*H14*L14)/(B14*F14*P14*J14*N14))*Adc)</f>
        <v>71.712786229689797</v>
      </c>
      <c r="S14" s="108">
        <f t="shared" ref="S14:S77" ca="1" si="17">((E14+I14+M14)-(C14+G14+Q14+K14+O14))*radconv</f>
        <v>-19.418988130434055</v>
      </c>
      <c r="T14" s="109">
        <f t="shared" ref="T14:T77" ca="1" si="18">IF(S14&gt;0,S14,S14+180)</f>
        <v>160.58101186956594</v>
      </c>
      <c r="V14" s="72">
        <f t="shared" ref="V14:V77" ca="1" si="19">IF(R14&lt;0,A14,1000000000)</f>
        <v>1000000000</v>
      </c>
      <c r="W14" s="72">
        <f t="shared" ref="W14:W77" si="20">A14^2</f>
        <v>1</v>
      </c>
      <c r="Y14" s="110">
        <f t="shared" ref="Y14:Y77" si="21">20*LOG10(((H14*L14)/(F14*J14*N14))*Aea)</f>
        <v>63.610441986834331</v>
      </c>
      <c r="Z14" s="111">
        <f t="shared" ref="Z14:Z77" si="22">(I14+M14-(G14+K14+O14))*radconv</f>
        <v>-16.481786996295803</v>
      </c>
      <c r="AA14" s="72">
        <f t="shared" ref="AA14:AA77" si="23">IF(Z14&gt;0,Z14,Z14+180)</f>
        <v>163.5182130037042</v>
      </c>
      <c r="AB14" s="110">
        <f t="shared" ref="AB14:AB77" ca="1" si="24">20*LOG10((D14/(B14*P14))*Acs*Am)</f>
        <v>24.019944589736973</v>
      </c>
      <c r="AC14" s="111">
        <f t="shared" ref="AC14:AC77" ca="1" si="25">(E14-(C14+Q14))*radconv</f>
        <v>-2.9372011341382569</v>
      </c>
      <c r="AD14" s="72">
        <f t="shared" ref="AD14:AD77" ca="1" si="26">IF(AC14&gt;0,AC14,AC14+180)</f>
        <v>177.06279886586174</v>
      </c>
    </row>
    <row r="15" spans="1:30">
      <c r="A15" s="112">
        <v>1.0965</v>
      </c>
      <c r="B15" s="101">
        <f t="shared" ca="1" si="0"/>
        <v>1.0015796222662625</v>
      </c>
      <c r="C15" s="102">
        <f t="shared" ca="1" si="1"/>
        <v>5.6170200756150188E-2</v>
      </c>
      <c r="D15" s="102">
        <f t="shared" si="2"/>
        <v>1.0000000005242551</v>
      </c>
      <c r="E15" s="103">
        <f t="shared" si="3"/>
        <v>3.2380709591497836E-5</v>
      </c>
      <c r="F15" s="101">
        <f t="shared" si="4"/>
        <v>1.0679265713136248</v>
      </c>
      <c r="G15" s="104">
        <f t="shared" si="5"/>
        <v>0.35858610067329599</v>
      </c>
      <c r="H15" s="113">
        <f t="shared" si="6"/>
        <v>1.0010967982177541</v>
      </c>
      <c r="I15" s="114">
        <f t="shared" si="7"/>
        <v>4.6814456809091E-2</v>
      </c>
      <c r="J15" s="101">
        <f t="shared" si="8"/>
        <v>1.0000006075567434</v>
      </c>
      <c r="K15" s="104">
        <f t="shared" si="9"/>
        <v>1.1023215825500686E-3</v>
      </c>
      <c r="L15" s="102">
        <f t="shared" si="10"/>
        <v>1</v>
      </c>
      <c r="M15" s="103">
        <f t="shared" si="11"/>
        <v>3.6169941577612503E-14</v>
      </c>
      <c r="N15" s="101">
        <f t="shared" si="12"/>
        <v>1</v>
      </c>
      <c r="O15" s="104">
        <f t="shared" si="13"/>
        <v>5.7871906524180006E-15</v>
      </c>
      <c r="P15" s="105">
        <f t="shared" ca="1" si="14"/>
        <v>1.0000000018663409</v>
      </c>
      <c r="Q15" s="106">
        <f t="shared" ca="1" si="15"/>
        <v>6.3032884532256619E-5</v>
      </c>
      <c r="R15" s="107">
        <f t="shared" ca="1" si="16"/>
        <v>71.621128337622366</v>
      </c>
      <c r="S15" s="108">
        <f t="shared" ca="1" si="17"/>
        <v>-21.146429441769545</v>
      </c>
      <c r="T15" s="78">
        <f t="shared" ca="1" si="18"/>
        <v>158.85357055823044</v>
      </c>
      <c r="V15" s="72">
        <f t="shared" ca="1" si="19"/>
        <v>1000000000</v>
      </c>
      <c r="W15" s="72">
        <f t="shared" si="20"/>
        <v>1.2023122500000001</v>
      </c>
      <c r="Y15" s="110">
        <f t="shared" si="21"/>
        <v>63.521087975197297</v>
      </c>
      <c r="Z15" s="111">
        <f t="shared" si="22"/>
        <v>-17.926357760103123</v>
      </c>
      <c r="AA15" s="72">
        <f t="shared" si="23"/>
        <v>162.07364223989688</v>
      </c>
      <c r="AB15" s="110">
        <f t="shared" ca="1" si="24"/>
        <v>24.017640709306573</v>
      </c>
      <c r="AC15" s="111">
        <f t="shared" ca="1" si="25"/>
        <v>-3.2200716816664214</v>
      </c>
      <c r="AD15" s="72">
        <f t="shared" ca="1" si="26"/>
        <v>176.77992831833359</v>
      </c>
    </row>
    <row r="16" spans="1:30">
      <c r="A16" s="112">
        <v>1.2022999999999999</v>
      </c>
      <c r="B16" s="101">
        <f t="shared" ca="1" si="0"/>
        <v>1.001898857648474</v>
      </c>
      <c r="C16" s="102">
        <f t="shared" ca="1" si="1"/>
        <v>6.1576907882483933E-2</v>
      </c>
      <c r="D16" s="102">
        <f t="shared" si="2"/>
        <v>1.0000000006303056</v>
      </c>
      <c r="E16" s="103">
        <f t="shared" si="3"/>
        <v>3.5505086310173635E-5</v>
      </c>
      <c r="F16" s="101">
        <f t="shared" si="4"/>
        <v>1.0811484393125492</v>
      </c>
      <c r="G16" s="104">
        <f t="shared" si="5"/>
        <v>0.3899123752958415</v>
      </c>
      <c r="H16" s="113">
        <f t="shared" si="6"/>
        <v>1.0013185209686335</v>
      </c>
      <c r="I16" s="114">
        <f t="shared" si="7"/>
        <v>5.1323948578651878E-2</v>
      </c>
      <c r="J16" s="101">
        <f t="shared" si="8"/>
        <v>1.0000007304579852</v>
      </c>
      <c r="K16" s="104">
        <f t="shared" si="9"/>
        <v>1.2086832011955506E-3</v>
      </c>
      <c r="L16" s="102">
        <f t="shared" si="10"/>
        <v>1</v>
      </c>
      <c r="M16" s="103">
        <f t="shared" si="11"/>
        <v>3.9659936852497504E-14</v>
      </c>
      <c r="N16" s="101">
        <f t="shared" si="12"/>
        <v>1</v>
      </c>
      <c r="O16" s="104">
        <f t="shared" si="13"/>
        <v>6.3455898963996E-15</v>
      </c>
      <c r="P16" s="105">
        <f t="shared" ca="1" si="14"/>
        <v>1.0000000022438789</v>
      </c>
      <c r="Q16" s="106">
        <f t="shared" ca="1" si="15"/>
        <v>6.9114853675031628E-5</v>
      </c>
      <c r="R16" s="107">
        <f t="shared" ca="1" si="16"/>
        <v>71.513404108942666</v>
      </c>
      <c r="S16" s="108">
        <f t="shared" ca="1" si="17"/>
        <v>-22.998962950297233</v>
      </c>
      <c r="T16" s="78">
        <f t="shared" ca="1" si="18"/>
        <v>157.00103704970277</v>
      </c>
      <c r="V16" s="72">
        <f t="shared" ca="1" si="19"/>
        <v>1000000000</v>
      </c>
      <c r="W16" s="72">
        <f t="shared" si="20"/>
        <v>1.4455252899999997</v>
      </c>
      <c r="Y16" s="110">
        <f t="shared" si="21"/>
        <v>63.416131777930893</v>
      </c>
      <c r="Z16" s="111">
        <f t="shared" si="22"/>
        <v>-19.468940311310991</v>
      </c>
      <c r="AA16" s="72">
        <f t="shared" si="23"/>
        <v>160.531059688689</v>
      </c>
      <c r="AB16" s="110">
        <f t="shared" ca="1" si="24"/>
        <v>24.01487267789328</v>
      </c>
      <c r="AC16" s="111">
        <f t="shared" ca="1" si="25"/>
        <v>-3.5300226389862419</v>
      </c>
      <c r="AD16" s="72">
        <f t="shared" ca="1" si="26"/>
        <v>176.46997736101375</v>
      </c>
    </row>
    <row r="17" spans="1:30">
      <c r="A17" s="112">
        <v>1.3183</v>
      </c>
      <c r="B17" s="101">
        <f t="shared" ca="1" si="0"/>
        <v>1.002282506363037</v>
      </c>
      <c r="C17" s="102">
        <f t="shared" ca="1" si="1"/>
        <v>6.7500715152051444E-2</v>
      </c>
      <c r="D17" s="102">
        <f t="shared" si="2"/>
        <v>1.0000000007577989</v>
      </c>
      <c r="E17" s="103">
        <f t="shared" si="3"/>
        <v>3.8930678930985252E-5</v>
      </c>
      <c r="F17" s="101">
        <f t="shared" si="4"/>
        <v>1.0968327462408021</v>
      </c>
      <c r="G17" s="104">
        <f t="shared" si="5"/>
        <v>0.42335435478306466</v>
      </c>
      <c r="H17" s="113">
        <f t="shared" si="6"/>
        <v>1.0015850100686203</v>
      </c>
      <c r="I17" s="114">
        <f t="shared" si="7"/>
        <v>5.6265786209704953E-2</v>
      </c>
      <c r="J17" s="101">
        <f t="shared" si="8"/>
        <v>1.0000008782092737</v>
      </c>
      <c r="K17" s="104">
        <f t="shared" si="9"/>
        <v>1.3252989330318806E-3</v>
      </c>
      <c r="L17" s="102">
        <f t="shared" si="10"/>
        <v>1</v>
      </c>
      <c r="M17" s="103">
        <f t="shared" si="11"/>
        <v>4.3486396700197507E-14</v>
      </c>
      <c r="N17" s="101">
        <f t="shared" si="12"/>
        <v>1</v>
      </c>
      <c r="O17" s="104">
        <f t="shared" si="13"/>
        <v>6.9578234720316001E-15</v>
      </c>
      <c r="P17" s="105">
        <f t="shared" ca="1" si="14"/>
        <v>1.0000000026977531</v>
      </c>
      <c r="Q17" s="106">
        <f t="shared" ca="1" si="15"/>
        <v>7.5783175225079159E-5</v>
      </c>
      <c r="R17" s="107">
        <f t="shared" ca="1" si="16"/>
        <v>71.387287139491789</v>
      </c>
      <c r="S17" s="108">
        <f t="shared" ca="1" si="17"/>
        <v>-24.978177335577254</v>
      </c>
      <c r="T17" s="78">
        <f t="shared" ca="1" si="18"/>
        <v>155.02182266442276</v>
      </c>
      <c r="V17" s="72">
        <f t="shared" ca="1" si="19"/>
        <v>1000000000</v>
      </c>
      <c r="W17" s="72">
        <f t="shared" si="20"/>
        <v>1.7379148900000001</v>
      </c>
      <c r="Y17" s="110">
        <f t="shared" si="21"/>
        <v>63.293340189441885</v>
      </c>
      <c r="Z17" s="111">
        <f t="shared" si="22"/>
        <v>-21.10855974632609</v>
      </c>
      <c r="AA17" s="72">
        <f t="shared" si="23"/>
        <v>158.89144025367392</v>
      </c>
      <c r="AB17" s="110">
        <f t="shared" ca="1" si="24"/>
        <v>24.011547296931397</v>
      </c>
      <c r="AC17" s="111">
        <f t="shared" ca="1" si="25"/>
        <v>-3.8696175892511699</v>
      </c>
      <c r="AD17" s="72">
        <f t="shared" ca="1" si="26"/>
        <v>176.13038241074884</v>
      </c>
    </row>
    <row r="18" spans="1:30">
      <c r="A18" s="112">
        <v>1.4454</v>
      </c>
      <c r="B18" s="101">
        <f t="shared" ca="1" si="0"/>
        <v>1.0027432139314052</v>
      </c>
      <c r="C18" s="102">
        <f t="shared" ca="1" si="1"/>
        <v>7.3985911594255646E-2</v>
      </c>
      <c r="D18" s="102">
        <f t="shared" si="2"/>
        <v>1.0000000009109646</v>
      </c>
      <c r="E18" s="103">
        <f t="shared" si="3"/>
        <v>4.2684065327391547E-5</v>
      </c>
      <c r="F18" s="101">
        <f t="shared" si="4"/>
        <v>1.1153837052804982</v>
      </c>
      <c r="G18" s="104">
        <f t="shared" si="5"/>
        <v>0.45887255343688532</v>
      </c>
      <c r="H18" s="113">
        <f t="shared" si="6"/>
        <v>1.001905066688622</v>
      </c>
      <c r="I18" s="114">
        <f t="shared" si="7"/>
        <v>6.1677341023706041E-2</v>
      </c>
      <c r="J18" s="101">
        <f t="shared" si="8"/>
        <v>1.0000010557122887</v>
      </c>
      <c r="K18" s="104">
        <f t="shared" si="9"/>
        <v>1.4530735425341726E-3</v>
      </c>
      <c r="L18" s="102">
        <f t="shared" si="10"/>
        <v>1</v>
      </c>
      <c r="M18" s="103">
        <f t="shared" si="11"/>
        <v>4.7679009171255007E-14</v>
      </c>
      <c r="N18" s="101">
        <f t="shared" si="12"/>
        <v>1</v>
      </c>
      <c r="O18" s="104">
        <f t="shared" si="13"/>
        <v>7.6286414674008009E-15</v>
      </c>
      <c r="P18" s="105">
        <f t="shared" ca="1" si="14"/>
        <v>1.0000000032430214</v>
      </c>
      <c r="Q18" s="106">
        <f t="shared" ca="1" si="15"/>
        <v>8.3089586157774367E-5</v>
      </c>
      <c r="R18" s="107">
        <f t="shared" ca="1" si="16"/>
        <v>71.240391351177266</v>
      </c>
      <c r="S18" s="108">
        <f t="shared" ca="1" si="17"/>
        <v>-27.082259869921934</v>
      </c>
      <c r="T18" s="78">
        <f t="shared" ca="1" si="18"/>
        <v>152.91774013007807</v>
      </c>
      <c r="V18" s="72">
        <f t="shared" ca="1" si="19"/>
        <v>1000000000</v>
      </c>
      <c r="W18" s="72">
        <f t="shared" si="20"/>
        <v>2.0891811599999999</v>
      </c>
      <c r="Y18" s="110">
        <f t="shared" si="21"/>
        <v>63.150436029303016</v>
      </c>
      <c r="Z18" s="111">
        <f t="shared" si="22"/>
        <v>-22.840864321483945</v>
      </c>
      <c r="AA18" s="72">
        <f t="shared" si="23"/>
        <v>157.15913567851607</v>
      </c>
      <c r="AB18" s="110">
        <f t="shared" ca="1" si="24"/>
        <v>24.007555668755757</v>
      </c>
      <c r="AC18" s="111">
        <f t="shared" ca="1" si="25"/>
        <v>-4.2413955484379811</v>
      </c>
      <c r="AD18" s="72">
        <f t="shared" ca="1" si="26"/>
        <v>175.75860445156201</v>
      </c>
    </row>
    <row r="19" spans="1:30">
      <c r="A19" s="112">
        <v>1.5849</v>
      </c>
      <c r="B19" s="101">
        <f t="shared" ca="1" si="0"/>
        <v>1.0032973660081526</v>
      </c>
      <c r="C19" s="102">
        <f t="shared" ca="1" si="1"/>
        <v>8.1096620279945603E-2</v>
      </c>
      <c r="D19" s="102">
        <f t="shared" si="2"/>
        <v>1.0000000010952901</v>
      </c>
      <c r="E19" s="103">
        <f t="shared" si="3"/>
        <v>4.6803635761083297E-5</v>
      </c>
      <c r="F19" s="101">
        <f t="shared" si="4"/>
        <v>1.137307498903696</v>
      </c>
      <c r="G19" s="104">
        <f t="shared" si="5"/>
        <v>0.49646954515415903</v>
      </c>
      <c r="H19" s="113">
        <f t="shared" si="6"/>
        <v>1.0022900991842896</v>
      </c>
      <c r="I19" s="114">
        <f t="shared" si="7"/>
        <v>6.7612679968140035E-2</v>
      </c>
      <c r="J19" s="101">
        <f t="shared" si="8"/>
        <v>1.000001269325955</v>
      </c>
      <c r="K19" s="104">
        <f t="shared" si="9"/>
        <v>1.5933139128254544E-3</v>
      </c>
      <c r="L19" s="102">
        <f t="shared" si="10"/>
        <v>1</v>
      </c>
      <c r="M19" s="103">
        <f t="shared" si="11"/>
        <v>5.2280657005342501E-14</v>
      </c>
      <c r="N19" s="101">
        <f t="shared" si="12"/>
        <v>1</v>
      </c>
      <c r="O19" s="104">
        <f t="shared" si="13"/>
        <v>8.3649051208548008E-15</v>
      </c>
      <c r="P19" s="105">
        <f t="shared" ca="1" si="14"/>
        <v>1.0000000038992174</v>
      </c>
      <c r="Q19" s="106">
        <f t="shared" ca="1" si="15"/>
        <v>9.1108817659957885E-5</v>
      </c>
      <c r="R19" s="107">
        <f t="shared" ca="1" si="16"/>
        <v>71.069855888216367</v>
      </c>
      <c r="S19" s="108">
        <f t="shared" ca="1" si="17"/>
        <v>-29.312011161254816</v>
      </c>
      <c r="T19" s="78">
        <f t="shared" ca="1" si="18"/>
        <v>150.68798883874518</v>
      </c>
      <c r="V19" s="72">
        <f t="shared" ca="1" si="19"/>
        <v>1000000000</v>
      </c>
      <c r="W19" s="72">
        <f t="shared" si="20"/>
        <v>2.51190801</v>
      </c>
      <c r="Y19" s="110">
        <f t="shared" si="21"/>
        <v>62.984699380546473</v>
      </c>
      <c r="Z19" s="111">
        <f t="shared" si="22"/>
        <v>-24.662978581193233</v>
      </c>
      <c r="AA19" s="72">
        <f t="shared" si="23"/>
        <v>155.33702141880676</v>
      </c>
      <c r="AB19" s="110">
        <f t="shared" ca="1" si="24"/>
        <v>24.002756854551404</v>
      </c>
      <c r="AC19" s="111">
        <f t="shared" ca="1" si="25"/>
        <v>-4.6490325800615828</v>
      </c>
      <c r="AD19" s="72">
        <f t="shared" ca="1" si="26"/>
        <v>175.35096741993843</v>
      </c>
    </row>
    <row r="20" spans="1:30">
      <c r="A20" s="112">
        <v>1.7378</v>
      </c>
      <c r="B20" s="101">
        <f t="shared" ca="1" si="0"/>
        <v>1.0039629513727051</v>
      </c>
      <c r="C20" s="102">
        <f t="shared" ca="1" si="1"/>
        <v>8.8880909001076314E-2</v>
      </c>
      <c r="D20" s="102">
        <f t="shared" si="2"/>
        <v>1.0000000013168158</v>
      </c>
      <c r="E20" s="103">
        <f t="shared" si="3"/>
        <v>5.131892120234629E-5</v>
      </c>
      <c r="F20" s="101">
        <f t="shared" si="4"/>
        <v>1.1631092764184823</v>
      </c>
      <c r="G20" s="104">
        <f t="shared" si="5"/>
        <v>0.5359880838838067</v>
      </c>
      <c r="H20" s="113">
        <f t="shared" si="6"/>
        <v>1.0027526426424502</v>
      </c>
      <c r="I20" s="114">
        <f t="shared" si="7"/>
        <v>7.4112660690282536E-2</v>
      </c>
      <c r="J20" s="101">
        <f t="shared" si="8"/>
        <v>1.0000015260506907</v>
      </c>
      <c r="K20" s="104">
        <f t="shared" si="9"/>
        <v>1.7470253289283506E-3</v>
      </c>
      <c r="L20" s="102">
        <f t="shared" si="10"/>
        <v>1</v>
      </c>
      <c r="M20" s="103">
        <f t="shared" si="11"/>
        <v>5.7324326925285001E-14</v>
      </c>
      <c r="N20" s="101">
        <f t="shared" si="12"/>
        <v>1</v>
      </c>
      <c r="O20" s="104">
        <f t="shared" si="13"/>
        <v>9.1718923080456007E-15</v>
      </c>
      <c r="P20" s="105">
        <f t="shared" ca="1" si="14"/>
        <v>1.0000000046878459</v>
      </c>
      <c r="Q20" s="106">
        <f t="shared" ca="1" si="15"/>
        <v>9.9898355258321863E-5</v>
      </c>
      <c r="R20" s="107">
        <f t="shared" ca="1" si="16"/>
        <v>70.87324852466628</v>
      </c>
      <c r="S20" s="108">
        <f t="shared" ca="1" si="17"/>
        <v>-31.658893985621145</v>
      </c>
      <c r="T20" s="78">
        <f t="shared" ca="1" si="18"/>
        <v>148.34110601437885</v>
      </c>
      <c r="V20" s="72">
        <f t="shared" ca="1" si="19"/>
        <v>1000000000</v>
      </c>
      <c r="W20" s="72">
        <f t="shared" si="20"/>
        <v>3.0199488400000001</v>
      </c>
      <c r="Y20" s="110">
        <f t="shared" si="21"/>
        <v>62.79385231238679</v>
      </c>
      <c r="Z20" s="111">
        <f t="shared" si="22"/>
        <v>-26.563609618208389</v>
      </c>
      <c r="AA20" s="72">
        <f t="shared" si="23"/>
        <v>153.43639038179163</v>
      </c>
      <c r="AB20" s="110">
        <f t="shared" ca="1" si="24"/>
        <v>23.996996559161001</v>
      </c>
      <c r="AC20" s="111">
        <f t="shared" ca="1" si="25"/>
        <v>-5.0952843674127548</v>
      </c>
      <c r="AD20" s="72">
        <f t="shared" ca="1" si="26"/>
        <v>174.90471563258725</v>
      </c>
    </row>
    <row r="21" spans="1:30">
      <c r="A21" s="112">
        <v>1.9055</v>
      </c>
      <c r="B21" s="101">
        <f t="shared" ca="1" si="0"/>
        <v>1.004762815448252</v>
      </c>
      <c r="C21" s="102">
        <f t="shared" ca="1" si="1"/>
        <v>9.7406245023989965E-2</v>
      </c>
      <c r="D21" s="102">
        <f t="shared" si="2"/>
        <v>1.0000000015832275</v>
      </c>
      <c r="E21" s="103">
        <f t="shared" si="3"/>
        <v>5.6271265009611522E-5</v>
      </c>
      <c r="F21" s="101">
        <f t="shared" si="4"/>
        <v>1.1934004634422646</v>
      </c>
      <c r="G21" s="104">
        <f t="shared" si="5"/>
        <v>0.57729555636407481</v>
      </c>
      <c r="H21" s="113">
        <f t="shared" si="6"/>
        <v>1.0033086254530572</v>
      </c>
      <c r="I21" s="114">
        <f t="shared" si="7"/>
        <v>8.1234581715048729E-2</v>
      </c>
      <c r="J21" s="101">
        <f t="shared" si="8"/>
        <v>1.0000018347935855</v>
      </c>
      <c r="K21" s="104">
        <f t="shared" si="9"/>
        <v>1.9156151910918334E-3</v>
      </c>
      <c r="L21" s="102">
        <f t="shared" si="10"/>
        <v>1</v>
      </c>
      <c r="M21" s="103">
        <f t="shared" si="11"/>
        <v>6.2856200343037502E-14</v>
      </c>
      <c r="N21" s="101">
        <f t="shared" si="12"/>
        <v>1</v>
      </c>
      <c r="O21" s="104">
        <f t="shared" si="13"/>
        <v>1.0056992054886E-14</v>
      </c>
      <c r="P21" s="105">
        <f t="shared" ca="1" si="14"/>
        <v>1.0000000056362681</v>
      </c>
      <c r="Q21" s="106">
        <f t="shared" ca="1" si="15"/>
        <v>1.0953867869044211E-4</v>
      </c>
      <c r="R21" s="107">
        <f t="shared" ca="1" si="16"/>
        <v>70.647829445519619</v>
      </c>
      <c r="S21" s="108">
        <f t="shared" ca="1" si="17"/>
        <v>-34.115975669217484</v>
      </c>
      <c r="T21" s="78">
        <f t="shared" ca="1" si="18"/>
        <v>145.88402433078252</v>
      </c>
      <c r="V21" s="72">
        <f t="shared" ca="1" si="19"/>
        <v>1000000000</v>
      </c>
      <c r="W21" s="72">
        <f t="shared" si="20"/>
        <v>3.63093025</v>
      </c>
      <c r="Y21" s="110">
        <f t="shared" si="21"/>
        <v>62.575350591017191</v>
      </c>
      <c r="Z21" s="111">
        <f t="shared" si="22"/>
        <v>-28.53195692675552</v>
      </c>
      <c r="AA21" s="72">
        <f t="shared" si="23"/>
        <v>151.46804307324447</v>
      </c>
      <c r="AB21" s="110">
        <f t="shared" ca="1" si="24"/>
        <v>23.990079201383928</v>
      </c>
      <c r="AC21" s="111">
        <f t="shared" ca="1" si="25"/>
        <v>-5.5840187424619616</v>
      </c>
      <c r="AD21" s="72">
        <f t="shared" ca="1" si="26"/>
        <v>174.41598125753805</v>
      </c>
    </row>
    <row r="22" spans="1:30">
      <c r="A22" s="112">
        <v>2.0893000000000002</v>
      </c>
      <c r="B22" s="101">
        <f t="shared" ca="1" si="0"/>
        <v>1.0057232070107687</v>
      </c>
      <c r="C22" s="102">
        <f t="shared" ca="1" si="1"/>
        <v>0.10673372234132504</v>
      </c>
      <c r="D22" s="102">
        <f t="shared" si="2"/>
        <v>1.0000000019033868</v>
      </c>
      <c r="E22" s="103">
        <f t="shared" si="3"/>
        <v>6.1699057443971556E-5</v>
      </c>
      <c r="F22" s="101">
        <f t="shared" si="4"/>
        <v>1.2288153012383241</v>
      </c>
      <c r="G22" s="104">
        <f t="shared" si="5"/>
        <v>0.62014886843417083</v>
      </c>
      <c r="H22" s="113">
        <f t="shared" si="6"/>
        <v>1.0039763680342331</v>
      </c>
      <c r="I22" s="114">
        <f t="shared" si="7"/>
        <v>8.9030740050332194E-2</v>
      </c>
      <c r="J22" s="101">
        <f t="shared" si="8"/>
        <v>1.0000022058238844</v>
      </c>
      <c r="K22" s="104">
        <f t="shared" si="9"/>
        <v>2.1003903588391469E-3</v>
      </c>
      <c r="L22" s="102">
        <f t="shared" si="10"/>
        <v>1</v>
      </c>
      <c r="M22" s="103">
        <f t="shared" si="11"/>
        <v>6.8919159998272506E-14</v>
      </c>
      <c r="N22" s="101">
        <f t="shared" si="12"/>
        <v>1</v>
      </c>
      <c r="O22" s="104">
        <f t="shared" si="13"/>
        <v>1.1027065599723602E-14</v>
      </c>
      <c r="P22" s="105">
        <f t="shared" ca="1" si="14"/>
        <v>1.0000000067760302</v>
      </c>
      <c r="Q22" s="106">
        <f t="shared" ca="1" si="15"/>
        <v>1.2010451913914739E-4</v>
      </c>
      <c r="R22" s="107">
        <f t="shared" ca="1" si="16"/>
        <v>70.391298589134536</v>
      </c>
      <c r="S22" s="108">
        <f t="shared" ca="1" si="17"/>
        <v>-36.669908932405733</v>
      </c>
      <c r="T22" s="78">
        <f t="shared" ca="1" si="18"/>
        <v>143.33009106759425</v>
      </c>
      <c r="V22" s="72">
        <f t="shared" ca="1" si="19"/>
        <v>1000000000</v>
      </c>
      <c r="W22" s="72">
        <f t="shared" si="20"/>
        <v>4.3651744900000002</v>
      </c>
      <c r="Y22" s="110">
        <f t="shared" si="21"/>
        <v>62.3271180891782</v>
      </c>
      <c r="Z22" s="111">
        <f t="shared" si="22"/>
        <v>-30.551170717079298</v>
      </c>
      <c r="AA22" s="72">
        <f t="shared" si="23"/>
        <v>149.44882928292071</v>
      </c>
      <c r="AB22" s="110">
        <f t="shared" ca="1" si="24"/>
        <v>23.981780846837843</v>
      </c>
      <c r="AC22" s="111">
        <f t="shared" ca="1" si="25"/>
        <v>-6.1187382153264327</v>
      </c>
      <c r="AD22" s="72">
        <f t="shared" ca="1" si="26"/>
        <v>173.88126178467357</v>
      </c>
    </row>
    <row r="23" spans="1:30">
      <c r="A23" s="112">
        <v>2.2909000000000002</v>
      </c>
      <c r="B23" s="101">
        <f t="shared" ca="1" si="0"/>
        <v>1.0068770209910927</v>
      </c>
      <c r="C23" s="102">
        <f t="shared" ca="1" si="1"/>
        <v>0.11694306062072313</v>
      </c>
      <c r="D23" s="102">
        <f t="shared" si="2"/>
        <v>1.0000000022884303</v>
      </c>
      <c r="E23" s="103">
        <f t="shared" si="3"/>
        <v>6.7652501154506967E-5</v>
      </c>
      <c r="F23" s="101">
        <f t="shared" si="4"/>
        <v>1.2701001260015408</v>
      </c>
      <c r="G23" s="104">
        <f t="shared" si="5"/>
        <v>0.66431465050421279</v>
      </c>
      <c r="H23" s="113">
        <f t="shared" si="6"/>
        <v>1.0047788495023819</v>
      </c>
      <c r="I23" s="114">
        <f t="shared" si="7"/>
        <v>9.7569417547290663E-2</v>
      </c>
      <c r="J23" s="101">
        <f t="shared" si="8"/>
        <v>1.000002652048084</v>
      </c>
      <c r="K23" s="104">
        <f t="shared" si="9"/>
        <v>2.303059800720006E-3</v>
      </c>
      <c r="L23" s="102">
        <f t="shared" si="10"/>
        <v>1</v>
      </c>
      <c r="M23" s="103">
        <f t="shared" si="11"/>
        <v>7.5569283319792507E-14</v>
      </c>
      <c r="N23" s="101">
        <f t="shared" si="12"/>
        <v>1</v>
      </c>
      <c r="O23" s="104">
        <f t="shared" si="13"/>
        <v>1.2091085331166802E-14</v>
      </c>
      <c r="P23" s="105">
        <f t="shared" ca="1" si="14"/>
        <v>1.0000000081467801</v>
      </c>
      <c r="Q23" s="106">
        <f t="shared" ca="1" si="15"/>
        <v>1.3169360199709605E-4</v>
      </c>
      <c r="R23" s="107">
        <f t="shared" ca="1" si="16"/>
        <v>70.101248461429819</v>
      </c>
      <c r="S23" s="108">
        <f t="shared" ca="1" si="17"/>
        <v>-39.308078660753793</v>
      </c>
      <c r="T23" s="78">
        <f t="shared" ca="1" si="18"/>
        <v>140.69192133924622</v>
      </c>
      <c r="V23" s="72">
        <f t="shared" ca="1" si="19"/>
        <v>1000000000</v>
      </c>
      <c r="W23" s="72">
        <f t="shared" si="20"/>
        <v>5.2482228100000006</v>
      </c>
      <c r="Y23" s="110">
        <f t="shared" si="21"/>
        <v>62.04702712819735</v>
      </c>
      <c r="Z23" s="111">
        <f t="shared" si="22"/>
        <v>-32.604065551389716</v>
      </c>
      <c r="AA23" s="72">
        <f t="shared" si="23"/>
        <v>147.39593444861029</v>
      </c>
      <c r="AB23" s="110">
        <f t="shared" ca="1" si="24"/>
        <v>23.971821680113969</v>
      </c>
      <c r="AC23" s="111">
        <f t="shared" ca="1" si="25"/>
        <v>-6.7040131093640758</v>
      </c>
      <c r="AD23" s="72">
        <f t="shared" ca="1" si="26"/>
        <v>173.29598689063593</v>
      </c>
    </row>
    <row r="24" spans="1:30">
      <c r="A24" s="112">
        <v>2.5118999999999998</v>
      </c>
      <c r="B24" s="101">
        <f t="shared" ca="1" si="0"/>
        <v>1.0082621511202927</v>
      </c>
      <c r="C24" s="102">
        <f t="shared" ca="1" si="1"/>
        <v>0.12810670062535615</v>
      </c>
      <c r="D24" s="102">
        <f t="shared" si="2"/>
        <v>1.0000000027512506</v>
      </c>
      <c r="E24" s="103">
        <f t="shared" si="3"/>
        <v>7.41788456927726E-5</v>
      </c>
      <c r="F24" s="101">
        <f t="shared" si="4"/>
        <v>1.3180139567973213</v>
      </c>
      <c r="G24" s="104">
        <f t="shared" si="5"/>
        <v>0.70945454816907438</v>
      </c>
      <c r="H24" s="113">
        <f t="shared" si="6"/>
        <v>1.0057425800614357</v>
      </c>
      <c r="I24" s="114">
        <f t="shared" si="7"/>
        <v>0.10691335778442206</v>
      </c>
      <c r="J24" s="101">
        <f t="shared" si="8"/>
        <v>1.0000031884066398</v>
      </c>
      <c r="K24" s="104">
        <f t="shared" si="9"/>
        <v>2.5252319371675863E-3</v>
      </c>
      <c r="L24" s="102">
        <f t="shared" si="10"/>
        <v>1</v>
      </c>
      <c r="M24" s="103">
        <f t="shared" si="11"/>
        <v>8.2859349064117501E-14</v>
      </c>
      <c r="N24" s="101">
        <f t="shared" si="12"/>
        <v>1</v>
      </c>
      <c r="O24" s="104">
        <f t="shared" si="13"/>
        <v>1.32574958502588E-14</v>
      </c>
      <c r="P24" s="105">
        <f t="shared" ca="1" si="14"/>
        <v>1.0000000097944133</v>
      </c>
      <c r="Q24" s="106">
        <f t="shared" ca="1" si="15"/>
        <v>1.4439790410094295E-4</v>
      </c>
      <c r="R24" s="107">
        <f t="shared" ca="1" si="16"/>
        <v>69.775989140305882</v>
      </c>
      <c r="S24" s="108">
        <f t="shared" ca="1" si="17"/>
        <v>-42.011748900988998</v>
      </c>
      <c r="T24" s="78">
        <f t="shared" ca="1" si="18"/>
        <v>137.98825109901099</v>
      </c>
      <c r="V24" s="72">
        <f t="shared" ca="1" si="19"/>
        <v>1000000000</v>
      </c>
      <c r="W24" s="72">
        <f t="shared" si="20"/>
        <v>6.309641609999999</v>
      </c>
      <c r="Y24" s="110">
        <f t="shared" si="21"/>
        <v>61.73370852051584</v>
      </c>
      <c r="Z24" s="111">
        <f t="shared" si="22"/>
        <v>-34.66775236373023</v>
      </c>
      <c r="AA24" s="72">
        <f t="shared" si="23"/>
        <v>145.33224763626976</v>
      </c>
      <c r="AB24" s="110">
        <f t="shared" ca="1" si="24"/>
        <v>23.959880966671534</v>
      </c>
      <c r="AC24" s="111">
        <f t="shared" ca="1" si="25"/>
        <v>-7.3439965372587608</v>
      </c>
      <c r="AD24" s="72">
        <f t="shared" ca="1" si="26"/>
        <v>172.65600346274124</v>
      </c>
    </row>
    <row r="25" spans="1:30">
      <c r="A25" s="112">
        <v>2.7542</v>
      </c>
      <c r="B25" s="101">
        <f t="shared" ca="1" si="0"/>
        <v>1.0099247595441456</v>
      </c>
      <c r="C25" s="102">
        <f t="shared" ca="1" si="1"/>
        <v>0.1403094061503003</v>
      </c>
      <c r="D25" s="102">
        <f t="shared" si="2"/>
        <v>1.000000003307626</v>
      </c>
      <c r="E25" s="103">
        <f t="shared" si="3"/>
        <v>8.1334199900973247E-5</v>
      </c>
      <c r="F25" s="101">
        <f t="shared" si="4"/>
        <v>1.3734024006227665</v>
      </c>
      <c r="G25" s="104">
        <f t="shared" si="5"/>
        <v>0.75522297700284846</v>
      </c>
      <c r="H25" s="113">
        <f t="shared" si="6"/>
        <v>1.0068999000182781</v>
      </c>
      <c r="I25" s="114">
        <f t="shared" si="7"/>
        <v>0.11713631691068239</v>
      </c>
      <c r="J25" s="101">
        <f t="shared" si="8"/>
        <v>1.0000038331853611</v>
      </c>
      <c r="K25" s="104">
        <f t="shared" si="9"/>
        <v>2.7688167569305971E-3</v>
      </c>
      <c r="L25" s="102">
        <f t="shared" si="10"/>
        <v>1</v>
      </c>
      <c r="M25" s="103">
        <f t="shared" si="11"/>
        <v>9.0852032004615012E-14</v>
      </c>
      <c r="N25" s="101">
        <f t="shared" si="12"/>
        <v>1</v>
      </c>
      <c r="O25" s="104">
        <f t="shared" si="13"/>
        <v>1.4536325120738402E-14</v>
      </c>
      <c r="P25" s="105">
        <f t="shared" ca="1" si="14"/>
        <v>1.000000011775102</v>
      </c>
      <c r="Q25" s="106">
        <f t="shared" ca="1" si="15"/>
        <v>1.5832664794242796E-4</v>
      </c>
      <c r="R25" s="107">
        <f t="shared" ca="1" si="16"/>
        <v>69.414105777849159</v>
      </c>
      <c r="S25" s="108">
        <f t="shared" ca="1" si="17"/>
        <v>-44.761862293166871</v>
      </c>
      <c r="T25" s="78">
        <f t="shared" ca="1" si="18"/>
        <v>135.23813770683313</v>
      </c>
      <c r="V25" s="72">
        <f t="shared" ca="1" si="19"/>
        <v>1000000000</v>
      </c>
      <c r="W25" s="72">
        <f t="shared" si="20"/>
        <v>7.5856176399999997</v>
      </c>
      <c r="Y25" s="110">
        <f t="shared" si="21"/>
        <v>61.386136269636999</v>
      </c>
      <c r="Z25" s="111">
        <f t="shared" si="22"/>
        <v>-36.718314143249493</v>
      </c>
      <c r="AA25" s="72">
        <f t="shared" si="23"/>
        <v>143.2816858567505</v>
      </c>
      <c r="AB25" s="110">
        <f t="shared" ca="1" si="24"/>
        <v>23.945569855093652</v>
      </c>
      <c r="AC25" s="111">
        <f t="shared" ca="1" si="25"/>
        <v>-8.0435481499173722</v>
      </c>
      <c r="AD25" s="72">
        <f t="shared" ca="1" si="26"/>
        <v>171.95645185008263</v>
      </c>
    </row>
    <row r="26" spans="1:30">
      <c r="A26" s="112">
        <v>3.02</v>
      </c>
      <c r="B26" s="101">
        <f t="shared" ca="1" si="0"/>
        <v>1.0119209759863128</v>
      </c>
      <c r="C26" s="102">
        <f t="shared" ca="1" si="1"/>
        <v>0.15364728162048802</v>
      </c>
      <c r="D26" s="102">
        <f t="shared" si="2"/>
        <v>1.0000000039768511</v>
      </c>
      <c r="E26" s="103">
        <f t="shared" si="3"/>
        <v>8.9183531911753578E-5</v>
      </c>
      <c r="F26" s="101">
        <f t="shared" si="4"/>
        <v>1.4372000839097256</v>
      </c>
      <c r="G26" s="104">
        <f t="shared" si="5"/>
        <v>0.80126688449117023</v>
      </c>
      <c r="H26" s="113">
        <f t="shared" si="6"/>
        <v>1.008290199430995</v>
      </c>
      <c r="I26" s="114">
        <f t="shared" si="7"/>
        <v>0.12832247546595599</v>
      </c>
      <c r="J26" s="101">
        <f t="shared" si="8"/>
        <v>1.0000046087440562</v>
      </c>
      <c r="K26" s="104">
        <f t="shared" si="9"/>
        <v>3.0360258087841659E-3</v>
      </c>
      <c r="L26" s="102">
        <f t="shared" si="10"/>
        <v>1</v>
      </c>
      <c r="M26" s="103">
        <f t="shared" si="11"/>
        <v>9.9619902931500009E-14</v>
      </c>
      <c r="N26" s="101">
        <f t="shared" si="12"/>
        <v>1</v>
      </c>
      <c r="O26" s="104">
        <f t="shared" si="13"/>
        <v>1.593918446904E-14</v>
      </c>
      <c r="P26" s="105">
        <f t="shared" ca="1" si="14"/>
        <v>1.0000000141575343</v>
      </c>
      <c r="Q26" s="106">
        <f t="shared" ca="1" si="15"/>
        <v>1.7360630166696675E-4</v>
      </c>
      <c r="R26" s="107">
        <f t="shared" ca="1" si="16"/>
        <v>69.014543778238618</v>
      </c>
      <c r="S26" s="108">
        <f t="shared" ca="1" si="17"/>
        <v>-47.539003842636447</v>
      </c>
      <c r="T26" s="78">
        <f t="shared" ca="1" si="18"/>
        <v>132.46099615736355</v>
      </c>
      <c r="V26" s="72">
        <f t="shared" ca="1" si="19"/>
        <v>1000000000</v>
      </c>
      <c r="W26" s="72">
        <f t="shared" si="20"/>
        <v>9.1204000000000001</v>
      </c>
      <c r="Y26" s="110">
        <f t="shared" si="21"/>
        <v>61.003725861844742</v>
      </c>
      <c r="Z26" s="111">
        <f t="shared" si="22"/>
        <v>-38.730825993657916</v>
      </c>
      <c r="AA26" s="72">
        <f t="shared" si="23"/>
        <v>141.2691740063421</v>
      </c>
      <c r="AB26" s="110">
        <f t="shared" ca="1" si="24"/>
        <v>23.928418263275383</v>
      </c>
      <c r="AC26" s="111">
        <f t="shared" ca="1" si="25"/>
        <v>-8.8081778489785361</v>
      </c>
      <c r="AD26" s="72">
        <f t="shared" ca="1" si="26"/>
        <v>171.19182215102146</v>
      </c>
    </row>
    <row r="27" spans="1:30">
      <c r="A27" s="112">
        <v>3.3113000000000001</v>
      </c>
      <c r="B27" s="101">
        <f t="shared" ca="1" si="0"/>
        <v>1.0143145799252713</v>
      </c>
      <c r="C27" s="102">
        <f t="shared" ca="1" si="1"/>
        <v>0.16820156992605212</v>
      </c>
      <c r="D27" s="102">
        <f t="shared" si="2"/>
        <v>1.0000000047810416</v>
      </c>
      <c r="E27" s="103">
        <f t="shared" si="3"/>
        <v>9.7785903662604028E-5</v>
      </c>
      <c r="F27" s="101">
        <f t="shared" si="4"/>
        <v>1.5103033190844142</v>
      </c>
      <c r="G27" s="104">
        <f t="shared" si="5"/>
        <v>0.84715394755957463</v>
      </c>
      <c r="H27" s="113">
        <f t="shared" si="6"/>
        <v>1.0099583539962598</v>
      </c>
      <c r="I27" s="114">
        <f t="shared" si="7"/>
        <v>0.14054472274998472</v>
      </c>
      <c r="J27" s="101">
        <f t="shared" si="8"/>
        <v>1.000005540711794</v>
      </c>
      <c r="K27" s="104">
        <f t="shared" si="9"/>
        <v>3.3288695412201858E-3</v>
      </c>
      <c r="L27" s="102">
        <f t="shared" si="10"/>
        <v>1</v>
      </c>
      <c r="M27" s="103">
        <f t="shared" si="11"/>
        <v>1.0922893529042251E-13</v>
      </c>
      <c r="N27" s="101">
        <f t="shared" si="12"/>
        <v>1</v>
      </c>
      <c r="O27" s="104">
        <f t="shared" si="13"/>
        <v>1.7476629646467602E-14</v>
      </c>
      <c r="P27" s="105">
        <f t="shared" ca="1" si="14"/>
        <v>1.0000000170204402</v>
      </c>
      <c r="Q27" s="106">
        <f t="shared" ca="1" si="15"/>
        <v>1.9035183630727908E-4</v>
      </c>
      <c r="R27" s="107">
        <f t="shared" ca="1" si="16"/>
        <v>68.577433812438485</v>
      </c>
      <c r="S27" s="108">
        <f t="shared" ca="1" si="17"/>
        <v>-50.319000280859051</v>
      </c>
      <c r="T27" s="78">
        <f t="shared" ca="1" si="18"/>
        <v>129.68099971914094</v>
      </c>
      <c r="V27" s="72">
        <f t="shared" ca="1" si="19"/>
        <v>1000000000</v>
      </c>
      <c r="W27" s="72">
        <f t="shared" si="20"/>
        <v>10.964707690000001</v>
      </c>
      <c r="Y27" s="110">
        <f t="shared" si="21"/>
        <v>60.587137308155555</v>
      </c>
      <c r="Z27" s="111">
        <f t="shared" si="22"/>
        <v>-40.676456568336214</v>
      </c>
      <c r="AA27" s="72">
        <f t="shared" si="23"/>
        <v>139.32354343166378</v>
      </c>
      <c r="AB27" s="110">
        <f t="shared" ca="1" si="24"/>
        <v>23.907896851164438</v>
      </c>
      <c r="AC27" s="111">
        <f t="shared" ca="1" si="25"/>
        <v>-9.6425437125228246</v>
      </c>
      <c r="AD27" s="72">
        <f t="shared" ca="1" si="26"/>
        <v>170.35745628747716</v>
      </c>
    </row>
    <row r="28" spans="1:30">
      <c r="A28" s="112">
        <v>3.6307999999999998</v>
      </c>
      <c r="B28" s="101">
        <f t="shared" ca="1" si="0"/>
        <v>1.0171857153907582</v>
      </c>
      <c r="C28" s="102">
        <f t="shared" ca="1" si="1"/>
        <v>0.18408230568085346</v>
      </c>
      <c r="D28" s="102">
        <f t="shared" si="2"/>
        <v>1.0000000057481766</v>
      </c>
      <c r="E28" s="103">
        <f t="shared" si="3"/>
        <v>1.072210487691443E-4</v>
      </c>
      <c r="F28" s="101">
        <f t="shared" si="4"/>
        <v>1.5937838784354301</v>
      </c>
      <c r="G28" s="104">
        <f t="shared" si="5"/>
        <v>0.89253819330685824</v>
      </c>
      <c r="H28" s="113">
        <f t="shared" si="6"/>
        <v>1.0119608676596075</v>
      </c>
      <c r="I28" s="114">
        <f t="shared" si="7"/>
        <v>0.15390161344682196</v>
      </c>
      <c r="J28" s="101">
        <f t="shared" si="8"/>
        <v>1.0000066615135006</v>
      </c>
      <c r="K28" s="104">
        <f t="shared" si="9"/>
        <v>3.650062060003539E-3</v>
      </c>
      <c r="L28" s="102">
        <f t="shared" si="10"/>
        <v>1</v>
      </c>
      <c r="M28" s="103">
        <f t="shared" si="11"/>
        <v>1.1976819323301002E-13</v>
      </c>
      <c r="N28" s="101">
        <f t="shared" si="12"/>
        <v>1</v>
      </c>
      <c r="O28" s="104">
        <f t="shared" si="13"/>
        <v>1.9162910917281601E-14</v>
      </c>
      <c r="P28" s="105">
        <f t="shared" ca="1" si="14"/>
        <v>1.0000000204634278</v>
      </c>
      <c r="Q28" s="106">
        <f t="shared" ca="1" si="15"/>
        <v>2.0871846275758756E-4</v>
      </c>
      <c r="R28" s="107">
        <f t="shared" ca="1" si="16"/>
        <v>68.102772370024979</v>
      </c>
      <c r="S28" s="108">
        <f t="shared" ca="1" si="17"/>
        <v>-53.082846403610141</v>
      </c>
      <c r="T28" s="78">
        <f t="shared" ca="1" si="18"/>
        <v>126.91715359638985</v>
      </c>
      <c r="V28" s="72">
        <f t="shared" ca="1" si="19"/>
        <v>1000000000</v>
      </c>
      <c r="W28" s="72">
        <f t="shared" si="20"/>
        <v>13.182708639999998</v>
      </c>
      <c r="Y28" s="110">
        <f t="shared" si="21"/>
        <v>60.137027576903165</v>
      </c>
      <c r="Z28" s="111">
        <f t="shared" si="22"/>
        <v>-42.52989181954861</v>
      </c>
      <c r="AA28" s="72">
        <f t="shared" si="23"/>
        <v>137.4701081804514</v>
      </c>
      <c r="AB28" s="110">
        <f t="shared" ca="1" si="24"/>
        <v>23.883345140003328</v>
      </c>
      <c r="AC28" s="111">
        <f t="shared" ca="1" si="25"/>
        <v>-10.552954584061538</v>
      </c>
      <c r="AD28" s="72">
        <f t="shared" ca="1" si="26"/>
        <v>169.44704541593848</v>
      </c>
    </row>
    <row r="29" spans="1:30">
      <c r="A29" s="112">
        <v>3.9811000000000001</v>
      </c>
      <c r="B29" s="101">
        <f t="shared" ca="1" si="0"/>
        <v>1.020626661426393</v>
      </c>
      <c r="C29" s="102">
        <f t="shared" ca="1" si="1"/>
        <v>0.20138640791718929</v>
      </c>
      <c r="D29" s="102">
        <f t="shared" si="2"/>
        <v>1.0000000069108526</v>
      </c>
      <c r="E29" s="103">
        <f t="shared" si="3"/>
        <v>1.1756574774814798E-4</v>
      </c>
      <c r="F29" s="101">
        <f t="shared" si="4"/>
        <v>1.6886889894690986</v>
      </c>
      <c r="G29" s="104">
        <f t="shared" si="5"/>
        <v>0.937040565712287</v>
      </c>
      <c r="H29" s="113">
        <f t="shared" si="6"/>
        <v>1.0143630275260351</v>
      </c>
      <c r="I29" s="114">
        <f t="shared" si="7"/>
        <v>0.16848260897949452</v>
      </c>
      <c r="J29" s="101">
        <f t="shared" si="8"/>
        <v>1.000008008923392</v>
      </c>
      <c r="K29" s="104">
        <f t="shared" si="9"/>
        <v>4.0022168706929607E-3</v>
      </c>
      <c r="L29" s="102">
        <f t="shared" si="10"/>
        <v>1</v>
      </c>
      <c r="M29" s="103">
        <f t="shared" si="11"/>
        <v>1.3132344223860752E-13</v>
      </c>
      <c r="N29" s="101">
        <f t="shared" si="12"/>
        <v>1</v>
      </c>
      <c r="O29" s="104">
        <f t="shared" si="13"/>
        <v>2.1011750758177202E-14</v>
      </c>
      <c r="P29" s="105">
        <f t="shared" ca="1" si="14"/>
        <v>1.0000000246025376</v>
      </c>
      <c r="Q29" s="106">
        <f t="shared" ca="1" si="15"/>
        <v>2.2885564334725544E-4</v>
      </c>
      <c r="R29" s="107">
        <f t="shared" ca="1" si="16"/>
        <v>67.591616518329857</v>
      </c>
      <c r="S29" s="108">
        <f t="shared" ca="1" si="17"/>
        <v>-55.809405097414341</v>
      </c>
      <c r="T29" s="78">
        <f t="shared" ca="1" si="18"/>
        <v>124.19059490258566</v>
      </c>
      <c r="V29" s="72">
        <f t="shared" ca="1" si="19"/>
        <v>1000000000</v>
      </c>
      <c r="W29" s="72">
        <f t="shared" si="20"/>
        <v>15.849157210000001</v>
      </c>
      <c r="Y29" s="110">
        <f t="shared" si="21"/>
        <v>59.655204879332629</v>
      </c>
      <c r="Z29" s="111">
        <f t="shared" si="22"/>
        <v>-44.264437417947072</v>
      </c>
      <c r="AA29" s="72">
        <f t="shared" si="23"/>
        <v>135.73556258205292</v>
      </c>
      <c r="AB29" s="110">
        <f t="shared" ca="1" si="24"/>
        <v>23.854011985878735</v>
      </c>
      <c r="AC29" s="111">
        <f t="shared" ca="1" si="25"/>
        <v>-11.544967679467263</v>
      </c>
      <c r="AD29" s="72">
        <f t="shared" ca="1" si="26"/>
        <v>168.45503232053272</v>
      </c>
    </row>
    <row r="30" spans="1:30">
      <c r="A30" s="112">
        <v>4.3651999999999997</v>
      </c>
      <c r="B30" s="101">
        <f t="shared" ca="1" si="0"/>
        <v>1.0247483407539881</v>
      </c>
      <c r="C30" s="102">
        <f t="shared" ca="1" si="1"/>
        <v>0.22022030846053475</v>
      </c>
      <c r="D30" s="102">
        <f t="shared" si="2"/>
        <v>1.0000000083087128</v>
      </c>
      <c r="E30" s="103">
        <f t="shared" si="3"/>
        <v>1.2890859350228901E-4</v>
      </c>
      <c r="F30" s="101">
        <f t="shared" si="4"/>
        <v>1.7961649302744003</v>
      </c>
      <c r="G30" s="104">
        <f t="shared" si="5"/>
        <v>0.98033807283099916</v>
      </c>
      <c r="H30" s="113">
        <f t="shared" si="6"/>
        <v>1.0172435829911546</v>
      </c>
      <c r="I30" s="114">
        <f t="shared" si="7"/>
        <v>0.18438758534875449</v>
      </c>
      <c r="J30" s="101">
        <f t="shared" si="8"/>
        <v>1.0000096288829536</v>
      </c>
      <c r="K30" s="104">
        <f t="shared" si="9"/>
        <v>4.3883495055228091E-3</v>
      </c>
      <c r="L30" s="102">
        <f t="shared" si="10"/>
        <v>1</v>
      </c>
      <c r="M30" s="103">
        <f t="shared" si="11"/>
        <v>1.4399364247569001E-13</v>
      </c>
      <c r="N30" s="101">
        <f t="shared" si="12"/>
        <v>1</v>
      </c>
      <c r="O30" s="104">
        <f t="shared" si="13"/>
        <v>2.30389827961104E-14</v>
      </c>
      <c r="P30" s="105">
        <f t="shared" ca="1" si="14"/>
        <v>1.0000000295789002</v>
      </c>
      <c r="Q30" s="106">
        <f t="shared" ca="1" si="15"/>
        <v>2.5093583460147531E-4</v>
      </c>
      <c r="R30" s="107">
        <f t="shared" ca="1" si="16"/>
        <v>67.04529625658995</v>
      </c>
      <c r="S30" s="108">
        <f t="shared" ca="1" si="17"/>
        <v>-58.480723490383276</v>
      </c>
      <c r="T30" s="78">
        <f t="shared" ca="1" si="18"/>
        <v>121.51927650961673</v>
      </c>
      <c r="V30" s="72">
        <f t="shared" ca="1" si="19"/>
        <v>1000000000</v>
      </c>
      <c r="W30" s="72">
        <f t="shared" si="20"/>
        <v>19.054971039999998</v>
      </c>
      <c r="Y30" s="110">
        <f t="shared" si="21"/>
        <v>59.143890943543781</v>
      </c>
      <c r="Z30" s="111">
        <f t="shared" si="22"/>
        <v>-45.856037592199087</v>
      </c>
      <c r="AA30" s="72">
        <f t="shared" si="23"/>
        <v>134.14396240780093</v>
      </c>
      <c r="AB30" s="110">
        <f t="shared" ca="1" si="24"/>
        <v>23.819005659927672</v>
      </c>
      <c r="AC30" s="111">
        <f t="shared" ca="1" si="25"/>
        <v>-12.624685898184191</v>
      </c>
      <c r="AD30" s="72">
        <f t="shared" ca="1" si="26"/>
        <v>167.3753141018158</v>
      </c>
    </row>
    <row r="31" spans="1:30">
      <c r="A31" s="112">
        <v>4.7862999999999998</v>
      </c>
      <c r="B31" s="101">
        <f t="shared" ca="1" si="0"/>
        <v>1.029681159169116</v>
      </c>
      <c r="C31" s="102">
        <f t="shared" ca="1" si="1"/>
        <v>0.24068711078398308</v>
      </c>
      <c r="D31" s="102">
        <f t="shared" si="2"/>
        <v>1.0000000099890753</v>
      </c>
      <c r="E31" s="103">
        <f t="shared" si="3"/>
        <v>1.4134408512526852E-4</v>
      </c>
      <c r="F31" s="101">
        <f t="shared" si="4"/>
        <v>1.9174042637582605</v>
      </c>
      <c r="G31" s="104">
        <f t="shared" si="5"/>
        <v>1.0221433027249338</v>
      </c>
      <c r="H31" s="113">
        <f t="shared" si="6"/>
        <v>1.0206955281102927</v>
      </c>
      <c r="I31" s="114">
        <f t="shared" si="7"/>
        <v>0.20171662866891207</v>
      </c>
      <c r="J31" s="101">
        <f t="shared" si="8"/>
        <v>1.0000115762267268</v>
      </c>
      <c r="K31" s="104">
        <f t="shared" si="9"/>
        <v>4.8116764341985035E-3</v>
      </c>
      <c r="L31" s="102">
        <f t="shared" si="10"/>
        <v>1</v>
      </c>
      <c r="M31" s="103">
        <f t="shared" si="11"/>
        <v>1.578843514572975E-13</v>
      </c>
      <c r="N31" s="101">
        <f t="shared" si="12"/>
        <v>1</v>
      </c>
      <c r="O31" s="104">
        <f t="shared" si="13"/>
        <v>2.52614962331676E-14</v>
      </c>
      <c r="P31" s="105">
        <f t="shared" ca="1" si="14"/>
        <v>1.0000000355609668</v>
      </c>
      <c r="Q31" s="106">
        <f t="shared" ca="1" si="15"/>
        <v>2.7514299013045617E-4</v>
      </c>
      <c r="R31" s="107">
        <f t="shared" ca="1" si="16"/>
        <v>66.465643996234604</v>
      </c>
      <c r="S31" s="108">
        <f t="shared" ca="1" si="17"/>
        <v>-61.080696388894879</v>
      </c>
      <c r="T31" s="78">
        <f t="shared" ca="1" si="18"/>
        <v>118.91930361110512</v>
      </c>
      <c r="V31" s="72">
        <f t="shared" ca="1" si="19"/>
        <v>1000000000</v>
      </c>
      <c r="W31" s="72">
        <f t="shared" si="20"/>
        <v>22.908667689999998</v>
      </c>
      <c r="Y31" s="110">
        <f t="shared" si="21"/>
        <v>58.605949568938911</v>
      </c>
      <c r="Z31" s="111">
        <f t="shared" si="22"/>
        <v>-47.282674629448152</v>
      </c>
      <c r="AA31" s="72">
        <f t="shared" si="23"/>
        <v>132.71732537055186</v>
      </c>
      <c r="AB31" s="110">
        <f t="shared" ca="1" si="24"/>
        <v>23.777294774177197</v>
      </c>
      <c r="AC31" s="111">
        <f t="shared" ca="1" si="25"/>
        <v>-13.798021759446721</v>
      </c>
      <c r="AD31" s="72">
        <f t="shared" ca="1" si="26"/>
        <v>166.20197824055327</v>
      </c>
    </row>
    <row r="32" spans="1:30">
      <c r="A32" s="112">
        <v>5.2481</v>
      </c>
      <c r="B32" s="101">
        <f t="shared" ca="1" si="0"/>
        <v>1.0355815242702351</v>
      </c>
      <c r="C32" s="102">
        <f t="shared" ca="1" si="1"/>
        <v>0.26289754242127444</v>
      </c>
      <c r="D32" s="102">
        <f t="shared" si="2"/>
        <v>1.0000000120096308</v>
      </c>
      <c r="E32" s="103">
        <f t="shared" si="3"/>
        <v>1.5498148719192404E-4</v>
      </c>
      <c r="F32" s="101">
        <f t="shared" si="4"/>
        <v>2.053733171547512</v>
      </c>
      <c r="G32" s="104">
        <f t="shared" si="5"/>
        <v>1.0622384080831964</v>
      </c>
      <c r="H32" s="113">
        <f t="shared" si="6"/>
        <v>1.0248309307203631</v>
      </c>
      <c r="I32" s="114">
        <f t="shared" si="7"/>
        <v>0.22058003103645132</v>
      </c>
      <c r="J32" s="101">
        <f t="shared" si="8"/>
        <v>1.0000139178094618</v>
      </c>
      <c r="K32" s="104">
        <f t="shared" si="9"/>
        <v>5.2759166108900931E-3</v>
      </c>
      <c r="L32" s="102">
        <f t="shared" si="10"/>
        <v>1</v>
      </c>
      <c r="M32" s="103">
        <f t="shared" si="11"/>
        <v>1.7311762005788252E-13</v>
      </c>
      <c r="N32" s="101">
        <f t="shared" si="12"/>
        <v>1</v>
      </c>
      <c r="O32" s="104">
        <f t="shared" si="13"/>
        <v>2.7698819209261201E-14</v>
      </c>
      <c r="P32" s="105">
        <f t="shared" ca="1" si="14"/>
        <v>1.0000000427541158</v>
      </c>
      <c r="Q32" s="106">
        <f t="shared" ca="1" si="15"/>
        <v>3.0168980628088283E-4</v>
      </c>
      <c r="R32" s="107">
        <f t="shared" ca="1" si="16"/>
        <v>65.854506733380305</v>
      </c>
      <c r="S32" s="108">
        <f t="shared" ca="1" si="17"/>
        <v>-63.597086016741713</v>
      </c>
      <c r="T32" s="78">
        <f t="shared" ca="1" si="18"/>
        <v>116.40291398325829</v>
      </c>
      <c r="V32" s="72">
        <f t="shared" ca="1" si="19"/>
        <v>1000000000</v>
      </c>
      <c r="W32" s="72">
        <f t="shared" si="20"/>
        <v>27.542553609999999</v>
      </c>
      <c r="Y32" s="110">
        <f t="shared" si="21"/>
        <v>58.044442899167279</v>
      </c>
      <c r="Z32" s="111">
        <f t="shared" si="22"/>
        <v>-48.525760606916407</v>
      </c>
      <c r="AA32" s="72">
        <f t="shared" si="23"/>
        <v>131.47423939308359</v>
      </c>
      <c r="AB32" s="110">
        <f t="shared" ca="1" si="24"/>
        <v>23.727664181094529</v>
      </c>
      <c r="AC32" s="111">
        <f t="shared" ca="1" si="25"/>
        <v>-15.071325409825302</v>
      </c>
      <c r="AD32" s="72">
        <f t="shared" ca="1" si="26"/>
        <v>164.92867459017469</v>
      </c>
    </row>
    <row r="33" spans="1:30">
      <c r="A33" s="112">
        <v>5.7544000000000004</v>
      </c>
      <c r="B33" s="101">
        <f t="shared" ca="1" si="0"/>
        <v>1.0426303751525385</v>
      </c>
      <c r="C33" s="102">
        <f t="shared" ca="1" si="1"/>
        <v>0.28694612839760791</v>
      </c>
      <c r="D33" s="102">
        <f t="shared" si="2"/>
        <v>1.0000000144386154</v>
      </c>
      <c r="E33" s="103">
        <f t="shared" si="3"/>
        <v>1.6993301736877237E-4</v>
      </c>
      <c r="F33" s="101">
        <f t="shared" si="4"/>
        <v>2.2064981009609106</v>
      </c>
      <c r="G33" s="104">
        <f t="shared" si="5"/>
        <v>1.1004367699400814</v>
      </c>
      <c r="H33" s="113">
        <f t="shared" si="6"/>
        <v>1.0297802698690757</v>
      </c>
      <c r="I33" s="114">
        <f t="shared" si="7"/>
        <v>0.2410789204534324</v>
      </c>
      <c r="J33" s="101">
        <f t="shared" si="8"/>
        <v>1.0000167327054648</v>
      </c>
      <c r="K33" s="104">
        <f t="shared" si="9"/>
        <v>5.7848893072545765E-3</v>
      </c>
      <c r="L33" s="102">
        <f t="shared" si="10"/>
        <v>1</v>
      </c>
      <c r="M33" s="103">
        <f t="shared" si="11"/>
        <v>1.8981879782418004E-13</v>
      </c>
      <c r="N33" s="101">
        <f t="shared" si="12"/>
        <v>1</v>
      </c>
      <c r="O33" s="104">
        <f t="shared" si="13"/>
        <v>3.0371007651868806E-14</v>
      </c>
      <c r="P33" s="105">
        <f t="shared" ca="1" si="14"/>
        <v>1.0000000514012666</v>
      </c>
      <c r="Q33" s="106">
        <f t="shared" ca="1" si="15"/>
        <v>3.3079472791623307E-4</v>
      </c>
      <c r="R33" s="107">
        <f t="shared" ca="1" si="16"/>
        <v>65.21421667880206</v>
      </c>
      <c r="S33" s="108">
        <f t="shared" ca="1" si="17"/>
        <v>-66.019046486609867</v>
      </c>
      <c r="T33" s="78">
        <f t="shared" ca="1" si="18"/>
        <v>113.98095351339013</v>
      </c>
      <c r="V33" s="72">
        <f t="shared" ca="1" si="19"/>
        <v>1000000000</v>
      </c>
      <c r="W33" s="72">
        <f t="shared" si="20"/>
        <v>33.113119360000006</v>
      </c>
      <c r="Y33" s="110">
        <f t="shared" si="21"/>
        <v>57.46307448945484</v>
      </c>
      <c r="Z33" s="111">
        <f t="shared" si="22"/>
        <v>-49.569027665911406</v>
      </c>
      <c r="AA33" s="72">
        <f t="shared" si="23"/>
        <v>130.43097233408861</v>
      </c>
      <c r="AB33" s="110">
        <f t="shared" ca="1" si="24"/>
        <v>23.66874253622872</v>
      </c>
      <c r="AC33" s="111">
        <f t="shared" ca="1" si="25"/>
        <v>-16.450018820698464</v>
      </c>
      <c r="AD33" s="72">
        <f t="shared" ca="1" si="26"/>
        <v>163.54998117930154</v>
      </c>
    </row>
    <row r="34" spans="1:30">
      <c r="A34" s="112">
        <v>6.3095999999999997</v>
      </c>
      <c r="B34" s="101">
        <f t="shared" ca="1" si="0"/>
        <v>1.0510431770961683</v>
      </c>
      <c r="C34" s="102">
        <f t="shared" ca="1" si="1"/>
        <v>0.31292987787476234</v>
      </c>
      <c r="D34" s="102">
        <f t="shared" si="2"/>
        <v>1.0000000173591761</v>
      </c>
      <c r="E34" s="103">
        <f t="shared" si="3"/>
        <v>1.8632861189739523E-4</v>
      </c>
      <c r="F34" s="101">
        <f t="shared" si="4"/>
        <v>2.3772166601927021</v>
      </c>
      <c r="G34" s="104">
        <f t="shared" si="5"/>
        <v>1.1366236124039357</v>
      </c>
      <c r="H34" s="113">
        <f t="shared" si="6"/>
        <v>1.0356999373121554</v>
      </c>
      <c r="I34" s="114">
        <f t="shared" si="7"/>
        <v>0.26332203168284668</v>
      </c>
      <c r="J34" s="101">
        <f t="shared" si="8"/>
        <v>1.0000201172675851</v>
      </c>
      <c r="K34" s="104">
        <f t="shared" si="9"/>
        <v>6.3430166856352031E-3</v>
      </c>
      <c r="L34" s="102">
        <f t="shared" si="10"/>
        <v>1</v>
      </c>
      <c r="M34" s="103">
        <f t="shared" si="11"/>
        <v>2.0813302633662001E-13</v>
      </c>
      <c r="N34" s="101">
        <f t="shared" si="12"/>
        <v>1</v>
      </c>
      <c r="O34" s="104">
        <f t="shared" si="13"/>
        <v>3.3301284213859197E-14</v>
      </c>
      <c r="P34" s="105">
        <f t="shared" ca="1" si="14"/>
        <v>1.0000000617984208</v>
      </c>
      <c r="Q34" s="106">
        <f t="shared" ca="1" si="15"/>
        <v>3.627106911683383E-4</v>
      </c>
      <c r="R34" s="107">
        <f t="shared" ca="1" si="16"/>
        <v>64.546867054028752</v>
      </c>
      <c r="S34" s="108">
        <f t="shared" ca="1" si="17"/>
        <v>-68.339590215461214</v>
      </c>
      <c r="T34" s="78">
        <f t="shared" ca="1" si="18"/>
        <v>111.66040978453879</v>
      </c>
      <c r="V34" s="72">
        <f t="shared" ca="1" si="19"/>
        <v>1000000000</v>
      </c>
      <c r="W34" s="72">
        <f t="shared" si="20"/>
        <v>39.811052159999996</v>
      </c>
      <c r="Y34" s="110">
        <f t="shared" si="21"/>
        <v>56.865528612656263</v>
      </c>
      <c r="Z34" s="111">
        <f t="shared" si="22"/>
        <v>-50.399922960470036</v>
      </c>
      <c r="AA34" s="72">
        <f t="shared" si="23"/>
        <v>129.60007703952996</v>
      </c>
      <c r="AB34" s="110">
        <f t="shared" ca="1" si="24"/>
        <v>23.598938788253996</v>
      </c>
      <c r="AC34" s="111">
        <f t="shared" ca="1" si="25"/>
        <v>-17.939667254991186</v>
      </c>
      <c r="AD34" s="72">
        <f t="shared" ca="1" si="26"/>
        <v>162.06033274500882</v>
      </c>
    </row>
    <row r="35" spans="1:30">
      <c r="A35" s="112">
        <v>6.9183000000000003</v>
      </c>
      <c r="B35" s="101">
        <f t="shared" ca="1" si="0"/>
        <v>1.0610682197845303</v>
      </c>
      <c r="C35" s="102">
        <f t="shared" ca="1" si="1"/>
        <v>0.34092295118013805</v>
      </c>
      <c r="D35" s="102">
        <f t="shared" si="2"/>
        <v>1.0000000208700857</v>
      </c>
      <c r="E35" s="103">
        <f t="shared" si="3"/>
        <v>2.0430411320409011E-4</v>
      </c>
      <c r="F35" s="101">
        <f t="shared" si="4"/>
        <v>2.5674618478785889</v>
      </c>
      <c r="G35" s="104">
        <f t="shared" si="5"/>
        <v>1.1707188288599926</v>
      </c>
      <c r="H35" s="113">
        <f t="shared" si="6"/>
        <v>1.0427716997585699</v>
      </c>
      <c r="I35" s="114">
        <f t="shared" si="7"/>
        <v>0.2874050479057832</v>
      </c>
      <c r="J35" s="101">
        <f t="shared" si="8"/>
        <v>1.0000241859546666</v>
      </c>
      <c r="K35" s="104">
        <f t="shared" si="9"/>
        <v>6.954921596903172E-3</v>
      </c>
      <c r="L35" s="102">
        <f t="shared" si="10"/>
        <v>1</v>
      </c>
      <c r="M35" s="103">
        <f t="shared" si="11"/>
        <v>2.2821204452019755E-13</v>
      </c>
      <c r="N35" s="101">
        <f t="shared" si="12"/>
        <v>1</v>
      </c>
      <c r="O35" s="104">
        <f t="shared" si="13"/>
        <v>3.6513927123231604E-14</v>
      </c>
      <c r="P35" s="105">
        <f t="shared" ca="1" si="14"/>
        <v>1.0000000742972093</v>
      </c>
      <c r="Q35" s="106">
        <f t="shared" ca="1" si="15"/>
        <v>3.9770212921171825E-4</v>
      </c>
      <c r="R35" s="107">
        <f t="shared" ca="1" si="16"/>
        <v>63.854777694173961</v>
      </c>
      <c r="S35" s="108">
        <f t="shared" ca="1" si="17"/>
        <v>-70.553166501224126</v>
      </c>
      <c r="T35" s="78">
        <f t="shared" ca="1" si="18"/>
        <v>109.44683349877587</v>
      </c>
      <c r="V35" s="72">
        <f t="shared" ca="1" si="19"/>
        <v>1000000000</v>
      </c>
      <c r="W35" s="72">
        <f t="shared" si="20"/>
        <v>47.862874890000008</v>
      </c>
      <c r="Y35" s="110">
        <f t="shared" si="21"/>
        <v>56.255894326808928</v>
      </c>
      <c r="Z35" s="111">
        <f t="shared" si="22"/>
        <v>-51.008639347041289</v>
      </c>
      <c r="AA35" s="72">
        <f t="shared" si="23"/>
        <v>128.99136065295872</v>
      </c>
      <c r="AB35" s="110">
        <f t="shared" ca="1" si="24"/>
        <v>23.516483714246547</v>
      </c>
      <c r="AC35" s="111">
        <f t="shared" ca="1" si="25"/>
        <v>-19.544527154182834</v>
      </c>
      <c r="AD35" s="72">
        <f t="shared" ca="1" si="26"/>
        <v>160.45547284581716</v>
      </c>
    </row>
    <row r="36" spans="1:30">
      <c r="A36" s="112">
        <v>7.5857999999999999</v>
      </c>
      <c r="B36" s="101">
        <f t="shared" ca="1" si="0"/>
        <v>1.0729982886619611</v>
      </c>
      <c r="C36" s="102">
        <f t="shared" ca="1" si="1"/>
        <v>0.37099263112698366</v>
      </c>
      <c r="D36" s="102">
        <f t="shared" si="2"/>
        <v>1.0000000250915926</v>
      </c>
      <c r="E36" s="103">
        <f t="shared" si="3"/>
        <v>2.240160353817986E-4</v>
      </c>
      <c r="F36" s="101">
        <f t="shared" si="4"/>
        <v>2.7790208101478324</v>
      </c>
      <c r="G36" s="104">
        <f t="shared" si="5"/>
        <v>1.2027010247933068</v>
      </c>
      <c r="H36" s="113">
        <f t="shared" si="6"/>
        <v>1.0512117759343462</v>
      </c>
      <c r="I36" s="114">
        <f t="shared" si="7"/>
        <v>0.31342518644728118</v>
      </c>
      <c r="J36" s="101">
        <f t="shared" si="8"/>
        <v>1.0000290781095122</v>
      </c>
      <c r="K36" s="104">
        <f t="shared" si="9"/>
        <v>7.6259300961880397E-3</v>
      </c>
      <c r="L36" s="102">
        <f t="shared" si="10"/>
        <v>1</v>
      </c>
      <c r="M36" s="103">
        <f t="shared" si="11"/>
        <v>2.5023068200588503E-13</v>
      </c>
      <c r="N36" s="101">
        <f t="shared" si="12"/>
        <v>1</v>
      </c>
      <c r="O36" s="104">
        <f t="shared" si="13"/>
        <v>4.0036909120941603E-14</v>
      </c>
      <c r="P36" s="105">
        <f t="shared" ca="1" si="14"/>
        <v>1.0000000893257133</v>
      </c>
      <c r="Q36" s="106">
        <f t="shared" ca="1" si="15"/>
        <v>4.3607371500536778E-4</v>
      </c>
      <c r="R36" s="107">
        <f t="shared" ca="1" si="16"/>
        <v>63.139884285107435</v>
      </c>
      <c r="S36" s="108">
        <f t="shared" ca="1" si="17"/>
        <v>-72.657148056655245</v>
      </c>
      <c r="T36" s="78">
        <f t="shared" ca="1" si="18"/>
        <v>107.34285194334475</v>
      </c>
      <c r="V36" s="72">
        <f t="shared" ca="1" si="19"/>
        <v>1000000000</v>
      </c>
      <c r="W36" s="72">
        <f t="shared" si="20"/>
        <v>57.544361639999998</v>
      </c>
      <c r="Y36" s="110">
        <f t="shared" si="21"/>
        <v>55.638115455525821</v>
      </c>
      <c r="Z36" s="111">
        <f t="shared" si="22"/>
        <v>-51.388686028266768</v>
      </c>
      <c r="AA36" s="72">
        <f t="shared" si="23"/>
        <v>128.61131397173324</v>
      </c>
      <c r="AB36" s="110">
        <f t="shared" ca="1" si="24"/>
        <v>23.419369176463121</v>
      </c>
      <c r="AC36" s="111">
        <f t="shared" ca="1" si="25"/>
        <v>-21.268462028388466</v>
      </c>
      <c r="AD36" s="72">
        <f t="shared" ca="1" si="26"/>
        <v>158.73153797161154</v>
      </c>
    </row>
    <row r="37" spans="1:30">
      <c r="A37" s="112">
        <v>8.3176000000000005</v>
      </c>
      <c r="B37" s="101">
        <f t="shared" ca="1" si="0"/>
        <v>1.087166153995538</v>
      </c>
      <c r="C37" s="102">
        <f t="shared" ca="1" si="1"/>
        <v>0.40316824291295356</v>
      </c>
      <c r="D37" s="102">
        <f t="shared" si="2"/>
        <v>1.0000000301662628</v>
      </c>
      <c r="E37" s="103">
        <f t="shared" si="3"/>
        <v>2.4562679870125431E-4</v>
      </c>
      <c r="F37" s="101">
        <f t="shared" si="4"/>
        <v>3.0137429756478586</v>
      </c>
      <c r="G37" s="104">
        <f t="shared" si="5"/>
        <v>1.2325711983575682</v>
      </c>
      <c r="H37" s="113">
        <f t="shared" si="6"/>
        <v>1.0612687477972034</v>
      </c>
      <c r="I37" s="114">
        <f t="shared" si="7"/>
        <v>0.34145514553540784</v>
      </c>
      <c r="J37" s="101">
        <f t="shared" si="8"/>
        <v>1.0000349589335873</v>
      </c>
      <c r="K37" s="104">
        <f t="shared" si="9"/>
        <v>8.3615686540830392E-3</v>
      </c>
      <c r="L37" s="102">
        <f t="shared" si="10"/>
        <v>1</v>
      </c>
      <c r="M37" s="103">
        <f t="shared" si="11"/>
        <v>2.7437036576922006E-13</v>
      </c>
      <c r="N37" s="101">
        <f t="shared" si="12"/>
        <v>1</v>
      </c>
      <c r="O37" s="104">
        <f t="shared" si="13"/>
        <v>4.3899258523075203E-14</v>
      </c>
      <c r="P37" s="105">
        <f t="shared" ca="1" si="14"/>
        <v>1.0000001073914668</v>
      </c>
      <c r="Q37" s="106">
        <f t="shared" ca="1" si="15"/>
        <v>4.7814161850453412E-4</v>
      </c>
      <c r="R37" s="107">
        <f t="shared" ca="1" si="16"/>
        <v>62.404310128735858</v>
      </c>
      <c r="S37" s="108">
        <f t="shared" ca="1" si="17"/>
        <v>-74.649432432807131</v>
      </c>
      <c r="T37" s="78">
        <f t="shared" ca="1" si="18"/>
        <v>105.35056756719287</v>
      </c>
      <c r="V37" s="72">
        <f t="shared" ca="1" si="19"/>
        <v>1000000000</v>
      </c>
      <c r="W37" s="72">
        <f t="shared" si="20"/>
        <v>69.182469760000004</v>
      </c>
      <c r="Y37" s="110">
        <f t="shared" si="21"/>
        <v>55.016479292697795</v>
      </c>
      <c r="Z37" s="111">
        <f t="shared" si="22"/>
        <v>-51.536271535930133</v>
      </c>
      <c r="AA37" s="72">
        <f t="shared" si="23"/>
        <v>128.46372846406987</v>
      </c>
      <c r="AB37" s="110">
        <f t="shared" ca="1" si="24"/>
        <v>23.30543118291957</v>
      </c>
      <c r="AC37" s="111">
        <f t="shared" ca="1" si="25"/>
        <v>-23.113160896877009</v>
      </c>
      <c r="AD37" s="72">
        <f t="shared" ca="1" si="26"/>
        <v>156.88683910312298</v>
      </c>
    </row>
    <row r="38" spans="1:30">
      <c r="A38" s="112">
        <v>9.1201000000000008</v>
      </c>
      <c r="B38" s="101">
        <f t="shared" ca="1" si="0"/>
        <v>1.1039609801035108</v>
      </c>
      <c r="C38" s="102">
        <f t="shared" ca="1" si="1"/>
        <v>0.43746357042124184</v>
      </c>
      <c r="D38" s="102">
        <f t="shared" si="2"/>
        <v>1.000000036268087</v>
      </c>
      <c r="E38" s="103">
        <f t="shared" si="3"/>
        <v>2.693254012843463E-4</v>
      </c>
      <c r="F38" s="101">
        <f t="shared" si="4"/>
        <v>3.2737667788271745</v>
      </c>
      <c r="G38" s="104">
        <f t="shared" si="5"/>
        <v>1.2603763855064047</v>
      </c>
      <c r="H38" s="113">
        <f t="shared" si="6"/>
        <v>1.0732365544970186</v>
      </c>
      <c r="I38" s="114">
        <f t="shared" si="7"/>
        <v>0.37156291659651036</v>
      </c>
      <c r="J38" s="101">
        <f t="shared" si="8"/>
        <v>1.0000420300376816</v>
      </c>
      <c r="K38" s="104">
        <f t="shared" si="9"/>
        <v>9.1682676259955027E-3</v>
      </c>
      <c r="L38" s="102">
        <f t="shared" si="10"/>
        <v>1</v>
      </c>
      <c r="M38" s="103">
        <f t="shared" si="11"/>
        <v>3.0084221083628258E-13</v>
      </c>
      <c r="N38" s="101">
        <f t="shared" si="12"/>
        <v>1</v>
      </c>
      <c r="O38" s="104">
        <f t="shared" si="13"/>
        <v>4.8134753733805206E-14</v>
      </c>
      <c r="P38" s="105">
        <f t="shared" ca="1" si="14"/>
        <v>1.0000001291138729</v>
      </c>
      <c r="Q38" s="106">
        <f t="shared" ca="1" si="15"/>
        <v>5.2427374649025808E-4</v>
      </c>
      <c r="R38" s="107">
        <f t="shared" ca="1" si="16"/>
        <v>61.649663673186417</v>
      </c>
      <c r="S38" s="108">
        <f t="shared" ca="1" si="17"/>
        <v>-76.529987410804281</v>
      </c>
      <c r="T38" s="78">
        <f t="shared" ca="1" si="18"/>
        <v>103.47001258919572</v>
      </c>
      <c r="V38" s="72">
        <f t="shared" ca="1" si="19"/>
        <v>1000000000</v>
      </c>
      <c r="W38" s="72">
        <f t="shared" si="20"/>
        <v>83.176224010000013</v>
      </c>
      <c r="Y38" s="110">
        <f t="shared" si="21"/>
        <v>54.394988973430536</v>
      </c>
      <c r="Z38" s="111">
        <f t="shared" si="22"/>
        <v>-51.450563642111483</v>
      </c>
      <c r="AA38" s="72">
        <f t="shared" si="23"/>
        <v>128.54943635788851</v>
      </c>
      <c r="AB38" s="110">
        <f t="shared" ca="1" si="24"/>
        <v>23.172275046637377</v>
      </c>
      <c r="AC38" s="111">
        <f t="shared" ca="1" si="25"/>
        <v>-25.079423768692799</v>
      </c>
      <c r="AD38" s="72">
        <f t="shared" ca="1" si="26"/>
        <v>154.92057623130719</v>
      </c>
    </row>
    <row r="39" spans="1:30">
      <c r="A39" s="115">
        <v>10</v>
      </c>
      <c r="B39" s="101">
        <f t="shared" ca="1" si="0"/>
        <v>1.1238200915571366</v>
      </c>
      <c r="C39" s="102">
        <f t="shared" ca="1" si="1"/>
        <v>0.47384108426671007</v>
      </c>
      <c r="D39" s="102">
        <f t="shared" si="2"/>
        <v>1.0000000436039111</v>
      </c>
      <c r="E39" s="103">
        <f t="shared" si="3"/>
        <v>2.9530970051556141E-4</v>
      </c>
      <c r="F39" s="101">
        <f t="shared" si="4"/>
        <v>3.561331908916014</v>
      </c>
      <c r="G39" s="104">
        <f t="shared" si="5"/>
        <v>1.2861752192850779</v>
      </c>
      <c r="H39" s="113">
        <f t="shared" si="6"/>
        <v>1.0874503218930809</v>
      </c>
      <c r="I39" s="114">
        <f t="shared" si="7"/>
        <v>0.40378045457315986</v>
      </c>
      <c r="J39" s="101">
        <f t="shared" si="8"/>
        <v>1.0000505310977221</v>
      </c>
      <c r="K39" s="104">
        <f t="shared" si="9"/>
        <v>1.0052757829311559E-2</v>
      </c>
      <c r="L39" s="102">
        <f t="shared" si="10"/>
        <v>1</v>
      </c>
      <c r="M39" s="103">
        <f t="shared" si="11"/>
        <v>3.2986722825000005E-13</v>
      </c>
      <c r="N39" s="101">
        <f t="shared" si="12"/>
        <v>1</v>
      </c>
      <c r="O39" s="104">
        <f t="shared" si="13"/>
        <v>5.277875652E-14</v>
      </c>
      <c r="P39" s="105">
        <f t="shared" ca="1" si="14"/>
        <v>1.000000155229301</v>
      </c>
      <c r="Q39" s="106">
        <f t="shared" ca="1" si="15"/>
        <v>5.7485525121052654E-4</v>
      </c>
      <c r="R39" s="107">
        <f t="shared" ca="1" si="16"/>
        <v>60.877713423245865</v>
      </c>
      <c r="S39" s="108">
        <f t="shared" ca="1" si="17"/>
        <v>-78.298587636593922</v>
      </c>
      <c r="T39" s="78">
        <f t="shared" ca="1" si="18"/>
        <v>101.70141236340608</v>
      </c>
      <c r="V39" s="72">
        <f t="shared" ca="1" si="19"/>
        <v>1000000000</v>
      </c>
      <c r="W39" s="72">
        <f t="shared" si="20"/>
        <v>100</v>
      </c>
      <c r="Y39" s="110">
        <f t="shared" si="21"/>
        <v>53.777900261340299</v>
      </c>
      <c r="Z39" s="111">
        <f t="shared" si="22"/>
        <v>-51.133476536931489</v>
      </c>
      <c r="AA39" s="72">
        <f t="shared" si="23"/>
        <v>128.86652346306852</v>
      </c>
      <c r="AB39" s="110">
        <f t="shared" ca="1" si="24"/>
        <v>23.017413508787065</v>
      </c>
      <c r="AC39" s="111">
        <f t="shared" ca="1" si="25"/>
        <v>-27.165111099662425</v>
      </c>
      <c r="AD39" s="72">
        <f t="shared" ca="1" si="26"/>
        <v>152.83488890033757</v>
      </c>
    </row>
    <row r="40" spans="1:30">
      <c r="A40" s="115">
        <v>10.965</v>
      </c>
      <c r="B40" s="101">
        <f t="shared" ca="1" si="0"/>
        <v>1.1472462568702928</v>
      </c>
      <c r="C40" s="102">
        <f t="shared" ca="1" si="1"/>
        <v>0.51223257578512782</v>
      </c>
      <c r="D40" s="102">
        <f t="shared" si="2"/>
        <v>1.0000000524255164</v>
      </c>
      <c r="E40" s="103">
        <f t="shared" si="3"/>
        <v>3.2380708471098097E-4</v>
      </c>
      <c r="F40" s="101">
        <f t="shared" si="4"/>
        <v>3.8790096895686466</v>
      </c>
      <c r="G40" s="104">
        <f t="shared" si="5"/>
        <v>1.3100541040021179</v>
      </c>
      <c r="H40" s="113">
        <f t="shared" si="6"/>
        <v>1.1043006566075502</v>
      </c>
      <c r="I40" s="114">
        <f t="shared" si="7"/>
        <v>0.43812080308254991</v>
      </c>
      <c r="J40" s="101">
        <f t="shared" si="8"/>
        <v>1.0000607538472694</v>
      </c>
      <c r="K40" s="104">
        <f t="shared" si="9"/>
        <v>1.1022773840611812E-2</v>
      </c>
      <c r="L40" s="102">
        <f t="shared" si="10"/>
        <v>1</v>
      </c>
      <c r="M40" s="103">
        <f t="shared" si="11"/>
        <v>3.6169941577612503E-13</v>
      </c>
      <c r="N40" s="101">
        <f t="shared" si="12"/>
        <v>1</v>
      </c>
      <c r="O40" s="104">
        <f t="shared" si="13"/>
        <v>5.7871906524180005E-14</v>
      </c>
      <c r="P40" s="105">
        <f t="shared" ca="1" si="14"/>
        <v>1.0000001866340873</v>
      </c>
      <c r="Q40" s="106">
        <f t="shared" ca="1" si="15"/>
        <v>6.3032877018052763E-4</v>
      </c>
      <c r="R40" s="107">
        <f t="shared" ca="1" si="16"/>
        <v>60.089817106912548</v>
      </c>
      <c r="S40" s="108">
        <f t="shared" ca="1" si="17"/>
        <v>-79.955983791051068</v>
      </c>
      <c r="T40" s="78">
        <f t="shared" ca="1" si="18"/>
        <v>100.04401620894893</v>
      </c>
      <c r="V40" s="72">
        <f t="shared" ca="1" si="19"/>
        <v>1000000000</v>
      </c>
      <c r="W40" s="72">
        <f t="shared" si="20"/>
        <v>120.23122499999999</v>
      </c>
      <c r="Y40" s="110">
        <f t="shared" si="21"/>
        <v>53.16920128687957</v>
      </c>
      <c r="Z40" s="111">
        <f t="shared" si="22"/>
        <v>-50.589656636985602</v>
      </c>
      <c r="AA40" s="72">
        <f t="shared" si="23"/>
        <v>129.41034336301439</v>
      </c>
      <c r="AB40" s="110">
        <f t="shared" ca="1" si="24"/>
        <v>22.838216166914478</v>
      </c>
      <c r="AC40" s="111">
        <f t="shared" ca="1" si="25"/>
        <v>-29.366327154065473</v>
      </c>
      <c r="AD40" s="72">
        <f t="shared" ca="1" si="26"/>
        <v>150.63367284593454</v>
      </c>
    </row>
    <row r="41" spans="1:30">
      <c r="A41" s="115">
        <v>12.023</v>
      </c>
      <c r="B41" s="101">
        <f t="shared" ca="1" si="0"/>
        <v>1.1747902347788459</v>
      </c>
      <c r="C41" s="102">
        <f t="shared" ca="1" si="1"/>
        <v>0.55249876018013233</v>
      </c>
      <c r="D41" s="102">
        <f t="shared" si="2"/>
        <v>1.0000000630305559</v>
      </c>
      <c r="E41" s="103">
        <f t="shared" si="3"/>
        <v>3.5505084833156183E-4</v>
      </c>
      <c r="F41" s="101">
        <f t="shared" si="4"/>
        <v>4.2294437911853242</v>
      </c>
      <c r="G41" s="104">
        <f t="shared" si="5"/>
        <v>1.332098362139565</v>
      </c>
      <c r="H41" s="113">
        <f t="shared" si="6"/>
        <v>1.1242233067683614</v>
      </c>
      <c r="I41" s="114">
        <f t="shared" si="7"/>
        <v>0.4745400148999212</v>
      </c>
      <c r="J41" s="101">
        <f t="shared" si="8"/>
        <v>1.0000730431575338</v>
      </c>
      <c r="K41" s="104">
        <f t="shared" si="9"/>
        <v>1.2086249354126518E-2</v>
      </c>
      <c r="L41" s="102">
        <f t="shared" si="10"/>
        <v>1</v>
      </c>
      <c r="M41" s="103">
        <f t="shared" si="11"/>
        <v>3.9659936852497505E-13</v>
      </c>
      <c r="N41" s="101">
        <f t="shared" si="12"/>
        <v>1</v>
      </c>
      <c r="O41" s="104">
        <f t="shared" si="13"/>
        <v>6.3455898963995999E-14</v>
      </c>
      <c r="P41" s="105">
        <f t="shared" ca="1" si="14"/>
        <v>1.0000002243878727</v>
      </c>
      <c r="Q41" s="106">
        <f t="shared" ca="1" si="15"/>
        <v>6.9114843769094061E-4</v>
      </c>
      <c r="R41" s="107">
        <f t="shared" ca="1" si="16"/>
        <v>59.287693785845462</v>
      </c>
      <c r="S41" s="108">
        <f t="shared" ca="1" si="17"/>
        <v>-81.502069272197716</v>
      </c>
      <c r="T41" s="78">
        <f t="shared" ca="1" si="18"/>
        <v>98.497930727802284</v>
      </c>
      <c r="V41" s="72">
        <f t="shared" ca="1" si="19"/>
        <v>1000000000</v>
      </c>
      <c r="W41" s="72">
        <f t="shared" si="20"/>
        <v>144.55252899999999</v>
      </c>
      <c r="Y41" s="110">
        <f t="shared" si="21"/>
        <v>52.57315177127019</v>
      </c>
      <c r="Z41" s="111">
        <f t="shared" si="22"/>
        <v>-49.826965118096602</v>
      </c>
      <c r="AA41" s="72">
        <f t="shared" si="23"/>
        <v>130.17303488190339</v>
      </c>
      <c r="AB41" s="110">
        <f t="shared" ca="1" si="24"/>
        <v>22.632142361456772</v>
      </c>
      <c r="AC41" s="111">
        <f t="shared" ca="1" si="25"/>
        <v>-31.675104154101103</v>
      </c>
      <c r="AD41" s="72">
        <f t="shared" ca="1" si="26"/>
        <v>148.32489584589891</v>
      </c>
    </row>
    <row r="42" spans="1:30">
      <c r="A42" s="115">
        <v>13.183</v>
      </c>
      <c r="B42" s="101">
        <f t="shared" ca="1" si="0"/>
        <v>1.2070717692569639</v>
      </c>
      <c r="C42" s="102">
        <f t="shared" ca="1" si="1"/>
        <v>0.59445981961871275</v>
      </c>
      <c r="D42" s="102">
        <f t="shared" si="2"/>
        <v>1.0000000757798853</v>
      </c>
      <c r="E42" s="103">
        <f t="shared" si="3"/>
        <v>3.8930676983878182E-4</v>
      </c>
      <c r="F42" s="101">
        <f t="shared" si="4"/>
        <v>4.6156480934549098</v>
      </c>
      <c r="G42" s="104">
        <f t="shared" si="5"/>
        <v>1.3524102678927012</v>
      </c>
      <c r="H42" s="113">
        <f t="shared" si="6"/>
        <v>1.1477165326925647</v>
      </c>
      <c r="I42" s="114">
        <f t="shared" si="7"/>
        <v>0.51296081464882659</v>
      </c>
      <c r="J42" s="101">
        <f t="shared" si="8"/>
        <v>1.0000878171100058</v>
      </c>
      <c r="K42" s="104">
        <f t="shared" si="9"/>
        <v>1.3252221244007734E-2</v>
      </c>
      <c r="L42" s="102">
        <f t="shared" si="10"/>
        <v>1</v>
      </c>
      <c r="M42" s="103">
        <f t="shared" si="11"/>
        <v>4.3486396700197506E-13</v>
      </c>
      <c r="N42" s="101">
        <f t="shared" si="12"/>
        <v>1</v>
      </c>
      <c r="O42" s="104">
        <f t="shared" si="13"/>
        <v>6.9578234720316006E-14</v>
      </c>
      <c r="P42" s="105">
        <f t="shared" ca="1" si="14"/>
        <v>1.0000002697752983</v>
      </c>
      <c r="Q42" s="106">
        <f t="shared" ca="1" si="15"/>
        <v>7.5783162166384187E-4</v>
      </c>
      <c r="R42" s="107">
        <f t="shared" ca="1" si="16"/>
        <v>58.472762303108858</v>
      </c>
      <c r="S42" s="108">
        <f t="shared" ca="1" si="17"/>
        <v>-82.937360899558342</v>
      </c>
      <c r="T42" s="78">
        <f t="shared" ca="1" si="18"/>
        <v>97.062639100441658</v>
      </c>
      <c r="V42" s="72">
        <f t="shared" ca="1" si="19"/>
        <v>1000000000</v>
      </c>
      <c r="W42" s="72">
        <f t="shared" si="20"/>
        <v>173.79148899999998</v>
      </c>
      <c r="Y42" s="110">
        <f t="shared" si="21"/>
        <v>51.993675871573195</v>
      </c>
      <c r="Z42" s="111">
        <f t="shared" si="22"/>
        <v>-48.856207187699226</v>
      </c>
      <c r="AA42" s="72">
        <f t="shared" si="23"/>
        <v>131.14379281230077</v>
      </c>
      <c r="AB42" s="110">
        <f t="shared" ca="1" si="24"/>
        <v>22.396686778417166</v>
      </c>
      <c r="AC42" s="111">
        <f t="shared" ca="1" si="25"/>
        <v>-34.081153711859116</v>
      </c>
      <c r="AD42" s="72">
        <f t="shared" ca="1" si="26"/>
        <v>145.91884628814088</v>
      </c>
    </row>
    <row r="43" spans="1:30">
      <c r="A43" s="115">
        <v>14.454000000000001</v>
      </c>
      <c r="B43" s="101">
        <f t="shared" ca="1" si="0"/>
        <v>1.2447470861779093</v>
      </c>
      <c r="C43" s="102">
        <f t="shared" ca="1" si="1"/>
        <v>0.63785305827941985</v>
      </c>
      <c r="D43" s="102">
        <f t="shared" si="2"/>
        <v>1.0000000910964675</v>
      </c>
      <c r="E43" s="103">
        <f t="shared" si="3"/>
        <v>4.2684062761069117E-4</v>
      </c>
      <c r="F43" s="101">
        <f t="shared" si="4"/>
        <v>5.0406429153953516</v>
      </c>
      <c r="G43" s="104">
        <f t="shared" si="5"/>
        <v>1.3710839919186384</v>
      </c>
      <c r="H43" s="113">
        <f t="shared" si="6"/>
        <v>1.175319644025917</v>
      </c>
      <c r="I43" s="114">
        <f t="shared" si="7"/>
        <v>0.55322890871080488</v>
      </c>
      <c r="J43" s="101">
        <f t="shared" si="8"/>
        <v>1.0001055657125444</v>
      </c>
      <c r="K43" s="104">
        <f t="shared" si="9"/>
        <v>1.4529723095408861E-2</v>
      </c>
      <c r="L43" s="102">
        <f t="shared" si="10"/>
        <v>1</v>
      </c>
      <c r="M43" s="103">
        <f t="shared" si="11"/>
        <v>4.7679009171255003E-13</v>
      </c>
      <c r="N43" s="101">
        <f t="shared" si="12"/>
        <v>1</v>
      </c>
      <c r="O43" s="104">
        <f t="shared" si="13"/>
        <v>7.6286414674008006E-14</v>
      </c>
      <c r="P43" s="105">
        <f t="shared" ca="1" si="14"/>
        <v>1.0000003243021038</v>
      </c>
      <c r="Q43" s="106">
        <f t="shared" ca="1" si="15"/>
        <v>8.3089568946178346E-4</v>
      </c>
      <c r="R43" s="107">
        <f t="shared" ca="1" si="16"/>
        <v>57.647009596701444</v>
      </c>
      <c r="S43" s="108">
        <f t="shared" ca="1" si="17"/>
        <v>-84.26157526690811</v>
      </c>
      <c r="T43" s="78">
        <f t="shared" ca="1" si="18"/>
        <v>95.73842473309189</v>
      </c>
      <c r="V43" s="72">
        <f t="shared" ca="1" si="19"/>
        <v>1000000000</v>
      </c>
      <c r="W43" s="72">
        <f t="shared" si="20"/>
        <v>208.91811600000003</v>
      </c>
      <c r="Y43" s="110">
        <f t="shared" si="21"/>
        <v>51.434884014907567</v>
      </c>
      <c r="Z43" s="111">
        <f t="shared" si="22"/>
        <v>-47.692136386463574</v>
      </c>
      <c r="AA43" s="72">
        <f t="shared" si="23"/>
        <v>132.30786361353643</v>
      </c>
      <c r="AB43" s="110">
        <f t="shared" ca="1" si="24"/>
        <v>22.129725928675384</v>
      </c>
      <c r="AC43" s="111">
        <f t="shared" ca="1" si="25"/>
        <v>-36.56943888044453</v>
      </c>
      <c r="AD43" s="72">
        <f t="shared" ca="1" si="26"/>
        <v>143.43056111955548</v>
      </c>
    </row>
    <row r="44" spans="1:30">
      <c r="A44" s="115">
        <v>15.849</v>
      </c>
      <c r="B44" s="101">
        <f t="shared" ca="1" si="0"/>
        <v>1.2886273564881585</v>
      </c>
      <c r="C44" s="102">
        <f t="shared" ca="1" si="1"/>
        <v>0.68246634720448063</v>
      </c>
      <c r="D44" s="102">
        <f t="shared" si="2"/>
        <v>1.0000001095290101</v>
      </c>
      <c r="E44" s="103">
        <f t="shared" si="3"/>
        <v>4.6803632377688661E-4</v>
      </c>
      <c r="F44" s="101">
        <f t="shared" si="4"/>
        <v>5.5087961213188894</v>
      </c>
      <c r="G44" s="104">
        <f t="shared" si="5"/>
        <v>1.388256419286835</v>
      </c>
      <c r="H44" s="113">
        <f t="shared" si="6"/>
        <v>1.2077020709948634</v>
      </c>
      <c r="I44" s="114">
        <f t="shared" si="7"/>
        <v>0.59523138423004696</v>
      </c>
      <c r="J44" s="101">
        <f t="shared" si="8"/>
        <v>1.0001269246211353</v>
      </c>
      <c r="K44" s="104">
        <f t="shared" si="9"/>
        <v>1.5931804524686118E-2</v>
      </c>
      <c r="L44" s="102">
        <f t="shared" si="10"/>
        <v>1</v>
      </c>
      <c r="M44" s="103">
        <f t="shared" si="11"/>
        <v>5.2280657005342501E-13</v>
      </c>
      <c r="N44" s="101">
        <f t="shared" si="12"/>
        <v>1</v>
      </c>
      <c r="O44" s="104">
        <f t="shared" si="13"/>
        <v>8.3649051208548005E-14</v>
      </c>
      <c r="P44" s="105">
        <f t="shared" ca="1" si="14"/>
        <v>1.0000003899216789</v>
      </c>
      <c r="Q44" s="106">
        <f t="shared" ca="1" si="15"/>
        <v>9.1108794968491912E-4</v>
      </c>
      <c r="R44" s="107">
        <f t="shared" ca="1" si="16"/>
        <v>56.810560100797886</v>
      </c>
      <c r="S44" s="108">
        <f t="shared" ca="1" si="17"/>
        <v>-85.477639156704853</v>
      </c>
      <c r="T44" s="78">
        <f t="shared" ca="1" si="18"/>
        <v>94.522360843295147</v>
      </c>
      <c r="V44" s="72">
        <f t="shared" ca="1" si="19"/>
        <v>1000000000</v>
      </c>
      <c r="W44" s="72">
        <f t="shared" si="20"/>
        <v>251.19080099999999</v>
      </c>
      <c r="Y44" s="110">
        <f t="shared" si="21"/>
        <v>50.899359499030524</v>
      </c>
      <c r="Z44" s="111">
        <f t="shared" si="22"/>
        <v>-46.349812769197271</v>
      </c>
      <c r="AA44" s="72">
        <f t="shared" si="23"/>
        <v>133.65018723080271</v>
      </c>
      <c r="AB44" s="110">
        <f t="shared" ca="1" si="24"/>
        <v>21.828800948648865</v>
      </c>
      <c r="AC44" s="111">
        <f t="shared" ca="1" si="25"/>
        <v>-39.127826387507611</v>
      </c>
      <c r="AD44" s="72">
        <f t="shared" ca="1" si="26"/>
        <v>140.87217361249239</v>
      </c>
    </row>
    <row r="45" spans="1:30">
      <c r="A45" s="115">
        <v>17.378</v>
      </c>
      <c r="B45" s="101">
        <f t="shared" ca="1" si="0"/>
        <v>1.3394628673088547</v>
      </c>
      <c r="C45" s="102">
        <f t="shared" ca="1" si="1"/>
        <v>0.72790792039734353</v>
      </c>
      <c r="D45" s="102">
        <f t="shared" si="2"/>
        <v>1.0000001316815752</v>
      </c>
      <c r="E45" s="103">
        <f t="shared" si="3"/>
        <v>5.1318916742227488E-4</v>
      </c>
      <c r="F45" s="101">
        <f t="shared" si="4"/>
        <v>6.02348062909416</v>
      </c>
      <c r="G45" s="104">
        <f t="shared" si="5"/>
        <v>1.4040071241033181</v>
      </c>
      <c r="H45" s="113">
        <f t="shared" si="6"/>
        <v>1.2455064161383349</v>
      </c>
      <c r="I45" s="114">
        <f t="shared" si="7"/>
        <v>0.63867511423061729</v>
      </c>
      <c r="J45" s="101">
        <f t="shared" si="8"/>
        <v>1.0001525935431117</v>
      </c>
      <c r="K45" s="104">
        <f t="shared" si="9"/>
        <v>1.7468494019051713E-2</v>
      </c>
      <c r="L45" s="102">
        <f t="shared" si="10"/>
        <v>1</v>
      </c>
      <c r="M45" s="103">
        <f t="shared" si="11"/>
        <v>5.7324326925285004E-13</v>
      </c>
      <c r="N45" s="101">
        <f t="shared" si="12"/>
        <v>1</v>
      </c>
      <c r="O45" s="104">
        <f t="shared" si="13"/>
        <v>9.171892308045601E-14</v>
      </c>
      <c r="P45" s="105">
        <f t="shared" ca="1" si="14"/>
        <v>1.0000004687844744</v>
      </c>
      <c r="Q45" s="106">
        <f t="shared" ca="1" si="15"/>
        <v>9.9898325345575004E-4</v>
      </c>
      <c r="R45" s="107">
        <f t="shared" ca="1" si="16"/>
        <v>55.966176839455613</v>
      </c>
      <c r="S45" s="108">
        <f t="shared" ca="1" si="17"/>
        <v>-86.585050836376467</v>
      </c>
      <c r="T45" s="78">
        <f t="shared" ca="1" si="18"/>
        <v>93.414949163623533</v>
      </c>
      <c r="V45" s="72">
        <f t="shared" ca="1" si="19"/>
        <v>1000000000</v>
      </c>
      <c r="W45" s="72">
        <f t="shared" si="20"/>
        <v>301.99488400000001</v>
      </c>
      <c r="Y45" s="110">
        <f t="shared" si="21"/>
        <v>50.391043365213477</v>
      </c>
      <c r="Z45" s="111">
        <f t="shared" si="22"/>
        <v>-44.851165124933928</v>
      </c>
      <c r="AA45" s="72">
        <f t="shared" si="23"/>
        <v>135.14883487506609</v>
      </c>
      <c r="AB45" s="110">
        <f t="shared" ca="1" si="24"/>
        <v>21.49273382112365</v>
      </c>
      <c r="AC45" s="111">
        <f t="shared" ca="1" si="25"/>
        <v>-41.733885711442518</v>
      </c>
      <c r="AD45" s="72">
        <f t="shared" ca="1" si="26"/>
        <v>138.26611428855747</v>
      </c>
    </row>
    <row r="46" spans="1:30">
      <c r="A46" s="115">
        <v>19.055</v>
      </c>
      <c r="B46" s="101">
        <f t="shared" ca="1" si="0"/>
        <v>1.3981528996321559</v>
      </c>
      <c r="C46" s="102">
        <f t="shared" ca="1" si="1"/>
        <v>0.77384410140441218</v>
      </c>
      <c r="D46" s="102">
        <f t="shared" si="2"/>
        <v>1.0000001583227511</v>
      </c>
      <c r="E46" s="103">
        <f t="shared" si="3"/>
        <v>5.6271259129657999E-4</v>
      </c>
      <c r="F46" s="101">
        <f t="shared" si="4"/>
        <v>6.5894208102397887</v>
      </c>
      <c r="G46" s="104">
        <f t="shared" si="5"/>
        <v>1.4184492845772985</v>
      </c>
      <c r="H46" s="113">
        <f t="shared" si="6"/>
        <v>1.2895036994325884</v>
      </c>
      <c r="I46" s="114">
        <f t="shared" si="7"/>
        <v>0.68330208882573751</v>
      </c>
      <c r="J46" s="101">
        <f t="shared" si="8"/>
        <v>1.0001834626975983</v>
      </c>
      <c r="K46" s="104">
        <f t="shared" si="9"/>
        <v>1.9153832681089108E-2</v>
      </c>
      <c r="L46" s="102">
        <f t="shared" si="10"/>
        <v>1</v>
      </c>
      <c r="M46" s="103">
        <f t="shared" si="11"/>
        <v>6.2856200343037509E-13</v>
      </c>
      <c r="N46" s="101">
        <f t="shared" si="12"/>
        <v>1</v>
      </c>
      <c r="O46" s="104">
        <f t="shared" si="13"/>
        <v>1.0056992054886001E-13</v>
      </c>
      <c r="P46" s="105">
        <f t="shared" ca="1" si="14"/>
        <v>1.0000005636266502</v>
      </c>
      <c r="Q46" s="106">
        <f t="shared" ca="1" si="15"/>
        <v>1.0953863925527131E-3</v>
      </c>
      <c r="R46" s="107">
        <f t="shared" ca="1" si="16"/>
        <v>55.114966347181074</v>
      </c>
      <c r="S46" s="108">
        <f t="shared" ca="1" si="17"/>
        <v>-87.586786483856287</v>
      </c>
      <c r="T46" s="78">
        <f t="shared" ca="1" si="18"/>
        <v>92.413213516143713</v>
      </c>
      <c r="V46" s="72">
        <f t="shared" ca="1" si="19"/>
        <v>1000000000</v>
      </c>
      <c r="W46" s="72">
        <f t="shared" si="20"/>
        <v>363.09302500000001</v>
      </c>
      <c r="Y46" s="110">
        <f t="shared" si="21"/>
        <v>49.912313248303093</v>
      </c>
      <c r="Z46" s="111">
        <f t="shared" si="22"/>
        <v>-43.218265460922176</v>
      </c>
      <c r="AA46" s="72">
        <f t="shared" si="23"/>
        <v>136.78173453907783</v>
      </c>
      <c r="AB46" s="110">
        <f t="shared" ca="1" si="24"/>
        <v>21.120253445759491</v>
      </c>
      <c r="AC46" s="111">
        <f t="shared" ca="1" si="25"/>
        <v>-44.368521022934104</v>
      </c>
      <c r="AD46" s="72">
        <f t="shared" ca="1" si="26"/>
        <v>135.63147897706591</v>
      </c>
    </row>
    <row r="47" spans="1:30">
      <c r="A47" s="115">
        <v>20.893000000000001</v>
      </c>
      <c r="B47" s="101">
        <f t="shared" ca="1" si="0"/>
        <v>1.46557733061158</v>
      </c>
      <c r="C47" s="102">
        <f t="shared" ca="1" si="1"/>
        <v>0.81985808025806495</v>
      </c>
      <c r="D47" s="102">
        <f t="shared" si="2"/>
        <v>1.0000001903386668</v>
      </c>
      <c r="E47" s="103">
        <f t="shared" si="3"/>
        <v>6.1699049693119811E-4</v>
      </c>
      <c r="F47" s="101">
        <f t="shared" si="4"/>
        <v>7.2110127205367816</v>
      </c>
      <c r="G47" s="104">
        <f t="shared" si="5"/>
        <v>1.4316711710439007</v>
      </c>
      <c r="H47" s="113">
        <f t="shared" si="6"/>
        <v>1.340468111191381</v>
      </c>
      <c r="I47" s="114">
        <f t="shared" si="7"/>
        <v>0.72874903637332067</v>
      </c>
      <c r="J47" s="101">
        <f t="shared" si="8"/>
        <v>1.0002205583087451</v>
      </c>
      <c r="K47" s="104">
        <f t="shared" si="9"/>
        <v>2.1000846557563253E-2</v>
      </c>
      <c r="L47" s="102">
        <f t="shared" si="10"/>
        <v>1</v>
      </c>
      <c r="M47" s="103">
        <f t="shared" si="11"/>
        <v>6.8919159998272506E-13</v>
      </c>
      <c r="N47" s="101">
        <f t="shared" si="12"/>
        <v>1</v>
      </c>
      <c r="O47" s="104">
        <f t="shared" si="13"/>
        <v>1.1027065599723601E-13</v>
      </c>
      <c r="P47" s="105">
        <f t="shared" ca="1" si="14"/>
        <v>1.0000006776028088</v>
      </c>
      <c r="Q47" s="106">
        <f t="shared" ca="1" si="15"/>
        <v>1.2010446715640109E-3</v>
      </c>
      <c r="R47" s="107">
        <f t="shared" ca="1" si="16"/>
        <v>54.259259589401424</v>
      </c>
      <c r="S47" s="108">
        <f t="shared" ca="1" si="17"/>
        <v>-88.485603255675755</v>
      </c>
      <c r="T47" s="78">
        <f t="shared" ca="1" si="18"/>
        <v>91.514396744324245</v>
      </c>
      <c r="V47" s="72">
        <f t="shared" ca="1" si="19"/>
        <v>1000000000</v>
      </c>
      <c r="W47" s="72">
        <f t="shared" si="20"/>
        <v>436.51744900000006</v>
      </c>
      <c r="Y47" s="110">
        <f t="shared" si="21"/>
        <v>49.465688623243338</v>
      </c>
      <c r="Z47" s="111">
        <f t="shared" si="22"/>
        <v>-41.477731564262982</v>
      </c>
      <c r="AA47" s="72">
        <f t="shared" si="23"/>
        <v>138.52226843573703</v>
      </c>
      <c r="AB47" s="110">
        <f t="shared" ca="1" si="24"/>
        <v>20.711171313039593</v>
      </c>
      <c r="AC47" s="111">
        <f t="shared" ca="1" si="25"/>
        <v>-47.007871691412817</v>
      </c>
      <c r="AD47" s="72">
        <f t="shared" ca="1" si="26"/>
        <v>132.99212830858718</v>
      </c>
    </row>
    <row r="48" spans="1:30">
      <c r="A48" s="115">
        <v>22.909000000000002</v>
      </c>
      <c r="B48" s="101">
        <f t="shared" ca="1" si="0"/>
        <v>1.5427681420063559</v>
      </c>
      <c r="C48" s="102">
        <f t="shared" ca="1" si="1"/>
        <v>0.86559711430619346</v>
      </c>
      <c r="D48" s="102">
        <f t="shared" si="2"/>
        <v>1.0000002288430201</v>
      </c>
      <c r="E48" s="103">
        <f t="shared" si="3"/>
        <v>6.7652490936518858E-4</v>
      </c>
      <c r="F48" s="101">
        <f t="shared" si="4"/>
        <v>7.8940124782592651</v>
      </c>
      <c r="G48" s="104">
        <f t="shared" si="5"/>
        <v>1.4437767574645548</v>
      </c>
      <c r="H48" s="113">
        <f t="shared" si="6"/>
        <v>1.3993046990319926</v>
      </c>
      <c r="I48" s="114">
        <f t="shared" si="7"/>
        <v>0.77468610540988325</v>
      </c>
      <c r="J48" s="101">
        <f t="shared" si="8"/>
        <v>1.0002651700024994</v>
      </c>
      <c r="K48" s="104">
        <f t="shared" si="9"/>
        <v>2.3026568125253544E-2</v>
      </c>
      <c r="L48" s="102">
        <f t="shared" si="10"/>
        <v>1</v>
      </c>
      <c r="M48" s="103">
        <f t="shared" si="11"/>
        <v>7.5569283319792512E-13</v>
      </c>
      <c r="N48" s="101">
        <f t="shared" si="12"/>
        <v>1</v>
      </c>
      <c r="O48" s="104">
        <f t="shared" si="13"/>
        <v>1.2091085331166802E-13</v>
      </c>
      <c r="P48" s="105">
        <f t="shared" ca="1" si="14"/>
        <v>1.0000008146776909</v>
      </c>
      <c r="Q48" s="106">
        <f t="shared" ca="1" si="15"/>
        <v>1.3169353346797977E-3</v>
      </c>
      <c r="R48" s="107">
        <f t="shared" ca="1" si="16"/>
        <v>53.400118042870602</v>
      </c>
      <c r="S48" s="108">
        <f t="shared" ca="1" si="17"/>
        <v>-89.287149969600193</v>
      </c>
      <c r="T48" s="78">
        <f t="shared" ca="1" si="18"/>
        <v>90.712850030399807</v>
      </c>
      <c r="V48" s="72">
        <f t="shared" ca="1" si="19"/>
        <v>1000000000</v>
      </c>
      <c r="W48" s="72">
        <f t="shared" si="20"/>
        <v>524.82228100000009</v>
      </c>
      <c r="Y48" s="110">
        <f t="shared" si="21"/>
        <v>49.052386400811827</v>
      </c>
      <c r="Z48" s="111">
        <f t="shared" si="22"/>
        <v>-39.655395689912964</v>
      </c>
      <c r="AA48" s="72">
        <f t="shared" si="23"/>
        <v>140.34460431008705</v>
      </c>
      <c r="AB48" s="110">
        <f t="shared" ca="1" si="24"/>
        <v>20.265331988940286</v>
      </c>
      <c r="AC48" s="111">
        <f t="shared" ca="1" si="25"/>
        <v>-49.631754279687222</v>
      </c>
      <c r="AD48" s="72">
        <f t="shared" ca="1" si="26"/>
        <v>130.36824572031279</v>
      </c>
    </row>
    <row r="49" spans="1:30">
      <c r="A49" s="115">
        <v>25.119</v>
      </c>
      <c r="B49" s="101">
        <f t="shared" ca="1" si="0"/>
        <v>1.6307227042547707</v>
      </c>
      <c r="C49" s="102">
        <f t="shared" ca="1" si="1"/>
        <v>0.91065936784197932</v>
      </c>
      <c r="D49" s="102">
        <f t="shared" si="2"/>
        <v>1.0000002751250205</v>
      </c>
      <c r="E49" s="103">
        <f t="shared" si="3"/>
        <v>7.4178832223193965E-4</v>
      </c>
      <c r="F49" s="101">
        <f t="shared" si="4"/>
        <v>8.6438463100203933</v>
      </c>
      <c r="G49" s="104">
        <f t="shared" si="5"/>
        <v>1.4548474570914054</v>
      </c>
      <c r="H49" s="113">
        <f t="shared" si="6"/>
        <v>1.4669061779348163</v>
      </c>
      <c r="I49" s="114">
        <f t="shared" si="7"/>
        <v>0.82070325461400451</v>
      </c>
      <c r="J49" s="101">
        <f t="shared" si="8"/>
        <v>1.0003187903586341</v>
      </c>
      <c r="K49" s="104">
        <f t="shared" si="9"/>
        <v>2.5247007436745468E-2</v>
      </c>
      <c r="L49" s="102">
        <f t="shared" si="10"/>
        <v>1</v>
      </c>
      <c r="M49" s="103">
        <f t="shared" si="11"/>
        <v>8.2859349064117506E-13</v>
      </c>
      <c r="N49" s="101">
        <f t="shared" si="12"/>
        <v>1</v>
      </c>
      <c r="O49" s="104">
        <f t="shared" si="13"/>
        <v>1.3257495850258802E-13</v>
      </c>
      <c r="P49" s="105">
        <f t="shared" ca="1" si="14"/>
        <v>1.0000009794408549</v>
      </c>
      <c r="Q49" s="106">
        <f t="shared" ca="1" si="15"/>
        <v>1.4439781376435438E-3</v>
      </c>
      <c r="R49" s="107">
        <f t="shared" ca="1" si="16"/>
        <v>52.539678640085867</v>
      </c>
      <c r="S49" s="108">
        <f t="shared" ca="1" si="17"/>
        <v>-89.997504343139909</v>
      </c>
      <c r="T49" s="78">
        <f t="shared" ca="1" si="18"/>
        <v>90.002495656860091</v>
      </c>
      <c r="V49" s="72">
        <f t="shared" ca="1" si="19"/>
        <v>1000000000</v>
      </c>
      <c r="W49" s="72">
        <f t="shared" si="20"/>
        <v>630.96416099999999</v>
      </c>
      <c r="Y49" s="110">
        <f t="shared" si="21"/>
        <v>48.67353714099287</v>
      </c>
      <c r="Z49" s="111">
        <f t="shared" si="22"/>
        <v>-37.780333419235959</v>
      </c>
      <c r="AA49" s="72">
        <f t="shared" si="23"/>
        <v>142.21966658076406</v>
      </c>
      <c r="AB49" s="110">
        <f t="shared" ca="1" si="24"/>
        <v>19.783741845974507</v>
      </c>
      <c r="AC49" s="111">
        <f t="shared" ca="1" si="25"/>
        <v>-52.217170923903943</v>
      </c>
      <c r="AD49" s="72">
        <f t="shared" ca="1" si="26"/>
        <v>127.78282907609605</v>
      </c>
    </row>
    <row r="50" spans="1:30">
      <c r="A50" s="115">
        <v>27.542000000000002</v>
      </c>
      <c r="B50" s="101">
        <f t="shared" ca="1" si="0"/>
        <v>1.7305496219496341</v>
      </c>
      <c r="C50" s="102">
        <f t="shared" ca="1" si="1"/>
        <v>0.95470309691333177</v>
      </c>
      <c r="D50" s="102">
        <f t="shared" si="2"/>
        <v>1.0000003307625505</v>
      </c>
      <c r="E50" s="103">
        <f t="shared" si="3"/>
        <v>8.1334182145454531E-4</v>
      </c>
      <c r="F50" s="101">
        <f t="shared" si="4"/>
        <v>9.4669644239131809</v>
      </c>
      <c r="G50" s="104">
        <f t="shared" si="5"/>
        <v>1.4649684195665258</v>
      </c>
      <c r="H50" s="113">
        <f t="shared" si="6"/>
        <v>1.544260621035789</v>
      </c>
      <c r="I50" s="114">
        <f t="shared" si="7"/>
        <v>0.86641949925293149</v>
      </c>
      <c r="J50" s="101">
        <f t="shared" si="8"/>
        <v>1.0003832458320931</v>
      </c>
      <c r="K50" s="104">
        <f t="shared" si="9"/>
        <v>2.7681165954552965E-2</v>
      </c>
      <c r="L50" s="102">
        <f t="shared" si="10"/>
        <v>1</v>
      </c>
      <c r="M50" s="103">
        <f t="shared" si="11"/>
        <v>9.0852032004615015E-13</v>
      </c>
      <c r="N50" s="101">
        <f t="shared" si="12"/>
        <v>1</v>
      </c>
      <c r="O50" s="104">
        <f t="shared" si="13"/>
        <v>1.4536325120738401E-13</v>
      </c>
      <c r="P50" s="105">
        <f t="shared" ca="1" si="14"/>
        <v>1.0000011775095246</v>
      </c>
      <c r="Q50" s="106">
        <f t="shared" ca="1" si="15"/>
        <v>1.5832652886129282E-3</v>
      </c>
      <c r="R50" s="107">
        <f t="shared" ca="1" si="16"/>
        <v>51.679329980698824</v>
      </c>
      <c r="S50" s="108">
        <f t="shared" ca="1" si="17"/>
        <v>-90.624912557208006</v>
      </c>
      <c r="T50" s="78">
        <f t="shared" ca="1" si="18"/>
        <v>89.375087442791994</v>
      </c>
      <c r="V50" s="72">
        <f t="shared" ca="1" si="19"/>
        <v>1000000000</v>
      </c>
      <c r="W50" s="72">
        <f t="shared" si="20"/>
        <v>758.56176400000004</v>
      </c>
      <c r="Y50" s="110">
        <f t="shared" si="21"/>
        <v>48.329268498058468</v>
      </c>
      <c r="Z50" s="111">
        <f t="shared" si="22"/>
        <v>-35.88034098823384</v>
      </c>
      <c r="AA50" s="72">
        <f t="shared" si="23"/>
        <v>144.11965901176615</v>
      </c>
      <c r="AB50" s="110">
        <f t="shared" ca="1" si="24"/>
        <v>19.26766182952186</v>
      </c>
      <c r="AC50" s="111">
        <f t="shared" ca="1" si="25"/>
        <v>-54.744571568974166</v>
      </c>
      <c r="AD50" s="72">
        <f t="shared" ca="1" si="26"/>
        <v>125.25542843102583</v>
      </c>
    </row>
    <row r="51" spans="1:30">
      <c r="A51" s="115">
        <v>30.2</v>
      </c>
      <c r="B51" s="101">
        <f t="shared" ca="1" si="0"/>
        <v>1.8434766513599217</v>
      </c>
      <c r="C51" s="102">
        <f t="shared" ca="1" si="1"/>
        <v>0.99744166052052663</v>
      </c>
      <c r="D51" s="102">
        <f t="shared" si="2"/>
        <v>1.0000003976850411</v>
      </c>
      <c r="E51" s="103">
        <f t="shared" si="3"/>
        <v>8.9183508503568802E-4</v>
      </c>
      <c r="F51" s="101">
        <f t="shared" si="4"/>
        <v>10.370844137244191</v>
      </c>
      <c r="G51" s="104">
        <f t="shared" si="5"/>
        <v>1.4742221126234927</v>
      </c>
      <c r="H51" s="113">
        <f t="shared" si="6"/>
        <v>1.6324560106966333</v>
      </c>
      <c r="I51" s="114">
        <f t="shared" si="7"/>
        <v>0.91148338879615654</v>
      </c>
      <c r="J51" s="101">
        <f t="shared" si="8"/>
        <v>1.0004607693134626</v>
      </c>
      <c r="K51" s="104">
        <f t="shared" si="9"/>
        <v>3.0351028297763698E-2</v>
      </c>
      <c r="L51" s="102">
        <f t="shared" si="10"/>
        <v>1</v>
      </c>
      <c r="M51" s="103">
        <f t="shared" si="11"/>
        <v>9.9619902931500016E-13</v>
      </c>
      <c r="N51" s="101">
        <f t="shared" si="12"/>
        <v>1</v>
      </c>
      <c r="O51" s="104">
        <f t="shared" si="13"/>
        <v>1.5939184469039999E-13</v>
      </c>
      <c r="P51" s="105">
        <f t="shared" ca="1" si="14"/>
        <v>1.0000014157524284</v>
      </c>
      <c r="Q51" s="106">
        <f t="shared" ca="1" si="15"/>
        <v>1.7360614467506596E-3</v>
      </c>
      <c r="R51" s="107">
        <f t="shared" ca="1" si="16"/>
        <v>50.819934285762983</v>
      </c>
      <c r="S51" s="108">
        <f t="shared" ca="1" si="17"/>
        <v>-91.179107839194501</v>
      </c>
      <c r="T51" s="78">
        <f t="shared" ca="1" si="18"/>
        <v>88.820892160805499</v>
      </c>
      <c r="V51" s="72">
        <f t="shared" ca="1" si="19"/>
        <v>1000000000</v>
      </c>
      <c r="W51" s="72">
        <f t="shared" si="20"/>
        <v>912.04</v>
      </c>
      <c r="Y51" s="110">
        <f t="shared" si="21"/>
        <v>48.018945982961341</v>
      </c>
      <c r="Z51" s="111">
        <f t="shared" si="22"/>
        <v>-33.98153970800999</v>
      </c>
      <c r="AA51" s="72">
        <f t="shared" si="23"/>
        <v>146.01846029199001</v>
      </c>
      <c r="AB51" s="110">
        <f t="shared" ca="1" si="24"/>
        <v>18.718588649683149</v>
      </c>
      <c r="AC51" s="111">
        <f t="shared" ca="1" si="25"/>
        <v>-57.197568131184504</v>
      </c>
      <c r="AD51" s="72">
        <f t="shared" ca="1" si="26"/>
        <v>122.80243186881549</v>
      </c>
    </row>
    <row r="52" spans="1:30">
      <c r="A52" s="115">
        <v>33.113</v>
      </c>
      <c r="B52" s="101">
        <f t="shared" ca="1" si="0"/>
        <v>1.9706361168155753</v>
      </c>
      <c r="C52" s="102">
        <f t="shared" ca="1" si="1"/>
        <v>1.0385730414735528</v>
      </c>
      <c r="D52" s="102">
        <f t="shared" si="2"/>
        <v>1.0000004781040366</v>
      </c>
      <c r="E52" s="103">
        <f t="shared" si="3"/>
        <v>9.7785872806403166E-4</v>
      </c>
      <c r="F52" s="101">
        <f t="shared" si="4"/>
        <v>11.362289010746897</v>
      </c>
      <c r="G52" s="104">
        <f t="shared" si="5"/>
        <v>1.4826718747112395</v>
      </c>
      <c r="H52" s="113">
        <f t="shared" si="6"/>
        <v>1.7325090708805633</v>
      </c>
      <c r="I52" s="114">
        <f t="shared" si="7"/>
        <v>0.95550364148705746</v>
      </c>
      <c r="J52" s="101">
        <f t="shared" si="8"/>
        <v>1.00055391930108</v>
      </c>
      <c r="K52" s="104">
        <f t="shared" si="9"/>
        <v>3.327653025943083E-2</v>
      </c>
      <c r="L52" s="102">
        <f t="shared" si="10"/>
        <v>1</v>
      </c>
      <c r="M52" s="103">
        <f t="shared" si="11"/>
        <v>1.0922893529042251E-12</v>
      </c>
      <c r="N52" s="101">
        <f t="shared" si="12"/>
        <v>1</v>
      </c>
      <c r="O52" s="104">
        <f t="shared" si="13"/>
        <v>1.7476629646467601E-13</v>
      </c>
      <c r="P52" s="105">
        <f t="shared" ca="1" si="14"/>
        <v>1.0000017020425997</v>
      </c>
      <c r="Q52" s="106">
        <f t="shared" ca="1" si="15"/>
        <v>1.9035162936374777E-3</v>
      </c>
      <c r="R52" s="107">
        <f t="shared" ca="1" si="16"/>
        <v>49.963393991602928</v>
      </c>
      <c r="S52" s="108">
        <f t="shared" ca="1" si="17"/>
        <v>-91.670007966796064</v>
      </c>
      <c r="T52" s="78">
        <f t="shared" ca="1" si="18"/>
        <v>88.329992033203936</v>
      </c>
      <c r="V52" s="72">
        <f t="shared" ca="1" si="19"/>
        <v>1000000000</v>
      </c>
      <c r="W52" s="72">
        <f t="shared" si="20"/>
        <v>1096.470769</v>
      </c>
      <c r="Y52" s="110">
        <f t="shared" si="21"/>
        <v>47.74178341007228</v>
      </c>
      <c r="Z52" s="111">
        <f t="shared" si="22"/>
        <v>-32.11111963445839</v>
      </c>
      <c r="AA52" s="72">
        <f t="shared" si="23"/>
        <v>147.88888036554161</v>
      </c>
      <c r="AB52" s="110">
        <f t="shared" ca="1" si="24"/>
        <v>18.139210928412165</v>
      </c>
      <c r="AC52" s="111">
        <f t="shared" ca="1" si="25"/>
        <v>-59.558888332337638</v>
      </c>
      <c r="AD52" s="72">
        <f t="shared" ca="1" si="26"/>
        <v>120.44111166766237</v>
      </c>
    </row>
    <row r="53" spans="1:30">
      <c r="A53" s="115">
        <v>36.308</v>
      </c>
      <c r="B53" s="101">
        <f t="shared" ca="1" si="0"/>
        <v>2.1134516695445966</v>
      </c>
      <c r="C53" s="102">
        <f t="shared" ca="1" si="1"/>
        <v>1.0779224861473355</v>
      </c>
      <c r="D53" s="102">
        <f t="shared" si="2"/>
        <v>1.000000574817504</v>
      </c>
      <c r="E53" s="103">
        <f t="shared" si="3"/>
        <v>1.0722100809168729E-3</v>
      </c>
      <c r="F53" s="101">
        <f t="shared" si="4"/>
        <v>12.450490155655245</v>
      </c>
      <c r="G53" s="104">
        <f t="shared" si="5"/>
        <v>1.4903915967406953</v>
      </c>
      <c r="H53" s="113">
        <f t="shared" si="6"/>
        <v>1.8456651287377581</v>
      </c>
      <c r="I53" s="114">
        <f t="shared" si="7"/>
        <v>0.99820711702267373</v>
      </c>
      <c r="J53" s="101">
        <f t="shared" si="8"/>
        <v>1.0006659318362359</v>
      </c>
      <c r="K53" s="104">
        <f t="shared" si="9"/>
        <v>3.6484585560911408E-2</v>
      </c>
      <c r="L53" s="102">
        <f t="shared" si="10"/>
        <v>1</v>
      </c>
      <c r="M53" s="103">
        <f t="shared" si="11"/>
        <v>1.1976819323301001E-12</v>
      </c>
      <c r="N53" s="101">
        <f t="shared" si="12"/>
        <v>1</v>
      </c>
      <c r="O53" s="104">
        <f t="shared" si="13"/>
        <v>1.9162910917281601E-13</v>
      </c>
      <c r="P53" s="105">
        <f t="shared" ca="1" si="14"/>
        <v>1.0000020463407209</v>
      </c>
      <c r="Q53" s="106">
        <f t="shared" ca="1" si="15"/>
        <v>2.0871818994583997E-3</v>
      </c>
      <c r="R53" s="107">
        <f t="shared" ca="1" si="16"/>
        <v>49.109837296847445</v>
      </c>
      <c r="S53" s="108">
        <f t="shared" ca="1" si="17"/>
        <v>-92.109069004819816</v>
      </c>
      <c r="T53" s="78">
        <f t="shared" ca="1" si="18"/>
        <v>87.890930995180184</v>
      </c>
      <c r="V53" s="72">
        <f t="shared" ca="1" si="19"/>
        <v>1000000000</v>
      </c>
      <c r="W53" s="72">
        <f t="shared" si="20"/>
        <v>1318.2708640000001</v>
      </c>
      <c r="Y53" s="110">
        <f t="shared" si="21"/>
        <v>47.495946521180414</v>
      </c>
      <c r="Z53" s="111">
        <f t="shared" si="22"/>
        <v>-30.290506234163377</v>
      </c>
      <c r="AA53" s="72">
        <f t="shared" si="23"/>
        <v>149.70949376583661</v>
      </c>
      <c r="AB53" s="110">
        <f t="shared" ca="1" si="24"/>
        <v>17.531491122548537</v>
      </c>
      <c r="AC53" s="111">
        <f t="shared" ca="1" si="25"/>
        <v>-61.81856277065642</v>
      </c>
      <c r="AD53" s="72">
        <f t="shared" ca="1" si="26"/>
        <v>118.18143722934357</v>
      </c>
    </row>
    <row r="54" spans="1:30">
      <c r="A54" s="115">
        <v>39.811</v>
      </c>
      <c r="B54" s="101">
        <f t="shared" ca="1" si="0"/>
        <v>2.2732967693283013</v>
      </c>
      <c r="C54" s="102">
        <f t="shared" ca="1" si="1"/>
        <v>1.1153203971413725</v>
      </c>
      <c r="D54" s="102">
        <f t="shared" si="2"/>
        <v>1.0000006910850199</v>
      </c>
      <c r="E54" s="103">
        <f t="shared" si="3"/>
        <v>1.1756569412454223E-3</v>
      </c>
      <c r="F54" s="101">
        <f t="shared" si="4"/>
        <v>13.644304684204927</v>
      </c>
      <c r="G54" s="104">
        <f t="shared" si="5"/>
        <v>1.4974399009890622</v>
      </c>
      <c r="H54" s="113">
        <f t="shared" si="6"/>
        <v>1.9731282677966944</v>
      </c>
      <c r="I54" s="114">
        <f t="shared" si="7"/>
        <v>1.0393166956669257</v>
      </c>
      <c r="J54" s="101">
        <f t="shared" si="8"/>
        <v>1.0008005750861126</v>
      </c>
      <c r="K54" s="104">
        <f t="shared" si="9"/>
        <v>4.0001033745212404E-2</v>
      </c>
      <c r="L54" s="102">
        <f t="shared" si="10"/>
        <v>1</v>
      </c>
      <c r="M54" s="103">
        <f t="shared" si="11"/>
        <v>1.3132344223860751E-12</v>
      </c>
      <c r="N54" s="101">
        <f t="shared" si="12"/>
        <v>1</v>
      </c>
      <c r="O54" s="104">
        <f t="shared" si="13"/>
        <v>2.1011750758177201E-13</v>
      </c>
      <c r="P54" s="105">
        <f t="shared" ca="1" si="14"/>
        <v>1.0000024602507718</v>
      </c>
      <c r="Q54" s="106">
        <f t="shared" ca="1" si="15"/>
        <v>2.2885528370962336E-3</v>
      </c>
      <c r="R54" s="107">
        <f t="shared" ca="1" si="16"/>
        <v>48.260138832968529</v>
      </c>
      <c r="S54" s="108">
        <f t="shared" ca="1" si="17"/>
        <v>-92.507332476291737</v>
      </c>
      <c r="T54" s="78">
        <f t="shared" ca="1" si="18"/>
        <v>87.492667523708263</v>
      </c>
      <c r="V54" s="72">
        <f t="shared" ca="1" si="19"/>
        <v>1000000000</v>
      </c>
      <c r="W54" s="72">
        <f t="shared" si="20"/>
        <v>1584.9157210000001</v>
      </c>
      <c r="Y54" s="110">
        <f t="shared" si="21"/>
        <v>47.279526920977261</v>
      </c>
      <c r="Z54" s="111">
        <f t="shared" si="22"/>
        <v>-28.540416604273702</v>
      </c>
      <c r="AA54" s="72">
        <f t="shared" si="23"/>
        <v>151.4595833957263</v>
      </c>
      <c r="AB54" s="110">
        <f t="shared" ca="1" si="24"/>
        <v>16.898212258872782</v>
      </c>
      <c r="AC54" s="111">
        <f t="shared" ca="1" si="25"/>
        <v>-63.966915872018028</v>
      </c>
      <c r="AD54" s="72">
        <f t="shared" ca="1" si="26"/>
        <v>116.03308412798197</v>
      </c>
    </row>
    <row r="55" spans="1:30">
      <c r="A55" s="115">
        <v>43.652000000000001</v>
      </c>
      <c r="B55" s="101">
        <f t="shared" ca="1" si="0"/>
        <v>2.4517169877057898</v>
      </c>
      <c r="C55" s="102">
        <f t="shared" ca="1" si="1"/>
        <v>1.1506682226431877</v>
      </c>
      <c r="D55" s="102">
        <f t="shared" si="2"/>
        <v>1.0000008308709378</v>
      </c>
      <c r="E55" s="103">
        <f t="shared" si="3"/>
        <v>1.2890852281210383E-3</v>
      </c>
      <c r="F55" s="101">
        <f t="shared" si="4"/>
        <v>14.953957525510232</v>
      </c>
      <c r="G55" s="104">
        <f t="shared" si="5"/>
        <v>1.5038744560273896</v>
      </c>
      <c r="H55" s="113">
        <f t="shared" si="6"/>
        <v>2.1162350327097861</v>
      </c>
      <c r="I55" s="114">
        <f t="shared" si="7"/>
        <v>1.0786287498730684</v>
      </c>
      <c r="J55" s="101">
        <f t="shared" si="8"/>
        <v>1.0009624297955635</v>
      </c>
      <c r="K55" s="104">
        <f t="shared" si="9"/>
        <v>4.3855639007427547E-2</v>
      </c>
      <c r="L55" s="102">
        <f t="shared" si="10"/>
        <v>1</v>
      </c>
      <c r="M55" s="103">
        <f t="shared" si="11"/>
        <v>1.4399364247569002E-12</v>
      </c>
      <c r="N55" s="101">
        <f t="shared" si="12"/>
        <v>1</v>
      </c>
      <c r="O55" s="104">
        <f t="shared" si="13"/>
        <v>2.3038982796110403E-13</v>
      </c>
      <c r="P55" s="105">
        <f t="shared" ca="1" si="14"/>
        <v>1.0000029578857077</v>
      </c>
      <c r="Q55" s="106">
        <f t="shared" ca="1" si="15"/>
        <v>2.5093536050355796E-3</v>
      </c>
      <c r="R55" s="107">
        <f t="shared" ca="1" si="16"/>
        <v>47.414524023370809</v>
      </c>
      <c r="S55" s="108">
        <f t="shared" ca="1" si="17"/>
        <v>-92.875876352879629</v>
      </c>
      <c r="T55" s="78">
        <f t="shared" ca="1" si="18"/>
        <v>87.124123647120371</v>
      </c>
      <c r="V55" s="72">
        <f t="shared" ca="1" si="19"/>
        <v>1000000000</v>
      </c>
      <c r="W55" s="72">
        <f t="shared" si="20"/>
        <v>1905.497104</v>
      </c>
      <c r="Y55" s="110">
        <f t="shared" si="21"/>
        <v>47.090199249731</v>
      </c>
      <c r="Z55" s="111">
        <f t="shared" si="22"/>
        <v>-26.877527272320634</v>
      </c>
      <c r="AA55" s="72">
        <f t="shared" si="23"/>
        <v>153.12247272767937</v>
      </c>
      <c r="AB55" s="110">
        <f t="shared" ca="1" si="24"/>
        <v>16.241925120521312</v>
      </c>
      <c r="AC55" s="111">
        <f t="shared" ca="1" si="25"/>
        <v>-65.998349080558981</v>
      </c>
      <c r="AD55" s="72">
        <f t="shared" ca="1" si="26"/>
        <v>114.00165091944102</v>
      </c>
    </row>
    <row r="56" spans="1:30">
      <c r="A56" s="115">
        <v>47.863</v>
      </c>
      <c r="B56" s="101">
        <f t="shared" ca="1" si="0"/>
        <v>2.6503450633427774</v>
      </c>
      <c r="C56" s="102">
        <f t="shared" ca="1" si="1"/>
        <v>1.1839071407952426</v>
      </c>
      <c r="D56" s="102">
        <f t="shared" si="2"/>
        <v>1.0000009989070344</v>
      </c>
      <c r="E56" s="103">
        <f t="shared" si="3"/>
        <v>1.4134399194019758E-3</v>
      </c>
      <c r="F56" s="101">
        <f t="shared" si="4"/>
        <v>16.390360309274342</v>
      </c>
      <c r="G56" s="104">
        <f t="shared" si="5"/>
        <v>1.5097469402903767</v>
      </c>
      <c r="H56" s="113">
        <f t="shared" si="6"/>
        <v>2.2763866346547839</v>
      </c>
      <c r="I56" s="114">
        <f t="shared" si="7"/>
        <v>1.1159851578545303</v>
      </c>
      <c r="J56" s="101">
        <f t="shared" si="8"/>
        <v>1.0011569600948003</v>
      </c>
      <c r="K56" s="104">
        <f t="shared" si="9"/>
        <v>4.8080052642963569E-2</v>
      </c>
      <c r="L56" s="102">
        <f t="shared" si="10"/>
        <v>1</v>
      </c>
      <c r="M56" s="103">
        <f t="shared" si="11"/>
        <v>1.5788435145729752E-12</v>
      </c>
      <c r="N56" s="101">
        <f t="shared" si="12"/>
        <v>1</v>
      </c>
      <c r="O56" s="104">
        <f t="shared" si="13"/>
        <v>2.5261496233167602E-13</v>
      </c>
      <c r="P56" s="105">
        <f t="shared" ca="1" si="14"/>
        <v>1.0000035560904512</v>
      </c>
      <c r="Q56" s="106">
        <f t="shared" ca="1" si="15"/>
        <v>2.7514236516639739E-3</v>
      </c>
      <c r="R56" s="107">
        <f t="shared" ca="1" si="16"/>
        <v>46.573186105254436</v>
      </c>
      <c r="S56" s="108">
        <f t="shared" ca="1" si="17"/>
        <v>-93.225215792664244</v>
      </c>
      <c r="T56" s="78">
        <f t="shared" ca="1" si="18"/>
        <v>86.774784207335756</v>
      </c>
      <c r="V56" s="72">
        <f t="shared" ca="1" si="19"/>
        <v>1000000000</v>
      </c>
      <c r="W56" s="72">
        <f t="shared" si="20"/>
        <v>2290.8667689999997</v>
      </c>
      <c r="Y56" s="110">
        <f t="shared" si="21"/>
        <v>46.925506760230675</v>
      </c>
      <c r="Z56" s="111">
        <f t="shared" si="22"/>
        <v>-25.315672391182577</v>
      </c>
      <c r="AA56" s="72">
        <f t="shared" si="23"/>
        <v>154.68432760881743</v>
      </c>
      <c r="AB56" s="110">
        <f t="shared" ca="1" si="24"/>
        <v>15.565279691905264</v>
      </c>
      <c r="AC56" s="111">
        <f t="shared" ca="1" si="25"/>
        <v>-67.90954340148167</v>
      </c>
      <c r="AD56" s="72">
        <f t="shared" ca="1" si="26"/>
        <v>112.09045659851833</v>
      </c>
    </row>
    <row r="57" spans="1:30">
      <c r="A57" s="115">
        <v>52.481000000000002</v>
      </c>
      <c r="B57" s="101">
        <f t="shared" ca="1" si="0"/>
        <v>2.8710467326371307</v>
      </c>
      <c r="C57" s="102">
        <f t="shared" ca="1" si="1"/>
        <v>1.2150340358426537</v>
      </c>
      <c r="D57" s="102">
        <f t="shared" si="2"/>
        <v>1.0000012009623667</v>
      </c>
      <c r="E57" s="103">
        <f t="shared" si="3"/>
        <v>1.5498136434825189E-3</v>
      </c>
      <c r="F57" s="101">
        <f t="shared" si="4"/>
        <v>17.96613464247277</v>
      </c>
      <c r="G57" s="104">
        <f t="shared" si="5"/>
        <v>1.5151072714991507</v>
      </c>
      <c r="H57" s="113">
        <f t="shared" si="6"/>
        <v>2.4551667267451647</v>
      </c>
      <c r="I57" s="114">
        <f t="shared" si="7"/>
        <v>1.1512958268357076</v>
      </c>
      <c r="J57" s="101">
        <f t="shared" si="8"/>
        <v>1.0013908234365352</v>
      </c>
      <c r="K57" s="104">
        <f t="shared" si="9"/>
        <v>5.2710783637977307E-2</v>
      </c>
      <c r="L57" s="102">
        <f t="shared" si="10"/>
        <v>1</v>
      </c>
      <c r="M57" s="103">
        <f t="shared" si="11"/>
        <v>1.7311762005788252E-12</v>
      </c>
      <c r="N57" s="101">
        <f t="shared" si="12"/>
        <v>1</v>
      </c>
      <c r="O57" s="104">
        <f t="shared" si="13"/>
        <v>2.76988192092612E-13</v>
      </c>
      <c r="P57" s="105">
        <f t="shared" ca="1" si="14"/>
        <v>1.0000042754025742</v>
      </c>
      <c r="Q57" s="106">
        <f t="shared" ca="1" si="15"/>
        <v>3.0168898240608062E-3</v>
      </c>
      <c r="R57" s="107">
        <f t="shared" ca="1" si="16"/>
        <v>45.735772337575789</v>
      </c>
      <c r="S57" s="108">
        <f t="shared" ca="1" si="17"/>
        <v>-93.565345353789141</v>
      </c>
      <c r="T57" s="78">
        <f t="shared" ca="1" si="18"/>
        <v>86.434654646210859</v>
      </c>
      <c r="V57" s="72">
        <f t="shared" ca="1" si="19"/>
        <v>1000000000</v>
      </c>
      <c r="W57" s="72">
        <f t="shared" si="20"/>
        <v>2754.255361</v>
      </c>
      <c r="Y57" s="110">
        <f t="shared" si="21"/>
        <v>46.7828543012903</v>
      </c>
      <c r="Z57" s="111">
        <f t="shared" si="22"/>
        <v>-23.86496578224228</v>
      </c>
      <c r="AA57" s="72">
        <f t="shared" si="23"/>
        <v>156.13503421775772</v>
      </c>
      <c r="AB57" s="110">
        <f t="shared" ca="1" si="24"/>
        <v>14.87051838316699</v>
      </c>
      <c r="AC57" s="111">
        <f t="shared" ca="1" si="25"/>
        <v>-69.700379571546847</v>
      </c>
      <c r="AD57" s="72">
        <f t="shared" ca="1" si="26"/>
        <v>110.29962042845315</v>
      </c>
    </row>
    <row r="58" spans="1:30">
      <c r="A58" s="115">
        <v>57.544000000000004</v>
      </c>
      <c r="B58" s="101">
        <f t="shared" ca="1" si="0"/>
        <v>3.1157358551508088</v>
      </c>
      <c r="C58" s="102">
        <f t="shared" ca="1" si="1"/>
        <v>1.2440623925366388</v>
      </c>
      <c r="D58" s="102">
        <f t="shared" si="2"/>
        <v>1.0000014438605052</v>
      </c>
      <c r="E58" s="103">
        <f t="shared" si="3"/>
        <v>1.6993285543161958E-3</v>
      </c>
      <c r="F58" s="101">
        <f t="shared" si="4"/>
        <v>19.69424755999605</v>
      </c>
      <c r="G58" s="104">
        <f t="shared" si="5"/>
        <v>1.5199982345690006</v>
      </c>
      <c r="H58" s="113">
        <f t="shared" si="6"/>
        <v>2.6541929886808653</v>
      </c>
      <c r="I58" s="114">
        <f t="shared" si="7"/>
        <v>1.1844977328203297</v>
      </c>
      <c r="J58" s="101">
        <f t="shared" si="8"/>
        <v>1.0016718869426759</v>
      </c>
      <c r="K58" s="104">
        <f t="shared" si="9"/>
        <v>5.7785135160671935E-2</v>
      </c>
      <c r="L58" s="102">
        <f t="shared" si="10"/>
        <v>1</v>
      </c>
      <c r="M58" s="103">
        <f t="shared" si="11"/>
        <v>1.8981879782418004E-12</v>
      </c>
      <c r="N58" s="101">
        <f t="shared" si="12"/>
        <v>1</v>
      </c>
      <c r="O58" s="104">
        <f t="shared" si="13"/>
        <v>3.0371007651868802E-13</v>
      </c>
      <c r="P58" s="105">
        <f t="shared" ca="1" si="14"/>
        <v>1.0000051401136147</v>
      </c>
      <c r="Q58" s="106">
        <f t="shared" ca="1" si="15"/>
        <v>3.3079364185427326E-3</v>
      </c>
      <c r="R58" s="107">
        <f t="shared" ca="1" si="16"/>
        <v>44.902257277031204</v>
      </c>
      <c r="S58" s="108">
        <f t="shared" ca="1" si="17"/>
        <v>-93.905298230039591</v>
      </c>
      <c r="T58" s="78">
        <f t="shared" ca="1" si="18"/>
        <v>86.094701769960409</v>
      </c>
      <c r="V58" s="72">
        <f t="shared" ca="1" si="19"/>
        <v>1000000000</v>
      </c>
      <c r="W58" s="72">
        <f t="shared" si="20"/>
        <v>3311.3119360000005</v>
      </c>
      <c r="Y58" s="110">
        <f t="shared" si="21"/>
        <v>46.65975205023409</v>
      </c>
      <c r="Z58" s="111">
        <f t="shared" si="22"/>
        <v>-22.533607163676905</v>
      </c>
      <c r="AA58" s="72">
        <f t="shared" si="23"/>
        <v>157.46639283632311</v>
      </c>
      <c r="AB58" s="110">
        <f t="shared" ca="1" si="24"/>
        <v>14.160105573678621</v>
      </c>
      <c r="AC58" s="111">
        <f t="shared" ca="1" si="25"/>
        <v>-71.3716910663627</v>
      </c>
      <c r="AD58" s="72">
        <f t="shared" ca="1" si="26"/>
        <v>108.6283089336373</v>
      </c>
    </row>
    <row r="59" spans="1:30">
      <c r="A59" s="115">
        <v>63.095999999999997</v>
      </c>
      <c r="B59" s="101">
        <f t="shared" ca="1" si="0"/>
        <v>3.3866171930173561</v>
      </c>
      <c r="C59" s="102">
        <f t="shared" ca="1" si="1"/>
        <v>1.2710478540963228</v>
      </c>
      <c r="D59" s="102">
        <f t="shared" si="2"/>
        <v>1.000001735916114</v>
      </c>
      <c r="E59" s="103">
        <f t="shared" si="3"/>
        <v>1.8632839842010226E-3</v>
      </c>
      <c r="F59" s="101">
        <f t="shared" si="4"/>
        <v>21.589717574571797</v>
      </c>
      <c r="G59" s="104">
        <f t="shared" si="5"/>
        <v>1.524461403373838</v>
      </c>
      <c r="H59" s="113">
        <f t="shared" si="6"/>
        <v>2.8753149418524964</v>
      </c>
      <c r="I59" s="114">
        <f t="shared" si="7"/>
        <v>1.2155855533178908</v>
      </c>
      <c r="J59" s="101">
        <f t="shared" si="8"/>
        <v>1.0020097274914326</v>
      </c>
      <c r="K59" s="104">
        <f t="shared" si="9"/>
        <v>6.3346150893240027E-2</v>
      </c>
      <c r="L59" s="102">
        <f t="shared" si="10"/>
        <v>1</v>
      </c>
      <c r="M59" s="103">
        <f t="shared" si="11"/>
        <v>2.0813302633662E-12</v>
      </c>
      <c r="N59" s="101">
        <f t="shared" si="12"/>
        <v>1</v>
      </c>
      <c r="O59" s="104">
        <f t="shared" si="13"/>
        <v>3.3301284213859202E-13</v>
      </c>
      <c r="P59" s="105">
        <f t="shared" ca="1" si="14"/>
        <v>1.0000061798232616</v>
      </c>
      <c r="Q59" s="106">
        <f t="shared" ca="1" si="15"/>
        <v>3.6270925944403422E-3</v>
      </c>
      <c r="R59" s="107">
        <f t="shared" ca="1" si="16"/>
        <v>44.072119298048037</v>
      </c>
      <c r="S59" s="108">
        <f t="shared" ca="1" si="17"/>
        <v>-94.253486192018002</v>
      </c>
      <c r="T59" s="78">
        <f t="shared" ca="1" si="18"/>
        <v>85.746513807981998</v>
      </c>
      <c r="V59" s="72">
        <f t="shared" ca="1" si="19"/>
        <v>1000000000</v>
      </c>
      <c r="W59" s="72">
        <f t="shared" si="20"/>
        <v>3981.1052159999995</v>
      </c>
      <c r="Y59" s="110">
        <f t="shared" si="21"/>
        <v>46.553730100597704</v>
      </c>
      <c r="Z59" s="111">
        <f t="shared" si="22"/>
        <v>-21.326749720572153</v>
      </c>
      <c r="AA59" s="72">
        <f t="shared" si="23"/>
        <v>158.67325027942786</v>
      </c>
      <c r="AB59" s="110">
        <f t="shared" ca="1" si="24"/>
        <v>13.435989544331832</v>
      </c>
      <c r="AC59" s="111">
        <f t="shared" ca="1" si="25"/>
        <v>-72.926736471445835</v>
      </c>
      <c r="AD59" s="72">
        <f t="shared" ca="1" si="26"/>
        <v>107.07326352855416</v>
      </c>
    </row>
    <row r="60" spans="1:30">
      <c r="A60" s="115">
        <v>69.183000000000007</v>
      </c>
      <c r="B60" s="101">
        <f t="shared" ca="1" si="0"/>
        <v>3.6859973824829586</v>
      </c>
      <c r="C60" s="102">
        <f t="shared" ca="1" si="1"/>
        <v>1.2960560212111853</v>
      </c>
      <c r="D60" s="102">
        <f t="shared" si="2"/>
        <v>1.0000020870064139</v>
      </c>
      <c r="E60" s="103">
        <f t="shared" si="3"/>
        <v>2.0430383179106792E-3</v>
      </c>
      <c r="F60" s="101">
        <f t="shared" si="4"/>
        <v>23.66824949233073</v>
      </c>
      <c r="G60" s="104">
        <f t="shared" si="5"/>
        <v>1.5285330508484409</v>
      </c>
      <c r="H60" s="113">
        <f t="shared" si="6"/>
        <v>3.1204617898217752</v>
      </c>
      <c r="I60" s="114">
        <f t="shared" si="7"/>
        <v>1.2445755807007908</v>
      </c>
      <c r="J60" s="101">
        <f t="shared" si="8"/>
        <v>1.0024157068947672</v>
      </c>
      <c r="K60" s="104">
        <f t="shared" si="9"/>
        <v>6.9438517628691229E-2</v>
      </c>
      <c r="L60" s="102">
        <f t="shared" si="10"/>
        <v>1</v>
      </c>
      <c r="M60" s="103">
        <f t="shared" si="11"/>
        <v>2.2821204452019754E-12</v>
      </c>
      <c r="N60" s="101">
        <f t="shared" si="12"/>
        <v>1</v>
      </c>
      <c r="O60" s="104">
        <f t="shared" si="13"/>
        <v>3.6513927123231604E-13</v>
      </c>
      <c r="P60" s="105">
        <f t="shared" ca="1" si="14"/>
        <v>1.0000074296937027</v>
      </c>
      <c r="Q60" s="106">
        <f t="shared" ca="1" si="15"/>
        <v>3.9770024186613889E-3</v>
      </c>
      <c r="R60" s="107">
        <f t="shared" ca="1" si="16"/>
        <v>43.245100118423927</v>
      </c>
      <c r="S60" s="108">
        <f t="shared" ca="1" si="17"/>
        <v>-94.617446713069185</v>
      </c>
      <c r="T60" s="78">
        <f t="shared" ca="1" si="18"/>
        <v>85.382553286930815</v>
      </c>
      <c r="V60" s="72">
        <f t="shared" ca="1" si="19"/>
        <v>1000000000</v>
      </c>
      <c r="W60" s="72">
        <f t="shared" si="20"/>
        <v>4786.2874890000012</v>
      </c>
      <c r="Y60" s="110">
        <f t="shared" si="21"/>
        <v>46.462497000184577</v>
      </c>
      <c r="Z60" s="111">
        <f t="shared" si="22"/>
        <v>-20.248098619468166</v>
      </c>
      <c r="AA60" s="72">
        <f t="shared" si="23"/>
        <v>159.75190138053182</v>
      </c>
      <c r="AB60" s="110">
        <f t="shared" ca="1" si="24"/>
        <v>12.700203465120856</v>
      </c>
      <c r="AC60" s="111">
        <f t="shared" ca="1" si="25"/>
        <v>-74.369348093601019</v>
      </c>
      <c r="AD60" s="72">
        <f t="shared" ca="1" si="26"/>
        <v>105.63065190639898</v>
      </c>
    </row>
    <row r="61" spans="1:30">
      <c r="A61" s="115">
        <v>75.858000000000004</v>
      </c>
      <c r="B61" s="101">
        <f t="shared" ca="1" si="0"/>
        <v>4.0165324282457551</v>
      </c>
      <c r="C61" s="102">
        <f t="shared" ca="1" si="1"/>
        <v>1.3191786971849024</v>
      </c>
      <c r="D61" s="102">
        <f t="shared" si="2"/>
        <v>1.0000025091561413</v>
      </c>
      <c r="E61" s="103">
        <f t="shared" si="3"/>
        <v>2.2401566440225598E-3</v>
      </c>
      <c r="F61" s="101">
        <f t="shared" si="4"/>
        <v>25.947941466009816</v>
      </c>
      <c r="G61" s="104">
        <f t="shared" si="5"/>
        <v>1.5322480779675205</v>
      </c>
      <c r="H61" s="113">
        <f t="shared" si="6"/>
        <v>3.3918460734980656</v>
      </c>
      <c r="I61" s="114">
        <f t="shared" si="7"/>
        <v>1.271524267941192</v>
      </c>
      <c r="J61" s="101">
        <f t="shared" si="8"/>
        <v>1.0029036376721769</v>
      </c>
      <c r="K61" s="104">
        <f t="shared" si="9"/>
        <v>7.6113456241041044E-2</v>
      </c>
      <c r="L61" s="102">
        <f t="shared" si="10"/>
        <v>1</v>
      </c>
      <c r="M61" s="103">
        <f t="shared" si="11"/>
        <v>2.5023068200588502E-12</v>
      </c>
      <c r="N61" s="101">
        <f t="shared" si="12"/>
        <v>1</v>
      </c>
      <c r="O61" s="104">
        <f t="shared" si="13"/>
        <v>4.0036909120941605E-13</v>
      </c>
      <c r="P61" s="105">
        <f t="shared" ca="1" si="14"/>
        <v>1.0000089325319961</v>
      </c>
      <c r="Q61" s="106">
        <f t="shared" ca="1" si="15"/>
        <v>4.3607122696953113E-3</v>
      </c>
      <c r="R61" s="107">
        <f t="shared" ca="1" si="16"/>
        <v>42.42054866162897</v>
      </c>
      <c r="S61" s="108">
        <f t="shared" ca="1" si="17"/>
        <v>-95.004224508117488</v>
      </c>
      <c r="T61" s="78">
        <f t="shared" ca="1" si="18"/>
        <v>84.995775491882512</v>
      </c>
      <c r="V61" s="72">
        <f t="shared" ca="1" si="19"/>
        <v>1000000000</v>
      </c>
      <c r="W61" s="72">
        <f t="shared" si="20"/>
        <v>5754.4361640000006</v>
      </c>
      <c r="Y61" s="110">
        <f t="shared" si="21"/>
        <v>46.383880033901896</v>
      </c>
      <c r="Z61" s="111">
        <f t="shared" si="22"/>
        <v>-19.299353761776903</v>
      </c>
      <c r="AA61" s="72">
        <f t="shared" si="23"/>
        <v>160.7006462382231</v>
      </c>
      <c r="AB61" s="110">
        <f t="shared" ca="1" si="24"/>
        <v>11.95426897460858</v>
      </c>
      <c r="AC61" s="111">
        <f t="shared" ca="1" si="25"/>
        <v>-75.704870746340546</v>
      </c>
      <c r="AD61" s="72">
        <f t="shared" ca="1" si="26"/>
        <v>104.29512925365945</v>
      </c>
    </row>
    <row r="62" spans="1:30">
      <c r="A62" s="115">
        <v>83.176000000000002</v>
      </c>
      <c r="B62" s="101">
        <f t="shared" ca="1" si="0"/>
        <v>4.3809844372406701</v>
      </c>
      <c r="C62" s="102">
        <f t="shared" ca="1" si="1"/>
        <v>1.3405070230266574</v>
      </c>
      <c r="D62" s="102">
        <f t="shared" si="2"/>
        <v>1.0000030166217835</v>
      </c>
      <c r="E62" s="103">
        <f t="shared" si="3"/>
        <v>2.4562630966661484E-3</v>
      </c>
      <c r="F62" s="101">
        <f t="shared" si="4"/>
        <v>28.447577617904148</v>
      </c>
      <c r="G62" s="104">
        <f t="shared" si="5"/>
        <v>1.5356367052511046</v>
      </c>
      <c r="H62" s="113">
        <f t="shared" si="6"/>
        <v>3.6917659060542274</v>
      </c>
      <c r="I62" s="114">
        <f t="shared" si="7"/>
        <v>1.2964964236980296</v>
      </c>
      <c r="J62" s="101">
        <f t="shared" si="8"/>
        <v>1.0034898648866173</v>
      </c>
      <c r="K62" s="104">
        <f t="shared" si="9"/>
        <v>8.3423566483667472E-2</v>
      </c>
      <c r="L62" s="102">
        <f t="shared" si="10"/>
        <v>1</v>
      </c>
      <c r="M62" s="103">
        <f t="shared" si="11"/>
        <v>2.7437036576922003E-12</v>
      </c>
      <c r="N62" s="101">
        <f t="shared" si="12"/>
        <v>1</v>
      </c>
      <c r="O62" s="104">
        <f t="shared" si="13"/>
        <v>4.3899258523075203E-13</v>
      </c>
      <c r="P62" s="105">
        <f t="shared" ca="1" si="14"/>
        <v>1.000010739089829</v>
      </c>
      <c r="Q62" s="106">
        <f t="shared" ca="1" si="15"/>
        <v>4.7813833871776529E-3</v>
      </c>
      <c r="R62" s="107">
        <f t="shared" ca="1" si="16"/>
        <v>41.598165805230771</v>
      </c>
      <c r="S62" s="108">
        <f t="shared" ca="1" si="17"/>
        <v>-95.420161631486209</v>
      </c>
      <c r="T62" s="78">
        <f t="shared" ca="1" si="18"/>
        <v>84.579838368513791</v>
      </c>
      <c r="V62" s="72">
        <f t="shared" ca="1" si="19"/>
        <v>1000000000</v>
      </c>
      <c r="W62" s="72">
        <f t="shared" si="20"/>
        <v>6918.2469760000004</v>
      </c>
      <c r="Y62" s="110">
        <f t="shared" si="21"/>
        <v>46.315917116022831</v>
      </c>
      <c r="Z62" s="111">
        <f t="shared" si="22"/>
        <v>-18.48154713699078</v>
      </c>
      <c r="AA62" s="72">
        <f t="shared" si="23"/>
        <v>161.51845286300923</v>
      </c>
      <c r="AB62" s="110">
        <f t="shared" ca="1" si="24"/>
        <v>11.199849036089439</v>
      </c>
      <c r="AC62" s="111">
        <f t="shared" ca="1" si="25"/>
        <v>-76.93861449449544</v>
      </c>
      <c r="AD62" s="72">
        <f t="shared" ca="1" si="26"/>
        <v>103.06138550550456</v>
      </c>
    </row>
    <row r="63" spans="1:30">
      <c r="A63" s="115">
        <v>91.201000000000008</v>
      </c>
      <c r="B63" s="101">
        <f t="shared" ca="1" si="0"/>
        <v>4.7825709152202274</v>
      </c>
      <c r="C63" s="102">
        <f t="shared" ca="1" si="1"/>
        <v>1.3601494099788176</v>
      </c>
      <c r="D63" s="102">
        <f t="shared" si="2"/>
        <v>1.0000036268021875</v>
      </c>
      <c r="E63" s="103">
        <f t="shared" si="3"/>
        <v>2.6932475660462552E-3</v>
      </c>
      <c r="F63" s="101">
        <f t="shared" si="4"/>
        <v>31.189018776089213</v>
      </c>
      <c r="G63" s="104">
        <f t="shared" si="5"/>
        <v>1.5387282639556008</v>
      </c>
      <c r="H63" s="113">
        <f t="shared" si="6"/>
        <v>4.0228932611819586</v>
      </c>
      <c r="I63" s="114">
        <f t="shared" si="7"/>
        <v>1.319585137699866</v>
      </c>
      <c r="J63" s="101">
        <f t="shared" si="8"/>
        <v>1.004194296034743</v>
      </c>
      <c r="K63" s="104">
        <f t="shared" si="9"/>
        <v>9.1429625559235783E-2</v>
      </c>
      <c r="L63" s="102">
        <f t="shared" si="10"/>
        <v>1</v>
      </c>
      <c r="M63" s="103">
        <f t="shared" si="11"/>
        <v>3.0084221083628257E-12</v>
      </c>
      <c r="N63" s="101">
        <f t="shared" si="12"/>
        <v>1</v>
      </c>
      <c r="O63" s="104">
        <f t="shared" si="13"/>
        <v>4.8134753733805209E-13</v>
      </c>
      <c r="P63" s="105">
        <f t="shared" ca="1" si="14"/>
        <v>1.0000129113051075</v>
      </c>
      <c r="Q63" s="106">
        <f t="shared" ca="1" si="15"/>
        <v>5.2426942285374901E-3</v>
      </c>
      <c r="R63" s="107">
        <f t="shared" ca="1" si="16"/>
        <v>40.777221568007896</v>
      </c>
      <c r="S63" s="108">
        <f t="shared" ca="1" si="17"/>
        <v>-95.871401253015833</v>
      </c>
      <c r="T63" s="78">
        <f t="shared" ca="1" si="18"/>
        <v>84.128598746984167</v>
      </c>
      <c r="V63" s="72">
        <f t="shared" ca="1" si="19"/>
        <v>1000000000</v>
      </c>
      <c r="W63" s="72">
        <f t="shared" si="20"/>
        <v>8317.6224010000005</v>
      </c>
      <c r="Y63" s="110">
        <f t="shared" si="21"/>
        <v>46.256780605864563</v>
      </c>
      <c r="Z63" s="111">
        <f t="shared" si="22"/>
        <v>-17.794507930950189</v>
      </c>
      <c r="AA63" s="72">
        <f t="shared" si="23"/>
        <v>162.2054920690498</v>
      </c>
      <c r="AB63" s="110">
        <f t="shared" ca="1" si="24"/>
        <v>10.438041309024836</v>
      </c>
      <c r="AC63" s="111">
        <f t="shared" ca="1" si="25"/>
        <v>-78.076893322065672</v>
      </c>
      <c r="AD63" s="72">
        <f t="shared" ca="1" si="26"/>
        <v>101.92310667793433</v>
      </c>
    </row>
    <row r="64" spans="1:30">
      <c r="A64" s="115">
        <v>100</v>
      </c>
      <c r="B64" s="101">
        <f t="shared" ca="1" si="0"/>
        <v>5.2246683931852633</v>
      </c>
      <c r="C64" s="102">
        <f t="shared" ca="1" si="1"/>
        <v>1.3782083059748456</v>
      </c>
      <c r="D64" s="102">
        <f t="shared" si="2"/>
        <v>1.0000043603817079</v>
      </c>
      <c r="E64" s="103">
        <f t="shared" si="3"/>
        <v>2.9530885066058436E-3</v>
      </c>
      <c r="F64" s="101">
        <f t="shared" si="4"/>
        <v>34.195153114825182</v>
      </c>
      <c r="G64" s="104">
        <f t="shared" si="5"/>
        <v>1.5415482463459742</v>
      </c>
      <c r="H64" s="113">
        <f t="shared" si="6"/>
        <v>4.3880314787540593</v>
      </c>
      <c r="I64" s="114">
        <f t="shared" si="7"/>
        <v>1.340883523463726</v>
      </c>
      <c r="J64" s="101">
        <f t="shared" si="8"/>
        <v>1.0050405339505561</v>
      </c>
      <c r="K64" s="104">
        <f t="shared" si="9"/>
        <v>0.10019433253010408</v>
      </c>
      <c r="L64" s="102">
        <f t="shared" si="10"/>
        <v>1</v>
      </c>
      <c r="M64" s="103">
        <f t="shared" si="11"/>
        <v>3.2986722825000004E-12</v>
      </c>
      <c r="N64" s="101">
        <f t="shared" si="12"/>
        <v>1</v>
      </c>
      <c r="O64" s="104">
        <f t="shared" si="13"/>
        <v>5.2778756520000004E-13</v>
      </c>
      <c r="P64" s="105">
        <f t="shared" ca="1" si="14"/>
        <v>1.000015522811323</v>
      </c>
      <c r="Q64" s="106">
        <f t="shared" ca="1" si="15"/>
        <v>5.7484955154984722E-3</v>
      </c>
      <c r="R64" s="107">
        <f t="shared" ca="1" si="16"/>
        <v>39.95731013247363</v>
      </c>
      <c r="S64" s="108">
        <f t="shared" ca="1" si="17"/>
        <v>-96.363638459237379</v>
      </c>
      <c r="T64" s="78">
        <f t="shared" ca="1" si="18"/>
        <v>83.636361540762621</v>
      </c>
      <c r="V64" s="72">
        <f t="shared" ca="1" si="19"/>
        <v>1000000000</v>
      </c>
      <c r="W64" s="72">
        <f t="shared" si="20"/>
        <v>10000</v>
      </c>
      <c r="Y64" s="110">
        <f t="shared" si="21"/>
        <v>46.204831738072798</v>
      </c>
      <c r="Z64" s="111">
        <f t="shared" si="22"/>
        <v>-17.237954122958826</v>
      </c>
      <c r="AA64" s="72">
        <f t="shared" si="23"/>
        <v>162.76204587704117</v>
      </c>
      <c r="AB64" s="110">
        <f t="shared" ca="1" si="24"/>
        <v>9.6700787412823388</v>
      </c>
      <c r="AC64" s="111">
        <f t="shared" ca="1" si="25"/>
        <v>-79.125684336278567</v>
      </c>
      <c r="AD64" s="72">
        <f t="shared" ca="1" si="26"/>
        <v>100.87431566372143</v>
      </c>
    </row>
    <row r="65" spans="1:30">
      <c r="A65" s="115">
        <v>109.65</v>
      </c>
      <c r="B65" s="101">
        <f t="shared" ca="1" si="0"/>
        <v>5.7111642762478647</v>
      </c>
      <c r="C65" s="102">
        <f t="shared" ca="1" si="1"/>
        <v>1.3947934123998655</v>
      </c>
      <c r="D65" s="102">
        <f t="shared" si="2"/>
        <v>1.0000052425380299</v>
      </c>
      <c r="E65" s="103">
        <f t="shared" si="3"/>
        <v>3.2380596431829298E-3</v>
      </c>
      <c r="F65" s="101">
        <f t="shared" si="4"/>
        <v>37.492287435907997</v>
      </c>
      <c r="G65" s="104">
        <f t="shared" si="5"/>
        <v>1.5441210110524928</v>
      </c>
      <c r="H65" s="113">
        <f t="shared" si="6"/>
        <v>4.7904064564905804</v>
      </c>
      <c r="I65" s="114">
        <f t="shared" si="7"/>
        <v>1.3604991347434796</v>
      </c>
      <c r="J65" s="101">
        <f t="shared" si="8"/>
        <v>1.006057224295364</v>
      </c>
      <c r="K65" s="104">
        <f t="shared" si="9"/>
        <v>0.1097889478184859</v>
      </c>
      <c r="L65" s="102">
        <f t="shared" si="10"/>
        <v>1</v>
      </c>
      <c r="M65" s="103">
        <f t="shared" si="11"/>
        <v>3.6169941577612506E-12</v>
      </c>
      <c r="N65" s="101">
        <f t="shared" si="12"/>
        <v>1</v>
      </c>
      <c r="O65" s="104">
        <f t="shared" si="13"/>
        <v>5.7871906524180005E-13</v>
      </c>
      <c r="P65" s="105">
        <f t="shared" ca="1" si="14"/>
        <v>1.0000186632370247</v>
      </c>
      <c r="Q65" s="106">
        <f t="shared" ca="1" si="15"/>
        <v>6.3032125614475706E-3</v>
      </c>
      <c r="R65" s="107">
        <f t="shared" ca="1" si="16"/>
        <v>39.137694851389206</v>
      </c>
      <c r="S65" s="108">
        <f t="shared" ca="1" si="17"/>
        <v>-96.9025981454554</v>
      </c>
      <c r="T65" s="78">
        <f t="shared" ca="1" si="18"/>
        <v>83.0974018545446</v>
      </c>
      <c r="V65" s="72">
        <f t="shared" ca="1" si="19"/>
        <v>1000000000</v>
      </c>
      <c r="W65" s="72">
        <f t="shared" si="20"/>
        <v>12023.122500000001</v>
      </c>
      <c r="Y65" s="110">
        <f t="shared" si="21"/>
        <v>46.158554495398093</v>
      </c>
      <c r="Z65" s="111">
        <f t="shared" si="22"/>
        <v>-16.811201904996484</v>
      </c>
      <c r="AA65" s="72">
        <f t="shared" si="23"/>
        <v>163.18879809500351</v>
      </c>
      <c r="AB65" s="110">
        <f t="shared" ca="1" si="24"/>
        <v>8.8967407028726182</v>
      </c>
      <c r="AC65" s="111">
        <f t="shared" ca="1" si="25"/>
        <v>-80.09139624045892</v>
      </c>
      <c r="AD65" s="72">
        <f t="shared" ca="1" si="26"/>
        <v>99.90860375954108</v>
      </c>
    </row>
    <row r="66" spans="1:30">
      <c r="A66" s="115">
        <v>120.23</v>
      </c>
      <c r="B66" s="101">
        <f t="shared" ca="1" si="0"/>
        <v>6.2460555211408106</v>
      </c>
      <c r="C66" s="102">
        <f t="shared" ca="1" si="1"/>
        <v>1.4100033118481083</v>
      </c>
      <c r="D66" s="102">
        <f t="shared" si="2"/>
        <v>1.0000063030359105</v>
      </c>
      <c r="E66" s="103">
        <f t="shared" si="3"/>
        <v>3.5504937132528514E-3</v>
      </c>
      <c r="F66" s="101">
        <f t="shared" si="4"/>
        <v>41.10741390892413</v>
      </c>
      <c r="G66" s="104">
        <f t="shared" si="5"/>
        <v>1.5464674147802653</v>
      </c>
      <c r="H66" s="113">
        <f t="shared" si="6"/>
        <v>5.2333358719003407</v>
      </c>
      <c r="I66" s="114">
        <f t="shared" si="7"/>
        <v>1.3785312640029785</v>
      </c>
      <c r="J66" s="101">
        <f t="shared" si="8"/>
        <v>1.0072780971693074</v>
      </c>
      <c r="K66" s="104">
        <f t="shared" si="9"/>
        <v>0.12028488971200473</v>
      </c>
      <c r="L66" s="102">
        <f t="shared" si="10"/>
        <v>1</v>
      </c>
      <c r="M66" s="103">
        <f t="shared" si="11"/>
        <v>3.9659936852497503E-12</v>
      </c>
      <c r="N66" s="101">
        <f t="shared" si="12"/>
        <v>1</v>
      </c>
      <c r="O66" s="104">
        <f t="shared" si="13"/>
        <v>6.3455898963996006E-13</v>
      </c>
      <c r="P66" s="105">
        <f t="shared" ca="1" si="14"/>
        <v>1.0000224385390726</v>
      </c>
      <c r="Q66" s="106">
        <f t="shared" ca="1" si="15"/>
        <v>6.9113853201978317E-3</v>
      </c>
      <c r="R66" s="107">
        <f t="shared" ca="1" si="16"/>
        <v>38.318073909022068</v>
      </c>
      <c r="S66" s="108">
        <f t="shared" ca="1" si="17"/>
        <v>-97.493653070961443</v>
      </c>
      <c r="T66" s="78">
        <f t="shared" ca="1" si="18"/>
        <v>82.506346929038557</v>
      </c>
      <c r="V66" s="72">
        <f t="shared" ca="1" si="19"/>
        <v>1000000000</v>
      </c>
      <c r="W66" s="72">
        <f t="shared" si="20"/>
        <v>14455.252900000001</v>
      </c>
      <c r="Y66" s="110">
        <f t="shared" si="21"/>
        <v>46.116580891631557</v>
      </c>
      <c r="Z66" s="111">
        <f t="shared" si="22"/>
        <v>-16.51384920558457</v>
      </c>
      <c r="AA66" s="72">
        <f t="shared" si="23"/>
        <v>163.48615079441544</v>
      </c>
      <c r="AB66" s="110">
        <f t="shared" ca="1" si="24"/>
        <v>8.1190933642720218</v>
      </c>
      <c r="AC66" s="111">
        <f t="shared" ca="1" si="25"/>
        <v>-80.979803865376866</v>
      </c>
      <c r="AD66" s="72">
        <f t="shared" ca="1" si="26"/>
        <v>99.020196134623134</v>
      </c>
    </row>
    <row r="67" spans="1:30">
      <c r="A67" s="115">
        <v>131.83000000000001</v>
      </c>
      <c r="B67" s="101">
        <f t="shared" ca="1" si="0"/>
        <v>6.8339026634649782</v>
      </c>
      <c r="C67" s="102">
        <f t="shared" ca="1" si="1"/>
        <v>1.4239397515952545</v>
      </c>
      <c r="D67" s="102">
        <f t="shared" si="2"/>
        <v>1.000007577960105</v>
      </c>
      <c r="E67" s="103">
        <f t="shared" si="3"/>
        <v>3.8930482274941651E-3</v>
      </c>
      <c r="F67" s="101">
        <f t="shared" si="4"/>
        <v>45.071285007878295</v>
      </c>
      <c r="G67" s="104">
        <f t="shared" si="5"/>
        <v>1.548607430640927</v>
      </c>
      <c r="H67" s="113">
        <f t="shared" si="6"/>
        <v>5.7206052076318192</v>
      </c>
      <c r="I67" s="114">
        <f t="shared" si="7"/>
        <v>1.3950869058931392</v>
      </c>
      <c r="J67" s="101">
        <f t="shared" si="8"/>
        <v>1.0087438689705392</v>
      </c>
      <c r="K67" s="104">
        <f t="shared" si="9"/>
        <v>0.13176211947384969</v>
      </c>
      <c r="L67" s="102">
        <f t="shared" si="10"/>
        <v>1</v>
      </c>
      <c r="M67" s="103">
        <f t="shared" si="11"/>
        <v>4.3486396700197505E-12</v>
      </c>
      <c r="N67" s="101">
        <f t="shared" si="12"/>
        <v>1</v>
      </c>
      <c r="O67" s="104">
        <f t="shared" si="13"/>
        <v>6.9578234720316011E-13</v>
      </c>
      <c r="P67" s="105">
        <f t="shared" ca="1" si="14"/>
        <v>1.0000269771710724</v>
      </c>
      <c r="Q67" s="106">
        <f t="shared" ca="1" si="15"/>
        <v>7.5781856339110854E-3</v>
      </c>
      <c r="R67" s="107">
        <f t="shared" ca="1" si="16"/>
        <v>37.497827929720032</v>
      </c>
      <c r="S67" s="108">
        <f t="shared" ca="1" si="17"/>
        <v>-98.142372461795134</v>
      </c>
      <c r="T67" s="78">
        <f t="shared" ca="1" si="18"/>
        <v>81.857627538204866</v>
      </c>
      <c r="V67" s="72">
        <f t="shared" ca="1" si="19"/>
        <v>1000000000</v>
      </c>
      <c r="W67" s="72">
        <f t="shared" si="20"/>
        <v>17379.148900000004</v>
      </c>
      <c r="Y67" s="110">
        <f t="shared" si="21"/>
        <v>46.077622228012515</v>
      </c>
      <c r="Z67" s="111">
        <f t="shared" si="22"/>
        <v>-16.345491500700199</v>
      </c>
      <c r="AA67" s="72">
        <f t="shared" si="23"/>
        <v>163.65450849929979</v>
      </c>
      <c r="AB67" s="110">
        <f t="shared" ca="1" si="24"/>
        <v>7.3378060485890249</v>
      </c>
      <c r="AC67" s="111">
        <f t="shared" ca="1" si="25"/>
        <v>-81.796880961094942</v>
      </c>
      <c r="AD67" s="72">
        <f t="shared" ca="1" si="26"/>
        <v>98.203119038905058</v>
      </c>
    </row>
    <row r="68" spans="1:30">
      <c r="A68" s="115">
        <v>144.54</v>
      </c>
      <c r="B68" s="101">
        <f t="shared" ca="1" si="0"/>
        <v>7.4792734175747029</v>
      </c>
      <c r="C68" s="102">
        <f t="shared" ca="1" si="1"/>
        <v>1.4366919054980749</v>
      </c>
      <c r="D68" s="102">
        <f t="shared" si="2"/>
        <v>1.0000091096056829</v>
      </c>
      <c r="E68" s="103">
        <f t="shared" si="3"/>
        <v>4.2683806131630772E-3</v>
      </c>
      <c r="F68" s="101">
        <f t="shared" si="4"/>
        <v>49.414654709433457</v>
      </c>
      <c r="G68" s="104">
        <f t="shared" si="5"/>
        <v>1.5505580336429079</v>
      </c>
      <c r="H68" s="113">
        <f t="shared" si="6"/>
        <v>6.2560072381128888</v>
      </c>
      <c r="I68" s="114">
        <f t="shared" si="7"/>
        <v>1.410261314649603</v>
      </c>
      <c r="J68" s="101">
        <f t="shared" si="8"/>
        <v>1.0105019826407418</v>
      </c>
      <c r="K68" s="104">
        <f t="shared" si="9"/>
        <v>0.14429753391347633</v>
      </c>
      <c r="L68" s="102">
        <f t="shared" si="10"/>
        <v>1</v>
      </c>
      <c r="M68" s="103">
        <f t="shared" si="11"/>
        <v>4.7679009171254999E-12</v>
      </c>
      <c r="N68" s="101">
        <f t="shared" si="12"/>
        <v>1</v>
      </c>
      <c r="O68" s="104">
        <f t="shared" si="13"/>
        <v>7.6286414674008001E-13</v>
      </c>
      <c r="P68" s="105">
        <f t="shared" ca="1" si="14"/>
        <v>1.0000324296919638</v>
      </c>
      <c r="Q68" s="106">
        <f t="shared" ca="1" si="15"/>
        <v>8.3087847853476511E-3</v>
      </c>
      <c r="R68" s="107">
        <f t="shared" ca="1" si="16"/>
        <v>36.676845028329673</v>
      </c>
      <c r="S68" s="108">
        <f t="shared" ca="1" si="17"/>
        <v>-98.853930430205978</v>
      </c>
      <c r="T68" s="78">
        <f t="shared" ca="1" si="18"/>
        <v>81.146069569794022</v>
      </c>
      <c r="V68" s="72">
        <f t="shared" ca="1" si="19"/>
        <v>1000000000</v>
      </c>
      <c r="W68" s="72">
        <f t="shared" si="20"/>
        <v>20891.811599999997</v>
      </c>
      <c r="Y68" s="110">
        <f t="shared" si="21"/>
        <v>46.040485803965453</v>
      </c>
      <c r="Z68" s="111">
        <f t="shared" si="22"/>
        <v>-16.306049583640224</v>
      </c>
      <c r="AA68" s="72">
        <f t="shared" si="23"/>
        <v>163.69395041635977</v>
      </c>
      <c r="AB68" s="110">
        <f t="shared" ca="1" si="24"/>
        <v>6.553959571245719</v>
      </c>
      <c r="AC68" s="111">
        <f t="shared" ca="1" si="25"/>
        <v>-82.547880846565718</v>
      </c>
      <c r="AD68" s="72">
        <f t="shared" ca="1" si="26"/>
        <v>97.452119153434282</v>
      </c>
    </row>
    <row r="69" spans="1:30">
      <c r="A69" s="115">
        <v>158.49</v>
      </c>
      <c r="B69" s="101">
        <f t="shared" ca="1" si="0"/>
        <v>8.1887756343037008</v>
      </c>
      <c r="C69" s="102">
        <f t="shared" ca="1" si="1"/>
        <v>1.4483723702732909</v>
      </c>
      <c r="D69" s="102">
        <f t="shared" si="2"/>
        <v>1.0000109528416359</v>
      </c>
      <c r="E69" s="103">
        <f t="shared" si="3"/>
        <v>4.6803294042671983E-3</v>
      </c>
      <c r="F69" s="101">
        <f t="shared" si="4"/>
        <v>54.181947829750492</v>
      </c>
      <c r="G69" s="104">
        <f t="shared" si="5"/>
        <v>1.5523389471424875</v>
      </c>
      <c r="H69" s="113">
        <f t="shared" si="6"/>
        <v>6.8450295272210617</v>
      </c>
      <c r="I69" s="114">
        <f t="shared" si="7"/>
        <v>1.4241801995295478</v>
      </c>
      <c r="J69" s="101">
        <f t="shared" si="8"/>
        <v>1.0126137147071563</v>
      </c>
      <c r="K69" s="104">
        <f t="shared" si="9"/>
        <v>0.15800340618640862</v>
      </c>
      <c r="L69" s="102">
        <f t="shared" si="10"/>
        <v>1</v>
      </c>
      <c r="M69" s="103">
        <f t="shared" si="11"/>
        <v>5.2280657005342511E-12</v>
      </c>
      <c r="N69" s="101">
        <f t="shared" si="12"/>
        <v>1</v>
      </c>
      <c r="O69" s="104">
        <f t="shared" si="13"/>
        <v>8.3649051208548012E-13</v>
      </c>
      <c r="P69" s="105">
        <f t="shared" ca="1" si="14"/>
        <v>1.0000389914184653</v>
      </c>
      <c r="Q69" s="106">
        <f t="shared" ca="1" si="15"/>
        <v>9.1106525927937866E-3</v>
      </c>
      <c r="R69" s="107">
        <f t="shared" ca="1" si="16"/>
        <v>35.85306479323399</v>
      </c>
      <c r="S69" s="108">
        <f t="shared" ca="1" si="17"/>
        <v>-99.635346583274995</v>
      </c>
      <c r="T69" s="78">
        <f t="shared" ca="1" si="18"/>
        <v>80.364653416725005</v>
      </c>
      <c r="V69" s="72">
        <f t="shared" ca="1" si="19"/>
        <v>1000000000</v>
      </c>
      <c r="W69" s="72">
        <f t="shared" si="20"/>
        <v>25119.080100000003</v>
      </c>
      <c r="Y69" s="110">
        <f t="shared" si="21"/>
        <v>46.003937792847026</v>
      </c>
      <c r="Z69" s="111">
        <f t="shared" si="22"/>
        <v>-16.395883687559625</v>
      </c>
      <c r="AA69" s="72">
        <f t="shared" si="23"/>
        <v>163.60411631244037</v>
      </c>
      <c r="AB69" s="110">
        <f t="shared" ca="1" si="24"/>
        <v>5.7667273472684633</v>
      </c>
      <c r="AC69" s="111">
        <f t="shared" ca="1" si="25"/>
        <v>-83.239462895715363</v>
      </c>
      <c r="AD69" s="72">
        <f t="shared" ca="1" si="26"/>
        <v>96.760537104284637</v>
      </c>
    </row>
    <row r="70" spans="1:30">
      <c r="A70" s="115">
        <v>173.78</v>
      </c>
      <c r="B70" s="101">
        <f t="shared" ca="1" si="0"/>
        <v>8.9675011731209633</v>
      </c>
      <c r="C70" s="102">
        <f t="shared" ca="1" si="1"/>
        <v>1.4590501202340078</v>
      </c>
      <c r="D70" s="102">
        <f t="shared" si="2"/>
        <v>1.000013168071691</v>
      </c>
      <c r="E70" s="103">
        <f t="shared" si="3"/>
        <v>5.1318470737394583E-3</v>
      </c>
      <c r="F70" s="101">
        <f t="shared" si="4"/>
        <v>59.407338678880897</v>
      </c>
      <c r="G70" s="104">
        <f t="shared" si="5"/>
        <v>1.5539625945845192</v>
      </c>
      <c r="H70" s="113">
        <f t="shared" si="6"/>
        <v>7.491903847766328</v>
      </c>
      <c r="I70" s="114">
        <f t="shared" si="7"/>
        <v>1.4369193507186226</v>
      </c>
      <c r="J70" s="101">
        <f t="shared" si="8"/>
        <v>1.0151458206096668</v>
      </c>
      <c r="K70" s="104">
        <f t="shared" si="9"/>
        <v>0.17295719647526481</v>
      </c>
      <c r="L70" s="102">
        <f t="shared" si="10"/>
        <v>1</v>
      </c>
      <c r="M70" s="103">
        <f t="shared" si="11"/>
        <v>5.7324326925285004E-12</v>
      </c>
      <c r="N70" s="101">
        <f t="shared" si="12"/>
        <v>1</v>
      </c>
      <c r="O70" s="104">
        <f t="shared" si="13"/>
        <v>9.1718923080456002E-13</v>
      </c>
      <c r="P70" s="105">
        <f t="shared" ca="1" si="14"/>
        <v>1.0000468773641948</v>
      </c>
      <c r="Q70" s="106">
        <f t="shared" ca="1" si="15"/>
        <v>9.9895334238954345E-3</v>
      </c>
      <c r="R70" s="107">
        <f t="shared" ca="1" si="16"/>
        <v>35.026901329655544</v>
      </c>
      <c r="S70" s="108">
        <f t="shared" ca="1" si="17"/>
        <v>-100.49154031656258</v>
      </c>
      <c r="T70" s="78">
        <f t="shared" ca="1" si="18"/>
        <v>79.508459683437422</v>
      </c>
      <c r="V70" s="72">
        <f t="shared" ca="1" si="19"/>
        <v>1000000000</v>
      </c>
      <c r="W70" s="72">
        <f t="shared" si="20"/>
        <v>30199.488400000002</v>
      </c>
      <c r="Y70" s="110">
        <f t="shared" si="21"/>
        <v>45.966872985689761</v>
      </c>
      <c r="Z70" s="111">
        <f t="shared" si="22"/>
        <v>-16.615801307194392</v>
      </c>
      <c r="AA70" s="72">
        <f t="shared" si="23"/>
        <v>163.3841986928056</v>
      </c>
      <c r="AB70" s="110">
        <f t="shared" ca="1" si="24"/>
        <v>4.9776286908472844</v>
      </c>
      <c r="AC70" s="111">
        <f t="shared" ca="1" si="25"/>
        <v>-83.875739009368218</v>
      </c>
      <c r="AD70" s="72">
        <f t="shared" ca="1" si="26"/>
        <v>96.124260990631782</v>
      </c>
    </row>
    <row r="71" spans="1:30">
      <c r="A71" s="115">
        <v>190.55</v>
      </c>
      <c r="B71" s="101">
        <f t="shared" ca="1" si="0"/>
        <v>9.8225838288599281</v>
      </c>
      <c r="C71" s="102">
        <f t="shared" ca="1" si="1"/>
        <v>1.468813432933145</v>
      </c>
      <c r="D71" s="102">
        <f t="shared" si="2"/>
        <v>1.000015832151034</v>
      </c>
      <c r="E71" s="103">
        <f t="shared" si="3"/>
        <v>5.6270671145475541E-3</v>
      </c>
      <c r="F71" s="101">
        <f t="shared" si="4"/>
        <v>65.1386725489714</v>
      </c>
      <c r="G71" s="104">
        <f t="shared" si="5"/>
        <v>1.5554438603569902</v>
      </c>
      <c r="H71" s="113">
        <f t="shared" si="6"/>
        <v>8.2025593009153628</v>
      </c>
      <c r="I71" s="114">
        <f t="shared" si="7"/>
        <v>1.448579124107515</v>
      </c>
      <c r="J71" s="101">
        <f t="shared" si="8"/>
        <v>1.0181826483376137</v>
      </c>
      <c r="K71" s="104">
        <f t="shared" si="9"/>
        <v>0.18926885230972279</v>
      </c>
      <c r="L71" s="102">
        <f t="shared" si="10"/>
        <v>1</v>
      </c>
      <c r="M71" s="103">
        <f t="shared" si="11"/>
        <v>6.2856200343037511E-12</v>
      </c>
      <c r="N71" s="101">
        <f t="shared" si="12"/>
        <v>1</v>
      </c>
      <c r="O71" s="104">
        <f t="shared" si="13"/>
        <v>1.0056992054886E-12</v>
      </c>
      <c r="P71" s="105">
        <f t="shared" ca="1" si="14"/>
        <v>1.0000563610991375</v>
      </c>
      <c r="Q71" s="106">
        <f t="shared" ca="1" si="15"/>
        <v>1.0953469600457757E-2</v>
      </c>
      <c r="R71" s="107">
        <f t="shared" ca="1" si="16"/>
        <v>34.19697839798792</v>
      </c>
      <c r="S71" s="108">
        <f t="shared" ca="1" si="17"/>
        <v>-101.42919589372455</v>
      </c>
      <c r="T71" s="78">
        <f t="shared" ca="1" si="18"/>
        <v>78.570804106275446</v>
      </c>
      <c r="V71" s="72">
        <f t="shared" ca="1" si="19"/>
        <v>1000000000</v>
      </c>
      <c r="W71" s="72">
        <f t="shared" si="20"/>
        <v>36309.302500000005</v>
      </c>
      <c r="Y71" s="110">
        <f t="shared" si="21"/>
        <v>45.928095319606619</v>
      </c>
      <c r="Z71" s="111">
        <f t="shared" si="22"/>
        <v>-16.967204815590982</v>
      </c>
      <c r="AA71" s="72">
        <f t="shared" si="23"/>
        <v>163.03279518440903</v>
      </c>
      <c r="AB71" s="110">
        <f t="shared" ca="1" si="24"/>
        <v>4.1864834252628027</v>
      </c>
      <c r="AC71" s="111">
        <f t="shared" ca="1" si="25"/>
        <v>-84.461991078133551</v>
      </c>
      <c r="AD71" s="72">
        <f t="shared" ca="1" si="26"/>
        <v>95.538008921866449</v>
      </c>
    </row>
    <row r="72" spans="1:30">
      <c r="A72" s="115">
        <v>208.93</v>
      </c>
      <c r="B72" s="101">
        <f t="shared" ca="1" si="0"/>
        <v>10.760654775628502</v>
      </c>
      <c r="C72" s="102">
        <f t="shared" ca="1" si="1"/>
        <v>1.4777308944420851</v>
      </c>
      <c r="D72" s="102">
        <f t="shared" si="2"/>
        <v>1.0000190336873551</v>
      </c>
      <c r="E72" s="103">
        <f t="shared" si="3"/>
        <v>6.1698274625646664E-3</v>
      </c>
      <c r="F72" s="101">
        <f t="shared" si="4"/>
        <v>71.42037836342179</v>
      </c>
      <c r="G72" s="104">
        <f t="shared" si="5"/>
        <v>1.556794263238805</v>
      </c>
      <c r="H72" s="113">
        <f t="shared" si="6"/>
        <v>8.9825094328978512</v>
      </c>
      <c r="I72" s="114">
        <f t="shared" si="7"/>
        <v>1.4592376084059535</v>
      </c>
      <c r="J72" s="101">
        <f t="shared" si="8"/>
        <v>1.0218202025531686</v>
      </c>
      <c r="K72" s="104">
        <f t="shared" si="9"/>
        <v>0.20702987686063357</v>
      </c>
      <c r="L72" s="102">
        <f t="shared" si="10"/>
        <v>1</v>
      </c>
      <c r="M72" s="103">
        <f t="shared" si="11"/>
        <v>6.891915999827251E-12</v>
      </c>
      <c r="N72" s="101">
        <f t="shared" si="12"/>
        <v>1</v>
      </c>
      <c r="O72" s="104">
        <f t="shared" si="13"/>
        <v>1.1027065599723601E-12</v>
      </c>
      <c r="P72" s="105">
        <f t="shared" ca="1" si="14"/>
        <v>1.0000677580176818</v>
      </c>
      <c r="Q72" s="106">
        <f t="shared" ca="1" si="15"/>
        <v>1.2009926930392168E-2</v>
      </c>
      <c r="R72" s="107">
        <f t="shared" ca="1" si="16"/>
        <v>33.362973468011312</v>
      </c>
      <c r="S72" s="108">
        <f t="shared" ca="1" si="17"/>
        <v>-102.45387943837008</v>
      </c>
      <c r="T72" s="116">
        <f t="shared" ca="1" si="18"/>
        <v>77.54612056162992</v>
      </c>
      <c r="V72" s="72">
        <f t="shared" ca="1" si="19"/>
        <v>1000000000</v>
      </c>
      <c r="W72" s="72">
        <f t="shared" si="20"/>
        <v>43651.744900000005</v>
      </c>
      <c r="Y72" s="110">
        <f t="shared" si="21"/>
        <v>45.886420661019031</v>
      </c>
      <c r="Z72" s="111">
        <f t="shared" si="22"/>
        <v>-17.451522782173956</v>
      </c>
      <c r="AA72" s="72">
        <f t="shared" si="23"/>
        <v>162.54847721782605</v>
      </c>
      <c r="AB72" s="110">
        <f t="shared" ca="1" si="24"/>
        <v>3.394153153873785</v>
      </c>
      <c r="AC72" s="111">
        <f t="shared" ca="1" si="25"/>
        <v>-85.002356656196099</v>
      </c>
      <c r="AD72" s="72">
        <f t="shared" ca="1" si="26"/>
        <v>94.997643343803901</v>
      </c>
    </row>
    <row r="73" spans="1:30">
      <c r="A73" s="115">
        <v>229.09</v>
      </c>
      <c r="B73" s="101">
        <f t="shared" ca="1" si="0"/>
        <v>11.790392444654858</v>
      </c>
      <c r="C73" s="102">
        <f t="shared" ca="1" si="1"/>
        <v>1.4858794906484449</v>
      </c>
      <c r="D73" s="102">
        <f t="shared" si="2"/>
        <v>1.0000228840427925</v>
      </c>
      <c r="E73" s="103">
        <f t="shared" si="3"/>
        <v>6.7651469165762694E-3</v>
      </c>
      <c r="F73" s="101">
        <f t="shared" si="4"/>
        <v>78.31055676402319</v>
      </c>
      <c r="G73" s="104">
        <f t="shared" si="5"/>
        <v>1.558026309306429</v>
      </c>
      <c r="H73" s="113">
        <f t="shared" si="6"/>
        <v>9.8389716979622186</v>
      </c>
      <c r="I73" s="114">
        <f t="shared" si="7"/>
        <v>1.4689838863115088</v>
      </c>
      <c r="J73" s="101">
        <f t="shared" si="8"/>
        <v>1.0261778754255524</v>
      </c>
      <c r="K73" s="104">
        <f t="shared" si="9"/>
        <v>0.22635936220510161</v>
      </c>
      <c r="L73" s="102">
        <f t="shared" si="10"/>
        <v>1</v>
      </c>
      <c r="M73" s="103">
        <f t="shared" si="11"/>
        <v>7.5569283319792516E-12</v>
      </c>
      <c r="N73" s="101">
        <f t="shared" si="12"/>
        <v>1</v>
      </c>
      <c r="O73" s="104">
        <f t="shared" si="13"/>
        <v>1.2091085331166801E-12</v>
      </c>
      <c r="P73" s="105">
        <f t="shared" ca="1" si="14"/>
        <v>1.0000814644976761</v>
      </c>
      <c r="Q73" s="106">
        <f t="shared" ca="1" si="15"/>
        <v>1.3168668122543596E-2</v>
      </c>
      <c r="R73" s="107">
        <f t="shared" ca="1" si="16"/>
        <v>32.523210665887277</v>
      </c>
      <c r="S73" s="108">
        <f t="shared" ca="1" si="17"/>
        <v>-103.5727096791672</v>
      </c>
      <c r="T73" s="116">
        <f t="shared" ca="1" si="18"/>
        <v>76.427290320832796</v>
      </c>
      <c r="V73" s="72">
        <f t="shared" ca="1" si="19"/>
        <v>1000000000</v>
      </c>
      <c r="W73" s="72">
        <f t="shared" si="20"/>
        <v>52482.2281</v>
      </c>
      <c r="Y73" s="110">
        <f t="shared" si="21"/>
        <v>45.840534706709022</v>
      </c>
      <c r="Z73" s="111">
        <f t="shared" si="22"/>
        <v>-18.07119116313865</v>
      </c>
      <c r="AA73" s="72">
        <f t="shared" si="23"/>
        <v>161.92880883686135</v>
      </c>
      <c r="AB73" s="110">
        <f t="shared" ca="1" si="24"/>
        <v>2.6002763060597673</v>
      </c>
      <c r="AC73" s="111">
        <f t="shared" ca="1" si="25"/>
        <v>-85.50151851602854</v>
      </c>
      <c r="AD73" s="72">
        <f t="shared" ca="1" si="26"/>
        <v>94.49848148397146</v>
      </c>
    </row>
    <row r="74" spans="1:30">
      <c r="A74" s="115">
        <v>251.19</v>
      </c>
      <c r="B74" s="101">
        <f t="shared" ca="1" si="0"/>
        <v>12.919971122924355</v>
      </c>
      <c r="C74" s="102">
        <f t="shared" ca="1" si="1"/>
        <v>1.4933192844524723</v>
      </c>
      <c r="D74" s="102">
        <f t="shared" si="2"/>
        <v>1.0000275121273838</v>
      </c>
      <c r="E74" s="103">
        <f t="shared" si="3"/>
        <v>7.417748530979343E-3</v>
      </c>
      <c r="F74" s="101">
        <f t="shared" si="4"/>
        <v>85.863891730606511</v>
      </c>
      <c r="G74" s="104">
        <f t="shared" si="5"/>
        <v>1.5591497243939727</v>
      </c>
      <c r="H74" s="113">
        <f t="shared" si="6"/>
        <v>10.778746378235878</v>
      </c>
      <c r="I74" s="114">
        <f t="shared" si="7"/>
        <v>1.4778875516515053</v>
      </c>
      <c r="J74" s="101">
        <f t="shared" si="8"/>
        <v>1.031391407010986</v>
      </c>
      <c r="K74" s="104">
        <f t="shared" si="9"/>
        <v>0.24735252476807018</v>
      </c>
      <c r="L74" s="102">
        <f t="shared" si="10"/>
        <v>1</v>
      </c>
      <c r="M74" s="103">
        <f t="shared" si="11"/>
        <v>8.2859349064117504E-12</v>
      </c>
      <c r="N74" s="101">
        <f t="shared" si="12"/>
        <v>1</v>
      </c>
      <c r="O74" s="104">
        <f t="shared" si="13"/>
        <v>1.32574958502588E-12</v>
      </c>
      <c r="P74" s="105">
        <f t="shared" ca="1" si="14"/>
        <v>1.0000979393570983</v>
      </c>
      <c r="Q74" s="106">
        <f t="shared" ca="1" si="15"/>
        <v>1.4438878116585745E-2</v>
      </c>
      <c r="R74" s="107">
        <f t="shared" ca="1" si="16"/>
        <v>31.676990595690093</v>
      </c>
      <c r="S74" s="108">
        <f t="shared" ca="1" si="17"/>
        <v>-104.79140892995721</v>
      </c>
      <c r="T74" s="116">
        <f t="shared" ca="1" si="18"/>
        <v>75.208591070042786</v>
      </c>
      <c r="V74" s="72">
        <f t="shared" ca="1" si="19"/>
        <v>1000000000</v>
      </c>
      <c r="W74" s="72">
        <f t="shared" si="20"/>
        <v>63096.416100000002</v>
      </c>
      <c r="Y74" s="110">
        <f t="shared" si="21"/>
        <v>45.789083166463406</v>
      </c>
      <c r="Z74" s="111">
        <f t="shared" si="22"/>
        <v>-18.828235274437603</v>
      </c>
      <c r="AA74" s="72">
        <f t="shared" si="23"/>
        <v>161.17176472556241</v>
      </c>
      <c r="AB74" s="110">
        <f t="shared" ca="1" si="24"/>
        <v>1.8055077761081977</v>
      </c>
      <c r="AC74" s="111">
        <f t="shared" ca="1" si="25"/>
        <v>-85.96317365551964</v>
      </c>
      <c r="AD74" s="72">
        <f t="shared" ca="1" si="26"/>
        <v>94.03682634448036</v>
      </c>
    </row>
    <row r="75" spans="1:30">
      <c r="A75" s="115">
        <v>275.42</v>
      </c>
      <c r="B75" s="101">
        <f t="shared" ca="1" si="0"/>
        <v>14.159103057856532</v>
      </c>
      <c r="C75" s="102">
        <f t="shared" ca="1" si="1"/>
        <v>1.5001115380202681</v>
      </c>
      <c r="D75" s="102">
        <f t="shared" si="2"/>
        <v>1.0000330757135121</v>
      </c>
      <c r="E75" s="103">
        <f t="shared" si="3"/>
        <v>8.1332406664044524E-3</v>
      </c>
      <c r="F75" s="101">
        <f t="shared" si="4"/>
        <v>94.145321393916234</v>
      </c>
      <c r="G75" s="104">
        <f t="shared" si="5"/>
        <v>1.5601742503051386</v>
      </c>
      <c r="H75" s="113">
        <f t="shared" si="6"/>
        <v>11.80991475702446</v>
      </c>
      <c r="I75" s="114">
        <f t="shared" si="7"/>
        <v>1.4860201994746105</v>
      </c>
      <c r="J75" s="101">
        <f t="shared" si="8"/>
        <v>1.0376241391541525</v>
      </c>
      <c r="K75" s="104">
        <f t="shared" si="9"/>
        <v>0.27011540402904521</v>
      </c>
      <c r="L75" s="102">
        <f t="shared" si="10"/>
        <v>1</v>
      </c>
      <c r="M75" s="103">
        <f t="shared" si="11"/>
        <v>9.0852032004615017E-12</v>
      </c>
      <c r="N75" s="101">
        <f t="shared" si="12"/>
        <v>1</v>
      </c>
      <c r="O75" s="104">
        <f t="shared" si="13"/>
        <v>1.4536325120738402E-12</v>
      </c>
      <c r="P75" s="105">
        <f t="shared" ca="1" si="14"/>
        <v>1.0001177441184399</v>
      </c>
      <c r="Q75" s="106">
        <f t="shared" ca="1" si="15"/>
        <v>1.5831462242815349E-2</v>
      </c>
      <c r="R75" s="107">
        <f t="shared" ca="1" si="16"/>
        <v>30.822858485354331</v>
      </c>
      <c r="S75" s="108">
        <f t="shared" ca="1" si="17"/>
        <v>-106.11632243306646</v>
      </c>
      <c r="T75" s="116">
        <f t="shared" ca="1" si="18"/>
        <v>73.883677566933542</v>
      </c>
      <c r="V75" s="72">
        <f t="shared" ca="1" si="19"/>
        <v>1000000000</v>
      </c>
      <c r="W75" s="72">
        <f t="shared" si="20"/>
        <v>75856.176400000011</v>
      </c>
      <c r="Y75" s="110">
        <f t="shared" si="21"/>
        <v>45.730558732823738</v>
      </c>
      <c r="Z75" s="111">
        <f t="shared" si="22"/>
        <v>-19.72518680082522</v>
      </c>
      <c r="AA75" s="72">
        <f t="shared" si="23"/>
        <v>160.27481319917479</v>
      </c>
      <c r="AB75" s="110">
        <f t="shared" ca="1" si="24"/>
        <v>1.0099000994121052</v>
      </c>
      <c r="AC75" s="111">
        <f t="shared" ca="1" si="25"/>
        <v>-86.39113563224123</v>
      </c>
      <c r="AD75" s="72">
        <f t="shared" ca="1" si="26"/>
        <v>93.60886436775877</v>
      </c>
    </row>
    <row r="76" spans="1:30">
      <c r="A76" s="115">
        <v>302</v>
      </c>
      <c r="B76" s="101">
        <f t="shared" ca="1" si="0"/>
        <v>15.51904044749285</v>
      </c>
      <c r="C76" s="102">
        <f t="shared" ca="1" si="1"/>
        <v>1.5063146779329561</v>
      </c>
      <c r="D76" s="102">
        <f t="shared" si="2"/>
        <v>1.0000397677212962</v>
      </c>
      <c r="E76" s="103">
        <f t="shared" si="3"/>
        <v>8.9181167796783534E-3</v>
      </c>
      <c r="F76" s="101">
        <f t="shared" si="4"/>
        <v>103.23003832170761</v>
      </c>
      <c r="G76" s="104">
        <f t="shared" si="5"/>
        <v>1.56110907241708</v>
      </c>
      <c r="H76" s="113">
        <f t="shared" si="6"/>
        <v>12.941841549252432</v>
      </c>
      <c r="I76" s="114">
        <f t="shared" si="7"/>
        <v>1.4934504748933426</v>
      </c>
      <c r="J76" s="101">
        <f t="shared" si="8"/>
        <v>1.045071812617945</v>
      </c>
      <c r="K76" s="104">
        <f t="shared" si="9"/>
        <v>0.29475948274318448</v>
      </c>
      <c r="L76" s="102">
        <f t="shared" si="10"/>
        <v>1</v>
      </c>
      <c r="M76" s="103">
        <f t="shared" si="11"/>
        <v>9.9619902931500016E-12</v>
      </c>
      <c r="N76" s="101">
        <f t="shared" si="12"/>
        <v>1</v>
      </c>
      <c r="O76" s="104">
        <f t="shared" si="13"/>
        <v>1.5939184469040001E-12</v>
      </c>
      <c r="P76" s="105">
        <f t="shared" ca="1" si="14"/>
        <v>1.0001415653638601</v>
      </c>
      <c r="Q76" s="106">
        <f t="shared" ca="1" si="15"/>
        <v>1.7359044814846552E-2</v>
      </c>
      <c r="R76" s="107">
        <f t="shared" ca="1" si="16"/>
        <v>29.958845313706149</v>
      </c>
      <c r="S76" s="108">
        <f t="shared" ca="1" si="17"/>
        <v>-107.55412975670222</v>
      </c>
      <c r="T76" s="116">
        <f t="shared" ca="1" si="18"/>
        <v>72.445870243297776</v>
      </c>
      <c r="V76" s="72">
        <f t="shared" ca="1" si="19"/>
        <v>1000000000</v>
      </c>
      <c r="W76" s="72">
        <f t="shared" si="20"/>
        <v>91204</v>
      </c>
      <c r="Y76" s="110">
        <f t="shared" si="21"/>
        <v>45.663276763784722</v>
      </c>
      <c r="Z76" s="111">
        <f t="shared" si="22"/>
        <v>-20.765026441776168</v>
      </c>
      <c r="AA76" s="72">
        <f t="shared" si="23"/>
        <v>159.23497355822383</v>
      </c>
      <c r="AB76" s="110">
        <f t="shared" ca="1" si="24"/>
        <v>0.21316889680292395</v>
      </c>
      <c r="AC76" s="111">
        <f t="shared" ca="1" si="25"/>
        <v>-86.789103314926066</v>
      </c>
      <c r="AD76" s="72">
        <f t="shared" ca="1" si="26"/>
        <v>93.210896685073934</v>
      </c>
    </row>
    <row r="77" spans="1:30">
      <c r="A77" s="115">
        <v>331.13</v>
      </c>
      <c r="B77" s="101">
        <f t="shared" ca="1" si="0"/>
        <v>17.010016769239147</v>
      </c>
      <c r="C77" s="102">
        <f t="shared" ca="1" si="1"/>
        <v>1.5119735205893015</v>
      </c>
      <c r="D77" s="102">
        <f t="shared" si="2"/>
        <v>1.0000478092722169</v>
      </c>
      <c r="E77" s="103">
        <f t="shared" si="3"/>
        <v>9.7782787363316793E-3</v>
      </c>
      <c r="F77" s="101">
        <f t="shared" si="4"/>
        <v>113.18640005042113</v>
      </c>
      <c r="G77" s="104">
        <f t="shared" si="5"/>
        <v>1.561961228147877</v>
      </c>
      <c r="H77" s="113">
        <f t="shared" si="6"/>
        <v>14.183045091528946</v>
      </c>
      <c r="I77" s="114">
        <f t="shared" si="7"/>
        <v>1.5002310578099547</v>
      </c>
      <c r="J77" s="101">
        <f t="shared" si="8"/>
        <v>1.0539518693352212</v>
      </c>
      <c r="K77" s="104">
        <f t="shared" si="9"/>
        <v>0.32134986627625306</v>
      </c>
      <c r="L77" s="102">
        <f t="shared" si="10"/>
        <v>1</v>
      </c>
      <c r="M77" s="103">
        <f t="shared" si="11"/>
        <v>1.0922893529042251E-11</v>
      </c>
      <c r="N77" s="101">
        <f t="shared" si="12"/>
        <v>1</v>
      </c>
      <c r="O77" s="104">
        <f t="shared" si="13"/>
        <v>1.74766296464676E-12</v>
      </c>
      <c r="P77" s="105">
        <f t="shared" ca="1" si="14"/>
        <v>1.0001701899820141</v>
      </c>
      <c r="Q77" s="106">
        <f t="shared" ca="1" si="15"/>
        <v>1.9033093923136117E-2</v>
      </c>
      <c r="R77" s="107">
        <f t="shared" ca="1" si="16"/>
        <v>29.084081081534222</v>
      </c>
      <c r="S77" s="108">
        <f t="shared" ca="1" si="17"/>
        <v>-109.10883275353953</v>
      </c>
      <c r="T77" s="116">
        <f t="shared" ca="1" si="18"/>
        <v>70.891167246460469</v>
      </c>
      <c r="V77" s="72">
        <f t="shared" ca="1" si="19"/>
        <v>1000000000</v>
      </c>
      <c r="W77" s="72">
        <f t="shared" si="20"/>
        <v>109647.0769</v>
      </c>
      <c r="Y77" s="110">
        <f t="shared" si="21"/>
        <v>45.58548881260738</v>
      </c>
      <c r="Z77" s="111">
        <f t="shared" si="22"/>
        <v>-21.948869338263837</v>
      </c>
      <c r="AA77" s="72">
        <f t="shared" si="23"/>
        <v>158.05113066173615</v>
      </c>
      <c r="AB77" s="110">
        <f t="shared" ca="1" si="24"/>
        <v>-0.5838073841916489</v>
      </c>
      <c r="AC77" s="111">
        <f t="shared" ca="1" si="25"/>
        <v>-87.159963415275698</v>
      </c>
      <c r="AD77" s="72">
        <f t="shared" ca="1" si="26"/>
        <v>92.840036584724302</v>
      </c>
    </row>
    <row r="78" spans="1:30">
      <c r="A78" s="115">
        <v>363.08</v>
      </c>
      <c r="B78" s="101">
        <f t="shared" ref="B78:B141" ca="1" si="27">SQRT(1+(A78/Pole1)^2)</f>
        <v>18.645851977050668</v>
      </c>
      <c r="C78" s="102">
        <f t="shared" ref="C78:C141" ca="1" si="28">ATAN(A78/Pole1)</f>
        <v>1.517139352170696</v>
      </c>
      <c r="D78" s="102">
        <f t="shared" ref="D78:D141" si="29">SQRT(1+(A78/Zero1)^2)</f>
        <v>1.0000574801149544</v>
      </c>
      <c r="E78" s="103">
        <f t="shared" ref="E78:E141" si="30">ATAN(A78/Zero1)</f>
        <v>1.0721694062651815E-2</v>
      </c>
      <c r="F78" s="101">
        <f t="shared" ref="F78:F141" si="31">SQRT(1+(A78/Pole2)^2)</f>
        <v>124.10669003565769</v>
      </c>
      <c r="G78" s="104">
        <f t="shared" ref="G78:G141" si="32">ATAN(A78/Pole2)</f>
        <v>1.5627386562470498</v>
      </c>
      <c r="H78" s="113">
        <f t="shared" ref="H78:H141" si="33">SQRT(1+(A78/Zero2)^2)</f>
        <v>15.545030612509469</v>
      </c>
      <c r="I78" s="114">
        <f t="shared" ref="I78:I141" si="34">ATAN(A78/Zero2)</f>
        <v>1.5064226358698765</v>
      </c>
      <c r="J78" s="101">
        <f t="shared" ref="J78:J141" si="35">SQRT(1+(A78/pole4)^2)</f>
        <v>1.0645330966053734</v>
      </c>
      <c r="K78" s="104">
        <f t="shared" ref="K78:K141" si="36">ATAN(A78/pole4)</f>
        <v>0.34998176214538995</v>
      </c>
      <c r="L78" s="102">
        <f t="shared" ref="L78:L141" si="37">SQRT(1+(A78/Zerofeed)^2)</f>
        <v>1</v>
      </c>
      <c r="M78" s="103">
        <f t="shared" ref="M78:M141" si="38">ATAN(A78/Zerofeed)</f>
        <v>1.1976819323301E-11</v>
      </c>
      <c r="N78" s="101">
        <f t="shared" ref="N78:N141" si="39">SQRT(1+(A78/Polefeed)^2)</f>
        <v>1</v>
      </c>
      <c r="O78" s="104">
        <f t="shared" ref="O78:O141" si="40">ATAN(A78/Polefeed)</f>
        <v>1.9162910917281599E-12</v>
      </c>
      <c r="P78" s="105">
        <f t="shared" ref="P78:P141" ca="1" si="41">SQRT((1-(W78/pterm2))^2+(A78/pterm1)^2)</f>
        <v>1.0002046134341542</v>
      </c>
      <c r="Q78" s="106">
        <f t="shared" ref="Q78:Q141" ca="1" si="42">IF((ATAN((A78/pterm1)/(1-A78^2/pterm2))&gt;0),ATAN((A78/pterm1)/(1-A78^2/pterm2)),PI()+ATAN((A78/pterm1)/(1-A78^2/pterm2)))</f>
        <v>2.086909154604711E-2</v>
      </c>
      <c r="R78" s="107">
        <f t="shared" ref="R78:R141" ca="1" si="43">20*LOG10(((D78*H78*L78)/(B78*F78*P78*J78*N78))*Adc)</f>
        <v>28.195971573047004</v>
      </c>
      <c r="S78" s="108">
        <f t="shared" ref="S78:S141" ca="1" si="44">((E78+I78+M78)-(C78+G78+Q78+K78+O78))*radconv</f>
        <v>-110.7862331515153</v>
      </c>
      <c r="T78" s="116">
        <f t="shared" ref="T78:T141" ca="1" si="45">IF(S78&gt;0,S78,S78+180)</f>
        <v>69.213766848484696</v>
      </c>
      <c r="V78" s="72">
        <f t="shared" ref="V78:V141" ca="1" si="46">IF(R78&lt;0,A78,1000000000)</f>
        <v>1000000000</v>
      </c>
      <c r="W78" s="72">
        <f t="shared" ref="W78:W141" si="47">A78^2</f>
        <v>131827.0864</v>
      </c>
      <c r="Y78" s="110">
        <f t="shared" ref="Y78:Y141" si="48">20*LOG10(((H78*L78)/(F78*J78*N78))*Aea)</f>
        <v>45.495144059463364</v>
      </c>
      <c r="Z78" s="111">
        <f t="shared" ref="Z78:Z141" si="49">(I78+M78-(G78+K78+O78))*radconv</f>
        <v>-23.279148190090933</v>
      </c>
      <c r="AA78" s="72">
        <f t="shared" ref="AA78:AA141" si="50">IF(Z78&gt;0,Z78,Z78+180)</f>
        <v>156.72085180990908</v>
      </c>
      <c r="AB78" s="110">
        <f t="shared" ref="AB78:AB141" ca="1" si="51">20*LOG10((D78/(B78*P78))*Acs*Am)</f>
        <v>-1.3815721395348624</v>
      </c>
      <c r="AC78" s="111">
        <f t="shared" ref="AC78:AC141" ca="1" si="52">(E78-(C78+Q78))*radconv</f>
        <v>-87.507084961424397</v>
      </c>
      <c r="AD78" s="72">
        <f t="shared" ref="AD78:AD141" ca="1" si="53">IF(AC78&gt;0,AC78,AC78+180)</f>
        <v>92.492915038575603</v>
      </c>
    </row>
    <row r="79" spans="1:30">
      <c r="A79" s="115">
        <v>398.11</v>
      </c>
      <c r="B79" s="101">
        <f t="shared" ca="1" si="27"/>
        <v>20.439858613597337</v>
      </c>
      <c r="C79" s="102">
        <f t="shared" ca="1" si="28"/>
        <v>1.5218527711768948</v>
      </c>
      <c r="D79" s="102">
        <f t="shared" si="29"/>
        <v>1.0000691061380256</v>
      </c>
      <c r="E79" s="103">
        <f t="shared" si="30"/>
        <v>1.1756033220858057E-2</v>
      </c>
      <c r="F79" s="101">
        <f t="shared" si="31"/>
        <v>136.07977451312027</v>
      </c>
      <c r="G79" s="104">
        <f t="shared" si="32"/>
        <v>1.5634476300161724</v>
      </c>
      <c r="H79" s="113">
        <f t="shared" si="33"/>
        <v>17.038882478550004</v>
      </c>
      <c r="I79" s="114">
        <f t="shared" si="34"/>
        <v>1.5120732875860974</v>
      </c>
      <c r="J79" s="101">
        <f t="shared" si="35"/>
        <v>1.0771161076083633</v>
      </c>
      <c r="K79" s="104">
        <f t="shared" si="36"/>
        <v>0.38069931391318457</v>
      </c>
      <c r="L79" s="102">
        <f t="shared" si="37"/>
        <v>1</v>
      </c>
      <c r="M79" s="103">
        <f t="shared" si="38"/>
        <v>1.3132344223860752E-11</v>
      </c>
      <c r="N79" s="101">
        <f t="shared" si="39"/>
        <v>1</v>
      </c>
      <c r="O79" s="104">
        <f t="shared" si="40"/>
        <v>2.1011750758177203E-12</v>
      </c>
      <c r="P79" s="105">
        <f t="shared" ca="1" si="41"/>
        <v>1.0002459952473302</v>
      </c>
      <c r="Q79" s="106">
        <f t="shared" ca="1" si="42"/>
        <v>2.288193305478433E-2</v>
      </c>
      <c r="R79" s="107">
        <f t="shared" ca="1" si="43"/>
        <v>27.292755801437217</v>
      </c>
      <c r="S79" s="108">
        <f t="shared" ca="1" si="44"/>
        <v>-112.58920500776856</v>
      </c>
      <c r="T79" s="116">
        <f t="shared" ca="1" si="45"/>
        <v>67.410794992231445</v>
      </c>
      <c r="V79" s="72">
        <f t="shared" ca="1" si="46"/>
        <v>1000000000</v>
      </c>
      <c r="W79" s="72">
        <f t="shared" si="47"/>
        <v>158491.57210000002</v>
      </c>
      <c r="Y79" s="110">
        <f t="shared" si="48"/>
        <v>45.390099772588016</v>
      </c>
      <c r="Z79" s="111">
        <f t="shared" si="49"/>
        <v>-24.755996974910506</v>
      </c>
      <c r="AA79" s="72">
        <f t="shared" si="50"/>
        <v>155.24400302508948</v>
      </c>
      <c r="AB79" s="110">
        <f t="shared" ca="1" si="51"/>
        <v>-2.1797436242692929</v>
      </c>
      <c r="AC79" s="111">
        <f t="shared" ca="1" si="52"/>
        <v>-87.833208032858025</v>
      </c>
      <c r="AD79" s="72">
        <f t="shared" ca="1" si="53"/>
        <v>92.166791967141975</v>
      </c>
    </row>
    <row r="80" spans="1:30">
      <c r="A80" s="115">
        <v>436.52</v>
      </c>
      <c r="B80" s="101">
        <f t="shared" ca="1" si="27"/>
        <v>22.407400982276261</v>
      </c>
      <c r="C80" s="102">
        <f t="shared" ca="1" si="28"/>
        <v>1.526153387465172</v>
      </c>
      <c r="D80" s="102">
        <f t="shared" si="29"/>
        <v>1.0000830836768655</v>
      </c>
      <c r="E80" s="103">
        <f t="shared" si="30"/>
        <v>1.2890145449824192E-2</v>
      </c>
      <c r="F80" s="101">
        <f t="shared" si="31"/>
        <v>149.20819202535904</v>
      </c>
      <c r="G80" s="104">
        <f t="shared" si="32"/>
        <v>1.5640942317369011</v>
      </c>
      <c r="H80" s="113">
        <f t="shared" si="33"/>
        <v>18.677394662179704</v>
      </c>
      <c r="I80" s="114">
        <f t="shared" si="34"/>
        <v>1.5172300557777181</v>
      </c>
      <c r="J80" s="101">
        <f t="shared" si="35"/>
        <v>1.0920524649593737</v>
      </c>
      <c r="K80" s="104">
        <f t="shared" si="36"/>
        <v>0.41353273731606383</v>
      </c>
      <c r="L80" s="102">
        <f t="shared" si="37"/>
        <v>1</v>
      </c>
      <c r="M80" s="103">
        <f t="shared" si="38"/>
        <v>1.4399364247569002E-11</v>
      </c>
      <c r="N80" s="101">
        <f t="shared" si="39"/>
        <v>1</v>
      </c>
      <c r="O80" s="104">
        <f t="shared" si="40"/>
        <v>2.3038982796110401E-12</v>
      </c>
      <c r="P80" s="105">
        <f t="shared" ca="1" si="41"/>
        <v>1.0002957454552714</v>
      </c>
      <c r="Q80" s="106">
        <f t="shared" ca="1" si="42"/>
        <v>2.5088796751294766E-2</v>
      </c>
      <c r="R80" s="107">
        <f t="shared" ca="1" si="43"/>
        <v>26.372075585626945</v>
      </c>
      <c r="S80" s="108">
        <f t="shared" ca="1" si="44"/>
        <v>-114.51987938836149</v>
      </c>
      <c r="T80" s="116">
        <f t="shared" ca="1" si="45"/>
        <v>65.480120611638512</v>
      </c>
      <c r="V80" s="72">
        <f t="shared" ca="1" si="46"/>
        <v>1000000000</v>
      </c>
      <c r="W80" s="72">
        <f t="shared" si="47"/>
        <v>190549.71039999998</v>
      </c>
      <c r="Y80" s="110">
        <f t="shared" si="48"/>
        <v>45.268002138213475</v>
      </c>
      <c r="Z80" s="111">
        <f t="shared" si="49"/>
        <v>-26.378800060971379</v>
      </c>
      <c r="AA80" s="72">
        <f t="shared" si="50"/>
        <v>153.62119993902863</v>
      </c>
      <c r="AB80" s="110">
        <f t="shared" ca="1" si="51"/>
        <v>-2.9783262057050268</v>
      </c>
      <c r="AC80" s="111">
        <f t="shared" ca="1" si="52"/>
        <v>-88.141079327390074</v>
      </c>
      <c r="AD80" s="72">
        <f t="shared" ca="1" si="53"/>
        <v>91.858920672609926</v>
      </c>
    </row>
    <row r="81" spans="1:30">
      <c r="A81" s="115">
        <v>478.63</v>
      </c>
      <c r="B81" s="101">
        <f t="shared" ca="1" si="27"/>
        <v>24.564871167554355</v>
      </c>
      <c r="C81" s="102">
        <f t="shared" ca="1" si="28"/>
        <v>1.5300765364542073</v>
      </c>
      <c r="D81" s="102">
        <f t="shared" si="29"/>
        <v>1.000099885764747</v>
      </c>
      <c r="E81" s="103">
        <f t="shared" si="30"/>
        <v>1.4133467454983149E-2</v>
      </c>
      <c r="F81" s="101">
        <f t="shared" si="31"/>
        <v>163.60131755821396</v>
      </c>
      <c r="G81" s="104">
        <f t="shared" si="32"/>
        <v>1.5646838685214743</v>
      </c>
      <c r="H81" s="113">
        <f t="shared" si="33"/>
        <v>20.474218203474663</v>
      </c>
      <c r="I81" s="114">
        <f t="shared" si="34"/>
        <v>1.5219349731534932</v>
      </c>
      <c r="J81" s="101">
        <f t="shared" si="35"/>
        <v>1.1097413548328077</v>
      </c>
      <c r="K81" s="104">
        <f t="shared" si="36"/>
        <v>0.44847155305281394</v>
      </c>
      <c r="L81" s="102">
        <f t="shared" si="37"/>
        <v>1</v>
      </c>
      <c r="M81" s="103">
        <f t="shared" si="38"/>
        <v>1.5788435145729752E-11</v>
      </c>
      <c r="N81" s="101">
        <f t="shared" si="39"/>
        <v>1</v>
      </c>
      <c r="O81" s="104">
        <f t="shared" si="40"/>
        <v>2.52614962331676E-12</v>
      </c>
      <c r="P81" s="105">
        <f t="shared" ca="1" si="41"/>
        <v>1.0003555467304337</v>
      </c>
      <c r="Q81" s="106">
        <f t="shared" ca="1" si="42"/>
        <v>2.7507989538492095E-2</v>
      </c>
      <c r="R81" s="107">
        <f t="shared" ca="1" si="43"/>
        <v>25.431614875361809</v>
      </c>
      <c r="S81" s="108">
        <f t="shared" ca="1" si="44"/>
        <v>-116.57809017669578</v>
      </c>
      <c r="T81" s="116">
        <f t="shared" ca="1" si="45"/>
        <v>63.421909823304219</v>
      </c>
      <c r="V81" s="72">
        <f t="shared" ca="1" si="46"/>
        <v>1000000000</v>
      </c>
      <c r="W81" s="72">
        <f t="shared" si="47"/>
        <v>229086.67689999999</v>
      </c>
      <c r="Y81" s="110">
        <f t="shared" si="48"/>
        <v>45.126374854822664</v>
      </c>
      <c r="Z81" s="111">
        <f t="shared" si="49"/>
        <v>-28.144858536435596</v>
      </c>
      <c r="AA81" s="72">
        <f t="shared" si="50"/>
        <v>151.85514146356439</v>
      </c>
      <c r="AB81" s="110">
        <f t="shared" ca="1" si="51"/>
        <v>-3.7771596325793548</v>
      </c>
      <c r="AC81" s="111">
        <f t="shared" ca="1" si="52"/>
        <v>-88.433231640260203</v>
      </c>
      <c r="AD81" s="72">
        <f t="shared" ca="1" si="53"/>
        <v>91.566768359739797</v>
      </c>
    </row>
    <row r="82" spans="1:30">
      <c r="A82" s="115">
        <v>524.80999999999995</v>
      </c>
      <c r="B82" s="101">
        <f t="shared" ca="1" si="27"/>
        <v>26.931226004373329</v>
      </c>
      <c r="C82" s="102">
        <f t="shared" ca="1" si="28"/>
        <v>1.5336561707777965</v>
      </c>
      <c r="D82" s="102">
        <f t="shared" si="29"/>
        <v>1.0001200890980884</v>
      </c>
      <c r="E82" s="103">
        <f t="shared" si="30"/>
        <v>1.5496908175092418E-2</v>
      </c>
      <c r="F82" s="101">
        <f t="shared" si="31"/>
        <v>179.38561647787154</v>
      </c>
      <c r="G82" s="104">
        <f t="shared" si="32"/>
        <v>1.5652217149668353</v>
      </c>
      <c r="H82" s="113">
        <f t="shared" si="33"/>
        <v>22.445141247309103</v>
      </c>
      <c r="I82" s="114">
        <f t="shared" si="34"/>
        <v>1.5262285018829427</v>
      </c>
      <c r="J82" s="101">
        <f t="shared" si="35"/>
        <v>1.1306450045395284</v>
      </c>
      <c r="K82" s="104">
        <f t="shared" si="36"/>
        <v>0.48548034283416613</v>
      </c>
      <c r="L82" s="102">
        <f t="shared" si="37"/>
        <v>1</v>
      </c>
      <c r="M82" s="103">
        <f t="shared" si="38"/>
        <v>1.731176200578825E-11</v>
      </c>
      <c r="N82" s="101">
        <f t="shared" si="39"/>
        <v>1</v>
      </c>
      <c r="O82" s="104">
        <f t="shared" si="40"/>
        <v>2.7698819209261199E-12</v>
      </c>
      <c r="P82" s="105">
        <f t="shared" ca="1" si="41"/>
        <v>1.0004274501900292</v>
      </c>
      <c r="Q82" s="106">
        <f t="shared" ca="1" si="42"/>
        <v>3.0160663711938783E-2</v>
      </c>
      <c r="R82" s="107">
        <f t="shared" ca="1" si="43"/>
        <v>24.468527304499329</v>
      </c>
      <c r="S82" s="108">
        <f t="shared" ca="1" si="44"/>
        <v>-118.76231846903151</v>
      </c>
      <c r="T82" s="116">
        <f t="shared" ca="1" si="45"/>
        <v>61.237681530968487</v>
      </c>
      <c r="V82" s="72">
        <f t="shared" ca="1" si="46"/>
        <v>1000000000</v>
      </c>
      <c r="W82" s="72">
        <f t="shared" si="47"/>
        <v>275425.53609999997</v>
      </c>
      <c r="Y82" s="110">
        <f t="shared" si="48"/>
        <v>44.962568794304481</v>
      </c>
      <c r="Z82" s="111">
        <f t="shared" si="49"/>
        <v>-30.050121253827431</v>
      </c>
      <c r="AA82" s="72">
        <f t="shared" si="50"/>
        <v>149.94987874617257</v>
      </c>
      <c r="AB82" s="110">
        <f t="shared" ca="1" si="51"/>
        <v>-4.5764411429236498</v>
      </c>
      <c r="AC82" s="111">
        <f t="shared" ca="1" si="52"/>
        <v>-88.7121972152041</v>
      </c>
      <c r="AD82" s="72">
        <f t="shared" ca="1" si="53"/>
        <v>91.2878027847959</v>
      </c>
    </row>
    <row r="83" spans="1:30">
      <c r="A83" s="115">
        <v>575.44000000000005</v>
      </c>
      <c r="B83" s="101">
        <f t="shared" ca="1" si="27"/>
        <v>29.525937612669207</v>
      </c>
      <c r="C83" s="102">
        <f t="shared" ca="1" si="28"/>
        <v>1.5369213219978748</v>
      </c>
      <c r="D83" s="102">
        <f t="shared" si="29"/>
        <v>1.0001443757325639</v>
      </c>
      <c r="E83" s="103">
        <f t="shared" si="30"/>
        <v>1.699166645212587E-2</v>
      </c>
      <c r="F83" s="101">
        <f t="shared" si="31"/>
        <v>196.6909725824778</v>
      </c>
      <c r="G83" s="104">
        <f t="shared" si="32"/>
        <v>1.5657121874723741</v>
      </c>
      <c r="H83" s="113">
        <f t="shared" si="33"/>
        <v>24.606382141961994</v>
      </c>
      <c r="I83" s="114">
        <f t="shared" si="34"/>
        <v>1.5301452686496972</v>
      </c>
      <c r="J83" s="101">
        <f t="shared" si="35"/>
        <v>1.1552735213489975</v>
      </c>
      <c r="K83" s="104">
        <f t="shared" si="36"/>
        <v>0.52445718573699729</v>
      </c>
      <c r="L83" s="102">
        <f t="shared" si="37"/>
        <v>1</v>
      </c>
      <c r="M83" s="103">
        <f t="shared" si="38"/>
        <v>1.8981879782418003E-11</v>
      </c>
      <c r="N83" s="101">
        <f t="shared" si="39"/>
        <v>1</v>
      </c>
      <c r="O83" s="104">
        <f t="shared" si="40"/>
        <v>3.0371007651868806E-12</v>
      </c>
      <c r="P83" s="105">
        <f t="shared" ca="1" si="41"/>
        <v>1.0005138811883167</v>
      </c>
      <c r="Q83" s="106">
        <f t="shared" ca="1" si="42"/>
        <v>3.3068510252061804E-2</v>
      </c>
      <c r="R83" s="107">
        <f t="shared" ca="1" si="43"/>
        <v>23.480437585531675</v>
      </c>
      <c r="S83" s="108">
        <f t="shared" ca="1" si="44"/>
        <v>-121.06725824606102</v>
      </c>
      <c r="T83" s="116">
        <f t="shared" ca="1" si="45"/>
        <v>58.932741753938984</v>
      </c>
      <c r="V83" s="72">
        <f t="shared" ca="1" si="46"/>
        <v>1000000000</v>
      </c>
      <c r="W83" s="72">
        <f t="shared" si="47"/>
        <v>331131.19360000006</v>
      </c>
      <c r="Y83" s="110">
        <f t="shared" si="48"/>
        <v>44.773969994957682</v>
      </c>
      <c r="Z83" s="111">
        <f t="shared" si="49"/>
        <v>-32.087017652613639</v>
      </c>
      <c r="AA83" s="72">
        <f t="shared" si="50"/>
        <v>147.91298234738636</v>
      </c>
      <c r="AB83" s="110">
        <f t="shared" ca="1" si="51"/>
        <v>-5.3759320625445053</v>
      </c>
      <c r="AC83" s="111">
        <f t="shared" ca="1" si="52"/>
        <v>-88.980240593447363</v>
      </c>
      <c r="AD83" s="72">
        <f t="shared" ca="1" si="53"/>
        <v>91.019759406552637</v>
      </c>
    </row>
    <row r="84" spans="1:30">
      <c r="A84" s="115">
        <v>630.96</v>
      </c>
      <c r="B84" s="101">
        <f t="shared" ca="1" si="27"/>
        <v>32.371555433807565</v>
      </c>
      <c r="C84" s="102">
        <f t="shared" ca="1" si="28"/>
        <v>1.5399000939596976</v>
      </c>
      <c r="D84" s="102">
        <f t="shared" si="29"/>
        <v>1.000173576697641</v>
      </c>
      <c r="E84" s="103">
        <f t="shared" si="30"/>
        <v>1.8630705513620595E-2</v>
      </c>
      <c r="F84" s="101">
        <f t="shared" si="31"/>
        <v>215.66777806380222</v>
      </c>
      <c r="G84" s="104">
        <f t="shared" si="32"/>
        <v>1.5661595489123981</v>
      </c>
      <c r="H84" s="113">
        <f t="shared" si="33"/>
        <v>26.976723327417336</v>
      </c>
      <c r="I84" s="114">
        <f t="shared" si="34"/>
        <v>1.5337188378805533</v>
      </c>
      <c r="J84" s="101">
        <f t="shared" si="35"/>
        <v>1.1842083426261949</v>
      </c>
      <c r="K84" s="104">
        <f t="shared" si="36"/>
        <v>0.56526627692339759</v>
      </c>
      <c r="L84" s="102">
        <f t="shared" si="37"/>
        <v>1</v>
      </c>
      <c r="M84" s="103">
        <f t="shared" si="38"/>
        <v>2.0813302633662002E-11</v>
      </c>
      <c r="N84" s="101">
        <f t="shared" si="39"/>
        <v>1</v>
      </c>
      <c r="O84" s="104">
        <f t="shared" si="40"/>
        <v>3.3301284213859202E-12</v>
      </c>
      <c r="P84" s="105">
        <f t="shared" ca="1" si="41"/>
        <v>1.0006177941853662</v>
      </c>
      <c r="Q84" s="106">
        <f t="shared" ca="1" si="42"/>
        <v>3.6256619296957414E-2</v>
      </c>
      <c r="R84" s="107">
        <f t="shared" ca="1" si="43"/>
        <v>22.464537729514134</v>
      </c>
      <c r="S84" s="108">
        <f t="shared" ca="1" si="44"/>
        <v>-123.48575466094972</v>
      </c>
      <c r="T84" s="116">
        <f t="shared" ca="1" si="45"/>
        <v>56.514245339050277</v>
      </c>
      <c r="V84" s="72">
        <f t="shared" ca="1" si="46"/>
        <v>1000000000</v>
      </c>
      <c r="W84" s="72">
        <f t="shared" si="47"/>
        <v>398110.52160000004</v>
      </c>
      <c r="Y84" s="110">
        <f t="shared" si="48"/>
        <v>44.557916003783788</v>
      </c>
      <c r="Z84" s="111">
        <f t="shared" si="49"/>
        <v>-34.246087833442253</v>
      </c>
      <c r="AA84" s="72">
        <f t="shared" si="50"/>
        <v>145.75391216655774</v>
      </c>
      <c r="AB84" s="110">
        <f t="shared" ca="1" si="51"/>
        <v>-6.1757779273881495</v>
      </c>
      <c r="AC84" s="111">
        <f t="shared" ca="1" si="52"/>
        <v>-89.239666827507435</v>
      </c>
      <c r="AD84" s="72">
        <f t="shared" ca="1" si="53"/>
        <v>90.760333172492565</v>
      </c>
    </row>
    <row r="85" spans="1:30">
      <c r="A85" s="115">
        <v>691.83</v>
      </c>
      <c r="B85" s="101">
        <f t="shared" ca="1" si="27"/>
        <v>35.491656348600053</v>
      </c>
      <c r="C85" s="102">
        <f t="shared" ca="1" si="28"/>
        <v>1.5426169612407585</v>
      </c>
      <c r="D85" s="102">
        <f t="shared" si="29"/>
        <v>1.0002086790856877</v>
      </c>
      <c r="E85" s="103">
        <f t="shared" si="30"/>
        <v>2.0427569753377492E-2</v>
      </c>
      <c r="F85" s="101">
        <f t="shared" si="31"/>
        <v>236.47326149719629</v>
      </c>
      <c r="G85" s="104">
        <f t="shared" si="32"/>
        <v>1.5665675062755617</v>
      </c>
      <c r="H85" s="113">
        <f t="shared" si="33"/>
        <v>29.57580393114905</v>
      </c>
      <c r="I85" s="114">
        <f t="shared" si="34"/>
        <v>1.5369784587904907</v>
      </c>
      <c r="J85" s="101">
        <f t="shared" si="35"/>
        <v>1.2180824860959032</v>
      </c>
      <c r="K85" s="104">
        <f t="shared" si="36"/>
        <v>0.60770171488649372</v>
      </c>
      <c r="L85" s="102">
        <f t="shared" si="37"/>
        <v>1</v>
      </c>
      <c r="M85" s="103">
        <f t="shared" si="38"/>
        <v>2.2821204452019753E-11</v>
      </c>
      <c r="N85" s="101">
        <f t="shared" si="39"/>
        <v>1</v>
      </c>
      <c r="O85" s="104">
        <f t="shared" si="40"/>
        <v>3.6513927123231601E-12</v>
      </c>
      <c r="P85" s="105">
        <f t="shared" ca="1" si="41"/>
        <v>1.0007426974644922</v>
      </c>
      <c r="Q85" s="106">
        <f t="shared" ca="1" si="42"/>
        <v>3.9751167520213418E-2</v>
      </c>
      <c r="R85" s="107">
        <f t="shared" ca="1" si="43"/>
        <v>21.418544418497039</v>
      </c>
      <c r="S85" s="108">
        <f t="shared" ca="1" si="44"/>
        <v>-126.00667303089025</v>
      </c>
      <c r="T85" s="116">
        <f t="shared" ca="1" si="45"/>
        <v>53.993326969109745</v>
      </c>
      <c r="V85" s="72">
        <f t="shared" ca="1" si="46"/>
        <v>1000000000</v>
      </c>
      <c r="W85" s="72">
        <f t="shared" si="47"/>
        <v>478628.74890000006</v>
      </c>
      <c r="Y85" s="110">
        <f t="shared" si="48"/>
        <v>44.31195601968156</v>
      </c>
      <c r="Z85" s="111">
        <f t="shared" si="49"/>
        <v>-36.51407104719037</v>
      </c>
      <c r="AA85" s="72">
        <f t="shared" si="50"/>
        <v>143.48592895280962</v>
      </c>
      <c r="AB85" s="110">
        <f t="shared" ca="1" si="51"/>
        <v>-6.9758112543030162</v>
      </c>
      <c r="AC85" s="111">
        <f t="shared" ca="1" si="52"/>
        <v>-89.492601983699871</v>
      </c>
      <c r="AD85" s="72">
        <f t="shared" ca="1" si="53"/>
        <v>90.507398016300129</v>
      </c>
    </row>
    <row r="86" spans="1:30">
      <c r="A86" s="115">
        <v>758.58</v>
      </c>
      <c r="B86" s="101">
        <f t="shared" ca="1" si="27"/>
        <v>38.913407390191026</v>
      </c>
      <c r="C86" s="102">
        <f t="shared" ca="1" si="28"/>
        <v>1.5450954137922313</v>
      </c>
      <c r="D86" s="102">
        <f t="shared" si="29"/>
        <v>1.00025088445743</v>
      </c>
      <c r="E86" s="103">
        <f t="shared" si="30"/>
        <v>2.2397857761302424E-2</v>
      </c>
      <c r="F86" s="101">
        <f t="shared" si="31"/>
        <v>259.28857790567474</v>
      </c>
      <c r="G86" s="104">
        <f t="shared" si="32"/>
        <v>1.5669396105171303</v>
      </c>
      <c r="H86" s="113">
        <f t="shared" si="33"/>
        <v>32.426254465023007</v>
      </c>
      <c r="I86" s="114">
        <f t="shared" si="34"/>
        <v>1.5399522285839287</v>
      </c>
      <c r="J86" s="101">
        <f t="shared" si="35"/>
        <v>1.2576051230845633</v>
      </c>
      <c r="K86" s="104">
        <f t="shared" si="36"/>
        <v>0.6515213865196795</v>
      </c>
      <c r="L86" s="102">
        <f t="shared" si="37"/>
        <v>1</v>
      </c>
      <c r="M86" s="103">
        <f t="shared" si="38"/>
        <v>2.5023068200588505E-11</v>
      </c>
      <c r="N86" s="101">
        <f t="shared" si="39"/>
        <v>1</v>
      </c>
      <c r="O86" s="104">
        <f t="shared" si="40"/>
        <v>4.0036909120941605E-12</v>
      </c>
      <c r="P86" s="105">
        <f t="shared" ca="1" si="41"/>
        <v>1.0008928602285296</v>
      </c>
      <c r="Q86" s="106">
        <f t="shared" ca="1" si="42"/>
        <v>4.3582268942836039E-2</v>
      </c>
      <c r="R86" s="107">
        <f t="shared" ca="1" si="43"/>
        <v>20.339973524129334</v>
      </c>
      <c r="S86" s="108">
        <f t="shared" ca="1" si="44"/>
        <v>-128.61691244821722</v>
      </c>
      <c r="T86" s="116">
        <f t="shared" ca="1" si="45"/>
        <v>51.383087551782779</v>
      </c>
      <c r="V86" s="72">
        <f t="shared" ca="1" si="46"/>
        <v>1000000000</v>
      </c>
      <c r="W86" s="72">
        <f t="shared" si="47"/>
        <v>575443.61640000006</v>
      </c>
      <c r="Y86" s="110">
        <f t="shared" si="48"/>
        <v>44.033781709785018</v>
      </c>
      <c r="Z86" s="111">
        <f t="shared" si="49"/>
        <v>-38.875688838186946</v>
      </c>
      <c r="AA86" s="72">
        <f t="shared" si="50"/>
        <v>141.12431116181307</v>
      </c>
      <c r="AB86" s="110">
        <f t="shared" ca="1" si="51"/>
        <v>-7.7762078387741784</v>
      </c>
      <c r="AC86" s="111">
        <f t="shared" ca="1" si="52"/>
        <v>-89.741223610030289</v>
      </c>
      <c r="AD86" s="72">
        <f t="shared" ca="1" si="53"/>
        <v>90.258776389969711</v>
      </c>
    </row>
    <row r="87" spans="1:30">
      <c r="A87" s="115">
        <v>831.76</v>
      </c>
      <c r="B87" s="101">
        <f t="shared" ca="1" si="27"/>
        <v>42.665002800122899</v>
      </c>
      <c r="C87" s="102">
        <f t="shared" ca="1" si="28"/>
        <v>1.5473557662211017</v>
      </c>
      <c r="D87" s="102">
        <f t="shared" si="29"/>
        <v>1.0003016171468828</v>
      </c>
      <c r="E87" s="103">
        <f t="shared" si="30"/>
        <v>2.4557742389607659E-2</v>
      </c>
      <c r="F87" s="101">
        <f t="shared" si="31"/>
        <v>284.30171865936387</v>
      </c>
      <c r="G87" s="104">
        <f t="shared" si="32"/>
        <v>1.5672789296200489</v>
      </c>
      <c r="H87" s="113">
        <f t="shared" si="33"/>
        <v>35.551561857539234</v>
      </c>
      <c r="I87" s="114">
        <f t="shared" si="34"/>
        <v>1.5426644569058134</v>
      </c>
      <c r="J87" s="101">
        <f t="shared" si="35"/>
        <v>1.3035301657484417</v>
      </c>
      <c r="K87" s="104">
        <f t="shared" si="36"/>
        <v>0.69641377949353378</v>
      </c>
      <c r="L87" s="102">
        <f t="shared" si="37"/>
        <v>1</v>
      </c>
      <c r="M87" s="103">
        <f t="shared" si="38"/>
        <v>2.7437036576922003E-11</v>
      </c>
      <c r="N87" s="101">
        <f t="shared" si="39"/>
        <v>1</v>
      </c>
      <c r="O87" s="104">
        <f t="shared" si="40"/>
        <v>4.3899258523075202E-12</v>
      </c>
      <c r="P87" s="105">
        <f t="shared" ca="1" si="41"/>
        <v>1.0010733410879387</v>
      </c>
      <c r="Q87" s="106">
        <f t="shared" ca="1" si="42"/>
        <v>4.7781078156393229E-2</v>
      </c>
      <c r="R87" s="107">
        <f t="shared" ca="1" si="43"/>
        <v>19.227177833317111</v>
      </c>
      <c r="S87" s="108">
        <f t="shared" ca="1" si="44"/>
        <v>-131.29942984526323</v>
      </c>
      <c r="T87" s="116">
        <f t="shared" ca="1" si="45"/>
        <v>48.700570154736766</v>
      </c>
      <c r="V87" s="72">
        <f t="shared" ca="1" si="46"/>
        <v>1000000000</v>
      </c>
      <c r="W87" s="72">
        <f t="shared" si="47"/>
        <v>691824.69759999996</v>
      </c>
      <c r="Y87" s="110">
        <f t="shared" si="48"/>
        <v>43.721561933371575</v>
      </c>
      <c r="Z87" s="111">
        <f t="shared" si="49"/>
        <v>-41.311875807084661</v>
      </c>
      <c r="AA87" s="72">
        <f t="shared" si="50"/>
        <v>138.68812419291532</v>
      </c>
      <c r="AB87" s="110">
        <f t="shared" ca="1" si="51"/>
        <v>-8.5767837531729576</v>
      </c>
      <c r="AC87" s="111">
        <f t="shared" ca="1" si="52"/>
        <v>-89.987554038178587</v>
      </c>
      <c r="AD87" s="72">
        <f t="shared" ca="1" si="53"/>
        <v>90.012445961821413</v>
      </c>
    </row>
    <row r="88" spans="1:30">
      <c r="A88" s="115">
        <v>912.01</v>
      </c>
      <c r="B88" s="101">
        <f t="shared" ca="1" si="27"/>
        <v>46.779252408637781</v>
      </c>
      <c r="C88" s="102">
        <f t="shared" ca="1" si="28"/>
        <v>1.549417700013811</v>
      </c>
      <c r="D88" s="102">
        <f t="shared" si="29"/>
        <v>1.0003626151315563</v>
      </c>
      <c r="E88" s="103">
        <f t="shared" si="30"/>
        <v>2.6926031667274863E-2</v>
      </c>
      <c r="F88" s="101">
        <f t="shared" si="31"/>
        <v>311.73143765351051</v>
      </c>
      <c r="G88" s="104">
        <f t="shared" si="32"/>
        <v>1.5675884318112283</v>
      </c>
      <c r="H88" s="113">
        <f t="shared" si="33"/>
        <v>38.979058724991305</v>
      </c>
      <c r="I88" s="114">
        <f t="shared" si="34"/>
        <v>1.5451387106281926</v>
      </c>
      <c r="J88" s="101">
        <f t="shared" si="35"/>
        <v>1.3566939296950213</v>
      </c>
      <c r="K88" s="104">
        <f t="shared" si="36"/>
        <v>0.7420482137522787</v>
      </c>
      <c r="L88" s="102">
        <f t="shared" si="37"/>
        <v>1</v>
      </c>
      <c r="M88" s="103">
        <f t="shared" si="38"/>
        <v>3.0084221083628252E-11</v>
      </c>
      <c r="N88" s="101">
        <f t="shared" si="39"/>
        <v>1</v>
      </c>
      <c r="O88" s="104">
        <f t="shared" si="40"/>
        <v>4.8134753733805205E-12</v>
      </c>
      <c r="P88" s="105">
        <f t="shared" ca="1" si="41"/>
        <v>1.0012903098206802</v>
      </c>
      <c r="Q88" s="106">
        <f t="shared" ca="1" si="42"/>
        <v>5.2383772707517082E-2</v>
      </c>
      <c r="R88" s="107">
        <f t="shared" ca="1" si="43"/>
        <v>18.078410151412221</v>
      </c>
      <c r="S88" s="108">
        <f t="shared" ca="1" si="44"/>
        <v>-134.03622130117262</v>
      </c>
      <c r="T88" s="116">
        <f t="shared" ca="1" si="45"/>
        <v>45.963778698827383</v>
      </c>
      <c r="V88" s="72">
        <f t="shared" ca="1" si="46"/>
        <v>1000000000</v>
      </c>
      <c r="W88" s="72">
        <f t="shared" si="47"/>
        <v>831762.24009999994</v>
      </c>
      <c r="Y88" s="110">
        <f t="shared" si="48"/>
        <v>43.373776917168229</v>
      </c>
      <c r="Z88" s="111">
        <f t="shared" si="49"/>
        <v>-43.802505166864272</v>
      </c>
      <c r="AA88" s="72">
        <f t="shared" si="50"/>
        <v>136.19749483313572</v>
      </c>
      <c r="AB88" s="110">
        <f t="shared" ca="1" si="51"/>
        <v>-9.3777664188745025</v>
      </c>
      <c r="AC88" s="111">
        <f t="shared" ca="1" si="52"/>
        <v>-90.233716134308366</v>
      </c>
      <c r="AD88" s="72">
        <f t="shared" ca="1" si="53"/>
        <v>89.766283865691634</v>
      </c>
    </row>
    <row r="89" spans="1:30">
      <c r="A89" s="117">
        <v>1000</v>
      </c>
      <c r="B89" s="101">
        <f t="shared" ca="1" si="27"/>
        <v>51.290505767392347</v>
      </c>
      <c r="C89" s="102">
        <f t="shared" ca="1" si="28"/>
        <v>1.5512983056702114</v>
      </c>
      <c r="D89" s="102">
        <f t="shared" si="29"/>
        <v>1.0004359440978154</v>
      </c>
      <c r="E89" s="103">
        <f t="shared" si="30"/>
        <v>2.9522390959911455E-2</v>
      </c>
      <c r="F89" s="101">
        <f t="shared" si="31"/>
        <v>341.80674313803962</v>
      </c>
      <c r="G89" s="104">
        <f t="shared" si="32"/>
        <v>1.5678706928024939</v>
      </c>
      <c r="H89" s="113">
        <f t="shared" si="33"/>
        <v>42.737361007128797</v>
      </c>
      <c r="I89" s="114">
        <f t="shared" si="34"/>
        <v>1.5473954604563827</v>
      </c>
      <c r="J89" s="101">
        <f t="shared" si="35"/>
        <v>1.4179730210275101</v>
      </c>
      <c r="K89" s="104">
        <f t="shared" si="36"/>
        <v>0.78804595178116554</v>
      </c>
      <c r="L89" s="102">
        <f t="shared" si="37"/>
        <v>1</v>
      </c>
      <c r="M89" s="103">
        <f t="shared" si="38"/>
        <v>3.2986722825000005E-11</v>
      </c>
      <c r="N89" s="101">
        <f t="shared" si="39"/>
        <v>1</v>
      </c>
      <c r="O89" s="104">
        <f t="shared" si="40"/>
        <v>5.277875652E-12</v>
      </c>
      <c r="P89" s="105">
        <f t="shared" ca="1" si="41"/>
        <v>1.0015510951820534</v>
      </c>
      <c r="Q89" s="106">
        <f t="shared" ca="1" si="42"/>
        <v>5.7428064359564109E-2</v>
      </c>
      <c r="R89" s="107">
        <f t="shared" ca="1" si="43"/>
        <v>16.89291567478061</v>
      </c>
      <c r="S89" s="108">
        <f t="shared" ca="1" si="44"/>
        <v>-136.80657464311864</v>
      </c>
      <c r="T89" s="116">
        <f t="shared" ca="1" si="45"/>
        <v>43.193425356881363</v>
      </c>
      <c r="V89" s="72">
        <f t="shared" ca="1" si="46"/>
        <v>1000000000</v>
      </c>
      <c r="W89" s="72">
        <f t="shared" si="47"/>
        <v>1000000</v>
      </c>
      <c r="Y89" s="110">
        <f t="shared" si="48"/>
        <v>42.989581799551424</v>
      </c>
      <c r="Z89" s="111">
        <f t="shared" si="49"/>
        <v>-46.32485154875895</v>
      </c>
      <c r="AA89" s="72">
        <f t="shared" si="50"/>
        <v>133.67514845124106</v>
      </c>
      <c r="AB89" s="110">
        <f t="shared" ca="1" si="51"/>
        <v>-10.179065777889306</v>
      </c>
      <c r="AC89" s="111">
        <f t="shared" ca="1" si="52"/>
        <v>-90.481723094359651</v>
      </c>
      <c r="AD89" s="72">
        <f t="shared" ca="1" si="53"/>
        <v>89.518276905640349</v>
      </c>
    </row>
    <row r="90" spans="1:30">
      <c r="A90" s="118">
        <v>1096.5</v>
      </c>
      <c r="B90" s="101">
        <f t="shared" ca="1" si="27"/>
        <v>56.238240895577263</v>
      </c>
      <c r="C90" s="102">
        <f t="shared" ca="1" si="28"/>
        <v>1.5530138946188334</v>
      </c>
      <c r="D90" s="102">
        <f t="shared" si="29"/>
        <v>1.0005241178274424</v>
      </c>
      <c r="E90" s="103">
        <f t="shared" si="30"/>
        <v>3.2369399547422024E-2</v>
      </c>
      <c r="F90" s="101">
        <f t="shared" si="31"/>
        <v>374.79082395073993</v>
      </c>
      <c r="G90" s="104">
        <f t="shared" si="32"/>
        <v>1.568128168658123</v>
      </c>
      <c r="H90" s="113">
        <f t="shared" si="33"/>
        <v>46.85935767633466</v>
      </c>
      <c r="I90" s="114">
        <f t="shared" si="34"/>
        <v>1.5494542519639036</v>
      </c>
      <c r="J90" s="101">
        <f t="shared" si="35"/>
        <v>1.4883258566890603</v>
      </c>
      <c r="K90" s="104">
        <f t="shared" si="36"/>
        <v>0.83403074521194565</v>
      </c>
      <c r="L90" s="102">
        <f t="shared" si="37"/>
        <v>1</v>
      </c>
      <c r="M90" s="103">
        <f t="shared" si="38"/>
        <v>3.6169941577612507E-11</v>
      </c>
      <c r="N90" s="101">
        <f t="shared" si="39"/>
        <v>1</v>
      </c>
      <c r="O90" s="104">
        <f t="shared" si="40"/>
        <v>5.7871906524180005E-12</v>
      </c>
      <c r="P90" s="105">
        <f t="shared" ca="1" si="41"/>
        <v>1.0018646098887676</v>
      </c>
      <c r="Q90" s="106">
        <f t="shared" ca="1" si="42"/>
        <v>6.2957152897474722E-2</v>
      </c>
      <c r="R90" s="107">
        <f t="shared" ca="1" si="43"/>
        <v>15.670072693315761</v>
      </c>
      <c r="S90" s="108">
        <f t="shared" ca="1" si="44"/>
        <v>-139.59006931469622</v>
      </c>
      <c r="T90" s="116">
        <f t="shared" ca="1" si="45"/>
        <v>40.409930685303777</v>
      </c>
      <c r="V90" s="72">
        <f t="shared" ca="1" si="46"/>
        <v>1000000000</v>
      </c>
      <c r="W90" s="72">
        <f t="shared" si="47"/>
        <v>1202312.25</v>
      </c>
      <c r="Y90" s="110">
        <f t="shared" si="48"/>
        <v>42.56858675186416</v>
      </c>
      <c r="Z90" s="111">
        <f t="shared" si="49"/>
        <v>-48.856378352438782</v>
      </c>
      <c r="AA90" s="72">
        <f t="shared" si="50"/>
        <v>131.14362164756122</v>
      </c>
      <c r="AB90" s="110">
        <f t="shared" ca="1" si="51"/>
        <v>-10.980913711666901</v>
      </c>
      <c r="AC90" s="111">
        <f t="shared" ca="1" si="52"/>
        <v>-90.733690962257455</v>
      </c>
      <c r="AD90" s="72">
        <f t="shared" ca="1" si="53"/>
        <v>89.266309037742545</v>
      </c>
    </row>
    <row r="91" spans="1:30">
      <c r="A91" s="118">
        <v>1202.3</v>
      </c>
      <c r="B91" s="101">
        <f t="shared" ca="1" si="27"/>
        <v>61.662962605743814</v>
      </c>
      <c r="C91" s="102">
        <f t="shared" ca="1" si="28"/>
        <v>1.5545784255490653</v>
      </c>
      <c r="D91" s="102">
        <f t="shared" si="29"/>
        <v>1.0006301070600225</v>
      </c>
      <c r="E91" s="103">
        <f t="shared" si="30"/>
        <v>3.549017823016299E-2</v>
      </c>
      <c r="F91" s="101">
        <f t="shared" si="31"/>
        <v>410.95370521259559</v>
      </c>
      <c r="G91" s="104">
        <f t="shared" si="32"/>
        <v>1.5683629602764901</v>
      </c>
      <c r="H91" s="113">
        <f t="shared" si="33"/>
        <v>51.378793629394309</v>
      </c>
      <c r="I91" s="114">
        <f t="shared" si="34"/>
        <v>1.5513318147523794</v>
      </c>
      <c r="J91" s="101">
        <f t="shared" si="35"/>
        <v>1.5687308576368617</v>
      </c>
      <c r="K91" s="104">
        <f t="shared" si="36"/>
        <v>0.87960183145935877</v>
      </c>
      <c r="L91" s="102">
        <f t="shared" si="37"/>
        <v>1</v>
      </c>
      <c r="M91" s="103">
        <f t="shared" si="38"/>
        <v>3.96599368524975E-11</v>
      </c>
      <c r="N91" s="101">
        <f t="shared" si="39"/>
        <v>1</v>
      </c>
      <c r="O91" s="104">
        <f t="shared" si="40"/>
        <v>6.3455898963996E-12</v>
      </c>
      <c r="P91" s="105">
        <f t="shared" ca="1" si="41"/>
        <v>1.0022413775382584</v>
      </c>
      <c r="Q91" s="106">
        <f t="shared" ca="1" si="42"/>
        <v>6.9015062051825352E-2</v>
      </c>
      <c r="R91" s="107">
        <f t="shared" ca="1" si="43"/>
        <v>14.410537898152802</v>
      </c>
      <c r="S91" s="108">
        <f t="shared" ca="1" si="44"/>
        <v>-142.36490257187191</v>
      </c>
      <c r="T91" s="116">
        <f t="shared" ca="1" si="45"/>
        <v>37.635097428128091</v>
      </c>
      <c r="V91" s="72">
        <f t="shared" ca="1" si="46"/>
        <v>1000000000</v>
      </c>
      <c r="W91" s="72">
        <f t="shared" si="47"/>
        <v>1445525.2899999998</v>
      </c>
      <c r="Y91" s="110">
        <f t="shared" si="48"/>
        <v>42.111250912875313</v>
      </c>
      <c r="Z91" s="111">
        <f t="shared" si="49"/>
        <v>-51.373285410197269</v>
      </c>
      <c r="AA91" s="72">
        <f t="shared" si="50"/>
        <v>128.62671458980273</v>
      </c>
      <c r="AB91" s="110">
        <f t="shared" ca="1" si="51"/>
        <v>-11.783112667840999</v>
      </c>
      <c r="AC91" s="111">
        <f t="shared" ca="1" si="52"/>
        <v>-90.99161716167464</v>
      </c>
      <c r="AD91" s="72">
        <f t="shared" ca="1" si="53"/>
        <v>89.00838283832536</v>
      </c>
    </row>
    <row r="92" spans="1:30">
      <c r="A92" s="118">
        <v>1318.3</v>
      </c>
      <c r="B92" s="101">
        <f t="shared" ca="1" si="27"/>
        <v>67.610816896199168</v>
      </c>
      <c r="C92" s="102">
        <f t="shared" ca="1" si="28"/>
        <v>1.5560052547523657</v>
      </c>
      <c r="D92" s="102">
        <f t="shared" si="29"/>
        <v>1.0007575119695873</v>
      </c>
      <c r="E92" s="103">
        <f t="shared" si="30"/>
        <v>3.891102906636891E-2</v>
      </c>
      <c r="F92" s="101">
        <f t="shared" si="31"/>
        <v>450.60301067141069</v>
      </c>
      <c r="G92" s="104">
        <f t="shared" si="32"/>
        <v>1.5685770765964666</v>
      </c>
      <c r="H92" s="113">
        <f t="shared" si="33"/>
        <v>56.334113946688014</v>
      </c>
      <c r="I92" s="114">
        <f t="shared" si="34"/>
        <v>1.5530441610981272</v>
      </c>
      <c r="J92" s="101">
        <f t="shared" si="35"/>
        <v>1.660246764359208</v>
      </c>
      <c r="K92" s="104">
        <f t="shared" si="36"/>
        <v>0.92439192585247576</v>
      </c>
      <c r="L92" s="102">
        <f t="shared" si="37"/>
        <v>1</v>
      </c>
      <c r="M92" s="103">
        <f t="shared" si="38"/>
        <v>4.3486396700197503E-11</v>
      </c>
      <c r="N92" s="101">
        <f t="shared" si="39"/>
        <v>1</v>
      </c>
      <c r="O92" s="104">
        <f t="shared" si="40"/>
        <v>6.9578234720316001E-12</v>
      </c>
      <c r="P92" s="105">
        <f t="shared" ca="1" si="41"/>
        <v>1.002694139253177</v>
      </c>
      <c r="Q92" s="106">
        <f t="shared" ca="1" si="42"/>
        <v>7.5651694230922509E-2</v>
      </c>
      <c r="R92" s="107">
        <f t="shared" ca="1" si="43"/>
        <v>13.115128331481982</v>
      </c>
      <c r="S92" s="108">
        <f t="shared" ca="1" si="44"/>
        <v>-145.11134568054746</v>
      </c>
      <c r="T92" s="116">
        <f t="shared" ca="1" si="45"/>
        <v>34.888654319452542</v>
      </c>
      <c r="V92" s="72">
        <f t="shared" ca="1" si="46"/>
        <v>1000000000</v>
      </c>
      <c r="W92" s="72">
        <f t="shared" si="47"/>
        <v>1737914.89</v>
      </c>
      <c r="Y92" s="110">
        <f t="shared" si="48"/>
        <v>41.618494378429631</v>
      </c>
      <c r="Z92" s="111">
        <f t="shared" si="49"/>
        <v>-53.853726528349121</v>
      </c>
      <c r="AA92" s="72">
        <f t="shared" si="50"/>
        <v>126.14627347165089</v>
      </c>
      <c r="AB92" s="110">
        <f t="shared" ca="1" si="51"/>
        <v>-12.585765700066139</v>
      </c>
      <c r="AC92" s="111">
        <f t="shared" ca="1" si="52"/>
        <v>-91.257619152198302</v>
      </c>
      <c r="AD92" s="72">
        <f t="shared" ca="1" si="53"/>
        <v>88.742380847801698</v>
      </c>
    </row>
    <row r="93" spans="1:30">
      <c r="A93" s="118">
        <v>1445.4</v>
      </c>
      <c r="B93" s="101">
        <f t="shared" ca="1" si="27"/>
        <v>74.127950770839192</v>
      </c>
      <c r="C93" s="102">
        <f t="shared" ca="1" si="28"/>
        <v>1.5573057294837931</v>
      </c>
      <c r="D93" s="102">
        <f t="shared" si="29"/>
        <v>1.0009105501667399</v>
      </c>
      <c r="E93" s="103">
        <f t="shared" si="30"/>
        <v>4.2658171202123153E-2</v>
      </c>
      <c r="F93" s="101">
        <f t="shared" si="31"/>
        <v>494.04636422632797</v>
      </c>
      <c r="G93" s="104">
        <f t="shared" si="32"/>
        <v>1.5687722238862589</v>
      </c>
      <c r="H93" s="113">
        <f t="shared" si="33"/>
        <v>61.763764913839942</v>
      </c>
      <c r="I93" s="114">
        <f t="shared" si="34"/>
        <v>1.5546048964883505</v>
      </c>
      <c r="J93" s="101">
        <f t="shared" si="35"/>
        <v>1.7639233804468286</v>
      </c>
      <c r="K93" s="104">
        <f t="shared" si="36"/>
        <v>0.96803656715329578</v>
      </c>
      <c r="L93" s="102">
        <f t="shared" si="37"/>
        <v>1</v>
      </c>
      <c r="M93" s="103">
        <f t="shared" si="38"/>
        <v>4.7679009171255009E-11</v>
      </c>
      <c r="N93" s="101">
        <f t="shared" si="39"/>
        <v>1</v>
      </c>
      <c r="O93" s="104">
        <f t="shared" si="40"/>
        <v>7.6286414674008005E-12</v>
      </c>
      <c r="P93" s="105">
        <f t="shared" ca="1" si="41"/>
        <v>1.003237801705827</v>
      </c>
      <c r="Q93" s="106">
        <f t="shared" ca="1" si="42"/>
        <v>8.2916404497610521E-2</v>
      </c>
      <c r="R93" s="107">
        <f t="shared" ca="1" si="43"/>
        <v>11.786064058702131</v>
      </c>
      <c r="S93" s="108">
        <f t="shared" ca="1" si="44"/>
        <v>-147.80981051514684</v>
      </c>
      <c r="T93" s="116">
        <f t="shared" ca="1" si="45"/>
        <v>32.190189484853164</v>
      </c>
      <c r="V93" s="72">
        <f t="shared" ca="1" si="46"/>
        <v>1000000000</v>
      </c>
      <c r="W93" s="72">
        <f t="shared" si="47"/>
        <v>2089181.1600000001</v>
      </c>
      <c r="Y93" s="110">
        <f t="shared" si="48"/>
        <v>41.092126391853363</v>
      </c>
      <c r="Z93" s="111">
        <f t="shared" si="49"/>
        <v>-56.276137841106681</v>
      </c>
      <c r="AA93" s="72">
        <f t="shared" si="50"/>
        <v>123.72386215889333</v>
      </c>
      <c r="AB93" s="110">
        <f t="shared" ca="1" si="51"/>
        <v>-13.388461986269727</v>
      </c>
      <c r="AC93" s="111">
        <f t="shared" ca="1" si="52"/>
        <v>-91.533672674040162</v>
      </c>
      <c r="AD93" s="72">
        <f t="shared" ca="1" si="53"/>
        <v>88.466327325959838</v>
      </c>
    </row>
    <row r="94" spans="1:30">
      <c r="A94" s="118">
        <v>1584.9</v>
      </c>
      <c r="B94" s="101">
        <f t="shared" ca="1" si="27"/>
        <v>81.281022624574533</v>
      </c>
      <c r="C94" s="102">
        <f t="shared" ca="1" si="28"/>
        <v>1.5584930215865247</v>
      </c>
      <c r="D94" s="102">
        <f t="shared" si="29"/>
        <v>1.0010946909876484</v>
      </c>
      <c r="E94" s="103">
        <f t="shared" si="30"/>
        <v>4.6769504935991184E-2</v>
      </c>
      <c r="F94" s="101">
        <f t="shared" si="31"/>
        <v>541.72811175217805</v>
      </c>
      <c r="G94" s="104">
        <f t="shared" si="32"/>
        <v>1.5689503812989449</v>
      </c>
      <c r="H94" s="113">
        <f t="shared" si="33"/>
        <v>67.723281985243588</v>
      </c>
      <c r="I94" s="114">
        <f t="shared" si="34"/>
        <v>1.5560298194250126</v>
      </c>
      <c r="J94" s="101">
        <f t="shared" si="35"/>
        <v>1.8811309155140157</v>
      </c>
      <c r="K94" s="104">
        <f t="shared" si="36"/>
        <v>1.0103136196105706</v>
      </c>
      <c r="L94" s="102">
        <f t="shared" si="37"/>
        <v>1</v>
      </c>
      <c r="M94" s="103">
        <f t="shared" si="38"/>
        <v>5.2280657005342511E-11</v>
      </c>
      <c r="N94" s="101">
        <f t="shared" si="39"/>
        <v>1</v>
      </c>
      <c r="O94" s="104">
        <f t="shared" si="40"/>
        <v>8.3649051208548002E-12</v>
      </c>
      <c r="P94" s="105">
        <f t="shared" ca="1" si="41"/>
        <v>1.0038916765229102</v>
      </c>
      <c r="Q94" s="106">
        <f t="shared" ca="1" si="42"/>
        <v>9.0880676451374112E-2</v>
      </c>
      <c r="R94" s="107">
        <f t="shared" ca="1" si="43"/>
        <v>10.422884598861135</v>
      </c>
      <c r="S94" s="108">
        <f t="shared" ca="1" si="44"/>
        <v>-150.44945671669083</v>
      </c>
      <c r="T94" s="116">
        <f t="shared" ca="1" si="45"/>
        <v>29.550543283309167</v>
      </c>
      <c r="V94" s="72">
        <f t="shared" ca="1" si="46"/>
        <v>1000000000</v>
      </c>
      <c r="W94" s="72">
        <f t="shared" si="47"/>
        <v>2511908.0100000002</v>
      </c>
      <c r="Y94" s="110">
        <f t="shared" si="48"/>
        <v>40.53315170876985</v>
      </c>
      <c r="Z94" s="111">
        <f t="shared" si="49"/>
        <v>-58.627000117060255</v>
      </c>
      <c r="AA94" s="72">
        <f t="shared" si="50"/>
        <v>121.37299988293975</v>
      </c>
      <c r="AB94" s="110">
        <f t="shared" ca="1" si="51"/>
        <v>-14.192666763027207</v>
      </c>
      <c r="AC94" s="111">
        <f t="shared" ca="1" si="52"/>
        <v>-91.822456599630556</v>
      </c>
      <c r="AD94" s="72">
        <f t="shared" ca="1" si="53"/>
        <v>88.177543400369444</v>
      </c>
    </row>
    <row r="95" spans="1:30">
      <c r="A95" s="118">
        <v>1737.8</v>
      </c>
      <c r="B95" s="101">
        <f t="shared" ca="1" si="27"/>
        <v>89.121309062381854</v>
      </c>
      <c r="C95" s="102">
        <f t="shared" ca="1" si="28"/>
        <v>1.5595754302934626</v>
      </c>
      <c r="D95" s="102">
        <f t="shared" si="29"/>
        <v>1.0013159499768276</v>
      </c>
      <c r="E95" s="103">
        <f t="shared" si="30"/>
        <v>5.1273940591295954E-2</v>
      </c>
      <c r="F95" s="101">
        <f t="shared" si="31"/>
        <v>593.9900579056233</v>
      </c>
      <c r="G95" s="104">
        <f t="shared" si="32"/>
        <v>1.569112796137994</v>
      </c>
      <c r="H95" s="113">
        <f t="shared" si="33"/>
        <v>74.255385841146833</v>
      </c>
      <c r="I95" s="114">
        <f t="shared" si="34"/>
        <v>1.5573288830804115</v>
      </c>
      <c r="J95" s="101">
        <f t="shared" si="35"/>
        <v>2.0129837828773947</v>
      </c>
      <c r="K95" s="104">
        <f t="shared" si="36"/>
        <v>1.0509174851059209</v>
      </c>
      <c r="L95" s="102">
        <f t="shared" si="37"/>
        <v>1</v>
      </c>
      <c r="M95" s="103">
        <f t="shared" si="38"/>
        <v>5.7324326925285007E-11</v>
      </c>
      <c r="N95" s="101">
        <f t="shared" si="39"/>
        <v>1</v>
      </c>
      <c r="O95" s="104">
        <f t="shared" si="40"/>
        <v>9.1718923080456006E-12</v>
      </c>
      <c r="P95" s="105">
        <f t="shared" ca="1" si="41"/>
        <v>1.0046769544866629</v>
      </c>
      <c r="Q95" s="106">
        <f t="shared" ca="1" si="42"/>
        <v>9.9597893046379338E-2</v>
      </c>
      <c r="R95" s="107">
        <f t="shared" ca="1" si="43"/>
        <v>9.0295825010367619</v>
      </c>
      <c r="S95" s="108">
        <f t="shared" ca="1" si="44"/>
        <v>-153.01415368268744</v>
      </c>
      <c r="T95" s="116">
        <f t="shared" ca="1" si="45"/>
        <v>26.985846317312564</v>
      </c>
      <c r="V95" s="72">
        <f t="shared" ca="1" si="46"/>
        <v>1000000000</v>
      </c>
      <c r="W95" s="72">
        <f t="shared" si="47"/>
        <v>3019948.84</v>
      </c>
      <c r="Y95" s="110">
        <f t="shared" si="48"/>
        <v>39.944569794484465</v>
      </c>
      <c r="Z95" s="111">
        <f t="shared" si="49"/>
        <v>-60.888305064236498</v>
      </c>
      <c r="AA95" s="72">
        <f t="shared" si="50"/>
        <v>119.1116949357635</v>
      </c>
      <c r="AB95" s="110">
        <f t="shared" ca="1" si="51"/>
        <v>-14.997386946566202</v>
      </c>
      <c r="AC95" s="111">
        <f t="shared" ca="1" si="52"/>
        <v>-92.125848618450988</v>
      </c>
      <c r="AD95" s="72">
        <f t="shared" ca="1" si="53"/>
        <v>87.874151381549012</v>
      </c>
    </row>
    <row r="96" spans="1:30">
      <c r="A96" s="118">
        <v>1905.5</v>
      </c>
      <c r="B96" s="101">
        <f t="shared" ca="1" si="27"/>
        <v>97.720598174070005</v>
      </c>
      <c r="C96" s="102">
        <f t="shared" ca="1" si="28"/>
        <v>1.5605628911347968</v>
      </c>
      <c r="D96" s="102">
        <f t="shared" si="29"/>
        <v>1.0015819763117078</v>
      </c>
      <c r="E96" s="103">
        <f t="shared" si="30"/>
        <v>5.6211984173174669E-2</v>
      </c>
      <c r="F96" s="101">
        <f t="shared" si="31"/>
        <v>651.31072933294445</v>
      </c>
      <c r="G96" s="104">
        <f t="shared" si="32"/>
        <v>1.5692609607278953</v>
      </c>
      <c r="H96" s="113">
        <f t="shared" si="33"/>
        <v>81.41988644368962</v>
      </c>
      <c r="I96" s="114">
        <f t="shared" si="34"/>
        <v>1.5585140062625484</v>
      </c>
      <c r="J96" s="101">
        <f t="shared" si="35"/>
        <v>2.1609235381150547</v>
      </c>
      <c r="K96" s="104">
        <f t="shared" si="36"/>
        <v>1.0896844699398525</v>
      </c>
      <c r="L96" s="102">
        <f t="shared" si="37"/>
        <v>1</v>
      </c>
      <c r="M96" s="103">
        <f t="shared" si="38"/>
        <v>6.2856200343037507E-11</v>
      </c>
      <c r="N96" s="101">
        <f t="shared" si="39"/>
        <v>1</v>
      </c>
      <c r="O96" s="104">
        <f t="shared" si="40"/>
        <v>1.0056992054886E-11</v>
      </c>
      <c r="P96" s="105">
        <f t="shared" ca="1" si="41"/>
        <v>1.0056205387734773</v>
      </c>
      <c r="Q96" s="106">
        <f t="shared" ca="1" si="42"/>
        <v>0.10914301356059022</v>
      </c>
      <c r="R96" s="107">
        <f t="shared" ca="1" si="43"/>
        <v>7.6075318032437753</v>
      </c>
      <c r="S96" s="108">
        <f t="shared" ca="1" si="44"/>
        <v>-155.49646835258233</v>
      </c>
      <c r="T96" s="116">
        <f t="shared" ca="1" si="45"/>
        <v>24.503531647417674</v>
      </c>
      <c r="V96" s="72">
        <f t="shared" ca="1" si="46"/>
        <v>1000000000</v>
      </c>
      <c r="W96" s="72">
        <f t="shared" si="47"/>
        <v>3630930.25</v>
      </c>
      <c r="Y96" s="110">
        <f t="shared" si="48"/>
        <v>39.328456846057954</v>
      </c>
      <c r="Z96" s="111">
        <f t="shared" si="49"/>
        <v>-63.050076331007453</v>
      </c>
      <c r="AA96" s="72">
        <f t="shared" si="50"/>
        <v>116.94992366899254</v>
      </c>
      <c r="AB96" s="110">
        <f t="shared" ca="1" si="51"/>
        <v>-15.803324695932673</v>
      </c>
      <c r="AC96" s="111">
        <f t="shared" ca="1" si="52"/>
        <v>-92.446392021574852</v>
      </c>
      <c r="AD96" s="72">
        <f t="shared" ca="1" si="53"/>
        <v>87.553607978425148</v>
      </c>
    </row>
    <row r="97" spans="1:30">
      <c r="A97" s="118">
        <v>2089.3000000000002</v>
      </c>
      <c r="B97" s="101">
        <f t="shared" ca="1" si="27"/>
        <v>107.14555109768044</v>
      </c>
      <c r="C97" s="102">
        <f t="shared" ca="1" si="28"/>
        <v>1.5614630926277975</v>
      </c>
      <c r="D97" s="102">
        <f t="shared" si="29"/>
        <v>1.0019015788485093</v>
      </c>
      <c r="E97" s="103">
        <f t="shared" si="30"/>
        <v>6.1620944410343909E-2</v>
      </c>
      <c r="F97" s="101">
        <f t="shared" si="31"/>
        <v>714.13447232116789</v>
      </c>
      <c r="G97" s="104">
        <f t="shared" si="32"/>
        <v>1.5693960298402418</v>
      </c>
      <c r="H97" s="113">
        <f t="shared" si="33"/>
        <v>89.272322537334546</v>
      </c>
      <c r="I97" s="114">
        <f t="shared" si="34"/>
        <v>1.5595944124086962</v>
      </c>
      <c r="J97" s="101">
        <f t="shared" si="35"/>
        <v>2.326295904346622</v>
      </c>
      <c r="K97" s="104">
        <f t="shared" si="36"/>
        <v>1.1264498317710203</v>
      </c>
      <c r="L97" s="102">
        <f t="shared" si="37"/>
        <v>1</v>
      </c>
      <c r="M97" s="103">
        <f t="shared" si="38"/>
        <v>6.891915999827251E-11</v>
      </c>
      <c r="N97" s="101">
        <f t="shared" si="39"/>
        <v>1</v>
      </c>
      <c r="O97" s="104">
        <f t="shared" si="40"/>
        <v>1.1027065599723601E-11</v>
      </c>
      <c r="P97" s="105">
        <f t="shared" ca="1" si="41"/>
        <v>1.0067533219678284</v>
      </c>
      <c r="Q97" s="106">
        <f t="shared" ca="1" si="42"/>
        <v>0.11958366513740941</v>
      </c>
      <c r="R97" s="107">
        <f t="shared" ca="1" si="43"/>
        <v>6.1601441606265217</v>
      </c>
      <c r="S97" s="108">
        <f t="shared" ca="1" si="44"/>
        <v>-157.88867702180181</v>
      </c>
      <c r="T97" s="116">
        <f t="shared" ca="1" si="45"/>
        <v>22.111322978198189</v>
      </c>
      <c r="V97" s="72">
        <f t="shared" ca="1" si="46"/>
        <v>1000000000</v>
      </c>
      <c r="W97" s="72">
        <f t="shared" si="47"/>
        <v>4365174.4900000012</v>
      </c>
      <c r="Y97" s="110">
        <f t="shared" si="48"/>
        <v>38.687837252694649</v>
      </c>
      <c r="Z97" s="111">
        <f t="shared" si="49"/>
        <v>-65.102412576003857</v>
      </c>
      <c r="AA97" s="72">
        <f t="shared" si="50"/>
        <v>114.89758742399614</v>
      </c>
      <c r="AB97" s="110">
        <f t="shared" ca="1" si="51"/>
        <v>-16.61009274518662</v>
      </c>
      <c r="AC97" s="111">
        <f t="shared" ca="1" si="52"/>
        <v>-92.786264445797983</v>
      </c>
      <c r="AD97" s="72">
        <f t="shared" ca="1" si="53"/>
        <v>87.213735554202017</v>
      </c>
    </row>
    <row r="98" spans="1:30">
      <c r="A98" s="118">
        <v>2290.9</v>
      </c>
      <c r="B98" s="101">
        <f t="shared" ca="1" si="27"/>
        <v>117.48334094626964</v>
      </c>
      <c r="C98" s="102">
        <f t="shared" ca="1" si="28"/>
        <v>1.5622843789085812</v>
      </c>
      <c r="D98" s="102">
        <f t="shared" si="29"/>
        <v>1.002285817981291</v>
      </c>
      <c r="E98" s="103">
        <f t="shared" si="30"/>
        <v>6.7549571736815764E-2</v>
      </c>
      <c r="F98" s="101">
        <f t="shared" si="31"/>
        <v>783.04235522041199</v>
      </c>
      <c r="G98" s="104">
        <f t="shared" si="32"/>
        <v>1.5695192563208011</v>
      </c>
      <c r="H98" s="113">
        <f t="shared" si="33"/>
        <v>97.885322737017901</v>
      </c>
      <c r="I98" s="114">
        <f t="shared" si="34"/>
        <v>1.5605801128884502</v>
      </c>
      <c r="J98" s="101">
        <f t="shared" si="35"/>
        <v>2.5107973238176853</v>
      </c>
      <c r="K98" s="104">
        <f t="shared" si="36"/>
        <v>1.1611555432707945</v>
      </c>
      <c r="L98" s="102">
        <f t="shared" si="37"/>
        <v>1</v>
      </c>
      <c r="M98" s="103">
        <f t="shared" si="38"/>
        <v>7.5569283319792507E-11</v>
      </c>
      <c r="N98" s="101">
        <f t="shared" si="39"/>
        <v>1</v>
      </c>
      <c r="O98" s="104">
        <f t="shared" si="40"/>
        <v>1.20910853311668E-11</v>
      </c>
      <c r="P98" s="105">
        <f t="shared" ca="1" si="41"/>
        <v>1.0081139994394068</v>
      </c>
      <c r="Q98" s="106">
        <f t="shared" ca="1" si="42"/>
        <v>0.13100807102386314</v>
      </c>
      <c r="R98" s="107">
        <f t="shared" ca="1" si="43"/>
        <v>4.6886759722866342</v>
      </c>
      <c r="S98" s="108">
        <f t="shared" ca="1" si="44"/>
        <v>-160.18969285223949</v>
      </c>
      <c r="T98" s="116">
        <f t="shared" ca="1" si="45"/>
        <v>19.810307147760511</v>
      </c>
      <c r="V98" s="72">
        <f t="shared" ca="1" si="46"/>
        <v>1000000000</v>
      </c>
      <c r="W98" s="72">
        <f t="shared" si="47"/>
        <v>5248222.8100000005</v>
      </c>
      <c r="Y98" s="110">
        <f t="shared" si="48"/>
        <v>38.024812974270681</v>
      </c>
      <c r="Z98" s="111">
        <f t="shared" si="49"/>
        <v>-67.0414872517416</v>
      </c>
      <c r="AA98" s="72">
        <f t="shared" si="50"/>
        <v>112.9585127482584</v>
      </c>
      <c r="AB98" s="110">
        <f t="shared" ca="1" si="51"/>
        <v>-17.418536655102542</v>
      </c>
      <c r="AC98" s="111">
        <f t="shared" ca="1" si="52"/>
        <v>-93.148205600497917</v>
      </c>
      <c r="AD98" s="72">
        <f t="shared" ca="1" si="53"/>
        <v>86.851794399502083</v>
      </c>
    </row>
    <row r="99" spans="1:30">
      <c r="A99" s="118">
        <v>2511.9</v>
      </c>
      <c r="B99" s="101">
        <f t="shared" ca="1" si="27"/>
        <v>128.81601368510022</v>
      </c>
      <c r="C99" s="102">
        <f t="shared" ca="1" si="28"/>
        <v>1.5630332388393029</v>
      </c>
      <c r="D99" s="102">
        <f t="shared" si="29"/>
        <v>1.002747476271318</v>
      </c>
      <c r="E99" s="103">
        <f t="shared" si="30"/>
        <v>7.404323686587308E-2</v>
      </c>
      <c r="F99" s="101">
        <f t="shared" si="31"/>
        <v>858.58126599206184</v>
      </c>
      <c r="G99" s="104">
        <f t="shared" si="32"/>
        <v>1.5696316144191413</v>
      </c>
      <c r="H99" s="113">
        <f t="shared" si="33"/>
        <v>107.32724420497019</v>
      </c>
      <c r="I99" s="114">
        <f t="shared" si="34"/>
        <v>1.5614788932145514</v>
      </c>
      <c r="J99" s="101">
        <f t="shared" si="35"/>
        <v>2.7160308256001318</v>
      </c>
      <c r="K99" s="104">
        <f t="shared" si="36"/>
        <v>1.1937409113648234</v>
      </c>
      <c r="L99" s="102">
        <f t="shared" si="37"/>
        <v>1</v>
      </c>
      <c r="M99" s="103">
        <f t="shared" si="38"/>
        <v>8.2859349064117514E-11</v>
      </c>
      <c r="N99" s="101">
        <f t="shared" si="39"/>
        <v>1</v>
      </c>
      <c r="O99" s="104">
        <f t="shared" si="40"/>
        <v>1.3257495850258801E-11</v>
      </c>
      <c r="P99" s="105">
        <f t="shared" ca="1" si="41"/>
        <v>1.0097471093130406</v>
      </c>
      <c r="Q99" s="106">
        <f t="shared" ca="1" si="42"/>
        <v>0.14349597892580809</v>
      </c>
      <c r="R99" s="107">
        <f t="shared" ca="1" si="43"/>
        <v>3.1962092110660478</v>
      </c>
      <c r="S99" s="108">
        <f t="shared" ca="1" si="44"/>
        <v>-162.39798957125421</v>
      </c>
      <c r="T99" s="116">
        <f t="shared" ca="1" si="45"/>
        <v>17.602010428745785</v>
      </c>
      <c r="V99" s="72">
        <f t="shared" ca="1" si="46"/>
        <v>1000000000</v>
      </c>
      <c r="W99" s="72">
        <f t="shared" si="47"/>
        <v>6309641.6100000003</v>
      </c>
      <c r="Y99" s="110">
        <f t="shared" si="48"/>
        <v>37.342277164911522</v>
      </c>
      <c r="Z99" s="111">
        <f t="shared" si="49"/>
        <v>-68.863432644574729</v>
      </c>
      <c r="AA99" s="72">
        <f t="shared" si="50"/>
        <v>111.13656735542527</v>
      </c>
      <c r="AB99" s="110">
        <f t="shared" ca="1" si="51"/>
        <v>-18.228467606963971</v>
      </c>
      <c r="AC99" s="111">
        <f t="shared" ca="1" si="52"/>
        <v>-93.534556926679471</v>
      </c>
      <c r="AD99" s="72">
        <f t="shared" ca="1" si="53"/>
        <v>86.465443073320529</v>
      </c>
    </row>
    <row r="100" spans="1:30">
      <c r="A100" s="118">
        <v>2754.2</v>
      </c>
      <c r="B100" s="101">
        <f t="shared" ca="1" si="27"/>
        <v>141.24099950191595</v>
      </c>
      <c r="C100" s="102">
        <f t="shared" ca="1" si="28"/>
        <v>1.5637161704780744</v>
      </c>
      <c r="D100" s="102">
        <f t="shared" si="29"/>
        <v>1.0033021738752019</v>
      </c>
      <c r="E100" s="103">
        <f t="shared" si="30"/>
        <v>8.1155559850125236E-2</v>
      </c>
      <c r="F100" s="101">
        <f t="shared" si="31"/>
        <v>941.40063418099419</v>
      </c>
      <c r="G100" s="104">
        <f t="shared" si="32"/>
        <v>1.5697340795945518</v>
      </c>
      <c r="H100" s="113">
        <f t="shared" si="33"/>
        <v>117.67926179585938</v>
      </c>
      <c r="I100" s="114">
        <f t="shared" si="34"/>
        <v>1.5622985505494695</v>
      </c>
      <c r="J100" s="101">
        <f t="shared" si="35"/>
        <v>2.9438725202595988</v>
      </c>
      <c r="K100" s="104">
        <f t="shared" si="36"/>
        <v>1.2242105127055343</v>
      </c>
      <c r="L100" s="102">
        <f t="shared" si="37"/>
        <v>1</v>
      </c>
      <c r="M100" s="103">
        <f t="shared" si="38"/>
        <v>9.0852032004615007E-11</v>
      </c>
      <c r="N100" s="101">
        <f t="shared" si="39"/>
        <v>1</v>
      </c>
      <c r="O100" s="104">
        <f t="shared" si="40"/>
        <v>1.4536325120738399E-11</v>
      </c>
      <c r="P100" s="105">
        <f t="shared" ca="1" si="41"/>
        <v>1.0117068645203111</v>
      </c>
      <c r="Q100" s="106">
        <f t="shared" ca="1" si="42"/>
        <v>0.15714050557854564</v>
      </c>
      <c r="R100" s="107">
        <f t="shared" ca="1" si="43"/>
        <v>1.6846040969595286</v>
      </c>
      <c r="S100" s="108">
        <f t="shared" ca="1" si="44"/>
        <v>-164.51607385144064</v>
      </c>
      <c r="T100" s="116">
        <f t="shared" ca="1" si="45"/>
        <v>15.483926148559362</v>
      </c>
      <c r="V100" s="72">
        <f t="shared" ca="1" si="46"/>
        <v>1000000000</v>
      </c>
      <c r="W100" s="72">
        <f t="shared" si="47"/>
        <v>7585617.6399999987</v>
      </c>
      <c r="Y100" s="110">
        <f t="shared" si="48"/>
        <v>36.642528637464473</v>
      </c>
      <c r="Z100" s="111">
        <f t="shared" si="49"/>
        <v>-70.56812012256718</v>
      </c>
      <c r="AA100" s="72">
        <f t="shared" si="50"/>
        <v>109.43187987743282</v>
      </c>
      <c r="AB100" s="110">
        <f t="shared" ca="1" si="51"/>
        <v>-19.040324193623437</v>
      </c>
      <c r="AC100" s="111">
        <f t="shared" ca="1" si="52"/>
        <v>-93.947953728873472</v>
      </c>
      <c r="AD100" s="72">
        <f t="shared" ca="1" si="53"/>
        <v>86.052046271126528</v>
      </c>
    </row>
    <row r="101" spans="1:30">
      <c r="A101" s="118">
        <v>3020</v>
      </c>
      <c r="B101" s="101">
        <f t="shared" ca="1" si="27"/>
        <v>154.87111299752419</v>
      </c>
      <c r="C101" s="102">
        <f t="shared" ca="1" si="28"/>
        <v>1.5643392998545922</v>
      </c>
      <c r="D101" s="102">
        <f t="shared" si="29"/>
        <v>1.0039689748226432</v>
      </c>
      <c r="E101" s="103">
        <f t="shared" si="30"/>
        <v>8.8948207727005096E-2</v>
      </c>
      <c r="F101" s="101">
        <f t="shared" si="31"/>
        <v>1032.2524309441574</v>
      </c>
      <c r="G101" s="104">
        <f t="shared" si="32"/>
        <v>1.5698275713563652</v>
      </c>
      <c r="H101" s="113">
        <f t="shared" si="33"/>
        <v>129.03536828558154</v>
      </c>
      <c r="I101" s="114">
        <f t="shared" si="34"/>
        <v>1.5630464360208305</v>
      </c>
      <c r="J101" s="101">
        <f t="shared" si="35"/>
        <v>3.1964839046764695</v>
      </c>
      <c r="K101" s="104">
        <f t="shared" si="36"/>
        <v>1.252610731689737</v>
      </c>
      <c r="L101" s="102">
        <f t="shared" si="37"/>
        <v>1</v>
      </c>
      <c r="M101" s="103">
        <f t="shared" si="38"/>
        <v>9.9619902931500013E-11</v>
      </c>
      <c r="N101" s="101">
        <f t="shared" si="39"/>
        <v>1</v>
      </c>
      <c r="O101" s="104">
        <f t="shared" si="40"/>
        <v>1.5939184469039999E-11</v>
      </c>
      <c r="P101" s="105">
        <f t="shared" ca="1" si="41"/>
        <v>1.0140591207351008</v>
      </c>
      <c r="Q101" s="106">
        <f t="shared" ca="1" si="42"/>
        <v>0.17204690371108133</v>
      </c>
      <c r="R101" s="107">
        <f t="shared" ca="1" si="43"/>
        <v>0.15488815890322216</v>
      </c>
      <c r="S101" s="108">
        <f t="shared" ca="1" si="44"/>
        <v>-166.54908309021116</v>
      </c>
      <c r="T101" s="116">
        <f t="shared" ca="1" si="45"/>
        <v>13.450916909788845</v>
      </c>
      <c r="V101" s="72">
        <f t="shared" ca="1" si="46"/>
        <v>1000000000</v>
      </c>
      <c r="W101" s="72">
        <f t="shared" si="47"/>
        <v>9120400</v>
      </c>
      <c r="Y101" s="110">
        <f t="shared" si="48"/>
        <v>35.927406241600458</v>
      </c>
      <c r="Z101" s="111">
        <f t="shared" si="49"/>
        <v>-72.157838811306846</v>
      </c>
      <c r="AA101" s="72">
        <f t="shared" si="50"/>
        <v>107.84216118869315</v>
      </c>
      <c r="AB101" s="110">
        <f t="shared" ca="1" si="51"/>
        <v>-19.854917735815732</v>
      </c>
      <c r="AC101" s="111">
        <f t="shared" ca="1" si="52"/>
        <v>-94.391244278904296</v>
      </c>
      <c r="AD101" s="72">
        <f t="shared" ca="1" si="53"/>
        <v>85.608755721095704</v>
      </c>
    </row>
    <row r="102" spans="1:30">
      <c r="A102" s="118">
        <v>3311.3</v>
      </c>
      <c r="B102" s="101">
        <f t="shared" ca="1" si="27"/>
        <v>169.80891333784487</v>
      </c>
      <c r="C102" s="102">
        <f t="shared" ca="1" si="28"/>
        <v>1.5649073203791974</v>
      </c>
      <c r="D102" s="102">
        <f t="shared" si="29"/>
        <v>1.004769666648067</v>
      </c>
      <c r="E102" s="103">
        <f t="shared" si="30"/>
        <v>9.7476001053986142E-2</v>
      </c>
      <c r="F102" s="101">
        <f t="shared" si="31"/>
        <v>1131.820266489957</v>
      </c>
      <c r="G102" s="104">
        <f t="shared" si="32"/>
        <v>1.5699127941707582</v>
      </c>
      <c r="H102" s="113">
        <f t="shared" si="33"/>
        <v>141.48101217772771</v>
      </c>
      <c r="I102" s="114">
        <f t="shared" si="34"/>
        <v>1.5637281816699646</v>
      </c>
      <c r="J102" s="101">
        <f t="shared" si="35"/>
        <v>3.4758386452079066</v>
      </c>
      <c r="K102" s="104">
        <f t="shared" si="36"/>
        <v>1.2789715267514521</v>
      </c>
      <c r="L102" s="102">
        <f t="shared" si="37"/>
        <v>1</v>
      </c>
      <c r="M102" s="103">
        <f t="shared" si="38"/>
        <v>1.0922893529042251E-10</v>
      </c>
      <c r="N102" s="101">
        <f t="shared" si="39"/>
        <v>1</v>
      </c>
      <c r="O102" s="104">
        <f t="shared" si="40"/>
        <v>1.7476629646467601E-11</v>
      </c>
      <c r="P102" s="105">
        <f t="shared" ca="1" si="41"/>
        <v>1.0168785980103532</v>
      </c>
      <c r="Q102" s="106">
        <f t="shared" ca="1" si="42"/>
        <v>0.18830313463052251</v>
      </c>
      <c r="R102" s="107">
        <f t="shared" ca="1" si="43"/>
        <v>-1.38989016818865</v>
      </c>
      <c r="S102" s="108">
        <f t="shared" ca="1" si="44"/>
        <v>-168.50061918782529</v>
      </c>
      <c r="T102" s="116">
        <f t="shared" ca="1" si="45"/>
        <v>11.499380812174707</v>
      </c>
      <c r="V102" s="72">
        <f t="shared" ca="1" si="46"/>
        <v>3311.3</v>
      </c>
      <c r="W102" s="72">
        <f t="shared" si="47"/>
        <v>10964707.690000001</v>
      </c>
      <c r="Y102" s="110">
        <f t="shared" si="48"/>
        <v>35.199621342628561</v>
      </c>
      <c r="Z102" s="111">
        <f t="shared" si="49"/>
        <v>-73.634022873362923</v>
      </c>
      <c r="AA102" s="72">
        <f t="shared" si="50"/>
        <v>106.36597712663708</v>
      </c>
      <c r="AB102" s="110">
        <f t="shared" ca="1" si="51"/>
        <v>-20.671911163935704</v>
      </c>
      <c r="AC102" s="111">
        <f t="shared" ca="1" si="52"/>
        <v>-94.866596314462356</v>
      </c>
      <c r="AD102" s="72">
        <f t="shared" ca="1" si="53"/>
        <v>85.133403685537644</v>
      </c>
    </row>
    <row r="103" spans="1:30">
      <c r="A103" s="118">
        <v>3630.8</v>
      </c>
      <c r="B103" s="101">
        <f t="shared" ca="1" si="27"/>
        <v>186.19285591828822</v>
      </c>
      <c r="C103" s="102">
        <f t="shared" ca="1" si="28"/>
        <v>1.5654255256292535</v>
      </c>
      <c r="D103" s="102">
        <f t="shared" si="29"/>
        <v>1.0057317502133787</v>
      </c>
      <c r="E103" s="103">
        <f t="shared" si="30"/>
        <v>0.10681297662048145</v>
      </c>
      <c r="F103" s="101">
        <f t="shared" si="31"/>
        <v>1241.0270146780376</v>
      </c>
      <c r="G103" s="104">
        <f t="shared" si="32"/>
        <v>1.5699905424756293</v>
      </c>
      <c r="H103" s="113">
        <f t="shared" si="33"/>
        <v>155.13154957772343</v>
      </c>
      <c r="I103" s="114">
        <f t="shared" si="34"/>
        <v>1.5643501401339022</v>
      </c>
      <c r="J103" s="101">
        <f t="shared" si="35"/>
        <v>3.784583382199751</v>
      </c>
      <c r="K103" s="104">
        <f t="shared" si="36"/>
        <v>1.3033909943271837</v>
      </c>
      <c r="L103" s="102">
        <f t="shared" si="37"/>
        <v>1</v>
      </c>
      <c r="M103" s="103">
        <f t="shared" si="38"/>
        <v>1.1976819323301001E-10</v>
      </c>
      <c r="N103" s="101">
        <f t="shared" si="39"/>
        <v>1</v>
      </c>
      <c r="O103" s="104">
        <f t="shared" si="40"/>
        <v>1.9162910917281601E-11</v>
      </c>
      <c r="P103" s="105">
        <f t="shared" ca="1" si="41"/>
        <v>1.0202590817808408</v>
      </c>
      <c r="Q103" s="106">
        <f t="shared" ca="1" si="42"/>
        <v>0.20602846746236636</v>
      </c>
      <c r="R103" s="107">
        <f t="shared" ca="1" si="43"/>
        <v>-2.9496604699126019</v>
      </c>
      <c r="S103" s="108">
        <f t="shared" ca="1" si="44"/>
        <v>-170.3788791163297</v>
      </c>
      <c r="T103" s="116">
        <f t="shared" ca="1" si="45"/>
        <v>9.6211208836703008</v>
      </c>
      <c r="V103" s="72">
        <f t="shared" ca="1" si="46"/>
        <v>3630.8</v>
      </c>
      <c r="W103" s="72">
        <f t="shared" si="47"/>
        <v>13182708.640000001</v>
      </c>
      <c r="Y103" s="110">
        <f t="shared" si="48"/>
        <v>34.46041599680467</v>
      </c>
      <c r="Z103" s="111">
        <f t="shared" si="49"/>
        <v>-75.001974359182114</v>
      </c>
      <c r="AA103" s="72">
        <f t="shared" si="50"/>
        <v>104.99802564081789</v>
      </c>
      <c r="AB103" s="110">
        <f t="shared" ca="1" si="51"/>
        <v>-21.492476119835761</v>
      </c>
      <c r="AC103" s="111">
        <f t="shared" ca="1" si="52"/>
        <v>-95.376904757147571</v>
      </c>
      <c r="AD103" s="72">
        <f t="shared" ca="1" si="53"/>
        <v>84.623095242852429</v>
      </c>
    </row>
    <row r="104" spans="1:30">
      <c r="A104" s="118">
        <v>3981.1</v>
      </c>
      <c r="B104" s="101">
        <f t="shared" ca="1" si="27"/>
        <v>204.15626861398331</v>
      </c>
      <c r="C104" s="102">
        <f t="shared" ca="1" si="28"/>
        <v>1.5658980985623103</v>
      </c>
      <c r="D104" s="102">
        <f t="shared" si="29"/>
        <v>1.0068871362625211</v>
      </c>
      <c r="E104" s="103">
        <f t="shared" si="30"/>
        <v>0.11702854331799691</v>
      </c>
      <c r="F104" s="101">
        <f t="shared" si="31"/>
        <v>1360.7613689233556</v>
      </c>
      <c r="G104" s="104">
        <f t="shared" si="32"/>
        <v>1.5700614440205569</v>
      </c>
      <c r="H104" s="113">
        <f t="shared" si="33"/>
        <v>170.09806469147091</v>
      </c>
      <c r="I104" s="114">
        <f t="shared" si="34"/>
        <v>1.5649173312738809</v>
      </c>
      <c r="J104" s="101">
        <f t="shared" si="35"/>
        <v>4.1252770727478589</v>
      </c>
      <c r="K104" s="104">
        <f t="shared" si="36"/>
        <v>1.3259492555211776</v>
      </c>
      <c r="L104" s="102">
        <f t="shared" si="37"/>
        <v>1</v>
      </c>
      <c r="M104" s="103">
        <f t="shared" si="38"/>
        <v>1.3132344223860751E-10</v>
      </c>
      <c r="N104" s="101">
        <f t="shared" si="39"/>
        <v>1</v>
      </c>
      <c r="O104" s="104">
        <f t="shared" si="40"/>
        <v>2.1011750758177202E-11</v>
      </c>
      <c r="P104" s="105">
        <f t="shared" ca="1" si="41"/>
        <v>1.0243083459927793</v>
      </c>
      <c r="Q104" s="106">
        <f t="shared" ca="1" si="42"/>
        <v>0.22532644340136831</v>
      </c>
      <c r="R104" s="107">
        <f t="shared" ca="1" si="43"/>
        <v>-4.5228175830974324</v>
      </c>
      <c r="S104" s="108">
        <f t="shared" ca="1" si="44"/>
        <v>-172.1903971301245</v>
      </c>
      <c r="T104" s="116">
        <f t="shared" ca="1" si="45"/>
        <v>7.8096028698755049</v>
      </c>
      <c r="V104" s="72">
        <f t="shared" ca="1" si="46"/>
        <v>3981.1</v>
      </c>
      <c r="W104" s="72">
        <f t="shared" si="47"/>
        <v>15849157.209999999</v>
      </c>
      <c r="Y104" s="110">
        <f t="shared" si="48"/>
        <v>33.71168521018064</v>
      </c>
      <c r="Z104" s="111">
        <f t="shared" si="49"/>
        <v>-76.266032220427263</v>
      </c>
      <c r="AA104" s="72">
        <f t="shared" si="50"/>
        <v>103.73396777957274</v>
      </c>
      <c r="AB104" s="110">
        <f t="shared" ca="1" si="51"/>
        <v>-22.316902446396565</v>
      </c>
      <c r="AC104" s="111">
        <f t="shared" ca="1" si="52"/>
        <v>-95.924364909697204</v>
      </c>
      <c r="AD104" s="72">
        <f t="shared" ca="1" si="53"/>
        <v>84.075635090302796</v>
      </c>
    </row>
    <row r="105" spans="1:30">
      <c r="A105" s="118">
        <v>4365.2</v>
      </c>
      <c r="B105" s="101">
        <f t="shared" ca="1" si="27"/>
        <v>223.85299166652101</v>
      </c>
      <c r="C105" s="102">
        <f t="shared" ca="1" si="28"/>
        <v>1.5663290944448152</v>
      </c>
      <c r="D105" s="102">
        <f t="shared" si="29"/>
        <v>1.0082744793273462</v>
      </c>
      <c r="E105" s="103">
        <f t="shared" si="30"/>
        <v>0.12820158713022298</v>
      </c>
      <c r="F105" s="101">
        <f t="shared" si="31"/>
        <v>1492.0487447625969</v>
      </c>
      <c r="G105" s="104">
        <f t="shared" si="32"/>
        <v>1.5701261073544286</v>
      </c>
      <c r="H105" s="113">
        <f t="shared" si="33"/>
        <v>186.50873206550384</v>
      </c>
      <c r="I105" s="114">
        <f t="shared" si="34"/>
        <v>1.5654346218481374</v>
      </c>
      <c r="J105" s="101">
        <f t="shared" si="35"/>
        <v>4.5008730955653959</v>
      </c>
      <c r="K105" s="104">
        <f t="shared" si="36"/>
        <v>1.3467474472364915</v>
      </c>
      <c r="L105" s="102">
        <f t="shared" si="37"/>
        <v>1</v>
      </c>
      <c r="M105" s="103">
        <f t="shared" si="38"/>
        <v>1.4399364247569002E-10</v>
      </c>
      <c r="N105" s="101">
        <f t="shared" si="39"/>
        <v>1</v>
      </c>
      <c r="O105" s="104">
        <f t="shared" si="40"/>
        <v>2.3038982796110399E-11</v>
      </c>
      <c r="P105" s="105">
        <f t="shared" ca="1" si="41"/>
        <v>1.0291556890003368</v>
      </c>
      <c r="Q105" s="106">
        <f t="shared" ca="1" si="42"/>
        <v>0.24630989893144592</v>
      </c>
      <c r="R105" s="107">
        <f t="shared" ca="1" si="43"/>
        <v>-6.1087667150070963</v>
      </c>
      <c r="S105" s="108">
        <f t="shared" ca="1" si="44"/>
        <v>-173.94290153951559</v>
      </c>
      <c r="T105" s="116">
        <f t="shared" ca="1" si="45"/>
        <v>6.0570984604844114</v>
      </c>
      <c r="V105" s="72">
        <f t="shared" ca="1" si="46"/>
        <v>4365.2</v>
      </c>
      <c r="W105" s="72">
        <f t="shared" si="47"/>
        <v>19054971.039999999</v>
      </c>
      <c r="Y105" s="110">
        <f t="shared" si="48"/>
        <v>32.954787454417676</v>
      </c>
      <c r="Z105" s="111">
        <f t="shared" si="49"/>
        <v>-77.431747197374236</v>
      </c>
      <c r="AA105" s="72">
        <f t="shared" si="50"/>
        <v>102.56825280262576</v>
      </c>
      <c r="AB105" s="110">
        <f t="shared" ca="1" si="51"/>
        <v>-23.145953822543266</v>
      </c>
      <c r="AC105" s="111">
        <f t="shared" ca="1" si="52"/>
        <v>-96.511154342141339</v>
      </c>
      <c r="AD105" s="72">
        <f t="shared" ca="1" si="53"/>
        <v>83.488845657858661</v>
      </c>
    </row>
    <row r="106" spans="1:30">
      <c r="A106" s="118">
        <v>4786.3</v>
      </c>
      <c r="B106" s="101">
        <f t="shared" ca="1" si="27"/>
        <v>245.44712169396959</v>
      </c>
      <c r="C106" s="102">
        <f t="shared" ca="1" si="28"/>
        <v>1.5667221182255191</v>
      </c>
      <c r="D106" s="102">
        <f t="shared" si="29"/>
        <v>1.0099396767460835</v>
      </c>
      <c r="E106" s="103">
        <f t="shared" si="30"/>
        <v>0.14041394587267467</v>
      </c>
      <c r="F106" s="101">
        <f t="shared" si="31"/>
        <v>1635.9829188223077</v>
      </c>
      <c r="G106" s="104">
        <f t="shared" si="32"/>
        <v>1.5701850734310829</v>
      </c>
      <c r="H106" s="113">
        <f t="shared" si="33"/>
        <v>204.50027164859546</v>
      </c>
      <c r="I106" s="114">
        <f t="shared" si="34"/>
        <v>1.5659063382521881</v>
      </c>
      <c r="J106" s="101">
        <f t="shared" si="35"/>
        <v>4.914528203461197</v>
      </c>
      <c r="K106" s="104">
        <f t="shared" si="36"/>
        <v>1.365887053884246</v>
      </c>
      <c r="L106" s="102">
        <f t="shared" si="37"/>
        <v>1</v>
      </c>
      <c r="M106" s="103">
        <f t="shared" si="38"/>
        <v>1.5788435145729753E-10</v>
      </c>
      <c r="N106" s="101">
        <f t="shared" si="39"/>
        <v>1</v>
      </c>
      <c r="O106" s="104">
        <f t="shared" si="40"/>
        <v>2.5261496233167603E-11</v>
      </c>
      <c r="P106" s="105">
        <f t="shared" ca="1" si="41"/>
        <v>1.034952744343588</v>
      </c>
      <c r="Q106" s="106">
        <f t="shared" ca="1" si="42"/>
        <v>0.26908635603887776</v>
      </c>
      <c r="R106" s="107">
        <f t="shared" ca="1" si="43"/>
        <v>-7.7068451162160674</v>
      </c>
      <c r="S106" s="108">
        <f t="shared" ca="1" si="44"/>
        <v>-175.64366822605189</v>
      </c>
      <c r="T106" s="116">
        <f t="shared" ca="1" si="45"/>
        <v>4.3563317739481136</v>
      </c>
      <c r="V106" s="72">
        <f t="shared" ca="1" si="46"/>
        <v>4786.3</v>
      </c>
      <c r="W106" s="72">
        <f t="shared" si="47"/>
        <v>22908667.690000001</v>
      </c>
      <c r="Y106" s="110">
        <f t="shared" si="48"/>
        <v>32.191065504736571</v>
      </c>
      <c r="Z106" s="111">
        <f t="shared" si="49"/>
        <v>-78.504717028636179</v>
      </c>
      <c r="AA106" s="72">
        <f t="shared" si="50"/>
        <v>101.49528297136382</v>
      </c>
      <c r="AB106" s="110">
        <f t="shared" ca="1" si="51"/>
        <v>-23.980310274071137</v>
      </c>
      <c r="AC106" s="111">
        <f t="shared" ca="1" si="52"/>
        <v>-97.138951197415722</v>
      </c>
      <c r="AD106" s="72">
        <f t="shared" ca="1" si="53"/>
        <v>82.861048802584278</v>
      </c>
    </row>
    <row r="107" spans="1:30">
      <c r="A107" s="118">
        <v>5248.1</v>
      </c>
      <c r="B107" s="101">
        <f t="shared" ca="1" si="27"/>
        <v>269.1283957702409</v>
      </c>
      <c r="C107" s="102">
        <f t="shared" ca="1" si="28"/>
        <v>1.5670806196573364</v>
      </c>
      <c r="D107" s="102">
        <f t="shared" si="29"/>
        <v>1.0119383685565229</v>
      </c>
      <c r="E107" s="103">
        <f t="shared" si="30"/>
        <v>0.15375822280782517</v>
      </c>
      <c r="F107" s="101">
        <f t="shared" si="31"/>
        <v>1793.8285703808494</v>
      </c>
      <c r="G107" s="104">
        <f t="shared" si="32"/>
        <v>1.5702388598951569</v>
      </c>
      <c r="H107" s="113">
        <f t="shared" si="33"/>
        <v>224.2307663126665</v>
      </c>
      <c r="I107" s="114">
        <f t="shared" si="34"/>
        <v>1.5663366207015632</v>
      </c>
      <c r="J107" s="101">
        <f t="shared" si="35"/>
        <v>5.3698987540752618</v>
      </c>
      <c r="K107" s="104">
        <f t="shared" si="36"/>
        <v>1.3834795819401779</v>
      </c>
      <c r="L107" s="102">
        <f t="shared" si="37"/>
        <v>1</v>
      </c>
      <c r="M107" s="103">
        <f t="shared" si="38"/>
        <v>1.7311762005788252E-10</v>
      </c>
      <c r="N107" s="101">
        <f t="shared" si="39"/>
        <v>1</v>
      </c>
      <c r="O107" s="104">
        <f t="shared" si="40"/>
        <v>2.7698819209261203E-11</v>
      </c>
      <c r="P107" s="105">
        <f t="shared" ca="1" si="41"/>
        <v>1.041880904631485</v>
      </c>
      <c r="Q107" s="106">
        <f t="shared" ca="1" si="42"/>
        <v>0.29376989997434361</v>
      </c>
      <c r="R107" s="107">
        <f t="shared" ca="1" si="43"/>
        <v>-9.3173577986177136</v>
      </c>
      <c r="S107" s="108">
        <f t="shared" ca="1" si="44"/>
        <v>-177.30030696570333</v>
      </c>
      <c r="T107" s="116">
        <f t="shared" ca="1" si="45"/>
        <v>2.6996930342966721</v>
      </c>
      <c r="V107" s="72">
        <f t="shared" ca="1" si="46"/>
        <v>5248.1</v>
      </c>
      <c r="W107" s="72">
        <f t="shared" si="47"/>
        <v>27542553.610000003</v>
      </c>
      <c r="Y107" s="110">
        <f t="shared" si="48"/>
        <v>31.42136299187419</v>
      </c>
      <c r="Z107" s="111">
        <f t="shared" si="49"/>
        <v>-79.491123006639157</v>
      </c>
      <c r="AA107" s="72">
        <f t="shared" si="50"/>
        <v>100.50887699336084</v>
      </c>
      <c r="AB107" s="110">
        <f t="shared" ca="1" si="51"/>
        <v>-24.8211204436104</v>
      </c>
      <c r="AC107" s="111">
        <f t="shared" ca="1" si="52"/>
        <v>-97.809183959064157</v>
      </c>
      <c r="AD107" s="72">
        <f t="shared" ca="1" si="53"/>
        <v>82.190816040935843</v>
      </c>
    </row>
    <row r="108" spans="1:30">
      <c r="A108" s="118">
        <v>5370.3</v>
      </c>
      <c r="B108" s="101">
        <f t="shared" ca="1" si="27"/>
        <v>275.39486193336387</v>
      </c>
      <c r="C108" s="102">
        <f t="shared" ca="1" si="28"/>
        <v>1.5671651690073687</v>
      </c>
      <c r="D108" s="102">
        <f t="shared" si="29"/>
        <v>1.0124973298714923</v>
      </c>
      <c r="E108" s="103">
        <f t="shared" si="30"/>
        <v>0.15728032441191905</v>
      </c>
      <c r="F108" s="101">
        <f t="shared" si="31"/>
        <v>1835.5971692934354</v>
      </c>
      <c r="G108" s="104">
        <f t="shared" si="32"/>
        <v>1.570251544929794</v>
      </c>
      <c r="H108" s="113">
        <f t="shared" si="33"/>
        <v>229.45179123014032</v>
      </c>
      <c r="I108" s="114">
        <f t="shared" si="34"/>
        <v>1.5664380990367375</v>
      </c>
      <c r="J108" s="101">
        <f t="shared" si="35"/>
        <v>5.4906463148074467</v>
      </c>
      <c r="K108" s="104">
        <f t="shared" si="36"/>
        <v>1.3876461909292441</v>
      </c>
      <c r="L108" s="102">
        <f t="shared" si="37"/>
        <v>1</v>
      </c>
      <c r="M108" s="103">
        <f t="shared" si="38"/>
        <v>1.7714859758709753E-10</v>
      </c>
      <c r="N108" s="101">
        <f t="shared" si="39"/>
        <v>1</v>
      </c>
      <c r="O108" s="104">
        <f t="shared" si="40"/>
        <v>2.8343775613935603E-11</v>
      </c>
      <c r="P108" s="105">
        <f t="shared" ca="1" si="41"/>
        <v>1.0438127055724353</v>
      </c>
      <c r="Q108" s="106">
        <f t="shared" ca="1" si="42"/>
        <v>0.30024750436217568</v>
      </c>
      <c r="R108" s="107">
        <f t="shared" ca="1" si="43"/>
        <v>-9.721728806586297</v>
      </c>
      <c r="S108" s="108">
        <f t="shared" ca="1" si="44"/>
        <v>-177.70813075132506</v>
      </c>
      <c r="T108" s="116">
        <f t="shared" ca="1" si="45"/>
        <v>2.2918692486749421</v>
      </c>
      <c r="V108" s="72">
        <f t="shared" ca="1" si="46"/>
        <v>5370.3</v>
      </c>
      <c r="W108" s="72">
        <f t="shared" si="47"/>
        <v>28840122.090000004</v>
      </c>
      <c r="Y108" s="110">
        <f t="shared" si="48"/>
        <v>31.228211732767555</v>
      </c>
      <c r="Z108" s="111">
        <f t="shared" si="49"/>
        <v>-79.724764635297092</v>
      </c>
      <c r="AA108" s="72">
        <f t="shared" si="50"/>
        <v>100.27523536470291</v>
      </c>
      <c r="AB108" s="110">
        <f t="shared" ca="1" si="51"/>
        <v>-25.032340192472347</v>
      </c>
      <c r="AC108" s="111">
        <f t="shared" ca="1" si="52"/>
        <v>-97.98336611602798</v>
      </c>
      <c r="AD108" s="72">
        <f t="shared" ca="1" si="53"/>
        <v>82.01663388397202</v>
      </c>
    </row>
    <row r="109" spans="1:30">
      <c r="A109" s="118">
        <v>5432.85</v>
      </c>
      <c r="B109" s="101">
        <f t="shared" ca="1" si="27"/>
        <v>278.60245234600239</v>
      </c>
      <c r="C109" s="102">
        <f t="shared" ca="1" si="28"/>
        <v>1.567206975233834</v>
      </c>
      <c r="D109" s="102">
        <f t="shared" si="29"/>
        <v>1.0127882989849646</v>
      </c>
      <c r="E109" s="103">
        <f t="shared" si="30"/>
        <v>0.15908165205168501</v>
      </c>
      <c r="F109" s="101">
        <f t="shared" si="31"/>
        <v>1856.9770864413351</v>
      </c>
      <c r="G109" s="104">
        <f t="shared" si="32"/>
        <v>1.5702578171624226</v>
      </c>
      <c r="H109" s="113">
        <f t="shared" si="33"/>
        <v>232.12425617705776</v>
      </c>
      <c r="I109" s="114">
        <f t="shared" si="34"/>
        <v>1.5664882759703378</v>
      </c>
      <c r="J109" s="101">
        <f t="shared" si="35"/>
        <v>5.5524885311901206</v>
      </c>
      <c r="K109" s="104">
        <f t="shared" si="36"/>
        <v>1.3897087971972972</v>
      </c>
      <c r="L109" s="102">
        <f t="shared" si="37"/>
        <v>1</v>
      </c>
      <c r="M109" s="103">
        <f t="shared" si="38"/>
        <v>1.7921191709980129E-10</v>
      </c>
      <c r="N109" s="101">
        <f t="shared" si="39"/>
        <v>1</v>
      </c>
      <c r="O109" s="104">
        <f t="shared" si="40"/>
        <v>2.8673906735968204E-11</v>
      </c>
      <c r="P109" s="105">
        <f t="shared" ca="1" si="41"/>
        <v>1.0448173249684112</v>
      </c>
      <c r="Q109" s="106">
        <f t="shared" ca="1" si="42"/>
        <v>0.30355415994589147</v>
      </c>
      <c r="R109" s="107">
        <f t="shared" ca="1" si="43"/>
        <v>-9.9254566757752176</v>
      </c>
      <c r="S109" s="108">
        <f t="shared" ca="1" si="44"/>
        <v>-177.91243808965464</v>
      </c>
      <c r="T109" s="116">
        <f t="shared" ca="1" si="45"/>
        <v>2.0875619103453573</v>
      </c>
      <c r="V109" s="72">
        <f t="shared" ca="1" si="46"/>
        <v>5432.85</v>
      </c>
      <c r="W109" s="72">
        <f t="shared" si="47"/>
        <v>29515859.122500002</v>
      </c>
      <c r="Y109" s="110">
        <f t="shared" si="48"/>
        <v>31.130925852633808</v>
      </c>
      <c r="Z109" s="111">
        <f t="shared" si="49"/>
        <v>-79.840427715220159</v>
      </c>
      <c r="AA109" s="72">
        <f t="shared" si="50"/>
        <v>100.15957228477984</v>
      </c>
      <c r="AB109" s="110">
        <f t="shared" ca="1" si="51"/>
        <v>-25.138782181527525</v>
      </c>
      <c r="AC109" s="111">
        <f t="shared" ca="1" si="52"/>
        <v>-98.072010374434527</v>
      </c>
      <c r="AD109" s="72">
        <f t="shared" ca="1" si="53"/>
        <v>81.927989625565473</v>
      </c>
    </row>
    <row r="110" spans="1:30">
      <c r="A110" s="118">
        <v>5495.4</v>
      </c>
      <c r="B110" s="101">
        <f t="shared" ca="1" si="27"/>
        <v>281.81004323448667</v>
      </c>
      <c r="C110" s="102">
        <f t="shared" ca="1" si="28"/>
        <v>1.5672478297748329</v>
      </c>
      <c r="D110" s="102">
        <f t="shared" si="29"/>
        <v>1.0130825524810034</v>
      </c>
      <c r="E110" s="103">
        <f t="shared" si="30"/>
        <v>0.16088193912590321</v>
      </c>
      <c r="F110" s="101">
        <f t="shared" si="31"/>
        <v>1878.3570036606263</v>
      </c>
      <c r="G110" s="104">
        <f t="shared" si="32"/>
        <v>1.5702639466108905</v>
      </c>
      <c r="H110" s="113">
        <f t="shared" si="33"/>
        <v>234.79672169509624</v>
      </c>
      <c r="I110" s="114">
        <f t="shared" si="34"/>
        <v>1.566537310672397</v>
      </c>
      <c r="J110" s="101">
        <f t="shared" si="35"/>
        <v>5.6143538493166538</v>
      </c>
      <c r="K110" s="104">
        <f t="shared" si="36"/>
        <v>1.3917259556198978</v>
      </c>
      <c r="L110" s="102">
        <f t="shared" si="37"/>
        <v>1</v>
      </c>
      <c r="M110" s="103">
        <f t="shared" si="38"/>
        <v>1.81275236612505E-10</v>
      </c>
      <c r="N110" s="101">
        <f t="shared" si="39"/>
        <v>1</v>
      </c>
      <c r="O110" s="104">
        <f t="shared" si="40"/>
        <v>2.9004037858000801E-11</v>
      </c>
      <c r="P110" s="105">
        <f t="shared" ca="1" si="41"/>
        <v>1.0458326003978202</v>
      </c>
      <c r="Q110" s="106">
        <f t="shared" ca="1" si="42"/>
        <v>0.30685465276575863</v>
      </c>
      <c r="R110" s="107">
        <f t="shared" ca="1" si="43"/>
        <v>-10.127044306229095</v>
      </c>
      <c r="S110" s="108">
        <f t="shared" ca="1" si="44"/>
        <v>-178.11385071446026</v>
      </c>
      <c r="T110" s="116">
        <f t="shared" ca="1" si="45"/>
        <v>1.8861492855397444</v>
      </c>
      <c r="V110" s="72">
        <f t="shared" ca="1" si="46"/>
        <v>5495.4</v>
      </c>
      <c r="W110" s="72">
        <f t="shared" si="47"/>
        <v>30199421.159999996</v>
      </c>
      <c r="Y110" s="110">
        <f t="shared" si="48"/>
        <v>31.034681841594495</v>
      </c>
      <c r="Z110" s="111">
        <f t="shared" si="49"/>
        <v>-79.953544089524641</v>
      </c>
      <c r="AA110" s="72">
        <f t="shared" si="50"/>
        <v>100.04645591047536</v>
      </c>
      <c r="AB110" s="110">
        <f t="shared" ca="1" si="51"/>
        <v>-25.244125800942086</v>
      </c>
      <c r="AC110" s="111">
        <f t="shared" ca="1" si="52"/>
        <v>-98.160306624935572</v>
      </c>
      <c r="AD110" s="72">
        <f t="shared" ca="1" si="53"/>
        <v>81.839693375064428</v>
      </c>
    </row>
    <row r="111" spans="1:30">
      <c r="A111" s="118">
        <v>5559.4</v>
      </c>
      <c r="B111" s="101">
        <f t="shared" ca="1" si="27"/>
        <v>285.0919912220524</v>
      </c>
      <c r="C111" s="102">
        <f t="shared" ca="1" si="28"/>
        <v>1.5672886798549939</v>
      </c>
      <c r="D111" s="102">
        <f t="shared" si="29"/>
        <v>1.0133870236870173</v>
      </c>
      <c r="E111" s="103">
        <f t="shared" si="30"/>
        <v>0.16272287122496795</v>
      </c>
      <c r="F111" s="101">
        <f t="shared" si="31"/>
        <v>1900.2325385367174</v>
      </c>
      <c r="G111" s="104">
        <f t="shared" si="32"/>
        <v>1.5702700753883574</v>
      </c>
      <c r="H111" s="113">
        <f t="shared" si="33"/>
        <v>237.53113942286916</v>
      </c>
      <c r="I111" s="114">
        <f t="shared" si="34"/>
        <v>1.5665863400267031</v>
      </c>
      <c r="J111" s="101">
        <f t="shared" si="35"/>
        <v>5.6776764191009228</v>
      </c>
      <c r="K111" s="104">
        <f t="shared" si="36"/>
        <v>1.3937443670680563</v>
      </c>
      <c r="L111" s="102">
        <f t="shared" si="37"/>
        <v>1</v>
      </c>
      <c r="M111" s="103">
        <f t="shared" si="38"/>
        <v>1.83386386873305E-10</v>
      </c>
      <c r="N111" s="101">
        <f t="shared" si="39"/>
        <v>1</v>
      </c>
      <c r="O111" s="104">
        <f t="shared" si="40"/>
        <v>2.9341821899728802E-11</v>
      </c>
      <c r="P111" s="105">
        <f t="shared" ca="1" si="41"/>
        <v>1.0468824086395387</v>
      </c>
      <c r="Q111" s="106">
        <f t="shared" ca="1" si="42"/>
        <v>0.31022522827653065</v>
      </c>
      <c r="R111" s="107">
        <f t="shared" ca="1" si="43"/>
        <v>-10.331138706752935</v>
      </c>
      <c r="S111" s="108">
        <f t="shared" ca="1" si="44"/>
        <v>-178.31702179873633</v>
      </c>
      <c r="T111" s="116">
        <f t="shared" ca="1" si="45"/>
        <v>1.6829782012636656</v>
      </c>
      <c r="V111" s="72">
        <f t="shared" ca="1" si="46"/>
        <v>5559.4</v>
      </c>
      <c r="W111" s="72">
        <f t="shared" si="47"/>
        <v>30906928.359999996</v>
      </c>
      <c r="Y111" s="110">
        <f t="shared" si="48"/>
        <v>30.937262931503774</v>
      </c>
      <c r="Z111" s="111">
        <f t="shared" si="49"/>
        <v>-80.06673252486118</v>
      </c>
      <c r="AA111" s="72">
        <f t="shared" si="50"/>
        <v>99.93326747513882</v>
      </c>
      <c r="AB111" s="110">
        <f t="shared" ca="1" si="51"/>
        <v>-25.350801291375205</v>
      </c>
      <c r="AC111" s="111">
        <f t="shared" ca="1" si="52"/>
        <v>-98.250289273875197</v>
      </c>
      <c r="AD111" s="72">
        <f t="shared" ca="1" si="53"/>
        <v>81.749710726124803</v>
      </c>
    </row>
    <row r="112" spans="1:30">
      <c r="A112" s="118">
        <v>5623.4</v>
      </c>
      <c r="B112" s="101">
        <f t="shared" ca="1" si="27"/>
        <v>288.37393967453073</v>
      </c>
      <c r="C112" s="102">
        <f t="shared" ca="1" si="28"/>
        <v>1.5673286001157123</v>
      </c>
      <c r="D112" s="102">
        <f t="shared" si="29"/>
        <v>1.0136949272231774</v>
      </c>
      <c r="E112" s="103">
        <f t="shared" si="30"/>
        <v>0.16456269121272418</v>
      </c>
      <c r="F112" s="101">
        <f t="shared" si="31"/>
        <v>1922.10807348256</v>
      </c>
      <c r="G112" s="104">
        <f t="shared" si="32"/>
        <v>1.5702760646624452</v>
      </c>
      <c r="H112" s="113">
        <f t="shared" si="33"/>
        <v>240.2655577086411</v>
      </c>
      <c r="I112" s="114">
        <f t="shared" si="34"/>
        <v>1.5666342533929278</v>
      </c>
      <c r="J112" s="101">
        <f t="shared" si="35"/>
        <v>5.7410216093407351</v>
      </c>
      <c r="K112" s="104">
        <f t="shared" si="36"/>
        <v>1.3957182449801766</v>
      </c>
      <c r="L112" s="102">
        <f t="shared" si="37"/>
        <v>1</v>
      </c>
      <c r="M112" s="103">
        <f t="shared" si="38"/>
        <v>1.85497537134105E-10</v>
      </c>
      <c r="N112" s="101">
        <f t="shared" si="39"/>
        <v>1</v>
      </c>
      <c r="O112" s="104">
        <f t="shared" si="40"/>
        <v>2.9679605941456803E-11</v>
      </c>
      <c r="P112" s="105">
        <f t="shared" ca="1" si="41"/>
        <v>1.0479433071236881</v>
      </c>
      <c r="Q112" s="106">
        <f t="shared" ca="1" si="42"/>
        <v>0.31358925358362433</v>
      </c>
      <c r="R112" s="107">
        <f t="shared" ca="1" si="43"/>
        <v>-10.533090203353128</v>
      </c>
      <c r="S112" s="108">
        <f t="shared" ca="1" si="44"/>
        <v>-178.5173323933285</v>
      </c>
      <c r="T112" s="116">
        <f t="shared" ca="1" si="45"/>
        <v>1.4826676066714981</v>
      </c>
      <c r="V112" s="72">
        <f t="shared" ca="1" si="46"/>
        <v>5623.4</v>
      </c>
      <c r="W112" s="72">
        <f t="shared" si="47"/>
        <v>31622627.559999995</v>
      </c>
      <c r="Y112" s="110">
        <f t="shared" si="48"/>
        <v>30.84089033887626</v>
      </c>
      <c r="Z112" s="111">
        <f t="shared" si="49"/>
        <v>-80.177425324985307</v>
      </c>
      <c r="AA112" s="72">
        <f t="shared" si="50"/>
        <v>99.822574675014693</v>
      </c>
      <c r="AB112" s="110">
        <f t="shared" ca="1" si="51"/>
        <v>-25.456380195347883</v>
      </c>
      <c r="AC112" s="111">
        <f t="shared" ca="1" si="52"/>
        <v>-98.339907068343251</v>
      </c>
      <c r="AD112" s="72">
        <f t="shared" ca="1" si="53"/>
        <v>81.660092931656749</v>
      </c>
    </row>
    <row r="113" spans="1:30">
      <c r="A113" s="118">
        <v>5688.9</v>
      </c>
      <c r="B113" s="101">
        <f t="shared" ca="1" si="27"/>
        <v>291.73280925887542</v>
      </c>
      <c r="C113" s="102">
        <f t="shared" ca="1" si="28"/>
        <v>1.5673685259902967</v>
      </c>
      <c r="D113" s="102">
        <f t="shared" si="29"/>
        <v>1.0140135979262372</v>
      </c>
      <c r="E113" s="103">
        <f t="shared" si="30"/>
        <v>0.16644446853302122</v>
      </c>
      <c r="F113" s="101">
        <f t="shared" si="31"/>
        <v>1944.4963163484624</v>
      </c>
      <c r="G113" s="104">
        <f t="shared" si="32"/>
        <v>1.5702820547771654</v>
      </c>
      <c r="H113" s="113">
        <f t="shared" si="33"/>
        <v>243.06406448110354</v>
      </c>
      <c r="I113" s="114">
        <f t="shared" si="34"/>
        <v>1.5666821735029106</v>
      </c>
      <c r="J113" s="101">
        <f t="shared" si="35"/>
        <v>5.8058741017677375</v>
      </c>
      <c r="K113" s="104">
        <f t="shared" si="36"/>
        <v>1.3976937795661957</v>
      </c>
      <c r="L113" s="102">
        <f t="shared" si="37"/>
        <v>1</v>
      </c>
      <c r="M113" s="103">
        <f t="shared" si="38"/>
        <v>1.8765816747914252E-10</v>
      </c>
      <c r="N113" s="101">
        <f t="shared" si="39"/>
        <v>1</v>
      </c>
      <c r="O113" s="104">
        <f t="shared" si="40"/>
        <v>3.0025306796662802E-11</v>
      </c>
      <c r="P113" s="105">
        <f t="shared" ca="1" si="41"/>
        <v>1.0490405186575542</v>
      </c>
      <c r="Q113" s="106">
        <f t="shared" ca="1" si="42"/>
        <v>0.31702529018916231</v>
      </c>
      <c r="R113" s="107">
        <f t="shared" ca="1" si="43"/>
        <v>-10.737605195151312</v>
      </c>
      <c r="S113" s="108">
        <f t="shared" ca="1" si="44"/>
        <v>-178.71945985717332</v>
      </c>
      <c r="T113" s="116">
        <f t="shared" ca="1" si="45"/>
        <v>1.2805401428266805</v>
      </c>
      <c r="V113" s="72">
        <f t="shared" ca="1" si="46"/>
        <v>5688.9</v>
      </c>
      <c r="W113" s="72">
        <f t="shared" si="47"/>
        <v>32363583.209999997</v>
      </c>
      <c r="Y113" s="110">
        <f t="shared" si="48"/>
        <v>30.743319993033641</v>
      </c>
      <c r="Z113" s="111">
        <f t="shared" si="49"/>
        <v>-80.288212707305377</v>
      </c>
      <c r="AA113" s="72">
        <f t="shared" si="50"/>
        <v>99.711787292694623</v>
      </c>
      <c r="AB113" s="110">
        <f t="shared" ca="1" si="51"/>
        <v>-25.563324841303444</v>
      </c>
      <c r="AC113" s="111">
        <f t="shared" ca="1" si="52"/>
        <v>-98.431247149868</v>
      </c>
      <c r="AD113" s="72">
        <f t="shared" ca="1" si="53"/>
        <v>81.568752850132</v>
      </c>
    </row>
    <row r="114" spans="1:30">
      <c r="A114" s="118">
        <v>5754.4</v>
      </c>
      <c r="B114" s="101">
        <f t="shared" ca="1" si="27"/>
        <v>295.09167929767756</v>
      </c>
      <c r="C114" s="102">
        <f t="shared" ca="1" si="28"/>
        <v>1.5674075429553842</v>
      </c>
      <c r="D114" s="102">
        <f t="shared" si="29"/>
        <v>1.0143358570749559</v>
      </c>
      <c r="E114" s="103">
        <f t="shared" si="30"/>
        <v>0.16832505681058374</v>
      </c>
      <c r="F114" s="101">
        <f t="shared" si="31"/>
        <v>1966.884559282548</v>
      </c>
      <c r="G114" s="104">
        <f t="shared" si="32"/>
        <v>1.5702879085258314</v>
      </c>
      <c r="H114" s="113">
        <f t="shared" si="33"/>
        <v>245.86257179901665</v>
      </c>
      <c r="I114" s="114">
        <f t="shared" si="34"/>
        <v>1.5667290027208187</v>
      </c>
      <c r="J114" s="101">
        <f t="shared" si="35"/>
        <v>5.8707487523323012</v>
      </c>
      <c r="K114" s="104">
        <f t="shared" si="36"/>
        <v>1.3996256603031119</v>
      </c>
      <c r="L114" s="102">
        <f t="shared" si="37"/>
        <v>1</v>
      </c>
      <c r="M114" s="103">
        <f t="shared" si="38"/>
        <v>1.8981879782418001E-10</v>
      </c>
      <c r="N114" s="101">
        <f t="shared" si="39"/>
        <v>1</v>
      </c>
      <c r="O114" s="104">
        <f t="shared" si="40"/>
        <v>3.0371007651868801E-11</v>
      </c>
      <c r="P114" s="105">
        <f t="shared" ca="1" si="41"/>
        <v>1.0501492751936778</v>
      </c>
      <c r="Q114" s="106">
        <f t="shared" ca="1" si="42"/>
        <v>0.32045436366516777</v>
      </c>
      <c r="R114" s="107">
        <f t="shared" ca="1" si="43"/>
        <v>-10.939973731858572</v>
      </c>
      <c r="S114" s="108">
        <f t="shared" ca="1" si="44"/>
        <v>-178.91875792253214</v>
      </c>
      <c r="T114" s="116">
        <f t="shared" ca="1" si="45"/>
        <v>1.0812420774678628</v>
      </c>
      <c r="V114" s="72">
        <f t="shared" ca="1" si="46"/>
        <v>5754.4</v>
      </c>
      <c r="W114" s="72">
        <f t="shared" si="47"/>
        <v>33113119.359999996</v>
      </c>
      <c r="Y114" s="110">
        <f t="shared" si="48"/>
        <v>30.646800747171344</v>
      </c>
      <c r="Z114" s="111">
        <f t="shared" si="49"/>
        <v>-80.396553598621935</v>
      </c>
      <c r="AA114" s="72">
        <f t="shared" si="50"/>
        <v>99.603446401378065</v>
      </c>
      <c r="AB114" s="110">
        <f t="shared" ca="1" si="51"/>
        <v>-25.669174132148413</v>
      </c>
      <c r="AC114" s="111">
        <f t="shared" ca="1" si="52"/>
        <v>-98.522204323910117</v>
      </c>
      <c r="AD114" s="72">
        <f t="shared" ca="1" si="53"/>
        <v>81.477795676089883</v>
      </c>
    </row>
    <row r="115" spans="1:30">
      <c r="A115" s="118">
        <v>5821.4</v>
      </c>
      <c r="B115" s="101">
        <f t="shared" ca="1" si="27"/>
        <v>298.52747047858691</v>
      </c>
      <c r="C115" s="102">
        <f t="shared" ca="1" si="28"/>
        <v>1.567446545052626</v>
      </c>
      <c r="D115" s="102">
        <f t="shared" si="29"/>
        <v>1.0146692052933775</v>
      </c>
      <c r="E115" s="103">
        <f t="shared" si="30"/>
        <v>0.17024746911650843</v>
      </c>
      <c r="F115" s="101">
        <f t="shared" si="31"/>
        <v>1989.7855101382295</v>
      </c>
      <c r="G115" s="104">
        <f t="shared" si="32"/>
        <v>1.5702937600423494</v>
      </c>
      <c r="H115" s="113">
        <f t="shared" si="33"/>
        <v>248.72516761591166</v>
      </c>
      <c r="I115" s="114">
        <f t="shared" si="34"/>
        <v>1.5667758140993886</v>
      </c>
      <c r="J115" s="101">
        <f t="shared" si="35"/>
        <v>5.9371312497812019</v>
      </c>
      <c r="K115" s="104">
        <f t="shared" si="36"/>
        <v>1.4015580947890183</v>
      </c>
      <c r="L115" s="102">
        <f t="shared" si="37"/>
        <v>1</v>
      </c>
      <c r="M115" s="103">
        <f t="shared" si="38"/>
        <v>1.9202890825345501E-10</v>
      </c>
      <c r="N115" s="101">
        <f t="shared" si="39"/>
        <v>1</v>
      </c>
      <c r="O115" s="104">
        <f t="shared" si="40"/>
        <v>3.0724625320552798E-11</v>
      </c>
      <c r="P115" s="105">
        <f t="shared" ca="1" si="41"/>
        <v>1.0512953298226722</v>
      </c>
      <c r="Q115" s="106">
        <f t="shared" ca="1" si="42"/>
        <v>0.32395470874409188</v>
      </c>
      <c r="R115" s="107">
        <f t="shared" ca="1" si="43"/>
        <v>-11.144805129331852</v>
      </c>
      <c r="S115" s="108">
        <f t="shared" ca="1" si="44"/>
        <v>-179.11977497947072</v>
      </c>
      <c r="T115" s="116">
        <f t="shared" ca="1" si="45"/>
        <v>0.88022502052928075</v>
      </c>
      <c r="V115" s="72">
        <f t="shared" ca="1" si="46"/>
        <v>5821.4</v>
      </c>
      <c r="W115" s="72">
        <f t="shared" si="47"/>
        <v>33888697.959999993</v>
      </c>
      <c r="Y115" s="110">
        <f t="shared" si="48"/>
        <v>30.549136022060228</v>
      </c>
      <c r="Z115" s="111">
        <f t="shared" si="49"/>
        <v>-80.504927111642388</v>
      </c>
      <c r="AA115" s="72">
        <f t="shared" si="50"/>
        <v>99.495072888357612</v>
      </c>
      <c r="AB115" s="110">
        <f t="shared" ca="1" si="51"/>
        <v>-25.776340804510582</v>
      </c>
      <c r="AC115" s="111">
        <f t="shared" ca="1" si="52"/>
        <v>-98.614847867828345</v>
      </c>
      <c r="AD115" s="72">
        <f t="shared" ca="1" si="53"/>
        <v>81.385152132171655</v>
      </c>
    </row>
    <row r="116" spans="1:30">
      <c r="A116" s="118">
        <v>5888.4</v>
      </c>
      <c r="B116" s="101">
        <f t="shared" ca="1" si="27"/>
        <v>301.9632621032714</v>
      </c>
      <c r="C116" s="102">
        <f t="shared" ca="1" si="28"/>
        <v>1.5674846596043464</v>
      </c>
      <c r="D116" s="102">
        <f t="shared" si="29"/>
        <v>1.0150063009222492</v>
      </c>
      <c r="E116" s="103">
        <f t="shared" si="30"/>
        <v>0.17216861160658326</v>
      </c>
      <c r="F116" s="101">
        <f t="shared" si="31"/>
        <v>2012.6864610604914</v>
      </c>
      <c r="G116" s="104">
        <f t="shared" si="32"/>
        <v>1.5702994783982436</v>
      </c>
      <c r="H116" s="113">
        <f t="shared" si="33"/>
        <v>251.58776396543655</v>
      </c>
      <c r="I116" s="114">
        <f t="shared" si="34"/>
        <v>1.5668215602268754</v>
      </c>
      <c r="J116" s="101">
        <f t="shared" si="35"/>
        <v>6.0035354279287994</v>
      </c>
      <c r="K116" s="104">
        <f t="shared" si="36"/>
        <v>1.4034477874833318</v>
      </c>
      <c r="L116" s="102">
        <f t="shared" si="37"/>
        <v>1</v>
      </c>
      <c r="M116" s="103">
        <f t="shared" si="38"/>
        <v>1.9423901868273002E-10</v>
      </c>
      <c r="N116" s="101">
        <f t="shared" si="39"/>
        <v>1</v>
      </c>
      <c r="O116" s="104">
        <f t="shared" si="40"/>
        <v>3.1078242989236801E-11</v>
      </c>
      <c r="P116" s="105">
        <f t="shared" ca="1" si="41"/>
        <v>1.0524533871175139</v>
      </c>
      <c r="Q116" s="106">
        <f t="shared" ca="1" si="42"/>
        <v>0.32744766211134463</v>
      </c>
      <c r="R116" s="107">
        <f t="shared" ca="1" si="43"/>
        <v>-11.347488934142419</v>
      </c>
      <c r="S116" s="108">
        <f t="shared" ca="1" si="44"/>
        <v>-179.31799490558279</v>
      </c>
      <c r="T116" s="116">
        <f t="shared" ca="1" si="45"/>
        <v>0.68200509441720669</v>
      </c>
      <c r="V116" s="72">
        <f t="shared" ca="1" si="46"/>
        <v>5888.4</v>
      </c>
      <c r="W116" s="72">
        <f t="shared" si="47"/>
        <v>34673254.559999995</v>
      </c>
      <c r="Y116" s="110">
        <f t="shared" si="48"/>
        <v>30.452525898027424</v>
      </c>
      <c r="Z116" s="111">
        <f t="shared" si="49"/>
        <v>-80.610905105242409</v>
      </c>
      <c r="AA116" s="72">
        <f t="shared" si="50"/>
        <v>99.389094894757591</v>
      </c>
      <c r="AB116" s="110">
        <f t="shared" ca="1" si="51"/>
        <v>-25.882414485288333</v>
      </c>
      <c r="AC116" s="111">
        <f t="shared" ca="1" si="52"/>
        <v>-98.707089800340398</v>
      </c>
      <c r="AD116" s="72">
        <f t="shared" ca="1" si="53"/>
        <v>81.292910199659602</v>
      </c>
    </row>
    <row r="117" spans="1:30">
      <c r="A117" s="118">
        <v>5957</v>
      </c>
      <c r="B117" s="101">
        <f t="shared" ca="1" si="27"/>
        <v>305.48110292733281</v>
      </c>
      <c r="C117" s="102">
        <f t="shared" ca="1" si="28"/>
        <v>1.5675227960382634</v>
      </c>
      <c r="D117" s="102">
        <f t="shared" si="29"/>
        <v>1.0153553254123813</v>
      </c>
      <c r="E117" s="103">
        <f t="shared" si="30"/>
        <v>0.17413430298097629</v>
      </c>
      <c r="F117" s="101">
        <f t="shared" si="31"/>
        <v>2036.1343004296245</v>
      </c>
      <c r="G117" s="104">
        <f t="shared" si="32"/>
        <v>1.5703052000357285</v>
      </c>
      <c r="H117" s="113">
        <f t="shared" si="33"/>
        <v>254.5187213578931</v>
      </c>
      <c r="I117" s="114">
        <f t="shared" si="34"/>
        <v>1.5668673326230651</v>
      </c>
      <c r="J117" s="101">
        <f t="shared" si="35"/>
        <v>6.0715470980829158</v>
      </c>
      <c r="K117" s="104">
        <f t="shared" si="36"/>
        <v>1.4053397728768013</v>
      </c>
      <c r="L117" s="102">
        <f t="shared" si="37"/>
        <v>1</v>
      </c>
      <c r="M117" s="103">
        <f t="shared" si="38"/>
        <v>1.9650190786852503E-10</v>
      </c>
      <c r="N117" s="101">
        <f t="shared" si="39"/>
        <v>1</v>
      </c>
      <c r="O117" s="104">
        <f t="shared" si="40"/>
        <v>3.1440305258964005E-11</v>
      </c>
      <c r="P117" s="105">
        <f t="shared" ca="1" si="41"/>
        <v>1.0536514944220314</v>
      </c>
      <c r="Q117" s="106">
        <f t="shared" ca="1" si="42"/>
        <v>0.33101631612214005</v>
      </c>
      <c r="R117" s="107">
        <f t="shared" ca="1" si="43"/>
        <v>-11.55283721218928</v>
      </c>
      <c r="S117" s="108">
        <f t="shared" ca="1" si="44"/>
        <v>-179.51813099470084</v>
      </c>
      <c r="T117" s="116">
        <f t="shared" ca="1" si="45"/>
        <v>0.48186900529915988</v>
      </c>
      <c r="V117" s="72">
        <f t="shared" ca="1" si="46"/>
        <v>5957</v>
      </c>
      <c r="W117" s="72">
        <f t="shared" si="47"/>
        <v>35485849</v>
      </c>
      <c r="Y117" s="110">
        <f t="shared" si="48"/>
        <v>30.354678542601775</v>
      </c>
      <c r="Z117" s="111">
        <f t="shared" si="49"/>
        <v>-80.717013143760866</v>
      </c>
      <c r="AA117" s="72">
        <f t="shared" si="50"/>
        <v>99.282986856239134</v>
      </c>
      <c r="AB117" s="110">
        <f t="shared" ca="1" si="51"/>
        <v>-25.98991540790955</v>
      </c>
      <c r="AC117" s="111">
        <f t="shared" ca="1" si="52"/>
        <v>-98.801117850939974</v>
      </c>
      <c r="AD117" s="72">
        <f t="shared" ca="1" si="53"/>
        <v>81.198882149060026</v>
      </c>
    </row>
    <row r="118" spans="1:30">
      <c r="A118" s="118">
        <v>6025.6</v>
      </c>
      <c r="B118" s="101">
        <f t="shared" ca="1" si="27"/>
        <v>308.99894418556602</v>
      </c>
      <c r="C118" s="102">
        <f t="shared" ca="1" si="28"/>
        <v>1.5675600641332106</v>
      </c>
      <c r="D118" s="102">
        <f t="shared" si="29"/>
        <v>1.015708270472065</v>
      </c>
      <c r="E118" s="103">
        <f t="shared" si="30"/>
        <v>0.1760986358380621</v>
      </c>
      <c r="F118" s="101">
        <f t="shared" si="31"/>
        <v>2059.5821398638973</v>
      </c>
      <c r="G118" s="104">
        <f t="shared" si="32"/>
        <v>1.5703107913943242</v>
      </c>
      <c r="H118" s="113">
        <f t="shared" si="33"/>
        <v>257.44967927145342</v>
      </c>
      <c r="I118" s="114">
        <f t="shared" si="34"/>
        <v>1.566912062819821</v>
      </c>
      <c r="J118" s="101">
        <f t="shared" si="35"/>
        <v>6.1395800204403699</v>
      </c>
      <c r="K118" s="104">
        <f t="shared" si="36"/>
        <v>1.4071898344451841</v>
      </c>
      <c r="L118" s="102">
        <f t="shared" si="37"/>
        <v>1</v>
      </c>
      <c r="M118" s="103">
        <f t="shared" si="38"/>
        <v>1.9876479705432004E-10</v>
      </c>
      <c r="N118" s="101">
        <f t="shared" si="39"/>
        <v>1</v>
      </c>
      <c r="O118" s="104">
        <f t="shared" si="40"/>
        <v>3.1802367528691202E-11</v>
      </c>
      <c r="P118" s="105">
        <f t="shared" ca="1" si="41"/>
        <v>1.0548621007021672</v>
      </c>
      <c r="Q118" s="106">
        <f t="shared" ca="1" si="42"/>
        <v>0.33457711127789475</v>
      </c>
      <c r="R118" s="107">
        <f t="shared" ca="1" si="43"/>
        <v>-11.756032814055168</v>
      </c>
      <c r="S118" s="108">
        <f t="shared" ca="1" si="44"/>
        <v>-179.71549508069992</v>
      </c>
      <c r="T118" s="116">
        <f t="shared" ca="1" si="45"/>
        <v>0.28450491930007615</v>
      </c>
      <c r="V118" s="72">
        <f t="shared" ca="1" si="46"/>
        <v>6025.6</v>
      </c>
      <c r="W118" s="72">
        <f t="shared" si="47"/>
        <v>36307855.360000007</v>
      </c>
      <c r="Y118" s="110">
        <f t="shared" si="48"/>
        <v>30.25789113121068</v>
      </c>
      <c r="Z118" s="111">
        <f t="shared" si="49"/>
        <v>-80.820771373236596</v>
      </c>
      <c r="AA118" s="72">
        <f t="shared" si="50"/>
        <v>99.179228626763404</v>
      </c>
      <c r="AB118" s="110">
        <f t="shared" ca="1" si="51"/>
        <v>-26.096323598384341</v>
      </c>
      <c r="AC118" s="111">
        <f t="shared" ca="1" si="52"/>
        <v>-98.894723707463399</v>
      </c>
      <c r="AD118" s="72">
        <f t="shared" ca="1" si="53"/>
        <v>81.105276292536601</v>
      </c>
    </row>
    <row r="119" spans="1:30">
      <c r="A119" s="118">
        <v>6095.8</v>
      </c>
      <c r="B119" s="101">
        <f t="shared" ca="1" si="27"/>
        <v>312.5988346536883</v>
      </c>
      <c r="C119" s="102">
        <f t="shared" ca="1" si="28"/>
        <v>1.5675973330855844</v>
      </c>
      <c r="D119" s="102">
        <f t="shared" si="29"/>
        <v>1.0160735020224323</v>
      </c>
      <c r="E119" s="103">
        <f t="shared" si="30"/>
        <v>0.17810736329368157</v>
      </c>
      <c r="F119" s="101">
        <f t="shared" si="31"/>
        <v>2083.5768677466181</v>
      </c>
      <c r="G119" s="104">
        <f t="shared" si="32"/>
        <v>1.5703163828802416</v>
      </c>
      <c r="H119" s="113">
        <f t="shared" si="33"/>
        <v>260.44899824056267</v>
      </c>
      <c r="I119" s="114">
        <f t="shared" si="34"/>
        <v>1.5669567940504376</v>
      </c>
      <c r="J119" s="101">
        <f t="shared" si="35"/>
        <v>6.2092209891792169</v>
      </c>
      <c r="K119" s="104">
        <f t="shared" si="36"/>
        <v>1.4090410689213861</v>
      </c>
      <c r="L119" s="102">
        <f t="shared" si="37"/>
        <v>1</v>
      </c>
      <c r="M119" s="103">
        <f t="shared" si="38"/>
        <v>2.0108046499663502E-10</v>
      </c>
      <c r="N119" s="101">
        <f t="shared" si="39"/>
        <v>1</v>
      </c>
      <c r="O119" s="104">
        <f t="shared" si="40"/>
        <v>3.2172874399461605E-11</v>
      </c>
      <c r="P119" s="105">
        <f t="shared" ca="1" si="41"/>
        <v>1.0561138377376131</v>
      </c>
      <c r="Q119" s="106">
        <f t="shared" ca="1" si="42"/>
        <v>0.33821276465782302</v>
      </c>
      <c r="R119" s="107">
        <f t="shared" ca="1" si="43"/>
        <v>-11.961788667811263</v>
      </c>
      <c r="S119" s="108">
        <f t="shared" ca="1" si="44"/>
        <v>-179.9146718037303</v>
      </c>
      <c r="T119" s="116">
        <f t="shared" ca="1" si="45"/>
        <v>8.5328196269699674E-2</v>
      </c>
      <c r="V119" s="72">
        <f t="shared" ca="1" si="46"/>
        <v>6095.8</v>
      </c>
      <c r="W119" s="72">
        <f t="shared" si="47"/>
        <v>37158777.640000001</v>
      </c>
      <c r="Y119" s="110">
        <f t="shared" si="48"/>
        <v>30.159920599363893</v>
      </c>
      <c r="Z119" s="111">
        <f t="shared" si="49"/>
        <v>-80.924596753436759</v>
      </c>
      <c r="AA119" s="72">
        <f t="shared" si="50"/>
        <v>99.075403246563241</v>
      </c>
      <c r="AB119" s="110">
        <f t="shared" ca="1" si="51"/>
        <v>-26.204108920293653</v>
      </c>
      <c r="AC119" s="111">
        <f t="shared" ca="1" si="52"/>
        <v>-98.990075050293555</v>
      </c>
      <c r="AD119" s="72">
        <f t="shared" ca="1" si="53"/>
        <v>81.009924949706445</v>
      </c>
    </row>
    <row r="120" spans="1:30">
      <c r="A120" s="118">
        <v>6166</v>
      </c>
      <c r="B120" s="101">
        <f t="shared" ca="1" si="27"/>
        <v>316.19872554611607</v>
      </c>
      <c r="C120" s="102">
        <f t="shared" ca="1" si="28"/>
        <v>1.5676337534314106</v>
      </c>
      <c r="D120" s="102">
        <f t="shared" si="29"/>
        <v>1.0164428304591626</v>
      </c>
      <c r="E120" s="103">
        <f t="shared" si="30"/>
        <v>0.18011463908595893</v>
      </c>
      <c r="F120" s="101">
        <f t="shared" si="31"/>
        <v>2107.5715956929985</v>
      </c>
      <c r="G120" s="104">
        <f t="shared" si="32"/>
        <v>1.5703218470478904</v>
      </c>
      <c r="H120" s="113">
        <f t="shared" si="33"/>
        <v>263.44831771893405</v>
      </c>
      <c r="I120" s="114">
        <f t="shared" si="34"/>
        <v>1.5670005067644728</v>
      </c>
      <c r="J120" s="101">
        <f t="shared" si="35"/>
        <v>6.2788827652723382</v>
      </c>
      <c r="K120" s="104">
        <f t="shared" si="36"/>
        <v>1.4108512320257589</v>
      </c>
      <c r="L120" s="102">
        <f t="shared" si="37"/>
        <v>1</v>
      </c>
      <c r="M120" s="103">
        <f t="shared" si="38"/>
        <v>2.0339613293895001E-10</v>
      </c>
      <c r="N120" s="101">
        <f t="shared" si="39"/>
        <v>1</v>
      </c>
      <c r="O120" s="104">
        <f t="shared" si="40"/>
        <v>3.2543381270232001E-11</v>
      </c>
      <c r="P120" s="105">
        <f t="shared" ca="1" si="41"/>
        <v>1.0573785727209424</v>
      </c>
      <c r="Q120" s="106">
        <f t="shared" ca="1" si="42"/>
        <v>0.34184007473300032</v>
      </c>
      <c r="R120" s="107">
        <f t="shared" ca="1" si="43"/>
        <v>-12.16538927553535</v>
      </c>
      <c r="S120" s="108">
        <f t="shared" ca="1" si="44"/>
        <v>-180.11110288885467</v>
      </c>
      <c r="T120" s="116">
        <f t="shared" ca="1" si="45"/>
        <v>-0.11110288885467412</v>
      </c>
      <c r="V120" s="72">
        <f t="shared" ca="1" si="46"/>
        <v>6166</v>
      </c>
      <c r="W120" s="72">
        <f t="shared" si="47"/>
        <v>38019556</v>
      </c>
      <c r="Y120" s="110">
        <f t="shared" si="48"/>
        <v>30.063014023858202</v>
      </c>
      <c r="Z120" s="111">
        <f t="shared" si="49"/>
        <v>-81.026119979271712</v>
      </c>
      <c r="AA120" s="72">
        <f t="shared" si="50"/>
        <v>98.973880020728288</v>
      </c>
      <c r="AB120" s="110">
        <f t="shared" ca="1" si="51"/>
        <v>-26.310802952512049</v>
      </c>
      <c r="AC120" s="111">
        <f t="shared" ca="1" si="52"/>
        <v>-99.084982909582934</v>
      </c>
      <c r="AD120" s="72">
        <f t="shared" ca="1" si="53"/>
        <v>80.915017090417066</v>
      </c>
    </row>
    <row r="121" spans="1:30">
      <c r="A121" s="118">
        <v>6237.8</v>
      </c>
      <c r="B121" s="101">
        <f t="shared" ca="1" si="27"/>
        <v>319.88066565780338</v>
      </c>
      <c r="C121" s="102">
        <f t="shared" ca="1" si="28"/>
        <v>1.5676701558937278</v>
      </c>
      <c r="D121" s="102">
        <f t="shared" si="29"/>
        <v>1.0168248099996722</v>
      </c>
      <c r="E121" s="103">
        <f t="shared" si="30"/>
        <v>0.1821661478827678</v>
      </c>
      <c r="F121" s="101">
        <f t="shared" si="31"/>
        <v>2132.1132120892325</v>
      </c>
      <c r="G121" s="104">
        <f t="shared" si="32"/>
        <v>1.5703273085312355</v>
      </c>
      <c r="H121" s="113">
        <f t="shared" si="33"/>
        <v>266.5159982641012</v>
      </c>
      <c r="I121" s="114">
        <f t="shared" si="34"/>
        <v>1.5670441980186547</v>
      </c>
      <c r="J121" s="101">
        <f t="shared" si="35"/>
        <v>6.3501530845274177</v>
      </c>
      <c r="K121" s="104">
        <f t="shared" si="36"/>
        <v>1.4126615629186856</v>
      </c>
      <c r="L121" s="102">
        <f t="shared" si="37"/>
        <v>1</v>
      </c>
      <c r="M121" s="103">
        <f t="shared" si="38"/>
        <v>2.0576457963778503E-10</v>
      </c>
      <c r="N121" s="101">
        <f t="shared" si="39"/>
        <v>1</v>
      </c>
      <c r="O121" s="104">
        <f t="shared" si="40"/>
        <v>3.2922332742045604E-11</v>
      </c>
      <c r="P121" s="105">
        <f t="shared" ca="1" si="41"/>
        <v>1.0586855309649172</v>
      </c>
      <c r="Q121" s="106">
        <f t="shared" ca="1" si="42"/>
        <v>0.34554136964730292</v>
      </c>
      <c r="R121" s="107">
        <f t="shared" ca="1" si="43"/>
        <v>-12.371450516978012</v>
      </c>
      <c r="S121" s="108">
        <f t="shared" ca="1" si="44"/>
        <v>-180.30924829321953</v>
      </c>
      <c r="T121" s="116">
        <f t="shared" ca="1" si="45"/>
        <v>-0.30924829321952529</v>
      </c>
      <c r="V121" s="72">
        <f t="shared" ca="1" si="46"/>
        <v>6237.8</v>
      </c>
      <c r="W121" s="72">
        <f t="shared" si="47"/>
        <v>38910148.840000004</v>
      </c>
      <c r="Y121" s="110">
        <f t="shared" si="48"/>
        <v>29.964976199087872</v>
      </c>
      <c r="Z121" s="111">
        <f t="shared" si="49"/>
        <v>-81.127653894439916</v>
      </c>
      <c r="AA121" s="72">
        <f t="shared" si="50"/>
        <v>98.872346105560084</v>
      </c>
      <c r="AB121" s="110">
        <f t="shared" ca="1" si="51"/>
        <v>-26.418826369184373</v>
      </c>
      <c r="AC121" s="111">
        <f t="shared" ca="1" si="52"/>
        <v>-99.181594398779637</v>
      </c>
      <c r="AD121" s="72">
        <f t="shared" ca="1" si="53"/>
        <v>80.818405601220363</v>
      </c>
    </row>
    <row r="122" spans="1:30">
      <c r="A122" s="118">
        <v>6309.6</v>
      </c>
      <c r="B122" s="101">
        <f t="shared" ca="1" si="27"/>
        <v>323.56260618373</v>
      </c>
      <c r="C122" s="102">
        <f t="shared" ca="1" si="28"/>
        <v>1.5677057298814856</v>
      </c>
      <c r="D122" s="102">
        <f t="shared" si="29"/>
        <v>1.01721106581436</v>
      </c>
      <c r="E122" s="103">
        <f t="shared" si="30"/>
        <v>0.18421610730221469</v>
      </c>
      <c r="F122" s="101">
        <f t="shared" si="31"/>
        <v>2156.6548285476156</v>
      </c>
      <c r="G122" s="104">
        <f t="shared" si="32"/>
        <v>1.5703326457168696</v>
      </c>
      <c r="H122" s="113">
        <f t="shared" si="33"/>
        <v>269.58367930644886</v>
      </c>
      <c r="I122" s="114">
        <f t="shared" si="34"/>
        <v>1.5670868949187144</v>
      </c>
      <c r="J122" s="101">
        <f t="shared" si="35"/>
        <v>6.4214437531249899</v>
      </c>
      <c r="K122" s="104">
        <f t="shared" si="36"/>
        <v>1.4144317030316296</v>
      </c>
      <c r="L122" s="102">
        <f t="shared" si="37"/>
        <v>1</v>
      </c>
      <c r="M122" s="103">
        <f t="shared" si="38"/>
        <v>2.0813302633662002E-10</v>
      </c>
      <c r="N122" s="101">
        <f t="shared" si="39"/>
        <v>1</v>
      </c>
      <c r="O122" s="104">
        <f t="shared" si="40"/>
        <v>3.3301284213859206E-11</v>
      </c>
      <c r="P122" s="105">
        <f t="shared" ca="1" si="41"/>
        <v>1.0600059880706221</v>
      </c>
      <c r="Q122" s="106">
        <f t="shared" ca="1" si="42"/>
        <v>0.3492338196505424</v>
      </c>
      <c r="R122" s="107">
        <f t="shared" ca="1" si="43"/>
        <v>-12.57535629378812</v>
      </c>
      <c r="S122" s="108">
        <f t="shared" ca="1" si="44"/>
        <v>-180.5046753146872</v>
      </c>
      <c r="T122" s="116">
        <f t="shared" ca="1" si="45"/>
        <v>-0.50467531468720495</v>
      </c>
      <c r="V122" s="72">
        <f t="shared" ca="1" si="46"/>
        <v>6309.6</v>
      </c>
      <c r="W122" s="72">
        <f t="shared" si="47"/>
        <v>39811052.160000004</v>
      </c>
      <c r="Y122" s="110">
        <f t="shared" si="48"/>
        <v>29.86800508163801</v>
      </c>
      <c r="Z122" s="111">
        <f t="shared" si="49"/>
        <v>-81.226934898097468</v>
      </c>
      <c r="AA122" s="72">
        <f t="shared" si="50"/>
        <v>98.773065101902532</v>
      </c>
      <c r="AB122" s="110">
        <f t="shared" ca="1" si="51"/>
        <v>-26.525761028544622</v>
      </c>
      <c r="AC122" s="111">
        <f t="shared" ca="1" si="52"/>
        <v>-99.277740416589779</v>
      </c>
      <c r="AD122" s="72">
        <f t="shared" ca="1" si="53"/>
        <v>80.722259583410221</v>
      </c>
    </row>
    <row r="123" spans="1:30">
      <c r="A123" s="118">
        <v>6383.05</v>
      </c>
      <c r="B123" s="101">
        <f t="shared" ca="1" si="27"/>
        <v>327.32915996309356</v>
      </c>
      <c r="C123" s="102">
        <f t="shared" ca="1" si="28"/>
        <v>1.5677412932755708</v>
      </c>
      <c r="D123" s="102">
        <f t="shared" si="29"/>
        <v>1.0176106177135462</v>
      </c>
      <c r="E123" s="103">
        <f t="shared" si="30"/>
        <v>0.18631155650838169</v>
      </c>
      <c r="F123" s="101">
        <f t="shared" si="31"/>
        <v>2181.7604237193218</v>
      </c>
      <c r="G123" s="104">
        <f t="shared" si="32"/>
        <v>1.570337981311982</v>
      </c>
      <c r="H123" s="113">
        <f t="shared" si="33"/>
        <v>272.72185769421958</v>
      </c>
      <c r="I123" s="114">
        <f t="shared" si="34"/>
        <v>1.5671295791080848</v>
      </c>
      <c r="J123" s="101">
        <f t="shared" si="35"/>
        <v>6.49439307447415</v>
      </c>
      <c r="K123" s="104">
        <f t="shared" si="36"/>
        <v>1.4162023037002907</v>
      </c>
      <c r="L123" s="102">
        <f t="shared" si="37"/>
        <v>1</v>
      </c>
      <c r="M123" s="103">
        <f t="shared" si="38"/>
        <v>2.1055590112811627E-10</v>
      </c>
      <c r="N123" s="101">
        <f t="shared" si="39"/>
        <v>1</v>
      </c>
      <c r="O123" s="104">
        <f t="shared" si="40"/>
        <v>3.3688944180498603E-11</v>
      </c>
      <c r="P123" s="105">
        <f t="shared" ca="1" si="41"/>
        <v>1.0613707054240391</v>
      </c>
      <c r="Q123" s="106">
        <f t="shared" ca="1" si="42"/>
        <v>0.35300191206197623</v>
      </c>
      <c r="R123" s="107">
        <f t="shared" ca="1" si="43"/>
        <v>-12.78176730794095</v>
      </c>
      <c r="S123" s="108">
        <f t="shared" ca="1" si="44"/>
        <v>-180.70185637217082</v>
      </c>
      <c r="T123" s="116">
        <f t="shared" ca="1" si="45"/>
        <v>-0.70185637217082331</v>
      </c>
      <c r="V123" s="72">
        <f t="shared" ca="1" si="46"/>
        <v>6383.05</v>
      </c>
      <c r="W123" s="72">
        <f t="shared" si="47"/>
        <v>40743327.302500002</v>
      </c>
      <c r="Y123" s="110">
        <f t="shared" si="48"/>
        <v>29.769885975139395</v>
      </c>
      <c r="Z123" s="111">
        <f t="shared" si="49"/>
        <v>-81.326242926789945</v>
      </c>
      <c r="AA123" s="72">
        <f t="shared" si="50"/>
        <v>98.673757073210055</v>
      </c>
      <c r="AB123" s="110">
        <f t="shared" ca="1" si="51"/>
        <v>-26.634052936198842</v>
      </c>
      <c r="AC123" s="111">
        <f t="shared" ca="1" si="52"/>
        <v>-99.375613445380878</v>
      </c>
      <c r="AD123" s="72">
        <f t="shared" ca="1" si="53"/>
        <v>80.624386554619122</v>
      </c>
    </row>
    <row r="124" spans="1:30">
      <c r="A124" s="118">
        <v>6456.5</v>
      </c>
      <c r="B124" s="101">
        <f t="shared" ca="1" si="27"/>
        <v>331.09571414702918</v>
      </c>
      <c r="C124" s="102">
        <f t="shared" ca="1" si="28"/>
        <v>1.5677760475293505</v>
      </c>
      <c r="D124" s="102">
        <f t="shared" si="29"/>
        <v>1.0180146343278613</v>
      </c>
      <c r="E124" s="103">
        <f t="shared" si="30"/>
        <v>0.18840535167205411</v>
      </c>
      <c r="F124" s="101">
        <f t="shared" si="31"/>
        <v>2206.8660189517263</v>
      </c>
      <c r="G124" s="104">
        <f t="shared" si="32"/>
        <v>1.5703431955102451</v>
      </c>
      <c r="H124" s="113">
        <f t="shared" si="33"/>
        <v>275.8600365675681</v>
      </c>
      <c r="I124" s="114">
        <f t="shared" si="34"/>
        <v>1.5671712921483705</v>
      </c>
      <c r="J124" s="101">
        <f t="shared" si="35"/>
        <v>6.567362303568367</v>
      </c>
      <c r="K124" s="104">
        <f t="shared" si="36"/>
        <v>1.4179335638038812</v>
      </c>
      <c r="L124" s="102">
        <f t="shared" si="37"/>
        <v>1</v>
      </c>
      <c r="M124" s="103">
        <f t="shared" si="38"/>
        <v>2.1297877591961251E-10</v>
      </c>
      <c r="N124" s="101">
        <f t="shared" si="39"/>
        <v>1</v>
      </c>
      <c r="O124" s="104">
        <f t="shared" si="40"/>
        <v>3.4076604147138E-11</v>
      </c>
      <c r="P124" s="105">
        <f t="shared" ca="1" si="41"/>
        <v>1.0627494428023756</v>
      </c>
      <c r="Q124" s="106">
        <f t="shared" ca="1" si="42"/>
        <v>0.35676062821250776</v>
      </c>
      <c r="R124" s="107">
        <f t="shared" ca="1" si="43"/>
        <v>-12.986021927312329</v>
      </c>
      <c r="S124" s="108">
        <f t="shared" ca="1" si="44"/>
        <v>-180.89634325767807</v>
      </c>
      <c r="T124" s="116">
        <f t="shared" ca="1" si="45"/>
        <v>-0.89634325767806899</v>
      </c>
      <c r="V124" s="72">
        <f t="shared" ca="1" si="46"/>
        <v>6456.5</v>
      </c>
      <c r="W124" s="72">
        <f t="shared" si="47"/>
        <v>41686392.25</v>
      </c>
      <c r="Y124" s="110">
        <f t="shared" si="48"/>
        <v>29.672836575830711</v>
      </c>
      <c r="Z124" s="111">
        <f t="shared" si="49"/>
        <v>-81.423345594354387</v>
      </c>
      <c r="AA124" s="72">
        <f t="shared" si="50"/>
        <v>98.576654405645613</v>
      </c>
      <c r="AB124" s="110">
        <f t="shared" ca="1" si="51"/>
        <v>-26.741258156261534</v>
      </c>
      <c r="AC124" s="111">
        <f t="shared" ca="1" si="52"/>
        <v>-99.472997663323639</v>
      </c>
      <c r="AD124" s="72">
        <f t="shared" ca="1" si="53"/>
        <v>80.527002336676361</v>
      </c>
    </row>
    <row r="125" spans="1:30">
      <c r="A125" s="118">
        <v>6531.7</v>
      </c>
      <c r="B125" s="101">
        <f t="shared" ca="1" si="27"/>
        <v>334.95200964561855</v>
      </c>
      <c r="C125" s="102">
        <f t="shared" ca="1" si="28"/>
        <v>1.5678108200454333</v>
      </c>
      <c r="D125" s="102">
        <f t="shared" si="29"/>
        <v>1.018432896929683</v>
      </c>
      <c r="E125" s="103">
        <f t="shared" si="30"/>
        <v>0.19054730230957986</v>
      </c>
      <c r="F125" s="101">
        <f t="shared" si="31"/>
        <v>2232.5697734233213</v>
      </c>
      <c r="G125" s="104">
        <f t="shared" si="32"/>
        <v>1.5703484124473399</v>
      </c>
      <c r="H125" s="113">
        <f t="shared" si="33"/>
        <v>279.07298533502677</v>
      </c>
      <c r="I125" s="114">
        <f t="shared" si="34"/>
        <v>1.5672130271114506</v>
      </c>
      <c r="J125" s="101">
        <f t="shared" si="35"/>
        <v>6.6420900176674893</v>
      </c>
      <c r="K125" s="104">
        <f t="shared" si="36"/>
        <v>1.4196666580308077</v>
      </c>
      <c r="L125" s="102">
        <f t="shared" si="37"/>
        <v>1</v>
      </c>
      <c r="M125" s="103">
        <f t="shared" si="38"/>
        <v>2.1545937747605252E-10</v>
      </c>
      <c r="N125" s="101">
        <f t="shared" si="39"/>
        <v>1</v>
      </c>
      <c r="O125" s="104">
        <f t="shared" si="40"/>
        <v>3.4473500396168399E-11</v>
      </c>
      <c r="P125" s="105">
        <f t="shared" ca="1" si="41"/>
        <v>1.064175498060087</v>
      </c>
      <c r="Q125" s="106">
        <f t="shared" ca="1" si="42"/>
        <v>0.36059912308125158</v>
      </c>
      <c r="R125" s="107">
        <f t="shared" ca="1" si="43"/>
        <v>-13.192958841896576</v>
      </c>
      <c r="S125" s="108">
        <f t="shared" ca="1" si="44"/>
        <v>-181.09274705634002</v>
      </c>
      <c r="T125" s="116">
        <f t="shared" ca="1" si="45"/>
        <v>-1.0927470563400163</v>
      </c>
      <c r="V125" s="72">
        <f t="shared" ca="1" si="46"/>
        <v>6531.7</v>
      </c>
      <c r="W125" s="72">
        <f t="shared" si="47"/>
        <v>42663104.890000001</v>
      </c>
      <c r="Y125" s="110">
        <f t="shared" si="48"/>
        <v>29.574559663120979</v>
      </c>
      <c r="Z125" s="111">
        <f t="shared" si="49"/>
        <v>-81.520552250282321</v>
      </c>
      <c r="AA125" s="72">
        <f t="shared" si="50"/>
        <v>98.479447749717679</v>
      </c>
      <c r="AB125" s="110">
        <f t="shared" ca="1" si="51"/>
        <v>-26.849918158136052</v>
      </c>
      <c r="AC125" s="111">
        <f t="shared" ca="1" si="52"/>
        <v>-99.572194806057638</v>
      </c>
      <c r="AD125" s="72">
        <f t="shared" ca="1" si="53"/>
        <v>80.427805193942362</v>
      </c>
    </row>
    <row r="126" spans="1:30">
      <c r="A126" s="118">
        <v>6606.9</v>
      </c>
      <c r="B126" s="101">
        <f t="shared" ca="1" si="27"/>
        <v>338.80830553998823</v>
      </c>
      <c r="C126" s="102">
        <f t="shared" ca="1" si="28"/>
        <v>1.5678448010041546</v>
      </c>
      <c r="D126" s="102">
        <f t="shared" si="29"/>
        <v>1.0188558282044504</v>
      </c>
      <c r="E126" s="103">
        <f t="shared" si="30"/>
        <v>0.19268748449423678</v>
      </c>
      <c r="F126" s="101">
        <f t="shared" si="31"/>
        <v>2258.2735279542962</v>
      </c>
      <c r="G126" s="104">
        <f t="shared" si="32"/>
        <v>1.570353510625685</v>
      </c>
      <c r="H126" s="113">
        <f t="shared" si="33"/>
        <v>282.28593457751151</v>
      </c>
      <c r="I126" s="114">
        <f t="shared" si="34"/>
        <v>1.5672538120285544</v>
      </c>
      <c r="J126" s="101">
        <f t="shared" si="35"/>
        <v>6.7168372381062333</v>
      </c>
      <c r="K126" s="104">
        <f t="shared" si="36"/>
        <v>1.4213611843443388</v>
      </c>
      <c r="L126" s="102">
        <f t="shared" si="37"/>
        <v>1</v>
      </c>
      <c r="M126" s="103">
        <f t="shared" si="38"/>
        <v>2.179399790324925E-10</v>
      </c>
      <c r="N126" s="101">
        <f t="shared" si="39"/>
        <v>1</v>
      </c>
      <c r="O126" s="104">
        <f t="shared" si="40"/>
        <v>3.4870396645198798E-11</v>
      </c>
      <c r="P126" s="105">
        <f t="shared" ca="1" si="41"/>
        <v>1.0656161340919665</v>
      </c>
      <c r="Q126" s="106">
        <f t="shared" ca="1" si="42"/>
        <v>0.36442766617534866</v>
      </c>
      <c r="R126" s="107">
        <f t="shared" ca="1" si="43"/>
        <v>-13.397734982506087</v>
      </c>
      <c r="S126" s="108">
        <f t="shared" ca="1" si="44"/>
        <v>-181.28647448289004</v>
      </c>
      <c r="T126" s="116">
        <f t="shared" ca="1" si="45"/>
        <v>-1.2864744828900427</v>
      </c>
      <c r="V126" s="72">
        <f t="shared" ca="1" si="46"/>
        <v>6606.9</v>
      </c>
      <c r="W126" s="72">
        <f t="shared" si="47"/>
        <v>43651127.609999992</v>
      </c>
      <c r="Y126" s="110">
        <f t="shared" si="48"/>
        <v>29.477357070500339</v>
      </c>
      <c r="Z126" s="111">
        <f t="shared" si="49"/>
        <v>-81.615596756795298</v>
      </c>
      <c r="AA126" s="72">
        <f t="shared" si="50"/>
        <v>98.384403243204702</v>
      </c>
      <c r="AB126" s="110">
        <f t="shared" ca="1" si="51"/>
        <v>-26.957491706124923</v>
      </c>
      <c r="AC126" s="111">
        <f t="shared" ca="1" si="52"/>
        <v>-99.67087772609473</v>
      </c>
      <c r="AD126" s="72">
        <f t="shared" ca="1" si="53"/>
        <v>80.32912227390527</v>
      </c>
    </row>
    <row r="127" spans="1:30">
      <c r="A127" s="118">
        <v>6683.85</v>
      </c>
      <c r="B127" s="101">
        <f t="shared" ca="1" si="27"/>
        <v>342.75434275851813</v>
      </c>
      <c r="C127" s="102">
        <f t="shared" ca="1" si="28"/>
        <v>1.5678787812121564</v>
      </c>
      <c r="D127" s="102">
        <f t="shared" si="29"/>
        <v>1.0192934284730251</v>
      </c>
      <c r="E127" s="103">
        <f t="shared" si="30"/>
        <v>0.19487562264458574</v>
      </c>
      <c r="F127" s="101">
        <f t="shared" si="31"/>
        <v>2284.5754417258881</v>
      </c>
      <c r="G127" s="104">
        <f t="shared" si="32"/>
        <v>1.5703586086903996</v>
      </c>
      <c r="H127" s="113">
        <f t="shared" si="33"/>
        <v>285.57365372551652</v>
      </c>
      <c r="I127" s="114">
        <f t="shared" si="34"/>
        <v>1.5672945960482274</v>
      </c>
      <c r="J127" s="101">
        <f t="shared" si="35"/>
        <v>6.7933434426071164</v>
      </c>
      <c r="K127" s="104">
        <f t="shared" si="36"/>
        <v>1.4230565379211122</v>
      </c>
      <c r="L127" s="102">
        <f t="shared" si="37"/>
        <v>1</v>
      </c>
      <c r="M127" s="103">
        <f t="shared" si="38"/>
        <v>2.2047830735387628E-10</v>
      </c>
      <c r="N127" s="101">
        <f t="shared" si="39"/>
        <v>1</v>
      </c>
      <c r="O127" s="104">
        <f t="shared" si="40"/>
        <v>3.5276529176620205E-11</v>
      </c>
      <c r="P127" s="105">
        <f t="shared" ca="1" si="41"/>
        <v>1.0671053279741671</v>
      </c>
      <c r="Q127" s="106">
        <f t="shared" ca="1" si="42"/>
        <v>0.36833493958491742</v>
      </c>
      <c r="R127" s="107">
        <f t="shared" ca="1" si="43"/>
        <v>-13.605089718625919</v>
      </c>
      <c r="S127" s="108">
        <f t="shared" ca="1" si="44"/>
        <v>-181.48201255038671</v>
      </c>
      <c r="T127" s="116">
        <f t="shared" ca="1" si="45"/>
        <v>-1.4820125503867132</v>
      </c>
      <c r="V127" s="72">
        <f t="shared" ca="1" si="46"/>
        <v>6683.85</v>
      </c>
      <c r="W127" s="72">
        <f t="shared" si="47"/>
        <v>44673850.822500005</v>
      </c>
      <c r="Y127" s="110">
        <f t="shared" si="48"/>
        <v>29.378980910371443</v>
      </c>
      <c r="Z127" s="111">
        <f t="shared" si="49"/>
        <v>-81.710688706906325</v>
      </c>
      <c r="AA127" s="72">
        <f t="shared" si="50"/>
        <v>98.289311293093675</v>
      </c>
      <c r="AB127" s="110">
        <f t="shared" ca="1" si="51"/>
        <v>-27.066470282115858</v>
      </c>
      <c r="AC127" s="111">
        <f t="shared" ca="1" si="52"/>
        <v>-99.771323843480403</v>
      </c>
      <c r="AD127" s="72">
        <f t="shared" ca="1" si="53"/>
        <v>80.228676156519597</v>
      </c>
    </row>
    <row r="128" spans="1:30">
      <c r="A128" s="118">
        <v>6760.8</v>
      </c>
      <c r="B128" s="101">
        <f t="shared" ca="1" si="27"/>
        <v>346.70038036380197</v>
      </c>
      <c r="C128" s="102">
        <f t="shared" ca="1" si="28"/>
        <v>1.5679119879155436</v>
      </c>
      <c r="D128" s="102">
        <f t="shared" si="29"/>
        <v>1.019735904863887</v>
      </c>
      <c r="E128" s="103">
        <f t="shared" si="30"/>
        <v>0.19706187233305544</v>
      </c>
      <c r="F128" s="101">
        <f t="shared" si="31"/>
        <v>2310.8773555555044</v>
      </c>
      <c r="G128" s="104">
        <f t="shared" si="32"/>
        <v>1.5703635907049409</v>
      </c>
      <c r="H128" s="113">
        <f t="shared" si="33"/>
        <v>288.8613733377137</v>
      </c>
      <c r="I128" s="114">
        <f t="shared" si="34"/>
        <v>1.5673344516889318</v>
      </c>
      <c r="J128" s="101">
        <f t="shared" si="35"/>
        <v>6.8698687377718173</v>
      </c>
      <c r="K128" s="104">
        <f t="shared" si="36"/>
        <v>1.424714126185251</v>
      </c>
      <c r="L128" s="102">
        <f t="shared" si="37"/>
        <v>1</v>
      </c>
      <c r="M128" s="103">
        <f t="shared" si="38"/>
        <v>2.2301663567526003E-10</v>
      </c>
      <c r="N128" s="101">
        <f t="shared" si="39"/>
        <v>1</v>
      </c>
      <c r="O128" s="104">
        <f t="shared" si="40"/>
        <v>3.5682661708041606E-11</v>
      </c>
      <c r="P128" s="105">
        <f t="shared" ca="1" si="41"/>
        <v>1.0686096644132312</v>
      </c>
      <c r="Q128" s="106">
        <f t="shared" ca="1" si="42"/>
        <v>0.37223166640298416</v>
      </c>
      <c r="R128" s="107">
        <f t="shared" ca="1" si="43"/>
        <v>-13.810281752656159</v>
      </c>
      <c r="S128" s="108">
        <f t="shared" ca="1" si="44"/>
        <v>-181.67489297503022</v>
      </c>
      <c r="T128" s="116">
        <f t="shared" ca="1" si="45"/>
        <v>-1.6748929750302182</v>
      </c>
      <c r="V128" s="72">
        <f t="shared" ca="1" si="46"/>
        <v>6760.8</v>
      </c>
      <c r="W128" s="72">
        <f t="shared" si="47"/>
        <v>45708416.640000001</v>
      </c>
      <c r="Y128" s="110">
        <f t="shared" si="48"/>
        <v>29.281682366557309</v>
      </c>
      <c r="Z128" s="111">
        <f t="shared" si="49"/>
        <v>-81.803663407000471</v>
      </c>
      <c r="AA128" s="72">
        <f t="shared" si="50"/>
        <v>98.196336592999529</v>
      </c>
      <c r="AB128" s="110">
        <f t="shared" ca="1" si="51"/>
        <v>-27.174363772331965</v>
      </c>
      <c r="AC128" s="111">
        <f t="shared" ca="1" si="52"/>
        <v>-99.871229568029761</v>
      </c>
      <c r="AD128" s="72">
        <f t="shared" ca="1" si="53"/>
        <v>80.128770431970239</v>
      </c>
    </row>
    <row r="129" spans="1:30">
      <c r="A129" s="118">
        <v>6839.55</v>
      </c>
      <c r="B129" s="101">
        <f t="shared" ca="1" si="27"/>
        <v>350.73872332911827</v>
      </c>
      <c r="C129" s="102">
        <f t="shared" ca="1" si="28"/>
        <v>1.5679451977683314</v>
      </c>
      <c r="D129" s="102">
        <f t="shared" si="29"/>
        <v>1.0201937735074444</v>
      </c>
      <c r="E129" s="103">
        <f t="shared" si="30"/>
        <v>0.19929728789670784</v>
      </c>
      <c r="F129" s="101">
        <f t="shared" si="31"/>
        <v>2337.7945188894614</v>
      </c>
      <c r="G129" s="104">
        <f t="shared" si="32"/>
        <v>1.5703685731910553</v>
      </c>
      <c r="H129" s="113">
        <f t="shared" si="33"/>
        <v>292.2259991360927</v>
      </c>
      <c r="I129" s="114">
        <f t="shared" si="34"/>
        <v>1.5673743111130014</v>
      </c>
      <c r="J129" s="101">
        <f t="shared" si="35"/>
        <v>6.9482032058814696</v>
      </c>
      <c r="K129" s="104">
        <f t="shared" si="36"/>
        <v>1.4263726803597017</v>
      </c>
      <c r="L129" s="102">
        <f t="shared" si="37"/>
        <v>1</v>
      </c>
      <c r="M129" s="103">
        <f t="shared" si="38"/>
        <v>2.2561434009772879E-10</v>
      </c>
      <c r="N129" s="101">
        <f t="shared" si="39"/>
        <v>1</v>
      </c>
      <c r="O129" s="104">
        <f t="shared" si="40"/>
        <v>3.6098294415636603E-11</v>
      </c>
      <c r="P129" s="105">
        <f t="shared" ca="1" si="41"/>
        <v>1.0701648017491772</v>
      </c>
      <c r="Q129" s="106">
        <f t="shared" ca="1" si="42"/>
        <v>0.37620856097804001</v>
      </c>
      <c r="R129" s="107">
        <f t="shared" ca="1" si="43"/>
        <v>-14.018084495110486</v>
      </c>
      <c r="S129" s="108">
        <f t="shared" ca="1" si="44"/>
        <v>-181.86960500993737</v>
      </c>
      <c r="T129" s="116">
        <f t="shared" ca="1" si="45"/>
        <v>-1.8696050099373736</v>
      </c>
      <c r="V129" s="72">
        <f t="shared" ca="1" si="46"/>
        <v>6839.55</v>
      </c>
      <c r="W129" s="72">
        <f t="shared" si="47"/>
        <v>46779444.202500001</v>
      </c>
      <c r="Y129" s="110">
        <f t="shared" si="48"/>
        <v>29.183199750294069</v>
      </c>
      <c r="Z129" s="111">
        <f t="shared" si="49"/>
        <v>-81.896693259924405</v>
      </c>
      <c r="AA129" s="72">
        <f t="shared" si="50"/>
        <v>98.103306740075595</v>
      </c>
      <c r="AB129" s="110">
        <f t="shared" ca="1" si="51"/>
        <v>-27.283683898523051</v>
      </c>
      <c r="AC129" s="111">
        <f t="shared" ca="1" si="52"/>
        <v>-99.972911750012983</v>
      </c>
      <c r="AD129" s="72">
        <f t="shared" ca="1" si="53"/>
        <v>80.027088249987017</v>
      </c>
    </row>
    <row r="130" spans="1:30">
      <c r="A130" s="118">
        <v>6918.3</v>
      </c>
      <c r="B130" s="101">
        <f t="shared" ca="1" si="27"/>
        <v>354.77706667245593</v>
      </c>
      <c r="C130" s="102">
        <f t="shared" ca="1" si="28"/>
        <v>1.567977651581373</v>
      </c>
      <c r="D130" s="102">
        <f t="shared" si="29"/>
        <v>1.0206567355549094</v>
      </c>
      <c r="E130" s="103">
        <f t="shared" si="30"/>
        <v>0.20153068667782148</v>
      </c>
      <c r="F130" s="101">
        <f t="shared" si="31"/>
        <v>2364.7116822801331</v>
      </c>
      <c r="G130" s="104">
        <f t="shared" si="32"/>
        <v>1.5703734422473643</v>
      </c>
      <c r="H130" s="113">
        <f t="shared" si="33"/>
        <v>295.59062538818301</v>
      </c>
      <c r="I130" s="114">
        <f t="shared" si="34"/>
        <v>1.5674132631195541</v>
      </c>
      <c r="J130" s="101">
        <f t="shared" si="35"/>
        <v>7.0265563609322585</v>
      </c>
      <c r="K130" s="104">
        <f t="shared" si="36"/>
        <v>1.4279942498252129</v>
      </c>
      <c r="L130" s="102">
        <f t="shared" si="37"/>
        <v>1</v>
      </c>
      <c r="M130" s="103">
        <f t="shared" si="38"/>
        <v>2.2821204452019752E-10</v>
      </c>
      <c r="N130" s="101">
        <f t="shared" si="39"/>
        <v>1</v>
      </c>
      <c r="O130" s="104">
        <f t="shared" si="40"/>
        <v>3.6513927123231601E-11</v>
      </c>
      <c r="P130" s="105">
        <f t="shared" ca="1" si="41"/>
        <v>1.0717356634512358</v>
      </c>
      <c r="Q130" s="106">
        <f t="shared" ca="1" si="42"/>
        <v>0.38017428102209405</v>
      </c>
      <c r="R130" s="107">
        <f t="shared" ca="1" si="43"/>
        <v>-14.223722174518016</v>
      </c>
      <c r="S130" s="108">
        <f t="shared" ca="1" si="44"/>
        <v>-182.06167545103426</v>
      </c>
      <c r="T130" s="116">
        <f t="shared" ca="1" si="45"/>
        <v>-2.0616754510342616</v>
      </c>
      <c r="V130" s="72">
        <f t="shared" ca="1" si="46"/>
        <v>6918.3</v>
      </c>
      <c r="W130" s="72">
        <f t="shared" si="47"/>
        <v>47862874.890000001</v>
      </c>
      <c r="Y130" s="110">
        <f t="shared" si="48"/>
        <v>29.085798159378303</v>
      </c>
      <c r="Z130" s="111">
        <f t="shared" si="49"/>
        <v>-81.987649537262072</v>
      </c>
      <c r="AA130" s="72">
        <f t="shared" si="50"/>
        <v>98.012350462737928</v>
      </c>
      <c r="AB130" s="110">
        <f t="shared" ca="1" si="51"/>
        <v>-27.391919987014816</v>
      </c>
      <c r="AC130" s="111">
        <f t="shared" ca="1" si="52"/>
        <v>-100.07402591377216</v>
      </c>
      <c r="AD130" s="72">
        <f t="shared" ca="1" si="53"/>
        <v>79.925974086227839</v>
      </c>
    </row>
    <row r="131" spans="1:30">
      <c r="A131" s="118">
        <v>6998.9</v>
      </c>
      <c r="B131" s="101">
        <f t="shared" ca="1" si="27"/>
        <v>358.91027941214764</v>
      </c>
      <c r="C131" s="102">
        <f t="shared" ca="1" si="28"/>
        <v>1.5680101115450251</v>
      </c>
      <c r="D131" s="102">
        <f t="shared" si="29"/>
        <v>1.0211358405970041</v>
      </c>
      <c r="E131" s="103">
        <f t="shared" si="30"/>
        <v>0.20381444382509065</v>
      </c>
      <c r="F131" s="101">
        <f t="shared" si="31"/>
        <v>2392.2611854389356</v>
      </c>
      <c r="G131" s="104">
        <f t="shared" si="32"/>
        <v>1.5703783122255806</v>
      </c>
      <c r="H131" s="113">
        <f t="shared" si="33"/>
        <v>299.03429410765597</v>
      </c>
      <c r="I131" s="114">
        <f t="shared" si="34"/>
        <v>1.567452222511388</v>
      </c>
      <c r="J131" s="101">
        <f t="shared" si="35"/>
        <v>7.1067688988242042</v>
      </c>
      <c r="K131" s="104">
        <f t="shared" si="36"/>
        <v>1.4296168830178457</v>
      </c>
      <c r="L131" s="102">
        <f t="shared" si="37"/>
        <v>1</v>
      </c>
      <c r="M131" s="103">
        <f t="shared" si="38"/>
        <v>2.3087077437989251E-10</v>
      </c>
      <c r="N131" s="101">
        <f t="shared" si="39"/>
        <v>1</v>
      </c>
      <c r="O131" s="104">
        <f t="shared" si="40"/>
        <v>3.6939323900782802E-11</v>
      </c>
      <c r="P131" s="105">
        <f t="shared" ca="1" si="41"/>
        <v>1.0733596390762317</v>
      </c>
      <c r="Q131" s="106">
        <f t="shared" ca="1" si="42"/>
        <v>0.38422152728629649</v>
      </c>
      <c r="R131" s="107">
        <f t="shared" ca="1" si="43"/>
        <v>-14.431998927305793</v>
      </c>
      <c r="S131" s="108">
        <f t="shared" ca="1" si="44"/>
        <v>-182.25559260777516</v>
      </c>
      <c r="T131" s="116">
        <f t="shared" ca="1" si="45"/>
        <v>-2.2555926077751565</v>
      </c>
      <c r="V131" s="72">
        <f t="shared" ca="1" si="46"/>
        <v>6998.9</v>
      </c>
      <c r="W131" s="72">
        <f t="shared" si="47"/>
        <v>48984601.209999993</v>
      </c>
      <c r="Y131" s="110">
        <f t="shared" si="48"/>
        <v>28.987203860106277</v>
      </c>
      <c r="Z131" s="111">
        <f t="shared" si="49"/>
        <v>-82.07866639134744</v>
      </c>
      <c r="AA131" s="72">
        <f t="shared" si="50"/>
        <v>97.92133360865256</v>
      </c>
      <c r="AB131" s="110">
        <f t="shared" ca="1" si="51"/>
        <v>-27.501602440530565</v>
      </c>
      <c r="AC131" s="111">
        <f t="shared" ca="1" si="52"/>
        <v>-100.17692621642769</v>
      </c>
      <c r="AD131" s="72">
        <f t="shared" ca="1" si="53"/>
        <v>79.823073783572312</v>
      </c>
    </row>
    <row r="132" spans="1:30">
      <c r="A132" s="118">
        <v>7079.5</v>
      </c>
      <c r="B132" s="101">
        <f t="shared" ca="1" si="27"/>
        <v>363.04349252139428</v>
      </c>
      <c r="C132" s="102">
        <f t="shared" ca="1" si="28"/>
        <v>1.5680418324019636</v>
      </c>
      <c r="D132" s="102">
        <f t="shared" si="29"/>
        <v>1.0216202664093563</v>
      </c>
      <c r="E132" s="103">
        <f t="shared" si="30"/>
        <v>0.20609604706609158</v>
      </c>
      <c r="F132" s="101">
        <f t="shared" si="31"/>
        <v>2419.8106886531832</v>
      </c>
      <c r="G132" s="104">
        <f t="shared" si="32"/>
        <v>1.5703830713145599</v>
      </c>
      <c r="H132" s="113">
        <f t="shared" si="33"/>
        <v>302.47796327067863</v>
      </c>
      <c r="I132" s="114">
        <f t="shared" si="34"/>
        <v>1.5674902948088616</v>
      </c>
      <c r="J132" s="101">
        <f t="shared" si="35"/>
        <v>7.1869997306989939</v>
      </c>
      <c r="K132" s="104">
        <f t="shared" si="36"/>
        <v>1.4312032923384914</v>
      </c>
      <c r="L132" s="102">
        <f t="shared" si="37"/>
        <v>1</v>
      </c>
      <c r="M132" s="103">
        <f t="shared" si="38"/>
        <v>2.3352950423958753E-10</v>
      </c>
      <c r="N132" s="101">
        <f t="shared" si="39"/>
        <v>1</v>
      </c>
      <c r="O132" s="104">
        <f t="shared" si="40"/>
        <v>3.7364720678334003E-11</v>
      </c>
      <c r="P132" s="105">
        <f t="shared" ca="1" si="41"/>
        <v>1.0749999406929702</v>
      </c>
      <c r="Q132" s="106">
        <f t="shared" ca="1" si="42"/>
        <v>0.38825693691189311</v>
      </c>
      <c r="R132" s="107">
        <f t="shared" ca="1" si="43"/>
        <v>-14.638107901701309</v>
      </c>
      <c r="S132" s="108">
        <f t="shared" ca="1" si="44"/>
        <v>-182.44688163541574</v>
      </c>
      <c r="T132" s="116">
        <f t="shared" ca="1" si="45"/>
        <v>-2.4468816354157354</v>
      </c>
      <c r="V132" s="72">
        <f t="shared" ca="1" si="46"/>
        <v>7079.5</v>
      </c>
      <c r="W132" s="72">
        <f t="shared" si="47"/>
        <v>50119320.25</v>
      </c>
      <c r="Y132" s="110">
        <f t="shared" si="48"/>
        <v>28.889694067732407</v>
      </c>
      <c r="Z132" s="111">
        <f t="shared" si="49"/>
        <v>-82.167652243725641</v>
      </c>
      <c r="AA132" s="72">
        <f t="shared" si="50"/>
        <v>97.832347756274359</v>
      </c>
      <c r="AB132" s="110">
        <f t="shared" ca="1" si="51"/>
        <v>-27.610201622552211</v>
      </c>
      <c r="AC132" s="111">
        <f t="shared" ca="1" si="52"/>
        <v>-100.27922939169014</v>
      </c>
      <c r="AD132" s="72">
        <f t="shared" ca="1" si="53"/>
        <v>79.720770608309863</v>
      </c>
    </row>
    <row r="133" spans="1:30">
      <c r="A133" s="118">
        <v>7161.95</v>
      </c>
      <c r="B133" s="101">
        <f t="shared" ca="1" si="27"/>
        <v>367.27157503539411</v>
      </c>
      <c r="C133" s="102">
        <f t="shared" ca="1" si="28"/>
        <v>1.5680735426112935</v>
      </c>
      <c r="D133" s="102">
        <f t="shared" si="29"/>
        <v>1.0221213086505403</v>
      </c>
      <c r="E133" s="103">
        <f t="shared" si="30"/>
        <v>0.20842776942578223</v>
      </c>
      <c r="F133" s="101">
        <f t="shared" si="31"/>
        <v>2447.9925316368222</v>
      </c>
      <c r="G133" s="104">
        <f t="shared" si="32"/>
        <v>1.5703878288052631</v>
      </c>
      <c r="H133" s="113">
        <f t="shared" si="33"/>
        <v>306.00067491116482</v>
      </c>
      <c r="I133" s="114">
        <f t="shared" si="34"/>
        <v>1.5675283543296947</v>
      </c>
      <c r="J133" s="101">
        <f t="shared" si="35"/>
        <v>7.2690903862049403</v>
      </c>
      <c r="K133" s="104">
        <f t="shared" si="36"/>
        <v>1.432789876063649</v>
      </c>
      <c r="L133" s="102">
        <f t="shared" si="37"/>
        <v>1</v>
      </c>
      <c r="M133" s="103">
        <f t="shared" si="38"/>
        <v>2.3624925953650878E-10</v>
      </c>
      <c r="N133" s="101">
        <f t="shared" si="39"/>
        <v>1</v>
      </c>
      <c r="O133" s="104">
        <f t="shared" si="40"/>
        <v>3.7799881525841401E-11</v>
      </c>
      <c r="P133" s="105">
        <f t="shared" ca="1" si="41"/>
        <v>1.0766947069255639</v>
      </c>
      <c r="Q133" s="106">
        <f t="shared" ca="1" si="42"/>
        <v>0.39237265723123937</v>
      </c>
      <c r="R133" s="107">
        <f t="shared" ca="1" si="43"/>
        <v>-14.846754900984182</v>
      </c>
      <c r="S133" s="108">
        <f t="shared" ca="1" si="44"/>
        <v>-182.63991053593574</v>
      </c>
      <c r="T133" s="116">
        <f t="shared" ca="1" si="45"/>
        <v>-2.6399105359357407</v>
      </c>
      <c r="V133" s="72">
        <f t="shared" ca="1" si="46"/>
        <v>7161.95</v>
      </c>
      <c r="W133" s="72">
        <f t="shared" si="47"/>
        <v>51293527.802499995</v>
      </c>
      <c r="Y133" s="110">
        <f t="shared" si="48"/>
        <v>28.791044188800228</v>
      </c>
      <c r="Z133" s="111">
        <f t="shared" si="49"/>
        <v>-82.256648729216451</v>
      </c>
      <c r="AA133" s="72">
        <f t="shared" si="50"/>
        <v>97.743351270783549</v>
      </c>
      <c r="AB133" s="110">
        <f t="shared" ca="1" si="51"/>
        <v>-27.720198742902905</v>
      </c>
      <c r="AC133" s="111">
        <f t="shared" ca="1" si="52"/>
        <v>-100.3832618067193</v>
      </c>
      <c r="AD133" s="72">
        <f t="shared" ca="1" si="53"/>
        <v>79.616738193280696</v>
      </c>
    </row>
    <row r="134" spans="1:30">
      <c r="A134" s="118">
        <v>7244.4</v>
      </c>
      <c r="B134" s="101">
        <f t="shared" ca="1" si="27"/>
        <v>371.49965791029308</v>
      </c>
      <c r="C134" s="102">
        <f t="shared" ca="1" si="28"/>
        <v>1.5681045310251414</v>
      </c>
      <c r="D134" s="102">
        <f t="shared" si="29"/>
        <v>1.0226279026296972</v>
      </c>
      <c r="E134" s="103">
        <f t="shared" si="30"/>
        <v>0.21075719424190775</v>
      </c>
      <c r="F134" s="101">
        <f t="shared" si="31"/>
        <v>2476.174374674606</v>
      </c>
      <c r="G134" s="104">
        <f t="shared" si="32"/>
        <v>1.5703924780040319</v>
      </c>
      <c r="H134" s="113">
        <f t="shared" si="33"/>
        <v>309.52338698481191</v>
      </c>
      <c r="I134" s="114">
        <f t="shared" si="34"/>
        <v>1.5675655475332735</v>
      </c>
      <c r="J134" s="101">
        <f t="shared" si="35"/>
        <v>7.3511989311180912</v>
      </c>
      <c r="K134" s="104">
        <f t="shared" si="36"/>
        <v>1.4343410212171077</v>
      </c>
      <c r="L134" s="102">
        <f t="shared" si="37"/>
        <v>1</v>
      </c>
      <c r="M134" s="103">
        <f t="shared" si="38"/>
        <v>2.3896901483343003E-10</v>
      </c>
      <c r="N134" s="101">
        <f t="shared" si="39"/>
        <v>1</v>
      </c>
      <c r="O134" s="104">
        <f t="shared" si="40"/>
        <v>3.8235042373348799E-11</v>
      </c>
      <c r="P134" s="105">
        <f t="shared" ca="1" si="41"/>
        <v>1.078406399817633</v>
      </c>
      <c r="Q134" s="106">
        <f t="shared" ca="1" si="42"/>
        <v>0.39647585887403031</v>
      </c>
      <c r="R134" s="107">
        <f t="shared" ca="1" si="43"/>
        <v>-15.053233724082968</v>
      </c>
      <c r="S134" s="108">
        <f t="shared" ca="1" si="44"/>
        <v>-182.83032540389704</v>
      </c>
      <c r="T134" s="116">
        <f t="shared" ca="1" si="45"/>
        <v>-2.8303254038970351</v>
      </c>
      <c r="V134" s="72">
        <f t="shared" ca="1" si="46"/>
        <v>7244.4</v>
      </c>
      <c r="W134" s="72">
        <f t="shared" si="47"/>
        <v>52481331.359999992</v>
      </c>
      <c r="Y134" s="110">
        <f t="shared" si="48"/>
        <v>28.693481029010513</v>
      </c>
      <c r="Z134" s="111">
        <f t="shared" si="49"/>
        <v>-82.343658165766271</v>
      </c>
      <c r="AA134" s="72">
        <f t="shared" si="50"/>
        <v>97.656341834233729</v>
      </c>
      <c r="AB134" s="110">
        <f t="shared" ca="1" si="51"/>
        <v>-27.829114406211978</v>
      </c>
      <c r="AC134" s="111">
        <f t="shared" ca="1" si="52"/>
        <v>-100.48666723813078</v>
      </c>
      <c r="AD134" s="72">
        <f t="shared" ca="1" si="53"/>
        <v>79.513332761869222</v>
      </c>
    </row>
    <row r="135" spans="1:30">
      <c r="A135" s="118">
        <v>7328.75</v>
      </c>
      <c r="B135" s="101">
        <f t="shared" ca="1" si="27"/>
        <v>375.82517422615803</v>
      </c>
      <c r="C135" s="102">
        <f t="shared" ca="1" si="28"/>
        <v>1.5681355120103382</v>
      </c>
      <c r="D135" s="102">
        <f t="shared" si="29"/>
        <v>1.0231519072127497</v>
      </c>
      <c r="E135" s="103">
        <f t="shared" si="30"/>
        <v>0.21313789859723301</v>
      </c>
      <c r="F135" s="101">
        <f t="shared" si="31"/>
        <v>2505.0056477455564</v>
      </c>
      <c r="G135" s="104">
        <f t="shared" si="32"/>
        <v>1.5703971260875209</v>
      </c>
      <c r="H135" s="113">
        <f t="shared" si="33"/>
        <v>313.12727781699289</v>
      </c>
      <c r="I135" s="114">
        <f t="shared" si="34"/>
        <v>1.5676027318235</v>
      </c>
      <c r="J135" s="101">
        <f t="shared" si="35"/>
        <v>7.4352175019537459</v>
      </c>
      <c r="K135" s="104">
        <f t="shared" si="36"/>
        <v>1.4358924550527565</v>
      </c>
      <c r="L135" s="102">
        <f t="shared" si="37"/>
        <v>1</v>
      </c>
      <c r="M135" s="103">
        <f t="shared" si="38"/>
        <v>2.4175144490371875E-10</v>
      </c>
      <c r="N135" s="101">
        <f t="shared" si="39"/>
        <v>1</v>
      </c>
      <c r="O135" s="104">
        <f t="shared" si="40"/>
        <v>3.8680231184595002E-11</v>
      </c>
      <c r="P135" s="105">
        <f t="shared" ca="1" si="41"/>
        <v>1.0801749702214314</v>
      </c>
      <c r="Q135" s="106">
        <f t="shared" ca="1" si="42"/>
        <v>0.40066059433229534</v>
      </c>
      <c r="R135" s="107">
        <f t="shared" ca="1" si="43"/>
        <v>-15.262277238553516</v>
      </c>
      <c r="S135" s="108">
        <f t="shared" ca="1" si="44"/>
        <v>-183.02249027563744</v>
      </c>
      <c r="T135" s="116">
        <f t="shared" ca="1" si="45"/>
        <v>-3.0224902756374377</v>
      </c>
      <c r="V135" s="72">
        <f t="shared" ca="1" si="46"/>
        <v>7328.75</v>
      </c>
      <c r="W135" s="72">
        <f t="shared" si="47"/>
        <v>53710576.5625</v>
      </c>
      <c r="Y135" s="110">
        <f t="shared" si="48"/>
        <v>28.594769966500646</v>
      </c>
      <c r="Z135" s="111">
        <f t="shared" si="49"/>
        <v>-82.430684589380832</v>
      </c>
      <c r="AA135" s="72">
        <f t="shared" si="50"/>
        <v>97.569315410619168</v>
      </c>
      <c r="AB135" s="110">
        <f t="shared" ca="1" si="51"/>
        <v>-27.939446858172655</v>
      </c>
      <c r="AC135" s="111">
        <f t="shared" ca="1" si="52"/>
        <v>-100.59180568625663</v>
      </c>
      <c r="AD135" s="72">
        <f t="shared" ca="1" si="53"/>
        <v>79.408194313743365</v>
      </c>
    </row>
    <row r="136" spans="1:30">
      <c r="A136" s="118">
        <v>7413.1</v>
      </c>
      <c r="B136" s="101">
        <f t="shared" ca="1" si="27"/>
        <v>380.15069089453925</v>
      </c>
      <c r="C136" s="102">
        <f t="shared" ca="1" si="28"/>
        <v>1.5681657879658419</v>
      </c>
      <c r="D136" s="102">
        <f t="shared" si="29"/>
        <v>1.0236817048123821</v>
      </c>
      <c r="E136" s="103">
        <f t="shared" si="30"/>
        <v>0.21551615219450851</v>
      </c>
      <c r="F136" s="101">
        <f t="shared" si="31"/>
        <v>2533.8369208693953</v>
      </c>
      <c r="G136" s="104">
        <f t="shared" si="32"/>
        <v>1.5704016683945383</v>
      </c>
      <c r="H136" s="113">
        <f t="shared" si="33"/>
        <v>316.73116907227336</v>
      </c>
      <c r="I136" s="114">
        <f t="shared" si="34"/>
        <v>1.5676390699189489</v>
      </c>
      <c r="J136" s="101">
        <f t="shared" si="35"/>
        <v>7.5192535690024354</v>
      </c>
      <c r="K136" s="104">
        <f t="shared" si="36"/>
        <v>1.43740921445546</v>
      </c>
      <c r="L136" s="102">
        <f t="shared" si="37"/>
        <v>1</v>
      </c>
      <c r="M136" s="103">
        <f t="shared" si="38"/>
        <v>2.4453387497400753E-10</v>
      </c>
      <c r="N136" s="101">
        <f t="shared" si="39"/>
        <v>1</v>
      </c>
      <c r="O136" s="104">
        <f t="shared" si="40"/>
        <v>3.9125419995841205E-11</v>
      </c>
      <c r="P136" s="105">
        <f t="shared" ca="1" si="41"/>
        <v>1.0819610866653149</v>
      </c>
      <c r="Q136" s="106">
        <f t="shared" ca="1" si="42"/>
        <v>0.40483209409854426</v>
      </c>
      <c r="R136" s="107">
        <f t="shared" ca="1" si="43"/>
        <v>-15.469151787531413</v>
      </c>
      <c r="S136" s="108">
        <f t="shared" ca="1" si="44"/>
        <v>-183.21205254512969</v>
      </c>
      <c r="T136" s="116">
        <f t="shared" ca="1" si="45"/>
        <v>-3.2120525451296942</v>
      </c>
      <c r="V136" s="72">
        <f t="shared" ca="1" si="46"/>
        <v>7413.1</v>
      </c>
      <c r="W136" s="72">
        <f t="shared" si="47"/>
        <v>54954051.610000007</v>
      </c>
      <c r="Y136" s="110">
        <f t="shared" si="48"/>
        <v>28.497147916075946</v>
      </c>
      <c r="Z136" s="111">
        <f t="shared" si="49"/>
        <v>-82.515766737172441</v>
      </c>
      <c r="AA136" s="72">
        <f t="shared" si="50"/>
        <v>97.484233262827559</v>
      </c>
      <c r="AB136" s="110">
        <f t="shared" ca="1" si="51"/>
        <v>-28.048699356725852</v>
      </c>
      <c r="AC136" s="111">
        <f t="shared" ca="1" si="52"/>
        <v>-100.6962858079573</v>
      </c>
      <c r="AD136" s="72">
        <f t="shared" ca="1" si="53"/>
        <v>79.303714192042705</v>
      </c>
    </row>
    <row r="137" spans="1:30">
      <c r="A137" s="118">
        <v>7499.45</v>
      </c>
      <c r="B137" s="101">
        <f t="shared" ca="1" si="27"/>
        <v>384.57876906961746</v>
      </c>
      <c r="C137" s="102">
        <f t="shared" ca="1" si="28"/>
        <v>1.5681960763200617</v>
      </c>
      <c r="D137" s="102">
        <f t="shared" si="29"/>
        <v>1.0242300555933264</v>
      </c>
      <c r="E137" s="103">
        <f t="shared" si="30"/>
        <v>0.21794823321337164</v>
      </c>
      <c r="F137" s="101">
        <f t="shared" si="31"/>
        <v>2563.3518045529436</v>
      </c>
      <c r="G137" s="104">
        <f t="shared" si="32"/>
        <v>1.5704062125610296</v>
      </c>
      <c r="H137" s="113">
        <f t="shared" si="33"/>
        <v>320.4205116401929</v>
      </c>
      <c r="I137" s="114">
        <f t="shared" si="34"/>
        <v>1.5676754228982541</v>
      </c>
      <c r="J137" s="101">
        <f t="shared" si="35"/>
        <v>7.605299710353159</v>
      </c>
      <c r="K137" s="104">
        <f t="shared" si="36"/>
        <v>1.4389272127902402</v>
      </c>
      <c r="L137" s="102">
        <f t="shared" si="37"/>
        <v>1</v>
      </c>
      <c r="M137" s="103">
        <f t="shared" si="38"/>
        <v>2.4738227848994628E-10</v>
      </c>
      <c r="N137" s="101">
        <f t="shared" si="39"/>
        <v>1</v>
      </c>
      <c r="O137" s="104">
        <f t="shared" si="40"/>
        <v>3.9581164558391401E-11</v>
      </c>
      <c r="P137" s="105">
        <f t="shared" ca="1" si="41"/>
        <v>1.0838076381872888</v>
      </c>
      <c r="Q137" s="106">
        <f t="shared" ca="1" si="42"/>
        <v>0.40908872593226503</v>
      </c>
      <c r="R137" s="107">
        <f t="shared" ca="1" si="43"/>
        <v>-15.678735073829564</v>
      </c>
      <c r="S137" s="108">
        <f t="shared" ca="1" si="44"/>
        <v>-183.40347938844025</v>
      </c>
      <c r="T137" s="116">
        <f t="shared" ca="1" si="45"/>
        <v>-3.4034793884402461</v>
      </c>
      <c r="V137" s="72">
        <f t="shared" ca="1" si="46"/>
        <v>7499.45</v>
      </c>
      <c r="W137" s="72">
        <f t="shared" si="47"/>
        <v>56241750.302499995</v>
      </c>
      <c r="Y137" s="110">
        <f t="shared" si="48"/>
        <v>28.398314883994612</v>
      </c>
      <c r="Z137" s="111">
        <f t="shared" si="49"/>
        <v>-82.600919124297846</v>
      </c>
      <c r="AA137" s="72">
        <f t="shared" si="50"/>
        <v>97.399080875702154</v>
      </c>
      <c r="AB137" s="110">
        <f t="shared" ca="1" si="51"/>
        <v>-28.159449610942673</v>
      </c>
      <c r="AC137" s="111">
        <f t="shared" ca="1" si="52"/>
        <v>-100.80256026414243</v>
      </c>
      <c r="AD137" s="72">
        <f t="shared" ca="1" si="53"/>
        <v>79.197439735857571</v>
      </c>
    </row>
    <row r="138" spans="1:30">
      <c r="A138" s="118">
        <v>7585.8</v>
      </c>
      <c r="B138" s="101">
        <f t="shared" ca="1" si="27"/>
        <v>389.00684758947028</v>
      </c>
      <c r="C138" s="102">
        <f t="shared" ca="1" si="28"/>
        <v>1.5682256751275225</v>
      </c>
      <c r="D138" s="102">
        <f t="shared" si="29"/>
        <v>1.0247844582091792</v>
      </c>
      <c r="E138" s="103">
        <f t="shared" si="30"/>
        <v>0.22037769710542066</v>
      </c>
      <c r="F138" s="101">
        <f t="shared" si="31"/>
        <v>2592.8666882882189</v>
      </c>
      <c r="G138" s="104">
        <f t="shared" si="32"/>
        <v>1.5704106532740374</v>
      </c>
      <c r="H138" s="113">
        <f t="shared" si="33"/>
        <v>324.10985462192048</v>
      </c>
      <c r="I138" s="114">
        <f t="shared" si="34"/>
        <v>1.5677109482655651</v>
      </c>
      <c r="J138" s="101">
        <f t="shared" si="35"/>
        <v>7.69136298459863</v>
      </c>
      <c r="K138" s="104">
        <f t="shared" si="36"/>
        <v>1.4404112428932794</v>
      </c>
      <c r="L138" s="102">
        <f t="shared" si="37"/>
        <v>1</v>
      </c>
      <c r="M138" s="103">
        <f t="shared" si="38"/>
        <v>2.5023068200588502E-10</v>
      </c>
      <c r="N138" s="101">
        <f t="shared" si="39"/>
        <v>1</v>
      </c>
      <c r="O138" s="104">
        <f t="shared" si="40"/>
        <v>4.0036909120941603E-11</v>
      </c>
      <c r="P138" s="105">
        <f t="shared" ca="1" si="41"/>
        <v>1.0856723944380779</v>
      </c>
      <c r="Q138" s="106">
        <f t="shared" ca="1" si="42"/>
        <v>0.41333135301178664</v>
      </c>
      <c r="R138" s="107">
        <f t="shared" ca="1" si="43"/>
        <v>-15.886145791942122</v>
      </c>
      <c r="S138" s="108">
        <f t="shared" ca="1" si="44"/>
        <v>-183.59230951555114</v>
      </c>
      <c r="T138" s="116">
        <f t="shared" ca="1" si="45"/>
        <v>-3.5923095155511362</v>
      </c>
      <c r="V138" s="72">
        <f t="shared" ca="1" si="46"/>
        <v>7585.8</v>
      </c>
      <c r="W138" s="72">
        <f t="shared" si="47"/>
        <v>57544361.640000001</v>
      </c>
      <c r="Y138" s="110">
        <f t="shared" si="48"/>
        <v>28.300574453427586</v>
      </c>
      <c r="Z138" s="111">
        <f t="shared" si="49"/>
        <v>-82.684166766331202</v>
      </c>
      <c r="AA138" s="72">
        <f t="shared" si="50"/>
        <v>97.315833233668798</v>
      </c>
      <c r="AB138" s="110">
        <f t="shared" ca="1" si="51"/>
        <v>-28.269119898488206</v>
      </c>
      <c r="AC138" s="111">
        <f t="shared" ca="1" si="52"/>
        <v>-100.90814274921986</v>
      </c>
      <c r="AD138" s="72">
        <f t="shared" ca="1" si="53"/>
        <v>79.091857250780137</v>
      </c>
    </row>
    <row r="139" spans="1:30">
      <c r="A139" s="118">
        <v>7674.15</v>
      </c>
      <c r="B139" s="101">
        <f t="shared" ca="1" si="27"/>
        <v>393.5374876241479</v>
      </c>
      <c r="C139" s="102">
        <f t="shared" ca="1" si="28"/>
        <v>1.5682552700782937</v>
      </c>
      <c r="D139" s="102">
        <f t="shared" si="29"/>
        <v>1.0253579551236625</v>
      </c>
      <c r="E139" s="103">
        <f t="shared" si="30"/>
        <v>0.22286069693868324</v>
      </c>
      <c r="F139" s="101">
        <f t="shared" si="31"/>
        <v>2623.0651825844238</v>
      </c>
      <c r="G139" s="104">
        <f t="shared" si="32"/>
        <v>1.5704150934077652</v>
      </c>
      <c r="H139" s="113">
        <f t="shared" si="33"/>
        <v>327.8846489260423</v>
      </c>
      <c r="I139" s="114">
        <f t="shared" si="34"/>
        <v>1.5677464690063445</v>
      </c>
      <c r="J139" s="101">
        <f t="shared" si="35"/>
        <v>7.7794367574860717</v>
      </c>
      <c r="K139" s="104">
        <f t="shared" si="36"/>
        <v>1.4418956570975492</v>
      </c>
      <c r="L139" s="102">
        <f t="shared" si="37"/>
        <v>1</v>
      </c>
      <c r="M139" s="103">
        <f t="shared" si="38"/>
        <v>2.5314505896747378E-10</v>
      </c>
      <c r="N139" s="101">
        <f t="shared" si="39"/>
        <v>1</v>
      </c>
      <c r="O139" s="104">
        <f t="shared" si="40"/>
        <v>4.0503209434795799E-11</v>
      </c>
      <c r="P139" s="105">
        <f t="shared" ca="1" si="41"/>
        <v>1.0875990863112539</v>
      </c>
      <c r="Q139" s="106">
        <f t="shared" ca="1" si="42"/>
        <v>0.41765768379653373</v>
      </c>
      <c r="R139" s="107">
        <f t="shared" ca="1" si="43"/>
        <v>-16.09616219122082</v>
      </c>
      <c r="S139" s="108">
        <f t="shared" ca="1" si="44"/>
        <v>-183.78289014651375</v>
      </c>
      <c r="T139" s="116">
        <f t="shared" ca="1" si="45"/>
        <v>-3.7828901465137506</v>
      </c>
      <c r="V139" s="72">
        <f t="shared" ca="1" si="46"/>
        <v>7674.15</v>
      </c>
      <c r="W139" s="72">
        <f t="shared" si="47"/>
        <v>58892578.222499996</v>
      </c>
      <c r="Y139" s="110">
        <f t="shared" si="48"/>
        <v>28.201676587080268</v>
      </c>
      <c r="Z139" s="111">
        <f t="shared" si="49"/>
        <v>-82.767436647631243</v>
      </c>
      <c r="AA139" s="72">
        <f t="shared" si="50"/>
        <v>97.232563352368757</v>
      </c>
      <c r="AB139" s="110">
        <f t="shared" ca="1" si="51"/>
        <v>-28.380238431419585</v>
      </c>
      <c r="AC139" s="111">
        <f t="shared" ca="1" si="52"/>
        <v>-101.01545349888247</v>
      </c>
      <c r="AD139" s="72">
        <f t="shared" ca="1" si="53"/>
        <v>78.984546501117535</v>
      </c>
    </row>
    <row r="140" spans="1:30">
      <c r="A140" s="118">
        <v>7762.5</v>
      </c>
      <c r="B140" s="101">
        <f t="shared" ca="1" si="27"/>
        <v>398.06812799566364</v>
      </c>
      <c r="C140" s="102">
        <f t="shared" ca="1" si="28"/>
        <v>1.5682841913550662</v>
      </c>
      <c r="D140" s="102">
        <f t="shared" si="29"/>
        <v>1.0259377665751472</v>
      </c>
      <c r="E140" s="103">
        <f t="shared" si="30"/>
        <v>0.22534090550092642</v>
      </c>
      <c r="F140" s="101">
        <f t="shared" si="31"/>
        <v>2653.2636769311653</v>
      </c>
      <c r="G140" s="104">
        <f t="shared" si="32"/>
        <v>1.570419432469478</v>
      </c>
      <c r="H140" s="113">
        <f t="shared" si="33"/>
        <v>331.65944363444675</v>
      </c>
      <c r="I140" s="114">
        <f t="shared" si="34"/>
        <v>1.5677811811858131</v>
      </c>
      <c r="J140" s="101">
        <f t="shared" si="35"/>
        <v>7.8675272884354088</v>
      </c>
      <c r="K140" s="104">
        <f t="shared" si="36"/>
        <v>1.4433468332880213</v>
      </c>
      <c r="L140" s="102">
        <f t="shared" si="37"/>
        <v>1</v>
      </c>
      <c r="M140" s="103">
        <f t="shared" si="38"/>
        <v>2.5605943592906254E-10</v>
      </c>
      <c r="N140" s="101">
        <f t="shared" si="39"/>
        <v>1</v>
      </c>
      <c r="O140" s="104">
        <f t="shared" si="40"/>
        <v>4.0969509748650001E-11</v>
      </c>
      <c r="P140" s="105">
        <f t="shared" ca="1" si="41"/>
        <v>1.0895446385017935</v>
      </c>
      <c r="Q140" s="106">
        <f t="shared" ca="1" si="42"/>
        <v>0.42196921989196712</v>
      </c>
      <c r="R140" s="107">
        <f t="shared" ca="1" si="43"/>
        <v>-16.304004749023797</v>
      </c>
      <c r="S140" s="108">
        <f t="shared" ca="1" si="44"/>
        <v>-183.97088057182927</v>
      </c>
      <c r="T140" s="116">
        <f t="shared" ca="1" si="45"/>
        <v>-3.9708805718292695</v>
      </c>
      <c r="V140" s="72">
        <f t="shared" ca="1" si="46"/>
        <v>7762.5</v>
      </c>
      <c r="W140" s="72">
        <f t="shared" si="47"/>
        <v>60256406.25</v>
      </c>
      <c r="Y140" s="110">
        <f t="shared" si="48"/>
        <v>28.103873619911894</v>
      </c>
      <c r="Z140" s="111">
        <f t="shared" si="49"/>
        <v>-82.848842667169862</v>
      </c>
      <c r="AA140" s="72">
        <f t="shared" si="50"/>
        <v>97.151157332830138</v>
      </c>
      <c r="AB140" s="110">
        <f t="shared" ca="1" si="51"/>
        <v>-28.490278022054184</v>
      </c>
      <c r="AC140" s="111">
        <f t="shared" ca="1" si="52"/>
        <v>-101.12203790465935</v>
      </c>
      <c r="AD140" s="72">
        <f t="shared" ca="1" si="53"/>
        <v>78.877962095340649</v>
      </c>
    </row>
    <row r="141" spans="1:30">
      <c r="A141" s="118">
        <v>7852.9</v>
      </c>
      <c r="B141" s="101">
        <f t="shared" ca="1" si="27"/>
        <v>402.70389391915825</v>
      </c>
      <c r="C141" s="102">
        <f t="shared" ca="1" si="28"/>
        <v>1.5683131101117995</v>
      </c>
      <c r="D141" s="102">
        <f t="shared" si="29"/>
        <v>1.0265375563411683</v>
      </c>
      <c r="E141" s="103">
        <f t="shared" si="30"/>
        <v>0.22787574672392025</v>
      </c>
      <c r="F141" s="101">
        <f t="shared" si="31"/>
        <v>2684.1628721027514</v>
      </c>
      <c r="G141" s="104">
        <f t="shared" si="32"/>
        <v>1.5704237711524927</v>
      </c>
      <c r="H141" s="113">
        <f t="shared" si="33"/>
        <v>335.52182594744517</v>
      </c>
      <c r="I141" s="114">
        <f t="shared" si="34"/>
        <v>1.5678158903428776</v>
      </c>
      <c r="J141" s="101">
        <f t="shared" si="35"/>
        <v>7.9576785642089547</v>
      </c>
      <c r="K141" s="104">
        <f t="shared" si="36"/>
        <v>1.4447984226705257</v>
      </c>
      <c r="L141" s="102">
        <f t="shared" si="37"/>
        <v>1</v>
      </c>
      <c r="M141" s="103">
        <f t="shared" si="38"/>
        <v>2.5904143567244252E-10</v>
      </c>
      <c r="N141" s="101">
        <f t="shared" si="39"/>
        <v>1</v>
      </c>
      <c r="O141" s="104">
        <f t="shared" si="40"/>
        <v>4.1446629707590803E-11</v>
      </c>
      <c r="P141" s="105">
        <f t="shared" ca="1" si="41"/>
        <v>1.0915547509040986</v>
      </c>
      <c r="Q141" s="106">
        <f t="shared" ca="1" si="42"/>
        <v>0.42636541709436976</v>
      </c>
      <c r="R141" s="107">
        <f t="shared" ca="1" si="43"/>
        <v>-16.514470197523845</v>
      </c>
      <c r="S141" s="108">
        <f t="shared" ca="1" si="44"/>
        <v>-184.16061518162235</v>
      </c>
      <c r="T141" s="116">
        <f t="shared" ca="1" si="45"/>
        <v>-4.1606151816223473</v>
      </c>
      <c r="V141" s="72">
        <f t="shared" ca="1" si="46"/>
        <v>7852.9</v>
      </c>
      <c r="W141" s="72">
        <f t="shared" si="47"/>
        <v>61668038.409999996</v>
      </c>
      <c r="Y141" s="110">
        <f t="shared" si="48"/>
        <v>28.004910036176021</v>
      </c>
      <c r="Z141" s="111">
        <f t="shared" si="49"/>
        <v>-82.930272512338064</v>
      </c>
      <c r="AA141" s="72">
        <f t="shared" si="50"/>
        <v>97.069727487661936</v>
      </c>
      <c r="AB141" s="110">
        <f t="shared" ca="1" si="51"/>
        <v>-28.601779886818367</v>
      </c>
      <c r="AC141" s="111">
        <f t="shared" ca="1" si="52"/>
        <v>-101.23034266928425</v>
      </c>
      <c r="AD141" s="72">
        <f t="shared" ca="1" si="53"/>
        <v>78.769657330715745</v>
      </c>
    </row>
    <row r="142" spans="1:30">
      <c r="A142" s="118">
        <v>7943.3</v>
      </c>
      <c r="B142" s="101">
        <f t="shared" ref="B142:B205" ca="1" si="54">SQRT(1+(A142/Pole1)^2)</f>
        <v>407.33966017176641</v>
      </c>
      <c r="C142" s="102">
        <f t="shared" ref="C142:C205" ca="1" si="55">ATAN(A142/Pole1)</f>
        <v>1.5683413706434448</v>
      </c>
      <c r="D142" s="102">
        <f t="shared" ref="D142:D205" si="56">SQRT(1+(A142/Zero1)^2)</f>
        <v>1.027143934314203</v>
      </c>
      <c r="E142" s="103">
        <f t="shared" ref="E142:E205" si="57">ATAN(A142/Zero1)</f>
        <v>0.23040761129472195</v>
      </c>
      <c r="F142" s="101">
        <f t="shared" ref="F142:F205" si="58">SQRT(1+(A142/Pole2)^2)</f>
        <v>2715.0620673237149</v>
      </c>
      <c r="G142" s="104">
        <f t="shared" ref="G142:G205" si="59">ATAN(A142/Pole2)</f>
        <v>1.5704280110813649</v>
      </c>
      <c r="H142" s="113">
        <f t="shared" ref="H142:H205" si="60">SQRT(1+(A142/Zero2)^2)</f>
        <v>339.38420865545504</v>
      </c>
      <c r="I142" s="114">
        <f t="shared" ref="I142:I205" si="61">ATAN(A142/Zero2)</f>
        <v>1.5678498094806195</v>
      </c>
      <c r="J142" s="101">
        <f t="shared" ref="J142:J205" si="62">SQRT(1+(A142/pole4)^2)</f>
        <v>8.0478462320190083</v>
      </c>
      <c r="K142" s="104">
        <f t="shared" ref="K142:K205" si="63">ATAN(A142/pole4)</f>
        <v>1.4462174879174869</v>
      </c>
      <c r="L142" s="102">
        <f t="shared" ref="L142:L205" si="64">SQRT(1+(A142/Zerofeed)^2)</f>
        <v>1</v>
      </c>
      <c r="M142" s="103">
        <f t="shared" ref="M142:M205" si="65">ATAN(A142/Zerofeed)</f>
        <v>2.6202343541582255E-10</v>
      </c>
      <c r="N142" s="101">
        <f t="shared" ref="N142:N205" si="66">SQRT(1+(A142/Polefeed)^2)</f>
        <v>1</v>
      </c>
      <c r="O142" s="104">
        <f t="shared" ref="O142:O205" si="67">ATAN(A142/Polefeed)</f>
        <v>4.1923749666531606E-11</v>
      </c>
      <c r="P142" s="105">
        <f t="shared" ref="P142:P205" ca="1" si="68">SQRT((1-(W142/pterm2))^2+(A142/pterm1)^2)</f>
        <v>1.0935843963693821</v>
      </c>
      <c r="Q142" s="106">
        <f t="shared" ref="Q142:Q205" ca="1" si="69">IF((ATAN((A142/pterm1)/(1-A142^2/pterm2))&gt;0),ATAN((A142/pterm1)/(1-A142^2/pterm2)),PI()+ATAN((A142/pterm1)/(1-A142^2/pterm2)))</f>
        <v>0.43074599251505469</v>
      </c>
      <c r="R142" s="107">
        <f t="shared" ref="R142:R205" ca="1" si="70">20*LOG10(((D142*H142*L142)/(B142*F142*P142*J142*N142))*Adc)</f>
        <v>-16.722760311247949</v>
      </c>
      <c r="S142" s="108">
        <f t="shared" ref="S142:S205" ca="1" si="71">((E142+I142+M142)-(C142+G142+Q142+K142+O142))*radconv</f>
        <v>-184.34776367621811</v>
      </c>
      <c r="T142" s="116">
        <f t="shared" ref="T142:T205" ca="1" si="72">IF(S142&gt;0,S142,S142+180)</f>
        <v>-4.3477636762181078</v>
      </c>
      <c r="V142" s="72">
        <f t="shared" ref="V142:V205" ca="1" si="73">IF(R142&lt;0,A142,1000000000)</f>
        <v>7943.3</v>
      </c>
      <c r="W142" s="72">
        <f t="shared" ref="W142:W205" si="74">A142^2</f>
        <v>63096014.890000001</v>
      </c>
      <c r="Y142" s="110">
        <f t="shared" ref="Y142:Y205" si="75">20*LOG10(((H142*L142)/(F142*J142*N142))*Aea)</f>
        <v>27.907043632555531</v>
      </c>
      <c r="Z142" s="111">
        <f t="shared" ref="Z142:Z205" si="76">(I142+M142-(G142+K142+O142))*radconv</f>
        <v>-83.009878468382524</v>
      </c>
      <c r="AA142" s="72">
        <f t="shared" ref="AA142:AA205" si="77">IF(Z142&gt;0,Z142,Z142+180)</f>
        <v>96.990121531617476</v>
      </c>
      <c r="AB142" s="110">
        <f t="shared" ref="AB142:AB205" ca="1" si="78">20*LOG10((D142/(B142*P142))*Acs*Am)</f>
        <v>-28.712203596921974</v>
      </c>
      <c r="AC142" s="111">
        <f t="shared" ref="AC142:AC205" ca="1" si="79">(E142-(C142+Q142))*radconv</f>
        <v>-101.33788520783555</v>
      </c>
      <c r="AD142" s="72">
        <f t="shared" ref="AD142:AD205" ca="1" si="80">IF(AC142&gt;0,AC142,AC142+180)</f>
        <v>78.662114792164445</v>
      </c>
    </row>
    <row r="143" spans="1:30">
      <c r="A143" s="118">
        <v>8035.8</v>
      </c>
      <c r="B143" s="101">
        <f t="shared" ca="1" si="54"/>
        <v>412.08311601375158</v>
      </c>
      <c r="C143" s="102">
        <f t="shared" ca="1" si="55"/>
        <v>1.5683696295034601</v>
      </c>
      <c r="D143" s="102">
        <f t="shared" si="56"/>
        <v>1.0277712058880955</v>
      </c>
      <c r="E143" s="103">
        <f t="shared" si="57"/>
        <v>0.23299518179358875</v>
      </c>
      <c r="F143" s="101">
        <f t="shared" si="58"/>
        <v>2746.6790536334761</v>
      </c>
      <c r="G143" s="104">
        <f t="shared" si="59"/>
        <v>1.5704322507588673</v>
      </c>
      <c r="H143" s="113">
        <f t="shared" si="60"/>
        <v>343.33631525055193</v>
      </c>
      <c r="I143" s="114">
        <f t="shared" si="61"/>
        <v>1.5678837266140944</v>
      </c>
      <c r="J143" s="101">
        <f t="shared" si="62"/>
        <v>8.1401249021585187</v>
      </c>
      <c r="K143" s="104">
        <f t="shared" si="63"/>
        <v>1.4476369735152725</v>
      </c>
      <c r="L143" s="102">
        <f t="shared" si="64"/>
        <v>1</v>
      </c>
      <c r="M143" s="103">
        <f t="shared" si="65"/>
        <v>2.6507470727713503E-10</v>
      </c>
      <c r="N143" s="101">
        <f t="shared" si="66"/>
        <v>1</v>
      </c>
      <c r="O143" s="104">
        <f t="shared" si="67"/>
        <v>4.2411953164341603E-11</v>
      </c>
      <c r="P143" s="105">
        <f t="shared" ca="1" si="68"/>
        <v>1.0956812970731011</v>
      </c>
      <c r="Q143" s="106">
        <f t="shared" ca="1" si="69"/>
        <v>0.43521209304615138</v>
      </c>
      <c r="R143" s="107">
        <f t="shared" ca="1" si="70"/>
        <v>-16.933687681735385</v>
      </c>
      <c r="S143" s="108">
        <f t="shared" ca="1" si="71"/>
        <v>-184.536644773094</v>
      </c>
      <c r="T143" s="116">
        <f t="shared" ca="1" si="72"/>
        <v>-4.5366447730939967</v>
      </c>
      <c r="V143" s="72">
        <f t="shared" ca="1" si="73"/>
        <v>8035.8</v>
      </c>
      <c r="W143" s="72">
        <f t="shared" si="74"/>
        <v>64574081.640000001</v>
      </c>
      <c r="Y143" s="110">
        <f t="shared" si="75"/>
        <v>27.808014804726199</v>
      </c>
      <c r="Z143" s="111">
        <f t="shared" si="76"/>
        <v>-83.089508609185486</v>
      </c>
      <c r="AA143" s="72">
        <f t="shared" si="77"/>
        <v>96.910491390814514</v>
      </c>
      <c r="AB143" s="110">
        <f t="shared" ca="1" si="78"/>
        <v>-28.824102139580077</v>
      </c>
      <c r="AC143" s="111">
        <f t="shared" ca="1" si="79"/>
        <v>-101.4471361639085</v>
      </c>
      <c r="AD143" s="72">
        <f t="shared" ca="1" si="80"/>
        <v>78.552863836091504</v>
      </c>
    </row>
    <row r="144" spans="1:30">
      <c r="A144" s="118">
        <v>8128.3</v>
      </c>
      <c r="B144" s="101">
        <f t="shared" ca="1" si="54"/>
        <v>416.82657217732145</v>
      </c>
      <c r="C144" s="102">
        <f t="shared" ca="1" si="55"/>
        <v>1.5683972451959418</v>
      </c>
      <c r="D144" s="102">
        <f t="shared" si="56"/>
        <v>1.0284053505042705</v>
      </c>
      <c r="E144" s="103">
        <f t="shared" si="57"/>
        <v>0.23557957843635888</v>
      </c>
      <c r="F144" s="101">
        <f t="shared" si="58"/>
        <v>2778.296039991485</v>
      </c>
      <c r="G144" s="104">
        <f t="shared" si="59"/>
        <v>1.5704363939413786</v>
      </c>
      <c r="H144" s="113">
        <f t="shared" si="60"/>
        <v>347.288422231624</v>
      </c>
      <c r="I144" s="114">
        <f t="shared" si="61"/>
        <v>1.5679168718005367</v>
      </c>
      <c r="J144" s="101">
        <f t="shared" si="62"/>
        <v>8.2324196064343411</v>
      </c>
      <c r="K144" s="104">
        <f t="shared" si="63"/>
        <v>1.4490246337896004</v>
      </c>
      <c r="L144" s="102">
        <f t="shared" si="64"/>
        <v>1</v>
      </c>
      <c r="M144" s="103">
        <f t="shared" si="65"/>
        <v>2.6812597913844751E-10</v>
      </c>
      <c r="N144" s="101">
        <f t="shared" si="66"/>
        <v>1</v>
      </c>
      <c r="O144" s="104">
        <f t="shared" si="67"/>
        <v>4.2900156662151606E-11</v>
      </c>
      <c r="P144" s="105">
        <f t="shared" ca="1" si="68"/>
        <v>1.0977984200500033</v>
      </c>
      <c r="Q144" s="106">
        <f t="shared" ca="1" si="69"/>
        <v>0.43966170703230384</v>
      </c>
      <c r="R144" s="107">
        <f t="shared" ca="1" si="70"/>
        <v>-17.142438049978139</v>
      </c>
      <c r="S144" s="108">
        <f t="shared" ca="1" si="71"/>
        <v>-184.72294150213219</v>
      </c>
      <c r="T144" s="116">
        <f t="shared" ca="1" si="72"/>
        <v>-4.722941502132187</v>
      </c>
      <c r="V144" s="72">
        <f t="shared" ca="1" si="73"/>
        <v>8128.3</v>
      </c>
      <c r="W144" s="72">
        <f t="shared" si="74"/>
        <v>66069260.890000001</v>
      </c>
      <c r="Y144" s="110">
        <f t="shared" si="75"/>
        <v>27.710085393010083</v>
      </c>
      <c r="Z144" s="111">
        <f t="shared" si="76"/>
        <v>-83.167353993821877</v>
      </c>
      <c r="AA144" s="72">
        <f t="shared" si="77"/>
        <v>96.832646006178123</v>
      </c>
      <c r="AB144" s="110">
        <f t="shared" ca="1" si="78"/>
        <v>-28.934923096106715</v>
      </c>
      <c r="AC144" s="111">
        <f t="shared" ca="1" si="79"/>
        <v>-101.55558750831035</v>
      </c>
      <c r="AD144" s="72">
        <f t="shared" ca="1" si="80"/>
        <v>78.444412491689647</v>
      </c>
    </row>
    <row r="145" spans="1:30">
      <c r="A145" s="118">
        <v>8222.9500000000007</v>
      </c>
      <c r="B145" s="101">
        <f t="shared" ca="1" si="54"/>
        <v>421.6802819678777</v>
      </c>
      <c r="C145" s="102">
        <f t="shared" ca="1" si="55"/>
        <v>1.5684248596429509</v>
      </c>
      <c r="D145" s="102">
        <f t="shared" si="56"/>
        <v>1.0290613359691387</v>
      </c>
      <c r="E145" s="103">
        <f t="shared" si="57"/>
        <v>0.23822072961253121</v>
      </c>
      <c r="F145" s="101">
        <f t="shared" si="58"/>
        <v>2810.6479077022759</v>
      </c>
      <c r="G145" s="104">
        <f t="shared" si="59"/>
        <v>1.5704405369364951</v>
      </c>
      <c r="H145" s="113">
        <f t="shared" si="60"/>
        <v>351.3323893825293</v>
      </c>
      <c r="I145" s="114">
        <f t="shared" si="61"/>
        <v>1.5679500154940604</v>
      </c>
      <c r="J145" s="101">
        <f t="shared" si="62"/>
        <v>8.3268755802930947</v>
      </c>
      <c r="K145" s="104">
        <f t="shared" si="63"/>
        <v>1.4504127027234985</v>
      </c>
      <c r="L145" s="102">
        <f t="shared" si="64"/>
        <v>1</v>
      </c>
      <c r="M145" s="103">
        <f t="shared" si="65"/>
        <v>2.712481724538338E-10</v>
      </c>
      <c r="N145" s="101">
        <f t="shared" si="66"/>
        <v>1</v>
      </c>
      <c r="O145" s="104">
        <f t="shared" si="67"/>
        <v>4.3399707592613406E-11</v>
      </c>
      <c r="P145" s="105">
        <f t="shared" ca="1" si="68"/>
        <v>1.0999855635316609</v>
      </c>
      <c r="Q145" s="106">
        <f t="shared" ca="1" si="69"/>
        <v>0.44419761436033151</v>
      </c>
      <c r="R145" s="107">
        <f t="shared" ca="1" si="70"/>
        <v>-17.353837346287452</v>
      </c>
      <c r="S145" s="108">
        <f t="shared" ca="1" si="71"/>
        <v>-184.91095409813565</v>
      </c>
      <c r="T145" s="116">
        <f t="shared" ca="1" si="72"/>
        <v>-4.9109540981356474</v>
      </c>
      <c r="V145" s="72">
        <f t="shared" ca="1" si="73"/>
        <v>8222.9500000000007</v>
      </c>
      <c r="W145" s="72">
        <f t="shared" si="74"/>
        <v>67616906.702500015</v>
      </c>
      <c r="Y145" s="110">
        <f t="shared" si="75"/>
        <v>27.610993037823913</v>
      </c>
      <c r="Z145" s="111">
        <f t="shared" si="76"/>
        <v>-83.245222867724507</v>
      </c>
      <c r="AA145" s="72">
        <f t="shared" si="77"/>
        <v>96.754777132275493</v>
      </c>
      <c r="AB145" s="110">
        <f t="shared" ca="1" si="78"/>
        <v>-29.047230037229866</v>
      </c>
      <c r="AC145" s="111">
        <f t="shared" ca="1" si="79"/>
        <v>-101.66573123041117</v>
      </c>
      <c r="AD145" s="72">
        <f t="shared" ca="1" si="80"/>
        <v>78.334268769588832</v>
      </c>
    </row>
    <row r="146" spans="1:30">
      <c r="A146" s="118">
        <v>8270.2750000000015</v>
      </c>
      <c r="B146" s="101">
        <f t="shared" ca="1" si="54"/>
        <v>424.1071369816691</v>
      </c>
      <c r="C146" s="102">
        <f t="shared" ca="1" si="55"/>
        <v>1.5684384298405314</v>
      </c>
      <c r="D146" s="102">
        <f t="shared" si="56"/>
        <v>1.029392018024136</v>
      </c>
      <c r="E146" s="103">
        <f t="shared" si="57"/>
        <v>0.23954003828386289</v>
      </c>
      <c r="F146" s="101">
        <f t="shared" si="58"/>
        <v>2826.8238415754518</v>
      </c>
      <c r="G146" s="104">
        <f t="shared" si="59"/>
        <v>1.5704425728728624</v>
      </c>
      <c r="H146" s="113">
        <f t="shared" si="60"/>
        <v>353.35437310022502</v>
      </c>
      <c r="I146" s="114">
        <f t="shared" si="61"/>
        <v>1.5679663028558499</v>
      </c>
      <c r="J146" s="101">
        <f t="shared" si="62"/>
        <v>8.3741094818085902</v>
      </c>
      <c r="K146" s="104">
        <f t="shared" si="63"/>
        <v>1.4510949939658335</v>
      </c>
      <c r="L146" s="102">
        <f t="shared" si="64"/>
        <v>1</v>
      </c>
      <c r="M146" s="103">
        <f t="shared" si="65"/>
        <v>2.7280926911152698E-10</v>
      </c>
      <c r="N146" s="101">
        <f t="shared" si="66"/>
        <v>1</v>
      </c>
      <c r="O146" s="104">
        <f t="shared" si="67"/>
        <v>4.3649483057844312E-11</v>
      </c>
      <c r="P146" s="105">
        <f t="shared" ca="1" si="68"/>
        <v>1.1010869907514165</v>
      </c>
      <c r="Q146" s="106">
        <f t="shared" ca="1" si="69"/>
        <v>0.44645905082389836</v>
      </c>
      <c r="R146" s="107">
        <f t="shared" ca="1" si="70"/>
        <v>-17.458716885080314</v>
      </c>
      <c r="S146" s="108">
        <f t="shared" ca="1" si="71"/>
        <v>-185.00398742152822</v>
      </c>
      <c r="T146" s="116">
        <f t="shared" ca="1" si="72"/>
        <v>-5.0039874215282225</v>
      </c>
      <c r="V146" s="72">
        <f t="shared" ca="1" si="73"/>
        <v>8270.2750000000015</v>
      </c>
      <c r="W146" s="72">
        <f t="shared" si="74"/>
        <v>68397448.575625017</v>
      </c>
      <c r="Y146" s="110">
        <f t="shared" si="75"/>
        <v>27.561861462820602</v>
      </c>
      <c r="Z146" s="111">
        <f t="shared" si="76"/>
        <v>-83.283498729748899</v>
      </c>
      <c r="AA146" s="72">
        <f t="shared" si="77"/>
        <v>96.716501270251101</v>
      </c>
      <c r="AB146" s="110">
        <f t="shared" ca="1" si="78"/>
        <v>-29.102978001019405</v>
      </c>
      <c r="AC146" s="111">
        <f t="shared" ca="1" si="79"/>
        <v>-101.72048869177929</v>
      </c>
      <c r="AD146" s="72">
        <f t="shared" ca="1" si="80"/>
        <v>78.279511308220705</v>
      </c>
    </row>
    <row r="147" spans="1:30">
      <c r="A147" s="118">
        <v>8317.6</v>
      </c>
      <c r="B147" s="101">
        <f t="shared" ca="1" si="54"/>
        <v>426.5339920726712</v>
      </c>
      <c r="C147" s="102">
        <f t="shared" ca="1" si="55"/>
        <v>1.568451845617113</v>
      </c>
      <c r="D147" s="102">
        <f t="shared" si="56"/>
        <v>1.0297244906609253</v>
      </c>
      <c r="E147" s="103">
        <f t="shared" si="57"/>
        <v>0.24085849730438949</v>
      </c>
      <c r="F147" s="101">
        <f t="shared" si="58"/>
        <v>2842.9997754602109</v>
      </c>
      <c r="G147" s="104">
        <f t="shared" si="59"/>
        <v>1.5704445856413263</v>
      </c>
      <c r="H147" s="113">
        <f t="shared" si="60"/>
        <v>355.3763569105912</v>
      </c>
      <c r="I147" s="114">
        <f t="shared" si="61"/>
        <v>1.5679824048773348</v>
      </c>
      <c r="J147" s="101">
        <f t="shared" si="62"/>
        <v>8.4213472379195959</v>
      </c>
      <c r="K147" s="104">
        <f t="shared" si="63"/>
        <v>1.4517696311840957</v>
      </c>
      <c r="L147" s="102">
        <f t="shared" si="64"/>
        <v>1</v>
      </c>
      <c r="M147" s="103">
        <f t="shared" si="65"/>
        <v>2.7437036576922004E-10</v>
      </c>
      <c r="N147" s="101">
        <f t="shared" si="66"/>
        <v>1</v>
      </c>
      <c r="O147" s="104">
        <f t="shared" si="67"/>
        <v>4.3899258523075205E-11</v>
      </c>
      <c r="P147" s="105">
        <f t="shared" ca="1" si="68"/>
        <v>1.1021936341753318</v>
      </c>
      <c r="Q147" s="106">
        <f t="shared" ca="1" si="69"/>
        <v>0.44871613232284657</v>
      </c>
      <c r="R147" s="107">
        <f t="shared" ca="1" si="70"/>
        <v>-17.563057838734672</v>
      </c>
      <c r="S147" s="108">
        <f t="shared" ca="1" si="71"/>
        <v>-185.09638180607965</v>
      </c>
      <c r="T147" s="116">
        <f t="shared" ca="1" si="72"/>
        <v>-5.0963818060796484</v>
      </c>
      <c r="V147" s="72">
        <f t="shared" ca="1" si="73"/>
        <v>8317.6</v>
      </c>
      <c r="W147" s="72">
        <f t="shared" si="74"/>
        <v>69182469.760000005</v>
      </c>
      <c r="Y147" s="110">
        <f t="shared" si="75"/>
        <v>27.513002263846552</v>
      </c>
      <c r="Z147" s="111">
        <f t="shared" si="76"/>
        <v>-83.321345340291288</v>
      </c>
      <c r="AA147" s="72">
        <f t="shared" si="77"/>
        <v>96.678654659708712</v>
      </c>
      <c r="AB147" s="110">
        <f t="shared" ca="1" si="78"/>
        <v>-29.158459755699717</v>
      </c>
      <c r="AC147" s="111">
        <f t="shared" ca="1" si="79"/>
        <v>-101.77503646578835</v>
      </c>
      <c r="AD147" s="72">
        <f t="shared" ca="1" si="80"/>
        <v>78.224963534211653</v>
      </c>
    </row>
    <row r="148" spans="1:30">
      <c r="A148" s="118">
        <v>8366.0499999999993</v>
      </c>
      <c r="B148" s="101">
        <f t="shared" ca="1" si="54"/>
        <v>429.018537933836</v>
      </c>
      <c r="C148" s="102">
        <f t="shared" ca="1" si="55"/>
        <v>1.5684654230760613</v>
      </c>
      <c r="D148" s="102">
        <f t="shared" si="56"/>
        <v>1.0300667198929763</v>
      </c>
      <c r="E148" s="103">
        <f t="shared" si="57"/>
        <v>0.24220741434474891</v>
      </c>
      <c r="F148" s="101">
        <f t="shared" si="58"/>
        <v>2859.560240273202</v>
      </c>
      <c r="G148" s="104">
        <f t="shared" si="59"/>
        <v>1.5704466226668639</v>
      </c>
      <c r="H148" s="113">
        <f t="shared" si="60"/>
        <v>357.44640699147413</v>
      </c>
      <c r="I148" s="114">
        <f t="shared" si="61"/>
        <v>1.5679987009553487</v>
      </c>
      <c r="J148" s="101">
        <f t="shared" si="62"/>
        <v>8.4697118458761125</v>
      </c>
      <c r="K148" s="104">
        <f t="shared" si="63"/>
        <v>1.4524525097093488</v>
      </c>
      <c r="L148" s="102">
        <f t="shared" si="64"/>
        <v>1</v>
      </c>
      <c r="M148" s="103">
        <f t="shared" si="65"/>
        <v>2.7596857249009123E-10</v>
      </c>
      <c r="N148" s="101">
        <f t="shared" si="66"/>
        <v>1</v>
      </c>
      <c r="O148" s="104">
        <f t="shared" si="67"/>
        <v>4.4154971598414597E-11</v>
      </c>
      <c r="P148" s="105">
        <f t="shared" ca="1" si="68"/>
        <v>1.1033319718818377</v>
      </c>
      <c r="Q148" s="106">
        <f t="shared" ca="1" si="69"/>
        <v>0.45102234950367359</v>
      </c>
      <c r="R148" s="107">
        <f t="shared" ca="1" si="70"/>
        <v>-17.669327470920805</v>
      </c>
      <c r="S148" s="108">
        <f t="shared" ca="1" si="71"/>
        <v>-185.19031806887077</v>
      </c>
      <c r="T148" s="116">
        <f t="shared" ca="1" si="72"/>
        <v>-5.1903180688707664</v>
      </c>
      <c r="V148" s="72">
        <f t="shared" ca="1" si="73"/>
        <v>8366.0499999999993</v>
      </c>
      <c r="W148" s="72">
        <f t="shared" si="74"/>
        <v>69990792.602499992</v>
      </c>
      <c r="Y148" s="110">
        <f t="shared" si="75"/>
        <v>27.463260670405688</v>
      </c>
      <c r="Z148" s="111">
        <f t="shared" si="76"/>
        <v>-83.359654414148523</v>
      </c>
      <c r="AA148" s="72">
        <f t="shared" si="77"/>
        <v>96.640345585851477</v>
      </c>
      <c r="AB148" s="110">
        <f t="shared" ca="1" si="78"/>
        <v>-29.214987794444987</v>
      </c>
      <c r="AC148" s="111">
        <f t="shared" ca="1" si="79"/>
        <v>-101.83066365472223</v>
      </c>
      <c r="AD148" s="72">
        <f t="shared" ca="1" si="80"/>
        <v>78.16933634527777</v>
      </c>
    </row>
    <row r="149" spans="1:30">
      <c r="A149" s="119">
        <v>8414.5</v>
      </c>
      <c r="B149" s="101">
        <f t="shared" ca="1" si="54"/>
        <v>431.50308387317858</v>
      </c>
      <c r="C149" s="102">
        <f t="shared" ca="1" si="55"/>
        <v>1.568478844180067</v>
      </c>
      <c r="D149" s="102">
        <f t="shared" si="56"/>
        <v>1.0304108221639288</v>
      </c>
      <c r="E149" s="103">
        <f t="shared" si="57"/>
        <v>0.24355543290384171</v>
      </c>
      <c r="F149" s="101">
        <f t="shared" si="58"/>
        <v>2876.1207050979224</v>
      </c>
      <c r="G149" s="104">
        <f t="shared" si="59"/>
        <v>1.5704486362343524</v>
      </c>
      <c r="H149" s="113">
        <f t="shared" si="60"/>
        <v>359.51645716618822</v>
      </c>
      <c r="I149" s="114">
        <f t="shared" si="61"/>
        <v>1.5680148093718649</v>
      </c>
      <c r="J149" s="101">
        <f t="shared" si="62"/>
        <v>8.5180803586027487</v>
      </c>
      <c r="K149" s="104">
        <f t="shared" si="63"/>
        <v>1.4531276333205709</v>
      </c>
      <c r="L149" s="102">
        <f t="shared" si="64"/>
        <v>1</v>
      </c>
      <c r="M149" s="103">
        <f t="shared" si="65"/>
        <v>2.7756677921096253E-10</v>
      </c>
      <c r="N149" s="101">
        <f t="shared" si="66"/>
        <v>1</v>
      </c>
      <c r="O149" s="104">
        <f t="shared" si="67"/>
        <v>4.4410684673754001E-11</v>
      </c>
      <c r="P149" s="105">
        <f t="shared" ca="1" si="68"/>
        <v>1.1044757436356401</v>
      </c>
      <c r="Q149" s="106">
        <f t="shared" ca="1" si="69"/>
        <v>0.4533239867660056</v>
      </c>
      <c r="R149" s="107">
        <f t="shared" ca="1" si="70"/>
        <v>-17.775045193064532</v>
      </c>
      <c r="S149" s="108">
        <f t="shared" ca="1" si="71"/>
        <v>-185.28359952668717</v>
      </c>
      <c r="T149" s="116">
        <f t="shared" ca="1" si="72"/>
        <v>-5.2835995266871691</v>
      </c>
      <c r="V149" s="72">
        <f t="shared" ca="1" si="73"/>
        <v>8414.5</v>
      </c>
      <c r="W149" s="72">
        <f t="shared" si="74"/>
        <v>70803810.25</v>
      </c>
      <c r="Y149" s="110">
        <f t="shared" si="75"/>
        <v>27.413798332137929</v>
      </c>
      <c r="Z149" s="111">
        <f t="shared" si="76"/>
        <v>-83.397528572325385</v>
      </c>
      <c r="AA149" s="72">
        <f t="shared" si="77"/>
        <v>96.602471427674615</v>
      </c>
      <c r="AB149" s="110">
        <f t="shared" ca="1" si="78"/>
        <v>-29.271243178320958</v>
      </c>
      <c r="AC149" s="111">
        <f t="shared" ca="1" si="79"/>
        <v>-101.8860709543618</v>
      </c>
      <c r="AD149" s="72">
        <f t="shared" ca="1" si="80"/>
        <v>78.113929045638201</v>
      </c>
    </row>
    <row r="150" spans="1:30">
      <c r="A150" s="119">
        <v>8462.9500000000007</v>
      </c>
      <c r="B150" s="101">
        <f t="shared" ca="1" si="54"/>
        <v>433.98762988935619</v>
      </c>
      <c r="C150" s="102">
        <f t="shared" ca="1" si="55"/>
        <v>1.5684921116144852</v>
      </c>
      <c r="D150" s="102">
        <f t="shared" si="56"/>
        <v>1.0307567955979269</v>
      </c>
      <c r="E150" s="103">
        <f t="shared" si="57"/>
        <v>0.2449025489848482</v>
      </c>
      <c r="F150" s="101">
        <f t="shared" si="58"/>
        <v>2892.6811699341702</v>
      </c>
      <c r="G150" s="104">
        <f t="shared" si="59"/>
        <v>1.5704506267466811</v>
      </c>
      <c r="H150" s="113">
        <f t="shared" si="60"/>
        <v>361.58650743312194</v>
      </c>
      <c r="I150" s="114">
        <f t="shared" si="61"/>
        <v>1.5680307333499108</v>
      </c>
      <c r="J150" s="101">
        <f t="shared" si="62"/>
        <v>8.5664527099573302</v>
      </c>
      <c r="K150" s="104">
        <f t="shared" si="63"/>
        <v>1.4537951327665197</v>
      </c>
      <c r="L150" s="102">
        <f t="shared" si="64"/>
        <v>1</v>
      </c>
      <c r="M150" s="103">
        <f t="shared" si="65"/>
        <v>2.7916498593183382E-10</v>
      </c>
      <c r="N150" s="101">
        <f t="shared" si="66"/>
        <v>1</v>
      </c>
      <c r="O150" s="104">
        <f t="shared" si="67"/>
        <v>4.4666397749093406E-11</v>
      </c>
      <c r="P150" s="105">
        <f t="shared" ca="1" si="68"/>
        <v>1.1056249326757011</v>
      </c>
      <c r="Q150" s="106">
        <f t="shared" ca="1" si="69"/>
        <v>0.45562103661292525</v>
      </c>
      <c r="R150" s="107">
        <f t="shared" ca="1" si="70"/>
        <v>-17.880217208816603</v>
      </c>
      <c r="S150" s="108">
        <f t="shared" ca="1" si="71"/>
        <v>-185.37623346261762</v>
      </c>
      <c r="T150" s="116">
        <f t="shared" ca="1" si="72"/>
        <v>-5.3762334626176198</v>
      </c>
      <c r="V150" s="72">
        <f t="shared" ca="1" si="73"/>
        <v>8462.9500000000007</v>
      </c>
      <c r="W150" s="72">
        <f t="shared" si="74"/>
        <v>71621522.702500015</v>
      </c>
      <c r="Y150" s="110">
        <f t="shared" si="75"/>
        <v>27.364612176185386</v>
      </c>
      <c r="Z150" s="111">
        <f t="shared" si="76"/>
        <v>-83.43497514459186</v>
      </c>
      <c r="AA150" s="72">
        <f t="shared" si="77"/>
        <v>96.56502485540814</v>
      </c>
      <c r="AB150" s="110">
        <f t="shared" ca="1" si="78"/>
        <v>-29.327229038120485</v>
      </c>
      <c r="AC150" s="111">
        <f t="shared" ca="1" si="79"/>
        <v>-101.94125831802579</v>
      </c>
      <c r="AD150" s="72">
        <f t="shared" ca="1" si="80"/>
        <v>78.058741681974212</v>
      </c>
    </row>
    <row r="151" spans="1:30">
      <c r="A151" s="119">
        <v>8511.4</v>
      </c>
      <c r="B151" s="101">
        <f t="shared" ca="1" si="54"/>
        <v>436.47217598105652</v>
      </c>
      <c r="C151" s="102">
        <f t="shared" ca="1" si="55"/>
        <v>1.5685052280035281</v>
      </c>
      <c r="D151" s="102">
        <f t="shared" si="56"/>
        <v>1.0311046383114397</v>
      </c>
      <c r="E151" s="103">
        <f t="shared" si="57"/>
        <v>0.2462487586094004</v>
      </c>
      <c r="F151" s="101">
        <f t="shared" si="58"/>
        <v>2909.2416347817484</v>
      </c>
      <c r="G151" s="104">
        <f t="shared" si="59"/>
        <v>1.5704525945975651</v>
      </c>
      <c r="H151" s="113">
        <f t="shared" si="60"/>
        <v>363.65655779070033</v>
      </c>
      <c r="I151" s="114">
        <f t="shared" si="61"/>
        <v>1.5680464760391279</v>
      </c>
      <c r="J151" s="101">
        <f t="shared" si="62"/>
        <v>8.614828835278054</v>
      </c>
      <c r="K151" s="104">
        <f t="shared" si="63"/>
        <v>1.4544551358866282</v>
      </c>
      <c r="L151" s="102">
        <f t="shared" si="64"/>
        <v>1</v>
      </c>
      <c r="M151" s="103">
        <f t="shared" si="65"/>
        <v>2.8076319265270501E-10</v>
      </c>
      <c r="N151" s="101">
        <f t="shared" si="66"/>
        <v>1</v>
      </c>
      <c r="O151" s="104">
        <f t="shared" si="67"/>
        <v>4.4922110824432798E-11</v>
      </c>
      <c r="P151" s="105">
        <f t="shared" ca="1" si="68"/>
        <v>1.1067795222314831</v>
      </c>
      <c r="Q151" s="106">
        <f t="shared" ca="1" si="69"/>
        <v>0.45791349175777785</v>
      </c>
      <c r="R151" s="107">
        <f t="shared" ca="1" si="70"/>
        <v>-17.984849615320545</v>
      </c>
      <c r="S151" s="108">
        <f t="shared" ca="1" si="71"/>
        <v>-185.46822700422459</v>
      </c>
      <c r="T151" s="116">
        <f t="shared" ca="1" si="72"/>
        <v>-5.4682270042245875</v>
      </c>
      <c r="V151" s="72">
        <f t="shared" ca="1" si="73"/>
        <v>8511.4</v>
      </c>
      <c r="W151" s="72">
        <f t="shared" si="74"/>
        <v>72443929.959999993</v>
      </c>
      <c r="Y151" s="110">
        <f t="shared" si="75"/>
        <v>27.315699179355928</v>
      </c>
      <c r="Z151" s="111">
        <f t="shared" si="76"/>
        <v>-83.472001297704963</v>
      </c>
      <c r="AA151" s="72">
        <f t="shared" si="77"/>
        <v>96.527998702295037</v>
      </c>
      <c r="AB151" s="110">
        <f t="shared" ca="1" si="78"/>
        <v>-29.38294844779497</v>
      </c>
      <c r="AC151" s="111">
        <f t="shared" ca="1" si="79"/>
        <v>-101.99622570651958</v>
      </c>
      <c r="AD151" s="72">
        <f t="shared" ca="1" si="80"/>
        <v>78.003774293480419</v>
      </c>
    </row>
    <row r="152" spans="1:30">
      <c r="A152" s="119">
        <v>8560.9500000000007</v>
      </c>
      <c r="B152" s="101">
        <f t="shared" ca="1" si="54"/>
        <v>439.01313083273163</v>
      </c>
      <c r="C152" s="102">
        <f t="shared" ca="1" si="55"/>
        <v>1.5685184886289596</v>
      </c>
      <c r="D152" s="102">
        <f t="shared" si="56"/>
        <v>1.0314623098328011</v>
      </c>
      <c r="E152" s="103">
        <f t="shared" si="57"/>
        <v>0.24762459064600731</v>
      </c>
      <c r="F152" s="101">
        <f t="shared" si="58"/>
        <v>2926.1780854268595</v>
      </c>
      <c r="G152" s="104">
        <f t="shared" si="59"/>
        <v>1.5704545840881061</v>
      </c>
      <c r="H152" s="113">
        <f t="shared" si="60"/>
        <v>365.77360628776415</v>
      </c>
      <c r="I152" s="114">
        <f t="shared" si="61"/>
        <v>1.5680623918456709</v>
      </c>
      <c r="J152" s="101">
        <f t="shared" si="62"/>
        <v>8.664307120947031</v>
      </c>
      <c r="K152" s="104">
        <f t="shared" si="63"/>
        <v>1.4551225003088941</v>
      </c>
      <c r="L152" s="102">
        <f t="shared" si="64"/>
        <v>1</v>
      </c>
      <c r="M152" s="103">
        <f t="shared" si="65"/>
        <v>2.823976847686838E-10</v>
      </c>
      <c r="N152" s="101">
        <f t="shared" si="66"/>
        <v>1</v>
      </c>
      <c r="O152" s="104">
        <f t="shared" si="67"/>
        <v>4.5183629562989407E-11</v>
      </c>
      <c r="P152" s="105">
        <f t="shared" ca="1" si="68"/>
        <v>1.1079658937186185</v>
      </c>
      <c r="Q152" s="106">
        <f t="shared" ca="1" si="69"/>
        <v>0.46025323465103041</v>
      </c>
      <c r="R152" s="107">
        <f t="shared" ca="1" si="70"/>
        <v>-18.09130569681286</v>
      </c>
      <c r="S152" s="108">
        <f t="shared" ca="1" si="71"/>
        <v>-185.56165405169813</v>
      </c>
      <c r="T152" s="116">
        <f t="shared" ca="1" si="72"/>
        <v>-5.5616540516981274</v>
      </c>
      <c r="V152" s="72">
        <f t="shared" ca="1" si="73"/>
        <v>8560.9500000000007</v>
      </c>
      <c r="W152" s="72">
        <f t="shared" si="74"/>
        <v>73289864.902500018</v>
      </c>
      <c r="Y152" s="110">
        <f t="shared" si="75"/>
        <v>27.265955103246114</v>
      </c>
      <c r="Z152" s="111">
        <f t="shared" si="76"/>
        <v>-83.50944054333101</v>
      </c>
      <c r="AA152" s="72">
        <f t="shared" si="77"/>
        <v>96.49055945666899</v>
      </c>
      <c r="AB152" s="110">
        <f t="shared" ca="1" si="78"/>
        <v>-29.439660453177474</v>
      </c>
      <c r="AC152" s="111">
        <f t="shared" ca="1" si="79"/>
        <v>-102.05221350836712</v>
      </c>
      <c r="AD152" s="72">
        <f t="shared" ca="1" si="80"/>
        <v>77.947786491632883</v>
      </c>
    </row>
    <row r="153" spans="1:30">
      <c r="A153" s="119">
        <v>8610.5</v>
      </c>
      <c r="B153" s="101">
        <f t="shared" ca="1" si="54"/>
        <v>441.55408576071602</v>
      </c>
      <c r="C153" s="102">
        <f t="shared" ca="1" si="55"/>
        <v>1.5685315966359366</v>
      </c>
      <c r="D153" s="102">
        <f t="shared" si="56"/>
        <v>1.0318219324676299</v>
      </c>
      <c r="E153" s="103">
        <f t="shared" si="57"/>
        <v>0.24899946624151645</v>
      </c>
      <c r="F153" s="101">
        <f t="shared" si="58"/>
        <v>2943.1145360834184</v>
      </c>
      <c r="G153" s="104">
        <f t="shared" si="59"/>
        <v>1.5704565506811976</v>
      </c>
      <c r="H153" s="113">
        <f t="shared" si="60"/>
        <v>367.89065487641665</v>
      </c>
      <c r="I153" s="114">
        <f t="shared" si="61"/>
        <v>1.5680781244753126</v>
      </c>
      <c r="J153" s="101">
        <f t="shared" si="62"/>
        <v>8.7137892216606154</v>
      </c>
      <c r="K153" s="104">
        <f t="shared" si="63"/>
        <v>1.4557822856345073</v>
      </c>
      <c r="L153" s="102">
        <f t="shared" si="64"/>
        <v>1</v>
      </c>
      <c r="M153" s="103">
        <f t="shared" si="65"/>
        <v>2.8403217688466255E-10</v>
      </c>
      <c r="N153" s="101">
        <f t="shared" si="66"/>
        <v>1</v>
      </c>
      <c r="O153" s="104">
        <f t="shared" si="67"/>
        <v>4.5445148301546003E-11</v>
      </c>
      <c r="P153" s="105">
        <f t="shared" ca="1" si="68"/>
        <v>1.1091578782235805</v>
      </c>
      <c r="Q153" s="106">
        <f t="shared" ca="1" si="69"/>
        <v>0.46258815709153545</v>
      </c>
      <c r="R153" s="107">
        <f t="shared" ca="1" si="70"/>
        <v>-18.197209956706825</v>
      </c>
      <c r="S153" s="108">
        <f t="shared" ca="1" si="71"/>
        <v>-185.65442589630356</v>
      </c>
      <c r="T153" s="116">
        <f t="shared" ca="1" si="72"/>
        <v>-5.6544258963035645</v>
      </c>
      <c r="V153" s="72">
        <f t="shared" ca="1" si="73"/>
        <v>8610.5</v>
      </c>
      <c r="W153" s="72">
        <f t="shared" si="74"/>
        <v>74140710.25</v>
      </c>
      <c r="Y153" s="110">
        <f t="shared" si="75"/>
        <v>27.216490489260362</v>
      </c>
      <c r="Z153" s="111">
        <f t="shared" si="76"/>
        <v>-83.546454722041986</v>
      </c>
      <c r="AA153" s="72">
        <f t="shared" si="77"/>
        <v>96.453545277958014</v>
      </c>
      <c r="AB153" s="110">
        <f t="shared" ca="1" si="78"/>
        <v>-29.496100099085684</v>
      </c>
      <c r="AC153" s="111">
        <f t="shared" ca="1" si="79"/>
        <v>-102.10797117426155</v>
      </c>
      <c r="AD153" s="72">
        <f t="shared" ca="1" si="80"/>
        <v>77.89202882573845</v>
      </c>
    </row>
    <row r="154" spans="1:30">
      <c r="A154" s="119">
        <v>8660.0499999999993</v>
      </c>
      <c r="B154" s="101">
        <f t="shared" ca="1" si="54"/>
        <v>444.09504076370001</v>
      </c>
      <c r="C154" s="102">
        <f t="shared" ca="1" si="55"/>
        <v>1.5685445546441414</v>
      </c>
      <c r="D154" s="102">
        <f t="shared" si="56"/>
        <v>1.0321835041765659</v>
      </c>
      <c r="E154" s="103">
        <f t="shared" si="57"/>
        <v>0.2503733812005467</v>
      </c>
      <c r="F154" s="101">
        <f t="shared" si="58"/>
        <v>2960.0509867512301</v>
      </c>
      <c r="G154" s="104">
        <f t="shared" si="59"/>
        <v>1.570458494769875</v>
      </c>
      <c r="H154" s="113">
        <f t="shared" si="60"/>
        <v>370.00770355508587</v>
      </c>
      <c r="I154" s="114">
        <f t="shared" si="61"/>
        <v>1.5680936770722589</v>
      </c>
      <c r="J154" s="101">
        <f t="shared" si="62"/>
        <v>8.7632750727935065</v>
      </c>
      <c r="K154" s="104">
        <f t="shared" si="63"/>
        <v>1.4564346196806495</v>
      </c>
      <c r="L154" s="102">
        <f t="shared" si="64"/>
        <v>1</v>
      </c>
      <c r="M154" s="103">
        <f t="shared" si="65"/>
        <v>2.8566666900064124E-10</v>
      </c>
      <c r="N154" s="101">
        <f t="shared" si="66"/>
        <v>1</v>
      </c>
      <c r="O154" s="104">
        <f t="shared" si="67"/>
        <v>4.57066670401026E-11</v>
      </c>
      <c r="P154" s="105">
        <f t="shared" ca="1" si="68"/>
        <v>1.1103554577822567</v>
      </c>
      <c r="Q154" s="106">
        <f t="shared" ca="1" si="69"/>
        <v>0.46491825195932363</v>
      </c>
      <c r="R154" s="107">
        <f t="shared" ca="1" si="70"/>
        <v>-18.302568586456442</v>
      </c>
      <c r="S154" s="108">
        <f t="shared" ca="1" si="71"/>
        <v>-185.74654968632561</v>
      </c>
      <c r="T154" s="116">
        <f t="shared" ca="1" si="72"/>
        <v>-5.7465496863256078</v>
      </c>
      <c r="V154" s="72">
        <f t="shared" ca="1" si="73"/>
        <v>8660.0499999999993</v>
      </c>
      <c r="W154" s="72">
        <f t="shared" si="74"/>
        <v>74996466.002499983</v>
      </c>
      <c r="Y154" s="110">
        <f t="shared" si="75"/>
        <v>27.167302258030425</v>
      </c>
      <c r="Z154" s="111">
        <f t="shared" si="76"/>
        <v>-83.583050999592501</v>
      </c>
      <c r="AA154" s="72">
        <f t="shared" si="77"/>
        <v>96.416949000407499</v>
      </c>
      <c r="AB154" s="110">
        <f t="shared" ca="1" si="78"/>
        <v>-29.552270497605363</v>
      </c>
      <c r="AC154" s="111">
        <f t="shared" ca="1" si="79"/>
        <v>-102.16349868673306</v>
      </c>
      <c r="AD154" s="72">
        <f t="shared" ca="1" si="80"/>
        <v>77.836501313266936</v>
      </c>
    </row>
    <row r="155" spans="1:30">
      <c r="A155" s="119">
        <v>8709.6</v>
      </c>
      <c r="B155" s="101">
        <f t="shared" ca="1" si="54"/>
        <v>446.63599584040361</v>
      </c>
      <c r="C155" s="102">
        <f t="shared" ca="1" si="55"/>
        <v>1.5685573652136422</v>
      </c>
      <c r="D155" s="102">
        <f t="shared" si="56"/>
        <v>1.032547022912061</v>
      </c>
      <c r="E155" s="103">
        <f t="shared" si="57"/>
        <v>0.25174633134808433</v>
      </c>
      <c r="F155" s="101">
        <f t="shared" si="58"/>
        <v>2976.9874374301021</v>
      </c>
      <c r="G155" s="104">
        <f t="shared" si="59"/>
        <v>1.570460416738229</v>
      </c>
      <c r="H155" s="113">
        <f t="shared" si="60"/>
        <v>372.12475232223551</v>
      </c>
      <c r="I155" s="114">
        <f t="shared" si="61"/>
        <v>1.5681090527091655</v>
      </c>
      <c r="J155" s="101">
        <f t="shared" si="62"/>
        <v>8.8127646111671165</v>
      </c>
      <c r="K155" s="104">
        <f t="shared" si="63"/>
        <v>1.4570796274190823</v>
      </c>
      <c r="L155" s="102">
        <f t="shared" si="64"/>
        <v>1</v>
      </c>
      <c r="M155" s="103">
        <f t="shared" si="65"/>
        <v>2.8730116111662003E-10</v>
      </c>
      <c r="N155" s="101">
        <f t="shared" si="66"/>
        <v>1</v>
      </c>
      <c r="O155" s="104">
        <f t="shared" si="67"/>
        <v>4.5968185778659202E-11</v>
      </c>
      <c r="P155" s="105">
        <f t="shared" ca="1" si="68"/>
        <v>1.1115586144239322</v>
      </c>
      <c r="Q155" s="106">
        <f t="shared" ca="1" si="69"/>
        <v>0.46724351235896144</v>
      </c>
      <c r="R155" s="107">
        <f t="shared" ca="1" si="70"/>
        <v>-18.407387671028864</v>
      </c>
      <c r="S155" s="108">
        <f t="shared" ca="1" si="71"/>
        <v>-185.83803241888785</v>
      </c>
      <c r="T155" s="116">
        <f t="shared" ca="1" si="72"/>
        <v>-5.838032418887849</v>
      </c>
      <c r="V155" s="72">
        <f t="shared" ca="1" si="73"/>
        <v>8709.6</v>
      </c>
      <c r="W155" s="72">
        <f t="shared" si="74"/>
        <v>75857132.160000011</v>
      </c>
      <c r="Y155" s="110">
        <f t="shared" si="75"/>
        <v>27.118387380066139</v>
      </c>
      <c r="Z155" s="111">
        <f t="shared" si="76"/>
        <v>-83.619236382293636</v>
      </c>
      <c r="AA155" s="72">
        <f t="shared" si="77"/>
        <v>96.380763617706364</v>
      </c>
      <c r="AB155" s="110">
        <f t="shared" ca="1" si="78"/>
        <v>-29.6081747042135</v>
      </c>
      <c r="AC155" s="111">
        <f t="shared" ca="1" si="79"/>
        <v>-102.21879603659418</v>
      </c>
      <c r="AD155" s="72">
        <f t="shared" ca="1" si="80"/>
        <v>77.781203963405815</v>
      </c>
    </row>
    <row r="156" spans="1:30">
      <c r="A156" s="119">
        <v>8760.3250000000007</v>
      </c>
      <c r="B156" s="101">
        <f t="shared" ca="1" si="54"/>
        <v>449.23720572909866</v>
      </c>
      <c r="C156" s="102">
        <f t="shared" ca="1" si="55"/>
        <v>1.5685703294529767</v>
      </c>
      <c r="D156" s="102">
        <f t="shared" si="56"/>
        <v>1.0329211766040107</v>
      </c>
      <c r="E156" s="103">
        <f t="shared" si="57"/>
        <v>0.25315083510151509</v>
      </c>
      <c r="F156" s="101">
        <f t="shared" si="58"/>
        <v>2994.3255093018229</v>
      </c>
      <c r="G156" s="104">
        <f t="shared" si="59"/>
        <v>1.5704623617615419</v>
      </c>
      <c r="H156" s="113">
        <f t="shared" si="60"/>
        <v>374.29200364771231</v>
      </c>
      <c r="I156" s="114">
        <f t="shared" si="61"/>
        <v>1.5681246127856971</v>
      </c>
      <c r="J156" s="101">
        <f t="shared" si="62"/>
        <v>8.8634314707379165</v>
      </c>
      <c r="K156" s="104">
        <f t="shared" si="63"/>
        <v>1.4577324691018843</v>
      </c>
      <c r="L156" s="102">
        <f t="shared" si="64"/>
        <v>1</v>
      </c>
      <c r="M156" s="103">
        <f t="shared" si="65"/>
        <v>2.8897441263191819E-10</v>
      </c>
      <c r="N156" s="101">
        <f t="shared" si="66"/>
        <v>1</v>
      </c>
      <c r="O156" s="104">
        <f t="shared" si="67"/>
        <v>4.6235906021106905E-11</v>
      </c>
      <c r="P156" s="105">
        <f t="shared" ca="1" si="68"/>
        <v>1.1127960602858948</v>
      </c>
      <c r="Q156" s="106">
        <f t="shared" ca="1" si="69"/>
        <v>0.46961889788201905</v>
      </c>
      <c r="R156" s="107">
        <f t="shared" ca="1" si="70"/>
        <v>-18.51413972969462</v>
      </c>
      <c r="S156" s="108">
        <f t="shared" ca="1" si="71"/>
        <v>-185.93102763094532</v>
      </c>
      <c r="T156" s="116">
        <f t="shared" ca="1" si="72"/>
        <v>-5.9310276309453229</v>
      </c>
      <c r="V156" s="72">
        <f t="shared" ca="1" si="73"/>
        <v>8760.3250000000007</v>
      </c>
      <c r="W156" s="72">
        <f t="shared" si="74"/>
        <v>76743294.105625018</v>
      </c>
      <c r="Y156" s="110">
        <f t="shared" si="75"/>
        <v>27.068592604716549</v>
      </c>
      <c r="Z156" s="111">
        <f t="shared" si="76"/>
        <v>-83.655861370282437</v>
      </c>
      <c r="AA156" s="72">
        <f t="shared" si="77"/>
        <v>96.344138629717563</v>
      </c>
      <c r="AB156" s="110">
        <f t="shared" ca="1" si="78"/>
        <v>-29.665131987529666</v>
      </c>
      <c r="AC156" s="111">
        <f t="shared" ca="1" si="79"/>
        <v>-102.27516626066289</v>
      </c>
      <c r="AD156" s="72">
        <f t="shared" ca="1" si="80"/>
        <v>77.724833739337114</v>
      </c>
    </row>
    <row r="157" spans="1:30">
      <c r="A157" s="119">
        <v>8811.0499999999993</v>
      </c>
      <c r="B157" s="101">
        <f t="shared" ca="1" si="54"/>
        <v>451.83841569242816</v>
      </c>
      <c r="C157" s="102">
        <f t="shared" ca="1" si="55"/>
        <v>1.5685831444234273</v>
      </c>
      <c r="D157" s="102">
        <f t="shared" si="56"/>
        <v>1.0332973663901406</v>
      </c>
      <c r="E157" s="103">
        <f t="shared" si="57"/>
        <v>0.25455431895403652</v>
      </c>
      <c r="F157" s="101">
        <f t="shared" si="58"/>
        <v>3011.6635811847405</v>
      </c>
      <c r="G157" s="104">
        <f t="shared" si="59"/>
        <v>1.5704642843899537</v>
      </c>
      <c r="H157" s="113">
        <f t="shared" si="60"/>
        <v>376.45925506276768</v>
      </c>
      <c r="I157" s="114">
        <f t="shared" si="61"/>
        <v>1.568139993705538</v>
      </c>
      <c r="J157" s="101">
        <f t="shared" si="62"/>
        <v>8.9141020649791667</v>
      </c>
      <c r="K157" s="104">
        <f t="shared" si="63"/>
        <v>1.4583778891372075</v>
      </c>
      <c r="L157" s="102">
        <f t="shared" si="64"/>
        <v>1</v>
      </c>
      <c r="M157" s="103">
        <f t="shared" si="65"/>
        <v>2.9064766414721625E-10</v>
      </c>
      <c r="N157" s="101">
        <f t="shared" si="66"/>
        <v>1</v>
      </c>
      <c r="O157" s="104">
        <f t="shared" si="67"/>
        <v>4.65036262635546E-11</v>
      </c>
      <c r="P157" s="105">
        <f t="shared" ca="1" si="68"/>
        <v>1.1140393127404438</v>
      </c>
      <c r="Q157" s="106">
        <f t="shared" ca="1" si="69"/>
        <v>0.47198920302554215</v>
      </c>
      <c r="R157" s="107">
        <f t="shared" ca="1" si="70"/>
        <v>-18.62033892428623</v>
      </c>
      <c r="S157" s="108">
        <f t="shared" ca="1" si="71"/>
        <v>-186.02336539494829</v>
      </c>
      <c r="T157" s="116">
        <f t="shared" ca="1" si="72"/>
        <v>-6.0233653949482857</v>
      </c>
      <c r="V157" s="72">
        <f t="shared" ca="1" si="73"/>
        <v>8811.0499999999993</v>
      </c>
      <c r="W157" s="72">
        <f t="shared" si="74"/>
        <v>77634602.102499992</v>
      </c>
      <c r="Y157" s="110">
        <f t="shared" si="75"/>
        <v>27.019078031215834</v>
      </c>
      <c r="Z157" s="111">
        <f t="shared" si="76"/>
        <v>-83.692070110982144</v>
      </c>
      <c r="AA157" s="72">
        <f t="shared" si="77"/>
        <v>96.307929889017856</v>
      </c>
      <c r="AB157" s="110">
        <f t="shared" ca="1" si="78"/>
        <v>-29.721816608620557</v>
      </c>
      <c r="AC157" s="111">
        <f t="shared" ca="1" si="79"/>
        <v>-102.3312952839662</v>
      </c>
      <c r="AD157" s="72">
        <f t="shared" ca="1" si="80"/>
        <v>77.668704716033801</v>
      </c>
    </row>
    <row r="158" spans="1:30">
      <c r="A158" s="119">
        <v>8861.7749999999996</v>
      </c>
      <c r="B158" s="101">
        <f t="shared" ca="1" si="54"/>
        <v>454.43962572911084</v>
      </c>
      <c r="C158" s="102">
        <f t="shared" ca="1" si="55"/>
        <v>1.5685958126882322</v>
      </c>
      <c r="D158" s="102">
        <f t="shared" si="56"/>
        <v>1.0336755900474375</v>
      </c>
      <c r="E158" s="103">
        <f t="shared" si="57"/>
        <v>0.25595677849313642</v>
      </c>
      <c r="F158" s="101">
        <f t="shared" si="58"/>
        <v>3029.0016530786634</v>
      </c>
      <c r="G158" s="104">
        <f t="shared" si="59"/>
        <v>1.5704661850080313</v>
      </c>
      <c r="H158" s="113">
        <f t="shared" si="60"/>
        <v>378.62650656586356</v>
      </c>
      <c r="I158" s="114">
        <f t="shared" si="61"/>
        <v>1.5681551985451498</v>
      </c>
      <c r="J158" s="101">
        <f t="shared" si="62"/>
        <v>8.9647763305637049</v>
      </c>
      <c r="K158" s="104">
        <f t="shared" si="63"/>
        <v>1.4590160128374605</v>
      </c>
      <c r="L158" s="102">
        <f t="shared" si="64"/>
        <v>1</v>
      </c>
      <c r="M158" s="103">
        <f t="shared" si="65"/>
        <v>2.9232091566251441E-10</v>
      </c>
      <c r="N158" s="101">
        <f t="shared" si="66"/>
        <v>1</v>
      </c>
      <c r="O158" s="104">
        <f t="shared" si="67"/>
        <v>4.6771346506002303E-11</v>
      </c>
      <c r="P158" s="105">
        <f t="shared" ca="1" si="68"/>
        <v>1.1152883524924968</v>
      </c>
      <c r="Q158" s="106">
        <f t="shared" ca="1" si="69"/>
        <v>0.47435442111368925</v>
      </c>
      <c r="R158" s="107">
        <f t="shared" ca="1" si="70"/>
        <v>-18.725991451486117</v>
      </c>
      <c r="S158" s="108">
        <f t="shared" ca="1" si="71"/>
        <v>-186.11505275371837</v>
      </c>
      <c r="T158" s="116">
        <f t="shared" ca="1" si="72"/>
        <v>-6.1150527537183734</v>
      </c>
      <c r="V158" s="72">
        <f t="shared" ca="1" si="73"/>
        <v>8861.7749999999996</v>
      </c>
      <c r="W158" s="72">
        <f t="shared" si="74"/>
        <v>78531056.15062499</v>
      </c>
      <c r="Y158" s="110">
        <f t="shared" si="75"/>
        <v>26.969840565026789</v>
      </c>
      <c r="Z158" s="111">
        <f t="shared" si="76"/>
        <v>-83.727869630030682</v>
      </c>
      <c r="AA158" s="72">
        <f t="shared" si="77"/>
        <v>96.272130369969318</v>
      </c>
      <c r="AB158" s="110">
        <f t="shared" ca="1" si="78"/>
        <v>-29.778231669631403</v>
      </c>
      <c r="AC158" s="111">
        <f t="shared" ca="1" si="79"/>
        <v>-102.38718312368769</v>
      </c>
      <c r="AD158" s="72">
        <f t="shared" ca="1" si="80"/>
        <v>77.612816876312309</v>
      </c>
    </row>
    <row r="159" spans="1:30">
      <c r="A159" s="118">
        <v>8912.5</v>
      </c>
      <c r="B159" s="101">
        <f t="shared" ca="1" si="54"/>
        <v>457.04083583789395</v>
      </c>
      <c r="C159" s="102">
        <f t="shared" ca="1" si="55"/>
        <v>1.568608336752277</v>
      </c>
      <c r="D159" s="102">
        <f t="shared" si="56"/>
        <v>1.0340558453441324</v>
      </c>
      <c r="E159" s="103">
        <f t="shared" si="57"/>
        <v>0.25735820932885861</v>
      </c>
      <c r="F159" s="101">
        <f t="shared" si="58"/>
        <v>3046.3397249834034</v>
      </c>
      <c r="G159" s="104">
        <f t="shared" si="59"/>
        <v>1.570468063991586</v>
      </c>
      <c r="H159" s="113">
        <f t="shared" si="60"/>
        <v>380.79375815549662</v>
      </c>
      <c r="I159" s="114">
        <f t="shared" si="61"/>
        <v>1.5681702303109577</v>
      </c>
      <c r="J159" s="101">
        <f t="shared" si="62"/>
        <v>9.0154542055836213</v>
      </c>
      <c r="K159" s="104">
        <f t="shared" si="63"/>
        <v>1.4596469627214923</v>
      </c>
      <c r="L159" s="102">
        <f t="shared" si="64"/>
        <v>1</v>
      </c>
      <c r="M159" s="103">
        <f t="shared" si="65"/>
        <v>2.9399416717781252E-10</v>
      </c>
      <c r="N159" s="101">
        <f t="shared" si="66"/>
        <v>1</v>
      </c>
      <c r="O159" s="104">
        <f t="shared" si="67"/>
        <v>4.7039066748450005E-11</v>
      </c>
      <c r="P159" s="105">
        <f t="shared" ca="1" si="68"/>
        <v>1.1165431602438323</v>
      </c>
      <c r="Q159" s="106">
        <f t="shared" ca="1" si="69"/>
        <v>0.47671454571083799</v>
      </c>
      <c r="R159" s="107">
        <f t="shared" ca="1" si="70"/>
        <v>-18.831103401115424</v>
      </c>
      <c r="S159" s="108">
        <f t="shared" ca="1" si="71"/>
        <v>-186.2060966026566</v>
      </c>
      <c r="T159" s="116">
        <f t="shared" ca="1" si="72"/>
        <v>-6.2060966026566007</v>
      </c>
      <c r="V159" s="72">
        <f t="shared" ca="1" si="73"/>
        <v>8912.5</v>
      </c>
      <c r="W159" s="72">
        <f t="shared" si="74"/>
        <v>79432656.25</v>
      </c>
      <c r="Y159" s="110">
        <f t="shared" si="75"/>
        <v>26.920877161886413</v>
      </c>
      <c r="Z159" s="111">
        <f t="shared" si="76"/>
        <v>-83.763266796517939</v>
      </c>
      <c r="AA159" s="72">
        <f t="shared" si="77"/>
        <v>96.236733203482061</v>
      </c>
      <c r="AB159" s="110">
        <f t="shared" ca="1" si="78"/>
        <v>-29.834380216120337</v>
      </c>
      <c r="AC159" s="111">
        <f t="shared" ca="1" si="79"/>
        <v>-102.44282980613865</v>
      </c>
      <c r="AD159" s="72">
        <f t="shared" ca="1" si="80"/>
        <v>77.557170193861353</v>
      </c>
    </row>
    <row r="160" spans="1:30">
      <c r="A160" s="118">
        <v>8964.4</v>
      </c>
      <c r="B160" s="101">
        <f t="shared" ca="1" si="54"/>
        <v>459.70230076379738</v>
      </c>
      <c r="C160" s="102">
        <f t="shared" ca="1" si="55"/>
        <v>1.5686210042285089</v>
      </c>
      <c r="D160" s="102">
        <f t="shared" si="56"/>
        <v>1.0344470093595459</v>
      </c>
      <c r="E160" s="103">
        <f t="shared" si="57"/>
        <v>0.2587910337990682</v>
      </c>
      <c r="F160" s="101">
        <f t="shared" si="58"/>
        <v>3064.0794180817616</v>
      </c>
      <c r="G160" s="104">
        <f t="shared" si="59"/>
        <v>1.5704699644911486</v>
      </c>
      <c r="H160" s="113">
        <f t="shared" si="60"/>
        <v>383.01121230961263</v>
      </c>
      <c r="I160" s="114">
        <f t="shared" si="61"/>
        <v>1.5681854342048405</v>
      </c>
      <c r="J160" s="101">
        <f t="shared" si="62"/>
        <v>9.0673096616896878</v>
      </c>
      <c r="K160" s="104">
        <f t="shared" si="63"/>
        <v>1.460285227939506</v>
      </c>
      <c r="L160" s="102">
        <f t="shared" si="64"/>
        <v>1</v>
      </c>
      <c r="M160" s="103">
        <f t="shared" si="65"/>
        <v>2.9570617809243E-10</v>
      </c>
      <c r="N160" s="101">
        <f t="shared" si="66"/>
        <v>1</v>
      </c>
      <c r="O160" s="104">
        <f t="shared" si="67"/>
        <v>4.73129884947888E-11</v>
      </c>
      <c r="P160" s="105">
        <f t="shared" ca="1" si="68"/>
        <v>1.1178329843451407</v>
      </c>
      <c r="Q160" s="106">
        <f t="shared" ca="1" si="69"/>
        <v>0.47912406221896586</v>
      </c>
      <c r="R160" s="107">
        <f t="shared" ca="1" si="70"/>
        <v>-18.938096913107984</v>
      </c>
      <c r="S160" s="108">
        <f t="shared" ca="1" si="71"/>
        <v>-186.29859040211625</v>
      </c>
      <c r="T160" s="116">
        <f t="shared" ca="1" si="72"/>
        <v>-6.2985904021162469</v>
      </c>
      <c r="V160" s="72">
        <f t="shared" ca="1" si="73"/>
        <v>8964.4</v>
      </c>
      <c r="W160" s="72">
        <f t="shared" si="74"/>
        <v>80360467.359999999</v>
      </c>
      <c r="Y160" s="110">
        <f t="shared" si="75"/>
        <v>26.871060100238694</v>
      </c>
      <c r="Z160" s="111">
        <f t="shared" si="76"/>
        <v>-83.799074471330883</v>
      </c>
      <c r="AA160" s="72">
        <f t="shared" si="77"/>
        <v>96.200925528669117</v>
      </c>
      <c r="AB160" s="110">
        <f t="shared" ca="1" si="78"/>
        <v>-29.891556666465171</v>
      </c>
      <c r="AC160" s="111">
        <f t="shared" ca="1" si="79"/>
        <v>-102.49951593078535</v>
      </c>
      <c r="AD160" s="72">
        <f t="shared" ca="1" si="80"/>
        <v>77.50048406921465</v>
      </c>
    </row>
    <row r="161" spans="1:30">
      <c r="A161" s="118">
        <v>9016.2999999999993</v>
      </c>
      <c r="B161" s="101">
        <f t="shared" ca="1" si="54"/>
        <v>462.36376576261767</v>
      </c>
      <c r="C161" s="102">
        <f t="shared" ca="1" si="55"/>
        <v>1.5686335258713229</v>
      </c>
      <c r="D161" s="102">
        <f t="shared" si="56"/>
        <v>1.0348402954721081</v>
      </c>
      <c r="E161" s="103">
        <f t="shared" si="57"/>
        <v>0.26022277213056416</v>
      </c>
      <c r="F161" s="101">
        <f t="shared" si="58"/>
        <v>3081.8191111910592</v>
      </c>
      <c r="G161" s="104">
        <f t="shared" si="59"/>
        <v>1.5704718431112448</v>
      </c>
      <c r="H161" s="113">
        <f t="shared" si="60"/>
        <v>385.22866655124562</v>
      </c>
      <c r="I161" s="114">
        <f t="shared" si="61"/>
        <v>1.5682004630653406</v>
      </c>
      <c r="J161" s="101">
        <f t="shared" si="62"/>
        <v>9.1191687696483132</v>
      </c>
      <c r="K161" s="104">
        <f t="shared" si="63"/>
        <v>1.46091623400821</v>
      </c>
      <c r="L161" s="102">
        <f t="shared" si="64"/>
        <v>1</v>
      </c>
      <c r="M161" s="103">
        <f t="shared" si="65"/>
        <v>2.9741818900704753E-10</v>
      </c>
      <c r="N161" s="101">
        <f t="shared" si="66"/>
        <v>1</v>
      </c>
      <c r="O161" s="104">
        <f t="shared" si="67"/>
        <v>4.7586910241127602E-11</v>
      </c>
      <c r="P161" s="105">
        <f t="shared" ca="1" si="68"/>
        <v>1.1191288058830189</v>
      </c>
      <c r="Q161" s="106">
        <f t="shared" ca="1" si="69"/>
        <v>0.48152823366299247</v>
      </c>
      <c r="R161" s="107">
        <f t="shared" ca="1" si="70"/>
        <v>-19.044537079206279</v>
      </c>
      <c r="S161" s="108">
        <f t="shared" ca="1" si="71"/>
        <v>-186.39042468394052</v>
      </c>
      <c r="T161" s="116">
        <f t="shared" ca="1" si="72"/>
        <v>-6.3904246839405232</v>
      </c>
      <c r="V161" s="72">
        <f t="shared" ca="1" si="73"/>
        <v>9016.2999999999993</v>
      </c>
      <c r="W161" s="72">
        <f t="shared" si="74"/>
        <v>81293665.689999983</v>
      </c>
      <c r="Y161" s="110">
        <f t="shared" si="75"/>
        <v>26.821523654463579</v>
      </c>
      <c r="Z161" s="111">
        <f t="shared" si="76"/>
        <v>-83.834475002598083</v>
      </c>
      <c r="AA161" s="72">
        <f t="shared" si="77"/>
        <v>96.165524997401917</v>
      </c>
      <c r="AB161" s="110">
        <f t="shared" ca="1" si="78"/>
        <v>-29.948460386788355</v>
      </c>
      <c r="AC161" s="111">
        <f t="shared" ca="1" si="79"/>
        <v>-102.55594968134243</v>
      </c>
      <c r="AD161" s="72">
        <f t="shared" ca="1" si="80"/>
        <v>77.444050318657574</v>
      </c>
    </row>
    <row r="162" spans="1:30">
      <c r="A162" s="118">
        <v>9068.2000000000007</v>
      </c>
      <c r="B162" s="101">
        <f t="shared" ca="1" si="54"/>
        <v>465.02523083310297</v>
      </c>
      <c r="C162" s="102">
        <f t="shared" ca="1" si="55"/>
        <v>1.5686459041846472</v>
      </c>
      <c r="D162" s="102">
        <f t="shared" si="56"/>
        <v>1.0352357012632647</v>
      </c>
      <c r="E162" s="103">
        <f t="shared" si="57"/>
        <v>0.26165341969480832</v>
      </c>
      <c r="F162" s="101">
        <f t="shared" si="58"/>
        <v>3099.5588043111093</v>
      </c>
      <c r="G162" s="104">
        <f t="shared" si="59"/>
        <v>1.5704737002275422</v>
      </c>
      <c r="H162" s="113">
        <f t="shared" si="60"/>
        <v>387.446120878893</v>
      </c>
      <c r="I162" s="114">
        <f t="shared" si="61"/>
        <v>1.5682153198977349</v>
      </c>
      <c r="J162" s="101">
        <f t="shared" si="62"/>
        <v>9.1710314675094988</v>
      </c>
      <c r="K162" s="104">
        <f t="shared" si="63"/>
        <v>1.4615401035734901</v>
      </c>
      <c r="L162" s="102">
        <f t="shared" si="64"/>
        <v>1</v>
      </c>
      <c r="M162" s="103">
        <f t="shared" si="65"/>
        <v>2.9913019992166506E-10</v>
      </c>
      <c r="N162" s="101">
        <f t="shared" si="66"/>
        <v>1</v>
      </c>
      <c r="O162" s="104">
        <f t="shared" si="67"/>
        <v>4.786083198746641E-11</v>
      </c>
      <c r="P162" s="105">
        <f t="shared" ca="1" si="68"/>
        <v>1.1204306041832719</v>
      </c>
      <c r="Q162" s="106">
        <f t="shared" ca="1" si="69"/>
        <v>0.483927053919609</v>
      </c>
      <c r="R162" s="107">
        <f t="shared" ca="1" si="70"/>
        <v>-19.150430090293757</v>
      </c>
      <c r="S162" s="108">
        <f t="shared" ca="1" si="71"/>
        <v>-186.48160638237607</v>
      </c>
      <c r="T162" s="116">
        <f t="shared" ca="1" si="72"/>
        <v>-6.4816063823760715</v>
      </c>
      <c r="V162" s="72">
        <f t="shared" ca="1" si="73"/>
        <v>9068.2000000000007</v>
      </c>
      <c r="W162" s="72">
        <f t="shared" si="74"/>
        <v>82232251.24000001</v>
      </c>
      <c r="Y162" s="110">
        <f t="shared" si="75"/>
        <v>26.772264720346097</v>
      </c>
      <c r="Z162" s="111">
        <f t="shared" si="76"/>
        <v>-83.869475266745653</v>
      </c>
      <c r="AA162" s="72">
        <f t="shared" si="77"/>
        <v>96.130524733254347</v>
      </c>
      <c r="AB162" s="110">
        <f t="shared" ca="1" si="78"/>
        <v>-30.005094463758347</v>
      </c>
      <c r="AC162" s="111">
        <f t="shared" ca="1" si="79"/>
        <v>-102.61213111563032</v>
      </c>
      <c r="AD162" s="72">
        <f t="shared" ca="1" si="80"/>
        <v>77.387868884369681</v>
      </c>
    </row>
    <row r="163" spans="1:30">
      <c r="A163" s="118">
        <v>9120.1</v>
      </c>
      <c r="B163" s="101">
        <f t="shared" ca="1" si="54"/>
        <v>467.68669597402965</v>
      </c>
      <c r="C163" s="102">
        <f t="shared" ca="1" si="55"/>
        <v>1.5686581416154135</v>
      </c>
      <c r="D163" s="102">
        <f t="shared" si="56"/>
        <v>1.0356332243051294</v>
      </c>
      <c r="E163" s="103">
        <f t="shared" si="57"/>
        <v>0.26308297188817192</v>
      </c>
      <c r="F163" s="101">
        <f t="shared" si="58"/>
        <v>3117.2984974417277</v>
      </c>
      <c r="G163" s="104">
        <f t="shared" si="59"/>
        <v>1.5704755362071581</v>
      </c>
      <c r="H163" s="113">
        <f t="shared" si="60"/>
        <v>389.66357529108632</v>
      </c>
      <c r="I163" s="114">
        <f t="shared" si="61"/>
        <v>1.5682300076388926</v>
      </c>
      <c r="J163" s="101">
        <f t="shared" si="62"/>
        <v>9.222897694712433</v>
      </c>
      <c r="K163" s="104">
        <f t="shared" si="63"/>
        <v>1.4621569565448769</v>
      </c>
      <c r="L163" s="102">
        <f t="shared" si="64"/>
        <v>1</v>
      </c>
      <c r="M163" s="103">
        <f t="shared" si="65"/>
        <v>3.0084221083628253E-10</v>
      </c>
      <c r="N163" s="101">
        <f t="shared" si="66"/>
        <v>1</v>
      </c>
      <c r="O163" s="104">
        <f t="shared" si="67"/>
        <v>4.8134753733805205E-11</v>
      </c>
      <c r="P163" s="105">
        <f t="shared" ca="1" si="68"/>
        <v>1.1217383585726945</v>
      </c>
      <c r="Q163" s="106">
        <f t="shared" ca="1" si="69"/>
        <v>0.48632051712138435</v>
      </c>
      <c r="R163" s="107">
        <f t="shared" ca="1" si="70"/>
        <v>-19.255782030275665</v>
      </c>
      <c r="S163" s="108">
        <f t="shared" ca="1" si="71"/>
        <v>-186.57214228828516</v>
      </c>
      <c r="T163" s="116">
        <f t="shared" ca="1" si="72"/>
        <v>-6.5721422882851641</v>
      </c>
      <c r="V163" s="72">
        <f t="shared" ca="1" si="73"/>
        <v>9120.1</v>
      </c>
      <c r="W163" s="72">
        <f t="shared" si="74"/>
        <v>83176224.010000005</v>
      </c>
      <c r="Y163" s="110">
        <f t="shared" si="75"/>
        <v>26.723280244220543</v>
      </c>
      <c r="Z163" s="111">
        <f t="shared" si="76"/>
        <v>-83.904081986847757</v>
      </c>
      <c r="AA163" s="72">
        <f t="shared" si="77"/>
        <v>96.095918013152243</v>
      </c>
      <c r="AB163" s="110">
        <f t="shared" ca="1" si="78"/>
        <v>-30.061461927614705</v>
      </c>
      <c r="AC163" s="111">
        <f t="shared" ca="1" si="79"/>
        <v>-102.66806030143742</v>
      </c>
      <c r="AD163" s="72">
        <f t="shared" ca="1" si="80"/>
        <v>77.331939698562579</v>
      </c>
    </row>
    <row r="164" spans="1:30">
      <c r="A164" s="118">
        <v>9173.2000000000007</v>
      </c>
      <c r="B164" s="101">
        <f t="shared" ca="1" si="54"/>
        <v>470.40969795287691</v>
      </c>
      <c r="C164" s="102">
        <f t="shared" ca="1" si="55"/>
        <v>1.5686705186801215</v>
      </c>
      <c r="D164" s="102">
        <f t="shared" si="56"/>
        <v>1.0360421273366847</v>
      </c>
      <c r="E164" s="103">
        <f t="shared" si="57"/>
        <v>0.26454443888295986</v>
      </c>
      <c r="F164" s="101">
        <f t="shared" si="58"/>
        <v>3135.448356898255</v>
      </c>
      <c r="G164" s="104">
        <f t="shared" si="59"/>
        <v>1.5704773931359342</v>
      </c>
      <c r="H164" s="113">
        <f t="shared" si="60"/>
        <v>391.93230041153089</v>
      </c>
      <c r="I164" s="114">
        <f t="shared" si="61"/>
        <v>1.5682448629733503</v>
      </c>
      <c r="J164" s="101">
        <f t="shared" si="62"/>
        <v>9.2759667319876105</v>
      </c>
      <c r="K164" s="104">
        <f t="shared" si="63"/>
        <v>1.4627809324592917</v>
      </c>
      <c r="L164" s="102">
        <f t="shared" si="64"/>
        <v>1</v>
      </c>
      <c r="M164" s="103">
        <f t="shared" si="65"/>
        <v>3.0259380581829005E-10</v>
      </c>
      <c r="N164" s="101">
        <f t="shared" si="66"/>
        <v>1</v>
      </c>
      <c r="O164" s="104">
        <f t="shared" si="67"/>
        <v>4.8415008930926406E-11</v>
      </c>
      <c r="P164" s="105">
        <f t="shared" ca="1" si="68"/>
        <v>1.1230824927501939</v>
      </c>
      <c r="Q164" s="106">
        <f t="shared" ca="1" si="69"/>
        <v>0.48876377037931634</v>
      </c>
      <c r="R164" s="107">
        <f t="shared" ca="1" si="70"/>
        <v>-19.363016107423658</v>
      </c>
      <c r="S164" s="108">
        <f t="shared" ca="1" si="71"/>
        <v>-186.66411008376636</v>
      </c>
      <c r="T164" s="116">
        <f t="shared" ca="1" si="72"/>
        <v>-6.66411008376636</v>
      </c>
      <c r="V164" s="72">
        <f t="shared" ca="1" si="73"/>
        <v>9173.2000000000007</v>
      </c>
      <c r="W164" s="72">
        <f t="shared" si="74"/>
        <v>84147598.24000001</v>
      </c>
      <c r="Y164" s="110">
        <f t="shared" si="75"/>
        <v>26.673444096323333</v>
      </c>
      <c r="Z164" s="111">
        <f t="shared" si="76"/>
        <v>-83.939088419431272</v>
      </c>
      <c r="AA164" s="72">
        <f t="shared" si="77"/>
        <v>96.060911580568728</v>
      </c>
      <c r="AB164" s="110">
        <f t="shared" ca="1" si="78"/>
        <v>-30.118859856865488</v>
      </c>
      <c r="AC164" s="111">
        <f t="shared" ca="1" si="79"/>
        <v>-102.72502166433513</v>
      </c>
      <c r="AD164" s="72">
        <f t="shared" ca="1" si="80"/>
        <v>77.274978335664869</v>
      </c>
    </row>
    <row r="165" spans="1:30">
      <c r="A165" s="118">
        <v>9226.2999999999993</v>
      </c>
      <c r="B165" s="101">
        <f t="shared" ca="1" si="54"/>
        <v>473.13270000295745</v>
      </c>
      <c r="C165" s="102">
        <f t="shared" ca="1" si="55"/>
        <v>1.5686827532783625</v>
      </c>
      <c r="D165" s="102">
        <f t="shared" si="56"/>
        <v>1.0364532414870804</v>
      </c>
      <c r="E165" s="103">
        <f t="shared" si="57"/>
        <v>0.26600474959895887</v>
      </c>
      <c r="F165" s="101">
        <f t="shared" si="58"/>
        <v>3153.5982163654699</v>
      </c>
      <c r="G165" s="104">
        <f t="shared" si="59"/>
        <v>1.5704792286903984</v>
      </c>
      <c r="H165" s="113">
        <f t="shared" si="60"/>
        <v>394.20102561747194</v>
      </c>
      <c r="I165" s="114">
        <f t="shared" si="61"/>
        <v>1.5682595473155025</v>
      </c>
      <c r="J165" s="101">
        <f t="shared" si="62"/>
        <v>9.3290393397326365</v>
      </c>
      <c r="K165" s="104">
        <f t="shared" si="63"/>
        <v>1.4633978090533966</v>
      </c>
      <c r="L165" s="102">
        <f t="shared" si="64"/>
        <v>1</v>
      </c>
      <c r="M165" s="103">
        <f t="shared" si="65"/>
        <v>3.0434540080029752E-10</v>
      </c>
      <c r="N165" s="101">
        <f t="shared" si="66"/>
        <v>1</v>
      </c>
      <c r="O165" s="104">
        <f t="shared" si="67"/>
        <v>4.8695264128047601E-11</v>
      </c>
      <c r="P165" s="105">
        <f t="shared" ca="1" si="68"/>
        <v>1.1244328178541014</v>
      </c>
      <c r="Q165" s="106">
        <f t="shared" ca="1" si="69"/>
        <v>0.49120140437960946</v>
      </c>
      <c r="R165" s="107">
        <f t="shared" ca="1" si="70"/>
        <v>-19.469696355152173</v>
      </c>
      <c r="S165" s="108">
        <f t="shared" ca="1" si="71"/>
        <v>-186.75541581805584</v>
      </c>
      <c r="T165" s="116">
        <f t="shared" ca="1" si="72"/>
        <v>-6.7554158180558375</v>
      </c>
      <c r="V165" s="72">
        <f t="shared" ca="1" si="73"/>
        <v>9226.2999999999993</v>
      </c>
      <c r="W165" s="72">
        <f t="shared" si="74"/>
        <v>85124611.689999983</v>
      </c>
      <c r="Y165" s="110">
        <f t="shared" si="75"/>
        <v>26.623888935336957</v>
      </c>
      <c r="Z165" s="111">
        <f t="shared" si="76"/>
        <v>-83.973696663402748</v>
      </c>
      <c r="AA165" s="72">
        <f t="shared" si="77"/>
        <v>96.026303336597252</v>
      </c>
      <c r="AB165" s="110">
        <f t="shared" ca="1" si="78"/>
        <v>-30.175984943607631</v>
      </c>
      <c r="AC165" s="111">
        <f t="shared" ca="1" si="79"/>
        <v>-102.78171915465308</v>
      </c>
      <c r="AD165" s="72">
        <f t="shared" ca="1" si="80"/>
        <v>77.218280845346925</v>
      </c>
    </row>
    <row r="166" spans="1:30">
      <c r="A166" s="118">
        <v>9279.4</v>
      </c>
      <c r="B166" s="101">
        <f t="shared" ca="1" si="54"/>
        <v>475.85570212304867</v>
      </c>
      <c r="C166" s="102">
        <f t="shared" ca="1" si="55"/>
        <v>1.5686948478558518</v>
      </c>
      <c r="D166" s="102">
        <f t="shared" si="56"/>
        <v>1.0368665641262129</v>
      </c>
      <c r="E166" s="103">
        <f t="shared" si="57"/>
        <v>0.26746389918702212</v>
      </c>
      <c r="F166" s="101">
        <f t="shared" si="58"/>
        <v>3171.748075843188</v>
      </c>
      <c r="G166" s="104">
        <f t="shared" si="59"/>
        <v>1.5704810432374843</v>
      </c>
      <c r="H166" s="113">
        <f t="shared" si="60"/>
        <v>396.46975090744166</v>
      </c>
      <c r="I166" s="114">
        <f t="shared" si="61"/>
        <v>1.568274063600759</v>
      </c>
      <c r="J166" s="101">
        <f t="shared" si="62"/>
        <v>9.3821154573553791</v>
      </c>
      <c r="K166" s="104">
        <f t="shared" si="63"/>
        <v>1.4640077063396217</v>
      </c>
      <c r="L166" s="102">
        <f t="shared" si="64"/>
        <v>1</v>
      </c>
      <c r="M166" s="103">
        <f t="shared" si="65"/>
        <v>3.0609699578230504E-10</v>
      </c>
      <c r="N166" s="101">
        <f t="shared" si="66"/>
        <v>1</v>
      </c>
      <c r="O166" s="104">
        <f t="shared" si="67"/>
        <v>4.8975519325168802E-11</v>
      </c>
      <c r="P166" s="105">
        <f t="shared" ca="1" si="68"/>
        <v>1.1257893117541644</v>
      </c>
      <c r="Q166" s="106">
        <f t="shared" ca="1" si="69"/>
        <v>0.49363341365747326</v>
      </c>
      <c r="R166" s="107">
        <f t="shared" ca="1" si="70"/>
        <v>-19.57582895691791</v>
      </c>
      <c r="S166" s="108">
        <f t="shared" ca="1" si="71"/>
        <v>-186.84606632505171</v>
      </c>
      <c r="T166" s="116">
        <f t="shared" ca="1" si="72"/>
        <v>-6.8460663250517086</v>
      </c>
      <c r="V166" s="72">
        <f t="shared" ca="1" si="73"/>
        <v>9279.4</v>
      </c>
      <c r="W166" s="72">
        <f t="shared" si="74"/>
        <v>86107264.359999999</v>
      </c>
      <c r="Y166" s="110">
        <f t="shared" si="75"/>
        <v>26.574611648197276</v>
      </c>
      <c r="Z166" s="111">
        <f t="shared" si="76"/>
        <v>-84.007913447805052</v>
      </c>
      <c r="AA166" s="72">
        <f t="shared" si="77"/>
        <v>95.992086552194948</v>
      </c>
      <c r="AB166" s="110">
        <f t="shared" ca="1" si="78"/>
        <v>-30.232840258233683</v>
      </c>
      <c r="AC166" s="111">
        <f t="shared" ca="1" si="79"/>
        <v>-102.83815287724667</v>
      </c>
      <c r="AD166" s="72">
        <f t="shared" ca="1" si="80"/>
        <v>77.161847122753329</v>
      </c>
    </row>
    <row r="167" spans="1:30">
      <c r="A167" s="118">
        <v>9332.5</v>
      </c>
      <c r="B167" s="101">
        <f t="shared" ca="1" si="54"/>
        <v>478.57870431195533</v>
      </c>
      <c r="C167" s="102">
        <f t="shared" ca="1" si="55"/>
        <v>1.5687068048026431</v>
      </c>
      <c r="D167" s="102">
        <f t="shared" si="56"/>
        <v>1.0372820926140531</v>
      </c>
      <c r="E167" s="103">
        <f t="shared" si="57"/>
        <v>0.26892188282548857</v>
      </c>
      <c r="F167" s="101">
        <f t="shared" si="58"/>
        <v>3189.8979353312311</v>
      </c>
      <c r="G167" s="104">
        <f t="shared" si="59"/>
        <v>1.5704828371357751</v>
      </c>
      <c r="H167" s="113">
        <f t="shared" si="60"/>
        <v>398.7384762800059</v>
      </c>
      <c r="I167" s="114">
        <f t="shared" si="61"/>
        <v>1.5682884146977227</v>
      </c>
      <c r="J167" s="101">
        <f t="shared" si="62"/>
        <v>9.4351950256231429</v>
      </c>
      <c r="K167" s="104">
        <f t="shared" si="63"/>
        <v>1.4646107416508207</v>
      </c>
      <c r="L167" s="102">
        <f t="shared" si="64"/>
        <v>1</v>
      </c>
      <c r="M167" s="103">
        <f t="shared" si="65"/>
        <v>3.0784859076431251E-10</v>
      </c>
      <c r="N167" s="101">
        <f t="shared" si="66"/>
        <v>1</v>
      </c>
      <c r="O167" s="104">
        <f t="shared" si="67"/>
        <v>4.9255774522290004E-11</v>
      </c>
      <c r="P167" s="105">
        <f t="shared" ca="1" si="68"/>
        <v>1.1271519523259825</v>
      </c>
      <c r="Q167" s="106">
        <f t="shared" ca="1" si="69"/>
        <v>0.49605979301999881</v>
      </c>
      <c r="R167" s="107">
        <f t="shared" ca="1" si="70"/>
        <v>-19.681419989126812</v>
      </c>
      <c r="S167" s="108">
        <f t="shared" ca="1" si="71"/>
        <v>-186.93606829928694</v>
      </c>
      <c r="T167" s="116">
        <f t="shared" ca="1" si="72"/>
        <v>-6.9360682992869442</v>
      </c>
      <c r="V167" s="72">
        <f t="shared" ca="1" si="73"/>
        <v>9332.5</v>
      </c>
      <c r="W167" s="72">
        <f t="shared" si="74"/>
        <v>87095556.25</v>
      </c>
      <c r="Y167" s="110">
        <f t="shared" si="75"/>
        <v>26.525609172643961</v>
      </c>
      <c r="Z167" s="111">
        <f t="shared" si="76"/>
        <v>-84.041745351502016</v>
      </c>
      <c r="AA167" s="72">
        <f t="shared" si="77"/>
        <v>95.958254648497984</v>
      </c>
      <c r="AB167" s="110">
        <f t="shared" ca="1" si="78"/>
        <v>-30.289428814889273</v>
      </c>
      <c r="AC167" s="111">
        <f t="shared" ca="1" si="79"/>
        <v>-102.89432294778496</v>
      </c>
      <c r="AD167" s="72">
        <f t="shared" ca="1" si="80"/>
        <v>77.105677052215043</v>
      </c>
    </row>
    <row r="168" spans="1:30">
      <c r="A168" s="118">
        <v>9386.85</v>
      </c>
      <c r="B168" s="101">
        <f t="shared" ca="1" si="54"/>
        <v>481.36580737573126</v>
      </c>
      <c r="C168" s="102">
        <f t="shared" ca="1" si="55"/>
        <v>1.5687189031308986</v>
      </c>
      <c r="D168" s="102">
        <f t="shared" si="56"/>
        <v>1.0377096844302178</v>
      </c>
      <c r="E168" s="103">
        <f t="shared" si="57"/>
        <v>0.27041297566597117</v>
      </c>
      <c r="F168" s="101">
        <f t="shared" si="58"/>
        <v>3208.4750514090683</v>
      </c>
      <c r="G168" s="104">
        <f t="shared" si="59"/>
        <v>1.570484652245409</v>
      </c>
      <c r="H168" s="113">
        <f t="shared" si="60"/>
        <v>401.06060864277464</v>
      </c>
      <c r="I168" s="114">
        <f t="shared" si="61"/>
        <v>1.5683029354854097</v>
      </c>
      <c r="J168" s="101">
        <f t="shared" si="62"/>
        <v>9.4895276259292043</v>
      </c>
      <c r="K168" s="104">
        <f t="shared" si="63"/>
        <v>1.4652209862577059</v>
      </c>
      <c r="L168" s="102">
        <f t="shared" si="64"/>
        <v>1</v>
      </c>
      <c r="M168" s="103">
        <f t="shared" si="65"/>
        <v>3.0964141914985132E-10</v>
      </c>
      <c r="N168" s="101">
        <f t="shared" si="66"/>
        <v>1</v>
      </c>
      <c r="O168" s="104">
        <f t="shared" si="67"/>
        <v>4.9542627063976206E-11</v>
      </c>
      <c r="P168" s="105">
        <f t="shared" ca="1" si="68"/>
        <v>1.128553012458257</v>
      </c>
      <c r="Q168" s="106">
        <f t="shared" ca="1" si="69"/>
        <v>0.49853745513229863</v>
      </c>
      <c r="R168" s="107">
        <f t="shared" ca="1" si="70"/>
        <v>-19.788942075274893</v>
      </c>
      <c r="S168" s="108">
        <f t="shared" ca="1" si="71"/>
        <v>-187.0275241966427</v>
      </c>
      <c r="T168" s="116">
        <f t="shared" ca="1" si="72"/>
        <v>-7.0275241966427018</v>
      </c>
      <c r="V168" s="72">
        <f t="shared" ca="1" si="73"/>
        <v>9386.85</v>
      </c>
      <c r="W168" s="72">
        <f t="shared" si="74"/>
        <v>88112952.922499999</v>
      </c>
      <c r="Y168" s="110">
        <f t="shared" si="75"/>
        <v>26.475734602420935</v>
      </c>
      <c r="Z168" s="111">
        <f t="shared" si="76"/>
        <v>-84.075981810171712</v>
      </c>
      <c r="AA168" s="72">
        <f t="shared" si="77"/>
        <v>95.924018189828288</v>
      </c>
      <c r="AB168" s="110">
        <f t="shared" ca="1" si="78"/>
        <v>-30.347076330814325</v>
      </c>
      <c r="AC168" s="111">
        <f t="shared" ca="1" si="79"/>
        <v>-102.95154238647098</v>
      </c>
      <c r="AD168" s="72">
        <f t="shared" ca="1" si="80"/>
        <v>77.048457613529024</v>
      </c>
    </row>
    <row r="169" spans="1:30">
      <c r="A169" s="118">
        <v>9441.2000000000007</v>
      </c>
      <c r="B169" s="101">
        <f t="shared" ca="1" si="54"/>
        <v>484.15291050915329</v>
      </c>
      <c r="C169" s="102">
        <f t="shared" ca="1" si="55"/>
        <v>1.5687308621672591</v>
      </c>
      <c r="D169" s="102">
        <f t="shared" si="56"/>
        <v>1.0381395815427819</v>
      </c>
      <c r="E169" s="103">
        <f t="shared" si="57"/>
        <v>0.27190283688348937</v>
      </c>
      <c r="F169" s="101">
        <f t="shared" si="58"/>
        <v>3227.0521674973552</v>
      </c>
      <c r="G169" s="104">
        <f t="shared" si="59"/>
        <v>1.5704864464570216</v>
      </c>
      <c r="H169" s="113">
        <f t="shared" si="60"/>
        <v>403.38274108913487</v>
      </c>
      <c r="I169" s="114">
        <f t="shared" si="61"/>
        <v>1.5683172890909729</v>
      </c>
      <c r="J169" s="101">
        <f t="shared" si="62"/>
        <v>9.5438637198838023</v>
      </c>
      <c r="K169" s="104">
        <f t="shared" si="63"/>
        <v>1.465824282474018</v>
      </c>
      <c r="L169" s="102">
        <f t="shared" si="64"/>
        <v>1</v>
      </c>
      <c r="M169" s="103">
        <f t="shared" si="65"/>
        <v>3.1143424753539007E-10</v>
      </c>
      <c r="N169" s="101">
        <f t="shared" si="66"/>
        <v>1</v>
      </c>
      <c r="O169" s="104">
        <f t="shared" si="67"/>
        <v>4.9829479605662408E-11</v>
      </c>
      <c r="P169" s="105">
        <f t="shared" ca="1" si="68"/>
        <v>1.1299604651814104</v>
      </c>
      <c r="Q169" s="106">
        <f t="shared" ca="1" si="69"/>
        <v>0.50100920900194545</v>
      </c>
      <c r="R169" s="107">
        <f t="shared" ca="1" si="70"/>
        <v>-19.895909342437495</v>
      </c>
      <c r="S169" s="108">
        <f t="shared" ca="1" si="71"/>
        <v>-187.11831443059674</v>
      </c>
      <c r="T169" s="116">
        <f t="shared" ca="1" si="72"/>
        <v>-7.1183144305967403</v>
      </c>
      <c r="V169" s="72">
        <f t="shared" ca="1" si="73"/>
        <v>9441.2000000000007</v>
      </c>
      <c r="W169" s="72">
        <f t="shared" si="74"/>
        <v>89136257.440000013</v>
      </c>
      <c r="Y169" s="110">
        <f t="shared" si="75"/>
        <v>26.42614160107275</v>
      </c>
      <c r="Z169" s="111">
        <f t="shared" si="76"/>
        <v>-84.109828536848369</v>
      </c>
      <c r="AA169" s="72">
        <f t="shared" si="77"/>
        <v>95.890171463151631</v>
      </c>
      <c r="AB169" s="110">
        <f t="shared" ca="1" si="78"/>
        <v>-30.404450596628742</v>
      </c>
      <c r="AC169" s="111">
        <f t="shared" ca="1" si="79"/>
        <v>-103.00848589374841</v>
      </c>
      <c r="AD169" s="72">
        <f t="shared" ca="1" si="80"/>
        <v>76.991514106251586</v>
      </c>
    </row>
    <row r="170" spans="1:30">
      <c r="A170" s="118">
        <v>9495.5499999999993</v>
      </c>
      <c r="B170" s="101">
        <f t="shared" ca="1" si="54"/>
        <v>486.94001371102536</v>
      </c>
      <c r="C170" s="102">
        <f t="shared" ca="1" si="55"/>
        <v>1.5687426843035204</v>
      </c>
      <c r="D170" s="102">
        <f t="shared" si="56"/>
        <v>1.038571781089044</v>
      </c>
      <c r="E170" s="103">
        <f t="shared" si="57"/>
        <v>0.27339146139753617</v>
      </c>
      <c r="F170" s="101">
        <f t="shared" si="58"/>
        <v>3245.6292835959102</v>
      </c>
      <c r="G170" s="104">
        <f t="shared" si="59"/>
        <v>1.570488220129457</v>
      </c>
      <c r="H170" s="113">
        <f t="shared" si="60"/>
        <v>405.70487361765089</v>
      </c>
      <c r="I170" s="114">
        <f t="shared" si="61"/>
        <v>1.568331478385107</v>
      </c>
      <c r="J170" s="101">
        <f t="shared" si="62"/>
        <v>9.5982032481535775</v>
      </c>
      <c r="K170" s="104">
        <f t="shared" si="63"/>
        <v>1.4664207478702467</v>
      </c>
      <c r="L170" s="102">
        <f t="shared" si="64"/>
        <v>1</v>
      </c>
      <c r="M170" s="103">
        <f t="shared" si="65"/>
        <v>3.1322707592092878E-10</v>
      </c>
      <c r="N170" s="101">
        <f t="shared" si="66"/>
        <v>1</v>
      </c>
      <c r="O170" s="104">
        <f t="shared" si="67"/>
        <v>5.0116332147348597E-11</v>
      </c>
      <c r="P170" s="105">
        <f t="shared" ca="1" si="68"/>
        <v>1.1313742867982077</v>
      </c>
      <c r="Q170" s="106">
        <f t="shared" ca="1" si="69"/>
        <v>0.50347504993114278</v>
      </c>
      <c r="R170" s="107">
        <f t="shared" ca="1" si="70"/>
        <v>-20.002327973381114</v>
      </c>
      <c r="S170" s="108">
        <f t="shared" ca="1" si="71"/>
        <v>-187.20844575249123</v>
      </c>
      <c r="T170" s="116">
        <f t="shared" ca="1" si="72"/>
        <v>-7.2084457524912295</v>
      </c>
      <c r="V170" s="72">
        <f t="shared" ca="1" si="73"/>
        <v>9495.5499999999993</v>
      </c>
      <c r="W170" s="72">
        <f t="shared" si="74"/>
        <v>90165469.80249998</v>
      </c>
      <c r="Y170" s="110">
        <f t="shared" si="75"/>
        <v>26.376827043297059</v>
      </c>
      <c r="Z170" s="111">
        <f t="shared" si="76"/>
        <v>-84.143292123906477</v>
      </c>
      <c r="AA170" s="72">
        <f t="shared" si="77"/>
        <v>95.856707876093523</v>
      </c>
      <c r="AB170" s="110">
        <f t="shared" ca="1" si="78"/>
        <v>-30.461554669796669</v>
      </c>
      <c r="AC170" s="111">
        <f t="shared" ca="1" si="79"/>
        <v>-103.0651536285848</v>
      </c>
      <c r="AD170" s="72">
        <f t="shared" ca="1" si="80"/>
        <v>76.934846371415205</v>
      </c>
    </row>
    <row r="171" spans="1:30">
      <c r="A171" s="118">
        <v>9549.9</v>
      </c>
      <c r="B171" s="101">
        <f t="shared" ca="1" si="54"/>
        <v>489.72711698017906</v>
      </c>
      <c r="C171" s="102">
        <f t="shared" ca="1" si="55"/>
        <v>1.56875437187703</v>
      </c>
      <c r="D171" s="102">
        <f t="shared" si="56"/>
        <v>1.0390062801957469</v>
      </c>
      <c r="E171" s="103">
        <f t="shared" si="57"/>
        <v>0.27487884415795999</v>
      </c>
      <c r="F171" s="101">
        <f t="shared" si="58"/>
        <v>3264.2063997045602</v>
      </c>
      <c r="G171" s="104">
        <f t="shared" si="59"/>
        <v>1.5704899736133906</v>
      </c>
      <c r="H171" s="113">
        <f t="shared" si="60"/>
        <v>408.02700622692026</v>
      </c>
      <c r="I171" s="114">
        <f t="shared" si="61"/>
        <v>1.5683455061731568</v>
      </c>
      <c r="J171" s="101">
        <f t="shared" si="62"/>
        <v>9.652546152737548</v>
      </c>
      <c r="K171" s="104">
        <f t="shared" si="63"/>
        <v>1.4670104973889329</v>
      </c>
      <c r="L171" s="102">
        <f t="shared" si="64"/>
        <v>1</v>
      </c>
      <c r="M171" s="103">
        <f t="shared" si="65"/>
        <v>3.1501990430646753E-10</v>
      </c>
      <c r="N171" s="101">
        <f t="shared" si="66"/>
        <v>1</v>
      </c>
      <c r="O171" s="104">
        <f t="shared" si="67"/>
        <v>5.0403184689034798E-11</v>
      </c>
      <c r="P171" s="105">
        <f t="shared" ca="1" si="68"/>
        <v>1.1327944536229528</v>
      </c>
      <c r="Q171" s="106">
        <f t="shared" ca="1" si="69"/>
        <v>0.50593497351075079</v>
      </c>
      <c r="R171" s="107">
        <f t="shared" ca="1" si="70"/>
        <v>-20.108204043602271</v>
      </c>
      <c r="S171" s="108">
        <f t="shared" ca="1" si="71"/>
        <v>-187.29792477805381</v>
      </c>
      <c r="T171" s="116">
        <f t="shared" ca="1" si="72"/>
        <v>-7.2979247780538117</v>
      </c>
      <c r="V171" s="72">
        <f t="shared" ca="1" si="73"/>
        <v>9549.9</v>
      </c>
      <c r="W171" s="72">
        <f t="shared" si="74"/>
        <v>91200590.00999999</v>
      </c>
      <c r="Y171" s="110">
        <f t="shared" si="75"/>
        <v>26.327787854921109</v>
      </c>
      <c r="Z171" s="111">
        <f t="shared" si="76"/>
        <v>-84.176379016426253</v>
      </c>
      <c r="AA171" s="72">
        <f t="shared" si="77"/>
        <v>95.823620983573747</v>
      </c>
      <c r="AB171" s="110">
        <f t="shared" ca="1" si="78"/>
        <v>-30.518391551641876</v>
      </c>
      <c r="AC171" s="111">
        <f t="shared" ca="1" si="79"/>
        <v>-103.12154576162753</v>
      </c>
      <c r="AD171" s="72">
        <f t="shared" ca="1" si="80"/>
        <v>76.87845423837247</v>
      </c>
    </row>
    <row r="172" spans="1:30">
      <c r="A172" s="118">
        <v>9605.5249999999996</v>
      </c>
      <c r="B172" s="101">
        <f t="shared" ca="1" si="54"/>
        <v>492.57960314518976</v>
      </c>
      <c r="C172" s="102">
        <f t="shared" ca="1" si="55"/>
        <v>1.5687661966788302</v>
      </c>
      <c r="D172" s="102">
        <f t="shared" si="56"/>
        <v>1.0394533503458583</v>
      </c>
      <c r="E172" s="103">
        <f t="shared" si="57"/>
        <v>0.27639982849313705</v>
      </c>
      <c r="F172" s="101">
        <f t="shared" si="58"/>
        <v>3283.2193175353241</v>
      </c>
      <c r="G172" s="104">
        <f t="shared" si="59"/>
        <v>1.5704917476855693</v>
      </c>
      <c r="H172" s="113">
        <f t="shared" si="60"/>
        <v>410.40361397038765</v>
      </c>
      <c r="I172" s="114">
        <f t="shared" si="61"/>
        <v>1.5683596986671557</v>
      </c>
      <c r="J172" s="101">
        <f t="shared" si="62"/>
        <v>9.7081673277525908</v>
      </c>
      <c r="K172" s="104">
        <f t="shared" si="63"/>
        <v>1.4676072450978719</v>
      </c>
      <c r="L172" s="102">
        <f t="shared" si="64"/>
        <v>1</v>
      </c>
      <c r="M172" s="103">
        <f t="shared" si="65"/>
        <v>3.1685479076360815E-10</v>
      </c>
      <c r="N172" s="101">
        <f t="shared" si="66"/>
        <v>1</v>
      </c>
      <c r="O172" s="104">
        <f t="shared" si="67"/>
        <v>5.0696766522177301E-11</v>
      </c>
      <c r="P172" s="105">
        <f t="shared" ca="1" si="68"/>
        <v>1.1342544817576039</v>
      </c>
      <c r="Q172" s="106">
        <f t="shared" ca="1" si="69"/>
        <v>0.5084464730873669</v>
      </c>
      <c r="R172" s="107">
        <f t="shared" ca="1" si="70"/>
        <v>-20.216008295210209</v>
      </c>
      <c r="S172" s="108">
        <f t="shared" ca="1" si="71"/>
        <v>-187.3888342341817</v>
      </c>
      <c r="T172" s="116">
        <f t="shared" ca="1" si="72"/>
        <v>-7.3888342341817008</v>
      </c>
      <c r="V172" s="72">
        <f t="shared" ca="1" si="73"/>
        <v>9605.5249999999996</v>
      </c>
      <c r="W172" s="72">
        <f t="shared" si="74"/>
        <v>92266110.52562499</v>
      </c>
      <c r="Y172" s="110">
        <f t="shared" si="75"/>
        <v>26.277880232664415</v>
      </c>
      <c r="Z172" s="111">
        <f t="shared" si="76"/>
        <v>-84.209858618373985</v>
      </c>
      <c r="AA172" s="72">
        <f t="shared" si="77"/>
        <v>95.790141381626015</v>
      </c>
      <c r="AB172" s="110">
        <f t="shared" ca="1" si="78"/>
        <v>-30.576288180993121</v>
      </c>
      <c r="AC172" s="111">
        <f t="shared" ca="1" si="79"/>
        <v>-103.17897561580772</v>
      </c>
      <c r="AD172" s="72">
        <f t="shared" ca="1" si="80"/>
        <v>76.821024384192285</v>
      </c>
    </row>
    <row r="173" spans="1:30">
      <c r="A173" s="118">
        <v>9661.15</v>
      </c>
      <c r="B173" s="101">
        <f t="shared" ca="1" si="54"/>
        <v>495.4320893782828</v>
      </c>
      <c r="C173" s="102">
        <f t="shared" ca="1" si="55"/>
        <v>1.5687778853163221</v>
      </c>
      <c r="D173" s="102">
        <f t="shared" si="56"/>
        <v>1.0399028230895879</v>
      </c>
      <c r="E173" s="103">
        <f t="shared" si="57"/>
        <v>0.27791950152429867</v>
      </c>
      <c r="F173" s="101">
        <f t="shared" si="58"/>
        <v>3302.2322353763025</v>
      </c>
      <c r="G173" s="104">
        <f t="shared" si="59"/>
        <v>1.5704935013289676</v>
      </c>
      <c r="H173" s="113">
        <f t="shared" si="60"/>
        <v>412.7802217955695</v>
      </c>
      <c r="I173" s="114">
        <f t="shared" si="61"/>
        <v>1.5683737277328216</v>
      </c>
      <c r="J173" s="101">
        <f t="shared" si="62"/>
        <v>9.7637919205327162</v>
      </c>
      <c r="K173" s="104">
        <f t="shared" si="63"/>
        <v>1.468197193638481</v>
      </c>
      <c r="L173" s="102">
        <f t="shared" si="64"/>
        <v>1</v>
      </c>
      <c r="M173" s="103">
        <f t="shared" si="65"/>
        <v>3.1868967722074876E-10</v>
      </c>
      <c r="N173" s="101">
        <f t="shared" si="66"/>
        <v>1</v>
      </c>
      <c r="O173" s="104">
        <f t="shared" si="67"/>
        <v>5.0990348355319798E-11</v>
      </c>
      <c r="P173" s="105">
        <f t="shared" ca="1" si="68"/>
        <v>1.1357211061377483</v>
      </c>
      <c r="Q173" s="106">
        <f t="shared" ca="1" si="69"/>
        <v>0.51095176599709624</v>
      </c>
      <c r="R173" s="107">
        <f t="shared" ca="1" si="70"/>
        <v>-20.323256774819704</v>
      </c>
      <c r="S173" s="108">
        <f t="shared" ca="1" si="71"/>
        <v>-187.47907403465834</v>
      </c>
      <c r="T173" s="116">
        <f t="shared" ca="1" si="72"/>
        <v>-7.4790740346583391</v>
      </c>
      <c r="V173" s="72">
        <f t="shared" ca="1" si="73"/>
        <v>9661.15</v>
      </c>
      <c r="W173" s="72">
        <f t="shared" si="74"/>
        <v>93337819.32249999</v>
      </c>
      <c r="Y173" s="110">
        <f t="shared" si="75"/>
        <v>26.22825469477786</v>
      </c>
      <c r="Z173" s="111">
        <f t="shared" si="76"/>
        <v>-84.242956849942644</v>
      </c>
      <c r="AA173" s="72">
        <f t="shared" si="77"/>
        <v>95.757043150057356</v>
      </c>
      <c r="AB173" s="110">
        <f t="shared" ca="1" si="78"/>
        <v>-30.633911122716064</v>
      </c>
      <c r="AC173" s="111">
        <f t="shared" ca="1" si="79"/>
        <v>-103.23611718471568</v>
      </c>
      <c r="AD173" s="72">
        <f t="shared" ca="1" si="80"/>
        <v>76.763882815284319</v>
      </c>
    </row>
    <row r="174" spans="1:30">
      <c r="A174" s="118">
        <v>9716.7749999999996</v>
      </c>
      <c r="B174" s="101">
        <f t="shared" ca="1" si="54"/>
        <v>498.28457567828883</v>
      </c>
      <c r="C174" s="102">
        <f t="shared" ca="1" si="55"/>
        <v>1.5687894401279658</v>
      </c>
      <c r="D174" s="102">
        <f t="shared" si="56"/>
        <v>1.0403546953129013</v>
      </c>
      <c r="E174" s="103">
        <f t="shared" si="57"/>
        <v>0.27943785793652504</v>
      </c>
      <c r="F174" s="101">
        <f t="shared" si="58"/>
        <v>3321.2451532273194</v>
      </c>
      <c r="G174" s="104">
        <f t="shared" si="59"/>
        <v>1.5704952348944274</v>
      </c>
      <c r="H174" s="113">
        <f t="shared" si="60"/>
        <v>415.15682970106235</v>
      </c>
      <c r="I174" s="114">
        <f t="shared" si="61"/>
        <v>1.5683875961768361</v>
      </c>
      <c r="J174" s="101">
        <f t="shared" si="62"/>
        <v>9.8194198729955318</v>
      </c>
      <c r="K174" s="104">
        <f t="shared" si="63"/>
        <v>1.4687804581503958</v>
      </c>
      <c r="L174" s="102">
        <f t="shared" si="64"/>
        <v>1</v>
      </c>
      <c r="M174" s="103">
        <f t="shared" si="65"/>
        <v>3.2052456367788937E-10</v>
      </c>
      <c r="N174" s="101">
        <f t="shared" si="66"/>
        <v>1</v>
      </c>
      <c r="O174" s="104">
        <f t="shared" si="67"/>
        <v>5.1283930188462301E-11</v>
      </c>
      <c r="P174" s="105">
        <f t="shared" ca="1" si="68"/>
        <v>1.1371943014170738</v>
      </c>
      <c r="Q174" s="106">
        <f t="shared" ca="1" si="69"/>
        <v>0.5134508484359831</v>
      </c>
      <c r="R174" s="107">
        <f t="shared" ca="1" si="70"/>
        <v>-20.429955662126481</v>
      </c>
      <c r="S174" s="108">
        <f t="shared" ca="1" si="71"/>
        <v>-187.56865085634536</v>
      </c>
      <c r="T174" s="116">
        <f t="shared" ca="1" si="72"/>
        <v>-7.5686508563453572</v>
      </c>
      <c r="V174" s="72">
        <f t="shared" ca="1" si="73"/>
        <v>9716.7749999999996</v>
      </c>
      <c r="W174" s="72">
        <f t="shared" si="74"/>
        <v>94415716.40062499</v>
      </c>
      <c r="Y174" s="110">
        <f t="shared" si="75"/>
        <v>26.178908104921454</v>
      </c>
      <c r="Z174" s="111">
        <f t="shared" si="76"/>
        <v>-84.275680167438111</v>
      </c>
      <c r="AA174" s="72">
        <f t="shared" si="77"/>
        <v>95.724319832561889</v>
      </c>
      <c r="AB174" s="110">
        <f t="shared" ca="1" si="78"/>
        <v>-30.691263420166429</v>
      </c>
      <c r="AC174" s="111">
        <f t="shared" ca="1" si="79"/>
        <v>-103.29297068890718</v>
      </c>
      <c r="AD174" s="72">
        <f t="shared" ca="1" si="80"/>
        <v>76.707029311092825</v>
      </c>
    </row>
    <row r="175" spans="1:30">
      <c r="A175" s="118">
        <v>9772.4</v>
      </c>
      <c r="B175" s="101">
        <f t="shared" ca="1" si="54"/>
        <v>501.13706204406532</v>
      </c>
      <c r="C175" s="102">
        <f t="shared" ca="1" si="55"/>
        <v>1.5688008633989803</v>
      </c>
      <c r="D175" s="102">
        <f t="shared" si="56"/>
        <v>1.0408089638905609</v>
      </c>
      <c r="E175" s="103">
        <f t="shared" si="57"/>
        <v>0.28095489244838434</v>
      </c>
      <c r="F175" s="101">
        <f t="shared" si="58"/>
        <v>3340.2580710882039</v>
      </c>
      <c r="G175" s="104">
        <f t="shared" si="59"/>
        <v>1.5704969487248028</v>
      </c>
      <c r="H175" s="113">
        <f t="shared" si="60"/>
        <v>417.5334376854949</v>
      </c>
      <c r="I175" s="114">
        <f t="shared" si="61"/>
        <v>1.568401306741978</v>
      </c>
      <c r="J175" s="101">
        <f t="shared" si="62"/>
        <v>9.8750511283639355</v>
      </c>
      <c r="K175" s="104">
        <f t="shared" si="63"/>
        <v>1.469357151197116</v>
      </c>
      <c r="L175" s="102">
        <f t="shared" si="64"/>
        <v>1</v>
      </c>
      <c r="M175" s="103">
        <f t="shared" si="65"/>
        <v>3.2235945013503004E-10</v>
      </c>
      <c r="N175" s="101">
        <f t="shared" si="66"/>
        <v>1</v>
      </c>
      <c r="O175" s="104">
        <f t="shared" si="67"/>
        <v>5.1577512021604804E-11</v>
      </c>
      <c r="P175" s="105">
        <f t="shared" ca="1" si="68"/>
        <v>1.1386740422673993</v>
      </c>
      <c r="Q175" s="106">
        <f t="shared" ca="1" si="69"/>
        <v>0.51594371690565421</v>
      </c>
      <c r="R175" s="107">
        <f t="shared" ca="1" si="70"/>
        <v>-20.536111029401972</v>
      </c>
      <c r="S175" s="108">
        <f t="shared" ca="1" si="71"/>
        <v>-187.65757124424564</v>
      </c>
      <c r="T175" s="116">
        <f t="shared" ca="1" si="72"/>
        <v>-7.6575712442456449</v>
      </c>
      <c r="V175" s="72">
        <f t="shared" ca="1" si="73"/>
        <v>9772.4</v>
      </c>
      <c r="W175" s="72">
        <f t="shared" si="74"/>
        <v>95499801.75999999</v>
      </c>
      <c r="Y175" s="110">
        <f t="shared" si="75"/>
        <v>26.129837378182366</v>
      </c>
      <c r="Z175" s="111">
        <f t="shared" si="76"/>
        <v>-84.308034882768311</v>
      </c>
      <c r="AA175" s="72">
        <f t="shared" si="77"/>
        <v>95.691965117231689</v>
      </c>
      <c r="AB175" s="110">
        <f t="shared" ca="1" si="78"/>
        <v>-30.748348060702835</v>
      </c>
      <c r="AC175" s="111">
        <f t="shared" ca="1" si="79"/>
        <v>-103.34953636147733</v>
      </c>
      <c r="AD175" s="72">
        <f t="shared" ca="1" si="80"/>
        <v>76.650463638522666</v>
      </c>
    </row>
    <row r="176" spans="1:30">
      <c r="A176" s="118">
        <v>9829.2999999999993</v>
      </c>
      <c r="B176" s="101">
        <f t="shared" ca="1" si="54"/>
        <v>504.05493131027936</v>
      </c>
      <c r="C176" s="102">
        <f t="shared" ca="1" si="55"/>
        <v>1.5688124147371665</v>
      </c>
      <c r="D176" s="102">
        <f t="shared" si="56"/>
        <v>1.0412761210220223</v>
      </c>
      <c r="E176" s="103">
        <f t="shared" si="57"/>
        <v>0.28250532626846536</v>
      </c>
      <c r="F176" s="101">
        <f t="shared" si="58"/>
        <v>3359.7067906718898</v>
      </c>
      <c r="G176" s="104">
        <f t="shared" si="59"/>
        <v>1.5704986817689848</v>
      </c>
      <c r="H176" s="113">
        <f t="shared" si="60"/>
        <v>419.9645208096232</v>
      </c>
      <c r="I176" s="114">
        <f t="shared" si="61"/>
        <v>1.5684151710176024</v>
      </c>
      <c r="J176" s="101">
        <f t="shared" si="62"/>
        <v>9.9319608865849887</v>
      </c>
      <c r="K176" s="104">
        <f t="shared" si="63"/>
        <v>1.4699403784214011</v>
      </c>
      <c r="L176" s="102">
        <f t="shared" si="64"/>
        <v>1</v>
      </c>
      <c r="M176" s="103">
        <f t="shared" si="65"/>
        <v>3.2423639466377251E-10</v>
      </c>
      <c r="N176" s="101">
        <f t="shared" si="66"/>
        <v>1</v>
      </c>
      <c r="O176" s="104">
        <f t="shared" si="67"/>
        <v>5.1877823146203601E-11</v>
      </c>
      <c r="P176" s="105">
        <f t="shared" ca="1" si="68"/>
        <v>1.1401944467281517</v>
      </c>
      <c r="Q176" s="106">
        <f t="shared" ca="1" si="69"/>
        <v>0.5184872927015951</v>
      </c>
      <c r="R176" s="107">
        <f t="shared" ca="1" si="70"/>
        <v>-20.64414349125764</v>
      </c>
      <c r="S176" s="108">
        <f t="shared" ca="1" si="71"/>
        <v>-187.74785732094506</v>
      </c>
      <c r="T176" s="116">
        <f t="shared" ca="1" si="72"/>
        <v>-7.7478573209450587</v>
      </c>
      <c r="V176" s="72">
        <f t="shared" ca="1" si="73"/>
        <v>9829.2999999999993</v>
      </c>
      <c r="W176" s="72">
        <f t="shared" si="74"/>
        <v>96615138.48999998</v>
      </c>
      <c r="Y176" s="110">
        <f t="shared" si="75"/>
        <v>26.07992414112422</v>
      </c>
      <c r="Z176" s="111">
        <f t="shared" si="76"/>
        <v>-84.340756272802096</v>
      </c>
      <c r="AA176" s="72">
        <f t="shared" si="77"/>
        <v>95.659243727197904</v>
      </c>
      <c r="AB176" s="110">
        <f t="shared" ca="1" si="78"/>
        <v>-30.806467285500354</v>
      </c>
      <c r="AC176" s="111">
        <f t="shared" ca="1" si="79"/>
        <v>-103.40710104814298</v>
      </c>
      <c r="AD176" s="72">
        <f t="shared" ca="1" si="80"/>
        <v>76.592898951857023</v>
      </c>
    </row>
    <row r="177" spans="1:30">
      <c r="A177" s="118">
        <v>9886.2000000000007</v>
      </c>
      <c r="B177" s="101">
        <f t="shared" ca="1" si="54"/>
        <v>506.97280064297712</v>
      </c>
      <c r="C177" s="102">
        <f t="shared" ca="1" si="55"/>
        <v>1.5688238331084754</v>
      </c>
      <c r="D177" s="102">
        <f t="shared" si="56"/>
        <v>1.0417457789714701</v>
      </c>
      <c r="E177" s="103">
        <f t="shared" si="57"/>
        <v>0.28405436582232896</v>
      </c>
      <c r="F177" s="101">
        <f t="shared" si="58"/>
        <v>3379.1555102655511</v>
      </c>
      <c r="G177" s="104">
        <f t="shared" si="59"/>
        <v>1.5705003948641056</v>
      </c>
      <c r="H177" s="113">
        <f t="shared" si="60"/>
        <v>422.3956040135472</v>
      </c>
      <c r="I177" s="114">
        <f t="shared" si="61"/>
        <v>1.5684288757025173</v>
      </c>
      <c r="J177" s="101">
        <f t="shared" si="62"/>
        <v>9.9888739847059806</v>
      </c>
      <c r="K177" s="104">
        <f t="shared" si="63"/>
        <v>1.4705169597919028</v>
      </c>
      <c r="L177" s="102">
        <f t="shared" si="64"/>
        <v>1</v>
      </c>
      <c r="M177" s="103">
        <f t="shared" si="65"/>
        <v>3.2611333919251504E-10</v>
      </c>
      <c r="N177" s="101">
        <f t="shared" si="66"/>
        <v>1</v>
      </c>
      <c r="O177" s="104">
        <f t="shared" si="67"/>
        <v>5.2178134270802405E-11</v>
      </c>
      <c r="P177" s="105">
        <f t="shared" ca="1" si="68"/>
        <v>1.1417216467166436</v>
      </c>
      <c r="Q177" s="106">
        <f t="shared" ca="1" si="69"/>
        <v>0.52102435996006724</v>
      </c>
      <c r="R177" s="107">
        <f t="shared" ca="1" si="70"/>
        <v>-20.751619750627221</v>
      </c>
      <c r="S177" s="108">
        <f t="shared" ca="1" si="71"/>
        <v>-187.83746997454887</v>
      </c>
      <c r="T177" s="116">
        <f t="shared" ca="1" si="72"/>
        <v>-7.837469974548867</v>
      </c>
      <c r="V177" s="72">
        <f t="shared" ca="1" si="73"/>
        <v>9886.2000000000007</v>
      </c>
      <c r="W177" s="72">
        <f t="shared" si="74"/>
        <v>97736950.440000013</v>
      </c>
      <c r="Y177" s="110">
        <f t="shared" si="75"/>
        <v>26.030293188550566</v>
      </c>
      <c r="Z177" s="111">
        <f t="shared" si="76"/>
        <v>-84.373104884339512</v>
      </c>
      <c r="AA177" s="72">
        <f t="shared" si="77"/>
        <v>95.626895115660488</v>
      </c>
      <c r="AB177" s="110">
        <f t="shared" ca="1" si="78"/>
        <v>-30.864312592296287</v>
      </c>
      <c r="AC177" s="111">
        <f t="shared" ca="1" si="79"/>
        <v>-103.46436509020938</v>
      </c>
      <c r="AD177" s="72">
        <f t="shared" ca="1" si="80"/>
        <v>76.535634909790616</v>
      </c>
    </row>
    <row r="178" spans="1:30">
      <c r="A178" s="118">
        <v>9943.1</v>
      </c>
      <c r="B178" s="101">
        <f t="shared" ca="1" si="54"/>
        <v>509.89067004101696</v>
      </c>
      <c r="C178" s="102">
        <f t="shared" ca="1" si="55"/>
        <v>1.5688351207956288</v>
      </c>
      <c r="D178" s="102">
        <f t="shared" si="56"/>
        <v>1.0422179343580502</v>
      </c>
      <c r="E178" s="103">
        <f t="shared" si="57"/>
        <v>0.28560200556601162</v>
      </c>
      <c r="F178" s="101">
        <f t="shared" si="58"/>
        <v>3398.6042298690145</v>
      </c>
      <c r="G178" s="104">
        <f t="shared" si="59"/>
        <v>1.5705020883526442</v>
      </c>
      <c r="H178" s="113">
        <f t="shared" si="60"/>
        <v>424.8266872958967</v>
      </c>
      <c r="I178" s="114">
        <f t="shared" si="61"/>
        <v>1.5684424235365053</v>
      </c>
      <c r="J178" s="101">
        <f t="shared" si="62"/>
        <v>10.045790365961624</v>
      </c>
      <c r="K178" s="104">
        <f t="shared" si="63"/>
        <v>1.471087007882097</v>
      </c>
      <c r="L178" s="102">
        <f t="shared" si="64"/>
        <v>1</v>
      </c>
      <c r="M178" s="103">
        <f t="shared" si="65"/>
        <v>3.2799028372125756E-10</v>
      </c>
      <c r="N178" s="101">
        <f t="shared" si="66"/>
        <v>1</v>
      </c>
      <c r="O178" s="104">
        <f t="shared" si="67"/>
        <v>5.2478445395401202E-11</v>
      </c>
      <c r="P178" s="105">
        <f t="shared" ca="1" si="68"/>
        <v>1.1432556151903923</v>
      </c>
      <c r="Q178" s="106">
        <f t="shared" ca="1" si="69"/>
        <v>0.52355491591041914</v>
      </c>
      <c r="R178" s="107">
        <f t="shared" ca="1" si="70"/>
        <v>-20.858545973673934</v>
      </c>
      <c r="S178" s="108">
        <f t="shared" ca="1" si="71"/>
        <v>-187.92641580737615</v>
      </c>
      <c r="T178" s="116">
        <f t="shared" ca="1" si="72"/>
        <v>-7.926415807376145</v>
      </c>
      <c r="V178" s="72">
        <f t="shared" ca="1" si="73"/>
        <v>9943.1</v>
      </c>
      <c r="W178" s="72">
        <f t="shared" si="74"/>
        <v>98865237.610000014</v>
      </c>
      <c r="Y178" s="110">
        <f t="shared" si="75"/>
        <v>25.98094137843081</v>
      </c>
      <c r="Z178" s="111">
        <f t="shared" si="76"/>
        <v>-84.405087030010179</v>
      </c>
      <c r="AA178" s="72">
        <f t="shared" si="77"/>
        <v>95.594912969989821</v>
      </c>
      <c r="AB178" s="110">
        <f t="shared" ca="1" si="78"/>
        <v>-30.92188700522324</v>
      </c>
      <c r="AC178" s="111">
        <f t="shared" ca="1" si="79"/>
        <v>-103.52132877736599</v>
      </c>
      <c r="AD178" s="72">
        <f t="shared" ca="1" si="80"/>
        <v>76.478671222634006</v>
      </c>
    </row>
    <row r="179" spans="1:30">
      <c r="A179" s="118">
        <v>10000</v>
      </c>
      <c r="B179" s="101">
        <f t="shared" ca="1" si="54"/>
        <v>512.80853950328355</v>
      </c>
      <c r="C179" s="102">
        <f t="shared" ca="1" si="55"/>
        <v>1.5688462800293936</v>
      </c>
      <c r="D179" s="102">
        <f t="shared" si="56"/>
        <v>1.0426925837890699</v>
      </c>
      <c r="E179" s="103">
        <f t="shared" si="57"/>
        <v>0.28714823999238759</v>
      </c>
      <c r="F179" s="101">
        <f t="shared" si="58"/>
        <v>3418.0529494821139</v>
      </c>
      <c r="G179" s="104">
        <f t="shared" si="59"/>
        <v>1.5705037625692848</v>
      </c>
      <c r="H179" s="113">
        <f t="shared" si="60"/>
        <v>427.25777065533322</v>
      </c>
      <c r="I179" s="114">
        <f t="shared" si="61"/>
        <v>1.568455817196992</v>
      </c>
      <c r="J179" s="101">
        <f t="shared" si="62"/>
        <v>10.102709974862606</v>
      </c>
      <c r="K179" s="104">
        <f t="shared" si="63"/>
        <v>1.4716506327456662</v>
      </c>
      <c r="L179" s="102">
        <f t="shared" si="64"/>
        <v>1</v>
      </c>
      <c r="M179" s="103">
        <f t="shared" si="65"/>
        <v>3.2986722825000003E-10</v>
      </c>
      <c r="N179" s="101">
        <f t="shared" si="66"/>
        <v>1</v>
      </c>
      <c r="O179" s="104">
        <f t="shared" si="67"/>
        <v>5.277875652E-11</v>
      </c>
      <c r="P179" s="105">
        <f t="shared" ca="1" si="68"/>
        <v>1.1447963251325823</v>
      </c>
      <c r="Q179" s="106">
        <f t="shared" ca="1" si="69"/>
        <v>0.52607895810395433</v>
      </c>
      <c r="R179" s="107">
        <f t="shared" ca="1" si="70"/>
        <v>-20.964928219236786</v>
      </c>
      <c r="S179" s="108">
        <f t="shared" ca="1" si="71"/>
        <v>-188.01470129385794</v>
      </c>
      <c r="T179" s="116">
        <f t="shared" ca="1" si="72"/>
        <v>-8.0147012938579394</v>
      </c>
      <c r="V179" s="72">
        <f t="shared" ca="1" si="73"/>
        <v>10000</v>
      </c>
      <c r="W179" s="72">
        <f t="shared" si="74"/>
        <v>100000000</v>
      </c>
      <c r="Y179" s="110">
        <f t="shared" si="75"/>
        <v>25.931865620340339</v>
      </c>
      <c r="Z179" s="111">
        <f t="shared" si="76"/>
        <v>-84.436708881196495</v>
      </c>
      <c r="AA179" s="72">
        <f t="shared" si="77"/>
        <v>95.563291118803505</v>
      </c>
      <c r="AB179" s="110">
        <f t="shared" ca="1" si="78"/>
        <v>-30.979193492695615</v>
      </c>
      <c r="AC179" s="111">
        <f t="shared" ca="1" si="79"/>
        <v>-103.57799241266142</v>
      </c>
      <c r="AD179" s="72">
        <f t="shared" ca="1" si="80"/>
        <v>76.422007587338584</v>
      </c>
    </row>
    <row r="180" spans="1:30">
      <c r="A180" s="118">
        <v>10058.25</v>
      </c>
      <c r="B180" s="101">
        <f t="shared" ca="1" si="54"/>
        <v>515.79563791976648</v>
      </c>
      <c r="C180" s="102">
        <f t="shared" ca="1" si="55"/>
        <v>1.5688575732403023</v>
      </c>
      <c r="D180" s="102">
        <f t="shared" si="56"/>
        <v>1.0431810746259125</v>
      </c>
      <c r="E180" s="103">
        <f t="shared" si="57"/>
        <v>0.28872969868393478</v>
      </c>
      <c r="F180" s="101">
        <f t="shared" si="58"/>
        <v>3437.9631062135959</v>
      </c>
      <c r="G180" s="104">
        <f t="shared" si="59"/>
        <v>1.5705054568864052</v>
      </c>
      <c r="H180" s="113">
        <f t="shared" si="60"/>
        <v>429.74653357542184</v>
      </c>
      <c r="I180" s="114">
        <f t="shared" si="61"/>
        <v>1.5684693716612879</v>
      </c>
      <c r="J180" s="101">
        <f t="shared" si="62"/>
        <v>10.160983335791052</v>
      </c>
      <c r="K180" s="104">
        <f t="shared" si="63"/>
        <v>1.4722210887807481</v>
      </c>
      <c r="L180" s="102">
        <f t="shared" si="64"/>
        <v>1</v>
      </c>
      <c r="M180" s="103">
        <f t="shared" si="65"/>
        <v>3.3178870485455628E-10</v>
      </c>
      <c r="N180" s="101">
        <f t="shared" si="66"/>
        <v>1</v>
      </c>
      <c r="O180" s="104">
        <f t="shared" si="67"/>
        <v>5.3086192776729006E-11</v>
      </c>
      <c r="P180" s="105">
        <f t="shared" ca="1" si="68"/>
        <v>1.1463805448118716</v>
      </c>
      <c r="Q180" s="106">
        <f t="shared" ca="1" si="69"/>
        <v>0.52865613567710956</v>
      </c>
      <c r="R180" s="107">
        <f t="shared" ca="1" si="70"/>
        <v>-21.073277197962224</v>
      </c>
      <c r="S180" s="108">
        <f t="shared" ca="1" si="71"/>
        <v>-188.10440402351819</v>
      </c>
      <c r="T180" s="116">
        <f t="shared" ca="1" si="72"/>
        <v>-8.1044040235181853</v>
      </c>
      <c r="V180" s="72">
        <f t="shared" ca="1" si="73"/>
        <v>10058.25</v>
      </c>
      <c r="W180" s="72">
        <f t="shared" si="74"/>
        <v>101168393.0625</v>
      </c>
      <c r="Y180" s="110">
        <f t="shared" si="75"/>
        <v>25.881908279424941</v>
      </c>
      <c r="Z180" s="111">
        <f t="shared" si="76"/>
        <v>-84.468714067970993</v>
      </c>
      <c r="AA180" s="72">
        <f t="shared" si="77"/>
        <v>95.531285932029007</v>
      </c>
      <c r="AB180" s="110">
        <f t="shared" ca="1" si="78"/>
        <v>-31.037585130505661</v>
      </c>
      <c r="AC180" s="111">
        <f t="shared" ca="1" si="79"/>
        <v>-103.63568995554719</v>
      </c>
      <c r="AD180" s="72">
        <f t="shared" ca="1" si="80"/>
        <v>76.364310044452807</v>
      </c>
    </row>
    <row r="181" spans="1:30">
      <c r="A181" s="118">
        <v>10116.5</v>
      </c>
      <c r="B181" s="101">
        <f t="shared" ca="1" si="54"/>
        <v>518.78273640127452</v>
      </c>
      <c r="C181" s="102">
        <f t="shared" ca="1" si="55"/>
        <v>1.568868736400882</v>
      </c>
      <c r="D181" s="102">
        <f t="shared" si="56"/>
        <v>1.0436721720246189</v>
      </c>
      <c r="E181" s="103">
        <f t="shared" si="57"/>
        <v>0.29030967302085375</v>
      </c>
      <c r="F181" s="101">
        <f t="shared" si="58"/>
        <v>3457.8732629548331</v>
      </c>
      <c r="G181" s="104">
        <f t="shared" si="59"/>
        <v>1.5705071316920418</v>
      </c>
      <c r="H181" s="113">
        <f t="shared" si="60"/>
        <v>432.23529657355579</v>
      </c>
      <c r="I181" s="114">
        <f t="shared" si="61"/>
        <v>1.5684827700353754</v>
      </c>
      <c r="J181" s="101">
        <f t="shared" si="62"/>
        <v>10.219259965596605</v>
      </c>
      <c r="K181" s="104">
        <f t="shared" si="63"/>
        <v>1.4727850388014105</v>
      </c>
      <c r="L181" s="102">
        <f t="shared" si="64"/>
        <v>1</v>
      </c>
      <c r="M181" s="103">
        <f t="shared" si="65"/>
        <v>3.3371018145911254E-10</v>
      </c>
      <c r="N181" s="101">
        <f t="shared" si="66"/>
        <v>1</v>
      </c>
      <c r="O181" s="104">
        <f t="shared" si="67"/>
        <v>5.3393629033458005E-11</v>
      </c>
      <c r="P181" s="105">
        <f t="shared" ca="1" si="68"/>
        <v>1.1479717724371143</v>
      </c>
      <c r="Q181" s="106">
        <f t="shared" ca="1" si="69"/>
        <v>0.53122648256453531</v>
      </c>
      <c r="R181" s="107">
        <f t="shared" ca="1" si="70"/>
        <v>-21.181068596315189</v>
      </c>
      <c r="S181" s="108">
        <f t="shared" ca="1" si="71"/>
        <v>-188.1934280378515</v>
      </c>
      <c r="T181" s="116">
        <f t="shared" ca="1" si="72"/>
        <v>-8.1934280378515041</v>
      </c>
      <c r="V181" s="72">
        <f t="shared" ca="1" si="73"/>
        <v>10116.5</v>
      </c>
      <c r="W181" s="72">
        <f t="shared" si="74"/>
        <v>102343572.25</v>
      </c>
      <c r="Y181" s="110">
        <f t="shared" si="75"/>
        <v>25.832233851529963</v>
      </c>
      <c r="Z181" s="111">
        <f t="shared" si="76"/>
        <v>-84.500354312961889</v>
      </c>
      <c r="AA181" s="72">
        <f t="shared" si="77"/>
        <v>95.499645687038111</v>
      </c>
      <c r="AB181" s="110">
        <f t="shared" ca="1" si="78"/>
        <v>-31.095702100963649</v>
      </c>
      <c r="AC181" s="111">
        <f t="shared" ca="1" si="79"/>
        <v>-103.69307372488963</v>
      </c>
      <c r="AD181" s="72">
        <f t="shared" ca="1" si="80"/>
        <v>76.306926275110371</v>
      </c>
    </row>
    <row r="182" spans="1:30">
      <c r="A182" s="118">
        <v>10174.75</v>
      </c>
      <c r="B182" s="101">
        <f t="shared" ca="1" si="54"/>
        <v>521.76983494669116</v>
      </c>
      <c r="C182" s="102">
        <f t="shared" ca="1" si="55"/>
        <v>1.5688797717447189</v>
      </c>
      <c r="D182" s="102">
        <f t="shared" si="56"/>
        <v>1.0441658723073957</v>
      </c>
      <c r="E182" s="103">
        <f t="shared" si="57"/>
        <v>0.29188815721487693</v>
      </c>
      <c r="F182" s="101">
        <f t="shared" si="58"/>
        <v>3477.7834197056582</v>
      </c>
      <c r="G182" s="104">
        <f t="shared" si="59"/>
        <v>1.5705087873213015</v>
      </c>
      <c r="H182" s="113">
        <f t="shared" si="60"/>
        <v>434.72405964839464</v>
      </c>
      <c r="I182" s="114">
        <f t="shared" si="61"/>
        <v>1.5684960150000651</v>
      </c>
      <c r="J182" s="101">
        <f t="shared" si="62"/>
        <v>10.277539808672817</v>
      </c>
      <c r="K182" s="104">
        <f t="shared" si="63"/>
        <v>1.4733425931249153</v>
      </c>
      <c r="L182" s="102">
        <f t="shared" si="64"/>
        <v>1</v>
      </c>
      <c r="M182" s="103">
        <f t="shared" si="65"/>
        <v>3.3563165806366879E-10</v>
      </c>
      <c r="N182" s="101">
        <f t="shared" si="66"/>
        <v>1</v>
      </c>
      <c r="O182" s="104">
        <f t="shared" si="67"/>
        <v>5.3701065290187005E-11</v>
      </c>
      <c r="P182" s="105">
        <f t="shared" ca="1" si="68"/>
        <v>1.1495699791153644</v>
      </c>
      <c r="Q182" s="106">
        <f t="shared" ca="1" si="69"/>
        <v>0.53378999716648001</v>
      </c>
      <c r="R182" s="107">
        <f t="shared" ca="1" si="70"/>
        <v>-21.288308580832364</v>
      </c>
      <c r="S182" s="108">
        <f t="shared" ca="1" si="71"/>
        <v>-188.28177989113189</v>
      </c>
      <c r="T182" s="116">
        <f t="shared" ca="1" si="72"/>
        <v>-8.2817798911318903</v>
      </c>
      <c r="V182" s="72">
        <f t="shared" ca="1" si="73"/>
        <v>10174.75</v>
      </c>
      <c r="W182" s="72">
        <f t="shared" si="74"/>
        <v>103525537.5625</v>
      </c>
      <c r="Y182" s="110">
        <f t="shared" si="75"/>
        <v>25.782839181895049</v>
      </c>
      <c r="Z182" s="111">
        <f t="shared" si="76"/>
        <v>-84.531635802483734</v>
      </c>
      <c r="AA182" s="72">
        <f t="shared" si="77"/>
        <v>95.468364197516266</v>
      </c>
      <c r="AB182" s="110">
        <f t="shared" ca="1" si="78"/>
        <v>-31.153547415845907</v>
      </c>
      <c r="AC182" s="111">
        <f t="shared" ca="1" si="79"/>
        <v>-103.75014408864813</v>
      </c>
      <c r="AD182" s="72">
        <f t="shared" ca="1" si="80"/>
        <v>76.249855911351872</v>
      </c>
    </row>
    <row r="183" spans="1:30">
      <c r="A183" s="118">
        <v>10233</v>
      </c>
      <c r="B183" s="101">
        <f t="shared" ca="1" si="54"/>
        <v>524.7569335549249</v>
      </c>
      <c r="C183" s="102">
        <f t="shared" ca="1" si="55"/>
        <v>1.5688906814545422</v>
      </c>
      <c r="D183" s="102">
        <f t="shared" si="56"/>
        <v>1.0446621717839262</v>
      </c>
      <c r="E183" s="103">
        <f t="shared" si="57"/>
        <v>0.29346514551835245</v>
      </c>
      <c r="F183" s="101">
        <f t="shared" si="58"/>
        <v>3497.6935764659079</v>
      </c>
      <c r="G183" s="104">
        <f t="shared" si="59"/>
        <v>1.5705104241016614</v>
      </c>
      <c r="H183" s="113">
        <f t="shared" si="60"/>
        <v>437.21282279862845</v>
      </c>
      <c r="I183" s="114">
        <f t="shared" si="61"/>
        <v>1.5685091091751262</v>
      </c>
      <c r="J183" s="101">
        <f t="shared" si="62"/>
        <v>10.335822810664396</v>
      </c>
      <c r="K183" s="104">
        <f t="shared" si="63"/>
        <v>1.4738938595963509</v>
      </c>
      <c r="L183" s="102">
        <f t="shared" si="64"/>
        <v>1</v>
      </c>
      <c r="M183" s="103">
        <f t="shared" si="65"/>
        <v>3.3755313466822504E-10</v>
      </c>
      <c r="N183" s="101">
        <f t="shared" si="66"/>
        <v>1</v>
      </c>
      <c r="O183" s="104">
        <f t="shared" si="67"/>
        <v>5.4008501546916005E-11</v>
      </c>
      <c r="P183" s="105">
        <f t="shared" ca="1" si="68"/>
        <v>1.1511751359880431</v>
      </c>
      <c r="Q183" s="106">
        <f t="shared" ca="1" si="69"/>
        <v>0.53634667822249882</v>
      </c>
      <c r="R183" s="107">
        <f t="shared" ca="1" si="70"/>
        <v>-21.395003210519363</v>
      </c>
      <c r="S183" s="108">
        <f t="shared" ca="1" si="71"/>
        <v>-188.3694660132482</v>
      </c>
      <c r="T183" s="116">
        <f t="shared" ca="1" si="72"/>
        <v>-8.3694660132481999</v>
      </c>
      <c r="V183" s="72">
        <f t="shared" ca="1" si="73"/>
        <v>10233</v>
      </c>
      <c r="W183" s="72">
        <f t="shared" si="74"/>
        <v>104714289</v>
      </c>
      <c r="Y183" s="110">
        <f t="shared" si="75"/>
        <v>25.733721167696231</v>
      </c>
      <c r="Z183" s="111">
        <f t="shared" si="76"/>
        <v>-84.562564584266326</v>
      </c>
      <c r="AA183" s="72">
        <f t="shared" si="77"/>
        <v>95.437435415733674</v>
      </c>
      <c r="AB183" s="110">
        <f t="shared" ca="1" si="78"/>
        <v>-31.211124031334091</v>
      </c>
      <c r="AC183" s="111">
        <f t="shared" ca="1" si="79"/>
        <v>-103.80690142898186</v>
      </c>
      <c r="AD183" s="72">
        <f t="shared" ca="1" si="80"/>
        <v>76.19309857101814</v>
      </c>
    </row>
    <row r="184" spans="1:30">
      <c r="A184" s="118">
        <v>10292.5</v>
      </c>
      <c r="B184" s="101">
        <f t="shared" ca="1" si="54"/>
        <v>527.80813305540607</v>
      </c>
      <c r="C184" s="102">
        <f t="shared" ca="1" si="55"/>
        <v>1.5689016977893122</v>
      </c>
      <c r="D184" s="102">
        <f t="shared" si="56"/>
        <v>1.0451718010708981</v>
      </c>
      <c r="E184" s="103">
        <f t="shared" si="57"/>
        <v>0.29507442445265053</v>
      </c>
      <c r="F184" s="101">
        <f t="shared" si="58"/>
        <v>3518.0309898185592</v>
      </c>
      <c r="G184" s="104">
        <f t="shared" si="59"/>
        <v>1.5705120768788612</v>
      </c>
      <c r="H184" s="113">
        <f t="shared" si="60"/>
        <v>439.75499295992495</v>
      </c>
      <c r="I184" s="114">
        <f t="shared" si="61"/>
        <v>1.5685223313250278</v>
      </c>
      <c r="J184" s="101">
        <f t="shared" si="62"/>
        <v>10.395359726930165</v>
      </c>
      <c r="K184" s="104">
        <f t="shared" si="63"/>
        <v>1.4744505737473321</v>
      </c>
      <c r="L184" s="102">
        <f t="shared" si="64"/>
        <v>1</v>
      </c>
      <c r="M184" s="103">
        <f t="shared" si="65"/>
        <v>3.3951584467631252E-10</v>
      </c>
      <c r="N184" s="101">
        <f t="shared" si="66"/>
        <v>1</v>
      </c>
      <c r="O184" s="104">
        <f t="shared" si="67"/>
        <v>5.4322535148210005E-11</v>
      </c>
      <c r="P184" s="105">
        <f t="shared" ca="1" si="68"/>
        <v>1.1528218838308251</v>
      </c>
      <c r="Q184" s="106">
        <f t="shared" ca="1" si="69"/>
        <v>0.5389511676358707</v>
      </c>
      <c r="R184" s="107">
        <f t="shared" ca="1" si="70"/>
        <v>-21.503430580125528</v>
      </c>
      <c r="S184" s="108">
        <f t="shared" ca="1" si="71"/>
        <v>-188.45835305794049</v>
      </c>
      <c r="T184" s="116">
        <f t="shared" ca="1" si="72"/>
        <v>-8.4583530579404851</v>
      </c>
      <c r="V184" s="72">
        <f t="shared" ca="1" si="73"/>
        <v>10292.5</v>
      </c>
      <c r="W184" s="72">
        <f t="shared" si="74"/>
        <v>105935556.25</v>
      </c>
      <c r="Y184" s="110">
        <f t="shared" si="75"/>
        <v>25.683831569998823</v>
      </c>
      <c r="Z184" s="111">
        <f t="shared" si="76"/>
        <v>-84.593799079226557</v>
      </c>
      <c r="AA184" s="72">
        <f t="shared" si="77"/>
        <v>95.406200920773443</v>
      </c>
      <c r="AB184" s="110">
        <f t="shared" ca="1" si="78"/>
        <v>-31.269661803242847</v>
      </c>
      <c r="AC184" s="111">
        <f t="shared" ca="1" si="79"/>
        <v>-103.86455397871389</v>
      </c>
      <c r="AD184" s="72">
        <f t="shared" ca="1" si="80"/>
        <v>76.135446021286114</v>
      </c>
    </row>
    <row r="185" spans="1:30">
      <c r="A185" s="118">
        <v>10352</v>
      </c>
      <c r="B185" s="101">
        <f t="shared" ca="1" si="54"/>
        <v>530.85933261920559</v>
      </c>
      <c r="C185" s="102">
        <f t="shared" ca="1" si="55"/>
        <v>1.5689125874877647</v>
      </c>
      <c r="D185" s="102">
        <f t="shared" si="56"/>
        <v>1.0456841344790786</v>
      </c>
      <c r="E185" s="103">
        <f t="shared" si="57"/>
        <v>0.29668213061329696</v>
      </c>
      <c r="F185" s="101">
        <f t="shared" si="58"/>
        <v>3538.3684031807102</v>
      </c>
      <c r="G185" s="104">
        <f t="shared" si="59"/>
        <v>1.5705137106567881</v>
      </c>
      <c r="H185" s="113">
        <f t="shared" si="60"/>
        <v>442.29716319721791</v>
      </c>
      <c r="I185" s="114">
        <f t="shared" si="61"/>
        <v>1.5685354014822952</v>
      </c>
      <c r="J185" s="101">
        <f t="shared" si="62"/>
        <v>10.454899828341448</v>
      </c>
      <c r="K185" s="104">
        <f t="shared" si="63"/>
        <v>1.4750009471520011</v>
      </c>
      <c r="L185" s="102">
        <f t="shared" si="64"/>
        <v>1</v>
      </c>
      <c r="M185" s="103">
        <f t="shared" si="65"/>
        <v>3.4147855468440001E-10</v>
      </c>
      <c r="N185" s="101">
        <f t="shared" si="66"/>
        <v>1</v>
      </c>
      <c r="O185" s="104">
        <f t="shared" si="67"/>
        <v>5.4636568749504005E-11</v>
      </c>
      <c r="P185" s="105">
        <f t="shared" ca="1" si="68"/>
        <v>1.1544758226092413</v>
      </c>
      <c r="Q185" s="106">
        <f t="shared" ca="1" si="69"/>
        <v>0.54154852547966148</v>
      </c>
      <c r="R185" s="107">
        <f t="shared" ca="1" si="70"/>
        <v>-21.611301384657281</v>
      </c>
      <c r="S185" s="108">
        <f t="shared" ca="1" si="71"/>
        <v>-188.54655867331508</v>
      </c>
      <c r="T185" s="116">
        <f t="shared" ca="1" si="72"/>
        <v>-8.5465586733150758</v>
      </c>
      <c r="V185" s="72">
        <f t="shared" ca="1" si="73"/>
        <v>10352</v>
      </c>
      <c r="W185" s="72">
        <f t="shared" si="74"/>
        <v>107163904</v>
      </c>
      <c r="Y185" s="110">
        <f t="shared" si="75"/>
        <v>25.634224245359277</v>
      </c>
      <c r="Z185" s="111">
        <f t="shared" si="76"/>
        <v>-84.624677896142074</v>
      </c>
      <c r="AA185" s="72">
        <f t="shared" si="77"/>
        <v>95.375322103857926</v>
      </c>
      <c r="AB185" s="110">
        <f t="shared" ca="1" si="78"/>
        <v>-31.327925283135059</v>
      </c>
      <c r="AC185" s="111">
        <f t="shared" ca="1" si="79"/>
        <v>-103.92188077717309</v>
      </c>
      <c r="AD185" s="72">
        <f t="shared" ca="1" si="80"/>
        <v>76.078119222826913</v>
      </c>
    </row>
    <row r="186" spans="1:30">
      <c r="A186" s="118">
        <v>10411.5</v>
      </c>
      <c r="B186" s="101">
        <f t="shared" ca="1" si="54"/>
        <v>533.91053224523773</v>
      </c>
      <c r="C186" s="102">
        <f t="shared" ca="1" si="55"/>
        <v>1.5689233527210065</v>
      </c>
      <c r="D186" s="102">
        <f t="shared" si="56"/>
        <v>1.0461991680357678</v>
      </c>
      <c r="E186" s="103">
        <f t="shared" si="57"/>
        <v>0.29828825800608533</v>
      </c>
      <c r="F186" s="101">
        <f t="shared" si="58"/>
        <v>3558.705816552198</v>
      </c>
      <c r="G186" s="104">
        <f t="shared" si="59"/>
        <v>1.5705153257611755</v>
      </c>
      <c r="H186" s="113">
        <f t="shared" si="60"/>
        <v>444.83933350920444</v>
      </c>
      <c r="I186" s="114">
        <f t="shared" si="61"/>
        <v>1.5685483222527492</v>
      </c>
      <c r="J186" s="101">
        <f t="shared" si="62"/>
        <v>10.514443060788711</v>
      </c>
      <c r="K186" s="104">
        <f t="shared" si="63"/>
        <v>1.4755450871968983</v>
      </c>
      <c r="L186" s="102">
        <f t="shared" si="64"/>
        <v>1</v>
      </c>
      <c r="M186" s="103">
        <f t="shared" si="65"/>
        <v>3.4344126469248755E-10</v>
      </c>
      <c r="N186" s="101">
        <f t="shared" si="66"/>
        <v>1</v>
      </c>
      <c r="O186" s="104">
        <f t="shared" si="67"/>
        <v>5.4950602350798005E-11</v>
      </c>
      <c r="P186" s="105">
        <f t="shared" ca="1" si="68"/>
        <v>1.1561369216874902</v>
      </c>
      <c r="Q186" s="106">
        <f t="shared" ca="1" si="69"/>
        <v>0.54413875148334956</v>
      </c>
      <c r="R186" s="107">
        <f t="shared" ca="1" si="70"/>
        <v>-21.718621749732662</v>
      </c>
      <c r="S186" s="108">
        <f t="shared" ca="1" si="71"/>
        <v>-188.6340893338666</v>
      </c>
      <c r="T186" s="116">
        <f t="shared" ca="1" si="72"/>
        <v>-8.6340893338665978</v>
      </c>
      <c r="V186" s="72">
        <f t="shared" ca="1" si="73"/>
        <v>10411.5</v>
      </c>
      <c r="W186" s="72">
        <f t="shared" si="74"/>
        <v>108399332.25</v>
      </c>
      <c r="Y186" s="110">
        <f t="shared" si="75"/>
        <v>25.58489604753985</v>
      </c>
      <c r="Z186" s="111">
        <f t="shared" si="76"/>
        <v>-84.655207057168937</v>
      </c>
      <c r="AA186" s="72">
        <f t="shared" si="77"/>
        <v>95.344792942831063</v>
      </c>
      <c r="AB186" s="110">
        <f t="shared" ca="1" si="78"/>
        <v>-31.385917450391002</v>
      </c>
      <c r="AC186" s="111">
        <f t="shared" ca="1" si="79"/>
        <v>-103.97888227669768</v>
      </c>
      <c r="AD186" s="72">
        <f t="shared" ca="1" si="80"/>
        <v>76.021117723302325</v>
      </c>
    </row>
    <row r="187" spans="1:30">
      <c r="A187" s="118">
        <v>10471</v>
      </c>
      <c r="B187" s="101">
        <f t="shared" ca="1" si="54"/>
        <v>536.96173193244181</v>
      </c>
      <c r="C187" s="102">
        <f t="shared" ca="1" si="55"/>
        <v>1.5689339956107959</v>
      </c>
      <c r="D187" s="102">
        <f t="shared" si="56"/>
        <v>1.0467168977551691</v>
      </c>
      <c r="E187" s="103">
        <f t="shared" si="57"/>
        <v>0.29989280068115698</v>
      </c>
      <c r="F187" s="101">
        <f t="shared" si="58"/>
        <v>3579.0432299328636</v>
      </c>
      <c r="G187" s="104">
        <f t="shared" si="59"/>
        <v>1.5705169225103528</v>
      </c>
      <c r="H187" s="113">
        <f t="shared" si="60"/>
        <v>447.38150389461134</v>
      </c>
      <c r="I187" s="114">
        <f t="shared" si="61"/>
        <v>1.5685610961829817</v>
      </c>
      <c r="J187" s="101">
        <f t="shared" si="62"/>
        <v>10.573989371378383</v>
      </c>
      <c r="K187" s="104">
        <f t="shared" si="63"/>
        <v>1.4760830988645757</v>
      </c>
      <c r="L187" s="102">
        <f t="shared" si="64"/>
        <v>1</v>
      </c>
      <c r="M187" s="103">
        <f t="shared" si="65"/>
        <v>3.4540397470057503E-10</v>
      </c>
      <c r="N187" s="101">
        <f t="shared" si="66"/>
        <v>1</v>
      </c>
      <c r="O187" s="104">
        <f t="shared" si="67"/>
        <v>5.5264635952092005E-11</v>
      </c>
      <c r="P187" s="105">
        <f t="shared" ca="1" si="68"/>
        <v>1.1578051504736546</v>
      </c>
      <c r="Q187" s="106">
        <f t="shared" ca="1" si="69"/>
        <v>0.54672184572980209</v>
      </c>
      <c r="R187" s="107">
        <f t="shared" ca="1" si="70"/>
        <v>-21.825397694206401</v>
      </c>
      <c r="S187" s="108">
        <f t="shared" ca="1" si="71"/>
        <v>-188.72095139419955</v>
      </c>
      <c r="T187" s="116">
        <f t="shared" ca="1" si="72"/>
        <v>-8.7209513941995453</v>
      </c>
      <c r="V187" s="72">
        <f t="shared" ca="1" si="73"/>
        <v>10471</v>
      </c>
      <c r="W187" s="72">
        <f t="shared" si="74"/>
        <v>109641841</v>
      </c>
      <c r="Y187" s="110">
        <f t="shared" si="75"/>
        <v>25.535843882102178</v>
      </c>
      <c r="Z187" s="111">
        <f t="shared" si="76"/>
        <v>-84.685392449694362</v>
      </c>
      <c r="AA187" s="72">
        <f t="shared" si="77"/>
        <v>95.314607550305638</v>
      </c>
      <c r="AB187" s="110">
        <f t="shared" ca="1" si="78"/>
        <v>-31.443641229427076</v>
      </c>
      <c r="AC187" s="111">
        <f t="shared" ca="1" si="79"/>
        <v>-104.03555894450521</v>
      </c>
      <c r="AD187" s="72">
        <f t="shared" ca="1" si="80"/>
        <v>75.964441055494788</v>
      </c>
    </row>
    <row r="188" spans="1:30">
      <c r="A188" s="118">
        <v>10532</v>
      </c>
      <c r="B188" s="101">
        <f t="shared" ca="1" si="54"/>
        <v>540.08985268258277</v>
      </c>
      <c r="C188" s="102">
        <f t="shared" ca="1" si="55"/>
        <v>1.5689447819706364</v>
      </c>
      <c r="D188" s="102">
        <f t="shared" si="56"/>
        <v>1.0472504742733049</v>
      </c>
      <c r="E188" s="103">
        <f t="shared" si="57"/>
        <v>0.30153614268240092</v>
      </c>
      <c r="F188" s="101">
        <f t="shared" si="58"/>
        <v>3599.8933512232466</v>
      </c>
      <c r="G188" s="104">
        <f t="shared" si="59"/>
        <v>1.5705185407842301</v>
      </c>
      <c r="H188" s="113">
        <f t="shared" si="60"/>
        <v>449.98776268397944</v>
      </c>
      <c r="I188" s="114">
        <f t="shared" si="61"/>
        <v>1.568574042310698</v>
      </c>
      <c r="J188" s="101">
        <f t="shared" si="62"/>
        <v>10.635039990855935</v>
      </c>
      <c r="K188" s="104">
        <f t="shared" si="63"/>
        <v>1.4766284192213897</v>
      </c>
      <c r="L188" s="102">
        <f t="shared" si="64"/>
        <v>1</v>
      </c>
      <c r="M188" s="103">
        <f t="shared" si="65"/>
        <v>3.4741616479290003E-10</v>
      </c>
      <c r="N188" s="101">
        <f t="shared" si="66"/>
        <v>1</v>
      </c>
      <c r="O188" s="104">
        <f t="shared" si="67"/>
        <v>5.5586586366864003E-11</v>
      </c>
      <c r="P188" s="105">
        <f t="shared" ca="1" si="68"/>
        <v>1.1595228050546038</v>
      </c>
      <c r="Q188" s="106">
        <f t="shared" ca="1" si="69"/>
        <v>0.54936265674219809</v>
      </c>
      <c r="R188" s="107">
        <f t="shared" ca="1" si="70"/>
        <v>-21.934306479251266</v>
      </c>
      <c r="S188" s="108">
        <f t="shared" ca="1" si="71"/>
        <v>-188.80931568834509</v>
      </c>
      <c r="T188" s="116">
        <f t="shared" ca="1" si="72"/>
        <v>-8.8093156883450945</v>
      </c>
      <c r="V188" s="72">
        <f t="shared" ca="1" si="73"/>
        <v>10532</v>
      </c>
      <c r="W188" s="72">
        <f t="shared" si="74"/>
        <v>110923024</v>
      </c>
      <c r="Y188" s="110">
        <f t="shared" si="75"/>
        <v>25.485838479698725</v>
      </c>
      <c r="Z188" s="111">
        <f t="shared" si="76"/>
        <v>-84.715987966344571</v>
      </c>
      <c r="AA188" s="72">
        <f t="shared" si="77"/>
        <v>95.284012033655429</v>
      </c>
      <c r="AB188" s="110">
        <f t="shared" ca="1" si="78"/>
        <v>-31.502544612068487</v>
      </c>
      <c r="AC188" s="111">
        <f t="shared" ca="1" si="79"/>
        <v>-104.0933277220005</v>
      </c>
      <c r="AD188" s="72">
        <f t="shared" ca="1" si="80"/>
        <v>75.906672277999505</v>
      </c>
    </row>
    <row r="189" spans="1:30">
      <c r="A189" s="118">
        <v>10593</v>
      </c>
      <c r="B189" s="101">
        <f t="shared" ca="1" si="54"/>
        <v>543.21797349483711</v>
      </c>
      <c r="C189" s="102">
        <f t="shared" ca="1" si="55"/>
        <v>1.5689554441039673</v>
      </c>
      <c r="D189" s="102">
        <f t="shared" si="56"/>
        <v>1.0477868760828237</v>
      </c>
      <c r="E189" s="103">
        <f t="shared" si="57"/>
        <v>0.30317780653520948</v>
      </c>
      <c r="F189" s="101">
        <f t="shared" si="58"/>
        <v>3620.7434725229482</v>
      </c>
      <c r="G189" s="104">
        <f t="shared" si="59"/>
        <v>1.5705201404203848</v>
      </c>
      <c r="H189" s="113">
        <f t="shared" si="60"/>
        <v>452.59402154789785</v>
      </c>
      <c r="I189" s="114">
        <f t="shared" si="61"/>
        <v>1.5685868393380815</v>
      </c>
      <c r="J189" s="101">
        <f t="shared" si="62"/>
        <v>10.696093736817909</v>
      </c>
      <c r="K189" s="104">
        <f t="shared" si="63"/>
        <v>1.4771675143146392</v>
      </c>
      <c r="L189" s="102">
        <f t="shared" si="64"/>
        <v>1</v>
      </c>
      <c r="M189" s="103">
        <f t="shared" si="65"/>
        <v>3.4942835488522503E-10</v>
      </c>
      <c r="N189" s="101">
        <f t="shared" si="66"/>
        <v>1</v>
      </c>
      <c r="O189" s="104">
        <f t="shared" si="67"/>
        <v>5.5908536781636002E-11</v>
      </c>
      <c r="P189" s="105">
        <f t="shared" ca="1" si="68"/>
        <v>1.1612478883858721</v>
      </c>
      <c r="Q189" s="106">
        <f t="shared" ca="1" si="69"/>
        <v>0.55199597317864946</v>
      </c>
      <c r="R189" s="107">
        <f t="shared" ca="1" si="70"/>
        <v>-22.042655525906731</v>
      </c>
      <c r="S189" s="108">
        <f t="shared" ca="1" si="71"/>
        <v>-188.89699040171524</v>
      </c>
      <c r="T189" s="116">
        <f t="shared" ca="1" si="72"/>
        <v>-8.896990401715243</v>
      </c>
      <c r="V189" s="72">
        <f t="shared" ca="1" si="73"/>
        <v>10593</v>
      </c>
      <c r="W189" s="72">
        <f t="shared" si="74"/>
        <v>112211649</v>
      </c>
      <c r="Y189" s="110">
        <f t="shared" si="75"/>
        <v>25.436116778055396</v>
      </c>
      <c r="Z189" s="111">
        <f t="shared" si="76"/>
        <v>-84.746234276622758</v>
      </c>
      <c r="AA189" s="72">
        <f t="shared" si="77"/>
        <v>95.253765723377242</v>
      </c>
      <c r="AB189" s="110">
        <f t="shared" ca="1" si="78"/>
        <v>-31.561171957080624</v>
      </c>
      <c r="AC189" s="111">
        <f t="shared" ca="1" si="79"/>
        <v>-104.15075612509256</v>
      </c>
      <c r="AD189" s="72">
        <f t="shared" ca="1" si="80"/>
        <v>75.849243874907444</v>
      </c>
    </row>
    <row r="190" spans="1:30">
      <c r="A190" s="118">
        <v>10654</v>
      </c>
      <c r="B190" s="101">
        <f t="shared" ca="1" si="54"/>
        <v>546.34609436813787</v>
      </c>
      <c r="C190" s="102">
        <f t="shared" ca="1" si="55"/>
        <v>1.5689659841445738</v>
      </c>
      <c r="D190" s="102">
        <f t="shared" si="56"/>
        <v>1.0483260988468364</v>
      </c>
      <c r="E190" s="103">
        <f t="shared" si="57"/>
        <v>0.30481778597362891</v>
      </c>
      <c r="F190" s="101">
        <f t="shared" si="58"/>
        <v>3641.5935938318094</v>
      </c>
      <c r="G190" s="104">
        <f t="shared" si="59"/>
        <v>1.5705217217389502</v>
      </c>
      <c r="H190" s="113">
        <f t="shared" si="60"/>
        <v>455.20028048508618</v>
      </c>
      <c r="I190" s="114">
        <f t="shared" si="61"/>
        <v>1.5685994898261593</v>
      </c>
      <c r="J190" s="101">
        <f t="shared" si="62"/>
        <v>10.757150556029883</v>
      </c>
      <c r="K190" s="104">
        <f t="shared" si="63"/>
        <v>1.4777004898307347</v>
      </c>
      <c r="L190" s="102">
        <f t="shared" si="64"/>
        <v>1</v>
      </c>
      <c r="M190" s="103">
        <f t="shared" si="65"/>
        <v>3.5144054497755004E-10</v>
      </c>
      <c r="N190" s="101">
        <f t="shared" si="66"/>
        <v>1</v>
      </c>
      <c r="O190" s="104">
        <f t="shared" si="67"/>
        <v>5.6230487196408E-11</v>
      </c>
      <c r="P190" s="105">
        <f t="shared" ca="1" si="68"/>
        <v>1.1629803676569821</v>
      </c>
      <c r="Q190" s="106">
        <f t="shared" ca="1" si="69"/>
        <v>0.55462179625848274</v>
      </c>
      <c r="R190" s="107">
        <f t="shared" ca="1" si="70"/>
        <v>-22.150450986077782</v>
      </c>
      <c r="S190" s="108">
        <f t="shared" ca="1" si="71"/>
        <v>-188.98398201243364</v>
      </c>
      <c r="T190" s="116">
        <f t="shared" ca="1" si="72"/>
        <v>-8.9839820124336427</v>
      </c>
      <c r="V190" s="72">
        <f t="shared" ca="1" si="73"/>
        <v>10654</v>
      </c>
      <c r="W190" s="72">
        <f t="shared" si="74"/>
        <v>113507716</v>
      </c>
      <c r="Y190" s="110">
        <f t="shared" si="75"/>
        <v>25.386675605040345</v>
      </c>
      <c r="Z190" s="111">
        <f t="shared" si="76"/>
        <v>-84.776137307520358</v>
      </c>
      <c r="AA190" s="72">
        <f t="shared" si="77"/>
        <v>95.223862692479642</v>
      </c>
      <c r="AB190" s="110">
        <f t="shared" ca="1" si="78"/>
        <v>-31.619526244236628</v>
      </c>
      <c r="AC190" s="111">
        <f t="shared" ca="1" si="79"/>
        <v>-104.20784470491326</v>
      </c>
      <c r="AD190" s="72">
        <f t="shared" ca="1" si="80"/>
        <v>75.792155295086744</v>
      </c>
    </row>
    <row r="191" spans="1:30">
      <c r="A191" s="118">
        <v>10715</v>
      </c>
      <c r="B191" s="101">
        <f t="shared" ca="1" si="54"/>
        <v>549.47421530144243</v>
      </c>
      <c r="C191" s="102">
        <f t="shared" ca="1" si="55"/>
        <v>1.5689764041776517</v>
      </c>
      <c r="D191" s="102">
        <f t="shared" si="56"/>
        <v>1.0488681382145872</v>
      </c>
      <c r="E191" s="103">
        <f t="shared" si="57"/>
        <v>0.30645607478079895</v>
      </c>
      <c r="F191" s="101">
        <f t="shared" si="58"/>
        <v>3662.4437151496722</v>
      </c>
      <c r="G191" s="104">
        <f t="shared" si="59"/>
        <v>1.5705232850527699</v>
      </c>
      <c r="H191" s="113">
        <f t="shared" si="60"/>
        <v>457.80653949429296</v>
      </c>
      <c r="I191" s="114">
        <f t="shared" si="61"/>
        <v>1.5686119962776399</v>
      </c>
      <c r="J191" s="101">
        <f t="shared" si="62"/>
        <v>10.818210396456577</v>
      </c>
      <c r="K191" s="104">
        <f t="shared" si="63"/>
        <v>1.4782274490841243</v>
      </c>
      <c r="L191" s="102">
        <f t="shared" si="64"/>
        <v>1</v>
      </c>
      <c r="M191" s="103">
        <f t="shared" si="65"/>
        <v>3.5345273506987504E-10</v>
      </c>
      <c r="N191" s="101">
        <f t="shared" si="66"/>
        <v>1</v>
      </c>
      <c r="O191" s="104">
        <f t="shared" si="67"/>
        <v>5.6552437611180005E-11</v>
      </c>
      <c r="P191" s="105">
        <f t="shared" ca="1" si="68"/>
        <v>1.1647202101127907</v>
      </c>
      <c r="Q191" s="106">
        <f t="shared" ca="1" si="69"/>
        <v>0.55724012757333219</v>
      </c>
      <c r="R191" s="107">
        <f t="shared" ca="1" si="70"/>
        <v>-22.257698904135147</v>
      </c>
      <c r="S191" s="108">
        <f t="shared" ca="1" si="71"/>
        <v>-189.0702968813786</v>
      </c>
      <c r="T191" s="116">
        <f t="shared" ca="1" si="72"/>
        <v>-9.0702968813785958</v>
      </c>
      <c r="V191" s="72">
        <f t="shared" ca="1" si="73"/>
        <v>10715</v>
      </c>
      <c r="W191" s="72">
        <f t="shared" si="74"/>
        <v>114811225</v>
      </c>
      <c r="Y191" s="110">
        <f t="shared" si="75"/>
        <v>25.337511840936351</v>
      </c>
      <c r="Z191" s="111">
        <f t="shared" si="76"/>
        <v>-84.805702853049311</v>
      </c>
      <c r="AA191" s="72">
        <f t="shared" si="77"/>
        <v>95.194297146950689</v>
      </c>
      <c r="AB191" s="110">
        <f t="shared" ca="1" si="78"/>
        <v>-31.677610398189991</v>
      </c>
      <c r="AC191" s="111">
        <f t="shared" ca="1" si="79"/>
        <v>-104.26459402832931</v>
      </c>
      <c r="AD191" s="72">
        <f t="shared" ca="1" si="80"/>
        <v>75.735405971670687</v>
      </c>
    </row>
    <row r="192" spans="1:30">
      <c r="A192" s="118">
        <v>10777.5</v>
      </c>
      <c r="B192" s="101">
        <f t="shared" ca="1" si="54"/>
        <v>552.67925730247362</v>
      </c>
      <c r="C192" s="102">
        <f t="shared" ca="1" si="55"/>
        <v>1.5689869581015303</v>
      </c>
      <c r="D192" s="102">
        <f t="shared" si="56"/>
        <v>1.0494264232017116</v>
      </c>
      <c r="E192" s="103">
        <f t="shared" si="57"/>
        <v>0.30813288942733691</v>
      </c>
      <c r="F192" s="101">
        <f t="shared" si="58"/>
        <v>3683.8065443779715</v>
      </c>
      <c r="G192" s="104">
        <f t="shared" si="59"/>
        <v>1.5705248684541193</v>
      </c>
      <c r="H192" s="113">
        <f t="shared" si="60"/>
        <v>460.47688691320957</v>
      </c>
      <c r="I192" s="114">
        <f t="shared" si="61"/>
        <v>1.568624663429284</v>
      </c>
      <c r="J192" s="101">
        <f t="shared" si="62"/>
        <v>10.880774788749065</v>
      </c>
      <c r="K192" s="104">
        <f t="shared" si="63"/>
        <v>1.478761231967924</v>
      </c>
      <c r="L192" s="102">
        <f t="shared" si="64"/>
        <v>1</v>
      </c>
      <c r="M192" s="103">
        <f t="shared" si="65"/>
        <v>3.5551440524643755E-10</v>
      </c>
      <c r="N192" s="101">
        <f t="shared" si="66"/>
        <v>1</v>
      </c>
      <c r="O192" s="104">
        <f t="shared" si="67"/>
        <v>5.6882304839430001E-11</v>
      </c>
      <c r="P192" s="105">
        <f t="shared" ca="1" si="68"/>
        <v>1.1665104383918339</v>
      </c>
      <c r="Q192" s="106">
        <f t="shared" ca="1" si="69"/>
        <v>0.55991507577005939</v>
      </c>
      <c r="R192" s="107">
        <f t="shared" ca="1" si="70"/>
        <v>-22.367022372187172</v>
      </c>
      <c r="S192" s="108">
        <f t="shared" ca="1" si="71"/>
        <v>-189.15803887079642</v>
      </c>
      <c r="T192" s="116">
        <f t="shared" ca="1" si="72"/>
        <v>-9.1580388707964175</v>
      </c>
      <c r="V192" s="72">
        <f t="shared" ca="1" si="73"/>
        <v>10777.5</v>
      </c>
      <c r="W192" s="72">
        <f t="shared" si="74"/>
        <v>116154506.25</v>
      </c>
      <c r="Y192" s="110">
        <f t="shared" si="75"/>
        <v>25.287423648581402</v>
      </c>
      <c r="Z192" s="111">
        <f t="shared" si="76"/>
        <v>-84.835651307289282</v>
      </c>
      <c r="AA192" s="72">
        <f t="shared" si="77"/>
        <v>95.164348692710718</v>
      </c>
      <c r="AB192" s="110">
        <f t="shared" ca="1" si="78"/>
        <v>-31.736845673887068</v>
      </c>
      <c r="AC192" s="111">
        <f t="shared" ca="1" si="79"/>
        <v>-104.32238756350714</v>
      </c>
      <c r="AD192" s="72">
        <f t="shared" ca="1" si="80"/>
        <v>75.677612436492865</v>
      </c>
    </row>
    <row r="193" spans="1:30">
      <c r="A193" s="118">
        <v>10840</v>
      </c>
      <c r="B193" s="101">
        <f t="shared" ca="1" si="54"/>
        <v>555.88429936435523</v>
      </c>
      <c r="C193" s="102">
        <f t="shared" ca="1" si="55"/>
        <v>1.5689973903246532</v>
      </c>
      <c r="D193" s="102">
        <f t="shared" si="56"/>
        <v>1.0499876557262062</v>
      </c>
      <c r="E193" s="103">
        <f t="shared" si="57"/>
        <v>0.30980791621941112</v>
      </c>
      <c r="F193" s="101">
        <f t="shared" si="58"/>
        <v>3705.1693736154007</v>
      </c>
      <c r="G193" s="104">
        <f t="shared" si="59"/>
        <v>1.5705264335966904</v>
      </c>
      <c r="H193" s="113">
        <f t="shared" si="60"/>
        <v>463.14723440516087</v>
      </c>
      <c r="I193" s="114">
        <f t="shared" si="61"/>
        <v>1.5686371845120601</v>
      </c>
      <c r="J193" s="101">
        <f t="shared" si="62"/>
        <v>10.943342245788358</v>
      </c>
      <c r="K193" s="104">
        <f t="shared" si="63"/>
        <v>1.4792889113008958</v>
      </c>
      <c r="L193" s="102">
        <f t="shared" si="64"/>
        <v>1</v>
      </c>
      <c r="M193" s="103">
        <f t="shared" si="65"/>
        <v>3.5757607542300001E-10</v>
      </c>
      <c r="N193" s="101">
        <f t="shared" si="66"/>
        <v>1</v>
      </c>
      <c r="O193" s="104">
        <f t="shared" si="67"/>
        <v>5.7212172067680004E-11</v>
      </c>
      <c r="P193" s="105">
        <f t="shared" ca="1" si="68"/>
        <v>1.1683083269997365</v>
      </c>
      <c r="Q193" s="106">
        <f t="shared" ca="1" si="69"/>
        <v>0.56258216378562287</v>
      </c>
      <c r="R193" s="107">
        <f t="shared" ca="1" si="70"/>
        <v>-22.475783549789728</v>
      </c>
      <c r="S193" s="108">
        <f t="shared" ca="1" si="71"/>
        <v>-189.24508358385825</v>
      </c>
      <c r="T193" s="116">
        <f t="shared" ca="1" si="72"/>
        <v>-9.2450835838582464</v>
      </c>
      <c r="V193" s="72">
        <f t="shared" ca="1" si="73"/>
        <v>10840</v>
      </c>
      <c r="W193" s="72">
        <f t="shared" si="74"/>
        <v>117505600</v>
      </c>
      <c r="Y193" s="110">
        <f t="shared" si="75"/>
        <v>25.237620209158163</v>
      </c>
      <c r="Z193" s="111">
        <f t="shared" si="76"/>
        <v>-84.86525737680509</v>
      </c>
      <c r="AA193" s="72">
        <f t="shared" si="77"/>
        <v>95.13474262319491</v>
      </c>
      <c r="AB193" s="110">
        <f t="shared" ca="1" si="78"/>
        <v>-31.795803412066384</v>
      </c>
      <c r="AC193" s="111">
        <f t="shared" ca="1" si="79"/>
        <v>-104.37982620705318</v>
      </c>
      <c r="AD193" s="72">
        <f t="shared" ca="1" si="80"/>
        <v>75.620173792946815</v>
      </c>
    </row>
    <row r="194" spans="1:30">
      <c r="A194" s="118">
        <v>10902.5</v>
      </c>
      <c r="B194" s="101">
        <f t="shared" ca="1" si="54"/>
        <v>559.08934148604089</v>
      </c>
      <c r="C194" s="102">
        <f t="shared" ca="1" si="55"/>
        <v>1.5690077029400076</v>
      </c>
      <c r="D194" s="102">
        <f t="shared" si="56"/>
        <v>1.0505518310641138</v>
      </c>
      <c r="E194" s="103">
        <f t="shared" si="57"/>
        <v>0.31148114863064091</v>
      </c>
      <c r="F194" s="101">
        <f t="shared" si="58"/>
        <v>3726.5322028618016</v>
      </c>
      <c r="G194" s="104">
        <f t="shared" si="59"/>
        <v>1.5705279807944961</v>
      </c>
      <c r="H194" s="113">
        <f t="shared" si="60"/>
        <v>465.81758196889075</v>
      </c>
      <c r="I194" s="114">
        <f t="shared" si="61"/>
        <v>1.5686495620380287</v>
      </c>
      <c r="J194" s="101">
        <f t="shared" si="62"/>
        <v>11.005912715306167</v>
      </c>
      <c r="K194" s="104">
        <f t="shared" si="63"/>
        <v>1.4798105908857913</v>
      </c>
      <c r="L194" s="102">
        <f t="shared" si="64"/>
        <v>1</v>
      </c>
      <c r="M194" s="103">
        <f t="shared" si="65"/>
        <v>3.5963774559956253E-10</v>
      </c>
      <c r="N194" s="101">
        <f t="shared" si="66"/>
        <v>1</v>
      </c>
      <c r="O194" s="104">
        <f t="shared" si="67"/>
        <v>5.754203929593E-11</v>
      </c>
      <c r="P194" s="105">
        <f t="shared" ca="1" si="68"/>
        <v>1.1701138408966676</v>
      </c>
      <c r="Q194" s="106">
        <f t="shared" ca="1" si="69"/>
        <v>0.56524139451797895</v>
      </c>
      <c r="R194" s="107">
        <f t="shared" ca="1" si="70"/>
        <v>-22.583988602911511</v>
      </c>
      <c r="S194" s="108">
        <f t="shared" ca="1" si="71"/>
        <v>-189.331437501979</v>
      </c>
      <c r="T194" s="116">
        <f t="shared" ca="1" si="72"/>
        <v>-9.3314375019789964</v>
      </c>
      <c r="V194" s="72">
        <f t="shared" ca="1" si="73"/>
        <v>10902.5</v>
      </c>
      <c r="W194" s="72">
        <f t="shared" si="74"/>
        <v>118864506.25</v>
      </c>
      <c r="Y194" s="110">
        <f t="shared" si="75"/>
        <v>25.188098330941621</v>
      </c>
      <c r="Z194" s="111">
        <f t="shared" si="76"/>
        <v>-84.894526883117464</v>
      </c>
      <c r="AA194" s="72">
        <f t="shared" si="77"/>
        <v>95.105473116882536</v>
      </c>
      <c r="AB194" s="110">
        <f t="shared" ca="1" si="78"/>
        <v>-31.854486586971625</v>
      </c>
      <c r="AC194" s="111">
        <f t="shared" ca="1" si="79"/>
        <v>-104.43691061886149</v>
      </c>
      <c r="AD194" s="72">
        <f t="shared" ca="1" si="80"/>
        <v>75.563089381138511</v>
      </c>
    </row>
    <row r="195" spans="1:30">
      <c r="A195" s="118">
        <v>10965</v>
      </c>
      <c r="B195" s="101">
        <f t="shared" ca="1" si="54"/>
        <v>562.29438366650788</v>
      </c>
      <c r="C195" s="102">
        <f t="shared" ca="1" si="55"/>
        <v>1.5690178979928617</v>
      </c>
      <c r="D195" s="102">
        <f t="shared" si="56"/>
        <v>1.0511189444768767</v>
      </c>
      <c r="E195" s="103">
        <f t="shared" si="57"/>
        <v>0.31315258018881059</v>
      </c>
      <c r="F195" s="101">
        <f t="shared" si="58"/>
        <v>3747.8950321170209</v>
      </c>
      <c r="G195" s="104">
        <f t="shared" si="59"/>
        <v>1.570529510354389</v>
      </c>
      <c r="H195" s="113">
        <f t="shared" si="60"/>
        <v>468.48792960317172</v>
      </c>
      <c r="I195" s="114">
        <f t="shared" si="61"/>
        <v>1.5686617984619768</v>
      </c>
      <c r="J195" s="101">
        <f t="shared" si="62"/>
        <v>11.068486146213608</v>
      </c>
      <c r="K195" s="104">
        <f t="shared" si="63"/>
        <v>1.4803263721912849</v>
      </c>
      <c r="L195" s="102">
        <f t="shared" si="64"/>
        <v>1</v>
      </c>
      <c r="M195" s="103">
        <f t="shared" si="65"/>
        <v>3.6169941577612504E-10</v>
      </c>
      <c r="N195" s="101">
        <f t="shared" si="66"/>
        <v>1</v>
      </c>
      <c r="O195" s="104">
        <f t="shared" si="67"/>
        <v>5.7871906524180003E-11</v>
      </c>
      <c r="P195" s="105">
        <f t="shared" ca="1" si="68"/>
        <v>1.1719269451109919</v>
      </c>
      <c r="Q195" s="106">
        <f t="shared" ca="1" si="69"/>
        <v>0.5678927712550319</v>
      </c>
      <c r="R195" s="107">
        <f t="shared" ca="1" si="70"/>
        <v>-22.691643589520037</v>
      </c>
      <c r="S195" s="108">
        <f t="shared" ca="1" si="71"/>
        <v>-189.41710699221662</v>
      </c>
      <c r="T195" s="116">
        <f t="shared" ca="1" si="72"/>
        <v>-9.4171069922166168</v>
      </c>
      <c r="V195" s="72">
        <f t="shared" ca="1" si="73"/>
        <v>10965</v>
      </c>
      <c r="W195" s="72">
        <f t="shared" si="74"/>
        <v>120231225</v>
      </c>
      <c r="Y195" s="110">
        <f t="shared" si="75"/>
        <v>25.138854875098016</v>
      </c>
      <c r="Z195" s="111">
        <f t="shared" si="76"/>
        <v>-84.923465516885699</v>
      </c>
      <c r="AA195" s="72">
        <f t="shared" si="77"/>
        <v>95.076534483114301</v>
      </c>
      <c r="AB195" s="110">
        <f t="shared" ca="1" si="78"/>
        <v>-31.912898117736546</v>
      </c>
      <c r="AC195" s="111">
        <f t="shared" ca="1" si="79"/>
        <v>-104.49364147533097</v>
      </c>
      <c r="AD195" s="72">
        <f t="shared" ca="1" si="80"/>
        <v>75.506358524669025</v>
      </c>
    </row>
    <row r="196" spans="1:30">
      <c r="A196" s="118">
        <v>11028.75</v>
      </c>
      <c r="B196" s="101">
        <f t="shared" ca="1" si="54"/>
        <v>565.5635267501043</v>
      </c>
      <c r="C196" s="102">
        <f t="shared" ca="1" si="55"/>
        <v>1.5690281779066455</v>
      </c>
      <c r="D196" s="102">
        <f t="shared" si="56"/>
        <v>1.051700422033365</v>
      </c>
      <c r="E196" s="103">
        <f t="shared" si="57"/>
        <v>0.31485557848365414</v>
      </c>
      <c r="F196" s="101">
        <f t="shared" si="58"/>
        <v>3769.6851179662758</v>
      </c>
      <c r="G196" s="104">
        <f t="shared" si="59"/>
        <v>1.5705310526458802</v>
      </c>
      <c r="H196" s="113">
        <f t="shared" si="60"/>
        <v>471.21168426157629</v>
      </c>
      <c r="I196" s="114">
        <f t="shared" si="61"/>
        <v>1.568674136738887</v>
      </c>
      <c r="J196" s="101">
        <f t="shared" si="62"/>
        <v>11.132314044774853</v>
      </c>
      <c r="K196" s="104">
        <f t="shared" si="63"/>
        <v>1.4808464955807319</v>
      </c>
      <c r="L196" s="102">
        <f t="shared" si="64"/>
        <v>1</v>
      </c>
      <c r="M196" s="103">
        <f t="shared" si="65"/>
        <v>3.6380231935621879E-10</v>
      </c>
      <c r="N196" s="101">
        <f t="shared" si="66"/>
        <v>1</v>
      </c>
      <c r="O196" s="104">
        <f t="shared" si="67"/>
        <v>5.8208371096995E-11</v>
      </c>
      <c r="P196" s="105">
        <f t="shared" ca="1" si="68"/>
        <v>1.1737840947595177</v>
      </c>
      <c r="Q196" s="106">
        <f t="shared" ca="1" si="69"/>
        <v>0.57058908815170328</v>
      </c>
      <c r="R196" s="107">
        <f t="shared" ca="1" si="70"/>
        <v>-22.80089116989048</v>
      </c>
      <c r="S196" s="108">
        <f t="shared" ca="1" si="71"/>
        <v>-189.50379126212582</v>
      </c>
      <c r="T196" s="116">
        <f t="shared" ca="1" si="72"/>
        <v>-9.5037912621258158</v>
      </c>
      <c r="V196" s="72">
        <f t="shared" ca="1" si="73"/>
        <v>11028.75</v>
      </c>
      <c r="W196" s="72">
        <f t="shared" si="74"/>
        <v>121633326.5625</v>
      </c>
      <c r="Y196" s="110">
        <f t="shared" si="75"/>
        <v>25.088910179603374</v>
      </c>
      <c r="Z196" s="111">
        <f t="shared" si="76"/>
        <v>-84.952647827458989</v>
      </c>
      <c r="AA196" s="72">
        <f t="shared" si="77"/>
        <v>95.047352172541011</v>
      </c>
      <c r="AB196" s="110">
        <f t="shared" ca="1" si="78"/>
        <v>-31.972201002612351</v>
      </c>
      <c r="AC196" s="111">
        <f t="shared" ca="1" si="79"/>
        <v>-104.55114343466681</v>
      </c>
      <c r="AD196" s="72">
        <f t="shared" ca="1" si="80"/>
        <v>75.448856565333188</v>
      </c>
    </row>
    <row r="197" spans="1:30">
      <c r="A197" s="118">
        <v>11092.5</v>
      </c>
      <c r="B197" s="101">
        <f t="shared" ca="1" si="54"/>
        <v>568.8326698927807</v>
      </c>
      <c r="C197" s="102">
        <f t="shared" ca="1" si="55"/>
        <v>1.569038339660868</v>
      </c>
      <c r="D197" s="102">
        <f t="shared" si="56"/>
        <v>1.052284946358685</v>
      </c>
      <c r="E197" s="103">
        <f t="shared" si="57"/>
        <v>0.31655668974101814</v>
      </c>
      <c r="F197" s="101">
        <f t="shared" si="58"/>
        <v>3791.4752038243937</v>
      </c>
      <c r="G197" s="104">
        <f t="shared" si="59"/>
        <v>1.5705325772098842</v>
      </c>
      <c r="H197" s="113">
        <f t="shared" si="60"/>
        <v>473.9354389908903</v>
      </c>
      <c r="I197" s="114">
        <f t="shared" si="61"/>
        <v>1.5686863331971572</v>
      </c>
      <c r="J197" s="101">
        <f t="shared" si="62"/>
        <v>11.196144920604445</v>
      </c>
      <c r="K197" s="104">
        <f t="shared" si="63"/>
        <v>1.4813606885074362</v>
      </c>
      <c r="L197" s="102">
        <f t="shared" si="64"/>
        <v>1</v>
      </c>
      <c r="M197" s="103">
        <f t="shared" si="65"/>
        <v>3.6590522293631254E-10</v>
      </c>
      <c r="N197" s="101">
        <f t="shared" si="66"/>
        <v>1</v>
      </c>
      <c r="O197" s="104">
        <f t="shared" si="67"/>
        <v>5.8544835669809997E-11</v>
      </c>
      <c r="P197" s="105">
        <f t="shared" ca="1" si="68"/>
        <v>1.1756490681016336</v>
      </c>
      <c r="Q197" s="106">
        <f t="shared" ca="1" si="69"/>
        <v>0.57327724187853502</v>
      </c>
      <c r="R197" s="107">
        <f t="shared" ca="1" si="70"/>
        <v>-22.909578859906766</v>
      </c>
      <c r="S197" s="108">
        <f t="shared" ca="1" si="71"/>
        <v>-189.58977648550768</v>
      </c>
      <c r="T197" s="116">
        <f t="shared" ca="1" si="72"/>
        <v>-9.5897764855076844</v>
      </c>
      <c r="V197" s="72">
        <f t="shared" ca="1" si="73"/>
        <v>11092.5</v>
      </c>
      <c r="W197" s="72">
        <f t="shared" si="74"/>
        <v>123043556.25</v>
      </c>
      <c r="Y197" s="110">
        <f t="shared" si="75"/>
        <v>25.039248721304482</v>
      </c>
      <c r="Z197" s="111">
        <f t="shared" si="76"/>
        <v>-84.981497457445485</v>
      </c>
      <c r="AA197" s="72">
        <f t="shared" si="77"/>
        <v>95.018502542554515</v>
      </c>
      <c r="AB197" s="110">
        <f t="shared" ca="1" si="78"/>
        <v>-32.031227234329741</v>
      </c>
      <c r="AC197" s="111">
        <f t="shared" ca="1" si="79"/>
        <v>-104.60827902806219</v>
      </c>
      <c r="AD197" s="72">
        <f t="shared" ca="1" si="80"/>
        <v>75.391720971937815</v>
      </c>
    </row>
    <row r="198" spans="1:30">
      <c r="A198" s="118">
        <v>11156.25</v>
      </c>
      <c r="B198" s="101">
        <f t="shared" ca="1" si="54"/>
        <v>572.10181309352413</v>
      </c>
      <c r="C198" s="102">
        <f t="shared" ca="1" si="55"/>
        <v>1.5690483852811135</v>
      </c>
      <c r="D198" s="102">
        <f t="shared" si="56"/>
        <v>1.0528725123784033</v>
      </c>
      <c r="E198" s="103">
        <f t="shared" si="57"/>
        <v>0.31825590726673159</v>
      </c>
      <c r="F198" s="101">
        <f t="shared" si="58"/>
        <v>3813.2652896912236</v>
      </c>
      <c r="G198" s="104">
        <f t="shared" si="59"/>
        <v>1.5705340843503006</v>
      </c>
      <c r="H198" s="113">
        <f t="shared" si="60"/>
        <v>476.65919378989827</v>
      </c>
      <c r="I198" s="114">
        <f t="shared" si="61"/>
        <v>1.5686983902679501</v>
      </c>
      <c r="J198" s="101">
        <f t="shared" si="62"/>
        <v>11.259978723069517</v>
      </c>
      <c r="K198" s="104">
        <f t="shared" si="63"/>
        <v>1.4818690515580928</v>
      </c>
      <c r="L198" s="102">
        <f t="shared" si="64"/>
        <v>1</v>
      </c>
      <c r="M198" s="103">
        <f t="shared" si="65"/>
        <v>3.6800812651640629E-10</v>
      </c>
      <c r="N198" s="101">
        <f t="shared" si="66"/>
        <v>1</v>
      </c>
      <c r="O198" s="104">
        <f t="shared" si="67"/>
        <v>5.8881300242625007E-11</v>
      </c>
      <c r="P198" s="105">
        <f t="shared" ca="1" si="68"/>
        <v>1.1775218282555917</v>
      </c>
      <c r="Q198" s="106">
        <f t="shared" ca="1" si="69"/>
        <v>0.5759572371453332</v>
      </c>
      <c r="R198" s="107">
        <f t="shared" ca="1" si="70"/>
        <v>-23.017712756823702</v>
      </c>
      <c r="S198" s="108">
        <f t="shared" ca="1" si="71"/>
        <v>-189.67506907312935</v>
      </c>
      <c r="T198" s="116">
        <f t="shared" ca="1" si="72"/>
        <v>-9.6750690731293503</v>
      </c>
      <c r="V198" s="72">
        <f t="shared" ca="1" si="73"/>
        <v>11156.25</v>
      </c>
      <c r="W198" s="72">
        <f t="shared" si="74"/>
        <v>124461914.0625</v>
      </c>
      <c r="Y198" s="110">
        <f t="shared" si="75"/>
        <v>24.989867331983803</v>
      </c>
      <c r="Z198" s="111">
        <f t="shared" si="76"/>
        <v>-85.010020048155184</v>
      </c>
      <c r="AA198" s="72">
        <f t="shared" si="77"/>
        <v>94.989979951844816</v>
      </c>
      <c r="AB198" s="110">
        <f t="shared" ca="1" si="78"/>
        <v>-32.089979741926001</v>
      </c>
      <c r="AC198" s="111">
        <f t="shared" ca="1" si="79"/>
        <v>-104.66504902497421</v>
      </c>
      <c r="AD198" s="72">
        <f t="shared" ca="1" si="80"/>
        <v>75.334950975025791</v>
      </c>
    </row>
    <row r="199" spans="1:30">
      <c r="A199" s="118">
        <v>11220</v>
      </c>
      <c r="B199" s="101">
        <f t="shared" ca="1" si="54"/>
        <v>575.37095635134483</v>
      </c>
      <c r="C199" s="102">
        <f t="shared" ca="1" si="55"/>
        <v>1.5690583167469303</v>
      </c>
      <c r="D199" s="102">
        <f t="shared" si="56"/>
        <v>1.0534631150030309</v>
      </c>
      <c r="E199" s="103">
        <f t="shared" si="57"/>
        <v>0.31995322442526214</v>
      </c>
      <c r="F199" s="101">
        <f t="shared" si="58"/>
        <v>3835.0553755666165</v>
      </c>
      <c r="G199" s="104">
        <f t="shared" si="59"/>
        <v>1.5705355743641225</v>
      </c>
      <c r="H199" s="113">
        <f t="shared" si="60"/>
        <v>479.38294865741216</v>
      </c>
      <c r="I199" s="114">
        <f t="shared" si="61"/>
        <v>1.5687103103271747</v>
      </c>
      <c r="J199" s="101">
        <f t="shared" si="62"/>
        <v>11.323815402676617</v>
      </c>
      <c r="K199" s="104">
        <f t="shared" si="63"/>
        <v>1.4823716830634235</v>
      </c>
      <c r="L199" s="102">
        <f t="shared" si="64"/>
        <v>1</v>
      </c>
      <c r="M199" s="103">
        <f t="shared" si="65"/>
        <v>3.7011103009650004E-10</v>
      </c>
      <c r="N199" s="101">
        <f t="shared" si="66"/>
        <v>1</v>
      </c>
      <c r="O199" s="104">
        <f t="shared" si="67"/>
        <v>5.9217764815440004E-11</v>
      </c>
      <c r="P199" s="105">
        <f t="shared" ca="1" si="68"/>
        <v>1.1794023384208587</v>
      </c>
      <c r="Q199" s="106">
        <f t="shared" ca="1" si="69"/>
        <v>0.57862907906164673</v>
      </c>
      <c r="R199" s="107">
        <f t="shared" ca="1" si="70"/>
        <v>-23.125298851379132</v>
      </c>
      <c r="S199" s="108">
        <f t="shared" ca="1" si="71"/>
        <v>-189.75967532617659</v>
      </c>
      <c r="T199" s="116">
        <f t="shared" ca="1" si="72"/>
        <v>-9.7596753261765912</v>
      </c>
      <c r="V199" s="72">
        <f t="shared" ca="1" si="73"/>
        <v>11220</v>
      </c>
      <c r="W199" s="72">
        <f t="shared" si="74"/>
        <v>125888400</v>
      </c>
      <c r="Y199" s="110">
        <f t="shared" si="75"/>
        <v>24.940762895840713</v>
      </c>
      <c r="Z199" s="111">
        <f t="shared" si="76"/>
        <v>-85.038221114410263</v>
      </c>
      <c r="AA199" s="72">
        <f t="shared" si="77"/>
        <v>94.961778885589737</v>
      </c>
      <c r="AB199" s="110">
        <f t="shared" ca="1" si="78"/>
        <v>-32.148461400338341</v>
      </c>
      <c r="AC199" s="111">
        <f t="shared" ca="1" si="79"/>
        <v>-104.72145421176633</v>
      </c>
      <c r="AD199" s="72">
        <f t="shared" ca="1" si="80"/>
        <v>75.278545788233671</v>
      </c>
    </row>
    <row r="200" spans="1:30">
      <c r="A200" s="118">
        <v>11285.5</v>
      </c>
      <c r="B200" s="101">
        <f t="shared" ca="1" si="54"/>
        <v>578.72984085506744</v>
      </c>
      <c r="C200" s="102">
        <f t="shared" ca="1" si="55"/>
        <v>1.5690684039766396</v>
      </c>
      <c r="D200" s="102">
        <f t="shared" si="56"/>
        <v>1.0540730876692239</v>
      </c>
      <c r="E200" s="103">
        <f t="shared" si="57"/>
        <v>0.32169514835776591</v>
      </c>
      <c r="F200" s="101">
        <f t="shared" si="58"/>
        <v>3857.4436206708851</v>
      </c>
      <c r="G200" s="104">
        <f t="shared" si="59"/>
        <v>1.5705370877470872</v>
      </c>
      <c r="H200" s="113">
        <f t="shared" si="60"/>
        <v>482.1814733365195</v>
      </c>
      <c r="I200" s="114">
        <f t="shared" si="61"/>
        <v>1.5687224173393326</v>
      </c>
      <c r="J200" s="101">
        <f t="shared" si="62"/>
        <v>11.389407407570738</v>
      </c>
      <c r="K200" s="104">
        <f t="shared" si="63"/>
        <v>1.4828822436197753</v>
      </c>
      <c r="L200" s="102">
        <f t="shared" si="64"/>
        <v>1</v>
      </c>
      <c r="M200" s="103">
        <f t="shared" si="65"/>
        <v>3.7227166044153753E-10</v>
      </c>
      <c r="N200" s="101">
        <f t="shared" si="66"/>
        <v>1</v>
      </c>
      <c r="O200" s="104">
        <f t="shared" si="67"/>
        <v>5.9563465670646003E-11</v>
      </c>
      <c r="P200" s="105">
        <f t="shared" ca="1" si="68"/>
        <v>1.1813425038906533</v>
      </c>
      <c r="Q200" s="106">
        <f t="shared" ca="1" si="69"/>
        <v>0.58136577929697664</v>
      </c>
      <c r="R200" s="107">
        <f t="shared" ca="1" si="70"/>
        <v>-23.235273911017931</v>
      </c>
      <c r="S200" s="108">
        <f t="shared" ca="1" si="71"/>
        <v>-189.84589576039434</v>
      </c>
      <c r="T200" s="116">
        <f t="shared" ca="1" si="72"/>
        <v>-9.8458957603943418</v>
      </c>
      <c r="V200" s="72">
        <f t="shared" ca="1" si="73"/>
        <v>11285.5</v>
      </c>
      <c r="W200" s="72">
        <f t="shared" si="74"/>
        <v>127362510.25</v>
      </c>
      <c r="Y200" s="110">
        <f t="shared" si="75"/>
        <v>24.890595735558176</v>
      </c>
      <c r="Z200" s="111">
        <f t="shared" si="76"/>
        <v>-85.066867109161308</v>
      </c>
      <c r="AA200" s="72">
        <f t="shared" si="77"/>
        <v>94.933132890838692</v>
      </c>
      <c r="AB200" s="110">
        <f t="shared" ca="1" si="78"/>
        <v>-32.208269299694599</v>
      </c>
      <c r="AC200" s="111">
        <f t="shared" ca="1" si="79"/>
        <v>-104.77902865123302</v>
      </c>
      <c r="AD200" s="72">
        <f t="shared" ca="1" si="80"/>
        <v>75.22097134876698</v>
      </c>
    </row>
    <row r="201" spans="1:30">
      <c r="A201" s="118">
        <v>11351</v>
      </c>
      <c r="B201" s="101">
        <f t="shared" ca="1" si="54"/>
        <v>582.0887254169977</v>
      </c>
      <c r="C201" s="102">
        <f t="shared" ca="1" si="55"/>
        <v>1.569078374791657</v>
      </c>
      <c r="D201" s="102">
        <f t="shared" si="56"/>
        <v>1.0546862550031344</v>
      </c>
      <c r="E201" s="103">
        <f t="shared" si="57"/>
        <v>0.32343505214543511</v>
      </c>
      <c r="F201" s="101">
        <f t="shared" si="58"/>
        <v>3879.8318657838868</v>
      </c>
      <c r="G201" s="104">
        <f t="shared" si="59"/>
        <v>1.5705385836643526</v>
      </c>
      <c r="H201" s="113">
        <f t="shared" si="60"/>
        <v>484.97999808548929</v>
      </c>
      <c r="I201" s="114">
        <f t="shared" si="61"/>
        <v>1.5687343846270776</v>
      </c>
      <c r="J201" s="101">
        <f t="shared" si="62"/>
        <v>11.455002347364756</v>
      </c>
      <c r="K201" s="104">
        <f t="shared" si="63"/>
        <v>1.4833869570463616</v>
      </c>
      <c r="L201" s="102">
        <f t="shared" si="64"/>
        <v>1</v>
      </c>
      <c r="M201" s="103">
        <f t="shared" si="65"/>
        <v>3.7443229078657502E-10</v>
      </c>
      <c r="N201" s="101">
        <f t="shared" si="66"/>
        <v>1</v>
      </c>
      <c r="O201" s="104">
        <f t="shared" si="67"/>
        <v>5.9909166525852002E-11</v>
      </c>
      <c r="P201" s="105">
        <f t="shared" ca="1" si="68"/>
        <v>1.1832907722100692</v>
      </c>
      <c r="Q201" s="106">
        <f t="shared" ca="1" si="69"/>
        <v>0.58409388461140355</v>
      </c>
      <c r="R201" s="107">
        <f t="shared" ca="1" si="70"/>
        <v>-23.344683166957168</v>
      </c>
      <c r="S201" s="108">
        <f t="shared" ca="1" si="71"/>
        <v>-189.93140480667122</v>
      </c>
      <c r="T201" s="116">
        <f t="shared" ca="1" si="72"/>
        <v>-9.9314048066712246</v>
      </c>
      <c r="V201" s="72">
        <f t="shared" ca="1" si="73"/>
        <v>11351</v>
      </c>
      <c r="W201" s="72">
        <f t="shared" si="74"/>
        <v>128845201</v>
      </c>
      <c r="Y201" s="110">
        <f t="shared" si="75"/>
        <v>24.840714438847051</v>
      </c>
      <c r="Z201" s="111">
        <f t="shared" si="76"/>
        <v>-85.095185092962424</v>
      </c>
      <c r="AA201" s="72">
        <f t="shared" si="77"/>
        <v>94.904814907037576</v>
      </c>
      <c r="AB201" s="110">
        <f t="shared" ca="1" si="78"/>
        <v>-32.26779725892272</v>
      </c>
      <c r="AC201" s="111">
        <f t="shared" ca="1" si="79"/>
        <v>-104.83621971370876</v>
      </c>
      <c r="AD201" s="72">
        <f t="shared" ca="1" si="80"/>
        <v>75.163780286291242</v>
      </c>
    </row>
    <row r="202" spans="1:30">
      <c r="A202" s="118">
        <v>11416.5</v>
      </c>
      <c r="B202" s="101">
        <f t="shared" ca="1" si="54"/>
        <v>585.44761003613326</v>
      </c>
      <c r="C202" s="102">
        <f t="shared" ca="1" si="55"/>
        <v>1.569088231195696</v>
      </c>
      <c r="D202" s="102">
        <f t="shared" si="56"/>
        <v>1.055302611436125</v>
      </c>
      <c r="E202" s="103">
        <f t="shared" si="57"/>
        <v>0.32517292878450177</v>
      </c>
      <c r="F202" s="101">
        <f t="shared" si="58"/>
        <v>3902.2201109054699</v>
      </c>
      <c r="G202" s="104">
        <f t="shared" si="59"/>
        <v>1.5705400624165367</v>
      </c>
      <c r="H202" s="113">
        <f t="shared" si="60"/>
        <v>487.77852290311881</v>
      </c>
      <c r="I202" s="114">
        <f t="shared" si="61"/>
        <v>1.568746214595323</v>
      </c>
      <c r="J202" s="101">
        <f t="shared" si="62"/>
        <v>11.520600171927281</v>
      </c>
      <c r="K202" s="104">
        <f t="shared" si="63"/>
        <v>1.4838859229637751</v>
      </c>
      <c r="L202" s="102">
        <f t="shared" si="64"/>
        <v>1</v>
      </c>
      <c r="M202" s="103">
        <f t="shared" si="65"/>
        <v>3.7659292113161251E-10</v>
      </c>
      <c r="N202" s="101">
        <f t="shared" si="66"/>
        <v>1</v>
      </c>
      <c r="O202" s="104">
        <f t="shared" si="67"/>
        <v>6.0254867381058001E-11</v>
      </c>
      <c r="P202" s="105">
        <f t="shared" ca="1" si="68"/>
        <v>1.1852471037435679</v>
      </c>
      <c r="Q202" s="106">
        <f t="shared" ca="1" si="69"/>
        <v>0.58681340182817321</v>
      </c>
      <c r="R202" s="107">
        <f t="shared" ca="1" si="70"/>
        <v>-23.453532781601684</v>
      </c>
      <c r="S202" s="108">
        <f t="shared" ca="1" si="71"/>
        <v>-190.01620895931339</v>
      </c>
      <c r="T202" s="116">
        <f t="shared" ca="1" si="72"/>
        <v>-10.016208959313389</v>
      </c>
      <c r="V202" s="72">
        <f t="shared" ca="1" si="73"/>
        <v>11416.5</v>
      </c>
      <c r="W202" s="72">
        <f t="shared" si="74"/>
        <v>130336472.25</v>
      </c>
      <c r="Y202" s="110">
        <f t="shared" si="75"/>
        <v>24.791115791636319</v>
      </c>
      <c r="Z202" s="111">
        <f t="shared" si="76"/>
        <v>-85.123180653085967</v>
      </c>
      <c r="AA202" s="72">
        <f t="shared" si="77"/>
        <v>94.876819346914033</v>
      </c>
      <c r="AB202" s="110">
        <f t="shared" ca="1" si="78"/>
        <v>-32.327048226356503</v>
      </c>
      <c r="AC202" s="111">
        <f t="shared" ca="1" si="79"/>
        <v>-104.89302830622744</v>
      </c>
      <c r="AD202" s="72">
        <f t="shared" ca="1" si="80"/>
        <v>75.106971693772564</v>
      </c>
    </row>
    <row r="203" spans="1:30">
      <c r="A203" s="118">
        <v>11482</v>
      </c>
      <c r="B203" s="101">
        <f t="shared" ca="1" si="54"/>
        <v>588.80649471149547</v>
      </c>
      <c r="C203" s="102">
        <f t="shared" ca="1" si="55"/>
        <v>1.5690979751467491</v>
      </c>
      <c r="D203" s="102">
        <f t="shared" si="56"/>
        <v>1.0559221513836312</v>
      </c>
      <c r="E203" s="103">
        <f t="shared" si="57"/>
        <v>0.3269087713364876</v>
      </c>
      <c r="F203" s="101">
        <f t="shared" si="58"/>
        <v>3924.60835603549</v>
      </c>
      <c r="G203" s="104">
        <f t="shared" si="59"/>
        <v>1.5705415242973984</v>
      </c>
      <c r="H203" s="113">
        <f t="shared" si="60"/>
        <v>490.57704778823336</v>
      </c>
      <c r="I203" s="114">
        <f t="shared" si="61"/>
        <v>1.5687579095941064</v>
      </c>
      <c r="J203" s="101">
        <f t="shared" si="62"/>
        <v>11.586200832260053</v>
      </c>
      <c r="K203" s="104">
        <f t="shared" si="63"/>
        <v>1.4843792387480113</v>
      </c>
      <c r="L203" s="102">
        <f t="shared" si="64"/>
        <v>1</v>
      </c>
      <c r="M203" s="103">
        <f t="shared" si="65"/>
        <v>3.7875355147665006E-10</v>
      </c>
      <c r="N203" s="101">
        <f t="shared" si="66"/>
        <v>1</v>
      </c>
      <c r="O203" s="104">
        <f t="shared" si="67"/>
        <v>6.0600568236264E-11</v>
      </c>
      <c r="P203" s="105">
        <f t="shared" ca="1" si="68"/>
        <v>1.1872114589538931</v>
      </c>
      <c r="Q203" s="106">
        <f t="shared" ca="1" si="69"/>
        <v>0.58952433819080174</v>
      </c>
      <c r="R203" s="107">
        <f t="shared" ca="1" si="70"/>
        <v>-23.561828809237216</v>
      </c>
      <c r="S203" s="108">
        <f t="shared" ca="1" si="71"/>
        <v>-190.10031460449153</v>
      </c>
      <c r="T203" s="116">
        <f t="shared" ca="1" si="72"/>
        <v>-10.10031460449153</v>
      </c>
      <c r="V203" s="72">
        <f t="shared" ca="1" si="73"/>
        <v>11482</v>
      </c>
      <c r="W203" s="72">
        <f t="shared" si="74"/>
        <v>131836324</v>
      </c>
      <c r="Y203" s="110">
        <f t="shared" si="75"/>
        <v>24.741796633324768</v>
      </c>
      <c r="Z203" s="111">
        <f t="shared" si="76"/>
        <v>-85.150859250949352</v>
      </c>
      <c r="AA203" s="72">
        <f t="shared" si="77"/>
        <v>94.849140749050648</v>
      </c>
      <c r="AB203" s="110">
        <f t="shared" ca="1" si="78"/>
        <v>-32.38602509568048</v>
      </c>
      <c r="AC203" s="111">
        <f t="shared" ca="1" si="79"/>
        <v>-104.94945535354221</v>
      </c>
      <c r="AD203" s="72">
        <f t="shared" ca="1" si="80"/>
        <v>75.050544646457794</v>
      </c>
    </row>
    <row r="204" spans="1:30">
      <c r="A204" s="118">
        <v>11548.75</v>
      </c>
      <c r="B204" s="101">
        <f t="shared" ca="1" si="54"/>
        <v>592.22948029629697</v>
      </c>
      <c r="C204" s="102">
        <f t="shared" ca="1" si="55"/>
        <v>1.5691077913395326</v>
      </c>
      <c r="D204" s="102">
        <f t="shared" si="56"/>
        <v>1.056556784039612</v>
      </c>
      <c r="E204" s="103">
        <f t="shared" si="57"/>
        <v>0.32867564085368522</v>
      </c>
      <c r="F204" s="101">
        <f t="shared" si="58"/>
        <v>3947.4238577604901</v>
      </c>
      <c r="G204" s="104">
        <f t="shared" si="59"/>
        <v>1.5705429970166085</v>
      </c>
      <c r="H204" s="113">
        <f t="shared" si="60"/>
        <v>493.42897970504441</v>
      </c>
      <c r="I204" s="114">
        <f t="shared" si="61"/>
        <v>1.5687696912998756</v>
      </c>
      <c r="J204" s="101">
        <f t="shared" si="62"/>
        <v>11.653056281469958</v>
      </c>
      <c r="K204" s="104">
        <f t="shared" si="63"/>
        <v>1.484876254602028</v>
      </c>
      <c r="L204" s="102">
        <f t="shared" si="64"/>
        <v>1</v>
      </c>
      <c r="M204" s="103">
        <f t="shared" si="65"/>
        <v>3.8095541522521878E-10</v>
      </c>
      <c r="N204" s="101">
        <f t="shared" si="66"/>
        <v>1</v>
      </c>
      <c r="O204" s="104">
        <f t="shared" si="67"/>
        <v>6.0952866436035006E-11</v>
      </c>
      <c r="P204" s="105">
        <f t="shared" ca="1" si="68"/>
        <v>1.189221515851596</v>
      </c>
      <c r="Q204" s="106">
        <f t="shared" ca="1" si="69"/>
        <v>0.59227818985854408</v>
      </c>
      <c r="R204" s="107">
        <f t="shared" ca="1" si="70"/>
        <v>-23.671628178638173</v>
      </c>
      <c r="S204" s="108">
        <f t="shared" ca="1" si="71"/>
        <v>-190.18531319194642</v>
      </c>
      <c r="T204" s="116">
        <f t="shared" ca="1" si="72"/>
        <v>-10.18531319194642</v>
      </c>
      <c r="V204" s="72">
        <f t="shared" ca="1" si="73"/>
        <v>11548.75</v>
      </c>
      <c r="W204" s="72">
        <f t="shared" si="74"/>
        <v>133373626.5625</v>
      </c>
      <c r="Y204" s="110">
        <f t="shared" si="75"/>
        <v>24.691820592198319</v>
      </c>
      <c r="Z204" s="111">
        <f t="shared" si="76"/>
        <v>-85.178745500240623</v>
      </c>
      <c r="AA204" s="72">
        <f t="shared" si="77"/>
        <v>94.821254499759377</v>
      </c>
      <c r="AB204" s="110">
        <f t="shared" ca="1" si="78"/>
        <v>-32.445848423954985</v>
      </c>
      <c r="AC204" s="111">
        <f t="shared" ca="1" si="79"/>
        <v>-105.0065676917058</v>
      </c>
      <c r="AD204" s="72">
        <f t="shared" ca="1" si="80"/>
        <v>74.993432308294203</v>
      </c>
    </row>
    <row r="205" spans="1:30">
      <c r="A205" s="118">
        <v>11615.5</v>
      </c>
      <c r="B205" s="101">
        <f t="shared" ca="1" si="54"/>
        <v>595.65246593750828</v>
      </c>
      <c r="C205" s="102">
        <f t="shared" ca="1" si="55"/>
        <v>1.5691174947125472</v>
      </c>
      <c r="D205" s="102">
        <f t="shared" si="56"/>
        <v>1.0571947111179902</v>
      </c>
      <c r="E205" s="103">
        <f t="shared" si="57"/>
        <v>0.33044038356366806</v>
      </c>
      <c r="F205" s="101">
        <f t="shared" si="58"/>
        <v>3970.2393594939535</v>
      </c>
      <c r="G205" s="104">
        <f t="shared" si="59"/>
        <v>1.5705444528094701</v>
      </c>
      <c r="H205" s="113">
        <f t="shared" si="60"/>
        <v>496.28091168956041</v>
      </c>
      <c r="I205" s="114">
        <f t="shared" si="61"/>
        <v>1.5687813375959512</v>
      </c>
      <c r="J205" s="101">
        <f t="shared" si="62"/>
        <v>11.719914576431396</v>
      </c>
      <c r="K205" s="104">
        <f t="shared" si="63"/>
        <v>1.4853675999491738</v>
      </c>
      <c r="L205" s="102">
        <f t="shared" si="64"/>
        <v>1</v>
      </c>
      <c r="M205" s="103">
        <f t="shared" si="65"/>
        <v>3.8315727897378756E-10</v>
      </c>
      <c r="N205" s="101">
        <f t="shared" si="66"/>
        <v>1</v>
      </c>
      <c r="O205" s="104">
        <f t="shared" si="67"/>
        <v>6.1305164635805999E-11</v>
      </c>
      <c r="P205" s="105">
        <f t="shared" ca="1" si="68"/>
        <v>1.1912398230098271</v>
      </c>
      <c r="Q205" s="106">
        <f t="shared" ca="1" si="69"/>
        <v>0.59502314652713484</v>
      </c>
      <c r="R205" s="107">
        <f t="shared" ca="1" si="70"/>
        <v>-23.780864993221602</v>
      </c>
      <c r="S205" s="108">
        <f t="shared" ca="1" si="71"/>
        <v>-190.26959941895515</v>
      </c>
      <c r="T205" s="116">
        <f t="shared" ca="1" si="72"/>
        <v>-10.269599418955153</v>
      </c>
      <c r="V205" s="72">
        <f t="shared" ca="1" si="73"/>
        <v>11615.5</v>
      </c>
      <c r="W205" s="72">
        <f t="shared" si="74"/>
        <v>134919840.25</v>
      </c>
      <c r="Y205" s="110">
        <f t="shared" si="75"/>
        <v>24.64212834635353</v>
      </c>
      <c r="Z205" s="111">
        <f t="shared" si="76"/>
        <v>-85.206313642015701</v>
      </c>
      <c r="AA205" s="72">
        <f t="shared" si="77"/>
        <v>94.793686357984299</v>
      </c>
      <c r="AB205" s="110">
        <f t="shared" ca="1" si="78"/>
        <v>-32.505392992693629</v>
      </c>
      <c r="AC205" s="111">
        <f t="shared" ca="1" si="79"/>
        <v>-105.06328577693944</v>
      </c>
      <c r="AD205" s="72">
        <f t="shared" ca="1" si="80"/>
        <v>74.936714223060562</v>
      </c>
    </row>
    <row r="206" spans="1:30">
      <c r="A206" s="118">
        <v>11682.25</v>
      </c>
      <c r="B206" s="101">
        <f t="shared" ref="B206:B269" ca="1" si="81">SQRT(1+(A206/Pole1)^2)</f>
        <v>599.07545163416262</v>
      </c>
      <c r="C206" s="102">
        <f t="shared" ref="C206:C269" ca="1" si="82">ATAN(A206/Pole1)</f>
        <v>1.5691270871996741</v>
      </c>
      <c r="D206" s="102">
        <f t="shared" ref="D206:D269" si="83">SQRT(1+(A206/Zero1)^2)</f>
        <v>1.0578359266586697</v>
      </c>
      <c r="E206" s="103">
        <f t="shared" ref="E206:E269" si="84">ATAN(A206/Zero1)</f>
        <v>0.33220299233218215</v>
      </c>
      <c r="F206" s="101">
        <f t="shared" ref="F206:F269" si="85">SQRT(1+(A206/Pole2)^2)</f>
        <v>3993.0548612357356</v>
      </c>
      <c r="G206" s="104">
        <f t="shared" ref="G206:G269" si="86">ATAN(A206/Pole2)</f>
        <v>1.5705458919661242</v>
      </c>
      <c r="H206" s="113">
        <f t="shared" ref="H206:H269" si="87">SQRT(1+(A206/Zero2)^2)</f>
        <v>499.13284374062084</v>
      </c>
      <c r="I206" s="114">
        <f t="shared" ref="I206:I269" si="88">ATAN(A206/Zero2)</f>
        <v>1.568792850803431</v>
      </c>
      <c r="J206" s="101">
        <f t="shared" ref="J206:J269" si="89">SQRT(1+(A206/pole4)^2)</f>
        <v>11.786775668718374</v>
      </c>
      <c r="K206" s="104">
        <f t="shared" ref="K206:K269" si="90">ATAN(A206/pole4)</f>
        <v>1.4858533710488926</v>
      </c>
      <c r="L206" s="102">
        <f t="shared" ref="L206:L269" si="91">SQRT(1+(A206/Zerofeed)^2)</f>
        <v>1</v>
      </c>
      <c r="M206" s="103">
        <f t="shared" ref="M206:M269" si="92">ATAN(A206/Zerofeed)</f>
        <v>3.8535914272235629E-10</v>
      </c>
      <c r="N206" s="101">
        <f t="shared" ref="N206:N269" si="93">SQRT(1+(A206/Polefeed)^2)</f>
        <v>1</v>
      </c>
      <c r="O206" s="104">
        <f t="shared" ref="O206:O269" si="94">ATAN(A206/Polefeed)</f>
        <v>6.1657462835577005E-11</v>
      </c>
      <c r="P206" s="105">
        <f t="shared" ref="P206:P269" ca="1" si="95">SQRT((1-(W206/pterm2))^2+(A206/pterm1)^2)</f>
        <v>1.1932663389111795</v>
      </c>
      <c r="Q206" s="106">
        <f t="shared" ref="Q206:Q269" ca="1" si="96">IF((ATAN((A206/pterm1)/(1-A206^2/pterm2))&gt;0),ATAN((A206/pterm1)/(1-A206^2/pterm2)),PI()+ATAN((A206/pterm1)/(1-A206^2/pterm2)))</f>
        <v>0.59775921716909353</v>
      </c>
      <c r="R206" s="107">
        <f t="shared" ref="R206:R269" ca="1" si="97">20*LOG10(((D206*H206*L206)/(B206*F206*P206*J206*N206))*Adc)</f>
        <v>-23.889545329830174</v>
      </c>
      <c r="S206" s="108">
        <f t="shared" ref="S206:S269" ca="1" si="98">((E206+I206+M206)-(C206+G206+Q206+K206+O206))*radconv</f>
        <v>-190.35317971806575</v>
      </c>
      <c r="T206" s="116">
        <f t="shared" ref="T206:T269" ca="1" si="99">IF(S206&gt;0,S206,S206+180)</f>
        <v>-10.353179718065746</v>
      </c>
      <c r="V206" s="72">
        <f t="shared" ref="V206:V269" ca="1" si="100">IF(R206&lt;0,A206,1000000000)</f>
        <v>11682.25</v>
      </c>
      <c r="W206" s="72">
        <f t="shared" ref="W206:W269" si="101">A206^2</f>
        <v>136474965.0625</v>
      </c>
      <c r="Y206" s="110">
        <f t="shared" ref="Y206:Y269" si="102">20*LOG10(((H206*L206)/(F206*J206*N206))*Aea)</f>
        <v>24.592716714732287</v>
      </c>
      <c r="Z206" s="111">
        <f t="shared" ref="Z206:Z269" si="103">(I206+M206-(G206+K206+O206))*radconv</f>
        <v>-85.233569075169271</v>
      </c>
      <c r="AA206" s="72">
        <f t="shared" ref="AA206:AA269" si="104">IF(Z206&gt;0,Z206,Z206+180)</f>
        <v>94.766430924830729</v>
      </c>
      <c r="AB206" s="110">
        <f t="shared" ref="AB206:AB269" ca="1" si="105">20*LOG10((D206/(B206*P206))*Acs*Am)</f>
        <v>-32.564661697680954</v>
      </c>
      <c r="AC206" s="111">
        <f t="shared" ref="AC206:AC269" ca="1" si="106">(E206-(C206+Q206))*radconv</f>
        <v>-105.11961064289646</v>
      </c>
      <c r="AD206" s="72">
        <f t="shared" ref="AD206:AD269" ca="1" si="107">IF(AC206&gt;0,AC206,AC206+180)</f>
        <v>74.880389357103539</v>
      </c>
    </row>
    <row r="207" spans="1:30">
      <c r="A207" s="118">
        <v>11749</v>
      </c>
      <c r="B207" s="101">
        <f t="shared" ca="1" si="81"/>
        <v>602.49843738531501</v>
      </c>
      <c r="C207" s="102">
        <f t="shared" ca="1" si="82"/>
        <v>1.5691365706908449</v>
      </c>
      <c r="D207" s="102">
        <f t="shared" si="83"/>
        <v>1.0584804246853097</v>
      </c>
      <c r="E207" s="103">
        <f t="shared" si="84"/>
        <v>0.33396346009525357</v>
      </c>
      <c r="F207" s="101">
        <f t="shared" si="85"/>
        <v>4015.8703629856932</v>
      </c>
      <c r="G207" s="104">
        <f t="shared" si="86"/>
        <v>1.5705473147701183</v>
      </c>
      <c r="H207" s="113">
        <f t="shared" si="87"/>
        <v>501.98477585709151</v>
      </c>
      <c r="I207" s="114">
        <f t="shared" si="88"/>
        <v>1.5688042331906651</v>
      </c>
      <c r="J207" s="101">
        <f t="shared" si="89"/>
        <v>11.853639510995498</v>
      </c>
      <c r="K207" s="104">
        <f t="shared" si="90"/>
        <v>1.4863336619993723</v>
      </c>
      <c r="L207" s="102">
        <f t="shared" si="91"/>
        <v>1</v>
      </c>
      <c r="M207" s="103">
        <f t="shared" si="92"/>
        <v>3.8756100647092501E-10</v>
      </c>
      <c r="N207" s="101">
        <f t="shared" si="93"/>
        <v>1</v>
      </c>
      <c r="O207" s="104">
        <f t="shared" si="94"/>
        <v>6.2009761035347998E-11</v>
      </c>
      <c r="P207" s="105">
        <f t="shared" ca="1" si="95"/>
        <v>1.1953010221521025</v>
      </c>
      <c r="Q207" s="106">
        <f t="shared" ca="1" si="96"/>
        <v>0.60048641118283308</v>
      </c>
      <c r="R207" s="107">
        <f t="shared" ca="1" si="97"/>
        <v>-23.997675159124697</v>
      </c>
      <c r="S207" s="108">
        <f t="shared" ca="1" si="98"/>
        <v>-190.43606041849688</v>
      </c>
      <c r="T207" s="116">
        <f t="shared" ca="1" si="99"/>
        <v>-10.436060418496879</v>
      </c>
      <c r="V207" s="72">
        <f t="shared" ca="1" si="100"/>
        <v>11749</v>
      </c>
      <c r="W207" s="72">
        <f t="shared" si="101"/>
        <v>138039001</v>
      </c>
      <c r="Y207" s="110">
        <f t="shared" si="102"/>
        <v>24.543582569056458</v>
      </c>
      <c r="Z207" s="111">
        <f t="shared" si="103"/>
        <v>-85.26051707740956</v>
      </c>
      <c r="AA207" s="72">
        <f t="shared" si="104"/>
        <v>94.73948292259044</v>
      </c>
      <c r="AB207" s="110">
        <f t="shared" ca="1" si="105"/>
        <v>-32.623657381299651</v>
      </c>
      <c r="AC207" s="111">
        <f t="shared" ca="1" si="106"/>
        <v>-105.17554334108731</v>
      </c>
      <c r="AD207" s="72">
        <f t="shared" ca="1" si="107"/>
        <v>74.824456658912695</v>
      </c>
    </row>
    <row r="208" spans="1:30">
      <c r="A208" s="118">
        <v>11817.5</v>
      </c>
      <c r="B208" s="101">
        <f t="shared" ca="1" si="81"/>
        <v>606.01116439162729</v>
      </c>
      <c r="C208" s="102">
        <f t="shared" ca="1" si="82"/>
        <v>1.5691461914300993</v>
      </c>
      <c r="D208" s="102">
        <f t="shared" si="83"/>
        <v>1.0591452260799259</v>
      </c>
      <c r="E208" s="103">
        <f t="shared" si="84"/>
        <v>0.33576784917154628</v>
      </c>
      <c r="F208" s="101">
        <f t="shared" si="85"/>
        <v>4039.2840239659158</v>
      </c>
      <c r="G208" s="104">
        <f t="shared" si="86"/>
        <v>1.570548758165337</v>
      </c>
      <c r="H208" s="113">
        <f t="shared" si="87"/>
        <v>504.91147779626743</v>
      </c>
      <c r="I208" s="114">
        <f t="shared" si="88"/>
        <v>1.5688157803075686</v>
      </c>
      <c r="J208" s="101">
        <f t="shared" si="89"/>
        <v>11.922259148458211</v>
      </c>
      <c r="K208" s="104">
        <f t="shared" si="90"/>
        <v>1.4868209437716626</v>
      </c>
      <c r="L208" s="102">
        <f t="shared" si="91"/>
        <v>1</v>
      </c>
      <c r="M208" s="103">
        <f t="shared" si="92"/>
        <v>3.8982059698443753E-10</v>
      </c>
      <c r="N208" s="101">
        <f t="shared" si="93"/>
        <v>1</v>
      </c>
      <c r="O208" s="104">
        <f t="shared" si="94"/>
        <v>6.2371295517510006E-11</v>
      </c>
      <c r="P208" s="105">
        <f t="shared" ca="1" si="95"/>
        <v>1.1973974971823478</v>
      </c>
      <c r="Q208" s="106">
        <f t="shared" ca="1" si="96"/>
        <v>0.60327588620431871</v>
      </c>
      <c r="R208" s="107">
        <f t="shared" ca="1" si="97"/>
        <v>-24.108073659460221</v>
      </c>
      <c r="S208" s="108">
        <f t="shared" ca="1" si="98"/>
        <v>-190.52039320173276</v>
      </c>
      <c r="T208" s="116">
        <f t="shared" ca="1" si="99"/>
        <v>-10.520393201732759</v>
      </c>
      <c r="V208" s="72">
        <f t="shared" ca="1" si="100"/>
        <v>11817.5</v>
      </c>
      <c r="W208" s="72">
        <f t="shared" si="101"/>
        <v>139653306.25</v>
      </c>
      <c r="Y208" s="110">
        <f t="shared" si="102"/>
        <v>24.493445529631785</v>
      </c>
      <c r="Z208" s="111">
        <f t="shared" si="103"/>
        <v>-85.287857365708021</v>
      </c>
      <c r="AA208" s="72">
        <f t="shared" si="104"/>
        <v>94.712142634291979</v>
      </c>
      <c r="AB208" s="110">
        <f t="shared" ca="1" si="105"/>
        <v>-32.683918842210495</v>
      </c>
      <c r="AC208" s="111">
        <f t="shared" ca="1" si="106"/>
        <v>-105.23253583602472</v>
      </c>
      <c r="AD208" s="72">
        <f t="shared" ca="1" si="107"/>
        <v>74.767464163975276</v>
      </c>
    </row>
    <row r="209" spans="1:30">
      <c r="A209" s="118">
        <v>11886</v>
      </c>
      <c r="B209" s="101">
        <f t="shared" ca="1" si="81"/>
        <v>609.52389145338464</v>
      </c>
      <c r="C209" s="102">
        <f t="shared" ca="1" si="82"/>
        <v>1.5691557012794237</v>
      </c>
      <c r="D209" s="102">
        <f t="shared" si="83"/>
        <v>1.0598134715279248</v>
      </c>
      <c r="E209" s="103">
        <f t="shared" si="84"/>
        <v>0.33756996866188727</v>
      </c>
      <c r="F209" s="101">
        <f t="shared" si="85"/>
        <v>4062.6976849544567</v>
      </c>
      <c r="G209" s="104">
        <f t="shared" si="86"/>
        <v>1.5705501849237451</v>
      </c>
      <c r="H209" s="113">
        <f t="shared" si="87"/>
        <v>507.83817980199012</v>
      </c>
      <c r="I209" s="114">
        <f t="shared" si="88"/>
        <v>1.5688271943310135</v>
      </c>
      <c r="J209" s="101">
        <f t="shared" si="89"/>
        <v>11.99088158438369</v>
      </c>
      <c r="K209" s="104">
        <f t="shared" si="90"/>
        <v>1.4873026483421863</v>
      </c>
      <c r="L209" s="102">
        <f t="shared" si="91"/>
        <v>1</v>
      </c>
      <c r="M209" s="103">
        <f t="shared" si="92"/>
        <v>3.9208018749795005E-10</v>
      </c>
      <c r="N209" s="101">
        <f t="shared" si="93"/>
        <v>1</v>
      </c>
      <c r="O209" s="104">
        <f t="shared" si="94"/>
        <v>6.2732829999672002E-11</v>
      </c>
      <c r="P209" s="105">
        <f t="shared" ca="1" si="95"/>
        <v>1.1995024854430387</v>
      </c>
      <c r="Q209" s="106">
        <f t="shared" ca="1" si="96"/>
        <v>0.60605603445737566</v>
      </c>
      <c r="R209" s="107">
        <f t="shared" ca="1" si="97"/>
        <v>-24.217904816308405</v>
      </c>
      <c r="S209" s="108">
        <f t="shared" ca="1" si="98"/>
        <v>-190.60400240702336</v>
      </c>
      <c r="T209" s="116">
        <f t="shared" ca="1" si="99"/>
        <v>-10.604002407023359</v>
      </c>
      <c r="V209" s="72">
        <f t="shared" ca="1" si="100"/>
        <v>11886</v>
      </c>
      <c r="W209" s="72">
        <f t="shared" si="101"/>
        <v>141276996</v>
      </c>
      <c r="Y209" s="110">
        <f t="shared" si="102"/>
        <v>24.443594207104585</v>
      </c>
      <c r="Z209" s="111">
        <f t="shared" si="103"/>
        <v>-85.314884776357843</v>
      </c>
      <c r="AA209" s="72">
        <f t="shared" si="104"/>
        <v>94.685115223642157</v>
      </c>
      <c r="AB209" s="110">
        <f t="shared" ca="1" si="105"/>
        <v>-32.743898676531487</v>
      </c>
      <c r="AC209" s="111">
        <f t="shared" ca="1" si="106"/>
        <v>-105.2891176306655</v>
      </c>
      <c r="AD209" s="72">
        <f t="shared" ca="1" si="107"/>
        <v>74.710882369334499</v>
      </c>
    </row>
    <row r="210" spans="1:30">
      <c r="A210" s="118">
        <v>11954.5</v>
      </c>
      <c r="B210" s="101">
        <f t="shared" ca="1" si="81"/>
        <v>613.0366185696339</v>
      </c>
      <c r="C210" s="102">
        <f t="shared" ca="1" si="82"/>
        <v>1.5691651021450288</v>
      </c>
      <c r="D210" s="102">
        <f t="shared" si="83"/>
        <v>1.0604851545186833</v>
      </c>
      <c r="E210" s="103">
        <f t="shared" si="84"/>
        <v>0.33936981116253723</v>
      </c>
      <c r="F210" s="101">
        <f t="shared" si="85"/>
        <v>4086.1113459511726</v>
      </c>
      <c r="G210" s="104">
        <f t="shared" si="86"/>
        <v>1.570551595331332</v>
      </c>
      <c r="H210" s="113">
        <f t="shared" si="87"/>
        <v>510.76488187311571</v>
      </c>
      <c r="I210" s="114">
        <f t="shared" si="88"/>
        <v>1.5688384775488888</v>
      </c>
      <c r="J210" s="101">
        <f t="shared" si="89"/>
        <v>12.059506770999503</v>
      </c>
      <c r="K210" s="104">
        <f t="shared" si="90"/>
        <v>1.487778870697446</v>
      </c>
      <c r="L210" s="102">
        <f t="shared" si="91"/>
        <v>1</v>
      </c>
      <c r="M210" s="103">
        <f t="shared" si="92"/>
        <v>3.9433977801146252E-10</v>
      </c>
      <c r="N210" s="101">
        <f t="shared" si="93"/>
        <v>1</v>
      </c>
      <c r="O210" s="104">
        <f t="shared" si="94"/>
        <v>6.3094364481833997E-11</v>
      </c>
      <c r="P210" s="105">
        <f t="shared" ca="1" si="95"/>
        <v>1.201615942574225</v>
      </c>
      <c r="Q210" s="106">
        <f t="shared" ca="1" si="96"/>
        <v>0.60882686745287484</v>
      </c>
      <c r="R210" s="107">
        <f t="shared" ca="1" si="97"/>
        <v>-24.327174749550725</v>
      </c>
      <c r="S210" s="108">
        <f t="shared" ca="1" si="98"/>
        <v>-190.68689455493913</v>
      </c>
      <c r="T210" s="116">
        <f t="shared" ca="1" si="99"/>
        <v>-10.68689455493913</v>
      </c>
      <c r="V210" s="72">
        <f t="shared" ca="1" si="100"/>
        <v>11954.5</v>
      </c>
      <c r="W210" s="72">
        <f t="shared" si="101"/>
        <v>142910070.25</v>
      </c>
      <c r="Y210" s="110">
        <f t="shared" si="102"/>
        <v>24.39402538650058</v>
      </c>
      <c r="Z210" s="111">
        <f t="shared" si="103"/>
        <v>-85.341604636984329</v>
      </c>
      <c r="AA210" s="72">
        <f t="shared" si="104"/>
        <v>94.658395363015671</v>
      </c>
      <c r="AB210" s="110">
        <f t="shared" ca="1" si="105"/>
        <v>-32.803599789169795</v>
      </c>
      <c r="AC210" s="111">
        <f t="shared" ca="1" si="106"/>
        <v>-105.34528991795482</v>
      </c>
      <c r="AD210" s="72">
        <f t="shared" ca="1" si="107"/>
        <v>74.654710082045185</v>
      </c>
    </row>
    <row r="211" spans="1:30">
      <c r="A211" s="118">
        <v>12023</v>
      </c>
      <c r="B211" s="101">
        <f t="shared" ca="1" si="81"/>
        <v>616.54934573944365</v>
      </c>
      <c r="C211" s="102">
        <f t="shared" ca="1" si="82"/>
        <v>1.569174395889684</v>
      </c>
      <c r="D211" s="102">
        <f t="shared" si="83"/>
        <v>1.061160268524614</v>
      </c>
      <c r="E211" s="103">
        <f t="shared" si="84"/>
        <v>0.34116736934746339</v>
      </c>
      <c r="F211" s="101">
        <f t="shared" si="85"/>
        <v>4109.5250069559243</v>
      </c>
      <c r="G211" s="104">
        <f t="shared" si="86"/>
        <v>1.5705529896675703</v>
      </c>
      <c r="H211" s="113">
        <f t="shared" si="87"/>
        <v>513.69158400852632</v>
      </c>
      <c r="I211" s="114">
        <f t="shared" si="88"/>
        <v>1.5688496321969432</v>
      </c>
      <c r="J211" s="101">
        <f t="shared" si="89"/>
        <v>12.128134661612577</v>
      </c>
      <c r="K211" s="104">
        <f t="shared" si="90"/>
        <v>1.4882497036840692</v>
      </c>
      <c r="L211" s="102">
        <f t="shared" si="91"/>
        <v>1</v>
      </c>
      <c r="M211" s="103">
        <f t="shared" si="92"/>
        <v>3.9659936852497504E-10</v>
      </c>
      <c r="N211" s="101">
        <f t="shared" si="93"/>
        <v>1</v>
      </c>
      <c r="O211" s="104">
        <f t="shared" si="94"/>
        <v>6.3455898963996005E-11</v>
      </c>
      <c r="P211" s="105">
        <f t="shared" ca="1" si="95"/>
        <v>1.2037378243503163</v>
      </c>
      <c r="Q211" s="106">
        <f t="shared" ca="1" si="96"/>
        <v>0.61158839714356195</v>
      </c>
      <c r="R211" s="107">
        <f t="shared" ca="1" si="97"/>
        <v>-24.435889471865764</v>
      </c>
      <c r="S211" s="108">
        <f t="shared" ca="1" si="98"/>
        <v>-190.76907606443507</v>
      </c>
      <c r="T211" s="116">
        <f t="shared" ca="1" si="99"/>
        <v>-10.769076064435069</v>
      </c>
      <c r="V211" s="72">
        <f t="shared" ca="1" si="100"/>
        <v>12023</v>
      </c>
      <c r="W211" s="72">
        <f t="shared" si="101"/>
        <v>144552529</v>
      </c>
      <c r="Y211" s="110">
        <f t="shared" si="102"/>
        <v>24.344735906412854</v>
      </c>
      <c r="Z211" s="111">
        <f t="shared" si="103"/>
        <v>-85.368022155220984</v>
      </c>
      <c r="AA211" s="72">
        <f t="shared" si="104"/>
        <v>94.631977844779016</v>
      </c>
      <c r="AB211" s="110">
        <f t="shared" ca="1" si="105"/>
        <v>-32.863025031397108</v>
      </c>
      <c r="AC211" s="111">
        <f t="shared" ca="1" si="106"/>
        <v>-105.40105390921411</v>
      </c>
      <c r="AD211" s="72">
        <f t="shared" ca="1" si="107"/>
        <v>74.598946090785887</v>
      </c>
    </row>
    <row r="212" spans="1:30">
      <c r="A212" s="118">
        <v>12093</v>
      </c>
      <c r="B212" s="101">
        <f t="shared" ca="1" si="81"/>
        <v>620.13899399655452</v>
      </c>
      <c r="C212" s="102">
        <f t="shared" ca="1" si="82"/>
        <v>1.569183784376079</v>
      </c>
      <c r="D212" s="102">
        <f t="shared" si="83"/>
        <v>1.0618537037740243</v>
      </c>
      <c r="E212" s="103">
        <f t="shared" si="84"/>
        <v>0.34300192268226681</v>
      </c>
      <c r="F212" s="101">
        <f t="shared" si="85"/>
        <v>4133.4513758740504</v>
      </c>
      <c r="G212" s="104">
        <f t="shared" si="86"/>
        <v>1.5705543982178263</v>
      </c>
      <c r="H212" s="113">
        <f t="shared" si="87"/>
        <v>516.68237457714099</v>
      </c>
      <c r="I212" s="114">
        <f t="shared" si="88"/>
        <v>1.5688609005571985</v>
      </c>
      <c r="J212" s="101">
        <f t="shared" si="89"/>
        <v>12.198268098720483</v>
      </c>
      <c r="K212" s="104">
        <f t="shared" si="90"/>
        <v>1.4887253736407942</v>
      </c>
      <c r="L212" s="102">
        <f t="shared" si="91"/>
        <v>1</v>
      </c>
      <c r="M212" s="103">
        <f t="shared" si="92"/>
        <v>3.9890843912272502E-10</v>
      </c>
      <c r="N212" s="101">
        <f t="shared" si="93"/>
        <v>1</v>
      </c>
      <c r="O212" s="104">
        <f t="shared" si="94"/>
        <v>6.3825350259635998E-11</v>
      </c>
      <c r="P212" s="105">
        <f t="shared" ca="1" si="95"/>
        <v>1.2059148281977821</v>
      </c>
      <c r="Q212" s="106">
        <f t="shared" ca="1" si="96"/>
        <v>0.61440080006168085</v>
      </c>
      <c r="R212" s="107">
        <f t="shared" ca="1" si="97"/>
        <v>-24.546417375044541</v>
      </c>
      <c r="S212" s="108">
        <f t="shared" ca="1" si="98"/>
        <v>-190.85232959464992</v>
      </c>
      <c r="T212" s="116">
        <f t="shared" ca="1" si="99"/>
        <v>-10.852329594649916</v>
      </c>
      <c r="V212" s="72">
        <f t="shared" ca="1" si="100"/>
        <v>12093</v>
      </c>
      <c r="W212" s="72">
        <f t="shared" si="101"/>
        <v>146240649</v>
      </c>
      <c r="Y212" s="110">
        <f t="shared" si="102"/>
        <v>24.294652442521411</v>
      </c>
      <c r="Z212" s="111">
        <f t="shared" si="103"/>
        <v>-85.394711110602131</v>
      </c>
      <c r="AA212" s="72">
        <f t="shared" si="104"/>
        <v>94.605288889397869</v>
      </c>
      <c r="AB212" s="110">
        <f t="shared" ca="1" si="105"/>
        <v>-32.923469470684445</v>
      </c>
      <c r="AC212" s="111">
        <f t="shared" ca="1" si="106"/>
        <v>-105.4576184840478</v>
      </c>
      <c r="AD212" s="72">
        <f t="shared" ca="1" si="107"/>
        <v>74.542381515952201</v>
      </c>
    </row>
    <row r="213" spans="1:30">
      <c r="A213" s="118">
        <v>12163</v>
      </c>
      <c r="B213" s="101">
        <f t="shared" ca="1" si="81"/>
        <v>623.72864230769756</v>
      </c>
      <c r="C213" s="102">
        <f t="shared" ca="1" si="82"/>
        <v>1.5691930647982879</v>
      </c>
      <c r="D213" s="102">
        <f t="shared" si="83"/>
        <v>1.0625507081117478</v>
      </c>
      <c r="E213" s="103">
        <f t="shared" si="84"/>
        <v>0.34483407534252547</v>
      </c>
      <c r="F213" s="101">
        <f t="shared" si="85"/>
        <v>4157.3777448002811</v>
      </c>
      <c r="G213" s="104">
        <f t="shared" si="86"/>
        <v>1.5705557905552217</v>
      </c>
      <c r="H213" s="113">
        <f t="shared" si="87"/>
        <v>519.67316521060673</v>
      </c>
      <c r="I213" s="114">
        <f t="shared" si="88"/>
        <v>1.5688720392155253</v>
      </c>
      <c r="J213" s="101">
        <f t="shared" si="89"/>
        <v>12.268404264275826</v>
      </c>
      <c r="K213" s="104">
        <f t="shared" si="90"/>
        <v>1.4891956050710951</v>
      </c>
      <c r="L213" s="102">
        <f t="shared" si="91"/>
        <v>1</v>
      </c>
      <c r="M213" s="103">
        <f t="shared" si="92"/>
        <v>4.0121750972047505E-10</v>
      </c>
      <c r="N213" s="101">
        <f t="shared" si="93"/>
        <v>1</v>
      </c>
      <c r="O213" s="104">
        <f t="shared" si="94"/>
        <v>6.4194801555276005E-11</v>
      </c>
      <c r="P213" s="105">
        <f t="shared" ca="1" si="95"/>
        <v>1.2081005367510906</v>
      </c>
      <c r="Q213" s="106">
        <f t="shared" ca="1" si="96"/>
        <v>0.61720351438596266</v>
      </c>
      <c r="R213" s="107">
        <f t="shared" ca="1" si="97"/>
        <v>-24.656377848718432</v>
      </c>
      <c r="S213" s="108">
        <f t="shared" ca="1" si="98"/>
        <v>-190.93485426405897</v>
      </c>
      <c r="T213" s="116">
        <f t="shared" ca="1" si="99"/>
        <v>-10.93485426405897</v>
      </c>
      <c r="V213" s="72">
        <f t="shared" ca="1" si="100"/>
        <v>12163</v>
      </c>
      <c r="W213" s="72">
        <f t="shared" si="101"/>
        <v>147938569</v>
      </c>
      <c r="Y213" s="110">
        <f t="shared" si="102"/>
        <v>24.244854178032426</v>
      </c>
      <c r="Z213" s="111">
        <f t="shared" si="103"/>
        <v>-85.421094963816643</v>
      </c>
      <c r="AA213" s="72">
        <f t="shared" si="104"/>
        <v>94.578905036183357</v>
      </c>
      <c r="AB213" s="110">
        <f t="shared" ca="1" si="105"/>
        <v>-32.983631679869347</v>
      </c>
      <c r="AC213" s="111">
        <f t="shared" ca="1" si="106"/>
        <v>-105.51375930024234</v>
      </c>
      <c r="AD213" s="72">
        <f t="shared" ca="1" si="107"/>
        <v>74.486240699757658</v>
      </c>
    </row>
    <row r="214" spans="1:30">
      <c r="A214" s="118">
        <v>12233</v>
      </c>
      <c r="B214" s="101">
        <f t="shared" ca="1" si="81"/>
        <v>627.31829067194519</v>
      </c>
      <c r="C214" s="102">
        <f t="shared" ca="1" si="82"/>
        <v>1.5692022390114075</v>
      </c>
      <c r="D214" s="102">
        <f t="shared" si="83"/>
        <v>1.0632512745187377</v>
      </c>
      <c r="E214" s="103">
        <f t="shared" si="84"/>
        <v>0.34666381976130939</v>
      </c>
      <c r="F214" s="101">
        <f t="shared" si="85"/>
        <v>4181.304113734479</v>
      </c>
      <c r="G214" s="104">
        <f t="shared" si="86"/>
        <v>1.5705571669580773</v>
      </c>
      <c r="H214" s="113">
        <f t="shared" si="87"/>
        <v>522.66395590781008</v>
      </c>
      <c r="I214" s="114">
        <f t="shared" si="88"/>
        <v>1.5688830503984637</v>
      </c>
      <c r="J214" s="101">
        <f t="shared" si="89"/>
        <v>12.338543111750537</v>
      </c>
      <c r="K214" s="104">
        <f t="shared" si="90"/>
        <v>1.489660490511663</v>
      </c>
      <c r="L214" s="102">
        <f t="shared" si="91"/>
        <v>1</v>
      </c>
      <c r="M214" s="103">
        <f t="shared" si="92"/>
        <v>4.0352658031822503E-10</v>
      </c>
      <c r="N214" s="101">
        <f t="shared" si="93"/>
        <v>1</v>
      </c>
      <c r="O214" s="104">
        <f t="shared" si="94"/>
        <v>6.4564252850915998E-11</v>
      </c>
      <c r="P214" s="105">
        <f t="shared" ca="1" si="95"/>
        <v>1.2102949032624115</v>
      </c>
      <c r="Q214" s="106">
        <f t="shared" ca="1" si="96"/>
        <v>0.61999655425231137</v>
      </c>
      <c r="R214" s="107">
        <f t="shared" ca="1" si="97"/>
        <v>-24.765776978270541</v>
      </c>
      <c r="S214" s="108">
        <f t="shared" ca="1" si="98"/>
        <v>-191.01665661276942</v>
      </c>
      <c r="T214" s="116">
        <f t="shared" ca="1" si="99"/>
        <v>-11.016656612769424</v>
      </c>
      <c r="V214" s="72">
        <f t="shared" ca="1" si="100"/>
        <v>12233</v>
      </c>
      <c r="W214" s="72">
        <f t="shared" si="101"/>
        <v>149646289</v>
      </c>
      <c r="Y214" s="110">
        <f t="shared" si="102"/>
        <v>24.195337905111913</v>
      </c>
      <c r="Z214" s="111">
        <f t="shared" si="103"/>
        <v>-85.447178905201667</v>
      </c>
      <c r="AA214" s="72">
        <f t="shared" si="104"/>
        <v>94.552821094798333</v>
      </c>
      <c r="AB214" s="110">
        <f t="shared" ca="1" si="105"/>
        <v>-33.04351453650095</v>
      </c>
      <c r="AC214" s="111">
        <f t="shared" ca="1" si="106"/>
        <v>-105.56947770756774</v>
      </c>
      <c r="AD214" s="72">
        <f t="shared" ca="1" si="107"/>
        <v>74.430522292432258</v>
      </c>
    </row>
    <row r="215" spans="1:30">
      <c r="A215" s="118">
        <v>12303</v>
      </c>
      <c r="B215" s="101">
        <f t="shared" ca="1" si="81"/>
        <v>630.907939088391</v>
      </c>
      <c r="C215" s="102">
        <f t="shared" ca="1" si="82"/>
        <v>1.5692113088283155</v>
      </c>
      <c r="D215" s="102">
        <f t="shared" si="83"/>
        <v>1.0639553959586106</v>
      </c>
      <c r="E215" s="103">
        <f t="shared" si="84"/>
        <v>0.34849114845606927</v>
      </c>
      <c r="F215" s="101">
        <f t="shared" si="85"/>
        <v>4205.2304826765094</v>
      </c>
      <c r="G215" s="104">
        <f t="shared" si="86"/>
        <v>1.57055852769838</v>
      </c>
      <c r="H215" s="113">
        <f t="shared" si="87"/>
        <v>525.6547466676634</v>
      </c>
      <c r="I215" s="114">
        <f t="shared" si="88"/>
        <v>1.5688939362818817</v>
      </c>
      <c r="J215" s="101">
        <f t="shared" si="89"/>
        <v>12.408684595666776</v>
      </c>
      <c r="K215" s="104">
        <f t="shared" si="90"/>
        <v>1.4901201204162575</v>
      </c>
      <c r="L215" s="102">
        <f t="shared" si="91"/>
        <v>1</v>
      </c>
      <c r="M215" s="103">
        <f t="shared" si="92"/>
        <v>4.0583565091597507E-10</v>
      </c>
      <c r="N215" s="101">
        <f t="shared" si="93"/>
        <v>1</v>
      </c>
      <c r="O215" s="104">
        <f t="shared" si="94"/>
        <v>6.4933704146556004E-11</v>
      </c>
      <c r="P215" s="105">
        <f t="shared" ca="1" si="95"/>
        <v>1.212497881138568</v>
      </c>
      <c r="Q215" s="106">
        <f t="shared" ca="1" si="96"/>
        <v>0.62277993424525957</v>
      </c>
      <c r="R215" s="107">
        <f t="shared" ca="1" si="97"/>
        <v>-24.874620742701058</v>
      </c>
      <c r="S215" s="108">
        <f t="shared" ca="1" si="98"/>
        <v>-191.09774308253637</v>
      </c>
      <c r="T215" s="116">
        <f t="shared" ca="1" si="99"/>
        <v>-11.097743082536368</v>
      </c>
      <c r="V215" s="72">
        <f t="shared" ca="1" si="100"/>
        <v>12303</v>
      </c>
      <c r="W215" s="72">
        <f t="shared" si="101"/>
        <v>151363809</v>
      </c>
      <c r="Y215" s="110">
        <f t="shared" si="102"/>
        <v>24.146100469371103</v>
      </c>
      <c r="Z215" s="111">
        <f t="shared" si="103"/>
        <v>-85.472968008291502</v>
      </c>
      <c r="AA215" s="72">
        <f t="shared" si="104"/>
        <v>94.527031991708498</v>
      </c>
      <c r="AB215" s="110">
        <f t="shared" ca="1" si="105"/>
        <v>-33.103120865190661</v>
      </c>
      <c r="AC215" s="111">
        <f t="shared" ca="1" si="106"/>
        <v>-105.62477507424492</v>
      </c>
      <c r="AD215" s="72">
        <f t="shared" ca="1" si="107"/>
        <v>74.375224925755077</v>
      </c>
    </row>
    <row r="216" spans="1:30">
      <c r="A216" s="118">
        <v>12374.5</v>
      </c>
      <c r="B216" s="101">
        <f t="shared" ca="1" si="81"/>
        <v>634.57450859529899</v>
      </c>
      <c r="C216" s="102">
        <f t="shared" ca="1" si="82"/>
        <v>1.5692204670647245</v>
      </c>
      <c r="D216" s="102">
        <f t="shared" si="83"/>
        <v>1.0646782684991845</v>
      </c>
      <c r="E216" s="103">
        <f t="shared" si="84"/>
        <v>0.35035513257550055</v>
      </c>
      <c r="F216" s="101">
        <f t="shared" si="85"/>
        <v>4229.6695595323863</v>
      </c>
      <c r="G216" s="104">
        <f t="shared" si="86"/>
        <v>1.5705599017041794</v>
      </c>
      <c r="H216" s="113">
        <f t="shared" si="87"/>
        <v>528.70962586451469</v>
      </c>
      <c r="I216" s="114">
        <f t="shared" si="88"/>
        <v>1.5689049282893437</v>
      </c>
      <c r="J216" s="101">
        <f t="shared" si="89"/>
        <v>12.480331786952322</v>
      </c>
      <c r="K216" s="104">
        <f t="shared" si="90"/>
        <v>1.4905842657952471</v>
      </c>
      <c r="L216" s="102">
        <f t="shared" si="91"/>
        <v>1</v>
      </c>
      <c r="M216" s="103">
        <f t="shared" si="92"/>
        <v>4.0819420159796256E-10</v>
      </c>
      <c r="N216" s="101">
        <f t="shared" si="93"/>
        <v>1</v>
      </c>
      <c r="O216" s="104">
        <f t="shared" si="94"/>
        <v>6.5311072255674009E-11</v>
      </c>
      <c r="P216" s="105">
        <f t="shared" ca="1" si="95"/>
        <v>1.2147569075378806</v>
      </c>
      <c r="Q216" s="106">
        <f t="shared" ca="1" si="96"/>
        <v>0.62561300113254248</v>
      </c>
      <c r="R216" s="107">
        <f t="shared" ca="1" si="97"/>
        <v>-24.985229637901028</v>
      </c>
      <c r="S216" s="108">
        <f t="shared" ca="1" si="98"/>
        <v>-191.17983466380142</v>
      </c>
      <c r="T216" s="116">
        <f t="shared" ca="1" si="99"/>
        <v>-11.179834663801415</v>
      </c>
      <c r="V216" s="72">
        <f t="shared" ca="1" si="100"/>
        <v>12374.5</v>
      </c>
      <c r="W216" s="72">
        <f t="shared" si="101"/>
        <v>153128250.25</v>
      </c>
      <c r="Y216" s="110">
        <f t="shared" si="102"/>
        <v>24.096092584415508</v>
      </c>
      <c r="Z216" s="111">
        <f t="shared" si="103"/>
        <v>-85.4990105086017</v>
      </c>
      <c r="AA216" s="72">
        <f t="shared" si="104"/>
        <v>94.5009894913983</v>
      </c>
      <c r="AB216" s="110">
        <f t="shared" ca="1" si="105"/>
        <v>-33.16372187543503</v>
      </c>
      <c r="AC216" s="111">
        <f t="shared" ca="1" si="106"/>
        <v>-105.68082415519972</v>
      </c>
      <c r="AD216" s="72">
        <f t="shared" ca="1" si="107"/>
        <v>74.319175844800284</v>
      </c>
    </row>
    <row r="217" spans="1:30">
      <c r="A217" s="118">
        <v>12446</v>
      </c>
      <c r="B217" s="101">
        <f t="shared" ca="1" si="81"/>
        <v>638.24107815481943</v>
      </c>
      <c r="C217" s="102">
        <f t="shared" ca="1" si="82"/>
        <v>1.5692295200765978</v>
      </c>
      <c r="D217" s="102">
        <f t="shared" si="83"/>
        <v>1.0654048351698961</v>
      </c>
      <c r="E217" s="103">
        <f t="shared" si="84"/>
        <v>0.35221658081870399</v>
      </c>
      <c r="F217" s="101">
        <f t="shared" si="85"/>
        <v>4254.1086363961567</v>
      </c>
      <c r="G217" s="104">
        <f t="shared" si="86"/>
        <v>1.5705612599231544</v>
      </c>
      <c r="H217" s="113">
        <f t="shared" si="87"/>
        <v>531.76450512451299</v>
      </c>
      <c r="I217" s="114">
        <f t="shared" si="88"/>
        <v>1.5689157940030987</v>
      </c>
      <c r="J217" s="101">
        <f t="shared" si="89"/>
        <v>12.551981636193224</v>
      </c>
      <c r="K217" s="104">
        <f t="shared" si="90"/>
        <v>1.4910431123564238</v>
      </c>
      <c r="L217" s="102">
        <f t="shared" si="91"/>
        <v>1</v>
      </c>
      <c r="M217" s="103">
        <f t="shared" si="92"/>
        <v>4.1055275227995006E-10</v>
      </c>
      <c r="N217" s="101">
        <f t="shared" si="93"/>
        <v>1</v>
      </c>
      <c r="O217" s="104">
        <f t="shared" si="94"/>
        <v>6.5688440364792E-11</v>
      </c>
      <c r="P217" s="105">
        <f t="shared" ca="1" si="95"/>
        <v>1.2170248205516607</v>
      </c>
      <c r="Q217" s="106">
        <f t="shared" ca="1" si="96"/>
        <v>0.62843602187055581</v>
      </c>
      <c r="R217" s="107">
        <f t="shared" ca="1" si="97"/>
        <v>-25.095271392429947</v>
      </c>
      <c r="S217" s="108">
        <f t="shared" ca="1" si="98"/>
        <v>-191.26119264087652</v>
      </c>
      <c r="T217" s="116">
        <f t="shared" ca="1" si="99"/>
        <v>-11.261192640876516</v>
      </c>
      <c r="V217" s="72">
        <f t="shared" ca="1" si="100"/>
        <v>12446</v>
      </c>
      <c r="W217" s="72">
        <f t="shared" si="101"/>
        <v>154902916</v>
      </c>
      <c r="Y217" s="110">
        <f t="shared" si="102"/>
        <v>24.046369127766564</v>
      </c>
      <c r="Z217" s="111">
        <f t="shared" si="103"/>
        <v>-85.524755740592497</v>
      </c>
      <c r="AA217" s="72">
        <f t="shared" si="104"/>
        <v>94.475244259407503</v>
      </c>
      <c r="AB217" s="110">
        <f t="shared" ca="1" si="105"/>
        <v>-33.224040173315011</v>
      </c>
      <c r="AC217" s="111">
        <f t="shared" ca="1" si="106"/>
        <v>-105.73643690028396</v>
      </c>
      <c r="AD217" s="72">
        <f t="shared" ca="1" si="107"/>
        <v>74.263563099716038</v>
      </c>
    </row>
    <row r="218" spans="1:30">
      <c r="A218" s="118">
        <v>12517.5</v>
      </c>
      <c r="B218" s="101">
        <f t="shared" ca="1" si="81"/>
        <v>641.90764776605056</v>
      </c>
      <c r="C218" s="102">
        <f t="shared" ca="1" si="82"/>
        <v>1.5692384696670578</v>
      </c>
      <c r="D218" s="102">
        <f t="shared" si="83"/>
        <v>1.0661350884181424</v>
      </c>
      <c r="E218" s="103">
        <f t="shared" si="84"/>
        <v>0.35407548548367429</v>
      </c>
      <c r="F218" s="101">
        <f t="shared" si="85"/>
        <v>4278.547713267686</v>
      </c>
      <c r="G218" s="104">
        <f t="shared" si="86"/>
        <v>1.5705626026258279</v>
      </c>
      <c r="H218" s="113">
        <f t="shared" si="87"/>
        <v>534.81938444657624</v>
      </c>
      <c r="I218" s="114">
        <f t="shared" si="88"/>
        <v>1.5689265355873068</v>
      </c>
      <c r="J218" s="101">
        <f t="shared" si="89"/>
        <v>12.623634098131014</v>
      </c>
      <c r="K218" s="104">
        <f t="shared" si="90"/>
        <v>1.4914967501340826</v>
      </c>
      <c r="L218" s="102">
        <f t="shared" si="91"/>
        <v>1</v>
      </c>
      <c r="M218" s="103">
        <f t="shared" si="92"/>
        <v>4.1291130296193755E-10</v>
      </c>
      <c r="N218" s="101">
        <f t="shared" si="93"/>
        <v>1</v>
      </c>
      <c r="O218" s="104">
        <f t="shared" si="94"/>
        <v>6.6065808473910004E-11</v>
      </c>
      <c r="P218" s="105">
        <f t="shared" ca="1" si="95"/>
        <v>1.2193015710387825</v>
      </c>
      <c r="Q218" s="106">
        <f t="shared" ca="1" si="96"/>
        <v>0.63124901339766559</v>
      </c>
      <c r="R218" s="107">
        <f t="shared" ca="1" si="97"/>
        <v>-25.204752050031779</v>
      </c>
      <c r="S218" s="108">
        <f t="shared" ca="1" si="98"/>
        <v>-191.34182357894974</v>
      </c>
      <c r="T218" s="116">
        <f t="shared" ca="1" si="99"/>
        <v>-11.341823578949743</v>
      </c>
      <c r="V218" s="72">
        <f t="shared" ca="1" si="100"/>
        <v>12517.5</v>
      </c>
      <c r="W218" s="72">
        <f t="shared" si="101"/>
        <v>156687806.25</v>
      </c>
      <c r="Y218" s="110">
        <f t="shared" si="102"/>
        <v>23.996926903069266</v>
      </c>
      <c r="Z218" s="111">
        <f t="shared" si="103"/>
        <v>-85.550208754351559</v>
      </c>
      <c r="AA218" s="72">
        <f t="shared" si="104"/>
        <v>94.449791245648441</v>
      </c>
      <c r="AB218" s="110">
        <f t="shared" ca="1" si="105"/>
        <v>-33.284078606219538</v>
      </c>
      <c r="AC218" s="111">
        <f t="shared" ca="1" si="106"/>
        <v>-105.7916148245982</v>
      </c>
      <c r="AD218" s="72">
        <f t="shared" ca="1" si="107"/>
        <v>74.208385175401801</v>
      </c>
    </row>
    <row r="219" spans="1:30">
      <c r="A219" s="118">
        <v>12589</v>
      </c>
      <c r="B219" s="101">
        <f t="shared" ca="1" si="81"/>
        <v>645.5742174281113</v>
      </c>
      <c r="C219" s="102">
        <f t="shared" ca="1" si="82"/>
        <v>1.569247317598264</v>
      </c>
      <c r="D219" s="102">
        <f t="shared" si="83"/>
        <v>1.0668690206737288</v>
      </c>
      <c r="E219" s="103">
        <f t="shared" si="84"/>
        <v>0.35593183895975511</v>
      </c>
      <c r="F219" s="101">
        <f t="shared" si="85"/>
        <v>4302.9867901468406</v>
      </c>
      <c r="G219" s="104">
        <f t="shared" si="86"/>
        <v>1.5705639300765772</v>
      </c>
      <c r="H219" s="113">
        <f t="shared" si="87"/>
        <v>537.87426382964679</v>
      </c>
      <c r="I219" s="114">
        <f t="shared" si="88"/>
        <v>1.5689371551569624</v>
      </c>
      <c r="J219" s="101">
        <f t="shared" si="89"/>
        <v>12.695289128527357</v>
      </c>
      <c r="K219" s="104">
        <f t="shared" si="90"/>
        <v>1.4919452671385103</v>
      </c>
      <c r="L219" s="102">
        <f t="shared" si="91"/>
        <v>1</v>
      </c>
      <c r="M219" s="103">
        <f t="shared" si="92"/>
        <v>4.1526985364392505E-10</v>
      </c>
      <c r="N219" s="101">
        <f t="shared" si="93"/>
        <v>1</v>
      </c>
      <c r="O219" s="104">
        <f t="shared" si="94"/>
        <v>6.6443176583028009E-11</v>
      </c>
      <c r="P219" s="105">
        <f t="shared" ca="1" si="95"/>
        <v>1.2215871100345215</v>
      </c>
      <c r="Q219" s="106">
        <f t="shared" ca="1" si="96"/>
        <v>0.63405199310460458</v>
      </c>
      <c r="R219" s="107">
        <f t="shared" ca="1" si="97"/>
        <v>-25.313677549091235</v>
      </c>
      <c r="S219" s="108">
        <f t="shared" ca="1" si="98"/>
        <v>-191.42173394804513</v>
      </c>
      <c r="T219" s="116">
        <f t="shared" ca="1" si="99"/>
        <v>-11.42173394804513</v>
      </c>
      <c r="V219" s="72">
        <f t="shared" ca="1" si="100"/>
        <v>12589</v>
      </c>
      <c r="W219" s="72">
        <f t="shared" si="101"/>
        <v>158482921</v>
      </c>
      <c r="Y219" s="110">
        <f t="shared" si="102"/>
        <v>23.94776276719368</v>
      </c>
      <c r="Z219" s="111">
        <f t="shared" si="103"/>
        <v>-85.57537448646427</v>
      </c>
      <c r="AA219" s="72">
        <f t="shared" si="104"/>
        <v>94.42462551353573</v>
      </c>
      <c r="AB219" s="110">
        <f t="shared" ca="1" si="105"/>
        <v>-33.343839969403412</v>
      </c>
      <c r="AC219" s="111">
        <f t="shared" ca="1" si="106"/>
        <v>-105.84635946158087</v>
      </c>
      <c r="AD219" s="72">
        <f t="shared" ca="1" si="107"/>
        <v>74.153640538419126</v>
      </c>
    </row>
    <row r="220" spans="1:30">
      <c r="A220" s="118">
        <v>12662.25</v>
      </c>
      <c r="B220" s="101">
        <f t="shared" ca="1" si="81"/>
        <v>649.33052835748799</v>
      </c>
      <c r="C220" s="102">
        <f t="shared" ca="1" si="82"/>
        <v>1.5692562784657027</v>
      </c>
      <c r="D220" s="102">
        <f t="shared" si="83"/>
        <v>1.0676247235513496</v>
      </c>
      <c r="E220" s="103">
        <f t="shared" si="84"/>
        <v>0.35783097418440918</v>
      </c>
      <c r="F220" s="101">
        <f t="shared" si="85"/>
        <v>4328.0240262580828</v>
      </c>
      <c r="G220" s="104">
        <f t="shared" si="86"/>
        <v>1.5705652744710576</v>
      </c>
      <c r="H220" s="113">
        <f t="shared" si="87"/>
        <v>541.00391305001244</v>
      </c>
      <c r="I220" s="114">
        <f t="shared" si="88"/>
        <v>1.5689479102764223</v>
      </c>
      <c r="J220" s="101">
        <f t="shared" si="89"/>
        <v>12.768700571691266</v>
      </c>
      <c r="K220" s="104">
        <f t="shared" si="90"/>
        <v>1.4923995414674687</v>
      </c>
      <c r="L220" s="102">
        <f t="shared" si="91"/>
        <v>1</v>
      </c>
      <c r="M220" s="103">
        <f t="shared" si="92"/>
        <v>4.1768613109085628E-10</v>
      </c>
      <c r="N220" s="101">
        <f t="shared" si="93"/>
        <v>1</v>
      </c>
      <c r="O220" s="104">
        <f t="shared" si="94"/>
        <v>6.6829780974537002E-11</v>
      </c>
      <c r="P220" s="105">
        <f t="shared" ca="1" si="95"/>
        <v>1.2239376515881621</v>
      </c>
      <c r="Q220" s="106">
        <f t="shared" ca="1" si="96"/>
        <v>0.63691321347212415</v>
      </c>
      <c r="R220" s="107">
        <f t="shared" ca="1" si="97"/>
        <v>-25.424699450540714</v>
      </c>
      <c r="S220" s="108">
        <f t="shared" ca="1" si="98"/>
        <v>-191.50285959309196</v>
      </c>
      <c r="T220" s="116">
        <f t="shared" ca="1" si="99"/>
        <v>-11.502859593091955</v>
      </c>
      <c r="V220" s="72">
        <f t="shared" ca="1" si="100"/>
        <v>12662.25</v>
      </c>
      <c r="W220" s="72">
        <f t="shared" si="101"/>
        <v>160332575.0625</v>
      </c>
      <c r="Y220" s="110">
        <f t="shared" si="102"/>
        <v>23.897680463672145</v>
      </c>
      <c r="Z220" s="111">
        <f t="shared" si="103"/>
        <v>-85.600863293344077</v>
      </c>
      <c r="AA220" s="72">
        <f t="shared" si="104"/>
        <v>94.399136706655923</v>
      </c>
      <c r="AB220" s="110">
        <f t="shared" ca="1" si="105"/>
        <v>-33.40477956733136</v>
      </c>
      <c r="AC220" s="111">
        <f t="shared" ca="1" si="106"/>
        <v>-105.90199629974788</v>
      </c>
      <c r="AD220" s="72">
        <f t="shared" ca="1" si="107"/>
        <v>74.098003700252121</v>
      </c>
    </row>
    <row r="221" spans="1:30">
      <c r="A221" s="118">
        <v>12735.5</v>
      </c>
      <c r="B221" s="101">
        <f t="shared" ca="1" si="81"/>
        <v>653.08683933840427</v>
      </c>
      <c r="C221" s="102">
        <f t="shared" ca="1" si="82"/>
        <v>1.5692651362540329</v>
      </c>
      <c r="D221" s="102">
        <f t="shared" si="83"/>
        <v>1.0683842715912213</v>
      </c>
      <c r="E221" s="103">
        <f t="shared" si="84"/>
        <v>0.35972741593077051</v>
      </c>
      <c r="F221" s="101">
        <f t="shared" si="85"/>
        <v>4353.0612623770576</v>
      </c>
      <c r="G221" s="104">
        <f t="shared" si="86"/>
        <v>1.5705666034005952</v>
      </c>
      <c r="H221" s="113">
        <f t="shared" si="87"/>
        <v>544.13356233223749</v>
      </c>
      <c r="I221" s="114">
        <f t="shared" si="88"/>
        <v>1.568958541677171</v>
      </c>
      <c r="J221" s="101">
        <f t="shared" si="89"/>
        <v>12.842114619743954</v>
      </c>
      <c r="K221" s="104">
        <f t="shared" si="90"/>
        <v>1.4928486220212598</v>
      </c>
      <c r="L221" s="102">
        <f t="shared" si="91"/>
        <v>1</v>
      </c>
      <c r="M221" s="103">
        <f t="shared" si="92"/>
        <v>4.2010240853778752E-10</v>
      </c>
      <c r="N221" s="101">
        <f t="shared" si="93"/>
        <v>1</v>
      </c>
      <c r="O221" s="104">
        <f t="shared" si="94"/>
        <v>6.7216385366046009E-11</v>
      </c>
      <c r="P221" s="105">
        <f t="shared" ca="1" si="95"/>
        <v>1.2262973136578827</v>
      </c>
      <c r="Q221" s="106">
        <f t="shared" ca="1" si="96"/>
        <v>0.63976396430142912</v>
      </c>
      <c r="R221" s="107">
        <f t="shared" ca="1" si="97"/>
        <v>-25.535150974640342</v>
      </c>
      <c r="S221" s="108">
        <f t="shared" ca="1" si="98"/>
        <v>-191.58324241781253</v>
      </c>
      <c r="T221" s="116">
        <f t="shared" ca="1" si="99"/>
        <v>-11.583242417812528</v>
      </c>
      <c r="V221" s="72">
        <f t="shared" ca="1" si="100"/>
        <v>12735.5</v>
      </c>
      <c r="W221" s="72">
        <f t="shared" si="101"/>
        <v>162192960.25</v>
      </c>
      <c r="Y221" s="110">
        <f t="shared" si="102"/>
        <v>23.847883516056637</v>
      </c>
      <c r="Z221" s="111">
        <f t="shared" si="103"/>
        <v>-85.626060721310765</v>
      </c>
      <c r="AA221" s="72">
        <f t="shared" si="104"/>
        <v>94.373939278689235</v>
      </c>
      <c r="AB221" s="110">
        <f t="shared" ca="1" si="105"/>
        <v>-33.465434143815479</v>
      </c>
      <c r="AC221" s="111">
        <f t="shared" ca="1" si="106"/>
        <v>-105.95718169650173</v>
      </c>
      <c r="AD221" s="72">
        <f t="shared" ca="1" si="107"/>
        <v>74.042818303498265</v>
      </c>
    </row>
    <row r="222" spans="1:30">
      <c r="A222" s="118">
        <v>12808.75</v>
      </c>
      <c r="B222" s="101">
        <f t="shared" ca="1" si="81"/>
        <v>656.84315036997577</v>
      </c>
      <c r="C222" s="102">
        <f t="shared" ca="1" si="82"/>
        <v>1.5692738927316994</v>
      </c>
      <c r="D222" s="102">
        <f t="shared" si="83"/>
        <v>1.0691476565982583</v>
      </c>
      <c r="E222" s="103">
        <f t="shared" si="84"/>
        <v>0.36162115631287756</v>
      </c>
      <c r="F222" s="101">
        <f t="shared" si="85"/>
        <v>4378.098498503633</v>
      </c>
      <c r="G222" s="104">
        <f t="shared" si="86"/>
        <v>1.5705679171305098</v>
      </c>
      <c r="H222" s="113">
        <f t="shared" si="87"/>
        <v>547.26321167526089</v>
      </c>
      <c r="I222" s="114">
        <f t="shared" si="88"/>
        <v>1.5689690514817467</v>
      </c>
      <c r="J222" s="101">
        <f t="shared" si="89"/>
        <v>12.915531228265545</v>
      </c>
      <c r="K222" s="104">
        <f t="shared" si="90"/>
        <v>1.4932925971871454</v>
      </c>
      <c r="L222" s="102">
        <f t="shared" si="91"/>
        <v>1</v>
      </c>
      <c r="M222" s="103">
        <f t="shared" si="92"/>
        <v>4.225186859847188E-10</v>
      </c>
      <c r="N222" s="101">
        <f t="shared" si="93"/>
        <v>1</v>
      </c>
      <c r="O222" s="104">
        <f t="shared" si="94"/>
        <v>6.7602989757555002E-11</v>
      </c>
      <c r="P222" s="105">
        <f t="shared" ca="1" si="95"/>
        <v>1.2286660441830883</v>
      </c>
      <c r="Q222" s="106">
        <f t="shared" ca="1" si="96"/>
        <v>0.64260426571025675</v>
      </c>
      <c r="R222" s="107">
        <f t="shared" ca="1" si="97"/>
        <v>-25.645038178440544</v>
      </c>
      <c r="S222" s="108">
        <f t="shared" ca="1" si="98"/>
        <v>-191.66288908583127</v>
      </c>
      <c r="T222" s="116">
        <f t="shared" ca="1" si="99"/>
        <v>-11.662889085831267</v>
      </c>
      <c r="V222" s="72">
        <f t="shared" ca="1" si="100"/>
        <v>12808.75</v>
      </c>
      <c r="W222" s="72">
        <f t="shared" si="101"/>
        <v>164064076.5625</v>
      </c>
      <c r="Y222" s="110">
        <f t="shared" si="102"/>
        <v>23.798368710964194</v>
      </c>
      <c r="Z222" s="111">
        <f t="shared" si="103"/>
        <v>-85.650971728170632</v>
      </c>
      <c r="AA222" s="72">
        <f t="shared" si="104"/>
        <v>94.349028271829368</v>
      </c>
      <c r="AB222" s="110">
        <f t="shared" ca="1" si="105"/>
        <v>-33.525806542523235</v>
      </c>
      <c r="AC222" s="111">
        <f t="shared" ca="1" si="106"/>
        <v>-106.01191735766064</v>
      </c>
      <c r="AD222" s="72">
        <f t="shared" ca="1" si="107"/>
        <v>73.988082642339364</v>
      </c>
    </row>
    <row r="223" spans="1:30">
      <c r="A223" s="118">
        <v>12882</v>
      </c>
      <c r="B223" s="101">
        <f t="shared" ca="1" si="81"/>
        <v>660.5994614513387</v>
      </c>
      <c r="C223" s="102">
        <f t="shared" ca="1" si="82"/>
        <v>1.5692825496269236</v>
      </c>
      <c r="D223" s="102">
        <f t="shared" si="83"/>
        <v>1.0699148703594243</v>
      </c>
      <c r="E223" s="103">
        <f t="shared" si="84"/>
        <v>0.36351218754472037</v>
      </c>
      <c r="F223" s="101">
        <f t="shared" si="85"/>
        <v>4403.135734637679</v>
      </c>
      <c r="G223" s="104">
        <f t="shared" si="86"/>
        <v>1.5705692159200875</v>
      </c>
      <c r="H223" s="113">
        <f t="shared" si="87"/>
        <v>550.39286107804526</v>
      </c>
      <c r="I223" s="114">
        <f t="shared" si="88"/>
        <v>1.5689794417644112</v>
      </c>
      <c r="J223" s="101">
        <f t="shared" si="89"/>
        <v>12.988950353838915</v>
      </c>
      <c r="K223" s="104">
        <f t="shared" si="90"/>
        <v>1.493731553362132</v>
      </c>
      <c r="L223" s="102">
        <f t="shared" si="91"/>
        <v>1</v>
      </c>
      <c r="M223" s="103">
        <f t="shared" si="92"/>
        <v>4.2493496343165004E-10</v>
      </c>
      <c r="N223" s="101">
        <f t="shared" si="93"/>
        <v>1</v>
      </c>
      <c r="O223" s="104">
        <f t="shared" si="94"/>
        <v>6.7989594149064009E-11</v>
      </c>
      <c r="P223" s="105">
        <f t="shared" ca="1" si="95"/>
        <v>1.2310437913055061</v>
      </c>
      <c r="Q223" s="106">
        <f t="shared" ca="1" si="96"/>
        <v>0.64543413827536722</v>
      </c>
      <c r="R223" s="107">
        <f t="shared" ca="1" si="97"/>
        <v>-25.754367013424229</v>
      </c>
      <c r="S223" s="108">
        <f t="shared" ca="1" si="98"/>
        <v>-191.74180616742845</v>
      </c>
      <c r="T223" s="116">
        <f t="shared" ca="1" si="99"/>
        <v>-11.74180616742845</v>
      </c>
      <c r="V223" s="72">
        <f t="shared" ca="1" si="100"/>
        <v>12882</v>
      </c>
      <c r="W223" s="72">
        <f t="shared" si="101"/>
        <v>165945924</v>
      </c>
      <c r="Y223" s="110">
        <f t="shared" si="102"/>
        <v>23.74913288864688</v>
      </c>
      <c r="Z223" s="111">
        <f t="shared" si="103"/>
        <v>-85.675601160117083</v>
      </c>
      <c r="AA223" s="72">
        <f t="shared" si="104"/>
        <v>94.324398839882917</v>
      </c>
      <c r="AB223" s="110">
        <f t="shared" ca="1" si="105"/>
        <v>-33.585899555189606</v>
      </c>
      <c r="AC223" s="111">
        <f t="shared" ca="1" si="106"/>
        <v>-106.0662050073114</v>
      </c>
      <c r="AD223" s="72">
        <f t="shared" ca="1" si="107"/>
        <v>73.933794992688604</v>
      </c>
    </row>
    <row r="224" spans="1:30">
      <c r="A224" s="118">
        <v>12957.25</v>
      </c>
      <c r="B224" s="101">
        <f t="shared" ca="1" si="81"/>
        <v>664.45833397837634</v>
      </c>
      <c r="C224" s="102">
        <f t="shared" ca="1" si="82"/>
        <v>1.5692913409645439</v>
      </c>
      <c r="D224" s="102">
        <f t="shared" si="83"/>
        <v>1.070707010278009</v>
      </c>
      <c r="E224" s="103">
        <f t="shared" si="84"/>
        <v>0.365452021837537</v>
      </c>
      <c r="F224" s="101">
        <f t="shared" si="85"/>
        <v>4428.8565813222785</v>
      </c>
      <c r="G224" s="104">
        <f t="shared" si="86"/>
        <v>1.5705705348799555</v>
      </c>
      <c r="H224" s="113">
        <f t="shared" si="87"/>
        <v>553.60796172022845</v>
      </c>
      <c r="I224" s="114">
        <f t="shared" si="88"/>
        <v>1.5689899934092646</v>
      </c>
      <c r="J224" s="101">
        <f t="shared" si="89"/>
        <v>13.064376673660883</v>
      </c>
      <c r="K224" s="104">
        <f t="shared" si="90"/>
        <v>1.4941773570109531</v>
      </c>
      <c r="L224" s="102">
        <f t="shared" si="91"/>
        <v>1</v>
      </c>
      <c r="M224" s="103">
        <f t="shared" si="92"/>
        <v>4.2741721432423129E-10</v>
      </c>
      <c r="N224" s="101">
        <f t="shared" si="93"/>
        <v>1</v>
      </c>
      <c r="O224" s="104">
        <f t="shared" si="94"/>
        <v>6.8386754291877008E-11</v>
      </c>
      <c r="P224" s="105">
        <f t="shared" ca="1" si="95"/>
        <v>1.2334957948126763</v>
      </c>
      <c r="Q224" s="106">
        <f t="shared" ca="1" si="96"/>
        <v>0.64833043923214473</v>
      </c>
      <c r="R224" s="107">
        <f t="shared" ca="1" si="97"/>
        <v>-25.866105635549875</v>
      </c>
      <c r="S224" s="108">
        <f t="shared" ca="1" si="98"/>
        <v>-191.82212505071837</v>
      </c>
      <c r="T224" s="116">
        <f t="shared" ca="1" si="99"/>
        <v>-11.82212505071837</v>
      </c>
      <c r="V224" s="72">
        <f t="shared" ca="1" si="100"/>
        <v>12957.25</v>
      </c>
      <c r="W224" s="72">
        <f t="shared" si="101"/>
        <v>167890327.5625</v>
      </c>
      <c r="Y224" s="110">
        <f t="shared" si="102"/>
        <v>23.698839991425871</v>
      </c>
      <c r="Z224" s="111">
        <f t="shared" si="103"/>
        <v>-85.700614833711924</v>
      </c>
      <c r="AA224" s="72">
        <f t="shared" si="104"/>
        <v>94.299385166288076</v>
      </c>
      <c r="AB224" s="110">
        <f t="shared" ca="1" si="105"/>
        <v>-33.647345280094243</v>
      </c>
      <c r="AC224" s="111">
        <f t="shared" ca="1" si="106"/>
        <v>-106.12151021700643</v>
      </c>
      <c r="AD224" s="72">
        <f t="shared" ca="1" si="107"/>
        <v>73.878489782993569</v>
      </c>
    </row>
    <row r="225" spans="1:30">
      <c r="A225" s="118">
        <v>13032.5</v>
      </c>
      <c r="B225" s="101">
        <f t="shared" ca="1" si="81"/>
        <v>668.31720655617539</v>
      </c>
      <c r="C225" s="102">
        <f t="shared" ca="1" si="82"/>
        <v>1.5693000307795608</v>
      </c>
      <c r="D225" s="102">
        <f t="shared" si="83"/>
        <v>1.0715031732551388</v>
      </c>
      <c r="E225" s="103">
        <f t="shared" si="84"/>
        <v>0.36738898068550424</v>
      </c>
      <c r="F225" s="101">
        <f t="shared" si="85"/>
        <v>4454.5774280144942</v>
      </c>
      <c r="G225" s="104">
        <f t="shared" si="86"/>
        <v>1.5705718386084055</v>
      </c>
      <c r="H225" s="113">
        <f t="shared" si="87"/>
        <v>556.82306242333709</v>
      </c>
      <c r="I225" s="114">
        <f t="shared" si="88"/>
        <v>1.5690004232035599</v>
      </c>
      <c r="J225" s="101">
        <f t="shared" si="89"/>
        <v>13.139805560099957</v>
      </c>
      <c r="K225" s="104">
        <f t="shared" si="90"/>
        <v>1.4946180424861861</v>
      </c>
      <c r="L225" s="102">
        <f t="shared" si="91"/>
        <v>1</v>
      </c>
      <c r="M225" s="103">
        <f t="shared" si="92"/>
        <v>4.2989946521681255E-10</v>
      </c>
      <c r="N225" s="101">
        <f t="shared" si="93"/>
        <v>1</v>
      </c>
      <c r="O225" s="104">
        <f t="shared" si="94"/>
        <v>6.8783914434690008E-11</v>
      </c>
      <c r="P225" s="105">
        <f t="shared" ca="1" si="95"/>
        <v>1.2359572037251643</v>
      </c>
      <c r="Q225" s="106">
        <f t="shared" ca="1" si="96"/>
        <v>0.65121577954823084</v>
      </c>
      <c r="R225" s="107">
        <f t="shared" ca="1" si="97"/>
        <v>-25.977267383095295</v>
      </c>
      <c r="S225" s="108">
        <f t="shared" ca="1" si="98"/>
        <v>-191.90168772867375</v>
      </c>
      <c r="T225" s="116">
        <f t="shared" ca="1" si="99"/>
        <v>-11.90168772867375</v>
      </c>
      <c r="V225" s="72">
        <f t="shared" ca="1" si="100"/>
        <v>13032.5</v>
      </c>
      <c r="W225" s="72">
        <f t="shared" si="101"/>
        <v>169846056.25</v>
      </c>
      <c r="Y225" s="110">
        <f t="shared" si="102"/>
        <v>23.648834928016509</v>
      </c>
      <c r="Z225" s="111">
        <f t="shared" si="103"/>
        <v>-85.725341366387809</v>
      </c>
      <c r="AA225" s="72">
        <f t="shared" si="104"/>
        <v>94.274658633612191</v>
      </c>
      <c r="AB225" s="110">
        <f t="shared" ca="1" si="105"/>
        <v>-33.708501964230308</v>
      </c>
      <c r="AC225" s="111">
        <f t="shared" ca="1" si="106"/>
        <v>-106.17634636228593</v>
      </c>
      <c r="AD225" s="72">
        <f t="shared" ca="1" si="107"/>
        <v>73.823653637714074</v>
      </c>
    </row>
    <row r="226" spans="1:30">
      <c r="A226" s="118">
        <v>13107.75</v>
      </c>
      <c r="B226" s="101">
        <f t="shared" ca="1" si="81"/>
        <v>672.17607918386136</v>
      </c>
      <c r="C226" s="102">
        <f t="shared" ca="1" si="82"/>
        <v>1.5693086208204554</v>
      </c>
      <c r="D226" s="102">
        <f t="shared" si="83"/>
        <v>1.072303350329701</v>
      </c>
      <c r="E226" s="103">
        <f t="shared" si="84"/>
        <v>0.36932305597552612</v>
      </c>
      <c r="F226" s="101">
        <f t="shared" si="85"/>
        <v>4480.2982747141941</v>
      </c>
      <c r="G226" s="104">
        <f t="shared" si="86"/>
        <v>1.5705731273677632</v>
      </c>
      <c r="H226" s="113">
        <f t="shared" si="87"/>
        <v>560.03816318632175</v>
      </c>
      <c r="I226" s="114">
        <f t="shared" si="88"/>
        <v>1.5690107332458758</v>
      </c>
      <c r="J226" s="101">
        <f t="shared" si="89"/>
        <v>13.215236969207535</v>
      </c>
      <c r="K226" s="104">
        <f t="shared" si="90"/>
        <v>1.4950536972574351</v>
      </c>
      <c r="L226" s="102">
        <f t="shared" si="91"/>
        <v>1</v>
      </c>
      <c r="M226" s="103">
        <f t="shared" si="92"/>
        <v>4.323817161093938E-10</v>
      </c>
      <c r="N226" s="101">
        <f t="shared" si="93"/>
        <v>1</v>
      </c>
      <c r="O226" s="104">
        <f t="shared" si="94"/>
        <v>6.9181074577503008E-11</v>
      </c>
      <c r="P226" s="105">
        <f t="shared" ca="1" si="95"/>
        <v>1.2384279624990229</v>
      </c>
      <c r="Q226" s="106">
        <f t="shared" ca="1" si="96"/>
        <v>0.65409018298116872</v>
      </c>
      <c r="R226" s="107">
        <f t="shared" ca="1" si="97"/>
        <v>-26.087858376582101</v>
      </c>
      <c r="S226" s="108">
        <f t="shared" ca="1" si="98"/>
        <v>-191.98050103395795</v>
      </c>
      <c r="T226" s="116">
        <f t="shared" ca="1" si="99"/>
        <v>-11.98050103395795</v>
      </c>
      <c r="V226" s="72">
        <f t="shared" ca="1" si="100"/>
        <v>13107.75</v>
      </c>
      <c r="W226" s="72">
        <f t="shared" si="101"/>
        <v>171813110.0625</v>
      </c>
      <c r="Y226" s="110">
        <f t="shared" si="102"/>
        <v>23.599114441830476</v>
      </c>
      <c r="Z226" s="111">
        <f t="shared" si="103"/>
        <v>-85.749785664574276</v>
      </c>
      <c r="AA226" s="72">
        <f t="shared" si="104"/>
        <v>94.250214335425724</v>
      </c>
      <c r="AB226" s="110">
        <f t="shared" ca="1" si="105"/>
        <v>-33.769372471531071</v>
      </c>
      <c r="AC226" s="111">
        <f t="shared" ca="1" si="106"/>
        <v>-106.2307153693836</v>
      </c>
      <c r="AD226" s="72">
        <f t="shared" ca="1" si="107"/>
        <v>73.769284630616397</v>
      </c>
    </row>
    <row r="227" spans="1:30">
      <c r="A227" s="118">
        <v>13183</v>
      </c>
      <c r="B227" s="101">
        <f t="shared" ca="1" si="81"/>
        <v>676.03495186058035</v>
      </c>
      <c r="C227" s="102">
        <f t="shared" ca="1" si="82"/>
        <v>1.5693171127957877</v>
      </c>
      <c r="D227" s="102">
        <f t="shared" si="83"/>
        <v>1.0731075325221986</v>
      </c>
      <c r="E227" s="103">
        <f t="shared" si="84"/>
        <v>0.37125423970493454</v>
      </c>
      <c r="F227" s="101">
        <f t="shared" si="85"/>
        <v>4506.0191214212518</v>
      </c>
      <c r="G227" s="104">
        <f t="shared" si="86"/>
        <v>1.5705744014143641</v>
      </c>
      <c r="H227" s="113">
        <f t="shared" si="87"/>
        <v>563.25326400815732</v>
      </c>
      <c r="I227" s="114">
        <f t="shared" si="88"/>
        <v>1.5690209255868757</v>
      </c>
      <c r="J227" s="101">
        <f t="shared" si="89"/>
        <v>13.290670858031284</v>
      </c>
      <c r="K227" s="104">
        <f t="shared" si="90"/>
        <v>1.4954844068162381</v>
      </c>
      <c r="L227" s="102">
        <f t="shared" si="91"/>
        <v>1</v>
      </c>
      <c r="M227" s="103">
        <f t="shared" si="92"/>
        <v>4.3486396700197506E-10</v>
      </c>
      <c r="N227" s="101">
        <f t="shared" si="93"/>
        <v>1</v>
      </c>
      <c r="O227" s="104">
        <f t="shared" si="94"/>
        <v>6.9578234720316007E-11</v>
      </c>
      <c r="P227" s="105">
        <f t="shared" ca="1" si="95"/>
        <v>1.2409080158235926</v>
      </c>
      <c r="Q227" s="106">
        <f t="shared" ca="1" si="96"/>
        <v>0.65695367375642355</v>
      </c>
      <c r="R227" s="107">
        <f t="shared" ca="1" si="97"/>
        <v>-26.197884629639653</v>
      </c>
      <c r="S227" s="108">
        <f t="shared" ca="1" si="98"/>
        <v>-192.05857170649708</v>
      </c>
      <c r="T227" s="116">
        <f t="shared" ca="1" si="99"/>
        <v>-12.058571706497077</v>
      </c>
      <c r="V227" s="72">
        <f t="shared" ca="1" si="100"/>
        <v>13183</v>
      </c>
      <c r="W227" s="72">
        <f t="shared" si="101"/>
        <v>173791489</v>
      </c>
      <c r="Y227" s="110">
        <f t="shared" si="102"/>
        <v>23.549675330907142</v>
      </c>
      <c r="Z227" s="111">
        <f t="shared" si="103"/>
        <v>-85.773952523768259</v>
      </c>
      <c r="AA227" s="72">
        <f t="shared" si="104"/>
        <v>94.226047476231741</v>
      </c>
      <c r="AB227" s="110">
        <f t="shared" ca="1" si="105"/>
        <v>-33.829959613665288</v>
      </c>
      <c r="AC227" s="111">
        <f t="shared" ca="1" si="106"/>
        <v>-106.28461918272879</v>
      </c>
      <c r="AD227" s="72">
        <f t="shared" ca="1" si="107"/>
        <v>73.71538081727121</v>
      </c>
    </row>
    <row r="228" spans="1:30">
      <c r="A228" s="118">
        <v>13259.75</v>
      </c>
      <c r="B228" s="101">
        <f t="shared" ca="1" si="81"/>
        <v>679.97074563697652</v>
      </c>
      <c r="C228" s="102">
        <f t="shared" ca="1" si="82"/>
        <v>1.5693256747603994</v>
      </c>
      <c r="D228" s="102">
        <f t="shared" si="83"/>
        <v>1.0739318612625475</v>
      </c>
      <c r="E228" s="103">
        <f t="shared" si="84"/>
        <v>0.37322093201386908</v>
      </c>
      <c r="F228" s="101">
        <f t="shared" si="85"/>
        <v>4532.2526760435376</v>
      </c>
      <c r="G228" s="104">
        <f t="shared" si="86"/>
        <v>1.570575685961388</v>
      </c>
      <c r="H228" s="113">
        <f t="shared" si="87"/>
        <v>566.53245327805098</v>
      </c>
      <c r="I228" s="114">
        <f t="shared" si="88"/>
        <v>1.5690312019313666</v>
      </c>
      <c r="J228" s="101">
        <f t="shared" si="89"/>
        <v>13.367610923235896</v>
      </c>
      <c r="K228" s="104">
        <f t="shared" si="90"/>
        <v>1.4959186945358049</v>
      </c>
      <c r="L228" s="102">
        <f t="shared" si="91"/>
        <v>1</v>
      </c>
      <c r="M228" s="103">
        <f t="shared" si="92"/>
        <v>4.3739569797879377E-10</v>
      </c>
      <c r="N228" s="101">
        <f t="shared" si="93"/>
        <v>1</v>
      </c>
      <c r="O228" s="104">
        <f t="shared" si="94"/>
        <v>6.9983311676607005E-11</v>
      </c>
      <c r="P228" s="105">
        <f t="shared" ca="1" si="95"/>
        <v>1.2434470226254972</v>
      </c>
      <c r="Q228" s="106">
        <f t="shared" ca="1" si="96"/>
        <v>0.65986302856104273</v>
      </c>
      <c r="R228" s="107">
        <f t="shared" ca="1" si="97"/>
        <v>-26.3095284855244</v>
      </c>
      <c r="S228" s="108">
        <f t="shared" ca="1" si="98"/>
        <v>-192.1374405147904</v>
      </c>
      <c r="T228" s="116">
        <f t="shared" ca="1" si="99"/>
        <v>-12.137440514790399</v>
      </c>
      <c r="V228" s="72">
        <f t="shared" ca="1" si="100"/>
        <v>13259.75</v>
      </c>
      <c r="W228" s="72">
        <f t="shared" si="101"/>
        <v>175820970.0625</v>
      </c>
      <c r="Y228" s="110">
        <f t="shared" si="102"/>
        <v>23.499537302546955</v>
      </c>
      <c r="Z228" s="111">
        <f t="shared" si="103"/>
        <v>-85.798320185054692</v>
      </c>
      <c r="AA228" s="72">
        <f t="shared" si="104"/>
        <v>94.201679814945308</v>
      </c>
      <c r="AB228" s="110">
        <f t="shared" ca="1" si="105"/>
        <v>-33.891465441189851</v>
      </c>
      <c r="AC228" s="111">
        <f t="shared" ca="1" si="106"/>
        <v>-106.33912032973565</v>
      </c>
      <c r="AD228" s="72">
        <f t="shared" ca="1" si="107"/>
        <v>73.66087967026435</v>
      </c>
    </row>
    <row r="229" spans="1:30">
      <c r="A229" s="118">
        <v>13336.5</v>
      </c>
      <c r="B229" s="101">
        <f t="shared" ca="1" si="81"/>
        <v>683.90653946264581</v>
      </c>
      <c r="C229" s="102">
        <f t="shared" ca="1" si="82"/>
        <v>1.56933413817901</v>
      </c>
      <c r="D229" s="102">
        <f t="shared" si="83"/>
        <v>1.0747603374597459</v>
      </c>
      <c r="E229" s="103">
        <f t="shared" si="84"/>
        <v>0.37518459986904706</v>
      </c>
      <c r="F229" s="101">
        <f t="shared" si="85"/>
        <v>4558.4862306732166</v>
      </c>
      <c r="G229" s="104">
        <f t="shared" si="86"/>
        <v>1.5705769557235765</v>
      </c>
      <c r="H229" s="113">
        <f t="shared" si="87"/>
        <v>569.81164260708385</v>
      </c>
      <c r="I229" s="114">
        <f t="shared" si="88"/>
        <v>1.5690413599978987</v>
      </c>
      <c r="J229" s="101">
        <f t="shared" si="89"/>
        <v>13.444553480792903</v>
      </c>
      <c r="K229" s="104">
        <f t="shared" si="90"/>
        <v>1.4963480115185197</v>
      </c>
      <c r="L229" s="102">
        <f t="shared" si="91"/>
        <v>1</v>
      </c>
      <c r="M229" s="103">
        <f t="shared" si="92"/>
        <v>4.3992742895561254E-10</v>
      </c>
      <c r="N229" s="101">
        <f t="shared" si="93"/>
        <v>1</v>
      </c>
      <c r="O229" s="104">
        <f t="shared" si="94"/>
        <v>7.0388388632898003E-11</v>
      </c>
      <c r="P229" s="105">
        <f t="shared" ca="1" si="95"/>
        <v>1.2459955827445028</v>
      </c>
      <c r="Q229" s="106">
        <f t="shared" ca="1" si="96"/>
        <v>0.66276108366059616</v>
      </c>
      <c r="R229" s="107">
        <f t="shared" ca="1" si="97"/>
        <v>-26.420597169373291</v>
      </c>
      <c r="S229" s="108">
        <f t="shared" ca="1" si="98"/>
        <v>-192.21555066731489</v>
      </c>
      <c r="T229" s="116">
        <f t="shared" ca="1" si="99"/>
        <v>-12.215550667314886</v>
      </c>
      <c r="V229" s="72">
        <f t="shared" ca="1" si="100"/>
        <v>13336.5</v>
      </c>
      <c r="W229" s="72">
        <f t="shared" si="101"/>
        <v>177862232.25</v>
      </c>
      <c r="Y229" s="110">
        <f t="shared" si="102"/>
        <v>23.449685419108626</v>
      </c>
      <c r="Z229" s="111">
        <f t="shared" si="103"/>
        <v>-85.822408973817332</v>
      </c>
      <c r="AA229" s="72">
        <f t="shared" si="104"/>
        <v>94.177591026182668</v>
      </c>
      <c r="AB229" s="110">
        <f t="shared" ca="1" si="105"/>
        <v>-33.952682241600407</v>
      </c>
      <c r="AC229" s="111">
        <f t="shared" ca="1" si="106"/>
        <v>-106.39314169349761</v>
      </c>
      <c r="AD229" s="72">
        <f t="shared" ca="1" si="107"/>
        <v>73.606858306502389</v>
      </c>
    </row>
    <row r="230" spans="1:30">
      <c r="A230" s="118">
        <v>13413.25</v>
      </c>
      <c r="B230" s="101">
        <f t="shared" ca="1" si="81"/>
        <v>687.8423333367424</v>
      </c>
      <c r="C230" s="102">
        <f t="shared" ca="1" si="82"/>
        <v>1.5693425047432421</v>
      </c>
      <c r="D230" s="102">
        <f t="shared" si="83"/>
        <v>1.0755929515300495</v>
      </c>
      <c r="E230" s="103">
        <f t="shared" si="84"/>
        <v>0.37714523513300086</v>
      </c>
      <c r="F230" s="101">
        <f t="shared" si="85"/>
        <v>4584.7197853101616</v>
      </c>
      <c r="G230" s="104">
        <f t="shared" si="86"/>
        <v>1.5705782109547239</v>
      </c>
      <c r="H230" s="113">
        <f t="shared" si="87"/>
        <v>573.09083199424049</v>
      </c>
      <c r="I230" s="114">
        <f t="shared" si="88"/>
        <v>1.5690514018168074</v>
      </c>
      <c r="J230" s="101">
        <f t="shared" si="89"/>
        <v>13.521498488154959</v>
      </c>
      <c r="K230" s="104">
        <f t="shared" si="90"/>
        <v>1.4967724424637072</v>
      </c>
      <c r="L230" s="102">
        <f t="shared" si="91"/>
        <v>1</v>
      </c>
      <c r="M230" s="103">
        <f t="shared" si="92"/>
        <v>4.4245915993243131E-10</v>
      </c>
      <c r="N230" s="101">
        <f t="shared" si="93"/>
        <v>1</v>
      </c>
      <c r="O230" s="104">
        <f t="shared" si="94"/>
        <v>7.0793465589189001E-11</v>
      </c>
      <c r="P230" s="105">
        <f t="shared" ca="1" si="95"/>
        <v>1.2485536382574616</v>
      </c>
      <c r="Q230" s="106">
        <f t="shared" ca="1" si="96"/>
        <v>0.66564786619356531</v>
      </c>
      <c r="R230" s="107">
        <f t="shared" ca="1" si="97"/>
        <v>-26.531096734036144</v>
      </c>
      <c r="S230" s="108">
        <f t="shared" ca="1" si="98"/>
        <v>-192.29290903328203</v>
      </c>
      <c r="T230" s="116">
        <f t="shared" ca="1" si="99"/>
        <v>-12.292909033282029</v>
      </c>
      <c r="V230" s="72">
        <f t="shared" ca="1" si="100"/>
        <v>13413.25</v>
      </c>
      <c r="W230" s="72">
        <f t="shared" si="101"/>
        <v>179915275.5625</v>
      </c>
      <c r="Y230" s="110">
        <f t="shared" si="102"/>
        <v>23.400116451238738</v>
      </c>
      <c r="Z230" s="111">
        <f t="shared" si="103"/>
        <v>-85.846223641181624</v>
      </c>
      <c r="AA230" s="72">
        <f t="shared" si="104"/>
        <v>94.153776358818376</v>
      </c>
      <c r="AB230" s="110">
        <f t="shared" ca="1" si="105"/>
        <v>-34.013612838393378</v>
      </c>
      <c r="AC230" s="111">
        <f t="shared" ca="1" si="106"/>
        <v>-106.44668539210043</v>
      </c>
      <c r="AD230" s="72">
        <f t="shared" ca="1" si="107"/>
        <v>73.553314607899566</v>
      </c>
    </row>
    <row r="231" spans="1:30">
      <c r="A231" s="118">
        <v>13490</v>
      </c>
      <c r="B231" s="101">
        <f t="shared" ca="1" si="81"/>
        <v>691.77812725843955</v>
      </c>
      <c r="C231" s="102">
        <f t="shared" ca="1" si="82"/>
        <v>1.5693507761062204</v>
      </c>
      <c r="D231" s="102">
        <f t="shared" si="83"/>
        <v>1.0764296938715732</v>
      </c>
      <c r="E231" s="103">
        <f t="shared" si="84"/>
        <v>0.37910282978663701</v>
      </c>
      <c r="F231" s="101">
        <f t="shared" si="85"/>
        <v>4610.953339954247</v>
      </c>
      <c r="G231" s="104">
        <f t="shared" si="86"/>
        <v>1.5705794519028491</v>
      </c>
      <c r="H231" s="113">
        <f t="shared" si="87"/>
        <v>576.37002143852908</v>
      </c>
      <c r="I231" s="114">
        <f t="shared" si="88"/>
        <v>1.5690613293722218</v>
      </c>
      <c r="J231" s="101">
        <f t="shared" si="89"/>
        <v>13.598445903736369</v>
      </c>
      <c r="K231" s="104">
        <f t="shared" si="90"/>
        <v>1.497192070160726</v>
      </c>
      <c r="L231" s="102">
        <f t="shared" si="91"/>
        <v>1</v>
      </c>
      <c r="M231" s="103">
        <f t="shared" si="92"/>
        <v>4.4499089090925002E-10</v>
      </c>
      <c r="N231" s="101">
        <f t="shared" si="93"/>
        <v>1</v>
      </c>
      <c r="O231" s="104">
        <f t="shared" si="94"/>
        <v>7.1198542545479998E-11</v>
      </c>
      <c r="P231" s="105">
        <f t="shared" ca="1" si="95"/>
        <v>1.2511211315011976</v>
      </c>
      <c r="Q231" s="106">
        <f t="shared" ca="1" si="96"/>
        <v>0.6685234037586697</v>
      </c>
      <c r="R231" s="107">
        <f t="shared" ca="1" si="97"/>
        <v>-26.64103312723406</v>
      </c>
      <c r="S231" s="108">
        <f t="shared" ca="1" si="98"/>
        <v>-192.36952239216831</v>
      </c>
      <c r="T231" s="116">
        <f t="shared" ca="1" si="99"/>
        <v>-12.369522392168307</v>
      </c>
      <c r="V231" s="72">
        <f t="shared" ca="1" si="100"/>
        <v>13490</v>
      </c>
      <c r="W231" s="72">
        <f t="shared" si="101"/>
        <v>181980100</v>
      </c>
      <c r="Y231" s="110">
        <f t="shared" si="102"/>
        <v>23.350827223634898</v>
      </c>
      <c r="Z231" s="111">
        <f t="shared" si="103"/>
        <v>-85.869768831156691</v>
      </c>
      <c r="AA231" s="72">
        <f t="shared" si="104"/>
        <v>94.130231168843309</v>
      </c>
      <c r="AB231" s="110">
        <f t="shared" ca="1" si="105"/>
        <v>-34.074260003987447</v>
      </c>
      <c r="AC231" s="111">
        <f t="shared" ca="1" si="106"/>
        <v>-106.49975356101166</v>
      </c>
      <c r="AD231" s="72">
        <f t="shared" ca="1" si="107"/>
        <v>73.500246438988341</v>
      </c>
    </row>
    <row r="232" spans="1:30">
      <c r="A232" s="118">
        <v>13568.5</v>
      </c>
      <c r="B232" s="101">
        <f t="shared" ca="1" si="81"/>
        <v>695.80366245802099</v>
      </c>
      <c r="C232" s="102">
        <f t="shared" ca="1" si="82"/>
        <v>1.5693591392688655</v>
      </c>
      <c r="D232" s="102">
        <f t="shared" si="83"/>
        <v>1.077289775541177</v>
      </c>
      <c r="E232" s="103">
        <f t="shared" si="84"/>
        <v>0.38110190651872056</v>
      </c>
      <c r="F232" s="101">
        <f t="shared" si="85"/>
        <v>4637.7850538320063</v>
      </c>
      <c r="G232" s="104">
        <f t="shared" si="86"/>
        <v>1.5705807066235991</v>
      </c>
      <c r="H232" s="113">
        <f t="shared" si="87"/>
        <v>579.72398073279703</v>
      </c>
      <c r="I232" s="114">
        <f t="shared" si="88"/>
        <v>1.56907136710865</v>
      </c>
      <c r="J232" s="101">
        <f t="shared" si="89"/>
        <v>13.677150269495321</v>
      </c>
      <c r="K232" s="104">
        <f t="shared" si="90"/>
        <v>1.4976163814862071</v>
      </c>
      <c r="L232" s="102">
        <f t="shared" si="91"/>
        <v>1</v>
      </c>
      <c r="M232" s="103">
        <f t="shared" si="92"/>
        <v>4.4758034865101253E-10</v>
      </c>
      <c r="N232" s="101">
        <f t="shared" si="93"/>
        <v>1</v>
      </c>
      <c r="O232" s="104">
        <f t="shared" si="94"/>
        <v>7.1612855784161998E-11</v>
      </c>
      <c r="P232" s="105">
        <f t="shared" ca="1" si="95"/>
        <v>1.2537568700796926</v>
      </c>
      <c r="Q232" s="106">
        <f t="shared" ca="1" si="96"/>
        <v>0.67145290407334646</v>
      </c>
      <c r="R232" s="107">
        <f t="shared" ca="1" si="97"/>
        <v>-26.752899725868481</v>
      </c>
      <c r="S232" s="108">
        <f t="shared" ca="1" si="98"/>
        <v>-192.44711892891726</v>
      </c>
      <c r="T232" s="116">
        <f t="shared" ca="1" si="99"/>
        <v>-12.447118928917263</v>
      </c>
      <c r="V232" s="72">
        <f t="shared" ca="1" si="100"/>
        <v>13568.5</v>
      </c>
      <c r="W232" s="72">
        <f t="shared" si="101"/>
        <v>184104192.25</v>
      </c>
      <c r="Y232" s="110">
        <f t="shared" si="102"/>
        <v>23.300700263778861</v>
      </c>
      <c r="Z232" s="111">
        <f t="shared" si="103"/>
        <v>-85.893576849479174</v>
      </c>
      <c r="AA232" s="72">
        <f t="shared" si="104"/>
        <v>94.106423150520826</v>
      </c>
      <c r="AB232" s="110">
        <f t="shared" ca="1" si="105"/>
        <v>-34.135999642765839</v>
      </c>
      <c r="AC232" s="111">
        <f t="shared" ca="1" si="106"/>
        <v>-106.55354207943809</v>
      </c>
      <c r="AD232" s="72">
        <f t="shared" ca="1" si="107"/>
        <v>73.446457920561912</v>
      </c>
    </row>
    <row r="233" spans="1:30">
      <c r="A233" s="118">
        <v>13647</v>
      </c>
      <c r="B233" s="101">
        <f t="shared" ca="1" si="81"/>
        <v>699.82919770570857</v>
      </c>
      <c r="C233" s="102">
        <f t="shared" ca="1" si="82"/>
        <v>1.5693674062188749</v>
      </c>
      <c r="D233" s="102">
        <f t="shared" si="83"/>
        <v>1.078154155513475</v>
      </c>
      <c r="E233" s="103">
        <f t="shared" si="84"/>
        <v>0.38309778580848358</v>
      </c>
      <c r="F233" s="101">
        <f t="shared" si="85"/>
        <v>4664.6167677169833</v>
      </c>
      <c r="G233" s="104">
        <f t="shared" si="86"/>
        <v>1.5705819469095905</v>
      </c>
      <c r="H233" s="113">
        <f t="shared" si="87"/>
        <v>583.0779400848038</v>
      </c>
      <c r="I233" s="114">
        <f t="shared" si="88"/>
        <v>1.5690812893676871</v>
      </c>
      <c r="J233" s="101">
        <f t="shared" si="89"/>
        <v>13.755857069511798</v>
      </c>
      <c r="K233" s="104">
        <f t="shared" si="90"/>
        <v>1.498035837327657</v>
      </c>
      <c r="L233" s="102">
        <f t="shared" si="91"/>
        <v>1</v>
      </c>
      <c r="M233" s="103">
        <f t="shared" si="92"/>
        <v>4.5016980639277504E-10</v>
      </c>
      <c r="N233" s="101">
        <f t="shared" si="93"/>
        <v>1</v>
      </c>
      <c r="O233" s="104">
        <f t="shared" si="94"/>
        <v>7.2027169022843998E-11</v>
      </c>
      <c r="P233" s="105">
        <f t="shared" ca="1" si="95"/>
        <v>1.2564023604995613</v>
      </c>
      <c r="Q233" s="106">
        <f t="shared" ca="1" si="96"/>
        <v>0.67437070060085746</v>
      </c>
      <c r="R233" s="107">
        <f t="shared" ca="1" si="97"/>
        <v>-26.864189438036359</v>
      </c>
      <c r="S233" s="108">
        <f t="shared" ca="1" si="98"/>
        <v>-192.52395016600255</v>
      </c>
      <c r="T233" s="116">
        <f t="shared" ca="1" si="99"/>
        <v>-12.52395016600255</v>
      </c>
      <c r="V233" s="72">
        <f t="shared" ca="1" si="100"/>
        <v>13647</v>
      </c>
      <c r="W233" s="72">
        <f t="shared" si="101"/>
        <v>186240609</v>
      </c>
      <c r="Y233" s="110">
        <f t="shared" si="102"/>
        <v>23.250859395254153</v>
      </c>
      <c r="Z233" s="111">
        <f t="shared" si="103"/>
        <v>-85.917112458375257</v>
      </c>
      <c r="AA233" s="72">
        <f t="shared" si="104"/>
        <v>94.082887541624743</v>
      </c>
      <c r="AB233" s="110">
        <f t="shared" ca="1" si="105"/>
        <v>-34.197448486409009</v>
      </c>
      <c r="AC233" s="111">
        <f t="shared" ca="1" si="106"/>
        <v>-106.60683770762728</v>
      </c>
      <c r="AD233" s="72">
        <f t="shared" ca="1" si="107"/>
        <v>73.393162292372722</v>
      </c>
    </row>
    <row r="234" spans="1:30">
      <c r="A234" s="118">
        <v>13725.5</v>
      </c>
      <c r="B234" s="101">
        <f t="shared" ca="1" si="81"/>
        <v>703.85473300067724</v>
      </c>
      <c r="C234" s="102">
        <f t="shared" ca="1" si="82"/>
        <v>1.5693755786070458</v>
      </c>
      <c r="D234" s="102">
        <f t="shared" si="83"/>
        <v>1.0790228234586579</v>
      </c>
      <c r="E234" s="103">
        <f t="shared" si="84"/>
        <v>0.38509045945796416</v>
      </c>
      <c r="F234" s="101">
        <f t="shared" si="85"/>
        <v>4691.4484816090544</v>
      </c>
      <c r="G234" s="104">
        <f t="shared" si="86"/>
        <v>1.5705831730084929</v>
      </c>
      <c r="H234" s="113">
        <f t="shared" si="87"/>
        <v>586.43189949355883</v>
      </c>
      <c r="I234" s="114">
        <f t="shared" si="88"/>
        <v>1.5690910981306683</v>
      </c>
      <c r="J234" s="101">
        <f t="shared" si="89"/>
        <v>13.834566262239296</v>
      </c>
      <c r="K234" s="104">
        <f t="shared" si="90"/>
        <v>1.4984505204093219</v>
      </c>
      <c r="L234" s="102">
        <f t="shared" si="91"/>
        <v>1</v>
      </c>
      <c r="M234" s="103">
        <f t="shared" si="92"/>
        <v>4.5275926413453755E-10</v>
      </c>
      <c r="N234" s="101">
        <f t="shared" si="93"/>
        <v>1</v>
      </c>
      <c r="O234" s="104">
        <f t="shared" si="94"/>
        <v>7.2441482261525998E-11</v>
      </c>
      <c r="P234" s="105">
        <f t="shared" ca="1" si="95"/>
        <v>1.2590575419174377</v>
      </c>
      <c r="Q234" s="106">
        <f t="shared" ca="1" si="96"/>
        <v>0.67727682429157343</v>
      </c>
      <c r="R234" s="107">
        <f t="shared" ca="1" si="97"/>
        <v>-26.974908302267341</v>
      </c>
      <c r="S234" s="108">
        <f t="shared" ca="1" si="98"/>
        <v>-192.60002308146065</v>
      </c>
      <c r="T234" s="116">
        <f t="shared" ca="1" si="99"/>
        <v>-12.600023081460648</v>
      </c>
      <c r="V234" s="72">
        <f t="shared" ca="1" si="100"/>
        <v>13725.5</v>
      </c>
      <c r="W234" s="72">
        <f t="shared" si="101"/>
        <v>188389350.25</v>
      </c>
      <c r="Y234" s="110">
        <f t="shared" si="102"/>
        <v>23.201301388370045</v>
      </c>
      <c r="Z234" s="111">
        <f t="shared" si="103"/>
        <v>-85.94038029826342</v>
      </c>
      <c r="AA234" s="72">
        <f t="shared" si="104"/>
        <v>94.05961970173658</v>
      </c>
      <c r="AB234" s="110">
        <f t="shared" ca="1" si="105"/>
        <v>-34.258609343755879</v>
      </c>
      <c r="AC234" s="111">
        <f t="shared" ca="1" si="106"/>
        <v>-106.65964278319721</v>
      </c>
      <c r="AD234" s="72">
        <f t="shared" ca="1" si="107"/>
        <v>73.340357216802786</v>
      </c>
    </row>
    <row r="235" spans="1:30">
      <c r="A235" s="118">
        <v>13804</v>
      </c>
      <c r="B235" s="101">
        <f t="shared" ca="1" si="81"/>
        <v>707.88026834212019</v>
      </c>
      <c r="C235" s="102">
        <f t="shared" ca="1" si="82"/>
        <v>1.5693836580466243</v>
      </c>
      <c r="D235" s="102">
        <f t="shared" si="83"/>
        <v>1.0798957690289919</v>
      </c>
      <c r="E235" s="103">
        <f t="shared" si="84"/>
        <v>0.38707991939734254</v>
      </c>
      <c r="F235" s="101">
        <f t="shared" si="85"/>
        <v>4718.2801955080968</v>
      </c>
      <c r="G235" s="104">
        <f t="shared" si="86"/>
        <v>1.570584385162342</v>
      </c>
      <c r="H235" s="113">
        <f t="shared" si="87"/>
        <v>589.78585895809363</v>
      </c>
      <c r="I235" s="114">
        <f t="shared" si="88"/>
        <v>1.56910079533386</v>
      </c>
      <c r="J235" s="101">
        <f t="shared" si="89"/>
        <v>13.913277807070198</v>
      </c>
      <c r="K235" s="104">
        <f t="shared" si="90"/>
        <v>1.4988605115901168</v>
      </c>
      <c r="L235" s="102">
        <f t="shared" si="91"/>
        <v>1</v>
      </c>
      <c r="M235" s="103">
        <f t="shared" si="92"/>
        <v>4.5534872187630006E-10</v>
      </c>
      <c r="N235" s="101">
        <f t="shared" si="93"/>
        <v>1</v>
      </c>
      <c r="O235" s="104">
        <f t="shared" si="94"/>
        <v>7.2855795500207998E-11</v>
      </c>
      <c r="P235" s="105">
        <f t="shared" ca="1" si="95"/>
        <v>1.2617223537814846</v>
      </c>
      <c r="Q235" s="106">
        <f t="shared" ca="1" si="96"/>
        <v>0.6801713065501932</v>
      </c>
      <c r="R235" s="107">
        <f t="shared" ca="1" si="97"/>
        <v>-27.085062252537927</v>
      </c>
      <c r="S235" s="108">
        <f t="shared" ca="1" si="98"/>
        <v>-192.67534456524922</v>
      </c>
      <c r="T235" s="116">
        <f t="shared" ca="1" si="99"/>
        <v>-12.675344565249219</v>
      </c>
      <c r="V235" s="72">
        <f t="shared" ca="1" si="100"/>
        <v>13804</v>
      </c>
      <c r="W235" s="72">
        <f t="shared" si="101"/>
        <v>190550416</v>
      </c>
      <c r="Y235" s="110">
        <f t="shared" si="102"/>
        <v>23.152023067522709</v>
      </c>
      <c r="Z235" s="111">
        <f t="shared" si="103"/>
        <v>-85.963384904945926</v>
      </c>
      <c r="AA235" s="72">
        <f t="shared" si="104"/>
        <v>94.036615095054074</v>
      </c>
      <c r="AB235" s="110">
        <f t="shared" ca="1" si="105"/>
        <v>-34.319484973179129</v>
      </c>
      <c r="AC235" s="111">
        <f t="shared" ca="1" si="106"/>
        <v>-106.71195966030332</v>
      </c>
      <c r="AD235" s="72">
        <f t="shared" ca="1" si="107"/>
        <v>73.288040339696678</v>
      </c>
    </row>
    <row r="236" spans="1:30">
      <c r="A236" s="118">
        <v>13884.25</v>
      </c>
      <c r="B236" s="101">
        <f t="shared" ca="1" si="81"/>
        <v>711.99554496450867</v>
      </c>
      <c r="C236" s="102">
        <f t="shared" ca="1" si="82"/>
        <v>1.5693918231630353</v>
      </c>
      <c r="D236" s="102">
        <f t="shared" si="83"/>
        <v>1.0807925861049887</v>
      </c>
      <c r="E236" s="103">
        <f t="shared" si="84"/>
        <v>0.38911040011110393</v>
      </c>
      <c r="F236" s="101">
        <f t="shared" si="85"/>
        <v>4745.7100686412732</v>
      </c>
      <c r="G236" s="104">
        <f t="shared" si="86"/>
        <v>1.5705856101702111</v>
      </c>
      <c r="H236" s="113">
        <f t="shared" si="87"/>
        <v>593.21458827628248</v>
      </c>
      <c r="I236" s="114">
        <f t="shared" si="88"/>
        <v>1.5691105953692401</v>
      </c>
      <c r="J236" s="101">
        <f t="shared" si="89"/>
        <v>13.993746457877638</v>
      </c>
      <c r="K236" s="104">
        <f t="shared" si="90"/>
        <v>1.4992748750457228</v>
      </c>
      <c r="L236" s="102">
        <f t="shared" si="91"/>
        <v>1</v>
      </c>
      <c r="M236" s="103">
        <f t="shared" si="92"/>
        <v>4.5799590638300631E-10</v>
      </c>
      <c r="N236" s="101">
        <f t="shared" si="93"/>
        <v>1</v>
      </c>
      <c r="O236" s="104">
        <f t="shared" si="94"/>
        <v>7.3279345021281E-11</v>
      </c>
      <c r="P236" s="105">
        <f t="shared" ca="1" si="95"/>
        <v>1.2644564644059861</v>
      </c>
      <c r="Q236" s="106">
        <f t="shared" ca="1" si="96"/>
        <v>0.68311831504185616</v>
      </c>
      <c r="R236" s="107">
        <f t="shared" ca="1" si="97"/>
        <v>-27.19709399192098</v>
      </c>
      <c r="S236" s="108">
        <f t="shared" ca="1" si="98"/>
        <v>-192.7515755297039</v>
      </c>
      <c r="T236" s="116">
        <f t="shared" ca="1" si="99"/>
        <v>-12.751575529703899</v>
      </c>
      <c r="V236" s="72">
        <f t="shared" ca="1" si="100"/>
        <v>13884.25</v>
      </c>
      <c r="W236" s="72">
        <f t="shared" si="101"/>
        <v>192772398.0625</v>
      </c>
      <c r="Y236" s="110">
        <f t="shared" si="102"/>
        <v>23.101932041882666</v>
      </c>
      <c r="Z236" s="111">
        <f t="shared" si="103"/>
        <v>-85.986634869150151</v>
      </c>
      <c r="AA236" s="72">
        <f t="shared" si="104"/>
        <v>94.013365130849849</v>
      </c>
      <c r="AB236" s="110">
        <f t="shared" ca="1" si="105"/>
        <v>-34.381425686922142</v>
      </c>
      <c r="AC236" s="111">
        <f t="shared" ca="1" si="106"/>
        <v>-106.76494066055373</v>
      </c>
      <c r="AD236" s="72">
        <f t="shared" ca="1" si="107"/>
        <v>73.235059339446266</v>
      </c>
    </row>
    <row r="237" spans="1:30">
      <c r="A237" s="118">
        <v>13964.5</v>
      </c>
      <c r="B237" s="101">
        <f t="shared" ca="1" si="81"/>
        <v>716.11082163381968</v>
      </c>
      <c r="C237" s="102">
        <f t="shared" ca="1" si="82"/>
        <v>1.5693998944344381</v>
      </c>
      <c r="D237" s="102">
        <f t="shared" si="83"/>
        <v>1.0816938517293513</v>
      </c>
      <c r="E237" s="103">
        <f t="shared" si="84"/>
        <v>0.39113750558403915</v>
      </c>
      <c r="F237" s="101">
        <f t="shared" si="85"/>
        <v>4773.1399417814891</v>
      </c>
      <c r="G237" s="104">
        <f t="shared" si="86"/>
        <v>1.570586821098539</v>
      </c>
      <c r="H237" s="113">
        <f t="shared" si="87"/>
        <v>596.6433176507893</v>
      </c>
      <c r="I237" s="114">
        <f t="shared" si="88"/>
        <v>1.5691202827689201</v>
      </c>
      <c r="J237" s="101">
        <f t="shared" si="89"/>
        <v>14.074217483895678</v>
      </c>
      <c r="K237" s="104">
        <f t="shared" si="90"/>
        <v>1.499684500225509</v>
      </c>
      <c r="L237" s="102">
        <f t="shared" si="91"/>
        <v>1</v>
      </c>
      <c r="M237" s="103">
        <f t="shared" si="92"/>
        <v>4.6064309088971256E-10</v>
      </c>
      <c r="N237" s="101">
        <f t="shared" si="93"/>
        <v>1</v>
      </c>
      <c r="O237" s="104">
        <f t="shared" si="94"/>
        <v>7.3702894542354001E-11</v>
      </c>
      <c r="P237" s="105">
        <f t="shared" ca="1" si="95"/>
        <v>1.2672005126104455</v>
      </c>
      <c r="Q237" s="106">
        <f t="shared" ca="1" si="96"/>
        <v>0.68605322504478683</v>
      </c>
      <c r="R237" s="107">
        <f t="shared" ca="1" si="97"/>
        <v>-27.308547566782721</v>
      </c>
      <c r="S237" s="108">
        <f t="shared" ca="1" si="98"/>
        <v>-192.8270354755914</v>
      </c>
      <c r="T237" s="116">
        <f t="shared" ca="1" si="99"/>
        <v>-12.827035475591401</v>
      </c>
      <c r="V237" s="72">
        <f t="shared" ca="1" si="100"/>
        <v>13964.5</v>
      </c>
      <c r="W237" s="72">
        <f t="shared" si="101"/>
        <v>195007260.25</v>
      </c>
      <c r="Y237" s="110">
        <f t="shared" si="102"/>
        <v>23.052126767691359</v>
      </c>
      <c r="Z237" s="111">
        <f t="shared" si="103"/>
        <v>-86.009618996999436</v>
      </c>
      <c r="AA237" s="72">
        <f t="shared" si="104"/>
        <v>93.990381003000564</v>
      </c>
      <c r="AB237" s="110">
        <f t="shared" ca="1" si="105"/>
        <v>-34.443073987592577</v>
      </c>
      <c r="AC237" s="111">
        <f t="shared" ca="1" si="106"/>
        <v>-106.81741647859197</v>
      </c>
      <c r="AD237" s="72">
        <f t="shared" ca="1" si="107"/>
        <v>73.182583521408034</v>
      </c>
    </row>
    <row r="238" spans="1:30">
      <c r="A238" s="118">
        <v>14044.75</v>
      </c>
      <c r="B238" s="101">
        <f t="shared" ca="1" si="81"/>
        <v>720.22609834924901</v>
      </c>
      <c r="C238" s="102">
        <f t="shared" ca="1" si="82"/>
        <v>1.5694078734694861</v>
      </c>
      <c r="D238" s="102">
        <f t="shared" si="83"/>
        <v>1.0825995547918115</v>
      </c>
      <c r="E238" s="103">
        <f t="shared" si="84"/>
        <v>0.39316122760729261</v>
      </c>
      <c r="F238" s="101">
        <f t="shared" si="85"/>
        <v>4800.5698149286245</v>
      </c>
      <c r="G238" s="104">
        <f t="shared" si="86"/>
        <v>1.570588018188672</v>
      </c>
      <c r="H238" s="113">
        <f t="shared" si="87"/>
        <v>600.07204708064853</v>
      </c>
      <c r="I238" s="114">
        <f t="shared" si="88"/>
        <v>1.5691298594636529</v>
      </c>
      <c r="J238" s="101">
        <f t="shared" si="89"/>
        <v>14.15469084461429</v>
      </c>
      <c r="K238" s="104">
        <f t="shared" si="90"/>
        <v>1.5000894678060797</v>
      </c>
      <c r="L238" s="102">
        <f t="shared" si="91"/>
        <v>1</v>
      </c>
      <c r="M238" s="103">
        <f t="shared" si="92"/>
        <v>4.6329027539641881E-10</v>
      </c>
      <c r="N238" s="101">
        <f t="shared" si="93"/>
        <v>1</v>
      </c>
      <c r="O238" s="104">
        <f t="shared" si="94"/>
        <v>7.4126444063427003E-11</v>
      </c>
      <c r="P238" s="105">
        <f t="shared" ca="1" si="95"/>
        <v>1.2699544346571157</v>
      </c>
      <c r="Q238" s="106">
        <f t="shared" ca="1" si="96"/>
        <v>0.68897607150498963</v>
      </c>
      <c r="R238" s="107">
        <f t="shared" ca="1" si="97"/>
        <v>-27.419428993859675</v>
      </c>
      <c r="S238" s="108">
        <f t="shared" ca="1" si="98"/>
        <v>-192.90173149330522</v>
      </c>
      <c r="T238" s="116">
        <f t="shared" ca="1" si="99"/>
        <v>-12.901731493305221</v>
      </c>
      <c r="V238" s="72">
        <f t="shared" ca="1" si="100"/>
        <v>14044.75</v>
      </c>
      <c r="W238" s="72">
        <f t="shared" si="101"/>
        <v>197255002.5625</v>
      </c>
      <c r="Y238" s="110">
        <f t="shared" si="102"/>
        <v>23.002604019813361</v>
      </c>
      <c r="Z238" s="111">
        <f t="shared" si="103"/>
        <v>-86.032341814126767</v>
      </c>
      <c r="AA238" s="72">
        <f t="shared" si="104"/>
        <v>93.967658185873233</v>
      </c>
      <c r="AB238" s="110">
        <f t="shared" ca="1" si="105"/>
        <v>-34.50443266679153</v>
      </c>
      <c r="AC238" s="111">
        <f t="shared" ca="1" si="106"/>
        <v>-106.86938967917847</v>
      </c>
      <c r="AD238" s="72">
        <f t="shared" ca="1" si="107"/>
        <v>73.130610320821532</v>
      </c>
    </row>
    <row r="239" spans="1:30">
      <c r="A239" s="118">
        <v>14125</v>
      </c>
      <c r="B239" s="101">
        <f t="shared" ca="1" si="81"/>
        <v>724.3413751100104</v>
      </c>
      <c r="C239" s="102">
        <f t="shared" ca="1" si="82"/>
        <v>1.569415761840274</v>
      </c>
      <c r="D239" s="102">
        <f t="shared" si="83"/>
        <v>1.0835096841646386</v>
      </c>
      <c r="E239" s="103">
        <f t="shared" si="84"/>
        <v>0.39518155811024175</v>
      </c>
      <c r="F239" s="101">
        <f t="shared" si="85"/>
        <v>4827.9996880825602</v>
      </c>
      <c r="G239" s="104">
        <f t="shared" si="86"/>
        <v>1.5705892016764715</v>
      </c>
      <c r="H239" s="113">
        <f t="shared" si="87"/>
        <v>603.50077656491692</v>
      </c>
      <c r="I239" s="114">
        <f t="shared" si="88"/>
        <v>1.5691393273403145</v>
      </c>
      <c r="J239" s="101">
        <f t="shared" si="89"/>
        <v>14.235166500438327</v>
      </c>
      <c r="K239" s="104">
        <f t="shared" si="90"/>
        <v>1.5004898566458729</v>
      </c>
      <c r="L239" s="102">
        <f t="shared" si="91"/>
        <v>1</v>
      </c>
      <c r="M239" s="103">
        <f t="shared" si="92"/>
        <v>4.6593745990312506E-10</v>
      </c>
      <c r="N239" s="101">
        <f t="shared" si="93"/>
        <v>1</v>
      </c>
      <c r="O239" s="104">
        <f t="shared" si="94"/>
        <v>7.4549993584500005E-11</v>
      </c>
      <c r="P239" s="105">
        <f t="shared" ca="1" si="95"/>
        <v>1.2727181671330281</v>
      </c>
      <c r="Q239" s="106">
        <f t="shared" ca="1" si="96"/>
        <v>0.69188688981216462</v>
      </c>
      <c r="R239" s="107">
        <f t="shared" ca="1" si="97"/>
        <v>-27.529744186132721</v>
      </c>
      <c r="S239" s="108">
        <f t="shared" ca="1" si="98"/>
        <v>-192.97567058667232</v>
      </c>
      <c r="T239" s="116">
        <f t="shared" ca="1" si="99"/>
        <v>-12.975670586672322</v>
      </c>
      <c r="V239" s="72">
        <f t="shared" ca="1" si="100"/>
        <v>14125</v>
      </c>
      <c r="W239" s="72">
        <f t="shared" si="101"/>
        <v>199515625</v>
      </c>
      <c r="Y239" s="110">
        <f t="shared" si="102"/>
        <v>22.953360627125736</v>
      </c>
      <c r="Z239" s="111">
        <f t="shared" si="103"/>
        <v>-86.054807744191663</v>
      </c>
      <c r="AA239" s="72">
        <f t="shared" si="104"/>
        <v>93.945192255808337</v>
      </c>
      <c r="AB239" s="110">
        <f t="shared" ca="1" si="105"/>
        <v>-34.565504466376957</v>
      </c>
      <c r="AC239" s="111">
        <f t="shared" ca="1" si="106"/>
        <v>-106.92086284248066</v>
      </c>
      <c r="AD239" s="72">
        <f t="shared" ca="1" si="107"/>
        <v>73.079137157519341</v>
      </c>
    </row>
    <row r="240" spans="1:30">
      <c r="A240" s="118">
        <v>14207.25</v>
      </c>
      <c r="B240" s="101">
        <f t="shared" ca="1" si="81"/>
        <v>728.55921333160745</v>
      </c>
      <c r="C240" s="102">
        <f t="shared" ca="1" si="82"/>
        <v>1.5694237543317475</v>
      </c>
      <c r="D240" s="102">
        <f t="shared" si="83"/>
        <v>1.0844470773830375</v>
      </c>
      <c r="E240" s="103">
        <f t="shared" si="84"/>
        <v>0.39724871187042776</v>
      </c>
      <c r="F240" s="101">
        <f t="shared" si="85"/>
        <v>4856.113171789325</v>
      </c>
      <c r="G240" s="104">
        <f t="shared" si="86"/>
        <v>1.570590400785413</v>
      </c>
      <c r="H240" s="113">
        <f t="shared" si="87"/>
        <v>607.01495730678073</v>
      </c>
      <c r="I240" s="114">
        <f t="shared" si="88"/>
        <v>1.5691489201860682</v>
      </c>
      <c r="J240" s="101">
        <f t="shared" si="89"/>
        <v>14.317650121207132</v>
      </c>
      <c r="K240" s="104">
        <f t="shared" si="90"/>
        <v>1.5008955533433928</v>
      </c>
      <c r="L240" s="102">
        <f t="shared" si="91"/>
        <v>1</v>
      </c>
      <c r="M240" s="103">
        <f t="shared" si="92"/>
        <v>4.6865061785548132E-10</v>
      </c>
      <c r="N240" s="101">
        <f t="shared" si="93"/>
        <v>1</v>
      </c>
      <c r="O240" s="104">
        <f t="shared" si="94"/>
        <v>7.4984098856877E-11</v>
      </c>
      <c r="P240" s="105">
        <f t="shared" ca="1" si="95"/>
        <v>1.2755608918913366</v>
      </c>
      <c r="Q240" s="106">
        <f t="shared" ca="1" si="96"/>
        <v>0.6948578078210339</v>
      </c>
      <c r="R240" s="107">
        <f t="shared" ca="1" si="97"/>
        <v>-27.642227168572063</v>
      </c>
      <c r="S240" s="108">
        <f t="shared" ca="1" si="98"/>
        <v>-193.05067418261766</v>
      </c>
      <c r="T240" s="116">
        <f t="shared" ca="1" si="99"/>
        <v>-13.050674182617655</v>
      </c>
      <c r="V240" s="72">
        <f t="shared" ca="1" si="100"/>
        <v>14207.25</v>
      </c>
      <c r="W240" s="72">
        <f t="shared" si="101"/>
        <v>201845952.5625</v>
      </c>
      <c r="Y240" s="110">
        <f t="shared" si="102"/>
        <v>22.903176607519534</v>
      </c>
      <c r="Z240" s="111">
        <f t="shared" si="103"/>
        <v>-86.077571526923691</v>
      </c>
      <c r="AA240" s="72">
        <f t="shared" si="104"/>
        <v>93.922428473076309</v>
      </c>
      <c r="AB240" s="110">
        <f t="shared" ca="1" si="105"/>
        <v>-34.627803429210097</v>
      </c>
      <c r="AC240" s="111">
        <f t="shared" ca="1" si="106"/>
        <v>-106.97310265569396</v>
      </c>
      <c r="AD240" s="72">
        <f t="shared" ca="1" si="107"/>
        <v>73.026897344306036</v>
      </c>
    </row>
    <row r="241" spans="1:30">
      <c r="A241" s="118">
        <v>14289.5</v>
      </c>
      <c r="B241" s="101">
        <f t="shared" ca="1" si="81"/>
        <v>732.77705159920902</v>
      </c>
      <c r="C241" s="102">
        <f t="shared" ca="1" si="82"/>
        <v>1.5694316548142362</v>
      </c>
      <c r="D241" s="102">
        <f t="shared" si="83"/>
        <v>1.0853890965632114</v>
      </c>
      <c r="E241" s="103">
        <f t="shared" si="84"/>
        <v>0.39931228623227782</v>
      </c>
      <c r="F241" s="101">
        <f t="shared" si="85"/>
        <v>4884.2266555029928</v>
      </c>
      <c r="G241" s="104">
        <f t="shared" si="86"/>
        <v>1.5705915860902735</v>
      </c>
      <c r="H241" s="113">
        <f t="shared" si="87"/>
        <v>610.52913810386065</v>
      </c>
      <c r="I241" s="114">
        <f t="shared" si="88"/>
        <v>1.5691584025997656</v>
      </c>
      <c r="J241" s="101">
        <f t="shared" si="89"/>
        <v>14.400136071518636</v>
      </c>
      <c r="K241" s="104">
        <f t="shared" si="90"/>
        <v>1.5012966023338732</v>
      </c>
      <c r="L241" s="102">
        <f t="shared" si="91"/>
        <v>1</v>
      </c>
      <c r="M241" s="103">
        <f t="shared" si="92"/>
        <v>4.7136377580783759E-10</v>
      </c>
      <c r="N241" s="101">
        <f t="shared" si="93"/>
        <v>1</v>
      </c>
      <c r="O241" s="104">
        <f t="shared" si="94"/>
        <v>7.5418204129254008E-11</v>
      </c>
      <c r="P241" s="105">
        <f t="shared" ca="1" si="95"/>
        <v>1.2784137883314384</v>
      </c>
      <c r="Q241" s="106">
        <f t="shared" ca="1" si="96"/>
        <v>0.69781616732367679</v>
      </c>
      <c r="R241" s="107">
        <f t="shared" ca="1" si="97"/>
        <v>-27.754127594815415</v>
      </c>
      <c r="S241" s="108">
        <f t="shared" ca="1" si="98"/>
        <v>-193.12489728422702</v>
      </c>
      <c r="T241" s="116">
        <f t="shared" ca="1" si="99"/>
        <v>-13.124897284227018</v>
      </c>
      <c r="V241" s="72">
        <f t="shared" ca="1" si="100"/>
        <v>14289.5</v>
      </c>
      <c r="W241" s="72">
        <f t="shared" si="101"/>
        <v>204189810.25</v>
      </c>
      <c r="Y241" s="110">
        <f t="shared" si="102"/>
        <v>22.853279464409098</v>
      </c>
      <c r="Z241" s="111">
        <f t="shared" si="103"/>
        <v>-86.100074552032837</v>
      </c>
      <c r="AA241" s="72">
        <f t="shared" si="104"/>
        <v>93.899925447967163</v>
      </c>
      <c r="AB241" s="110">
        <f t="shared" ca="1" si="105"/>
        <v>-34.689806712343007</v>
      </c>
      <c r="AC241" s="111">
        <f t="shared" ca="1" si="106"/>
        <v>-107.02482273219424</v>
      </c>
      <c r="AD241" s="72">
        <f t="shared" ca="1" si="107"/>
        <v>72.975177267805762</v>
      </c>
    </row>
    <row r="242" spans="1:30">
      <c r="A242" s="118">
        <v>14371.75</v>
      </c>
      <c r="B242" s="101">
        <f t="shared" ca="1" si="81"/>
        <v>736.99488991202531</v>
      </c>
      <c r="C242" s="102">
        <f t="shared" ca="1" si="82"/>
        <v>1.5694394648674481</v>
      </c>
      <c r="D242" s="102">
        <f t="shared" si="83"/>
        <v>1.0863357296709122</v>
      </c>
      <c r="E242" s="103">
        <f t="shared" si="84"/>
        <v>0.40137227295556371</v>
      </c>
      <c r="F242" s="101">
        <f t="shared" si="85"/>
        <v>4912.3401392234446</v>
      </c>
      <c r="G242" s="104">
        <f t="shared" si="86"/>
        <v>1.570592757828057</v>
      </c>
      <c r="H242" s="113">
        <f t="shared" si="87"/>
        <v>614.04331895520875</v>
      </c>
      <c r="I242" s="114">
        <f t="shared" si="88"/>
        <v>1.569167776477419</v>
      </c>
      <c r="J242" s="101">
        <f t="shared" si="89"/>
        <v>14.482624311569026</v>
      </c>
      <c r="K242" s="104">
        <f t="shared" si="90"/>
        <v>1.5016930829025976</v>
      </c>
      <c r="L242" s="102">
        <f t="shared" si="91"/>
        <v>1</v>
      </c>
      <c r="M242" s="103">
        <f t="shared" si="92"/>
        <v>4.7407693376019376E-10</v>
      </c>
      <c r="N242" s="101">
        <f t="shared" si="93"/>
        <v>1</v>
      </c>
      <c r="O242" s="104">
        <f t="shared" si="94"/>
        <v>7.5852309401631003E-11</v>
      </c>
      <c r="P242" s="105">
        <f t="shared" ca="1" si="95"/>
        <v>1.2812767892509282</v>
      </c>
      <c r="Q242" s="106">
        <f t="shared" ca="1" si="96"/>
        <v>0.70076200778902265</v>
      </c>
      <c r="R242" s="107">
        <f t="shared" ca="1" si="97"/>
        <v>-27.865451507637317</v>
      </c>
      <c r="S242" s="108">
        <f t="shared" ca="1" si="98"/>
        <v>-193.1983471632025</v>
      </c>
      <c r="T242" s="116">
        <f t="shared" ca="1" si="99"/>
        <v>-13.198347163202499</v>
      </c>
      <c r="V242" s="72">
        <f t="shared" ca="1" si="100"/>
        <v>14371.75</v>
      </c>
      <c r="W242" s="72">
        <f t="shared" si="101"/>
        <v>206547198.0625</v>
      </c>
      <c r="Y242" s="110">
        <f t="shared" si="102"/>
        <v>22.803665952512748</v>
      </c>
      <c r="Z242" s="111">
        <f t="shared" si="103"/>
        <v>-86.122321267177</v>
      </c>
      <c r="AA242" s="72">
        <f t="shared" si="104"/>
        <v>93.877678732823</v>
      </c>
      <c r="AB242" s="110">
        <f t="shared" ca="1" si="105"/>
        <v>-34.751517113268555</v>
      </c>
      <c r="AC242" s="111">
        <f t="shared" ca="1" si="106"/>
        <v>-107.07602589602544</v>
      </c>
      <c r="AD242" s="72">
        <f t="shared" ca="1" si="107"/>
        <v>72.923974103974558</v>
      </c>
    </row>
    <row r="243" spans="1:30">
      <c r="A243" s="118">
        <v>14454</v>
      </c>
      <c r="B243" s="101">
        <f t="shared" ca="1" si="81"/>
        <v>741.21272826928418</v>
      </c>
      <c r="C243" s="102">
        <f t="shared" ca="1" si="82"/>
        <v>1.5694471860351331</v>
      </c>
      <c r="D243" s="102">
        <f t="shared" si="83"/>
        <v>1.0872869646549608</v>
      </c>
      <c r="E243" s="103">
        <f t="shared" si="84"/>
        <v>0.40342866395047766</v>
      </c>
      <c r="F243" s="101">
        <f t="shared" si="85"/>
        <v>4940.4536229505629</v>
      </c>
      <c r="G243" s="104">
        <f t="shared" si="86"/>
        <v>1.5705939162303721</v>
      </c>
      <c r="H243" s="113">
        <f t="shared" si="87"/>
        <v>617.55749985989848</v>
      </c>
      <c r="I243" s="114">
        <f t="shared" si="88"/>
        <v>1.5691770436718839</v>
      </c>
      <c r="J243" s="101">
        <f t="shared" si="89"/>
        <v>14.565114802455103</v>
      </c>
      <c r="K243" s="104">
        <f t="shared" si="90"/>
        <v>1.5020850725445205</v>
      </c>
      <c r="L243" s="102">
        <f t="shared" si="91"/>
        <v>1</v>
      </c>
      <c r="M243" s="103">
        <f t="shared" si="92"/>
        <v>4.7679009171255002E-10</v>
      </c>
      <c r="N243" s="101">
        <f t="shared" si="93"/>
        <v>1</v>
      </c>
      <c r="O243" s="104">
        <f t="shared" si="94"/>
        <v>7.6286414674007999E-11</v>
      </c>
      <c r="P243" s="105">
        <f t="shared" ca="1" si="95"/>
        <v>1.2841498278114012</v>
      </c>
      <c r="Q243" s="106">
        <f t="shared" ca="1" si="96"/>
        <v>0.70369536911932085</v>
      </c>
      <c r="R243" s="107">
        <f t="shared" ca="1" si="97"/>
        <v>-27.976204845811633</v>
      </c>
      <c r="S243" s="108">
        <f t="shared" ca="1" si="98"/>
        <v>-193.27103100497979</v>
      </c>
      <c r="T243" s="116">
        <f t="shared" ca="1" si="99"/>
        <v>-13.27103100497979</v>
      </c>
      <c r="V243" s="72">
        <f t="shared" ca="1" si="100"/>
        <v>14454</v>
      </c>
      <c r="W243" s="72">
        <f t="shared" si="101"/>
        <v>208918116</v>
      </c>
      <c r="Y243" s="110">
        <f t="shared" si="102"/>
        <v>22.754332881036333</v>
      </c>
      <c r="Z243" s="111">
        <f t="shared" si="103"/>
        <v>-86.144316019599458</v>
      </c>
      <c r="AA243" s="72">
        <f t="shared" si="104"/>
        <v>93.855683980400542</v>
      </c>
      <c r="AB243" s="110">
        <f t="shared" ca="1" si="105"/>
        <v>-34.812937379966463</v>
      </c>
      <c r="AC243" s="111">
        <f t="shared" ca="1" si="106"/>
        <v>-107.12671498538033</v>
      </c>
      <c r="AD243" s="72">
        <f t="shared" ca="1" si="107"/>
        <v>72.873285014619668</v>
      </c>
    </row>
    <row r="244" spans="1:30">
      <c r="A244" s="118">
        <v>14622.5</v>
      </c>
      <c r="B244" s="101">
        <f t="shared" ca="1" si="81"/>
        <v>749.85352795746905</v>
      </c>
      <c r="C244" s="102">
        <f t="shared" ca="1" si="82"/>
        <v>1.5694627326206634</v>
      </c>
      <c r="D244" s="102">
        <f t="shared" si="83"/>
        <v>1.0892500149869344</v>
      </c>
      <c r="E244" s="103">
        <f t="shared" si="84"/>
        <v>0.4076301908928997</v>
      </c>
      <c r="F244" s="101">
        <f t="shared" si="85"/>
        <v>4998.0478115182605</v>
      </c>
      <c r="G244" s="104">
        <f t="shared" si="86"/>
        <v>1.5705962486755223</v>
      </c>
      <c r="H244" s="113">
        <f t="shared" si="87"/>
        <v>624.7567642468756</v>
      </c>
      <c r="I244" s="114">
        <f t="shared" si="88"/>
        <v>1.5691957031854749</v>
      </c>
      <c r="J244" s="101">
        <f t="shared" si="89"/>
        <v>14.734114349337862</v>
      </c>
      <c r="K244" s="104">
        <f t="shared" si="90"/>
        <v>1.5028744084393983</v>
      </c>
      <c r="L244" s="102">
        <f t="shared" si="91"/>
        <v>1</v>
      </c>
      <c r="M244" s="103">
        <f t="shared" si="92"/>
        <v>4.823483545085626E-10</v>
      </c>
      <c r="N244" s="101">
        <f t="shared" si="93"/>
        <v>1</v>
      </c>
      <c r="O244" s="104">
        <f t="shared" si="94"/>
        <v>7.7175736721370001E-11</v>
      </c>
      <c r="P244" s="105">
        <f t="shared" ca="1" si="95"/>
        <v>1.2900666926133142</v>
      </c>
      <c r="Q244" s="106">
        <f t="shared" ca="1" si="96"/>
        <v>0.70966594864461197</v>
      </c>
      <c r="R244" s="107">
        <f t="shared" ca="1" si="97"/>
        <v>-28.201340423705897</v>
      </c>
      <c r="S244" s="108">
        <f t="shared" ca="1" si="98"/>
        <v>-193.4175711486327</v>
      </c>
      <c r="T244" s="116">
        <f t="shared" ca="1" si="99"/>
        <v>-13.417571148632703</v>
      </c>
      <c r="V244" s="72">
        <f t="shared" ca="1" si="100"/>
        <v>14622.5</v>
      </c>
      <c r="W244" s="72">
        <f t="shared" si="101"/>
        <v>213817506.25</v>
      </c>
      <c r="Y244" s="110">
        <f t="shared" si="102"/>
        <v>22.654130145461352</v>
      </c>
      <c r="Z244" s="111">
        <f t="shared" si="103"/>
        <v>-86.188606162663731</v>
      </c>
      <c r="AA244" s="72">
        <f t="shared" si="104"/>
        <v>93.811393837336269</v>
      </c>
      <c r="AB244" s="110">
        <f t="shared" ca="1" si="105"/>
        <v>-34.937870222285746</v>
      </c>
      <c r="AC244" s="111">
        <f t="shared" ca="1" si="106"/>
        <v>-107.228964985969</v>
      </c>
      <c r="AD244" s="72">
        <f t="shared" ca="1" si="107"/>
        <v>72.771035014031</v>
      </c>
    </row>
    <row r="245" spans="1:30">
      <c r="A245" s="118">
        <v>14706.75</v>
      </c>
      <c r="B245" s="101">
        <f t="shared" ca="1" si="81"/>
        <v>754.1739278683574</v>
      </c>
      <c r="C245" s="102">
        <f t="shared" ca="1" si="82"/>
        <v>1.5694703723219643</v>
      </c>
      <c r="D245" s="102">
        <f t="shared" si="83"/>
        <v>1.0902387312725941</v>
      </c>
      <c r="E245" s="103">
        <f t="shared" si="84"/>
        <v>0.40972526202116422</v>
      </c>
      <c r="F245" s="101">
        <f t="shared" si="85"/>
        <v>5026.8449058121305</v>
      </c>
      <c r="G245" s="104">
        <f t="shared" si="86"/>
        <v>1.5705973948554133</v>
      </c>
      <c r="H245" s="113">
        <f t="shared" si="87"/>
        <v>628.35639652053464</v>
      </c>
      <c r="I245" s="114">
        <f t="shared" si="88"/>
        <v>1.5692048726016099</v>
      </c>
      <c r="J245" s="101">
        <f t="shared" si="89"/>
        <v>14.818617506427888</v>
      </c>
      <c r="K245" s="104">
        <f t="shared" si="90"/>
        <v>1.5032623247553467</v>
      </c>
      <c r="L245" s="102">
        <f t="shared" si="91"/>
        <v>1</v>
      </c>
      <c r="M245" s="103">
        <f t="shared" si="92"/>
        <v>4.8512748590656878E-10</v>
      </c>
      <c r="N245" s="101">
        <f t="shared" si="93"/>
        <v>1</v>
      </c>
      <c r="O245" s="104">
        <f t="shared" si="94"/>
        <v>7.7620397745051002E-11</v>
      </c>
      <c r="P245" s="105">
        <f t="shared" ca="1" si="95"/>
        <v>1.293040640789261</v>
      </c>
      <c r="Q245" s="106">
        <f t="shared" ca="1" si="96"/>
        <v>0.71263177164119507</v>
      </c>
      <c r="R245" s="107">
        <f t="shared" ca="1" si="97"/>
        <v>-28.313034716080232</v>
      </c>
      <c r="S245" s="108">
        <f t="shared" ca="1" si="98"/>
        <v>-193.48966554841374</v>
      </c>
      <c r="T245" s="116">
        <f t="shared" ca="1" si="99"/>
        <v>-13.48966554841374</v>
      </c>
      <c r="V245" s="72">
        <f t="shared" ca="1" si="100"/>
        <v>14706.75</v>
      </c>
      <c r="W245" s="72">
        <f t="shared" si="101"/>
        <v>216288495.5625</v>
      </c>
      <c r="Y245" s="110">
        <f t="shared" si="102"/>
        <v>22.604456974838403</v>
      </c>
      <c r="Z245" s="111">
        <f t="shared" si="103"/>
        <v>-86.21037243268816</v>
      </c>
      <c r="AA245" s="72">
        <f t="shared" si="104"/>
        <v>93.78962756731184</v>
      </c>
      <c r="AB245" s="110">
        <f t="shared" ca="1" si="105"/>
        <v>-34.999891344037131</v>
      </c>
      <c r="AC245" s="111">
        <f t="shared" ca="1" si="106"/>
        <v>-107.27929311572558</v>
      </c>
      <c r="AD245" s="72">
        <f t="shared" ca="1" si="107"/>
        <v>72.720706884274421</v>
      </c>
    </row>
    <row r="246" spans="1:30">
      <c r="A246" s="118">
        <v>14791</v>
      </c>
      <c r="B246" s="101">
        <f t="shared" ca="1" si="81"/>
        <v>758.49432782276153</v>
      </c>
      <c r="C246" s="102">
        <f t="shared" ca="1" si="82"/>
        <v>1.569477924991461</v>
      </c>
      <c r="D246" s="102">
        <f t="shared" si="83"/>
        <v>1.0912322242842993</v>
      </c>
      <c r="E246" s="103">
        <f t="shared" si="84"/>
        <v>0.41181652747412317</v>
      </c>
      <c r="F246" s="101">
        <f t="shared" si="85"/>
        <v>5055.6420001125289</v>
      </c>
      <c r="G246" s="104">
        <f t="shared" si="86"/>
        <v>1.5705985279779515</v>
      </c>
      <c r="H246" s="113">
        <f t="shared" si="87"/>
        <v>631.95602884642278</v>
      </c>
      <c r="I246" s="114">
        <f t="shared" si="88"/>
        <v>1.5692139375594438</v>
      </c>
      <c r="J246" s="101">
        <f t="shared" si="89"/>
        <v>14.903122868121768</v>
      </c>
      <c r="K246" s="104">
        <f t="shared" si="90"/>
        <v>1.5036458419151062</v>
      </c>
      <c r="L246" s="102">
        <f t="shared" si="91"/>
        <v>1</v>
      </c>
      <c r="M246" s="103">
        <f t="shared" si="92"/>
        <v>4.8790661730457507E-10</v>
      </c>
      <c r="N246" s="101">
        <f t="shared" si="93"/>
        <v>1</v>
      </c>
      <c r="O246" s="104">
        <f t="shared" si="94"/>
        <v>7.8065058768732003E-11</v>
      </c>
      <c r="P246" s="105">
        <f t="shared" ca="1" si="95"/>
        <v>1.2960248390360019</v>
      </c>
      <c r="Q246" s="106">
        <f t="shared" ca="1" si="96"/>
        <v>0.71558467615573362</v>
      </c>
      <c r="R246" s="107">
        <f t="shared" ca="1" si="97"/>
        <v>-28.424154652335002</v>
      </c>
      <c r="S246" s="108">
        <f t="shared" ca="1" si="98"/>
        <v>-193.56098602007864</v>
      </c>
      <c r="T246" s="116">
        <f t="shared" ca="1" si="99"/>
        <v>-13.560986020078644</v>
      </c>
      <c r="V246" s="72">
        <f t="shared" ca="1" si="100"/>
        <v>14791</v>
      </c>
      <c r="W246" s="72">
        <f t="shared" si="101"/>
        <v>218773681</v>
      </c>
      <c r="Y246" s="110">
        <f t="shared" si="102"/>
        <v>22.55506497813991</v>
      </c>
      <c r="Z246" s="111">
        <f t="shared" si="103"/>
        <v>-86.231891886517815</v>
      </c>
      <c r="AA246" s="72">
        <f t="shared" si="104"/>
        <v>93.768108113482185</v>
      </c>
      <c r="AB246" s="110">
        <f t="shared" ca="1" si="105"/>
        <v>-35.061619283593409</v>
      </c>
      <c r="AC246" s="111">
        <f t="shared" ca="1" si="106"/>
        <v>-107.32909413356083</v>
      </c>
      <c r="AD246" s="72">
        <f t="shared" ca="1" si="107"/>
        <v>72.67090586643917</v>
      </c>
    </row>
    <row r="247" spans="1:30">
      <c r="A247" s="118">
        <v>14877.25</v>
      </c>
      <c r="B247" s="101">
        <f t="shared" ca="1" si="81"/>
        <v>762.91728924472136</v>
      </c>
      <c r="C247" s="102">
        <f t="shared" ca="1" si="82"/>
        <v>1.569485568341201</v>
      </c>
      <c r="D247" s="102">
        <f t="shared" si="83"/>
        <v>1.0922542362534613</v>
      </c>
      <c r="E247" s="103">
        <f t="shared" si="84"/>
        <v>0.41395348672116089</v>
      </c>
      <c r="F247" s="101">
        <f t="shared" si="85"/>
        <v>5085.1227049667659</v>
      </c>
      <c r="G247" s="104">
        <f t="shared" si="86"/>
        <v>1.5705996747051705</v>
      </c>
      <c r="H247" s="113">
        <f t="shared" si="87"/>
        <v>635.64111243797242</v>
      </c>
      <c r="I247" s="114">
        <f t="shared" si="88"/>
        <v>1.5692231113547157</v>
      </c>
      <c r="J247" s="101">
        <f t="shared" si="89"/>
        <v>14.989636536611807</v>
      </c>
      <c r="K247" s="104">
        <f t="shared" si="90"/>
        <v>1.5040339838628047</v>
      </c>
      <c r="L247" s="102">
        <f t="shared" si="91"/>
        <v>1</v>
      </c>
      <c r="M247" s="103">
        <f t="shared" si="92"/>
        <v>4.9075172214823127E-10</v>
      </c>
      <c r="N247" s="101">
        <f t="shared" si="93"/>
        <v>1</v>
      </c>
      <c r="O247" s="104">
        <f t="shared" si="94"/>
        <v>7.852027554371701E-11</v>
      </c>
      <c r="P247" s="105">
        <f t="shared" ca="1" si="95"/>
        <v>1.2990904238280467</v>
      </c>
      <c r="Q247" s="106">
        <f t="shared" ca="1" si="96"/>
        <v>0.7185943441822219</v>
      </c>
      <c r="R247" s="107">
        <f t="shared" ca="1" si="97"/>
        <v>-28.537323591942361</v>
      </c>
      <c r="S247" s="108">
        <f t="shared" ca="1" si="98"/>
        <v>-193.63320545984598</v>
      </c>
      <c r="T247" s="116">
        <f t="shared" ca="1" si="99"/>
        <v>-13.633205459845982</v>
      </c>
      <c r="V247" s="72">
        <f t="shared" ca="1" si="100"/>
        <v>14877.25</v>
      </c>
      <c r="W247" s="72">
        <f t="shared" si="101"/>
        <v>221332567.5625</v>
      </c>
      <c r="Y247" s="110">
        <f t="shared" si="102"/>
        <v>22.504788447002639</v>
      </c>
      <c r="Z247" s="111">
        <f t="shared" si="103"/>
        <v>-86.25367086473959</v>
      </c>
      <c r="AA247" s="72">
        <f t="shared" si="104"/>
        <v>93.74632913526041</v>
      </c>
      <c r="AB247" s="110">
        <f t="shared" ca="1" si="105"/>
        <v>-35.124511692063493</v>
      </c>
      <c r="AC247" s="111">
        <f t="shared" ca="1" si="106"/>
        <v>-107.37953459510643</v>
      </c>
      <c r="AD247" s="72">
        <f t="shared" ca="1" si="107"/>
        <v>72.620465404893565</v>
      </c>
    </row>
    <row r="248" spans="1:30">
      <c r="A248" s="118">
        <v>14963.5</v>
      </c>
      <c r="B248" s="101">
        <f t="shared" ca="1" si="81"/>
        <v>767.34025071073791</v>
      </c>
      <c r="C248" s="102">
        <f t="shared" ca="1" si="82"/>
        <v>1.5694931235781615</v>
      </c>
      <c r="D248" s="102">
        <f t="shared" si="83"/>
        <v>1.0932812267664311</v>
      </c>
      <c r="E248" s="103">
        <f t="shared" si="84"/>
        <v>0.41608644092234159</v>
      </c>
      <c r="F248" s="101">
        <f t="shared" si="85"/>
        <v>5114.6034098276123</v>
      </c>
      <c r="G248" s="104">
        <f t="shared" si="86"/>
        <v>1.5706008082128595</v>
      </c>
      <c r="H248" s="113">
        <f t="shared" si="87"/>
        <v>639.32619608239986</v>
      </c>
      <c r="I248" s="114">
        <f t="shared" si="88"/>
        <v>1.5692321793942625</v>
      </c>
      <c r="J248" s="101">
        <f t="shared" si="89"/>
        <v>15.076152437435223</v>
      </c>
      <c r="K248" s="104">
        <f t="shared" si="90"/>
        <v>1.5044176710905317</v>
      </c>
      <c r="L248" s="102">
        <f t="shared" si="91"/>
        <v>1</v>
      </c>
      <c r="M248" s="103">
        <f t="shared" si="92"/>
        <v>4.9359682699188757E-10</v>
      </c>
      <c r="N248" s="101">
        <f t="shared" si="93"/>
        <v>1</v>
      </c>
      <c r="O248" s="104">
        <f t="shared" si="94"/>
        <v>7.8975492318702005E-11</v>
      </c>
      <c r="P248" s="105">
        <f t="shared" ca="1" si="95"/>
        <v>1.3021666034611517</v>
      </c>
      <c r="Q248" s="106">
        <f t="shared" ca="1" si="96"/>
        <v>0.72159056903216523</v>
      </c>
      <c r="R248" s="107">
        <f t="shared" ca="1" si="97"/>
        <v>-28.649902890164999</v>
      </c>
      <c r="S248" s="108">
        <f t="shared" ca="1" si="98"/>
        <v>-193.70462915134735</v>
      </c>
      <c r="T248" s="116">
        <f t="shared" ca="1" si="99"/>
        <v>-13.704629151347348</v>
      </c>
      <c r="V248" s="72">
        <f t="shared" ca="1" si="100"/>
        <v>14963.5</v>
      </c>
      <c r="W248" s="72">
        <f t="shared" si="101"/>
        <v>223906332.25</v>
      </c>
      <c r="Y248" s="110">
        <f t="shared" si="102"/>
        <v>22.454799972084825</v>
      </c>
      <c r="Z248" s="111">
        <f t="shared" si="103"/>
        <v>-86.275199908241234</v>
      </c>
      <c r="AA248" s="72">
        <f t="shared" si="104"/>
        <v>93.724800091758766</v>
      </c>
      <c r="AB248" s="110">
        <f t="shared" ca="1" si="105"/>
        <v>-35.187102515368316</v>
      </c>
      <c r="AC248" s="111">
        <f t="shared" ca="1" si="106"/>
        <v>-107.42942924310613</v>
      </c>
      <c r="AD248" s="72">
        <f t="shared" ca="1" si="107"/>
        <v>72.570570756893872</v>
      </c>
    </row>
    <row r="249" spans="1:30">
      <c r="A249" s="118">
        <v>15049.75</v>
      </c>
      <c r="B249" s="101">
        <f t="shared" ca="1" si="81"/>
        <v>771.76321222005322</v>
      </c>
      <c r="C249" s="102">
        <f t="shared" ca="1" si="82"/>
        <v>1.56950059221726</v>
      </c>
      <c r="D249" s="102">
        <f t="shared" si="83"/>
        <v>1.0943131818064242</v>
      </c>
      <c r="E249" s="103">
        <f t="shared" si="84"/>
        <v>0.41821538197328223</v>
      </c>
      <c r="F249" s="101">
        <f t="shared" si="85"/>
        <v>5144.0841146949542</v>
      </c>
      <c r="G249" s="104">
        <f t="shared" si="86"/>
        <v>1.5706019287283017</v>
      </c>
      <c r="H249" s="113">
        <f t="shared" si="87"/>
        <v>643.01127977879605</v>
      </c>
      <c r="I249" s="114">
        <f t="shared" si="88"/>
        <v>1.569241143496334</v>
      </c>
      <c r="J249" s="101">
        <f t="shared" si="89"/>
        <v>15.162670532379947</v>
      </c>
      <c r="K249" s="104">
        <f t="shared" si="90"/>
        <v>1.5047969797401448</v>
      </c>
      <c r="L249" s="102">
        <f t="shared" si="91"/>
        <v>1</v>
      </c>
      <c r="M249" s="103">
        <f t="shared" si="92"/>
        <v>4.9644193183554377E-10</v>
      </c>
      <c r="N249" s="101">
        <f t="shared" si="93"/>
        <v>1</v>
      </c>
      <c r="O249" s="104">
        <f t="shared" si="94"/>
        <v>7.9430709093686999E-11</v>
      </c>
      <c r="P249" s="105">
        <f t="shared" ca="1" si="95"/>
        <v>1.3052533039066847</v>
      </c>
      <c r="Q249" s="106">
        <f t="shared" ca="1" si="96"/>
        <v>0.72457339984875013</v>
      </c>
      <c r="R249" s="107">
        <f t="shared" ca="1" si="97"/>
        <v>-28.761898613805226</v>
      </c>
      <c r="S249" s="108">
        <f t="shared" ca="1" si="98"/>
        <v>-193.77526473287656</v>
      </c>
      <c r="T249" s="116">
        <f t="shared" ca="1" si="99"/>
        <v>-13.775264732876565</v>
      </c>
      <c r="V249" s="72">
        <f t="shared" ca="1" si="100"/>
        <v>15049.75</v>
      </c>
      <c r="W249" s="72">
        <f t="shared" si="101"/>
        <v>226494975.0625</v>
      </c>
      <c r="Y249" s="110">
        <f t="shared" si="102"/>
        <v>22.405096285989906</v>
      </c>
      <c r="Z249" s="111">
        <f t="shared" si="103"/>
        <v>-86.296483288474136</v>
      </c>
      <c r="AA249" s="72">
        <f t="shared" si="104"/>
        <v>93.703516711525864</v>
      </c>
      <c r="AB249" s="110">
        <f t="shared" ca="1" si="105"/>
        <v>-35.249394552913621</v>
      </c>
      <c r="AC249" s="111">
        <f t="shared" ca="1" si="106"/>
        <v>-107.4787814444024</v>
      </c>
      <c r="AD249" s="72">
        <f t="shared" ca="1" si="107"/>
        <v>72.521218555597599</v>
      </c>
    </row>
    <row r="250" spans="1:30">
      <c r="A250" s="118">
        <v>15136</v>
      </c>
      <c r="B250" s="101">
        <f t="shared" ca="1" si="81"/>
        <v>776.18617377192732</v>
      </c>
      <c r="C250" s="102">
        <f t="shared" ca="1" si="82"/>
        <v>1.5695079757388839</v>
      </c>
      <c r="D250" s="102">
        <f t="shared" si="83"/>
        <v>1.0953500873418487</v>
      </c>
      <c r="E250" s="103">
        <f t="shared" si="84"/>
        <v>0.42034030194557948</v>
      </c>
      <c r="F250" s="101">
        <f t="shared" si="85"/>
        <v>5173.5648195686808</v>
      </c>
      <c r="G250" s="104">
        <f t="shared" si="86"/>
        <v>1.5706030364735992</v>
      </c>
      <c r="H250" s="113">
        <f t="shared" si="87"/>
        <v>646.69636352627265</v>
      </c>
      <c r="I250" s="114">
        <f t="shared" si="88"/>
        <v>1.5692500054377365</v>
      </c>
      <c r="J250" s="101">
        <f t="shared" si="89"/>
        <v>15.249190784100156</v>
      </c>
      <c r="K250" s="104">
        <f t="shared" si="90"/>
        <v>1.5051719842305649</v>
      </c>
      <c r="L250" s="102">
        <f t="shared" si="91"/>
        <v>1</v>
      </c>
      <c r="M250" s="103">
        <f t="shared" si="92"/>
        <v>4.9928703667920008E-10</v>
      </c>
      <c r="N250" s="101">
        <f t="shared" si="93"/>
        <v>1</v>
      </c>
      <c r="O250" s="104">
        <f t="shared" si="94"/>
        <v>7.9885925868672006E-11</v>
      </c>
      <c r="P250" s="105">
        <f t="shared" ca="1" si="95"/>
        <v>1.3083504515846949</v>
      </c>
      <c r="Q250" s="106">
        <f t="shared" ca="1" si="96"/>
        <v>0.72754288616985996</v>
      </c>
      <c r="R250" s="107">
        <f t="shared" ca="1" si="97"/>
        <v>-28.873316725992531</v>
      </c>
      <c r="S250" s="108">
        <f t="shared" ca="1" si="98"/>
        <v>-193.8451197566414</v>
      </c>
      <c r="T250" s="116">
        <f t="shared" ca="1" si="99"/>
        <v>-13.845119756641395</v>
      </c>
      <c r="V250" s="72">
        <f t="shared" ca="1" si="100"/>
        <v>15136</v>
      </c>
      <c r="W250" s="72">
        <f t="shared" si="101"/>
        <v>229098496</v>
      </c>
      <c r="Y250" s="110">
        <f t="shared" si="102"/>
        <v>22.355674176351901</v>
      </c>
      <c r="Z250" s="111">
        <f t="shared" si="103"/>
        <v>-86.317525180250428</v>
      </c>
      <c r="AA250" s="72">
        <f t="shared" si="104"/>
        <v>93.682474819749572</v>
      </c>
      <c r="AB250" s="110">
        <f t="shared" ca="1" si="105"/>
        <v>-35.311390555462928</v>
      </c>
      <c r="AC250" s="111">
        <f t="shared" ca="1" si="106"/>
        <v>-107.52759457639091</v>
      </c>
      <c r="AD250" s="72">
        <f t="shared" ca="1" si="107"/>
        <v>72.472405423609089</v>
      </c>
    </row>
    <row r="251" spans="1:30">
      <c r="A251" s="118">
        <v>15224</v>
      </c>
      <c r="B251" s="101">
        <f t="shared" ca="1" si="81"/>
        <v>780.6988766157923</v>
      </c>
      <c r="C251" s="102">
        <f t="shared" ca="1" si="82"/>
        <v>1.5695154228466452</v>
      </c>
      <c r="D251" s="102">
        <f t="shared" si="83"/>
        <v>1.0964131191479571</v>
      </c>
      <c r="E251" s="103">
        <f t="shared" si="84"/>
        <v>0.42250418390524053</v>
      </c>
      <c r="F251" s="101">
        <f t="shared" si="85"/>
        <v>5203.6436836781986</v>
      </c>
      <c r="G251" s="104">
        <f t="shared" si="86"/>
        <v>1.5706041537586659</v>
      </c>
      <c r="H251" s="113">
        <f t="shared" si="87"/>
        <v>650.45621714066021</v>
      </c>
      <c r="I251" s="114">
        <f t="shared" si="88"/>
        <v>1.5692589436973525</v>
      </c>
      <c r="J251" s="101">
        <f t="shared" si="89"/>
        <v>15.337468704176441</v>
      </c>
      <c r="K251" s="104">
        <f t="shared" si="90"/>
        <v>1.5055502369381981</v>
      </c>
      <c r="L251" s="102">
        <f t="shared" si="91"/>
        <v>1</v>
      </c>
      <c r="M251" s="103">
        <f t="shared" si="92"/>
        <v>5.0218986828780007E-10</v>
      </c>
      <c r="N251" s="101">
        <f t="shared" si="93"/>
        <v>1</v>
      </c>
      <c r="O251" s="104">
        <f t="shared" si="94"/>
        <v>8.0350378926048003E-11</v>
      </c>
      <c r="P251" s="105">
        <f t="shared" ca="1" si="95"/>
        <v>1.3115211314035768</v>
      </c>
      <c r="Q251" s="106">
        <f t="shared" ca="1" si="96"/>
        <v>0.7305589213555137</v>
      </c>
      <c r="R251" s="107">
        <f t="shared" ca="1" si="97"/>
        <v>-28.986406267580946</v>
      </c>
      <c r="S251" s="108">
        <f t="shared" ca="1" si="98"/>
        <v>-193.91559540267775</v>
      </c>
      <c r="T251" s="116">
        <f t="shared" ca="1" si="99"/>
        <v>-13.915595402677752</v>
      </c>
      <c r="V251" s="72">
        <f t="shared" ca="1" si="100"/>
        <v>15224</v>
      </c>
      <c r="W251" s="72">
        <f t="shared" si="101"/>
        <v>231770176</v>
      </c>
      <c r="Y251" s="110">
        <f t="shared" si="102"/>
        <v>22.305536226329114</v>
      </c>
      <c r="Z251" s="111">
        <f t="shared" si="103"/>
        <v>-86.338749355038416</v>
      </c>
      <c r="AA251" s="72">
        <f t="shared" si="104"/>
        <v>93.661250644961584</v>
      </c>
      <c r="AB251" s="110">
        <f t="shared" ca="1" si="105"/>
        <v>-35.374342147028564</v>
      </c>
      <c r="AC251" s="111">
        <f t="shared" ca="1" si="106"/>
        <v>-107.57684604763932</v>
      </c>
      <c r="AD251" s="72">
        <f t="shared" ca="1" si="107"/>
        <v>72.423153952360678</v>
      </c>
    </row>
    <row r="252" spans="1:30">
      <c r="A252" s="118">
        <v>15312</v>
      </c>
      <c r="B252" s="101">
        <f t="shared" ca="1" si="81"/>
        <v>785.21157950245674</v>
      </c>
      <c r="C252" s="102">
        <f t="shared" ca="1" si="82"/>
        <v>1.5695227843556065</v>
      </c>
      <c r="D252" s="102">
        <f t="shared" si="83"/>
        <v>1.0974812748231904</v>
      </c>
      <c r="E252" s="103">
        <f t="shared" si="84"/>
        <v>0.4246638638384741</v>
      </c>
      <c r="F252" s="101">
        <f t="shared" si="85"/>
        <v>5233.7225477941374</v>
      </c>
      <c r="G252" s="104">
        <f t="shared" si="86"/>
        <v>1.5706052582013759</v>
      </c>
      <c r="H252" s="113">
        <f t="shared" si="87"/>
        <v>654.21607080641706</v>
      </c>
      <c r="I252" s="114">
        <f t="shared" si="88"/>
        <v>1.5692677792185934</v>
      </c>
      <c r="J252" s="101">
        <f t="shared" si="89"/>
        <v>15.425748793546401</v>
      </c>
      <c r="K252" s="104">
        <f t="shared" si="90"/>
        <v>1.5059241602904689</v>
      </c>
      <c r="L252" s="102">
        <f t="shared" si="91"/>
        <v>1</v>
      </c>
      <c r="M252" s="103">
        <f t="shared" si="92"/>
        <v>5.0509269989640007E-10</v>
      </c>
      <c r="N252" s="101">
        <f t="shared" si="93"/>
        <v>1</v>
      </c>
      <c r="O252" s="104">
        <f t="shared" si="94"/>
        <v>8.0814831983423999E-11</v>
      </c>
      <c r="P252" s="105">
        <f t="shared" ca="1" si="95"/>
        <v>1.3147025333842446</v>
      </c>
      <c r="Q252" s="106">
        <f t="shared" ca="1" si="96"/>
        <v>0.73356117040919622</v>
      </c>
      <c r="R252" s="107">
        <f t="shared" ca="1" si="97"/>
        <v>-29.098906742537999</v>
      </c>
      <c r="S252" s="108">
        <f t="shared" ca="1" si="98"/>
        <v>-193.98527411233738</v>
      </c>
      <c r="T252" s="116">
        <f t="shared" ca="1" si="99"/>
        <v>-13.985274112337379</v>
      </c>
      <c r="V252" s="72">
        <f t="shared" ca="1" si="100"/>
        <v>15312</v>
      </c>
      <c r="W252" s="72">
        <f t="shared" si="101"/>
        <v>234457344</v>
      </c>
      <c r="Y252" s="110">
        <f t="shared" si="102"/>
        <v>22.255684808822146</v>
      </c>
      <c r="Z252" s="111">
        <f t="shared" si="103"/>
        <v>-86.35973062669828</v>
      </c>
      <c r="AA252" s="72">
        <f t="shared" si="104"/>
        <v>93.64026937330172</v>
      </c>
      <c r="AB252" s="110">
        <f t="shared" ca="1" si="105"/>
        <v>-35.436991204478637</v>
      </c>
      <c r="AC252" s="111">
        <f t="shared" ca="1" si="106"/>
        <v>-107.62554348563908</v>
      </c>
      <c r="AD252" s="72">
        <f t="shared" ca="1" si="107"/>
        <v>72.374456514360915</v>
      </c>
    </row>
    <row r="253" spans="1:30">
      <c r="A253" s="118">
        <v>15400</v>
      </c>
      <c r="B253" s="101">
        <f t="shared" ca="1" si="81"/>
        <v>789.72428243118691</v>
      </c>
      <c r="C253" s="102">
        <f t="shared" ca="1" si="82"/>
        <v>1.5695300617331722</v>
      </c>
      <c r="D253" s="102">
        <f t="shared" si="83"/>
        <v>1.0985545394212997</v>
      </c>
      <c r="E253" s="103">
        <f t="shared" si="84"/>
        <v>0.42681933388553789</v>
      </c>
      <c r="F253" s="101">
        <f t="shared" si="85"/>
        <v>5263.8014119163872</v>
      </c>
      <c r="G253" s="104">
        <f t="shared" si="86"/>
        <v>1.5706063500218841</v>
      </c>
      <c r="H253" s="113">
        <f t="shared" si="87"/>
        <v>657.97592452266247</v>
      </c>
      <c r="I253" s="114">
        <f t="shared" si="88"/>
        <v>1.5692765137626834</v>
      </c>
      <c r="J253" s="101">
        <f t="shared" si="89"/>
        <v>15.514031015177983</v>
      </c>
      <c r="K253" s="104">
        <f t="shared" si="90"/>
        <v>1.5062938280901903</v>
      </c>
      <c r="L253" s="102">
        <f t="shared" si="91"/>
        <v>1</v>
      </c>
      <c r="M253" s="103">
        <f t="shared" si="92"/>
        <v>5.0799553150500006E-10</v>
      </c>
      <c r="N253" s="101">
        <f t="shared" si="93"/>
        <v>1</v>
      </c>
      <c r="O253" s="104">
        <f t="shared" si="94"/>
        <v>8.1279285040800009E-11</v>
      </c>
      <c r="P253" s="105">
        <f t="shared" ca="1" si="95"/>
        <v>1.3178945808240898</v>
      </c>
      <c r="Q253" s="106">
        <f t="shared" ca="1" si="96"/>
        <v>0.73654968711734314</v>
      </c>
      <c r="R253" s="107">
        <f t="shared" ca="1" si="97"/>
        <v>-29.210824166422483</v>
      </c>
      <c r="S253" s="108">
        <f t="shared" ca="1" si="98"/>
        <v>-194.05416364205504</v>
      </c>
      <c r="T253" s="116">
        <f t="shared" ca="1" si="99"/>
        <v>-14.054163642055045</v>
      </c>
      <c r="V253" s="72">
        <f t="shared" ca="1" si="100"/>
        <v>15400</v>
      </c>
      <c r="W253" s="72">
        <f t="shared" si="101"/>
        <v>237160000</v>
      </c>
      <c r="Y253" s="110">
        <f t="shared" si="102"/>
        <v>22.206116681266383</v>
      </c>
      <c r="Z253" s="111">
        <f t="shared" si="103"/>
        <v>-86.380473135523005</v>
      </c>
      <c r="AA253" s="72">
        <f t="shared" si="104"/>
        <v>93.619526864476995</v>
      </c>
      <c r="AB253" s="110">
        <f t="shared" ca="1" si="105"/>
        <v>-35.499340500807364</v>
      </c>
      <c r="AC253" s="111">
        <f t="shared" ca="1" si="106"/>
        <v>-107.67369050653205</v>
      </c>
      <c r="AD253" s="72">
        <f t="shared" ca="1" si="107"/>
        <v>72.326309493467946</v>
      </c>
    </row>
    <row r="254" spans="1:30">
      <c r="A254" s="118">
        <v>15488</v>
      </c>
      <c r="B254" s="101">
        <f t="shared" ca="1" si="81"/>
        <v>794.23698540126577</v>
      </c>
      <c r="C254" s="102">
        <f t="shared" ca="1" si="82"/>
        <v>1.5695372564133976</v>
      </c>
      <c r="D254" s="102">
        <f t="shared" si="83"/>
        <v>1.0996328979830399</v>
      </c>
      <c r="E254" s="103">
        <f t="shared" si="84"/>
        <v>0.428970586373775</v>
      </c>
      <c r="F254" s="101">
        <f t="shared" si="85"/>
        <v>5293.8802760448407</v>
      </c>
      <c r="G254" s="104">
        <f t="shared" si="86"/>
        <v>1.5706074294353414</v>
      </c>
      <c r="H254" s="113">
        <f t="shared" si="87"/>
        <v>661.73577828853593</v>
      </c>
      <c r="I254" s="114">
        <f t="shared" si="88"/>
        <v>1.5692851490508186</v>
      </c>
      <c r="J254" s="101">
        <f t="shared" si="89"/>
        <v>15.60231533287641</v>
      </c>
      <c r="K254" s="104">
        <f t="shared" si="90"/>
        <v>1.5066593124744614</v>
      </c>
      <c r="L254" s="102">
        <f t="shared" si="91"/>
        <v>1</v>
      </c>
      <c r="M254" s="103">
        <f t="shared" si="92"/>
        <v>5.1089836311360005E-10</v>
      </c>
      <c r="N254" s="101">
        <f t="shared" si="93"/>
        <v>1</v>
      </c>
      <c r="O254" s="104">
        <f t="shared" si="94"/>
        <v>8.1743738098176005E-11</v>
      </c>
      <c r="P254" s="105">
        <f t="shared" ca="1" si="95"/>
        <v>1.3210971975086849</v>
      </c>
      <c r="Q254" s="106">
        <f t="shared" ca="1" si="96"/>
        <v>0.73952452562842452</v>
      </c>
      <c r="R254" s="107">
        <f t="shared" ca="1" si="97"/>
        <v>-29.322164452800394</v>
      </c>
      <c r="S254" s="108">
        <f t="shared" ca="1" si="98"/>
        <v>-194.12227166294704</v>
      </c>
      <c r="T254" s="116">
        <f t="shared" ca="1" si="99"/>
        <v>-14.122271662947043</v>
      </c>
      <c r="V254" s="72">
        <f t="shared" ca="1" si="100"/>
        <v>15488</v>
      </c>
      <c r="W254" s="72">
        <f t="shared" si="101"/>
        <v>239878144</v>
      </c>
      <c r="Y254" s="110">
        <f t="shared" si="102"/>
        <v>22.156828655594921</v>
      </c>
      <c r="Z254" s="111">
        <f t="shared" si="103"/>
        <v>-86.400980928373798</v>
      </c>
      <c r="AA254" s="72">
        <f t="shared" si="104"/>
        <v>93.599019071626202</v>
      </c>
      <c r="AB254" s="110">
        <f t="shared" ca="1" si="105"/>
        <v>-35.561392761513815</v>
      </c>
      <c r="AC254" s="111">
        <f t="shared" ca="1" si="106"/>
        <v>-107.72129073457326</v>
      </c>
      <c r="AD254" s="72">
        <f t="shared" ca="1" si="107"/>
        <v>72.278709265426741</v>
      </c>
    </row>
    <row r="255" spans="1:30">
      <c r="A255" s="118">
        <v>15578.25</v>
      </c>
      <c r="B255" s="101">
        <f t="shared" ca="1" si="81"/>
        <v>798.86507002358906</v>
      </c>
      <c r="C255" s="102">
        <f t="shared" ca="1" si="82"/>
        <v>1.5695445506205701</v>
      </c>
      <c r="D255" s="102">
        <f t="shared" si="83"/>
        <v>1.1007441035231282</v>
      </c>
      <c r="E255" s="103">
        <f t="shared" si="84"/>
        <v>0.43117245394527964</v>
      </c>
      <c r="F255" s="101">
        <f t="shared" si="85"/>
        <v>5324.7282020465473</v>
      </c>
      <c r="G255" s="104">
        <f t="shared" si="86"/>
        <v>1.5706085237807457</v>
      </c>
      <c r="H255" s="113">
        <f t="shared" si="87"/>
        <v>665.59176472977151</v>
      </c>
      <c r="I255" s="114">
        <f t="shared" si="88"/>
        <v>1.569293903794488</v>
      </c>
      <c r="J255" s="101">
        <f t="shared" si="89"/>
        <v>15.692859060144942</v>
      </c>
      <c r="K255" s="104">
        <f t="shared" si="90"/>
        <v>1.50702987026285</v>
      </c>
      <c r="L255" s="102">
        <f t="shared" si="91"/>
        <v>1</v>
      </c>
      <c r="M255" s="103">
        <f t="shared" si="92"/>
        <v>5.1387541484855629E-10</v>
      </c>
      <c r="N255" s="101">
        <f t="shared" si="93"/>
        <v>1</v>
      </c>
      <c r="O255" s="104">
        <f t="shared" si="94"/>
        <v>8.2220066375768999E-11</v>
      </c>
      <c r="P255" s="105">
        <f t="shared" ca="1" si="95"/>
        <v>1.3243925980108704</v>
      </c>
      <c r="Q255" s="106">
        <f t="shared" ca="1" si="96"/>
        <v>0.74256127518057014</v>
      </c>
      <c r="R255" s="107">
        <f t="shared" ca="1" si="97"/>
        <v>-29.435758136870419</v>
      </c>
      <c r="S255" s="108">
        <f t="shared" ca="1" si="98"/>
        <v>-194.19131729290123</v>
      </c>
      <c r="T255" s="116">
        <f t="shared" ca="1" si="99"/>
        <v>-14.191317292901232</v>
      </c>
      <c r="V255" s="72">
        <f t="shared" ca="1" si="100"/>
        <v>15578.25</v>
      </c>
      <c r="W255" s="72">
        <f t="shared" si="101"/>
        <v>242681873.0625</v>
      </c>
      <c r="Y255" s="110">
        <f t="shared" si="102"/>
        <v>22.106568077276847</v>
      </c>
      <c r="Z255" s="111">
        <f t="shared" si="103"/>
        <v>-86.421773417104646</v>
      </c>
      <c r="AA255" s="72">
        <f t="shared" si="104"/>
        <v>93.578226582895354</v>
      </c>
      <c r="AB255" s="110">
        <f t="shared" ca="1" si="105"/>
        <v>-35.624725867265767</v>
      </c>
      <c r="AC255" s="111">
        <f t="shared" ca="1" si="106"/>
        <v>-107.76954387579651</v>
      </c>
      <c r="AD255" s="72">
        <f t="shared" ca="1" si="107"/>
        <v>72.230456124203485</v>
      </c>
    </row>
    <row r="256" spans="1:30">
      <c r="A256" s="118">
        <v>15668.5</v>
      </c>
      <c r="B256" s="101">
        <f t="shared" ca="1" si="81"/>
        <v>803.49315468792668</v>
      </c>
      <c r="C256" s="102">
        <f t="shared" ca="1" si="82"/>
        <v>1.5695517607991281</v>
      </c>
      <c r="D256" s="102">
        <f t="shared" si="83"/>
        <v>1.101860634934781</v>
      </c>
      <c r="E256" s="103">
        <f t="shared" si="84"/>
        <v>0.4333698697835075</v>
      </c>
      <c r="F256" s="101">
        <f t="shared" si="85"/>
        <v>5355.5761280545585</v>
      </c>
      <c r="G256" s="104">
        <f t="shared" si="86"/>
        <v>1.5706096055193699</v>
      </c>
      <c r="H256" s="113">
        <f t="shared" si="87"/>
        <v>669.44775122143426</v>
      </c>
      <c r="I256" s="114">
        <f t="shared" si="88"/>
        <v>1.5693025576843624</v>
      </c>
      <c r="J256" s="101">
        <f t="shared" si="89"/>
        <v>15.783404917524999</v>
      </c>
      <c r="K256" s="104">
        <f t="shared" si="90"/>
        <v>1.5073961764870569</v>
      </c>
      <c r="L256" s="102">
        <f t="shared" si="91"/>
        <v>1</v>
      </c>
      <c r="M256" s="103">
        <f t="shared" si="92"/>
        <v>5.1685246658351253E-10</v>
      </c>
      <c r="N256" s="101">
        <f t="shared" si="93"/>
        <v>1</v>
      </c>
      <c r="O256" s="104">
        <f t="shared" si="94"/>
        <v>8.2696394653362005E-11</v>
      </c>
      <c r="P256" s="105">
        <f t="shared" ca="1" si="95"/>
        <v>1.3276989543436906</v>
      </c>
      <c r="Q256" s="106">
        <f t="shared" ca="1" si="96"/>
        <v>0.74558375460227055</v>
      </c>
      <c r="R256" s="107">
        <f t="shared" ca="1" si="97"/>
        <v>-29.548757073387488</v>
      </c>
      <c r="S256" s="108">
        <f t="shared" ca="1" si="98"/>
        <v>-194.25955701514766</v>
      </c>
      <c r="T256" s="116">
        <f t="shared" ca="1" si="99"/>
        <v>-14.259557015147664</v>
      </c>
      <c r="V256" s="72">
        <f t="shared" ca="1" si="100"/>
        <v>15668.5</v>
      </c>
      <c r="W256" s="72">
        <f t="shared" si="101"/>
        <v>245501892.25</v>
      </c>
      <c r="Y256" s="110">
        <f t="shared" si="102"/>
        <v>22.056595485939212</v>
      </c>
      <c r="Z256" s="111">
        <f t="shared" si="103"/>
        <v>-86.442327365332829</v>
      </c>
      <c r="AA256" s="72">
        <f t="shared" si="104"/>
        <v>93.557672634667171</v>
      </c>
      <c r="AB256" s="110">
        <f t="shared" ca="1" si="105"/>
        <v>-35.687752212445197</v>
      </c>
      <c r="AC256" s="111">
        <f t="shared" ca="1" si="106"/>
        <v>-107.81722964981483</v>
      </c>
      <c r="AD256" s="72">
        <f t="shared" ca="1" si="107"/>
        <v>72.182770350185166</v>
      </c>
    </row>
    <row r="257" spans="1:30">
      <c r="A257" s="118">
        <v>15758.75</v>
      </c>
      <c r="B257" s="101">
        <f t="shared" ca="1" si="81"/>
        <v>808.12123939355683</v>
      </c>
      <c r="C257" s="102">
        <f t="shared" ca="1" si="82"/>
        <v>1.5695588883927585</v>
      </c>
      <c r="D257" s="102">
        <f t="shared" si="83"/>
        <v>1.102982476044116</v>
      </c>
      <c r="E257" s="103">
        <f t="shared" si="84"/>
        <v>0.43556282621895331</v>
      </c>
      <c r="F257" s="101">
        <f t="shared" si="85"/>
        <v>5386.4240540687651</v>
      </c>
      <c r="G257" s="104">
        <f t="shared" si="86"/>
        <v>1.5706106748678099</v>
      </c>
      <c r="H257" s="113">
        <f t="shared" si="87"/>
        <v>673.30373776265753</v>
      </c>
      <c r="I257" s="114">
        <f t="shared" si="88"/>
        <v>1.5693111124531991</v>
      </c>
      <c r="J257" s="101">
        <f t="shared" si="89"/>
        <v>15.873952868565786</v>
      </c>
      <c r="K257" s="104">
        <f t="shared" si="90"/>
        <v>1.5077583038030453</v>
      </c>
      <c r="L257" s="102">
        <f t="shared" si="91"/>
        <v>1</v>
      </c>
      <c r="M257" s="103">
        <f t="shared" si="92"/>
        <v>5.1982951831846877E-10</v>
      </c>
      <c r="N257" s="101">
        <f t="shared" si="93"/>
        <v>1</v>
      </c>
      <c r="O257" s="104">
        <f t="shared" si="94"/>
        <v>8.3172722930954999E-11</v>
      </c>
      <c r="P257" s="105">
        <f t="shared" ca="1" si="95"/>
        <v>1.3310161858969438</v>
      </c>
      <c r="Q257" s="106">
        <f t="shared" ca="1" si="96"/>
        <v>0.74859202338521214</v>
      </c>
      <c r="R257" s="107">
        <f t="shared" ca="1" si="97"/>
        <v>-29.661167322700784</v>
      </c>
      <c r="S257" s="108">
        <f t="shared" ca="1" si="98"/>
        <v>-194.32699883646686</v>
      </c>
      <c r="T257" s="116">
        <f t="shared" ca="1" si="99"/>
        <v>-14.326998836466856</v>
      </c>
      <c r="V257" s="72">
        <f t="shared" ca="1" si="100"/>
        <v>15758.75</v>
      </c>
      <c r="W257" s="72">
        <f t="shared" si="101"/>
        <v>248338201.5625</v>
      </c>
      <c r="Y257" s="110">
        <f t="shared" si="102"/>
        <v>22.00690761342031</v>
      </c>
      <c r="Z257" s="111">
        <f t="shared" si="103"/>
        <v>-86.462646849068676</v>
      </c>
      <c r="AA257" s="72">
        <f t="shared" si="104"/>
        <v>93.537353150931324</v>
      </c>
      <c r="AB257" s="110">
        <f t="shared" ca="1" si="105"/>
        <v>-35.750474589239595</v>
      </c>
      <c r="AC257" s="111">
        <f t="shared" ca="1" si="106"/>
        <v>-107.86435198739819</v>
      </c>
      <c r="AD257" s="72">
        <f t="shared" ca="1" si="107"/>
        <v>72.135648012601806</v>
      </c>
    </row>
    <row r="258" spans="1:30">
      <c r="A258" s="118">
        <v>15849</v>
      </c>
      <c r="B258" s="101">
        <f t="shared" ca="1" si="81"/>
        <v>812.74932413977399</v>
      </c>
      <c r="C258" s="102">
        <f t="shared" ca="1" si="82"/>
        <v>1.569565934812265</v>
      </c>
      <c r="D258" s="102">
        <f t="shared" si="83"/>
        <v>1.1041096106662258</v>
      </c>
      <c r="E258" s="103">
        <f t="shared" si="84"/>
        <v>0.43775131578477167</v>
      </c>
      <c r="F258" s="101">
        <f t="shared" si="85"/>
        <v>5417.2719800890591</v>
      </c>
      <c r="G258" s="104">
        <f t="shared" si="86"/>
        <v>1.5706117320377284</v>
      </c>
      <c r="H258" s="113">
        <f t="shared" si="87"/>
        <v>677.15972435259459</v>
      </c>
      <c r="I258" s="114">
        <f t="shared" si="88"/>
        <v>1.569319569794287</v>
      </c>
      <c r="J258" s="101">
        <f t="shared" si="89"/>
        <v>15.96450287764263</v>
      </c>
      <c r="K258" s="104">
        <f t="shared" si="90"/>
        <v>1.5081163232228123</v>
      </c>
      <c r="L258" s="102">
        <f t="shared" si="91"/>
        <v>1</v>
      </c>
      <c r="M258" s="103">
        <f t="shared" si="92"/>
        <v>5.2280657005342501E-10</v>
      </c>
      <c r="N258" s="101">
        <f t="shared" si="93"/>
        <v>1</v>
      </c>
      <c r="O258" s="104">
        <f t="shared" si="94"/>
        <v>8.3649051208548005E-11</v>
      </c>
      <c r="P258" s="105">
        <f t="shared" ca="1" si="95"/>
        <v>1.3343442126007699</v>
      </c>
      <c r="Q258" s="106">
        <f t="shared" ca="1" si="96"/>
        <v>0.75158614135240021</v>
      </c>
      <c r="R258" s="107">
        <f t="shared" ca="1" si="97"/>
        <v>-29.772994842733578</v>
      </c>
      <c r="S258" s="108">
        <f t="shared" ca="1" si="98"/>
        <v>-194.39365067691321</v>
      </c>
      <c r="T258" s="116">
        <f t="shared" ca="1" si="99"/>
        <v>-14.393650676913211</v>
      </c>
      <c r="V258" s="72">
        <f t="shared" ca="1" si="100"/>
        <v>15849</v>
      </c>
      <c r="W258" s="72">
        <f t="shared" si="101"/>
        <v>251190801</v>
      </c>
      <c r="Y258" s="110">
        <f t="shared" si="102"/>
        <v>21.957501246650537</v>
      </c>
      <c r="Z258" s="111">
        <f t="shared" si="103"/>
        <v>-86.482735852109073</v>
      </c>
      <c r="AA258" s="72">
        <f t="shared" si="104"/>
        <v>93.517264147890927</v>
      </c>
      <c r="AB258" s="110">
        <f t="shared" ca="1" si="105"/>
        <v>-35.812895742502612</v>
      </c>
      <c r="AC258" s="111">
        <f t="shared" ca="1" si="106"/>
        <v>-107.91091482480417</v>
      </c>
      <c r="AD258" s="72">
        <f t="shared" ca="1" si="107"/>
        <v>72.089085175195834</v>
      </c>
    </row>
    <row r="259" spans="1:30">
      <c r="A259" s="118">
        <v>15941.25</v>
      </c>
      <c r="B259" s="101">
        <f t="shared" ca="1" si="81"/>
        <v>817.47997036203901</v>
      </c>
      <c r="C259" s="102">
        <f t="shared" ca="1" si="82"/>
        <v>1.5695730549281177</v>
      </c>
      <c r="D259" s="102">
        <f t="shared" si="83"/>
        <v>1.1052671772540215</v>
      </c>
      <c r="E259" s="103">
        <f t="shared" si="84"/>
        <v>0.43998367972175767</v>
      </c>
      <c r="F259" s="101">
        <f t="shared" si="85"/>
        <v>5448.8035166644659</v>
      </c>
      <c r="G259" s="104">
        <f t="shared" si="86"/>
        <v>1.5706128002642454</v>
      </c>
      <c r="H259" s="113">
        <f t="shared" si="87"/>
        <v>681.1011622183853</v>
      </c>
      <c r="I259" s="114">
        <f t="shared" si="88"/>
        <v>1.569328115588184</v>
      </c>
      <c r="J259" s="101">
        <f t="shared" si="89"/>
        <v>16.057061625823497</v>
      </c>
      <c r="K259" s="104">
        <f t="shared" si="90"/>
        <v>1.5084781033950345</v>
      </c>
      <c r="L259" s="102">
        <f t="shared" si="91"/>
        <v>1</v>
      </c>
      <c r="M259" s="103">
        <f t="shared" si="92"/>
        <v>5.2584959523403127E-10</v>
      </c>
      <c r="N259" s="101">
        <f t="shared" si="93"/>
        <v>1</v>
      </c>
      <c r="O259" s="104">
        <f t="shared" si="94"/>
        <v>8.4135935237445005E-11</v>
      </c>
      <c r="P259" s="105">
        <f t="shared" ca="1" si="95"/>
        <v>1.3377570644348113</v>
      </c>
      <c r="Q259" s="106">
        <f t="shared" ca="1" si="96"/>
        <v>0.75463204889887536</v>
      </c>
      <c r="R259" s="107">
        <f t="shared" ca="1" si="97"/>
        <v>-29.886704390344256</v>
      </c>
      <c r="S259" s="108">
        <f t="shared" ca="1" si="98"/>
        <v>-194.46097128863317</v>
      </c>
      <c r="T259" s="116">
        <f t="shared" ca="1" si="99"/>
        <v>-14.460971288633175</v>
      </c>
      <c r="V259" s="72">
        <f t="shared" ca="1" si="100"/>
        <v>15941.25</v>
      </c>
      <c r="W259" s="72">
        <f t="shared" si="101"/>
        <v>254123451.5625</v>
      </c>
      <c r="Y259" s="110">
        <f t="shared" si="102"/>
        <v>21.907287645543189</v>
      </c>
      <c r="Z259" s="111">
        <f t="shared" si="103"/>
        <v>-86.503035895913726</v>
      </c>
      <c r="AA259" s="72">
        <f t="shared" si="104"/>
        <v>93.496964104086274</v>
      </c>
      <c r="AB259" s="110">
        <f t="shared" ca="1" si="105"/>
        <v>-35.876391689005942</v>
      </c>
      <c r="AC259" s="111">
        <f t="shared" ca="1" si="106"/>
        <v>-107.95793539271948</v>
      </c>
      <c r="AD259" s="72">
        <f t="shared" ca="1" si="107"/>
        <v>72.042064607280523</v>
      </c>
    </row>
    <row r="260" spans="1:30">
      <c r="A260" s="118">
        <v>16033.5</v>
      </c>
      <c r="B260" s="101">
        <f t="shared" ca="1" si="81"/>
        <v>822.21061662527006</v>
      </c>
      <c r="C260" s="102">
        <f t="shared" ca="1" si="82"/>
        <v>1.5695800931118022</v>
      </c>
      <c r="D260" s="102">
        <f t="shared" si="83"/>
        <v>1.1064302403429342</v>
      </c>
      <c r="E260" s="103">
        <f t="shared" si="84"/>
        <v>0.4422113614850367</v>
      </c>
      <c r="F260" s="101">
        <f t="shared" si="85"/>
        <v>5480.3350532460181</v>
      </c>
      <c r="G260" s="104">
        <f t="shared" si="86"/>
        <v>1.5706138561985128</v>
      </c>
      <c r="H260" s="113">
        <f t="shared" si="87"/>
        <v>685.04260013334488</v>
      </c>
      <c r="I260" s="114">
        <f t="shared" si="88"/>
        <v>1.5693365630445004</v>
      </c>
      <c r="J260" s="101">
        <f t="shared" si="89"/>
        <v>16.149622451540782</v>
      </c>
      <c r="K260" s="104">
        <f t="shared" si="90"/>
        <v>1.5088357365604519</v>
      </c>
      <c r="L260" s="102">
        <f t="shared" si="91"/>
        <v>1</v>
      </c>
      <c r="M260" s="103">
        <f t="shared" si="92"/>
        <v>5.2889262041463753E-10</v>
      </c>
      <c r="N260" s="101">
        <f t="shared" si="93"/>
        <v>1</v>
      </c>
      <c r="O260" s="104">
        <f t="shared" si="94"/>
        <v>8.4622819266342005E-11</v>
      </c>
      <c r="P260" s="105">
        <f t="shared" ca="1" si="95"/>
        <v>1.3411810277325609</v>
      </c>
      <c r="Q260" s="106">
        <f t="shared" ca="1" si="96"/>
        <v>0.75766329887770334</v>
      </c>
      <c r="R260" s="107">
        <f t="shared" ca="1" si="97"/>
        <v>-29.999817365945823</v>
      </c>
      <c r="S260" s="108">
        <f t="shared" ca="1" si="98"/>
        <v>-194.52748298205987</v>
      </c>
      <c r="T260" s="116">
        <f t="shared" ca="1" si="99"/>
        <v>-14.527482982059865</v>
      </c>
      <c r="V260" s="72">
        <f t="shared" ca="1" si="100"/>
        <v>16033.5</v>
      </c>
      <c r="W260" s="72">
        <f t="shared" si="101"/>
        <v>257073122.25</v>
      </c>
      <c r="Y260" s="110">
        <f t="shared" si="102"/>
        <v>21.857361547510337</v>
      </c>
      <c r="Z260" s="111">
        <f t="shared" si="103"/>
        <v>-86.523103263764966</v>
      </c>
      <c r="AA260" s="72">
        <f t="shared" si="104"/>
        <v>93.476896736235034</v>
      </c>
      <c r="AB260" s="110">
        <f t="shared" ca="1" si="105"/>
        <v>-35.939578566574653</v>
      </c>
      <c r="AC260" s="111">
        <f t="shared" ca="1" si="106"/>
        <v>-108.0043797182949</v>
      </c>
      <c r="AD260" s="72">
        <f t="shared" ca="1" si="107"/>
        <v>71.995620281705101</v>
      </c>
    </row>
    <row r="261" spans="1:30">
      <c r="A261" s="118">
        <v>16125.75</v>
      </c>
      <c r="B261" s="101">
        <f t="shared" ca="1" si="81"/>
        <v>826.94126292876422</v>
      </c>
      <c r="C261" s="102">
        <f t="shared" ca="1" si="82"/>
        <v>1.5695870507694349</v>
      </c>
      <c r="D261" s="102">
        <f t="shared" si="83"/>
        <v>1.1075987826177303</v>
      </c>
      <c r="E261" s="103">
        <f t="shared" si="84"/>
        <v>0.44443435374937956</v>
      </c>
      <c r="F261" s="101">
        <f t="shared" si="85"/>
        <v>5511.8665898336121</v>
      </c>
      <c r="G261" s="104">
        <f t="shared" si="86"/>
        <v>1.57061490005149</v>
      </c>
      <c r="H261" s="113">
        <f t="shared" si="87"/>
        <v>688.98403809662943</v>
      </c>
      <c r="I261" s="114">
        <f t="shared" si="88"/>
        <v>1.5693449138509008</v>
      </c>
      <c r="J261" s="101">
        <f t="shared" si="89"/>
        <v>16.242185319276143</v>
      </c>
      <c r="K261" s="104">
        <f t="shared" si="90"/>
        <v>1.5091892935271338</v>
      </c>
      <c r="L261" s="102">
        <f t="shared" si="91"/>
        <v>1</v>
      </c>
      <c r="M261" s="103">
        <f t="shared" si="92"/>
        <v>5.3193564559524378E-10</v>
      </c>
      <c r="N261" s="101">
        <f t="shared" si="93"/>
        <v>1</v>
      </c>
      <c r="O261" s="104">
        <f t="shared" si="94"/>
        <v>8.5109703295239004E-11</v>
      </c>
      <c r="P261" s="105">
        <f t="shared" ca="1" si="95"/>
        <v>1.3446160187306135</v>
      </c>
      <c r="Q261" s="106">
        <f t="shared" ca="1" si="96"/>
        <v>0.76067995614330131</v>
      </c>
      <c r="R261" s="107">
        <f t="shared" ca="1" si="97"/>
        <v>-30.112339816268701</v>
      </c>
      <c r="S261" s="108">
        <f t="shared" ca="1" si="98"/>
        <v>-194.5931939457414</v>
      </c>
      <c r="T261" s="116">
        <f t="shared" ca="1" si="99"/>
        <v>-14.593193945741405</v>
      </c>
      <c r="V261" s="72">
        <f t="shared" ca="1" si="100"/>
        <v>16125.75</v>
      </c>
      <c r="W261" s="72">
        <f t="shared" si="101"/>
        <v>260039813.0625</v>
      </c>
      <c r="Y261" s="110">
        <f t="shared" si="102"/>
        <v>21.807719691698608</v>
      </c>
      <c r="Z261" s="111">
        <f t="shared" si="103"/>
        <v>-86.542941928057218</v>
      </c>
      <c r="AA261" s="72">
        <f t="shared" si="104"/>
        <v>93.457058071942782</v>
      </c>
      <c r="AB261" s="110">
        <f t="shared" ca="1" si="105"/>
        <v>-36.00245916108581</v>
      </c>
      <c r="AC261" s="111">
        <f t="shared" ca="1" si="106"/>
        <v>-108.05025201768414</v>
      </c>
      <c r="AD261" s="72">
        <f t="shared" ca="1" si="107"/>
        <v>71.949747982315856</v>
      </c>
    </row>
    <row r="262" spans="1:30">
      <c r="A262" s="118">
        <v>16218</v>
      </c>
      <c r="B262" s="101">
        <f t="shared" ca="1" si="81"/>
        <v>831.67190927183435</v>
      </c>
      <c r="C262" s="102">
        <f t="shared" ca="1" si="82"/>
        <v>1.5695939292751397</v>
      </c>
      <c r="D262" s="102">
        <f t="shared" si="83"/>
        <v>1.108772786754769</v>
      </c>
      <c r="E262" s="103">
        <f t="shared" si="84"/>
        <v>0.44665264940575605</v>
      </c>
      <c r="F262" s="101">
        <f t="shared" si="85"/>
        <v>5543.3981264271442</v>
      </c>
      <c r="G262" s="104">
        <f t="shared" si="86"/>
        <v>1.5706159320293365</v>
      </c>
      <c r="H262" s="113">
        <f t="shared" si="87"/>
        <v>692.92547610741451</v>
      </c>
      <c r="I262" s="114">
        <f t="shared" si="88"/>
        <v>1.5693531696566503</v>
      </c>
      <c r="J262" s="101">
        <f t="shared" si="89"/>
        <v>16.334750194315546</v>
      </c>
      <c r="K262" s="104">
        <f t="shared" si="90"/>
        <v>1.5095388435022743</v>
      </c>
      <c r="L262" s="102">
        <f t="shared" si="91"/>
        <v>1</v>
      </c>
      <c r="M262" s="103">
        <f t="shared" si="92"/>
        <v>5.3497867077585004E-10</v>
      </c>
      <c r="N262" s="101">
        <f t="shared" si="93"/>
        <v>1</v>
      </c>
      <c r="O262" s="104">
        <f t="shared" si="94"/>
        <v>8.5596587324136004E-11</v>
      </c>
      <c r="P262" s="105">
        <f t="shared" ca="1" si="95"/>
        <v>1.3480619542537515</v>
      </c>
      <c r="Q262" s="106">
        <f t="shared" ca="1" si="96"/>
        <v>0.76368208584016817</v>
      </c>
      <c r="R262" s="107">
        <f t="shared" ca="1" si="97"/>
        <v>-30.224277686553677</v>
      </c>
      <c r="S262" s="108">
        <f t="shared" ca="1" si="98"/>
        <v>-194.65811228082779</v>
      </c>
      <c r="T262" s="116">
        <f t="shared" ca="1" si="99"/>
        <v>-14.658112280827794</v>
      </c>
      <c r="V262" s="72">
        <f t="shared" ca="1" si="100"/>
        <v>16218</v>
      </c>
      <c r="W262" s="72">
        <f t="shared" si="101"/>
        <v>263023524</v>
      </c>
      <c r="Y262" s="110">
        <f t="shared" si="102"/>
        <v>21.758358872203523</v>
      </c>
      <c r="Z262" s="111">
        <f t="shared" si="103"/>
        <v>-86.562555771386855</v>
      </c>
      <c r="AA262" s="72">
        <f t="shared" si="104"/>
        <v>93.437444228613145</v>
      </c>
      <c r="AB262" s="110">
        <f t="shared" ca="1" si="105"/>
        <v>-36.0650362118757</v>
      </c>
      <c r="AC262" s="111">
        <f t="shared" ca="1" si="106"/>
        <v>-108.09555650944093</v>
      </c>
      <c r="AD262" s="72">
        <f t="shared" ca="1" si="107"/>
        <v>71.904443490559075</v>
      </c>
    </row>
    <row r="263" spans="1:30">
      <c r="A263" s="118">
        <v>16312.5</v>
      </c>
      <c r="B263" s="101">
        <f t="shared" ca="1" si="81"/>
        <v>836.51793727336189</v>
      </c>
      <c r="C263" s="102">
        <f t="shared" ca="1" si="82"/>
        <v>1.569600894881702</v>
      </c>
      <c r="D263" s="102">
        <f t="shared" si="83"/>
        <v>1.1099810703335979</v>
      </c>
      <c r="E263" s="103">
        <f t="shared" si="84"/>
        <v>0.44892017279701996</v>
      </c>
      <c r="F263" s="101">
        <f t="shared" si="85"/>
        <v>5575.6987248948608</v>
      </c>
      <c r="G263" s="104">
        <f t="shared" si="86"/>
        <v>1.5706169770748524</v>
      </c>
      <c r="H263" s="113">
        <f t="shared" si="87"/>
        <v>696.96304680101866</v>
      </c>
      <c r="I263" s="114">
        <f t="shared" si="88"/>
        <v>1.5693615300037369</v>
      </c>
      <c r="J263" s="101">
        <f t="shared" si="89"/>
        <v>16.42957479510795</v>
      </c>
      <c r="K263" s="104">
        <f t="shared" si="90"/>
        <v>1.5098928350129437</v>
      </c>
      <c r="L263" s="102">
        <f t="shared" si="91"/>
        <v>1</v>
      </c>
      <c r="M263" s="103">
        <f t="shared" si="92"/>
        <v>5.3809591608281254E-10</v>
      </c>
      <c r="N263" s="101">
        <f t="shared" si="93"/>
        <v>1</v>
      </c>
      <c r="O263" s="104">
        <f t="shared" si="94"/>
        <v>8.6095346573250001E-11</v>
      </c>
      <c r="P263" s="105">
        <f t="shared" ca="1" si="95"/>
        <v>1.3516031988483896</v>
      </c>
      <c r="Q263" s="106">
        <f t="shared" ca="1" si="96"/>
        <v>0.76674244320958496</v>
      </c>
      <c r="R263" s="107">
        <f t="shared" ca="1" si="97"/>
        <v>-30.338345718263685</v>
      </c>
      <c r="S263" s="108">
        <f t="shared" ca="1" si="98"/>
        <v>-194.72380050505231</v>
      </c>
      <c r="T263" s="116">
        <f t="shared" ca="1" si="99"/>
        <v>-14.72380050505231</v>
      </c>
      <c r="V263" s="72">
        <f t="shared" ca="1" si="100"/>
        <v>16312.5</v>
      </c>
      <c r="W263" s="72">
        <f t="shared" si="101"/>
        <v>266097656.25</v>
      </c>
      <c r="Y263" s="110">
        <f t="shared" si="102"/>
        <v>21.708082237330885</v>
      </c>
      <c r="Z263" s="111">
        <f t="shared" si="103"/>
        <v>-86.582418854898478</v>
      </c>
      <c r="AA263" s="72">
        <f t="shared" si="104"/>
        <v>93.417581145101522</v>
      </c>
      <c r="AB263" s="110">
        <f t="shared" ca="1" si="105"/>
        <v>-36.128827608713067</v>
      </c>
      <c r="AC263" s="111">
        <f t="shared" ca="1" si="106"/>
        <v>-108.14138165015378</v>
      </c>
      <c r="AD263" s="72">
        <f t="shared" ca="1" si="107"/>
        <v>71.858618349846225</v>
      </c>
    </row>
    <row r="264" spans="1:30">
      <c r="A264" s="118">
        <v>16407</v>
      </c>
      <c r="B264" s="101">
        <f t="shared" ca="1" si="81"/>
        <v>841.36396531500964</v>
      </c>
      <c r="C264" s="102">
        <f t="shared" ca="1" si="82"/>
        <v>1.5696077802482589</v>
      </c>
      <c r="D264" s="102">
        <f t="shared" si="83"/>
        <v>1.1111950486315894</v>
      </c>
      <c r="E264" s="103">
        <f t="shared" si="84"/>
        <v>0.4511827532713269</v>
      </c>
      <c r="F264" s="101">
        <f t="shared" si="85"/>
        <v>5607.9993233685973</v>
      </c>
      <c r="G264" s="104">
        <f t="shared" si="86"/>
        <v>1.5706180100819946</v>
      </c>
      <c r="H264" s="113">
        <f t="shared" si="87"/>
        <v>701.00061754277635</v>
      </c>
      <c r="I264" s="114">
        <f t="shared" si="88"/>
        <v>1.5693697940442246</v>
      </c>
      <c r="J264" s="101">
        <f t="shared" si="89"/>
        <v>16.524401431061492</v>
      </c>
      <c r="K264" s="104">
        <f t="shared" si="90"/>
        <v>1.5102427637482785</v>
      </c>
      <c r="L264" s="102">
        <f t="shared" si="91"/>
        <v>1</v>
      </c>
      <c r="M264" s="103">
        <f t="shared" si="92"/>
        <v>5.4121316138977505E-10</v>
      </c>
      <c r="N264" s="101">
        <f t="shared" si="93"/>
        <v>1</v>
      </c>
      <c r="O264" s="104">
        <f t="shared" si="94"/>
        <v>8.6594105822364011E-11</v>
      </c>
      <c r="P264" s="105">
        <f t="shared" ca="1" si="95"/>
        <v>1.3551557535540648</v>
      </c>
      <c r="Q264" s="106">
        <f t="shared" ca="1" si="96"/>
        <v>0.76978769495473842</v>
      </c>
      <c r="R264" s="107">
        <f t="shared" ca="1" si="97"/>
        <v>-30.451812619738561</v>
      </c>
      <c r="S264" s="108">
        <f t="shared" ca="1" si="98"/>
        <v>-194.78867389995895</v>
      </c>
      <c r="T264" s="116">
        <f t="shared" ca="1" si="99"/>
        <v>-14.788673899958951</v>
      </c>
      <c r="V264" s="72">
        <f t="shared" ca="1" si="100"/>
        <v>16407</v>
      </c>
      <c r="W264" s="72">
        <f t="shared" si="101"/>
        <v>269189649</v>
      </c>
      <c r="Y264" s="110">
        <f t="shared" si="102"/>
        <v>21.658093876107994</v>
      </c>
      <c r="Z264" s="111">
        <f t="shared" si="103"/>
        <v>-86.602053986743741</v>
      </c>
      <c r="AA264" s="72">
        <f t="shared" si="104"/>
        <v>93.397946013256259</v>
      </c>
      <c r="AB264" s="110">
        <f t="shared" ca="1" si="105"/>
        <v>-36.192306148965052</v>
      </c>
      <c r="AC264" s="111">
        <f t="shared" ca="1" si="106"/>
        <v>-108.18661991321525</v>
      </c>
      <c r="AD264" s="72">
        <f t="shared" ca="1" si="107"/>
        <v>71.813380086784747</v>
      </c>
    </row>
    <row r="265" spans="1:30">
      <c r="A265" s="118">
        <v>16501.5</v>
      </c>
      <c r="B265" s="101">
        <f t="shared" ca="1" si="81"/>
        <v>846.20999339608807</v>
      </c>
      <c r="C265" s="102">
        <f t="shared" ca="1" si="82"/>
        <v>1.5696145867533517</v>
      </c>
      <c r="D265" s="102">
        <f t="shared" si="83"/>
        <v>1.1124147030047999</v>
      </c>
      <c r="E265" s="103">
        <f t="shared" si="84"/>
        <v>0.45344038388375785</v>
      </c>
      <c r="F265" s="101">
        <f t="shared" si="85"/>
        <v>5640.2999218482501</v>
      </c>
      <c r="G265" s="104">
        <f t="shared" si="86"/>
        <v>1.5706190312575856</v>
      </c>
      <c r="H265" s="113">
        <f t="shared" si="87"/>
        <v>705.03818833186006</v>
      </c>
      <c r="I265" s="114">
        <f t="shared" si="88"/>
        <v>1.5693779634326814</v>
      </c>
      <c r="J265" s="101">
        <f t="shared" si="89"/>
        <v>16.61923006733927</v>
      </c>
      <c r="K265" s="104">
        <f t="shared" si="90"/>
        <v>1.5105886991679209</v>
      </c>
      <c r="L265" s="102">
        <f t="shared" si="91"/>
        <v>1</v>
      </c>
      <c r="M265" s="103">
        <f t="shared" si="92"/>
        <v>5.4433040669673755E-10</v>
      </c>
      <c r="N265" s="101">
        <f t="shared" si="93"/>
        <v>1</v>
      </c>
      <c r="O265" s="104">
        <f t="shared" si="94"/>
        <v>8.7092865071478007E-11</v>
      </c>
      <c r="P265" s="105">
        <f t="shared" ca="1" si="95"/>
        <v>1.3587195308747031</v>
      </c>
      <c r="Q265" s="106">
        <f t="shared" ca="1" si="96"/>
        <v>0.77281791193905658</v>
      </c>
      <c r="R265" s="107">
        <f t="shared" ca="1" si="97"/>
        <v>-30.564684466290704</v>
      </c>
      <c r="S265" s="108">
        <f t="shared" ca="1" si="98"/>
        <v>-194.85274089941697</v>
      </c>
      <c r="T265" s="116">
        <f t="shared" ca="1" si="99"/>
        <v>-14.852740899416972</v>
      </c>
      <c r="V265" s="72">
        <f t="shared" ca="1" si="100"/>
        <v>16501.5</v>
      </c>
      <c r="W265" s="72">
        <f t="shared" si="101"/>
        <v>272299502.25</v>
      </c>
      <c r="Y265" s="110">
        <f t="shared" si="102"/>
        <v>21.608390513735994</v>
      </c>
      <c r="Z265" s="111">
        <f t="shared" si="103"/>
        <v>-86.621465063717224</v>
      </c>
      <c r="AA265" s="72">
        <f t="shared" si="104"/>
        <v>93.378534936282776</v>
      </c>
      <c r="AB265" s="110">
        <f t="shared" ca="1" si="105"/>
        <v>-36.255474633145191</v>
      </c>
      <c r="AC265" s="111">
        <f t="shared" ca="1" si="106"/>
        <v>-108.23127583569979</v>
      </c>
      <c r="AD265" s="72">
        <f t="shared" ca="1" si="107"/>
        <v>71.76872416430021</v>
      </c>
    </row>
    <row r="266" spans="1:30">
      <c r="A266" s="118">
        <v>16596</v>
      </c>
      <c r="B266" s="101">
        <f t="shared" ca="1" si="81"/>
        <v>851.05602151592359</v>
      </c>
      <c r="C266" s="102">
        <f t="shared" ca="1" si="82"/>
        <v>1.5696213157441232</v>
      </c>
      <c r="D266" s="102">
        <f t="shared" si="83"/>
        <v>1.1136400148039813</v>
      </c>
      <c r="E266" s="103">
        <f t="shared" si="84"/>
        <v>0.45569305792157672</v>
      </c>
      <c r="F266" s="101">
        <f t="shared" si="85"/>
        <v>5672.6005203337163</v>
      </c>
      <c r="G266" s="104">
        <f t="shared" si="86"/>
        <v>1.570620040803737</v>
      </c>
      <c r="H266" s="113">
        <f t="shared" si="87"/>
        <v>709.07575916746134</v>
      </c>
      <c r="I266" s="114">
        <f t="shared" si="88"/>
        <v>1.5693860397859893</v>
      </c>
      <c r="J266" s="101">
        <f t="shared" si="89"/>
        <v>16.714060669894259</v>
      </c>
      <c r="K266" s="104">
        <f t="shared" si="90"/>
        <v>1.510930709159013</v>
      </c>
      <c r="L266" s="102">
        <f t="shared" si="91"/>
        <v>1</v>
      </c>
      <c r="M266" s="103">
        <f t="shared" si="92"/>
        <v>5.4744765200370005E-10</v>
      </c>
      <c r="N266" s="101">
        <f t="shared" si="93"/>
        <v>1</v>
      </c>
      <c r="O266" s="104">
        <f t="shared" si="94"/>
        <v>8.7591624320592004E-11</v>
      </c>
      <c r="P266" s="105">
        <f t="shared" ca="1" si="95"/>
        <v>1.362294443958014</v>
      </c>
      <c r="Q266" s="106">
        <f t="shared" ca="1" si="96"/>
        <v>0.77583316527111568</v>
      </c>
      <c r="R266" s="107">
        <f t="shared" ca="1" si="97"/>
        <v>-30.676967231790819</v>
      </c>
      <c r="S266" s="108">
        <f t="shared" ca="1" si="98"/>
        <v>-194.91600984803097</v>
      </c>
      <c r="T266" s="116">
        <f t="shared" ca="1" si="99"/>
        <v>-14.916009848030967</v>
      </c>
      <c r="V266" s="72">
        <f t="shared" ca="1" si="100"/>
        <v>16596</v>
      </c>
      <c r="W266" s="72">
        <f t="shared" si="101"/>
        <v>275427216</v>
      </c>
      <c r="Y266" s="110">
        <f t="shared" si="102"/>
        <v>21.558968930697354</v>
      </c>
      <c r="Z266" s="111">
        <f t="shared" si="103"/>
        <v>-86.64065589440527</v>
      </c>
      <c r="AA266" s="72">
        <f t="shared" si="104"/>
        <v>93.35934410559473</v>
      </c>
      <c r="AB266" s="110">
        <f t="shared" ca="1" si="105"/>
        <v>-36.318335815606666</v>
      </c>
      <c r="AC266" s="111">
        <f t="shared" ca="1" si="106"/>
        <v>-108.27535395362577</v>
      </c>
      <c r="AD266" s="72">
        <f t="shared" ca="1" si="107"/>
        <v>71.724646046374232</v>
      </c>
    </row>
    <row r="267" spans="1:30">
      <c r="A267" s="118">
        <v>16692.5</v>
      </c>
      <c r="B267" s="101">
        <f t="shared" ca="1" si="81"/>
        <v>856.004611116761</v>
      </c>
      <c r="C267" s="102">
        <f t="shared" ca="1" si="82"/>
        <v>1.5696281085230919</v>
      </c>
      <c r="D267" s="102">
        <f t="shared" si="83"/>
        <v>1.1148970780360794</v>
      </c>
      <c r="E267" s="103">
        <f t="shared" si="84"/>
        <v>0.45798828582891921</v>
      </c>
      <c r="F267" s="101">
        <f t="shared" si="85"/>
        <v>5705.5847293750385</v>
      </c>
      <c r="G267" s="104">
        <f t="shared" si="86"/>
        <v>1.5706210599199748</v>
      </c>
      <c r="H267" s="113">
        <f t="shared" si="87"/>
        <v>713.19878128486243</v>
      </c>
      <c r="I267" s="114">
        <f t="shared" si="88"/>
        <v>1.5693941927000208</v>
      </c>
      <c r="J267" s="101">
        <f t="shared" si="89"/>
        <v>16.8109002638863</v>
      </c>
      <c r="K267" s="104">
        <f t="shared" si="90"/>
        <v>1.5112759754875567</v>
      </c>
      <c r="L267" s="102">
        <f t="shared" si="91"/>
        <v>1</v>
      </c>
      <c r="M267" s="103">
        <f t="shared" si="92"/>
        <v>5.5063087075631257E-10</v>
      </c>
      <c r="N267" s="101">
        <f t="shared" si="93"/>
        <v>1</v>
      </c>
      <c r="O267" s="104">
        <f t="shared" si="94"/>
        <v>8.8100939321010007E-11</v>
      </c>
      <c r="P267" s="105">
        <f t="shared" ca="1" si="95"/>
        <v>1.3659564187603486</v>
      </c>
      <c r="Q267" s="106">
        <f t="shared" ca="1" si="96"/>
        <v>0.77889686558548676</v>
      </c>
      <c r="R267" s="107">
        <f t="shared" ca="1" si="97"/>
        <v>-30.791024543054171</v>
      </c>
      <c r="S267" s="108">
        <f t="shared" ca="1" si="98"/>
        <v>-194.97980283803986</v>
      </c>
      <c r="T267" s="116">
        <f t="shared" ca="1" si="99"/>
        <v>-14.979802838039859</v>
      </c>
      <c r="V267" s="72">
        <f t="shared" ca="1" si="100"/>
        <v>16692.5</v>
      </c>
      <c r="W267" s="72">
        <f t="shared" si="101"/>
        <v>278639556.25</v>
      </c>
      <c r="Y267" s="110">
        <f t="shared" si="102"/>
        <v>21.50878888662276</v>
      </c>
      <c r="Z267" s="111">
        <f t="shared" si="103"/>
        <v>-86.660029461202285</v>
      </c>
      <c r="AA267" s="72">
        <f t="shared" si="104"/>
        <v>93.339970538797715</v>
      </c>
      <c r="AB267" s="110">
        <f t="shared" ca="1" si="105"/>
        <v>-36.382213082795417</v>
      </c>
      <c r="AC267" s="111">
        <f t="shared" ca="1" si="106"/>
        <v>-108.31977337683757</v>
      </c>
      <c r="AD267" s="72">
        <f t="shared" ca="1" si="107"/>
        <v>71.680226623162426</v>
      </c>
    </row>
    <row r="268" spans="1:30">
      <c r="A268" s="118">
        <v>16789</v>
      </c>
      <c r="B268" s="101">
        <f t="shared" ca="1" si="81"/>
        <v>860.95320075664199</v>
      </c>
      <c r="C268" s="102">
        <f t="shared" ca="1" si="82"/>
        <v>1.5696348232149464</v>
      </c>
      <c r="D268" s="102">
        <f t="shared" si="83"/>
        <v>1.1161600013776691</v>
      </c>
      <c r="E268" s="103">
        <f t="shared" si="84"/>
        <v>0.46027833172505778</v>
      </c>
      <c r="F268" s="101">
        <f t="shared" si="85"/>
        <v>5738.5689384222178</v>
      </c>
      <c r="G268" s="104">
        <f t="shared" si="86"/>
        <v>1.5706220673208375</v>
      </c>
      <c r="H268" s="113">
        <f t="shared" si="87"/>
        <v>717.32180344912479</v>
      </c>
      <c r="I268" s="114">
        <f t="shared" si="88"/>
        <v>1.5694022518914166</v>
      </c>
      <c r="J268" s="101">
        <f t="shared" si="89"/>
        <v>16.907741838930047</v>
      </c>
      <c r="K268" s="104">
        <f t="shared" si="90"/>
        <v>1.5116172867291711</v>
      </c>
      <c r="L268" s="102">
        <f t="shared" si="91"/>
        <v>1</v>
      </c>
      <c r="M268" s="103">
        <f t="shared" si="92"/>
        <v>5.5381408950892509E-10</v>
      </c>
      <c r="N268" s="101">
        <f t="shared" si="93"/>
        <v>1</v>
      </c>
      <c r="O268" s="104">
        <f t="shared" si="94"/>
        <v>8.861025432142801E-11</v>
      </c>
      <c r="P268" s="105">
        <f t="shared" ca="1" si="95"/>
        <v>1.3696298246629288</v>
      </c>
      <c r="Q268" s="106">
        <f t="shared" ca="1" si="96"/>
        <v>0.78194511273864487</v>
      </c>
      <c r="R268" s="107">
        <f t="shared" ca="1" si="97"/>
        <v>-30.904479852355276</v>
      </c>
      <c r="S268" s="108">
        <f t="shared" ca="1" si="98"/>
        <v>-195.04278094932064</v>
      </c>
      <c r="T268" s="116">
        <f t="shared" ca="1" si="99"/>
        <v>-15.042780949320644</v>
      </c>
      <c r="V268" s="72">
        <f t="shared" ca="1" si="100"/>
        <v>16789</v>
      </c>
      <c r="W268" s="72">
        <f t="shared" si="101"/>
        <v>281870521</v>
      </c>
      <c r="Y268" s="110">
        <f t="shared" si="102"/>
        <v>21.45889606070881</v>
      </c>
      <c r="Z268" s="111">
        <f t="shared" si="103"/>
        <v>-86.679181116880258</v>
      </c>
      <c r="AA268" s="72">
        <f t="shared" si="104"/>
        <v>93.320818883119742</v>
      </c>
      <c r="AB268" s="110">
        <f t="shared" ca="1" si="105"/>
        <v>-36.445775566182583</v>
      </c>
      <c r="AC268" s="111">
        <f t="shared" ca="1" si="106"/>
        <v>-108.36359983244039</v>
      </c>
      <c r="AD268" s="72">
        <f t="shared" ca="1" si="107"/>
        <v>71.636400167559614</v>
      </c>
    </row>
    <row r="269" spans="1:30">
      <c r="A269" s="118">
        <v>16885.5</v>
      </c>
      <c r="B269" s="101">
        <f t="shared" ca="1" si="81"/>
        <v>865.90179043489729</v>
      </c>
      <c r="C269" s="102">
        <f t="shared" ca="1" si="82"/>
        <v>1.569641461158479</v>
      </c>
      <c r="D269" s="102">
        <f t="shared" si="83"/>
        <v>1.1174287649593793</v>
      </c>
      <c r="E269" s="103">
        <f t="shared" si="84"/>
        <v>0.46256318920155715</v>
      </c>
      <c r="F269" s="101">
        <f t="shared" si="85"/>
        <v>5771.5531474751551</v>
      </c>
      <c r="G269" s="104">
        <f t="shared" si="86"/>
        <v>1.5706230632071845</v>
      </c>
      <c r="H269" s="113">
        <f t="shared" si="87"/>
        <v>721.44482565944497</v>
      </c>
      <c r="I269" s="114">
        <f t="shared" si="88"/>
        <v>1.5694102189670363</v>
      </c>
      <c r="J269" s="101">
        <f t="shared" si="89"/>
        <v>17.004585361179085</v>
      </c>
      <c r="K269" s="104">
        <f t="shared" si="90"/>
        <v>1.5119547103779887</v>
      </c>
      <c r="L269" s="102">
        <f t="shared" si="91"/>
        <v>1</v>
      </c>
      <c r="M269" s="103">
        <f t="shared" si="92"/>
        <v>5.5699730826153751E-10</v>
      </c>
      <c r="N269" s="101">
        <f t="shared" si="93"/>
        <v>1</v>
      </c>
      <c r="O269" s="104">
        <f t="shared" si="94"/>
        <v>8.9119569321846E-11</v>
      </c>
      <c r="P269" s="105">
        <f t="shared" ca="1" si="95"/>
        <v>1.3733145712509587</v>
      </c>
      <c r="Q269" s="106">
        <f t="shared" ca="1" si="96"/>
        <v>0.78497798312742606</v>
      </c>
      <c r="R269" s="107">
        <f t="shared" ca="1" si="97"/>
        <v>-31.017339208909618</v>
      </c>
      <c r="S269" s="108">
        <f t="shared" ca="1" si="98"/>
        <v>-195.10495278954431</v>
      </c>
      <c r="T269" s="116">
        <f t="shared" ca="1" si="99"/>
        <v>-15.104952789544313</v>
      </c>
      <c r="V269" s="72">
        <f t="shared" ca="1" si="100"/>
        <v>16885.5</v>
      </c>
      <c r="W269" s="72">
        <f t="shared" si="101"/>
        <v>285120110.25</v>
      </c>
      <c r="Y269" s="110">
        <f t="shared" si="102"/>
        <v>21.409287195254695</v>
      </c>
      <c r="Z269" s="111">
        <f t="shared" si="103"/>
        <v>-86.698114648010332</v>
      </c>
      <c r="AA269" s="72">
        <f t="shared" si="104"/>
        <v>93.301885351989668</v>
      </c>
      <c r="AB269" s="110">
        <f t="shared" ca="1" si="105"/>
        <v>-36.509026057282817</v>
      </c>
      <c r="AC269" s="111">
        <f t="shared" ca="1" si="106"/>
        <v>-108.4068381415339</v>
      </c>
      <c r="AD269" s="72">
        <f t="shared" ca="1" si="107"/>
        <v>71.593161858466104</v>
      </c>
    </row>
    <row r="270" spans="1:30">
      <c r="A270" s="118">
        <v>16982</v>
      </c>
      <c r="B270" s="101">
        <f t="shared" ref="B270:B333" ca="1" si="108">SQRT(1+(A270/Pole1)^2)</f>
        <v>870.85038015087241</v>
      </c>
      <c r="C270" s="102">
        <f t="shared" ref="C270:C333" ca="1" si="109">ATAN(A270/Pole1)</f>
        <v>1.5696480236620514</v>
      </c>
      <c r="D270" s="102">
        <f t="shared" ref="D270:D333" si="110">SQRT(1+(A270/Zero1)^2)</f>
        <v>1.1187033489103013</v>
      </c>
      <c r="E270" s="103">
        <f t="shared" ref="E270:E333" si="111">ATAN(A270/Zero1)</f>
        <v>0.46484285209567766</v>
      </c>
      <c r="F270" s="101">
        <f t="shared" ref="F270:F333" si="112">SQRT(1+(A270/Pole2)^2)</f>
        <v>5804.5373565337504</v>
      </c>
      <c r="G270" s="104">
        <f t="shared" ref="G270:G333" si="113">ATAN(A270/Pole2)</f>
        <v>1.5706240477753084</v>
      </c>
      <c r="H270" s="113">
        <f t="shared" ref="H270:H333" si="114">SQRT(1+(A270/Zero2)^2)</f>
        <v>725.56784791503799</v>
      </c>
      <c r="I270" s="114">
        <f t="shared" ref="I270:I333" si="115">ATAN(A270/Zero2)</f>
        <v>1.5694180954972163</v>
      </c>
      <c r="J270" s="101">
        <f t="shared" ref="J270:J333" si="116">SQRT(1+(A270/pole4)^2)</f>
        <v>17.101430797552972</v>
      </c>
      <c r="K270" s="104">
        <f t="shared" ref="K270:K333" si="117">ATAN(A270/pole4)</f>
        <v>1.5122883124028517</v>
      </c>
      <c r="L270" s="102">
        <f t="shared" ref="L270:L333" si="118">SQRT(1+(A270/Zerofeed)^2)</f>
        <v>1</v>
      </c>
      <c r="M270" s="103">
        <f t="shared" ref="M270:M333" si="119">ATAN(A270/Zerofeed)</f>
        <v>5.6018052701415003E-10</v>
      </c>
      <c r="N270" s="101">
        <f t="shared" ref="N270:N333" si="120">SQRT(1+(A270/Polefeed)^2)</f>
        <v>1</v>
      </c>
      <c r="O270" s="104">
        <f t="shared" ref="O270:O333" si="121">ATAN(A270/Polefeed)</f>
        <v>8.9628884322264003E-11</v>
      </c>
      <c r="P270" s="105">
        <f t="shared" ref="P270:P333" ca="1" si="122">SQRT((1-(W270/pterm2))^2+(A270/pterm1)^2)</f>
        <v>1.3770105688032737</v>
      </c>
      <c r="Q270" s="106">
        <f t="shared" ref="Q270:Q333" ca="1" si="123">IF((ATAN((A270/pterm1)/(1-A270^2/pterm2))&gt;0),ATAN((A270/pterm1)/(1-A270^2/pterm2)),PI()+ATAN((A270/pterm1)/(1-A270^2/pterm2)))</f>
        <v>0.78799555333960147</v>
      </c>
      <c r="R270" s="107">
        <f t="shared" ref="R270:R333" ca="1" si="124">20*LOG10(((D270*H270*L270)/(B270*F270*P270*J270*N270))*Adc)</f>
        <v>-31.129608561800826</v>
      </c>
      <c r="S270" s="108">
        <f t="shared" ref="S270:S333" ca="1" si="125">((E270+I270+M270)-(C270+G270+Q270+K270+O270))*radconv</f>
        <v>-195.16632687593855</v>
      </c>
      <c r="T270" s="116">
        <f t="shared" ref="T270:T333" ca="1" si="126">IF(S270&gt;0,S270,S270+180)</f>
        <v>-15.166326875938552</v>
      </c>
      <c r="V270" s="72">
        <f t="shared" ref="V270:V333" ca="1" si="127">IF(R270&lt;0,A270,1000000000)</f>
        <v>16982</v>
      </c>
      <c r="W270" s="72">
        <f t="shared" ref="W270:W333" si="128">A270^2</f>
        <v>288388324</v>
      </c>
      <c r="Y270" s="110">
        <f t="shared" ref="Y270:Y333" si="129">20*LOG10(((H270*L270)/(F270*J270*N270))*Aea)</f>
        <v>21.35995908747617</v>
      </c>
      <c r="Z270" s="111">
        <f t="shared" ref="Z270:Z333" si="130">(I270+M270-(G270+K270+O270))*radconv</f>
        <v>-86.716833755601797</v>
      </c>
      <c r="AA270" s="72">
        <f t="shared" ref="AA270:AA333" si="131">IF(Z270&gt;0,Z270,Z270+180)</f>
        <v>93.283166244398203</v>
      </c>
      <c r="AB270" s="110">
        <f t="shared" ref="AB270:AB333" ca="1" si="132">20*LOG10((D270/(B270*P270))*Acs*Am)</f>
        <v>-36.571967302395493</v>
      </c>
      <c r="AC270" s="111">
        <f t="shared" ref="AC270:AC333" ca="1" si="133">(E270-(C270+Q270))*radconv</f>
        <v>-108.44949312033677</v>
      </c>
      <c r="AD270" s="72">
        <f t="shared" ref="AD270:AD333" ca="1" si="134">IF(AC270&gt;0,AC270,AC270+180)</f>
        <v>71.550506879663232</v>
      </c>
    </row>
    <row r="271" spans="1:30">
      <c r="A271" s="118">
        <v>17081</v>
      </c>
      <c r="B271" s="101">
        <f t="shared" ca="1" si="108"/>
        <v>875.92717171148922</v>
      </c>
      <c r="C271" s="102">
        <f t="shared" ca="1" si="109"/>
        <v>1.5696546791219825</v>
      </c>
      <c r="D271" s="102">
        <f t="shared" si="110"/>
        <v>1.120016980844792</v>
      </c>
      <c r="E271" s="103">
        <f t="shared" si="111"/>
        <v>0.46717616922416716</v>
      </c>
      <c r="F271" s="101">
        <f t="shared" si="112"/>
        <v>5838.3760787861738</v>
      </c>
      <c r="G271" s="104">
        <f t="shared" si="113"/>
        <v>1.5706250462895994</v>
      </c>
      <c r="H271" s="113">
        <f t="shared" si="114"/>
        <v>729.79768426494638</v>
      </c>
      <c r="I271" s="114">
        <f t="shared" si="115"/>
        <v>1.5694260835966944</v>
      </c>
      <c r="J271" s="101">
        <f t="shared" si="116"/>
        <v>17.20078713831737</v>
      </c>
      <c r="K271" s="104">
        <f t="shared" si="117"/>
        <v>1.5126266531349049</v>
      </c>
      <c r="L271" s="102">
        <f t="shared" si="118"/>
        <v>1</v>
      </c>
      <c r="M271" s="103">
        <f t="shared" si="119"/>
        <v>5.6344621257382503E-10</v>
      </c>
      <c r="N271" s="101">
        <f t="shared" si="120"/>
        <v>1</v>
      </c>
      <c r="O271" s="104">
        <f t="shared" si="121"/>
        <v>9.0151394011812007E-11</v>
      </c>
      <c r="P271" s="105">
        <f t="shared" ca="1" si="122"/>
        <v>1.3808139162277382</v>
      </c>
      <c r="Q271" s="106">
        <f t="shared" ca="1" si="123"/>
        <v>0.79107547952769153</v>
      </c>
      <c r="R271" s="107">
        <f t="shared" ca="1" si="124"/>
        <v>-31.244179450431595</v>
      </c>
      <c r="S271" s="108">
        <f t="shared" ca="1" si="125"/>
        <v>-195.22847077593073</v>
      </c>
      <c r="T271" s="116">
        <f t="shared" ca="1" si="126"/>
        <v>-15.228470775930731</v>
      </c>
      <c r="V271" s="72">
        <f t="shared" ca="1" si="127"/>
        <v>17081</v>
      </c>
      <c r="W271" s="72">
        <f t="shared" si="128"/>
        <v>291760561</v>
      </c>
      <c r="Y271" s="110">
        <f t="shared" si="129"/>
        <v>21.309641511185141</v>
      </c>
      <c r="Z271" s="111">
        <f t="shared" si="130"/>
        <v>-86.735818777718578</v>
      </c>
      <c r="AA271" s="72">
        <f t="shared" si="131"/>
        <v>93.264181222281422</v>
      </c>
      <c r="AB271" s="110">
        <f t="shared" ca="1" si="132"/>
        <v>-36.636220614735237</v>
      </c>
      <c r="AC271" s="111">
        <f t="shared" ca="1" si="133"/>
        <v>-108.49265199821218</v>
      </c>
      <c r="AD271" s="72">
        <f t="shared" ca="1" si="134"/>
        <v>71.507348001787818</v>
      </c>
    </row>
    <row r="272" spans="1:30">
      <c r="A272" s="118">
        <v>17180</v>
      </c>
      <c r="B272" s="101">
        <f t="shared" ca="1" si="108"/>
        <v>881.00396331045829</v>
      </c>
      <c r="C272" s="102">
        <f t="shared" ca="1" si="109"/>
        <v>1.5696612578776437</v>
      </c>
      <c r="D272" s="102">
        <f t="shared" si="110"/>
        <v>1.1213366962585143</v>
      </c>
      <c r="E272" s="103">
        <f t="shared" si="111"/>
        <v>0.46950400678028126</v>
      </c>
      <c r="F272" s="101">
        <f t="shared" si="112"/>
        <v>5872.2148010443507</v>
      </c>
      <c r="G272" s="104">
        <f t="shared" si="113"/>
        <v>1.5706260332959845</v>
      </c>
      <c r="H272" s="113">
        <f t="shared" si="114"/>
        <v>734.02752066088624</v>
      </c>
      <c r="I272" s="114">
        <f t="shared" si="115"/>
        <v>1.5694339796332653</v>
      </c>
      <c r="J272" s="101">
        <f t="shared" si="116"/>
        <v>17.300145425515421</v>
      </c>
      <c r="K272" s="104">
        <f t="shared" si="117"/>
        <v>1.5129611075842964</v>
      </c>
      <c r="L272" s="102">
        <f t="shared" si="118"/>
        <v>1</v>
      </c>
      <c r="M272" s="103">
        <f t="shared" si="119"/>
        <v>5.6671189813350002E-10</v>
      </c>
      <c r="N272" s="101">
        <f t="shared" si="120"/>
        <v>1</v>
      </c>
      <c r="O272" s="104">
        <f t="shared" si="121"/>
        <v>9.0673903701360011E-11</v>
      </c>
      <c r="P272" s="105">
        <f t="shared" ca="1" si="122"/>
        <v>1.3846289160449019</v>
      </c>
      <c r="Q272" s="106">
        <f t="shared" ca="1" si="123"/>
        <v>0.79413946635725008</v>
      </c>
      <c r="R272" s="107">
        <f t="shared" ca="1" si="124"/>
        <v>-31.358141740909645</v>
      </c>
      <c r="S272" s="108">
        <f t="shared" ca="1" si="125"/>
        <v>-195.28979292735684</v>
      </c>
      <c r="T272" s="116">
        <f t="shared" ca="1" si="126"/>
        <v>-15.289792927356842</v>
      </c>
      <c r="V272" s="72">
        <f t="shared" ca="1" si="127"/>
        <v>17180</v>
      </c>
      <c r="W272" s="72">
        <f t="shared" si="128"/>
        <v>295152400</v>
      </c>
      <c r="Y272" s="110">
        <f t="shared" si="129"/>
        <v>21.259612771079901</v>
      </c>
      <c r="Z272" s="111">
        <f t="shared" si="130"/>
        <v>-86.75458574770218</v>
      </c>
      <c r="AA272" s="72">
        <f t="shared" si="131"/>
        <v>93.24541425229782</v>
      </c>
      <c r="AB272" s="110">
        <f t="shared" ca="1" si="132"/>
        <v>-36.700154165108046</v>
      </c>
      <c r="AC272" s="111">
        <f t="shared" ca="1" si="133"/>
        <v>-108.53520717965462</v>
      </c>
      <c r="AD272" s="72">
        <f t="shared" ca="1" si="134"/>
        <v>71.46479282034538</v>
      </c>
    </row>
    <row r="273" spans="1:30">
      <c r="A273" s="118">
        <v>17279</v>
      </c>
      <c r="B273" s="101">
        <f t="shared" ca="1" si="108"/>
        <v>886.08075494712034</v>
      </c>
      <c r="C273" s="102">
        <f t="shared" ca="1" si="109"/>
        <v>1.5696677612474637</v>
      </c>
      <c r="D273" s="102">
        <f t="shared" si="110"/>
        <v>1.1226624736976618</v>
      </c>
      <c r="E273" s="103">
        <f t="shared" si="111"/>
        <v>0.47182635890435687</v>
      </c>
      <c r="F273" s="101">
        <f t="shared" si="112"/>
        <v>5906.0535233081828</v>
      </c>
      <c r="G273" s="104">
        <f t="shared" si="113"/>
        <v>1.5706270089922671</v>
      </c>
      <c r="H273" s="113">
        <f t="shared" si="114"/>
        <v>738.25735710206641</v>
      </c>
      <c r="I273" s="114">
        <f t="shared" si="115"/>
        <v>1.5694417851893478</v>
      </c>
      <c r="J273" s="101">
        <f t="shared" si="116"/>
        <v>17.39950562580233</v>
      </c>
      <c r="K273" s="104">
        <f t="shared" si="117"/>
        <v>1.5132917422536214</v>
      </c>
      <c r="L273" s="102">
        <f t="shared" si="118"/>
        <v>1</v>
      </c>
      <c r="M273" s="103">
        <f t="shared" si="119"/>
        <v>5.6997758369317501E-10</v>
      </c>
      <c r="N273" s="101">
        <f t="shared" si="120"/>
        <v>1</v>
      </c>
      <c r="O273" s="104">
        <f t="shared" si="121"/>
        <v>9.1196413390908002E-11</v>
      </c>
      <c r="P273" s="105">
        <f t="shared" ca="1" si="122"/>
        <v>1.3884554736409858</v>
      </c>
      <c r="Q273" s="106">
        <f t="shared" ca="1" si="123"/>
        <v>0.79718759703283404</v>
      </c>
      <c r="R273" s="107">
        <f t="shared" ca="1" si="124"/>
        <v>-31.471501543700576</v>
      </c>
      <c r="S273" s="108">
        <f t="shared" ca="1" si="125"/>
        <v>-195.35030223974647</v>
      </c>
      <c r="T273" s="116">
        <f t="shared" ca="1" si="126"/>
        <v>-15.350302239746469</v>
      </c>
      <c r="V273" s="72">
        <f t="shared" ca="1" si="127"/>
        <v>17279</v>
      </c>
      <c r="W273" s="72">
        <f t="shared" si="128"/>
        <v>298563841</v>
      </c>
      <c r="Y273" s="110">
        <f t="shared" si="129"/>
        <v>21.209869581182232</v>
      </c>
      <c r="Z273" s="111">
        <f t="shared" si="130"/>
        <v>-86.773138396538016</v>
      </c>
      <c r="AA273" s="72">
        <f t="shared" si="131"/>
        <v>93.226861603461984</v>
      </c>
      <c r="AB273" s="110">
        <f t="shared" ca="1" si="132"/>
        <v>-36.763770778001302</v>
      </c>
      <c r="AC273" s="111">
        <f t="shared" ca="1" si="133"/>
        <v>-108.5771638432084</v>
      </c>
      <c r="AD273" s="72">
        <f t="shared" ca="1" si="134"/>
        <v>71.422836156791604</v>
      </c>
    </row>
    <row r="274" spans="1:30">
      <c r="A274" s="118">
        <v>17378</v>
      </c>
      <c r="B274" s="101">
        <f t="shared" ca="1" si="108"/>
        <v>891.15754662083123</v>
      </c>
      <c r="C274" s="102">
        <f t="shared" ca="1" si="109"/>
        <v>1.5696741905198273</v>
      </c>
      <c r="D274" s="102">
        <f t="shared" si="110"/>
        <v>1.1239942917113341</v>
      </c>
      <c r="E274" s="103">
        <f t="shared" si="111"/>
        <v>0.47414322000098974</v>
      </c>
      <c r="F274" s="101">
        <f t="shared" si="112"/>
        <v>5939.8922455775719</v>
      </c>
      <c r="G274" s="104">
        <f t="shared" si="113"/>
        <v>1.5706279735717437</v>
      </c>
      <c r="H274" s="113">
        <f t="shared" si="114"/>
        <v>742.4871935877137</v>
      </c>
      <c r="I274" s="114">
        <f t="shared" si="115"/>
        <v>1.5694495018113019</v>
      </c>
      <c r="J274" s="101">
        <f t="shared" si="116"/>
        <v>17.498867706590005</v>
      </c>
      <c r="K274" s="104">
        <f t="shared" si="117"/>
        <v>1.5136186221384</v>
      </c>
      <c r="L274" s="102">
        <f t="shared" si="118"/>
        <v>1</v>
      </c>
      <c r="M274" s="103">
        <f t="shared" si="119"/>
        <v>5.7324326925285001E-10</v>
      </c>
      <c r="N274" s="101">
        <f t="shared" si="120"/>
        <v>1</v>
      </c>
      <c r="O274" s="104">
        <f t="shared" si="121"/>
        <v>9.1718923080456006E-11</v>
      </c>
      <c r="P274" s="105">
        <f t="shared" ca="1" si="122"/>
        <v>1.3922934951612214</v>
      </c>
      <c r="Q274" s="106">
        <f t="shared" ca="1" si="123"/>
        <v>0.80021995489247688</v>
      </c>
      <c r="R274" s="107">
        <f t="shared" ca="1" si="124"/>
        <v>-31.584264868574312</v>
      </c>
      <c r="S274" s="108">
        <f t="shared" ca="1" si="125"/>
        <v>-195.41000752887348</v>
      </c>
      <c r="T274" s="116">
        <f t="shared" ca="1" si="126"/>
        <v>-15.410007528873479</v>
      </c>
      <c r="V274" s="72">
        <f t="shared" ca="1" si="127"/>
        <v>17378</v>
      </c>
      <c r="W274" s="72">
        <f t="shared" si="128"/>
        <v>301994884</v>
      </c>
      <c r="Y274" s="110">
        <f t="shared" si="129"/>
        <v>21.160408711083178</v>
      </c>
      <c r="Z274" s="111">
        <f t="shared" si="130"/>
        <v>-86.791480370670314</v>
      </c>
      <c r="AA274" s="72">
        <f t="shared" si="131"/>
        <v>93.208519629329686</v>
      </c>
      <c r="AB274" s="110">
        <f t="shared" ca="1" si="132"/>
        <v>-36.827073232775987</v>
      </c>
      <c r="AC274" s="111">
        <f t="shared" ca="1" si="133"/>
        <v>-108.61852715820319</v>
      </c>
      <c r="AD274" s="72">
        <f t="shared" ca="1" si="134"/>
        <v>71.381472841796807</v>
      </c>
    </row>
    <row r="275" spans="1:30">
      <c r="A275" s="118">
        <v>17479.25</v>
      </c>
      <c r="B275" s="101">
        <f t="shared" ca="1" si="108"/>
        <v>896.34971996115519</v>
      </c>
      <c r="C275" s="102">
        <f t="shared" ca="1" si="109"/>
        <v>1.5696806905815177</v>
      </c>
      <c r="D275" s="102">
        <f t="shared" si="110"/>
        <v>1.125362604027927</v>
      </c>
      <c r="E275" s="103">
        <f t="shared" si="111"/>
        <v>0.47650705183532432</v>
      </c>
      <c r="F275" s="101">
        <f t="shared" si="112"/>
        <v>5974.5000297223714</v>
      </c>
      <c r="G275" s="104">
        <f t="shared" si="113"/>
        <v>1.5706289487716822</v>
      </c>
      <c r="H275" s="113">
        <f t="shared" si="114"/>
        <v>746.81316276596897</v>
      </c>
      <c r="I275" s="114">
        <f t="shared" si="115"/>
        <v>1.5694573033969601</v>
      </c>
      <c r="J275" s="101">
        <f t="shared" si="116"/>
        <v>17.600489928388736</v>
      </c>
      <c r="K275" s="104">
        <f t="shared" si="117"/>
        <v>1.5139491135556074</v>
      </c>
      <c r="L275" s="102">
        <f t="shared" si="118"/>
        <v>1</v>
      </c>
      <c r="M275" s="103">
        <f t="shared" si="119"/>
        <v>5.7658317493888135E-10</v>
      </c>
      <c r="N275" s="101">
        <f t="shared" si="120"/>
        <v>1</v>
      </c>
      <c r="O275" s="104">
        <f t="shared" si="121"/>
        <v>9.2253307990221007E-11</v>
      </c>
      <c r="P275" s="105">
        <f t="shared" ca="1" si="122"/>
        <v>1.3962305051224255</v>
      </c>
      <c r="Q275" s="106">
        <f t="shared" ca="1" si="123"/>
        <v>0.80330500235108326</v>
      </c>
      <c r="R275" s="107">
        <f t="shared" ca="1" si="124"/>
        <v>-31.698980190124061</v>
      </c>
      <c r="S275" s="108">
        <f t="shared" ca="1" si="125"/>
        <v>-195.4702472065529</v>
      </c>
      <c r="T275" s="116">
        <f t="shared" ca="1" si="126"/>
        <v>-15.470247206552898</v>
      </c>
      <c r="V275" s="72">
        <f t="shared" ca="1" si="127"/>
        <v>17479.25</v>
      </c>
      <c r="W275" s="72">
        <f t="shared" si="128"/>
        <v>305524180.5625</v>
      </c>
      <c r="Y275" s="110">
        <f t="shared" si="129"/>
        <v>21.110112437801494</v>
      </c>
      <c r="Z275" s="111">
        <f t="shared" si="130"/>
        <v>-86.810025010810961</v>
      </c>
      <c r="AA275" s="72">
        <f t="shared" si="131"/>
        <v>93.189974989189039</v>
      </c>
      <c r="AB275" s="110">
        <f t="shared" ca="1" si="132"/>
        <v>-36.891492281044052</v>
      </c>
      <c r="AC275" s="111">
        <f t="shared" ca="1" si="133"/>
        <v>-108.66022219574195</v>
      </c>
      <c r="AD275" s="72">
        <f t="shared" ca="1" si="134"/>
        <v>71.339777804258048</v>
      </c>
    </row>
    <row r="276" spans="1:30">
      <c r="A276" s="118">
        <v>17580.5</v>
      </c>
      <c r="B276" s="101">
        <f t="shared" ca="1" si="108"/>
        <v>901.54189333891441</v>
      </c>
      <c r="C276" s="102">
        <f t="shared" ca="1" si="109"/>
        <v>1.5696871157727059</v>
      </c>
      <c r="D276" s="102">
        <f t="shared" si="110"/>
        <v>1.1267371892409488</v>
      </c>
      <c r="E276" s="103">
        <f t="shared" si="111"/>
        <v>0.47886512921281371</v>
      </c>
      <c r="F276" s="101">
        <f t="shared" si="112"/>
        <v>6009.1078138727889</v>
      </c>
      <c r="G276" s="104">
        <f t="shared" si="113"/>
        <v>1.5706299127388355</v>
      </c>
      <c r="H276" s="113">
        <f t="shared" si="114"/>
        <v>751.13913198915554</v>
      </c>
      <c r="I276" s="114">
        <f t="shared" si="115"/>
        <v>1.5694650151206528</v>
      </c>
      <c r="J276" s="101">
        <f t="shared" si="116"/>
        <v>17.702114050521566</v>
      </c>
      <c r="K276" s="104">
        <f t="shared" si="117"/>
        <v>1.5142758104444063</v>
      </c>
      <c r="L276" s="102">
        <f t="shared" si="118"/>
        <v>1</v>
      </c>
      <c r="M276" s="103">
        <f t="shared" si="119"/>
        <v>5.7992308062491259E-10</v>
      </c>
      <c r="N276" s="101">
        <f t="shared" si="120"/>
        <v>1</v>
      </c>
      <c r="O276" s="104">
        <f t="shared" si="121"/>
        <v>9.2787692899986009E-11</v>
      </c>
      <c r="P276" s="105">
        <f t="shared" ca="1" si="122"/>
        <v>1.4001793098653099</v>
      </c>
      <c r="Q276" s="106">
        <f t="shared" ca="1" si="123"/>
        <v>0.8063737285679512</v>
      </c>
      <c r="R276" s="107">
        <f t="shared" ca="1" si="124"/>
        <v>-31.813084015828149</v>
      </c>
      <c r="S276" s="108">
        <f t="shared" ca="1" si="125"/>
        <v>-195.52966425694731</v>
      </c>
      <c r="T276" s="116">
        <f t="shared" ca="1" si="126"/>
        <v>-15.529664256947314</v>
      </c>
      <c r="V276" s="72">
        <f t="shared" ca="1" si="127"/>
        <v>17580.5</v>
      </c>
      <c r="W276" s="72">
        <f t="shared" si="128"/>
        <v>309073980.25</v>
      </c>
      <c r="Y276" s="110">
        <f t="shared" si="129"/>
        <v>21.060104800851455</v>
      </c>
      <c r="Z276" s="111">
        <f t="shared" si="130"/>
        <v>-86.828356745608502</v>
      </c>
      <c r="AA276" s="72">
        <f t="shared" si="131"/>
        <v>93.171643254391498</v>
      </c>
      <c r="AB276" s="110">
        <f t="shared" ca="1" si="132"/>
        <v>-36.955588469798101</v>
      </c>
      <c r="AC276" s="111">
        <f t="shared" ca="1" si="133"/>
        <v>-108.70130751133881</v>
      </c>
      <c r="AD276" s="72">
        <f t="shared" ca="1" si="134"/>
        <v>71.298692488661189</v>
      </c>
    </row>
    <row r="277" spans="1:30">
      <c r="A277" s="118">
        <v>17681.75</v>
      </c>
      <c r="B277" s="101">
        <f t="shared" ca="1" si="108"/>
        <v>906.73406675346598</v>
      </c>
      <c r="C277" s="102">
        <f t="shared" ca="1" si="109"/>
        <v>1.5696934673795699</v>
      </c>
      <c r="D277" s="102">
        <f t="shared" si="110"/>
        <v>1.1281180244202706</v>
      </c>
      <c r="E277" s="103">
        <f t="shared" si="111"/>
        <v>0.48121744699214847</v>
      </c>
      <c r="F277" s="101">
        <f t="shared" si="112"/>
        <v>6043.7155980287253</v>
      </c>
      <c r="G277" s="104">
        <f t="shared" si="113"/>
        <v>1.5706308656661683</v>
      </c>
      <c r="H277" s="113">
        <f t="shared" si="114"/>
        <v>755.46510125650104</v>
      </c>
      <c r="I277" s="114">
        <f t="shared" si="115"/>
        <v>1.5694726385260911</v>
      </c>
      <c r="J277" s="101">
        <f t="shared" si="116"/>
        <v>17.80374004044705</v>
      </c>
      <c r="K277" s="104">
        <f t="shared" si="117"/>
        <v>1.5145987777133934</v>
      </c>
      <c r="L277" s="102">
        <f t="shared" si="118"/>
        <v>1</v>
      </c>
      <c r="M277" s="103">
        <f t="shared" si="119"/>
        <v>5.8326298631094382E-10</v>
      </c>
      <c r="N277" s="101">
        <f t="shared" si="120"/>
        <v>1</v>
      </c>
      <c r="O277" s="104">
        <f t="shared" si="121"/>
        <v>9.332207780975101E-11</v>
      </c>
      <c r="P277" s="105">
        <f t="shared" ca="1" si="122"/>
        <v>1.4041398114349533</v>
      </c>
      <c r="Q277" s="106">
        <f t="shared" ca="1" si="123"/>
        <v>0.80942622300702416</v>
      </c>
      <c r="R277" s="107">
        <f t="shared" ca="1" si="124"/>
        <v>-31.926582463173432</v>
      </c>
      <c r="S277" s="108">
        <f t="shared" ca="1" si="125"/>
        <v>-195.58826781582758</v>
      </c>
      <c r="T277" s="116">
        <f t="shared" ca="1" si="126"/>
        <v>-15.588267815827578</v>
      </c>
      <c r="V277" s="72">
        <f t="shared" ca="1" si="127"/>
        <v>17681.75</v>
      </c>
      <c r="W277" s="72">
        <f t="shared" si="128"/>
        <v>312644283.0625</v>
      </c>
      <c r="Y277" s="110">
        <f t="shared" si="129"/>
        <v>21.010382516901519</v>
      </c>
      <c r="Z277" s="111">
        <f t="shared" si="130"/>
        <v>-86.846479216659532</v>
      </c>
      <c r="AA277" s="72">
        <f t="shared" si="131"/>
        <v>93.153520783340468</v>
      </c>
      <c r="AB277" s="110">
        <f t="shared" ca="1" si="132"/>
        <v>-37.019364633193447</v>
      </c>
      <c r="AC277" s="111">
        <f t="shared" ca="1" si="133"/>
        <v>-108.74178859916807</v>
      </c>
      <c r="AD277" s="72">
        <f t="shared" ca="1" si="134"/>
        <v>71.258211400831925</v>
      </c>
    </row>
    <row r="278" spans="1:30">
      <c r="A278" s="118">
        <v>17783</v>
      </c>
      <c r="B278" s="101">
        <f t="shared" ca="1" si="108"/>
        <v>911.926240204181</v>
      </c>
      <c r="C278" s="102">
        <f t="shared" ca="1" si="109"/>
        <v>1.5696997466589957</v>
      </c>
      <c r="D278" s="102">
        <f t="shared" si="110"/>
        <v>1.1295050866438887</v>
      </c>
      <c r="E278" s="103">
        <f t="shared" si="111"/>
        <v>0.48356400031206243</v>
      </c>
      <c r="F278" s="101">
        <f t="shared" si="112"/>
        <v>6078.3233821900876</v>
      </c>
      <c r="G278" s="104">
        <f t="shared" si="113"/>
        <v>1.5706318077422512</v>
      </c>
      <c r="H278" s="113">
        <f t="shared" si="114"/>
        <v>759.79107056725161</v>
      </c>
      <c r="I278" s="114">
        <f t="shared" si="115"/>
        <v>1.5694801751218286</v>
      </c>
      <c r="J278" s="101">
        <f t="shared" si="116"/>
        <v>17.905367866361942</v>
      </c>
      <c r="K278" s="104">
        <f t="shared" si="117"/>
        <v>1.5149180788006775</v>
      </c>
      <c r="L278" s="102">
        <f t="shared" si="118"/>
        <v>1</v>
      </c>
      <c r="M278" s="103">
        <f t="shared" si="119"/>
        <v>5.8660289199697506E-10</v>
      </c>
      <c r="N278" s="101">
        <f t="shared" si="120"/>
        <v>1</v>
      </c>
      <c r="O278" s="104">
        <f t="shared" si="121"/>
        <v>9.3856462719516011E-11</v>
      </c>
      <c r="P278" s="105">
        <f t="shared" ca="1" si="122"/>
        <v>1.4081119126943136</v>
      </c>
      <c r="Q278" s="106">
        <f t="shared" ca="1" si="123"/>
        <v>0.81246257519924181</v>
      </c>
      <c r="R278" s="107">
        <f t="shared" ca="1" si="124"/>
        <v>-32.03948154962697</v>
      </c>
      <c r="S278" s="108">
        <f t="shared" ca="1" si="125"/>
        <v>-195.64606692258945</v>
      </c>
      <c r="T278" s="116">
        <f t="shared" ca="1" si="126"/>
        <v>-15.646066922589455</v>
      </c>
      <c r="V278" s="72">
        <f t="shared" ca="1" si="127"/>
        <v>17783</v>
      </c>
      <c r="W278" s="72">
        <f t="shared" si="128"/>
        <v>316235089</v>
      </c>
      <c r="Y278" s="110">
        <f t="shared" si="129"/>
        <v>20.960942358147101</v>
      </c>
      <c r="Z278" s="111">
        <f t="shared" si="130"/>
        <v>-86.864395983070438</v>
      </c>
      <c r="AA278" s="72">
        <f t="shared" si="131"/>
        <v>93.135604016929562</v>
      </c>
      <c r="AB278" s="110">
        <f t="shared" ca="1" si="132"/>
        <v>-37.082823560892571</v>
      </c>
      <c r="AC278" s="111">
        <f t="shared" ca="1" si="133"/>
        <v>-108.78167093951899</v>
      </c>
      <c r="AD278" s="72">
        <f t="shared" ca="1" si="134"/>
        <v>71.218329060481011</v>
      </c>
    </row>
    <row r="279" spans="1:30">
      <c r="A279" s="118">
        <v>17886.5</v>
      </c>
      <c r="B279" s="101">
        <f t="shared" ca="1" si="108"/>
        <v>917.2337953238731</v>
      </c>
      <c r="C279" s="102">
        <f t="shared" ca="1" si="109"/>
        <v>1.5697060920006707</v>
      </c>
      <c r="D279" s="102">
        <f t="shared" si="110"/>
        <v>1.1309293847650177</v>
      </c>
      <c r="E279" s="103">
        <f t="shared" si="111"/>
        <v>0.48595673645895865</v>
      </c>
      <c r="F279" s="101">
        <f t="shared" si="112"/>
        <v>6113.7002282272133</v>
      </c>
      <c r="G279" s="104">
        <f t="shared" si="113"/>
        <v>1.5706327597295959</v>
      </c>
      <c r="H279" s="113">
        <f t="shared" si="114"/>
        <v>764.21317257344708</v>
      </c>
      <c r="I279" s="114">
        <f t="shared" si="115"/>
        <v>1.5694877910076761</v>
      </c>
      <c r="J279" s="101">
        <f t="shared" si="116"/>
        <v>18.009255953686999</v>
      </c>
      <c r="K279" s="104">
        <f t="shared" si="117"/>
        <v>1.515240750732622</v>
      </c>
      <c r="L279" s="102">
        <f t="shared" si="118"/>
        <v>1</v>
      </c>
      <c r="M279" s="103">
        <f t="shared" si="119"/>
        <v>5.9001701780936255E-10</v>
      </c>
      <c r="N279" s="101">
        <f t="shared" si="120"/>
        <v>1</v>
      </c>
      <c r="O279" s="104">
        <f t="shared" si="121"/>
        <v>9.4402722849498009E-11</v>
      </c>
      <c r="P279" s="105">
        <f t="shared" ca="1" si="122"/>
        <v>1.4121841717907868</v>
      </c>
      <c r="Q279" s="106">
        <f t="shared" ca="1" si="123"/>
        <v>0.8155498108504905</v>
      </c>
      <c r="R279" s="107">
        <f t="shared" ca="1" si="124"/>
        <v>-32.154276180471967</v>
      </c>
      <c r="S279" s="108">
        <f t="shared" ca="1" si="125"/>
        <v>-195.70432830087103</v>
      </c>
      <c r="T279" s="116">
        <f t="shared" ca="1" si="126"/>
        <v>-15.704328300871026</v>
      </c>
      <c r="V279" s="72">
        <f t="shared" ca="1" si="127"/>
        <v>17886.5</v>
      </c>
      <c r="W279" s="72">
        <f t="shared" si="128"/>
        <v>319926882.25</v>
      </c>
      <c r="Y279" s="110">
        <f t="shared" si="129"/>
        <v>20.910691824152643</v>
      </c>
      <c r="Z279" s="111">
        <f t="shared" si="130"/>
        <v>-86.88250190953525</v>
      </c>
      <c r="AA279" s="72">
        <f t="shared" si="131"/>
        <v>93.11749809046475</v>
      </c>
      <c r="AB279" s="110">
        <f t="shared" ca="1" si="132"/>
        <v>-37.147367657743104</v>
      </c>
      <c r="AC279" s="111">
        <f t="shared" ca="1" si="133"/>
        <v>-108.82182639133576</v>
      </c>
      <c r="AD279" s="72">
        <f t="shared" ca="1" si="134"/>
        <v>71.178173608664238</v>
      </c>
    </row>
    <row r="280" spans="1:30">
      <c r="A280" s="118">
        <v>17990</v>
      </c>
      <c r="B280" s="101">
        <f t="shared" ca="1" si="108"/>
        <v>922.54135048007106</v>
      </c>
      <c r="C280" s="102">
        <f t="shared" ca="1" si="109"/>
        <v>1.5697123643304405</v>
      </c>
      <c r="D280" s="102">
        <f t="shared" si="110"/>
        <v>1.1323601413578011</v>
      </c>
      <c r="E280" s="103">
        <f t="shared" si="111"/>
        <v>0.48834343971459204</v>
      </c>
      <c r="F280" s="101">
        <f t="shared" si="112"/>
        <v>6149.0770742698169</v>
      </c>
      <c r="G280" s="104">
        <f t="shared" si="113"/>
        <v>1.5706337007630011</v>
      </c>
      <c r="H280" s="113">
        <f t="shared" si="114"/>
        <v>768.63527462345814</v>
      </c>
      <c r="I280" s="114">
        <f t="shared" si="115"/>
        <v>1.5694953192623013</v>
      </c>
      <c r="J280" s="101">
        <f t="shared" si="116"/>
        <v>18.113145894575823</v>
      </c>
      <c r="K280" s="104">
        <f t="shared" si="117"/>
        <v>1.5155597212567351</v>
      </c>
      <c r="L280" s="102">
        <f t="shared" si="118"/>
        <v>1</v>
      </c>
      <c r="M280" s="103">
        <f t="shared" si="119"/>
        <v>5.9343114362175003E-10</v>
      </c>
      <c r="N280" s="101">
        <f t="shared" si="120"/>
        <v>1</v>
      </c>
      <c r="O280" s="104">
        <f t="shared" si="121"/>
        <v>9.4948982979480008E-11</v>
      </c>
      <c r="P280" s="105">
        <f t="shared" ca="1" si="122"/>
        <v>1.4162683491867858</v>
      </c>
      <c r="Q280" s="106">
        <f t="shared" ca="1" si="123"/>
        <v>0.81862036817230199</v>
      </c>
      <c r="R280" s="107">
        <f t="shared" ca="1" si="124"/>
        <v>-32.268456922033913</v>
      </c>
      <c r="S280" s="108">
        <f t="shared" ca="1" si="125"/>
        <v>-195.76176787543687</v>
      </c>
      <c r="T280" s="116">
        <f t="shared" ca="1" si="126"/>
        <v>-15.761767875436874</v>
      </c>
      <c r="V280" s="72">
        <f t="shared" ca="1" si="127"/>
        <v>17990</v>
      </c>
      <c r="W280" s="72">
        <f t="shared" si="128"/>
        <v>323640100</v>
      </c>
      <c r="Y280" s="110">
        <f t="shared" si="129"/>
        <v>20.860729445139036</v>
      </c>
      <c r="Z280" s="111">
        <f t="shared" si="130"/>
        <v>-86.900400154237516</v>
      </c>
      <c r="AA280" s="72">
        <f t="shared" si="131"/>
        <v>93.099599845762484</v>
      </c>
      <c r="AB280" s="110">
        <f t="shared" ca="1" si="132"/>
        <v>-37.211586020291435</v>
      </c>
      <c r="AC280" s="111">
        <f t="shared" ca="1" si="133"/>
        <v>-108.86136772119933</v>
      </c>
      <c r="AD280" s="72">
        <f t="shared" ca="1" si="134"/>
        <v>71.138632278800671</v>
      </c>
    </row>
    <row r="281" spans="1:30">
      <c r="A281" s="118">
        <v>18093.5</v>
      </c>
      <c r="B281" s="101">
        <f t="shared" ca="1" si="108"/>
        <v>927.84890567214848</v>
      </c>
      <c r="C281" s="102">
        <f t="shared" ca="1" si="109"/>
        <v>1.5697185649012499</v>
      </c>
      <c r="D281" s="102">
        <f t="shared" si="110"/>
        <v>1.1337973319720998</v>
      </c>
      <c r="E281" s="103">
        <f t="shared" si="111"/>
        <v>0.49072410577848863</v>
      </c>
      <c r="F281" s="101">
        <f t="shared" si="112"/>
        <v>6184.4539203178028</v>
      </c>
      <c r="G281" s="104">
        <f t="shared" si="113"/>
        <v>1.5706346310304455</v>
      </c>
      <c r="H281" s="113">
        <f t="shared" si="114"/>
        <v>773.05737671653287</v>
      </c>
      <c r="I281" s="114">
        <f t="shared" si="115"/>
        <v>1.5695027613895283</v>
      </c>
      <c r="J281" s="101">
        <f t="shared" si="116"/>
        <v>18.21703765731634</v>
      </c>
      <c r="K281" s="104">
        <f t="shared" si="117"/>
        <v>1.5158750536349341</v>
      </c>
      <c r="L281" s="102">
        <f t="shared" si="118"/>
        <v>1</v>
      </c>
      <c r="M281" s="103">
        <f t="shared" si="119"/>
        <v>5.9684526943413751E-10</v>
      </c>
      <c r="N281" s="101">
        <f t="shared" si="120"/>
        <v>1</v>
      </c>
      <c r="O281" s="104">
        <f t="shared" si="121"/>
        <v>9.5495243109462006E-11</v>
      </c>
      <c r="P281" s="105">
        <f t="shared" ca="1" si="122"/>
        <v>1.4203643437514073</v>
      </c>
      <c r="Q281" s="106">
        <f t="shared" ca="1" si="123"/>
        <v>0.82167434289501584</v>
      </c>
      <c r="R281" s="107">
        <f t="shared" ca="1" si="124"/>
        <v>-32.382029893083477</v>
      </c>
      <c r="S281" s="108">
        <f t="shared" ca="1" si="125"/>
        <v>-195.81839499866732</v>
      </c>
      <c r="T281" s="116">
        <f t="shared" ca="1" si="126"/>
        <v>-15.818394998667316</v>
      </c>
      <c r="V281" s="72">
        <f t="shared" ca="1" si="127"/>
        <v>18093.5</v>
      </c>
      <c r="W281" s="72">
        <f t="shared" si="128"/>
        <v>327374742.25</v>
      </c>
      <c r="Y281" s="110">
        <f t="shared" si="129"/>
        <v>20.811051945244401</v>
      </c>
      <c r="Z281" s="111">
        <f t="shared" si="130"/>
        <v>-86.91809426642574</v>
      </c>
      <c r="AA281" s="72">
        <f t="shared" si="131"/>
        <v>93.08190573357426</v>
      </c>
      <c r="AB281" s="110">
        <f t="shared" ca="1" si="132"/>
        <v>-37.275481491446371</v>
      </c>
      <c r="AC281" s="111">
        <f t="shared" ca="1" si="133"/>
        <v>-108.90030073224162</v>
      </c>
      <c r="AD281" s="72">
        <f t="shared" ca="1" si="134"/>
        <v>71.099699267758382</v>
      </c>
    </row>
    <row r="282" spans="1:30">
      <c r="A282" s="118">
        <v>18197</v>
      </c>
      <c r="B282" s="101">
        <f t="shared" ca="1" si="108"/>
        <v>933.15646089949314</v>
      </c>
      <c r="C282" s="102">
        <f t="shared" ca="1" si="109"/>
        <v>1.5697246949375387</v>
      </c>
      <c r="D282" s="102">
        <f t="shared" si="110"/>
        <v>1.1352409321719152</v>
      </c>
      <c r="E282" s="103">
        <f t="shared" si="111"/>
        <v>0.49309873064563015</v>
      </c>
      <c r="F282" s="101">
        <f t="shared" si="112"/>
        <v>6219.8307663710812</v>
      </c>
      <c r="G282" s="104">
        <f t="shared" si="113"/>
        <v>1.5706355507156318</v>
      </c>
      <c r="H282" s="113">
        <f t="shared" si="114"/>
        <v>777.47947885193673</v>
      </c>
      <c r="I282" s="114">
        <f t="shared" si="115"/>
        <v>1.5695101188589669</v>
      </c>
      <c r="J282" s="101">
        <f t="shared" si="116"/>
        <v>18.320931210915255</v>
      </c>
      <c r="K282" s="104">
        <f t="shared" si="117"/>
        <v>1.516186809697097</v>
      </c>
      <c r="L282" s="102">
        <f t="shared" si="118"/>
        <v>1</v>
      </c>
      <c r="M282" s="103">
        <f t="shared" si="119"/>
        <v>6.002593952465251E-10</v>
      </c>
      <c r="N282" s="101">
        <f t="shared" si="120"/>
        <v>1</v>
      </c>
      <c r="O282" s="104">
        <f t="shared" si="121"/>
        <v>9.6041503239444005E-11</v>
      </c>
      <c r="P282" s="105">
        <f t="shared" ca="1" si="122"/>
        <v>1.4244720552308172</v>
      </c>
      <c r="Q282" s="106">
        <f t="shared" ca="1" si="123"/>
        <v>0.82471183074293175</v>
      </c>
      <c r="R282" s="107">
        <f t="shared" ca="1" si="124"/>
        <v>-32.495001113209</v>
      </c>
      <c r="S282" s="108">
        <f t="shared" ca="1" si="125"/>
        <v>-195.87421892370071</v>
      </c>
      <c r="T282" s="116">
        <f t="shared" ca="1" si="126"/>
        <v>-15.87421892370071</v>
      </c>
      <c r="V282" s="72">
        <f t="shared" ca="1" si="127"/>
        <v>18197</v>
      </c>
      <c r="W282" s="72">
        <f t="shared" si="128"/>
        <v>331130809</v>
      </c>
      <c r="Y282" s="110">
        <f t="shared" si="129"/>
        <v>20.761656103982222</v>
      </c>
      <c r="Z282" s="111">
        <f t="shared" si="130"/>
        <v>-86.935587715013867</v>
      </c>
      <c r="AA282" s="72">
        <f t="shared" si="131"/>
        <v>93.064412284986133</v>
      </c>
      <c r="AB282" s="110">
        <f t="shared" ca="1" si="132"/>
        <v>-37.339056870309719</v>
      </c>
      <c r="AC282" s="111">
        <f t="shared" ca="1" si="133"/>
        <v>-108.93863120868686</v>
      </c>
      <c r="AD282" s="72">
        <f t="shared" ca="1" si="134"/>
        <v>71.061368791313143</v>
      </c>
    </row>
    <row r="283" spans="1:30">
      <c r="A283" s="118">
        <v>18303</v>
      </c>
      <c r="B283" s="101">
        <f t="shared" ca="1" si="108"/>
        <v>938.59221797985379</v>
      </c>
      <c r="C283" s="102">
        <f t="shared" ca="1" si="109"/>
        <v>1.5697309011819067</v>
      </c>
      <c r="D283" s="102">
        <f t="shared" si="110"/>
        <v>1.136726020112274</v>
      </c>
      <c r="E283" s="103">
        <f t="shared" si="111"/>
        <v>0.49552444788137817</v>
      </c>
      <c r="F283" s="101">
        <f t="shared" si="112"/>
        <v>6256.0621256194418</v>
      </c>
      <c r="G283" s="104">
        <f t="shared" si="113"/>
        <v>1.5706364818342522</v>
      </c>
      <c r="H283" s="113">
        <f t="shared" si="114"/>
        <v>782.0083950917068</v>
      </c>
      <c r="I283" s="114">
        <f t="shared" si="115"/>
        <v>1.5695175677958706</v>
      </c>
      <c r="J283" s="101">
        <f t="shared" si="116"/>
        <v>18.427336095256983</v>
      </c>
      <c r="K283" s="104">
        <f t="shared" si="117"/>
        <v>1.5165024523042472</v>
      </c>
      <c r="L283" s="102">
        <f t="shared" si="118"/>
        <v>1</v>
      </c>
      <c r="M283" s="103">
        <f t="shared" si="119"/>
        <v>6.0375598786597505E-10</v>
      </c>
      <c r="N283" s="101">
        <f t="shared" si="120"/>
        <v>1</v>
      </c>
      <c r="O283" s="104">
        <f t="shared" si="121"/>
        <v>9.6600958058556004E-11</v>
      </c>
      <c r="P283" s="105">
        <f t="shared" ca="1" si="122"/>
        <v>1.4286910278182938</v>
      </c>
      <c r="Q283" s="106">
        <f t="shared" ca="1" si="123"/>
        <v>0.82780569882095434</v>
      </c>
      <c r="R283" s="107">
        <f t="shared" ca="1" si="124"/>
        <v>-32.610083565633538</v>
      </c>
      <c r="S283" s="108">
        <f t="shared" ca="1" si="125"/>
        <v>-195.93056828429113</v>
      </c>
      <c r="T283" s="116">
        <f t="shared" ca="1" si="126"/>
        <v>-15.930568284291127</v>
      </c>
      <c r="V283" s="72">
        <f t="shared" ca="1" si="127"/>
        <v>18303</v>
      </c>
      <c r="W283" s="72">
        <f t="shared" si="128"/>
        <v>334999809</v>
      </c>
      <c r="Y283" s="110">
        <f t="shared" si="129"/>
        <v>20.711355764194618</v>
      </c>
      <c r="Z283" s="111">
        <f t="shared" si="130"/>
        <v>-86.953299260610777</v>
      </c>
      <c r="AA283" s="72">
        <f t="shared" si="131"/>
        <v>93.046700739389223</v>
      </c>
      <c r="AB283" s="110">
        <f t="shared" ca="1" si="132"/>
        <v>-37.403838982946652</v>
      </c>
      <c r="AC283" s="111">
        <f t="shared" ca="1" si="133"/>
        <v>-108.97726902368036</v>
      </c>
      <c r="AD283" s="72">
        <f t="shared" ca="1" si="134"/>
        <v>71.022730976319636</v>
      </c>
    </row>
    <row r="284" spans="1:30">
      <c r="A284" s="118">
        <v>18409</v>
      </c>
      <c r="B284" s="101">
        <f t="shared" ca="1" si="108"/>
        <v>944.0279750959503</v>
      </c>
      <c r="C284" s="102">
        <f t="shared" ca="1" si="109"/>
        <v>1.5697370359545859</v>
      </c>
      <c r="D284" s="102">
        <f t="shared" si="110"/>
        <v>1.1382177791900348</v>
      </c>
      <c r="E284" s="103">
        <f t="shared" si="111"/>
        <v>0.49794382098566059</v>
      </c>
      <c r="F284" s="101">
        <f t="shared" si="112"/>
        <v>6292.2934848731638</v>
      </c>
      <c r="G284" s="104">
        <f t="shared" si="113"/>
        <v>1.570637402230012</v>
      </c>
      <c r="H284" s="113">
        <f t="shared" si="114"/>
        <v>786.53731137436807</v>
      </c>
      <c r="I284" s="114">
        <f t="shared" si="115"/>
        <v>1.5695249309501647</v>
      </c>
      <c r="J284" s="101">
        <f t="shared" si="116"/>
        <v>18.533742794438243</v>
      </c>
      <c r="K284" s="104">
        <f t="shared" si="117"/>
        <v>1.5168144705811157</v>
      </c>
      <c r="L284" s="102">
        <f t="shared" si="118"/>
        <v>1</v>
      </c>
      <c r="M284" s="103">
        <f t="shared" si="119"/>
        <v>6.0725258048542501E-10</v>
      </c>
      <c r="N284" s="101">
        <f t="shared" si="120"/>
        <v>1</v>
      </c>
      <c r="O284" s="104">
        <f t="shared" si="121"/>
        <v>9.7160412877668004E-11</v>
      </c>
      <c r="P284" s="105">
        <f t="shared" ca="1" si="122"/>
        <v>1.4329220801409221</v>
      </c>
      <c r="Q284" s="106">
        <f t="shared" ca="1" si="123"/>
        <v>0.83088247707255658</v>
      </c>
      <c r="R284" s="107">
        <f t="shared" ca="1" si="124"/>
        <v>-32.724547317497873</v>
      </c>
      <c r="S284" s="108">
        <f t="shared" ca="1" si="125"/>
        <v>-195.98609450866377</v>
      </c>
      <c r="T284" s="116">
        <f t="shared" ca="1" si="126"/>
        <v>-15.986094508663768</v>
      </c>
      <c r="V284" s="72">
        <f t="shared" ca="1" si="127"/>
        <v>18409</v>
      </c>
      <c r="W284" s="72">
        <f t="shared" si="128"/>
        <v>338891281</v>
      </c>
      <c r="Y284" s="110">
        <f t="shared" si="129"/>
        <v>20.661344189290585</v>
      </c>
      <c r="Z284" s="111">
        <f t="shared" si="130"/>
        <v>-86.970807447985592</v>
      </c>
      <c r="AA284" s="72">
        <f t="shared" si="131"/>
        <v>93.029192552014408</v>
      </c>
      <c r="AB284" s="110">
        <f t="shared" ca="1" si="132"/>
        <v>-37.468291159906954</v>
      </c>
      <c r="AC284" s="111">
        <f t="shared" ca="1" si="133"/>
        <v>-109.01528706067818</v>
      </c>
      <c r="AD284" s="72">
        <f t="shared" ca="1" si="134"/>
        <v>70.984712939321824</v>
      </c>
    </row>
    <row r="285" spans="1:30">
      <c r="A285" s="118">
        <v>18515</v>
      </c>
      <c r="B285" s="101">
        <f t="shared" ca="1" si="108"/>
        <v>949.46373224716888</v>
      </c>
      <c r="C285" s="102">
        <f t="shared" ca="1" si="109"/>
        <v>1.5697431004831193</v>
      </c>
      <c r="D285" s="102">
        <f t="shared" si="110"/>
        <v>1.1397161832099139</v>
      </c>
      <c r="E285" s="103">
        <f t="shared" si="111"/>
        <v>0.50035684660243518</v>
      </c>
      <c r="F285" s="101">
        <f t="shared" si="112"/>
        <v>6328.5248441321555</v>
      </c>
      <c r="G285" s="104">
        <f t="shared" si="113"/>
        <v>1.570638312087079</v>
      </c>
      <c r="H285" s="113">
        <f t="shared" si="114"/>
        <v>791.0662276991842</v>
      </c>
      <c r="I285" s="114">
        <f t="shared" si="115"/>
        <v>1.5695322097951854</v>
      </c>
      <c r="J285" s="101">
        <f t="shared" si="116"/>
        <v>18.640151277379175</v>
      </c>
      <c r="K285" s="104">
        <f t="shared" si="117"/>
        <v>1.5171229265355786</v>
      </c>
      <c r="L285" s="102">
        <f t="shared" si="118"/>
        <v>1</v>
      </c>
      <c r="M285" s="103">
        <f t="shared" si="119"/>
        <v>6.1074917310487507E-10</v>
      </c>
      <c r="N285" s="101">
        <f t="shared" si="120"/>
        <v>1</v>
      </c>
      <c r="O285" s="104">
        <f t="shared" si="121"/>
        <v>9.7719867696780003E-11</v>
      </c>
      <c r="P285" s="105">
        <f t="shared" ca="1" si="122"/>
        <v>1.4371651073349723</v>
      </c>
      <c r="Q285" s="106">
        <f t="shared" ca="1" si="123"/>
        <v>0.83394226818737327</v>
      </c>
      <c r="R285" s="107">
        <f t="shared" ca="1" si="124"/>
        <v>-32.838398526877299</v>
      </c>
      <c r="S285" s="108">
        <f t="shared" ca="1" si="125"/>
        <v>-196.04080722204705</v>
      </c>
      <c r="T285" s="116">
        <f t="shared" ca="1" si="126"/>
        <v>-16.04080722204705</v>
      </c>
      <c r="V285" s="72">
        <f t="shared" ca="1" si="127"/>
        <v>18515</v>
      </c>
      <c r="W285" s="72">
        <f t="shared" si="128"/>
        <v>342805225</v>
      </c>
      <c r="Y285" s="110">
        <f t="shared" si="129"/>
        <v>20.611618092345722</v>
      </c>
      <c r="Z285" s="111">
        <f t="shared" si="130"/>
        <v>-86.988115756063962</v>
      </c>
      <c r="AA285" s="72">
        <f t="shared" si="131"/>
        <v>93.011884243936038</v>
      </c>
      <c r="AB285" s="110">
        <f t="shared" ca="1" si="132"/>
        <v>-37.532416272341514</v>
      </c>
      <c r="AC285" s="111">
        <f t="shared" ca="1" si="133"/>
        <v>-109.05269146598312</v>
      </c>
      <c r="AD285" s="72">
        <f t="shared" ca="1" si="134"/>
        <v>70.947308534016884</v>
      </c>
    </row>
    <row r="286" spans="1:30">
      <c r="A286" s="118">
        <v>18621</v>
      </c>
      <c r="B286" s="101">
        <f t="shared" ca="1" si="108"/>
        <v>954.89948943290983</v>
      </c>
      <c r="C286" s="102">
        <f t="shared" ca="1" si="109"/>
        <v>1.5697490959670992</v>
      </c>
      <c r="D286" s="102">
        <f t="shared" si="110"/>
        <v>1.1412212059978237</v>
      </c>
      <c r="E286" s="103">
        <f t="shared" si="111"/>
        <v>0.50276352168891991</v>
      </c>
      <c r="F286" s="101">
        <f t="shared" si="112"/>
        <v>6364.7562033963259</v>
      </c>
      <c r="G286" s="104">
        <f t="shared" si="113"/>
        <v>1.570639211585428</v>
      </c>
      <c r="H286" s="113">
        <f t="shared" si="114"/>
        <v>795.59514406543497</v>
      </c>
      <c r="I286" s="114">
        <f t="shared" si="115"/>
        <v>1.5695394057707204</v>
      </c>
      <c r="J286" s="101">
        <f t="shared" si="116"/>
        <v>18.746561513705068</v>
      </c>
      <c r="K286" s="104">
        <f t="shared" si="117"/>
        <v>1.5174278807703703</v>
      </c>
      <c r="L286" s="102">
        <f t="shared" si="118"/>
        <v>1</v>
      </c>
      <c r="M286" s="103">
        <f t="shared" si="119"/>
        <v>6.1424576572432502E-10</v>
      </c>
      <c r="N286" s="101">
        <f t="shared" si="120"/>
        <v>1</v>
      </c>
      <c r="O286" s="104">
        <f t="shared" si="121"/>
        <v>9.8279322515892003E-11</v>
      </c>
      <c r="P286" s="105">
        <f t="shared" ca="1" si="122"/>
        <v>1.4414200054817492</v>
      </c>
      <c r="Q286" s="106">
        <f t="shared" ca="1" si="123"/>
        <v>0.83698517476899092</v>
      </c>
      <c r="R286" s="107">
        <f t="shared" ca="1" si="124"/>
        <v>-32.951643252719826</v>
      </c>
      <c r="S286" s="108">
        <f t="shared" ca="1" si="125"/>
        <v>-196.09471594636261</v>
      </c>
      <c r="T286" s="116">
        <f t="shared" ca="1" si="126"/>
        <v>-16.094715946362612</v>
      </c>
      <c r="V286" s="72">
        <f t="shared" ca="1" si="127"/>
        <v>18621</v>
      </c>
      <c r="W286" s="72">
        <f t="shared" si="128"/>
        <v>346741641</v>
      </c>
      <c r="Y286" s="110">
        <f t="shared" si="129"/>
        <v>20.562174242075393</v>
      </c>
      <c r="Z286" s="111">
        <f t="shared" si="130"/>
        <v>-87.005227584944848</v>
      </c>
      <c r="AA286" s="72">
        <f t="shared" si="131"/>
        <v>92.994772415055152</v>
      </c>
      <c r="AB286" s="110">
        <f t="shared" ca="1" si="132"/>
        <v>-37.596217147913713</v>
      </c>
      <c r="AC286" s="111">
        <f t="shared" ca="1" si="133"/>
        <v>-109.08948836141776</v>
      </c>
      <c r="AD286" s="72">
        <f t="shared" ca="1" si="134"/>
        <v>70.910511638582236</v>
      </c>
    </row>
    <row r="287" spans="1:30">
      <c r="A287" s="118">
        <v>18729.5</v>
      </c>
      <c r="B287" s="101">
        <f t="shared" ca="1" si="108"/>
        <v>960.4634484742104</v>
      </c>
      <c r="C287" s="102">
        <f t="shared" ca="1" si="109"/>
        <v>1.5697551625712511</v>
      </c>
      <c r="D287" s="102">
        <f t="shared" si="110"/>
        <v>1.1427685520728668</v>
      </c>
      <c r="E287" s="103">
        <f t="shared" si="111"/>
        <v>0.50522037816845344</v>
      </c>
      <c r="F287" s="101">
        <f t="shared" si="112"/>
        <v>6401.8420758559605</v>
      </c>
      <c r="G287" s="104">
        <f t="shared" si="113"/>
        <v>1.5706401217538759</v>
      </c>
      <c r="H287" s="113">
        <f t="shared" si="114"/>
        <v>800.23087453910523</v>
      </c>
      <c r="I287" s="114">
        <f t="shared" si="115"/>
        <v>1.5695466871070471</v>
      </c>
      <c r="J287" s="101">
        <f t="shared" si="116"/>
        <v>18.855483210333105</v>
      </c>
      <c r="K287" s="104">
        <f t="shared" si="117"/>
        <v>1.5177364625701957</v>
      </c>
      <c r="L287" s="102">
        <f t="shared" si="118"/>
        <v>1</v>
      </c>
      <c r="M287" s="103">
        <f t="shared" si="119"/>
        <v>6.1782482515083755E-10</v>
      </c>
      <c r="N287" s="101">
        <f t="shared" si="120"/>
        <v>1</v>
      </c>
      <c r="O287" s="104">
        <f t="shared" si="121"/>
        <v>9.8851972024134003E-11</v>
      </c>
      <c r="P287" s="105">
        <f t="shared" ca="1" si="122"/>
        <v>1.4457874417337726</v>
      </c>
      <c r="Q287" s="106">
        <f t="shared" ca="1" si="123"/>
        <v>0.84008246844327983</v>
      </c>
      <c r="R287" s="107">
        <f t="shared" ca="1" si="124"/>
        <v>-33.066936959442117</v>
      </c>
      <c r="S287" s="108">
        <f t="shared" ca="1" si="125"/>
        <v>-196.14907327910356</v>
      </c>
      <c r="T287" s="116">
        <f t="shared" ca="1" si="126"/>
        <v>-16.149073279103561</v>
      </c>
      <c r="V287" s="72">
        <f t="shared" ca="1" si="127"/>
        <v>18729.5</v>
      </c>
      <c r="W287" s="72">
        <f t="shared" si="128"/>
        <v>350794170.25</v>
      </c>
      <c r="Y287" s="110">
        <f t="shared" si="129"/>
        <v>20.511853257876073</v>
      </c>
      <c r="Z287" s="111">
        <f t="shared" si="130"/>
        <v>-87.022542978526914</v>
      </c>
      <c r="AA287" s="72">
        <f t="shared" si="131"/>
        <v>92.977457021473086</v>
      </c>
      <c r="AB287" s="110">
        <f t="shared" ca="1" si="132"/>
        <v>-37.661189870436687</v>
      </c>
      <c r="AC287" s="111">
        <f t="shared" ca="1" si="133"/>
        <v>-109.12653030057665</v>
      </c>
      <c r="AD287" s="72">
        <f t="shared" ca="1" si="134"/>
        <v>70.873469699423353</v>
      </c>
    </row>
    <row r="288" spans="1:30">
      <c r="A288" s="118">
        <v>18838</v>
      </c>
      <c r="B288" s="101">
        <f t="shared" ca="1" si="108"/>
        <v>966.02740755045238</v>
      </c>
      <c r="C288" s="102">
        <f t="shared" ca="1" si="109"/>
        <v>1.5697611592926297</v>
      </c>
      <c r="D288" s="102">
        <f t="shared" si="110"/>
        <v>1.1443227773842901</v>
      </c>
      <c r="E288" s="103">
        <f t="shared" si="111"/>
        <v>0.50767057557313688</v>
      </c>
      <c r="F288" s="101">
        <f t="shared" si="112"/>
        <v>6438.9279483208393</v>
      </c>
      <c r="G288" s="104">
        <f t="shared" si="113"/>
        <v>1.5706410214378488</v>
      </c>
      <c r="H288" s="113">
        <f t="shared" si="114"/>
        <v>804.86660505471355</v>
      </c>
      <c r="I288" s="114">
        <f t="shared" si="115"/>
        <v>1.5695538845678283</v>
      </c>
      <c r="J288" s="101">
        <f t="shared" si="116"/>
        <v>18.964406681807077</v>
      </c>
      <c r="K288" s="104">
        <f t="shared" si="117"/>
        <v>1.5180414996740397</v>
      </c>
      <c r="L288" s="102">
        <f t="shared" si="118"/>
        <v>1</v>
      </c>
      <c r="M288" s="103">
        <f t="shared" si="119"/>
        <v>6.2140388457735008E-10</v>
      </c>
      <c r="N288" s="101">
        <f t="shared" si="120"/>
        <v>1</v>
      </c>
      <c r="O288" s="104">
        <f t="shared" si="121"/>
        <v>9.9424621532376004E-11</v>
      </c>
      <c r="P288" s="105">
        <f t="shared" ca="1" si="122"/>
        <v>1.4501670981778434</v>
      </c>
      <c r="Q288" s="106">
        <f t="shared" ca="1" si="123"/>
        <v>0.84316228893267831</v>
      </c>
      <c r="R288" s="107">
        <f t="shared" ca="1" si="124"/>
        <v>-33.18160777538607</v>
      </c>
      <c r="S288" s="108">
        <f t="shared" ca="1" si="125"/>
        <v>-196.20260811387033</v>
      </c>
      <c r="T288" s="116">
        <f t="shared" ca="1" si="126"/>
        <v>-16.202608113870326</v>
      </c>
      <c r="V288" s="72">
        <f t="shared" ca="1" si="127"/>
        <v>18838</v>
      </c>
      <c r="W288" s="72">
        <f t="shared" si="128"/>
        <v>354870244</v>
      </c>
      <c r="Y288" s="110">
        <f t="shared" si="129"/>
        <v>20.461821313265244</v>
      </c>
      <c r="Z288" s="111">
        <f t="shared" si="130"/>
        <v>-87.039659480987922</v>
      </c>
      <c r="AA288" s="72">
        <f t="shared" si="131"/>
        <v>92.960340519012078</v>
      </c>
      <c r="AB288" s="110">
        <f t="shared" ca="1" si="132"/>
        <v>-37.725828741769803</v>
      </c>
      <c r="AC288" s="111">
        <f t="shared" ca="1" si="133"/>
        <v>-109.16294863288238</v>
      </c>
      <c r="AD288" s="72">
        <f t="shared" ca="1" si="134"/>
        <v>70.837051367117624</v>
      </c>
    </row>
    <row r="289" spans="1:30">
      <c r="A289" s="118">
        <v>18946.5</v>
      </c>
      <c r="B289" s="101">
        <f t="shared" ca="1" si="108"/>
        <v>971.59136666103564</v>
      </c>
      <c r="C289" s="102">
        <f t="shared" ca="1" si="109"/>
        <v>1.5697670873318164</v>
      </c>
      <c r="D289" s="102">
        <f t="shared" si="110"/>
        <v>1.1458838539400336</v>
      </c>
      <c r="E289" s="103">
        <f t="shared" si="111"/>
        <v>0.51011411163973064</v>
      </c>
      <c r="F289" s="101">
        <f t="shared" si="112"/>
        <v>6476.0138207908703</v>
      </c>
      <c r="G289" s="104">
        <f t="shared" si="113"/>
        <v>1.5706419108174687</v>
      </c>
      <c r="H289" s="113">
        <f t="shared" si="114"/>
        <v>809.50233561153914</v>
      </c>
      <c r="I289" s="114">
        <f t="shared" si="115"/>
        <v>1.5695609995940387</v>
      </c>
      <c r="J289" s="101">
        <f t="shared" si="116"/>
        <v>19.073331897719758</v>
      </c>
      <c r="K289" s="104">
        <f t="shared" si="117"/>
        <v>1.518343052754481</v>
      </c>
      <c r="L289" s="102">
        <f t="shared" si="118"/>
        <v>1</v>
      </c>
      <c r="M289" s="103">
        <f t="shared" si="119"/>
        <v>6.2498294400386261E-10</v>
      </c>
      <c r="N289" s="101">
        <f t="shared" si="120"/>
        <v>1</v>
      </c>
      <c r="O289" s="104">
        <f t="shared" si="121"/>
        <v>9.9997271040618005E-11</v>
      </c>
      <c r="P289" s="105">
        <f t="shared" ca="1" si="122"/>
        <v>1.4545588664088274</v>
      </c>
      <c r="Q289" s="106">
        <f t="shared" ca="1" si="123"/>
        <v>0.84622474587314223</v>
      </c>
      <c r="R289" s="107">
        <f t="shared" ca="1" si="124"/>
        <v>-33.295661890780941</v>
      </c>
      <c r="S289" s="108">
        <f t="shared" ca="1" si="125"/>
        <v>-196.2553303348439</v>
      </c>
      <c r="T289" s="116">
        <f t="shared" ca="1" si="126"/>
        <v>-16.255330334843904</v>
      </c>
      <c r="V289" s="72">
        <f t="shared" ca="1" si="127"/>
        <v>18946.5</v>
      </c>
      <c r="W289" s="72">
        <f t="shared" si="128"/>
        <v>358969862.25</v>
      </c>
      <c r="Y289" s="110">
        <f t="shared" si="129"/>
        <v>20.412075115984052</v>
      </c>
      <c r="Z289" s="111">
        <f t="shared" si="130"/>
        <v>-87.056580496369108</v>
      </c>
      <c r="AA289" s="72">
        <f t="shared" si="131"/>
        <v>92.943419503630892</v>
      </c>
      <c r="AB289" s="110">
        <f t="shared" ca="1" si="132"/>
        <v>-37.790136659883494</v>
      </c>
      <c r="AC289" s="111">
        <f t="shared" ca="1" si="133"/>
        <v>-109.19874983847475</v>
      </c>
      <c r="AD289" s="72">
        <f t="shared" ca="1" si="134"/>
        <v>70.801250161525246</v>
      </c>
    </row>
    <row r="290" spans="1:30">
      <c r="A290" s="118">
        <v>19055</v>
      </c>
      <c r="B290" s="101">
        <f t="shared" ca="1" si="108"/>
        <v>977.15532580537331</v>
      </c>
      <c r="C290" s="102">
        <f t="shared" ca="1" si="109"/>
        <v>1.5697729478620472</v>
      </c>
      <c r="D290" s="102">
        <f t="shared" si="110"/>
        <v>1.147451753777309</v>
      </c>
      <c r="E290" s="103">
        <f t="shared" si="111"/>
        <v>0.5125509844354742</v>
      </c>
      <c r="F290" s="101">
        <f t="shared" si="112"/>
        <v>6513.0996932659637</v>
      </c>
      <c r="G290" s="104">
        <f t="shared" si="113"/>
        <v>1.5706427900687563</v>
      </c>
      <c r="H290" s="113">
        <f t="shared" si="114"/>
        <v>814.13806620887783</v>
      </c>
      <c r="I290" s="114">
        <f t="shared" si="115"/>
        <v>1.5695680335938338</v>
      </c>
      <c r="J290" s="101">
        <f t="shared" si="116"/>
        <v>19.182258828354097</v>
      </c>
      <c r="K290" s="104">
        <f t="shared" si="117"/>
        <v>1.5186411811085425</v>
      </c>
      <c r="L290" s="102">
        <f t="shared" si="118"/>
        <v>1</v>
      </c>
      <c r="M290" s="103">
        <f t="shared" si="119"/>
        <v>6.2856200343037504E-10</v>
      </c>
      <c r="N290" s="101">
        <f t="shared" si="120"/>
        <v>1</v>
      </c>
      <c r="O290" s="104">
        <f t="shared" si="121"/>
        <v>1.0056992054886001E-10</v>
      </c>
      <c r="P290" s="105">
        <f t="shared" ca="1" si="122"/>
        <v>1.4589626390348225</v>
      </c>
      <c r="Q290" s="106">
        <f t="shared" ca="1" si="123"/>
        <v>0.84926994872734995</v>
      </c>
      <c r="R290" s="107">
        <f t="shared" ca="1" si="124"/>
        <v>-33.409105396973899</v>
      </c>
      <c r="S290" s="108">
        <f t="shared" ca="1" si="125"/>
        <v>-196.3072497186073</v>
      </c>
      <c r="T290" s="116">
        <f t="shared" ca="1" si="126"/>
        <v>-16.307249718607295</v>
      </c>
      <c r="V290" s="72">
        <f t="shared" ca="1" si="127"/>
        <v>19055</v>
      </c>
      <c r="W290" s="72">
        <f t="shared" si="128"/>
        <v>363093025</v>
      </c>
      <c r="Y290" s="110">
        <f t="shared" si="129"/>
        <v>20.36261142954849</v>
      </c>
      <c r="Z290" s="111">
        <f t="shared" si="130"/>
        <v>-87.073309351543401</v>
      </c>
      <c r="AA290" s="72">
        <f t="shared" si="131"/>
        <v>92.926690648456599</v>
      </c>
      <c r="AB290" s="110">
        <f t="shared" ca="1" si="132"/>
        <v>-37.854116479640886</v>
      </c>
      <c r="AC290" s="111">
        <f t="shared" ca="1" si="133"/>
        <v>-109.23394036706385</v>
      </c>
      <c r="AD290" s="72">
        <f t="shared" ca="1" si="134"/>
        <v>70.766059632936148</v>
      </c>
    </row>
    <row r="291" spans="1:30">
      <c r="A291" s="118">
        <v>19165.75</v>
      </c>
      <c r="B291" s="101">
        <f t="shared" ca="1" si="108"/>
        <v>982.83466662516946</v>
      </c>
      <c r="C291" s="102">
        <f t="shared" ca="1" si="109"/>
        <v>1.5697788614912225</v>
      </c>
      <c r="D291" s="102">
        <f t="shared" si="110"/>
        <v>1.1490591756542394</v>
      </c>
      <c r="E291" s="103">
        <f t="shared" si="111"/>
        <v>0.51503151782280521</v>
      </c>
      <c r="F291" s="101">
        <f t="shared" si="112"/>
        <v>6550.9546276177953</v>
      </c>
      <c r="G291" s="104">
        <f t="shared" si="113"/>
        <v>1.5706436772864314</v>
      </c>
      <c r="H291" s="113">
        <f t="shared" si="114"/>
        <v>818.86992950944102</v>
      </c>
      <c r="I291" s="114">
        <f t="shared" si="115"/>
        <v>1.5695751313247537</v>
      </c>
      <c r="J291" s="101">
        <f t="shared" si="116"/>
        <v>19.29344635065754</v>
      </c>
      <c r="K291" s="104">
        <f t="shared" si="117"/>
        <v>1.5189420200372901</v>
      </c>
      <c r="L291" s="102">
        <f t="shared" si="118"/>
        <v>1</v>
      </c>
      <c r="M291" s="103">
        <f t="shared" si="119"/>
        <v>6.3221528298324382E-10</v>
      </c>
      <c r="N291" s="101">
        <f t="shared" si="120"/>
        <v>1</v>
      </c>
      <c r="O291" s="104">
        <f t="shared" si="121"/>
        <v>1.01154445277319E-10</v>
      </c>
      <c r="P291" s="105">
        <f t="shared" ca="1" si="122"/>
        <v>1.4634700040492734</v>
      </c>
      <c r="Q291" s="106">
        <f t="shared" ca="1" si="123"/>
        <v>0.85236061991925238</v>
      </c>
      <c r="R291" s="107">
        <f t="shared" ca="1" si="124"/>
        <v>-33.524277908954126</v>
      </c>
      <c r="S291" s="108">
        <f t="shared" ca="1" si="125"/>
        <v>-196.35942783034065</v>
      </c>
      <c r="T291" s="116">
        <f t="shared" ca="1" si="126"/>
        <v>-16.35942783034065</v>
      </c>
      <c r="V291" s="72">
        <f t="shared" ca="1" si="127"/>
        <v>19165.75</v>
      </c>
      <c r="W291" s="72">
        <f t="shared" si="128"/>
        <v>367325973.0625</v>
      </c>
      <c r="Y291" s="110">
        <f t="shared" si="129"/>
        <v>20.312410053817395</v>
      </c>
      <c r="Z291" s="111">
        <f t="shared" si="130"/>
        <v>-87.090190316119831</v>
      </c>
      <c r="AA291" s="72">
        <f t="shared" si="131"/>
        <v>92.909809683880169</v>
      </c>
      <c r="AB291" s="110">
        <f t="shared" ca="1" si="132"/>
        <v>-37.919087615890014</v>
      </c>
      <c r="AC291" s="111">
        <f t="shared" ca="1" si="133"/>
        <v>-109.26923751422085</v>
      </c>
      <c r="AD291" s="72">
        <f t="shared" ca="1" si="134"/>
        <v>70.730762485779152</v>
      </c>
    </row>
    <row r="292" spans="1:30">
      <c r="A292" s="118">
        <v>19276.5</v>
      </c>
      <c r="B292" s="101">
        <f t="shared" ca="1" si="108"/>
        <v>988.51400747894138</v>
      </c>
      <c r="C292" s="102">
        <f t="shared" ca="1" si="109"/>
        <v>1.5697847071688755</v>
      </c>
      <c r="D292" s="102">
        <f t="shared" si="110"/>
        <v>1.15067364796634</v>
      </c>
      <c r="E292" s="103">
        <f t="shared" si="111"/>
        <v>0.51750510568527486</v>
      </c>
      <c r="F292" s="101">
        <f t="shared" si="112"/>
        <v>6588.8095619747228</v>
      </c>
      <c r="G292" s="104">
        <f t="shared" si="113"/>
        <v>1.5706445543093766</v>
      </c>
      <c r="H292" s="113">
        <f t="shared" si="114"/>
        <v>823.601792850783</v>
      </c>
      <c r="I292" s="114">
        <f t="shared" si="115"/>
        <v>1.5695821474980742</v>
      </c>
      <c r="J292" s="101">
        <f t="shared" si="116"/>
        <v>19.404635599085609</v>
      </c>
      <c r="K292" s="104">
        <f t="shared" si="117"/>
        <v>1.519239411357288</v>
      </c>
      <c r="L292" s="102">
        <f t="shared" si="118"/>
        <v>1</v>
      </c>
      <c r="M292" s="103">
        <f t="shared" si="119"/>
        <v>6.3586856253611259E-10</v>
      </c>
      <c r="N292" s="101">
        <f t="shared" si="120"/>
        <v>1</v>
      </c>
      <c r="O292" s="104">
        <f t="shared" si="121"/>
        <v>1.01738970005778E-10</v>
      </c>
      <c r="P292" s="105">
        <f t="shared" ca="1" si="122"/>
        <v>1.4679896535930708</v>
      </c>
      <c r="Q292" s="106">
        <f t="shared" ca="1" si="123"/>
        <v>0.85543354383276426</v>
      </c>
      <c r="R292" s="107">
        <f t="shared" ca="1" si="124"/>
        <v>-33.638826744220694</v>
      </c>
      <c r="S292" s="108">
        <f t="shared" ca="1" si="125"/>
        <v>-196.41078970920958</v>
      </c>
      <c r="T292" s="116">
        <f t="shared" ca="1" si="126"/>
        <v>-16.410789709209581</v>
      </c>
      <c r="V292" s="72">
        <f t="shared" ca="1" si="127"/>
        <v>19276.5</v>
      </c>
      <c r="W292" s="72">
        <f t="shared" si="128"/>
        <v>371583452.25</v>
      </c>
      <c r="Y292" s="110">
        <f t="shared" si="129"/>
        <v>20.262496385581834</v>
      </c>
      <c r="Z292" s="111">
        <f t="shared" si="130"/>
        <v>-87.106877836056469</v>
      </c>
      <c r="AA292" s="72">
        <f t="shared" si="131"/>
        <v>92.893122163943531</v>
      </c>
      <c r="AB292" s="110">
        <f t="shared" ca="1" si="132"/>
        <v>-37.983722782921021</v>
      </c>
      <c r="AC292" s="111">
        <f t="shared" ca="1" si="133"/>
        <v>-109.30391187315315</v>
      </c>
      <c r="AD292" s="72">
        <f t="shared" ca="1" si="134"/>
        <v>70.696088126846846</v>
      </c>
    </row>
    <row r="293" spans="1:30">
      <c r="A293" s="118">
        <v>19387.25</v>
      </c>
      <c r="B293" s="101">
        <f t="shared" ca="1" si="108"/>
        <v>994.19334836610676</v>
      </c>
      <c r="C293" s="102">
        <f t="shared" ca="1" si="109"/>
        <v>1.569790486059528</v>
      </c>
      <c r="D293" s="102">
        <f t="shared" si="110"/>
        <v>1.152295141078671</v>
      </c>
      <c r="E293" s="103">
        <f t="shared" si="111"/>
        <v>0.51997174701055215</v>
      </c>
      <c r="F293" s="101">
        <f t="shared" si="112"/>
        <v>6626.6644963366616</v>
      </c>
      <c r="G293" s="104">
        <f t="shared" si="113"/>
        <v>1.5706454213123044</v>
      </c>
      <c r="H293" s="113">
        <f t="shared" si="114"/>
        <v>828.33365623220504</v>
      </c>
      <c r="I293" s="114">
        <f t="shared" si="115"/>
        <v>1.5695890835114898</v>
      </c>
      <c r="J293" s="101">
        <f t="shared" si="116"/>
        <v>19.515826544135106</v>
      </c>
      <c r="K293" s="104">
        <f t="shared" si="117"/>
        <v>1.5195334139434784</v>
      </c>
      <c r="L293" s="102">
        <f t="shared" si="118"/>
        <v>1</v>
      </c>
      <c r="M293" s="103">
        <f t="shared" si="119"/>
        <v>6.3952184208898126E-10</v>
      </c>
      <c r="N293" s="101">
        <f t="shared" si="120"/>
        <v>1</v>
      </c>
      <c r="O293" s="104">
        <f t="shared" si="121"/>
        <v>1.0232349473423701E-10</v>
      </c>
      <c r="P293" s="105">
        <f t="shared" ca="1" si="122"/>
        <v>1.4725214766783097</v>
      </c>
      <c r="Q293" s="106">
        <f t="shared" ca="1" si="123"/>
        <v>0.85848883620736238</v>
      </c>
      <c r="R293" s="107">
        <f t="shared" ca="1" si="124"/>
        <v>-33.752758077047957</v>
      </c>
      <c r="S293" s="108">
        <f t="shared" ca="1" si="125"/>
        <v>-196.46134541453611</v>
      </c>
      <c r="T293" s="116">
        <f t="shared" ca="1" si="126"/>
        <v>-16.461345414536112</v>
      </c>
      <c r="V293" s="72">
        <f t="shared" ca="1" si="127"/>
        <v>19387.25</v>
      </c>
      <c r="W293" s="72">
        <f t="shared" si="128"/>
        <v>375865462.5625</v>
      </c>
      <c r="Y293" s="110">
        <f t="shared" si="129"/>
        <v>20.212867154629993</v>
      </c>
      <c r="Z293" s="111">
        <f t="shared" si="130"/>
        <v>-87.123375214567361</v>
      </c>
      <c r="AA293" s="72">
        <f t="shared" si="131"/>
        <v>92.876624785432639</v>
      </c>
      <c r="AB293" s="110">
        <f t="shared" ca="1" si="132"/>
        <v>-38.048024884796455</v>
      </c>
      <c r="AC293" s="111">
        <f t="shared" ca="1" si="133"/>
        <v>-109.33797019996875</v>
      </c>
      <c r="AD293" s="72">
        <f t="shared" ca="1" si="134"/>
        <v>70.662029800031249</v>
      </c>
    </row>
    <row r="294" spans="1:30">
      <c r="A294" s="118">
        <v>19498</v>
      </c>
      <c r="B294" s="101">
        <f t="shared" ca="1" si="108"/>
        <v>999.87268928609672</v>
      </c>
      <c r="C294" s="102">
        <f t="shared" ca="1" si="109"/>
        <v>1.5697961993012421</v>
      </c>
      <c r="D294" s="102">
        <f t="shared" si="110"/>
        <v>1.1539236253943546</v>
      </c>
      <c r="E294" s="103">
        <f t="shared" si="111"/>
        <v>0.52243144113010154</v>
      </c>
      <c r="F294" s="101">
        <f t="shared" si="112"/>
        <v>6664.5194307035254</v>
      </c>
      <c r="G294" s="104">
        <f t="shared" si="113"/>
        <v>1.5706462784659585</v>
      </c>
      <c r="H294" s="113">
        <f t="shared" si="114"/>
        <v>833.06551965302413</v>
      </c>
      <c r="I294" s="114">
        <f t="shared" si="115"/>
        <v>1.5695959407309397</v>
      </c>
      <c r="J294" s="101">
        <f t="shared" si="116"/>
        <v>19.627019156970935</v>
      </c>
      <c r="K294" s="104">
        <f t="shared" si="117"/>
        <v>1.5198240853390037</v>
      </c>
      <c r="L294" s="102">
        <f t="shared" si="118"/>
        <v>1</v>
      </c>
      <c r="M294" s="103">
        <f t="shared" si="119"/>
        <v>6.4317512164185004E-10</v>
      </c>
      <c r="N294" s="101">
        <f t="shared" si="120"/>
        <v>1</v>
      </c>
      <c r="O294" s="104">
        <f t="shared" si="121"/>
        <v>1.0290801946269601E-10</v>
      </c>
      <c r="P294" s="105">
        <f t="shared" ca="1" si="122"/>
        <v>1.4770653633885773</v>
      </c>
      <c r="Q294" s="106">
        <f t="shared" ca="1" si="123"/>
        <v>0.86152661251789342</v>
      </c>
      <c r="R294" s="107">
        <f t="shared" ca="1" si="124"/>
        <v>-33.866077984113794</v>
      </c>
      <c r="S294" s="108">
        <f t="shared" ca="1" si="125"/>
        <v>-196.51110489455144</v>
      </c>
      <c r="T294" s="116">
        <f t="shared" ca="1" si="126"/>
        <v>-16.511104894551437</v>
      </c>
      <c r="V294" s="72">
        <f t="shared" ca="1" si="127"/>
        <v>19498</v>
      </c>
      <c r="W294" s="72">
        <f t="shared" si="128"/>
        <v>380172004</v>
      </c>
      <c r="Y294" s="110">
        <f t="shared" si="129"/>
        <v>20.163519146042979</v>
      </c>
      <c r="Z294" s="111">
        <f t="shared" si="130"/>
        <v>-87.139685680152041</v>
      </c>
      <c r="AA294" s="72">
        <f t="shared" si="131"/>
        <v>92.860314319847959</v>
      </c>
      <c r="AB294" s="110">
        <f t="shared" ca="1" si="132"/>
        <v>-38.111996783275266</v>
      </c>
      <c r="AC294" s="111">
        <f t="shared" ca="1" si="133"/>
        <v>-109.37141921439947</v>
      </c>
      <c r="AD294" s="72">
        <f t="shared" ca="1" si="134"/>
        <v>70.628580785600533</v>
      </c>
    </row>
    <row r="295" spans="1:30">
      <c r="A295" s="118">
        <v>19611.75</v>
      </c>
      <c r="B295" s="101">
        <f t="shared" ca="1" si="108"/>
        <v>1005.7058724316364</v>
      </c>
      <c r="C295" s="102">
        <f t="shared" ca="1" si="109"/>
        <v>1.5698020001312141</v>
      </c>
      <c r="D295" s="102">
        <f t="shared" si="110"/>
        <v>1.1556034689406001</v>
      </c>
      <c r="E295" s="103">
        <f t="shared" si="111"/>
        <v>0.52495053115634716</v>
      </c>
      <c r="F295" s="101">
        <f t="shared" si="112"/>
        <v>6703.3997809047778</v>
      </c>
      <c r="G295" s="104">
        <f t="shared" si="113"/>
        <v>1.5706471487604077</v>
      </c>
      <c r="H295" s="113">
        <f t="shared" si="114"/>
        <v>837.92556000139996</v>
      </c>
      <c r="I295" s="114">
        <f t="shared" si="115"/>
        <v>1.5696029030767145</v>
      </c>
      <c r="J295" s="101">
        <f t="shared" si="116"/>
        <v>19.741225465881282</v>
      </c>
      <c r="K295" s="104">
        <f t="shared" si="117"/>
        <v>1.5201192217604653</v>
      </c>
      <c r="L295" s="102">
        <f t="shared" si="118"/>
        <v>1</v>
      </c>
      <c r="M295" s="103">
        <f t="shared" si="119"/>
        <v>6.4692736136319384E-10</v>
      </c>
      <c r="N295" s="101">
        <f t="shared" si="120"/>
        <v>1</v>
      </c>
      <c r="O295" s="104">
        <f t="shared" si="121"/>
        <v>1.03508377818111E-10</v>
      </c>
      <c r="P295" s="105">
        <f t="shared" ca="1" si="122"/>
        <v>1.4817447789561917</v>
      </c>
      <c r="Q295" s="106">
        <f t="shared" ca="1" si="123"/>
        <v>0.86462856301475011</v>
      </c>
      <c r="R295" s="107">
        <f t="shared" ca="1" si="124"/>
        <v>-33.981837293494877</v>
      </c>
      <c r="S295" s="108">
        <f t="shared" ca="1" si="125"/>
        <v>-196.56139372501531</v>
      </c>
      <c r="T295" s="116">
        <f t="shared" ca="1" si="126"/>
        <v>-16.561393725015307</v>
      </c>
      <c r="V295" s="72">
        <f t="shared" ca="1" si="127"/>
        <v>19611.75</v>
      </c>
      <c r="W295" s="72">
        <f t="shared" si="128"/>
        <v>384620738.0625</v>
      </c>
      <c r="Y295" s="110">
        <f t="shared" si="129"/>
        <v>20.113123829212082</v>
      </c>
      <c r="Z295" s="111">
        <f t="shared" si="130"/>
        <v>-87.156246702491188</v>
      </c>
      <c r="AA295" s="72">
        <f t="shared" si="131"/>
        <v>92.843753297508812</v>
      </c>
      <c r="AB295" s="110">
        <f t="shared" ca="1" si="132"/>
        <v>-38.177360775825456</v>
      </c>
      <c r="AC295" s="111">
        <f t="shared" ca="1" si="133"/>
        <v>-109.40514702252409</v>
      </c>
      <c r="AD295" s="72">
        <f t="shared" ca="1" si="134"/>
        <v>70.594852977475909</v>
      </c>
    </row>
    <row r="296" spans="1:30">
      <c r="A296" s="118">
        <v>19725.5</v>
      </c>
      <c r="B296" s="101">
        <f t="shared" ca="1" si="108"/>
        <v>1011.5390556106273</v>
      </c>
      <c r="C296" s="102">
        <f t="shared" ca="1" si="109"/>
        <v>1.5698077340585714</v>
      </c>
      <c r="D296" s="102">
        <f t="shared" si="110"/>
        <v>1.1572906244161945</v>
      </c>
      <c r="E296" s="103">
        <f t="shared" si="111"/>
        <v>0.52746229217522123</v>
      </c>
      <c r="F296" s="101">
        <f t="shared" si="112"/>
        <v>6742.2801311110488</v>
      </c>
      <c r="G296" s="104">
        <f t="shared" si="113"/>
        <v>1.5706480090174948</v>
      </c>
      <c r="H296" s="113">
        <f t="shared" si="114"/>
        <v>842.78560038992521</v>
      </c>
      <c r="I296" s="114">
        <f t="shared" si="115"/>
        <v>1.5696097851238189</v>
      </c>
      <c r="J296" s="101">
        <f t="shared" si="116"/>
        <v>19.855433474579446</v>
      </c>
      <c r="K296" s="104">
        <f t="shared" si="117"/>
        <v>1.5204109629709222</v>
      </c>
      <c r="L296" s="102">
        <f t="shared" si="118"/>
        <v>1</v>
      </c>
      <c r="M296" s="103">
        <f t="shared" si="119"/>
        <v>6.5067960108453754E-10</v>
      </c>
      <c r="N296" s="101">
        <f t="shared" si="120"/>
        <v>1</v>
      </c>
      <c r="O296" s="104">
        <f t="shared" si="121"/>
        <v>1.0410873617352601E-10</v>
      </c>
      <c r="P296" s="105">
        <f t="shared" ca="1" si="122"/>
        <v>1.4864366889565521</v>
      </c>
      <c r="Q296" s="106">
        <f t="shared" ca="1" si="123"/>
        <v>0.86771228164005809</v>
      </c>
      <c r="R296" s="107">
        <f t="shared" ca="1" si="124"/>
        <v>-34.096964291674482</v>
      </c>
      <c r="S296" s="108">
        <f t="shared" ca="1" si="125"/>
        <v>-196.61086352855401</v>
      </c>
      <c r="T296" s="116">
        <f t="shared" ca="1" si="126"/>
        <v>-16.610863528554006</v>
      </c>
      <c r="V296" s="72">
        <f t="shared" ca="1" si="127"/>
        <v>19725.5</v>
      </c>
      <c r="W296" s="72">
        <f t="shared" si="128"/>
        <v>389095350.25</v>
      </c>
      <c r="Y296" s="110">
        <f t="shared" si="129"/>
        <v>20.063018475727702</v>
      </c>
      <c r="Z296" s="111">
        <f t="shared" si="130"/>
        <v>-87.172617219245438</v>
      </c>
      <c r="AA296" s="72">
        <f t="shared" si="131"/>
        <v>92.827382780754562</v>
      </c>
      <c r="AB296" s="110">
        <f t="shared" ca="1" si="132"/>
        <v>-38.242382420520677</v>
      </c>
      <c r="AC296" s="111">
        <f t="shared" ca="1" si="133"/>
        <v>-109.43824630930858</v>
      </c>
      <c r="AD296" s="72">
        <f t="shared" ca="1" si="134"/>
        <v>70.561753690691418</v>
      </c>
    </row>
    <row r="297" spans="1:30">
      <c r="A297" s="118">
        <v>19839.25</v>
      </c>
      <c r="B297" s="101">
        <f t="shared" ca="1" si="108"/>
        <v>1017.3722388224942</v>
      </c>
      <c r="C297" s="102">
        <f t="shared" ca="1" si="109"/>
        <v>1.5698134022340879</v>
      </c>
      <c r="D297" s="102">
        <f t="shared" si="110"/>
        <v>1.1589850598888156</v>
      </c>
      <c r="E297" s="103">
        <f t="shared" si="111"/>
        <v>0.5299667245697639</v>
      </c>
      <c r="F297" s="101">
        <f t="shared" si="112"/>
        <v>6781.160481322253</v>
      </c>
      <c r="G297" s="104">
        <f t="shared" si="113"/>
        <v>1.5706488594098702</v>
      </c>
      <c r="H297" s="113">
        <f t="shared" si="114"/>
        <v>847.64564081790923</v>
      </c>
      <c r="I297" s="114">
        <f t="shared" si="115"/>
        <v>1.5696165882534479</v>
      </c>
      <c r="J297" s="101">
        <f t="shared" si="116"/>
        <v>19.969643153901753</v>
      </c>
      <c r="K297" s="104">
        <f t="shared" si="117"/>
        <v>1.5206993671735949</v>
      </c>
      <c r="L297" s="102">
        <f t="shared" si="118"/>
        <v>1</v>
      </c>
      <c r="M297" s="103">
        <f t="shared" si="119"/>
        <v>6.5443184080588134E-10</v>
      </c>
      <c r="N297" s="101">
        <f t="shared" si="120"/>
        <v>1</v>
      </c>
      <c r="O297" s="104">
        <f t="shared" si="121"/>
        <v>1.04709094528941E-10</v>
      </c>
      <c r="P297" s="105">
        <f t="shared" ca="1" si="122"/>
        <v>1.4911409777772373</v>
      </c>
      <c r="Q297" s="106">
        <f t="shared" ca="1" si="123"/>
        <v>0.87077789252229598</v>
      </c>
      <c r="R297" s="107">
        <f t="shared" ca="1" si="124"/>
        <v>-34.211465255988671</v>
      </c>
      <c r="S297" s="108">
        <f t="shared" ca="1" si="125"/>
        <v>-196.65952472674795</v>
      </c>
      <c r="T297" s="116">
        <f t="shared" ca="1" si="126"/>
        <v>-16.659524726747946</v>
      </c>
      <c r="V297" s="72">
        <f t="shared" ca="1" si="127"/>
        <v>19839.25</v>
      </c>
      <c r="W297" s="72">
        <f t="shared" si="128"/>
        <v>393595840.5625</v>
      </c>
      <c r="Y297" s="110">
        <f t="shared" si="129"/>
        <v>20.0131997763512</v>
      </c>
      <c r="Z297" s="111">
        <f t="shared" si="130"/>
        <v>-87.188800495969119</v>
      </c>
      <c r="AA297" s="72">
        <f t="shared" si="131"/>
        <v>92.811199504030881</v>
      </c>
      <c r="AB297" s="110">
        <f t="shared" ca="1" si="132"/>
        <v>-38.307064685458364</v>
      </c>
      <c r="AC297" s="111">
        <f t="shared" ca="1" si="133"/>
        <v>-109.4707242307788</v>
      </c>
      <c r="AD297" s="72">
        <f t="shared" ca="1" si="134"/>
        <v>70.529275769221201</v>
      </c>
    </row>
    <row r="298" spans="1:30">
      <c r="A298" s="118">
        <v>19953</v>
      </c>
      <c r="B298" s="101">
        <f t="shared" ca="1" si="108"/>
        <v>1023.2054220666748</v>
      </c>
      <c r="C298" s="102">
        <f t="shared" ca="1" si="109"/>
        <v>1.5698190057822958</v>
      </c>
      <c r="D298" s="102">
        <f t="shared" si="110"/>
        <v>1.1606867434752226</v>
      </c>
      <c r="E298" s="103">
        <f t="shared" si="111"/>
        <v>0.53246382908851286</v>
      </c>
      <c r="F298" s="101">
        <f t="shared" si="112"/>
        <v>6820.0408315383056</v>
      </c>
      <c r="G298" s="104">
        <f t="shared" si="113"/>
        <v>1.5706497001062472</v>
      </c>
      <c r="H298" s="113">
        <f t="shared" si="114"/>
        <v>852.50568128467717</v>
      </c>
      <c r="I298" s="114">
        <f t="shared" si="115"/>
        <v>1.5696233138153002</v>
      </c>
      <c r="J298" s="101">
        <f t="shared" si="116"/>
        <v>20.083854475347479</v>
      </c>
      <c r="K298" s="104">
        <f t="shared" si="117"/>
        <v>1.5209844912500112</v>
      </c>
      <c r="L298" s="102">
        <f t="shared" si="118"/>
        <v>1</v>
      </c>
      <c r="M298" s="103">
        <f t="shared" si="119"/>
        <v>6.5818408052722504E-10</v>
      </c>
      <c r="N298" s="101">
        <f t="shared" si="120"/>
        <v>1</v>
      </c>
      <c r="O298" s="104">
        <f t="shared" si="121"/>
        <v>1.0530945288435601E-10</v>
      </c>
      <c r="P298" s="105">
        <f t="shared" ca="1" si="122"/>
        <v>1.495857530964364</v>
      </c>
      <c r="Q298" s="106">
        <f t="shared" ca="1" si="123"/>
        <v>0.87382551941995368</v>
      </c>
      <c r="R298" s="107">
        <f t="shared" ca="1" si="124"/>
        <v>-34.32534636498329</v>
      </c>
      <c r="S298" s="108">
        <f t="shared" ca="1" si="125"/>
        <v>-196.7073876233851</v>
      </c>
      <c r="T298" s="116">
        <f t="shared" ca="1" si="126"/>
        <v>-16.707387623385102</v>
      </c>
      <c r="V298" s="72">
        <f t="shared" ca="1" si="127"/>
        <v>19953</v>
      </c>
      <c r="W298" s="72">
        <f t="shared" si="128"/>
        <v>398122209</v>
      </c>
      <c r="Y298" s="110">
        <f t="shared" si="129"/>
        <v>19.963664478029578</v>
      </c>
      <c r="Z298" s="111">
        <f t="shared" si="130"/>
        <v>-87.204799724068309</v>
      </c>
      <c r="AA298" s="72">
        <f t="shared" si="131"/>
        <v>92.795200275931691</v>
      </c>
      <c r="AB298" s="110">
        <f t="shared" ca="1" si="132"/>
        <v>-38.371410496131368</v>
      </c>
      <c r="AC298" s="111">
        <f t="shared" ca="1" si="133"/>
        <v>-109.50258789931679</v>
      </c>
      <c r="AD298" s="72">
        <f t="shared" ca="1" si="134"/>
        <v>70.497412100683206</v>
      </c>
    </row>
    <row r="299" spans="1:30">
      <c r="A299" s="118">
        <v>20069</v>
      </c>
      <c r="B299" s="101">
        <f t="shared" ca="1" si="108"/>
        <v>1029.1539869901528</v>
      </c>
      <c r="C299" s="102">
        <f t="shared" ca="1" si="109"/>
        <v>1.5698246547516463</v>
      </c>
      <c r="D299" s="102">
        <f t="shared" si="110"/>
        <v>1.1624295183234938</v>
      </c>
      <c r="E299" s="103">
        <f t="shared" si="111"/>
        <v>0.53500278130584944</v>
      </c>
      <c r="F299" s="101">
        <f t="shared" si="112"/>
        <v>6859.6902436316695</v>
      </c>
      <c r="G299" s="104">
        <f t="shared" si="113"/>
        <v>1.5706505476171166</v>
      </c>
      <c r="H299" s="113">
        <f t="shared" si="114"/>
        <v>857.46185445927699</v>
      </c>
      <c r="I299" s="114">
        <f t="shared" si="115"/>
        <v>1.5696300938931265</v>
      </c>
      <c r="J299" s="101">
        <f t="shared" si="116"/>
        <v>20.200326584125428</v>
      </c>
      <c r="K299" s="104">
        <f t="shared" si="117"/>
        <v>1.5212719346816108</v>
      </c>
      <c r="L299" s="102">
        <f t="shared" si="118"/>
        <v>1</v>
      </c>
      <c r="M299" s="103">
        <f t="shared" si="119"/>
        <v>6.6201054037492509E-10</v>
      </c>
      <c r="N299" s="101">
        <f t="shared" si="120"/>
        <v>1</v>
      </c>
      <c r="O299" s="104">
        <f t="shared" si="121"/>
        <v>1.05921686459988E-10</v>
      </c>
      <c r="P299" s="105">
        <f t="shared" ca="1" si="122"/>
        <v>1.5006798918120754</v>
      </c>
      <c r="Q299" s="106">
        <f t="shared" ca="1" si="123"/>
        <v>0.87691503584534092</v>
      </c>
      <c r="R299" s="107">
        <f t="shared" ca="1" si="124"/>
        <v>-34.440848003967986</v>
      </c>
      <c r="S299" s="108">
        <f t="shared" ca="1" si="125"/>
        <v>-196.75538567526155</v>
      </c>
      <c r="T299" s="116">
        <f t="shared" ca="1" si="126"/>
        <v>-16.75538567526155</v>
      </c>
      <c r="V299" s="72">
        <f t="shared" ca="1" si="127"/>
        <v>20069</v>
      </c>
      <c r="W299" s="72">
        <f t="shared" si="128"/>
        <v>402764761</v>
      </c>
      <c r="Y299" s="110">
        <f t="shared" si="129"/>
        <v>19.91343791063532</v>
      </c>
      <c r="Z299" s="111">
        <f t="shared" si="130"/>
        <v>-87.220929108333678</v>
      </c>
      <c r="AA299" s="72">
        <f t="shared" si="131"/>
        <v>92.779070891666322</v>
      </c>
      <c r="AB299" s="110">
        <f t="shared" ca="1" si="132"/>
        <v>-38.436685567721803</v>
      </c>
      <c r="AC299" s="111">
        <f t="shared" ca="1" si="133"/>
        <v>-109.53445656692784</v>
      </c>
      <c r="AD299" s="72">
        <f t="shared" ca="1" si="134"/>
        <v>70.465543433072156</v>
      </c>
    </row>
    <row r="300" spans="1:30">
      <c r="A300" s="118">
        <v>20185</v>
      </c>
      <c r="B300" s="101">
        <f t="shared" ca="1" si="108"/>
        <v>1035.1025519460943</v>
      </c>
      <c r="C300" s="102">
        <f t="shared" ca="1" si="109"/>
        <v>1.5698302387935925</v>
      </c>
      <c r="D300" s="102">
        <f t="shared" si="110"/>
        <v>1.1641797640528437</v>
      </c>
      <c r="E300" s="103">
        <f t="shared" si="111"/>
        <v>0.53753411560060615</v>
      </c>
      <c r="F300" s="101">
        <f t="shared" si="112"/>
        <v>6899.3396557299047</v>
      </c>
      <c r="G300" s="104">
        <f t="shared" si="113"/>
        <v>1.5706513853869648</v>
      </c>
      <c r="H300" s="113">
        <f t="shared" si="114"/>
        <v>862.41802767284094</v>
      </c>
      <c r="I300" s="114">
        <f t="shared" si="115"/>
        <v>1.56963679604299</v>
      </c>
      <c r="J300" s="101">
        <f t="shared" si="116"/>
        <v>20.316800342793169</v>
      </c>
      <c r="K300" s="104">
        <f t="shared" si="117"/>
        <v>1.5215560823796206</v>
      </c>
      <c r="L300" s="102">
        <f t="shared" si="118"/>
        <v>1</v>
      </c>
      <c r="M300" s="103">
        <f t="shared" si="119"/>
        <v>6.6583700022262504E-10</v>
      </c>
      <c r="N300" s="101">
        <f t="shared" si="120"/>
        <v>1</v>
      </c>
      <c r="O300" s="104">
        <f t="shared" si="121"/>
        <v>1.0653392003562001E-10</v>
      </c>
      <c r="P300" s="105">
        <f t="shared" ca="1" si="122"/>
        <v>1.5055147702419851</v>
      </c>
      <c r="Q300" s="106">
        <f t="shared" ca="1" si="123"/>
        <v>0.87998610849895664</v>
      </c>
      <c r="R300" s="107">
        <f t="shared" ca="1" si="124"/>
        <v>-34.555717697312566</v>
      </c>
      <c r="S300" s="108">
        <f t="shared" ca="1" si="125"/>
        <v>-196.80257480680135</v>
      </c>
      <c r="T300" s="116">
        <f t="shared" ca="1" si="126"/>
        <v>-16.802574806801346</v>
      </c>
      <c r="V300" s="72">
        <f t="shared" ca="1" si="127"/>
        <v>20185</v>
      </c>
      <c r="W300" s="72">
        <f t="shared" si="128"/>
        <v>407434225</v>
      </c>
      <c r="Y300" s="110">
        <f t="shared" si="129"/>
        <v>19.863499406746868</v>
      </c>
      <c r="Z300" s="111">
        <f t="shared" si="130"/>
        <v>-87.23687356779773</v>
      </c>
      <c r="AA300" s="72">
        <f t="shared" si="131"/>
        <v>92.76312643220227</v>
      </c>
      <c r="AB300" s="110">
        <f t="shared" ca="1" si="132"/>
        <v>-38.501616757177935</v>
      </c>
      <c r="AC300" s="111">
        <f t="shared" ca="1" si="133"/>
        <v>-109.56570123900363</v>
      </c>
      <c r="AD300" s="72">
        <f t="shared" ca="1" si="134"/>
        <v>70.43429876099637</v>
      </c>
    </row>
    <row r="301" spans="1:30">
      <c r="A301" s="118">
        <v>20301</v>
      </c>
      <c r="B301" s="101">
        <f t="shared" ca="1" si="108"/>
        <v>1041.0511169339434</v>
      </c>
      <c r="C301" s="102">
        <f t="shared" ca="1" si="109"/>
        <v>1.5698357590211192</v>
      </c>
      <c r="D301" s="102">
        <f t="shared" si="110"/>
        <v>1.1659374470185582</v>
      </c>
      <c r="E301" s="103">
        <f t="shared" si="111"/>
        <v>0.54005783391295081</v>
      </c>
      <c r="F301" s="101">
        <f t="shared" si="112"/>
        <v>6938.9890678329266</v>
      </c>
      <c r="G301" s="104">
        <f t="shared" si="113"/>
        <v>1.5706522135827723</v>
      </c>
      <c r="H301" s="113">
        <f t="shared" si="114"/>
        <v>867.37420092470109</v>
      </c>
      <c r="I301" s="114">
        <f t="shared" si="115"/>
        <v>1.5696434216007304</v>
      </c>
      <c r="J301" s="101">
        <f t="shared" si="116"/>
        <v>20.433275723136607</v>
      </c>
      <c r="K301" s="104">
        <f t="shared" si="117"/>
        <v>1.5218369906575662</v>
      </c>
      <c r="L301" s="102">
        <f t="shared" si="118"/>
        <v>1</v>
      </c>
      <c r="M301" s="103">
        <f t="shared" si="119"/>
        <v>6.6966346007032508E-10</v>
      </c>
      <c r="N301" s="101">
        <f t="shared" si="120"/>
        <v>1</v>
      </c>
      <c r="O301" s="104">
        <f t="shared" si="121"/>
        <v>1.0714615361125201E-10</v>
      </c>
      <c r="P301" s="105">
        <f t="shared" ca="1" si="122"/>
        <v>1.510362048538596</v>
      </c>
      <c r="Q301" s="106">
        <f t="shared" ca="1" si="123"/>
        <v>0.88303886733102865</v>
      </c>
      <c r="R301" s="107">
        <f t="shared" ca="1" si="124"/>
        <v>-34.669961694697434</v>
      </c>
      <c r="S301" s="108">
        <f t="shared" ca="1" si="125"/>
        <v>-196.84896557576673</v>
      </c>
      <c r="T301" s="116">
        <f t="shared" ca="1" si="126"/>
        <v>-16.848965575766726</v>
      </c>
      <c r="V301" s="72">
        <f t="shared" ca="1" si="127"/>
        <v>20301</v>
      </c>
      <c r="W301" s="72">
        <f t="shared" si="128"/>
        <v>412130601</v>
      </c>
      <c r="Y301" s="110">
        <f t="shared" si="129"/>
        <v>19.813845688935309</v>
      </c>
      <c r="Z301" s="111">
        <f t="shared" si="130"/>
        <v>-87.252636262017077</v>
      </c>
      <c r="AA301" s="72">
        <f t="shared" si="131"/>
        <v>92.747363737982923</v>
      </c>
      <c r="AB301" s="110">
        <f t="shared" ca="1" si="132"/>
        <v>-38.566207036751237</v>
      </c>
      <c r="AC301" s="111">
        <f t="shared" ca="1" si="133"/>
        <v>-109.59632931374965</v>
      </c>
      <c r="AD301" s="72">
        <f t="shared" ca="1" si="134"/>
        <v>70.403670686250351</v>
      </c>
    </row>
    <row r="302" spans="1:30">
      <c r="A302" s="118">
        <v>20417</v>
      </c>
      <c r="B302" s="101">
        <f t="shared" ca="1" si="108"/>
        <v>1046.9996819531555</v>
      </c>
      <c r="C302" s="102">
        <f t="shared" ca="1" si="109"/>
        <v>1.5698412165219175</v>
      </c>
      <c r="D302" s="102">
        <f t="shared" si="110"/>
        <v>1.1677025336359614</v>
      </c>
      <c r="E302" s="103">
        <f t="shared" si="111"/>
        <v>0.54257393855945113</v>
      </c>
      <c r="F302" s="101">
        <f t="shared" si="112"/>
        <v>6978.6384799406542</v>
      </c>
      <c r="G302" s="104">
        <f t="shared" si="113"/>
        <v>1.5706530323677248</v>
      </c>
      <c r="H302" s="113">
        <f t="shared" si="114"/>
        <v>872.33037421420443</v>
      </c>
      <c r="I302" s="114">
        <f t="shared" si="115"/>
        <v>1.5696499718718293</v>
      </c>
      <c r="J302" s="101">
        <f t="shared" si="116"/>
        <v>20.549752697580903</v>
      </c>
      <c r="K302" s="104">
        <f t="shared" si="117"/>
        <v>1.5221147145542939</v>
      </c>
      <c r="L302" s="102">
        <f t="shared" si="118"/>
        <v>1</v>
      </c>
      <c r="M302" s="103">
        <f t="shared" si="119"/>
        <v>6.7348991991802503E-10</v>
      </c>
      <c r="N302" s="101">
        <f t="shared" si="120"/>
        <v>1</v>
      </c>
      <c r="O302" s="104">
        <f t="shared" si="121"/>
        <v>1.07758387186884E-10</v>
      </c>
      <c r="P302" s="105">
        <f t="shared" ca="1" si="122"/>
        <v>1.5152216102007048</v>
      </c>
      <c r="Q302" s="106">
        <f t="shared" ca="1" si="123"/>
        <v>0.8860734418201669</v>
      </c>
      <c r="R302" s="107">
        <f t="shared" ca="1" si="124"/>
        <v>-34.783586148566371</v>
      </c>
      <c r="S302" s="108">
        <f t="shared" ca="1" si="125"/>
        <v>-196.89456841837099</v>
      </c>
      <c r="T302" s="116">
        <f t="shared" ca="1" si="126"/>
        <v>-16.894568418370994</v>
      </c>
      <c r="V302" s="72">
        <f t="shared" ca="1" si="127"/>
        <v>20417</v>
      </c>
      <c r="W302" s="72">
        <f t="shared" si="128"/>
        <v>416853889</v>
      </c>
      <c r="Y302" s="110">
        <f t="shared" si="129"/>
        <v>19.764473535253352</v>
      </c>
      <c r="Z302" s="111">
        <f t="shared" si="130"/>
        <v>-87.268220279036612</v>
      </c>
      <c r="AA302" s="72">
        <f t="shared" si="131"/>
        <v>92.731779720963388</v>
      </c>
      <c r="AB302" s="110">
        <f t="shared" ca="1" si="132"/>
        <v>-38.630459336938223</v>
      </c>
      <c r="AC302" s="111">
        <f t="shared" ca="1" si="133"/>
        <v>-109.62634813933434</v>
      </c>
      <c r="AD302" s="72">
        <f t="shared" ca="1" si="134"/>
        <v>70.37365186066566</v>
      </c>
    </row>
    <row r="303" spans="1:30">
      <c r="A303" s="118">
        <v>20536</v>
      </c>
      <c r="B303" s="101">
        <f t="shared" ca="1" si="108"/>
        <v>1053.102089203174</v>
      </c>
      <c r="C303" s="102">
        <f t="shared" ca="1" si="109"/>
        <v>1.5698467510979772</v>
      </c>
      <c r="D303" s="102">
        <f t="shared" si="110"/>
        <v>1.1695209272489646</v>
      </c>
      <c r="E303" s="103">
        <f t="shared" si="111"/>
        <v>0.5451472061280549</v>
      </c>
      <c r="F303" s="101">
        <f t="shared" si="112"/>
        <v>7019.3133078835608</v>
      </c>
      <c r="G303" s="104">
        <f t="shared" si="113"/>
        <v>1.5706538627162154</v>
      </c>
      <c r="H303" s="113">
        <f t="shared" si="114"/>
        <v>877.41472443757368</v>
      </c>
      <c r="I303" s="114">
        <f t="shared" si="115"/>
        <v>1.5696566146512103</v>
      </c>
      <c r="J303" s="101">
        <f t="shared" si="116"/>
        <v>20.669243635799756</v>
      </c>
      <c r="K303" s="104">
        <f t="shared" si="117"/>
        <v>1.5223963683662118</v>
      </c>
      <c r="L303" s="102">
        <f t="shared" si="118"/>
        <v>1</v>
      </c>
      <c r="M303" s="103">
        <f t="shared" si="119"/>
        <v>6.7741533993420011E-10</v>
      </c>
      <c r="N303" s="101">
        <f t="shared" si="120"/>
        <v>1</v>
      </c>
      <c r="O303" s="104">
        <f t="shared" si="121"/>
        <v>1.08386454389472E-10</v>
      </c>
      <c r="P303" s="105">
        <f t="shared" ca="1" si="122"/>
        <v>1.5202194933320587</v>
      </c>
      <c r="Q303" s="106">
        <f t="shared" ca="1" si="123"/>
        <v>0.88916773602266519</v>
      </c>
      <c r="R303" s="107">
        <f t="shared" ca="1" si="124"/>
        <v>-34.899511729271133</v>
      </c>
      <c r="S303" s="108">
        <f t="shared" ca="1" si="125"/>
        <v>-196.94054270016818</v>
      </c>
      <c r="T303" s="116">
        <f t="shared" ca="1" si="126"/>
        <v>-16.94054270016818</v>
      </c>
      <c r="V303" s="72">
        <f t="shared" ca="1" si="127"/>
        <v>20536</v>
      </c>
      <c r="W303" s="72">
        <f t="shared" si="128"/>
        <v>421727296</v>
      </c>
      <c r="Y303" s="110">
        <f t="shared" si="129"/>
        <v>19.714113776897662</v>
      </c>
      <c r="Z303" s="111">
        <f t="shared" si="130"/>
        <v>-87.284024825813702</v>
      </c>
      <c r="AA303" s="72">
        <f t="shared" si="131"/>
        <v>92.715975174186298</v>
      </c>
      <c r="AB303" s="110">
        <f t="shared" ca="1" si="132"/>
        <v>-38.696025159287288</v>
      </c>
      <c r="AC303" s="111">
        <f t="shared" ca="1" si="133"/>
        <v>-109.65651787435449</v>
      </c>
      <c r="AD303" s="72">
        <f t="shared" ca="1" si="134"/>
        <v>70.343482125645508</v>
      </c>
    </row>
    <row r="304" spans="1:30">
      <c r="A304" s="118">
        <v>20655</v>
      </c>
      <c r="B304" s="101">
        <f t="shared" ca="1" si="108"/>
        <v>1059.2044964850788</v>
      </c>
      <c r="C304" s="102">
        <f t="shared" ca="1" si="109"/>
        <v>1.5698522219012012</v>
      </c>
      <c r="D304" s="102">
        <f t="shared" si="110"/>
        <v>1.1713470410116327</v>
      </c>
      <c r="E304" s="103">
        <f t="shared" si="111"/>
        <v>0.5477124672622643</v>
      </c>
      <c r="F304" s="101">
        <f t="shared" si="112"/>
        <v>7059.9881358312496</v>
      </c>
      <c r="G304" s="104">
        <f t="shared" si="113"/>
        <v>1.5706546834969046</v>
      </c>
      <c r="H304" s="113">
        <f t="shared" si="114"/>
        <v>882.49907469921402</v>
      </c>
      <c r="I304" s="114">
        <f t="shared" si="115"/>
        <v>1.5696631808883763</v>
      </c>
      <c r="J304" s="101">
        <f t="shared" si="116"/>
        <v>20.788736194837082</v>
      </c>
      <c r="K304" s="104">
        <f t="shared" si="117"/>
        <v>1.5226747843374979</v>
      </c>
      <c r="L304" s="102">
        <f t="shared" si="118"/>
        <v>1</v>
      </c>
      <c r="M304" s="103">
        <f t="shared" si="119"/>
        <v>6.8134075995037508E-10</v>
      </c>
      <c r="N304" s="101">
        <f t="shared" si="120"/>
        <v>1</v>
      </c>
      <c r="O304" s="104">
        <f t="shared" si="121"/>
        <v>1.0901452159206E-10</v>
      </c>
      <c r="P304" s="105">
        <f t="shared" ca="1" si="122"/>
        <v>1.5252300588894945</v>
      </c>
      <c r="Q304" s="106">
        <f t="shared" ca="1" si="123"/>
        <v>0.89224316760583045</v>
      </c>
      <c r="R304" s="107">
        <f t="shared" ca="1" si="124"/>
        <v>-35.014798119332504</v>
      </c>
      <c r="S304" s="108">
        <f t="shared" ca="1" si="125"/>
        <v>-196.9857096372198</v>
      </c>
      <c r="T304" s="116">
        <f t="shared" ca="1" si="126"/>
        <v>-16.985709637219799</v>
      </c>
      <c r="V304" s="72">
        <f t="shared" ca="1" si="127"/>
        <v>20655</v>
      </c>
      <c r="W304" s="72">
        <f t="shared" si="128"/>
        <v>426629025</v>
      </c>
      <c r="Y304" s="110">
        <f t="shared" si="129"/>
        <v>19.664043639314698</v>
      </c>
      <c r="Z304" s="111">
        <f t="shared" si="130"/>
        <v>-87.299647695338848</v>
      </c>
      <c r="AA304" s="72">
        <f t="shared" si="131"/>
        <v>92.700352304661152</v>
      </c>
      <c r="AB304" s="110">
        <f t="shared" ca="1" si="132"/>
        <v>-38.761241411765695</v>
      </c>
      <c r="AC304" s="111">
        <f t="shared" ca="1" si="133"/>
        <v>-109.68606194188101</v>
      </c>
      <c r="AD304" s="72">
        <f t="shared" ca="1" si="134"/>
        <v>70.313938058118993</v>
      </c>
    </row>
    <row r="305" spans="1:30">
      <c r="A305" s="118">
        <v>20774</v>
      </c>
      <c r="B305" s="101">
        <f t="shared" ca="1" si="108"/>
        <v>1065.3069037983223</v>
      </c>
      <c r="C305" s="102">
        <f t="shared" ca="1" si="109"/>
        <v>1.5698576300275209</v>
      </c>
      <c r="D305" s="102">
        <f t="shared" si="110"/>
        <v>1.1731808388735865</v>
      </c>
      <c r="E305" s="103">
        <f t="shared" si="111"/>
        <v>0.55026972566643229</v>
      </c>
      <c r="F305" s="101">
        <f t="shared" si="112"/>
        <v>7100.6629637836413</v>
      </c>
      <c r="G305" s="104">
        <f t="shared" si="113"/>
        <v>1.5706554948742146</v>
      </c>
      <c r="H305" s="113">
        <f t="shared" si="114"/>
        <v>887.58342499846788</v>
      </c>
      <c r="I305" s="114">
        <f t="shared" si="115"/>
        <v>1.5696696718986989</v>
      </c>
      <c r="J305" s="101">
        <f t="shared" si="116"/>
        <v>20.908230346903473</v>
      </c>
      <c r="K305" s="104">
        <f t="shared" si="117"/>
        <v>1.5229500179390718</v>
      </c>
      <c r="L305" s="102">
        <f t="shared" si="118"/>
        <v>1</v>
      </c>
      <c r="M305" s="103">
        <f t="shared" si="119"/>
        <v>6.8526617996655005E-10</v>
      </c>
      <c r="N305" s="101">
        <f t="shared" si="120"/>
        <v>1</v>
      </c>
      <c r="O305" s="104">
        <f t="shared" si="121"/>
        <v>1.09642588794648E-10</v>
      </c>
      <c r="P305" s="105">
        <f t="shared" ca="1" si="122"/>
        <v>1.5302531850150265</v>
      </c>
      <c r="Q305" s="106">
        <f t="shared" ca="1" si="123"/>
        <v>0.89529987470416139</v>
      </c>
      <c r="R305" s="107">
        <f t="shared" ca="1" si="124"/>
        <v>-35.129451656563674</v>
      </c>
      <c r="S305" s="108">
        <f t="shared" ca="1" si="125"/>
        <v>-197.03008010690328</v>
      </c>
      <c r="T305" s="116">
        <f t="shared" ca="1" si="126"/>
        <v>-17.030080106903284</v>
      </c>
      <c r="V305" s="72">
        <f t="shared" ca="1" si="127"/>
        <v>20774</v>
      </c>
      <c r="W305" s="72">
        <f t="shared" si="128"/>
        <v>431559076</v>
      </c>
      <c r="Y305" s="110">
        <f t="shared" si="129"/>
        <v>19.614259817993116</v>
      </c>
      <c r="Z305" s="111">
        <f t="shared" si="130"/>
        <v>-87.315091999917115</v>
      </c>
      <c r="AA305" s="72">
        <f t="shared" si="131"/>
        <v>92.684908000082885</v>
      </c>
      <c r="AB305" s="110">
        <f t="shared" ca="1" si="132"/>
        <v>-38.826111127675283</v>
      </c>
      <c r="AC305" s="111">
        <f t="shared" ca="1" si="133"/>
        <v>-109.7149881069861</v>
      </c>
      <c r="AD305" s="72">
        <f t="shared" ca="1" si="134"/>
        <v>70.285011893013902</v>
      </c>
    </row>
    <row r="306" spans="1:30">
      <c r="A306" s="118">
        <v>20893</v>
      </c>
      <c r="B306" s="101">
        <f t="shared" ca="1" si="108"/>
        <v>1071.4093111423688</v>
      </c>
      <c r="C306" s="102">
        <f t="shared" ca="1" si="109"/>
        <v>1.5698629765478989</v>
      </c>
      <c r="D306" s="102">
        <f t="shared" si="110"/>
        <v>1.175022284858271</v>
      </c>
      <c r="E306" s="103">
        <f t="shared" si="111"/>
        <v>0.55281898544050889</v>
      </c>
      <c r="F306" s="101">
        <f t="shared" si="112"/>
        <v>7141.3377917406533</v>
      </c>
      <c r="G306" s="104">
        <f t="shared" si="113"/>
        <v>1.5706562970088214</v>
      </c>
      <c r="H306" s="113">
        <f t="shared" si="114"/>
        <v>892.66777533469235</v>
      </c>
      <c r="I306" s="114">
        <f t="shared" si="115"/>
        <v>1.5696760889675812</v>
      </c>
      <c r="J306" s="101">
        <f t="shared" si="116"/>
        <v>21.027726064840838</v>
      </c>
      <c r="K306" s="104">
        <f t="shared" si="117"/>
        <v>1.5232221233828942</v>
      </c>
      <c r="L306" s="102">
        <f t="shared" si="118"/>
        <v>1</v>
      </c>
      <c r="M306" s="103">
        <f t="shared" si="119"/>
        <v>6.8919159998272502E-10</v>
      </c>
      <c r="N306" s="101">
        <f t="shared" si="120"/>
        <v>1</v>
      </c>
      <c r="O306" s="104">
        <f t="shared" si="121"/>
        <v>1.10270655997236E-10</v>
      </c>
      <c r="P306" s="105">
        <f t="shared" ca="1" si="122"/>
        <v>1.5352887511508253</v>
      </c>
      <c r="Q306" s="106">
        <f t="shared" ca="1" si="123"/>
        <v>0.89833799486155219</v>
      </c>
      <c r="R306" s="107">
        <f t="shared" ca="1" si="124"/>
        <v>-35.243478580701016</v>
      </c>
      <c r="S306" s="108">
        <f t="shared" ca="1" si="125"/>
        <v>-197.07366485802922</v>
      </c>
      <c r="T306" s="116">
        <f t="shared" ca="1" si="126"/>
        <v>-17.073664858029218</v>
      </c>
      <c r="V306" s="72">
        <f t="shared" ca="1" si="127"/>
        <v>20893</v>
      </c>
      <c r="W306" s="72">
        <f t="shared" si="128"/>
        <v>436517449</v>
      </c>
      <c r="Y306" s="110">
        <f t="shared" si="129"/>
        <v>19.564759064525997</v>
      </c>
      <c r="Z306" s="111">
        <f t="shared" si="130"/>
        <v>-87.330360781222964</v>
      </c>
      <c r="AA306" s="72">
        <f t="shared" si="131"/>
        <v>92.669639218777036</v>
      </c>
      <c r="AB306" s="110">
        <f t="shared" ca="1" si="132"/>
        <v>-38.890637298345503</v>
      </c>
      <c r="AC306" s="111">
        <f t="shared" ca="1" si="133"/>
        <v>-109.74330407680624</v>
      </c>
      <c r="AD306" s="72">
        <f t="shared" ca="1" si="134"/>
        <v>70.25669592319376</v>
      </c>
    </row>
    <row r="307" spans="1:30">
      <c r="A307" s="118">
        <v>21014.75</v>
      </c>
      <c r="B307" s="101">
        <f t="shared" ca="1" si="108"/>
        <v>1077.6527405362031</v>
      </c>
      <c r="C307" s="102">
        <f t="shared" ca="1" si="109"/>
        <v>1.5698683839558931</v>
      </c>
      <c r="D307" s="102">
        <f t="shared" si="110"/>
        <v>1.1769141631046318</v>
      </c>
      <c r="E307" s="103">
        <f t="shared" si="111"/>
        <v>0.55541888333579659</v>
      </c>
      <c r="F307" s="101">
        <f t="shared" si="112"/>
        <v>7182.9525842139792</v>
      </c>
      <c r="G307" s="104">
        <f t="shared" si="113"/>
        <v>1.5706571082783456</v>
      </c>
      <c r="H307" s="113">
        <f t="shared" si="114"/>
        <v>897.86962119948714</v>
      </c>
      <c r="I307" s="114">
        <f t="shared" si="115"/>
        <v>1.5696825791158036</v>
      </c>
      <c r="J307" s="101">
        <f t="shared" si="116"/>
        <v>21.149984831333217</v>
      </c>
      <c r="K307" s="104">
        <f t="shared" si="117"/>
        <v>1.5234973348053125</v>
      </c>
      <c r="L307" s="102">
        <f t="shared" si="118"/>
        <v>1</v>
      </c>
      <c r="M307" s="103">
        <f t="shared" si="119"/>
        <v>6.932077334866688E-10</v>
      </c>
      <c r="N307" s="101">
        <f t="shared" si="120"/>
        <v>1</v>
      </c>
      <c r="O307" s="104">
        <f t="shared" si="121"/>
        <v>1.1091323735786701E-10</v>
      </c>
      <c r="P307" s="105">
        <f t="shared" ca="1" si="122"/>
        <v>1.5404534355840505</v>
      </c>
      <c r="Q307" s="106">
        <f t="shared" ca="1" si="123"/>
        <v>0.90142723028803573</v>
      </c>
      <c r="R307" s="107">
        <f t="shared" ca="1" si="124"/>
        <v>-35.359498486511484</v>
      </c>
      <c r="S307" s="108">
        <f t="shared" ca="1" si="125"/>
        <v>-197.11745473203359</v>
      </c>
      <c r="T307" s="116">
        <f t="shared" ca="1" si="126"/>
        <v>-17.117454732033593</v>
      </c>
      <c r="V307" s="72">
        <f t="shared" ca="1" si="127"/>
        <v>21014.75</v>
      </c>
      <c r="W307" s="72">
        <f t="shared" si="128"/>
        <v>441619717.5625</v>
      </c>
      <c r="Y307" s="110">
        <f t="shared" si="129"/>
        <v>19.514404011497181</v>
      </c>
      <c r="Z307" s="111">
        <f t="shared" si="130"/>
        <v>-87.345803858243926</v>
      </c>
      <c r="AA307" s="72">
        <f t="shared" si="131"/>
        <v>92.654196141756074</v>
      </c>
      <c r="AB307" s="110">
        <f t="shared" ca="1" si="132"/>
        <v>-38.956302151127154</v>
      </c>
      <c r="AC307" s="111">
        <f t="shared" ca="1" si="133"/>
        <v>-109.77165087378971</v>
      </c>
      <c r="AD307" s="72">
        <f t="shared" ca="1" si="134"/>
        <v>70.22834912621029</v>
      </c>
    </row>
    <row r="308" spans="1:30">
      <c r="A308" s="118">
        <v>21136.5</v>
      </c>
      <c r="B308" s="101">
        <f t="shared" ca="1" si="108"/>
        <v>1083.896169961185</v>
      </c>
      <c r="C308" s="102">
        <f t="shared" ca="1" si="109"/>
        <v>1.5698737290686768</v>
      </c>
      <c r="D308" s="102">
        <f t="shared" si="110"/>
        <v>1.1788139710995955</v>
      </c>
      <c r="E308" s="103">
        <f t="shared" si="111"/>
        <v>0.5580104185721535</v>
      </c>
      <c r="F308" s="101">
        <f t="shared" si="112"/>
        <v>7224.5673766919772</v>
      </c>
      <c r="G308" s="104">
        <f t="shared" si="113"/>
        <v>1.5706579102017564</v>
      </c>
      <c r="H308" s="113">
        <f t="shared" si="114"/>
        <v>903.07146710166637</v>
      </c>
      <c r="I308" s="114">
        <f t="shared" si="115"/>
        <v>1.5696889944953019</v>
      </c>
      <c r="J308" s="101">
        <f t="shared" si="116"/>
        <v>21.272245181339805</v>
      </c>
      <c r="K308" s="104">
        <f t="shared" si="117"/>
        <v>1.5237693827414627</v>
      </c>
      <c r="L308" s="102">
        <f t="shared" si="118"/>
        <v>1</v>
      </c>
      <c r="M308" s="103">
        <f t="shared" si="119"/>
        <v>6.9722386699061257E-10</v>
      </c>
      <c r="N308" s="101">
        <f t="shared" si="120"/>
        <v>1</v>
      </c>
      <c r="O308" s="104">
        <f t="shared" si="121"/>
        <v>1.11555818718498E-10</v>
      </c>
      <c r="P308" s="105">
        <f t="shared" ca="1" si="122"/>
        <v>1.5456308904426994</v>
      </c>
      <c r="Q308" s="106">
        <f t="shared" ca="1" si="123"/>
        <v>0.90449729910468546</v>
      </c>
      <c r="R308" s="107">
        <f t="shared" ca="1" si="124"/>
        <v>-35.474875392619111</v>
      </c>
      <c r="S308" s="108">
        <f t="shared" ca="1" si="125"/>
        <v>-197.16044451002338</v>
      </c>
      <c r="T308" s="116">
        <f t="shared" ca="1" si="126"/>
        <v>-17.160444510023382</v>
      </c>
      <c r="V308" s="72">
        <f t="shared" ca="1" si="127"/>
        <v>21136.5</v>
      </c>
      <c r="W308" s="72">
        <f t="shared" si="128"/>
        <v>446751632.25</v>
      </c>
      <c r="Y308" s="110">
        <f t="shared" si="129"/>
        <v>19.464338555760005</v>
      </c>
      <c r="Z308" s="111">
        <f t="shared" si="130"/>
        <v>-87.361069429292428</v>
      </c>
      <c r="AA308" s="72">
        <f t="shared" si="131"/>
        <v>92.638930570707572</v>
      </c>
      <c r="AB308" s="110">
        <f t="shared" ca="1" si="132"/>
        <v>-39.021613601497613</v>
      </c>
      <c r="AC308" s="111">
        <f t="shared" ca="1" si="133"/>
        <v>-109.79937508073097</v>
      </c>
      <c r="AD308" s="72">
        <f t="shared" ca="1" si="134"/>
        <v>70.200624919269032</v>
      </c>
    </row>
    <row r="309" spans="1:30">
      <c r="A309" s="118">
        <v>21258.25</v>
      </c>
      <c r="B309" s="101">
        <f t="shared" ca="1" si="108"/>
        <v>1090.1395994167797</v>
      </c>
      <c r="C309" s="102">
        <f t="shared" ca="1" si="109"/>
        <v>1.5698790129565781</v>
      </c>
      <c r="D309" s="102">
        <f t="shared" si="110"/>
        <v>1.1807216705657262</v>
      </c>
      <c r="E309" s="103">
        <f t="shared" si="111"/>
        <v>0.56059359679095311</v>
      </c>
      <c r="F309" s="101">
        <f t="shared" si="112"/>
        <v>7266.182169174569</v>
      </c>
      <c r="G309" s="104">
        <f t="shared" si="113"/>
        <v>1.5706587029396348</v>
      </c>
      <c r="H309" s="113">
        <f t="shared" si="114"/>
        <v>908.27331304058782</v>
      </c>
      <c r="I309" s="114">
        <f t="shared" si="115"/>
        <v>1.5696953363907171</v>
      </c>
      <c r="J309" s="101">
        <f t="shared" si="116"/>
        <v>21.394507087713304</v>
      </c>
      <c r="K309" s="104">
        <f t="shared" si="117"/>
        <v>1.5240383213852819</v>
      </c>
      <c r="L309" s="102">
        <f t="shared" si="118"/>
        <v>1</v>
      </c>
      <c r="M309" s="103">
        <f t="shared" si="119"/>
        <v>7.0124000049455635E-10</v>
      </c>
      <c r="N309" s="101">
        <f t="shared" si="120"/>
        <v>1</v>
      </c>
      <c r="O309" s="104">
        <f t="shared" si="121"/>
        <v>1.1219840007912901E-10</v>
      </c>
      <c r="P309" s="105">
        <f t="shared" ca="1" si="122"/>
        <v>1.5508209907667314</v>
      </c>
      <c r="Q309" s="106">
        <f t="shared" ca="1" si="123"/>
        <v>0.90754834659572803</v>
      </c>
      <c r="R309" s="107">
        <f t="shared" ca="1" si="124"/>
        <v>-35.589615677159152</v>
      </c>
      <c r="S309" s="108">
        <f t="shared" ca="1" si="125"/>
        <v>-197.20264529494997</v>
      </c>
      <c r="T309" s="116">
        <f t="shared" ca="1" si="126"/>
        <v>-17.202645294949974</v>
      </c>
      <c r="V309" s="72">
        <f t="shared" ca="1" si="127"/>
        <v>21258.25</v>
      </c>
      <c r="W309" s="72">
        <f t="shared" si="128"/>
        <v>451913193.0625</v>
      </c>
      <c r="Y309" s="110">
        <f t="shared" si="129"/>
        <v>19.414559392681838</v>
      </c>
      <c r="Z309" s="111">
        <f t="shared" si="130"/>
        <v>-87.376160535048484</v>
      </c>
      <c r="AA309" s="72">
        <f t="shared" si="131"/>
        <v>92.623839464951516</v>
      </c>
      <c r="AB309" s="110">
        <f t="shared" ca="1" si="132"/>
        <v>-39.086574722959483</v>
      </c>
      <c r="AC309" s="111">
        <f t="shared" ca="1" si="133"/>
        <v>-109.82648475990149</v>
      </c>
      <c r="AD309" s="72">
        <f t="shared" ca="1" si="134"/>
        <v>70.17351524009851</v>
      </c>
    </row>
    <row r="310" spans="1:30">
      <c r="A310" s="118">
        <v>21380</v>
      </c>
      <c r="B310" s="101">
        <f t="shared" ca="1" si="108"/>
        <v>1096.3830289024638</v>
      </c>
      <c r="C310" s="102">
        <f t="shared" ca="1" si="109"/>
        <v>1.5698842366655443</v>
      </c>
      <c r="D310" s="102">
        <f t="shared" si="110"/>
        <v>1.1826372233140805</v>
      </c>
      <c r="E310" s="103">
        <f t="shared" si="111"/>
        <v>0.56316842404336032</v>
      </c>
      <c r="F310" s="101">
        <f t="shared" si="112"/>
        <v>7307.7969616616738</v>
      </c>
      <c r="G310" s="104">
        <f t="shared" si="113"/>
        <v>1.5706594866489036</v>
      </c>
      <c r="H310" s="113">
        <f t="shared" si="114"/>
        <v>913.47515901562349</v>
      </c>
      <c r="I310" s="114">
        <f t="shared" si="115"/>
        <v>1.5697016060574294</v>
      </c>
      <c r="J310" s="101">
        <f t="shared" si="116"/>
        <v>21.5167705239231</v>
      </c>
      <c r="K310" s="104">
        <f t="shared" si="117"/>
        <v>1.5243042037007599</v>
      </c>
      <c r="L310" s="102">
        <f t="shared" si="118"/>
        <v>1</v>
      </c>
      <c r="M310" s="103">
        <f t="shared" si="119"/>
        <v>7.0525613399850012E-10</v>
      </c>
      <c r="N310" s="101">
        <f t="shared" si="120"/>
        <v>1</v>
      </c>
      <c r="O310" s="104">
        <f t="shared" si="121"/>
        <v>1.1284098143976001E-10</v>
      </c>
      <c r="P310" s="105">
        <f t="shared" ca="1" si="122"/>
        <v>1.5560236129699201</v>
      </c>
      <c r="Q310" s="106">
        <f t="shared" ca="1" si="123"/>
        <v>0.91058051733475776</v>
      </c>
      <c r="R310" s="107">
        <f t="shared" ca="1" si="124"/>
        <v>-35.703725620342844</v>
      </c>
      <c r="S310" s="108">
        <f t="shared" ca="1" si="125"/>
        <v>-197.24406805516844</v>
      </c>
      <c r="T310" s="116">
        <f t="shared" ca="1" si="126"/>
        <v>-17.244068055168441</v>
      </c>
      <c r="V310" s="72">
        <f t="shared" ca="1" si="127"/>
        <v>21380</v>
      </c>
      <c r="W310" s="72">
        <f t="shared" si="128"/>
        <v>457104400</v>
      </c>
      <c r="Y310" s="110">
        <f t="shared" si="129"/>
        <v>19.365063273749104</v>
      </c>
      <c r="Z310" s="111">
        <f t="shared" si="130"/>
        <v>-87.391080147188205</v>
      </c>
      <c r="AA310" s="72">
        <f t="shared" si="131"/>
        <v>92.608919852811795</v>
      </c>
      <c r="AB310" s="110">
        <f t="shared" ca="1" si="132"/>
        <v>-39.151188547210445</v>
      </c>
      <c r="AC310" s="111">
        <f t="shared" ca="1" si="133"/>
        <v>-109.85298790798021</v>
      </c>
      <c r="AD310" s="72">
        <f t="shared" ca="1" si="134"/>
        <v>70.147012092019793</v>
      </c>
    </row>
    <row r="311" spans="1:30">
      <c r="A311" s="118">
        <v>21504.5</v>
      </c>
      <c r="B311" s="101">
        <f t="shared" ca="1" si="108"/>
        <v>1102.7674804399689</v>
      </c>
      <c r="C311" s="102">
        <f t="shared" ca="1" si="109"/>
        <v>1.569889517195604</v>
      </c>
      <c r="D311" s="102">
        <f t="shared" si="110"/>
        <v>1.184604124834209</v>
      </c>
      <c r="E311" s="103">
        <f t="shared" si="111"/>
        <v>0.56579278030455948</v>
      </c>
      <c r="F311" s="101">
        <f t="shared" si="112"/>
        <v>7350.3517186653971</v>
      </c>
      <c r="G311" s="104">
        <f t="shared" si="113"/>
        <v>1.5706602788829926</v>
      </c>
      <c r="H311" s="113">
        <f t="shared" si="114"/>
        <v>918.79450052166987</v>
      </c>
      <c r="I311" s="114">
        <f t="shared" si="115"/>
        <v>1.5697079439227073</v>
      </c>
      <c r="J311" s="101">
        <f t="shared" si="116"/>
        <v>21.641797112298473</v>
      </c>
      <c r="K311" s="104">
        <f t="shared" si="117"/>
        <v>1.5245729848445557</v>
      </c>
      <c r="L311" s="102">
        <f t="shared" si="118"/>
        <v>1</v>
      </c>
      <c r="M311" s="103">
        <f t="shared" si="119"/>
        <v>7.0936298099021259E-10</v>
      </c>
      <c r="N311" s="101">
        <f t="shared" si="120"/>
        <v>1</v>
      </c>
      <c r="O311" s="104">
        <f t="shared" si="121"/>
        <v>1.1349807695843401E-10</v>
      </c>
      <c r="P311" s="105">
        <f t="shared" ca="1" si="122"/>
        <v>1.5613565701849781</v>
      </c>
      <c r="Q311" s="106">
        <f t="shared" ca="1" si="123"/>
        <v>0.91366180527611807</v>
      </c>
      <c r="R311" s="107">
        <f t="shared" ca="1" si="124"/>
        <v>-35.819767580055959</v>
      </c>
      <c r="S311" s="108">
        <f t="shared" ca="1" si="125"/>
        <v>-197.28563314779367</v>
      </c>
      <c r="T311" s="116">
        <f t="shared" ca="1" si="126"/>
        <v>-17.285633147793675</v>
      </c>
      <c r="V311" s="72">
        <f t="shared" ca="1" si="127"/>
        <v>21504.5</v>
      </c>
      <c r="W311" s="72">
        <f t="shared" si="128"/>
        <v>462443520.25</v>
      </c>
      <c r="Y311" s="110">
        <f t="shared" si="129"/>
        <v>19.314738551580056</v>
      </c>
      <c r="Z311" s="111">
        <f t="shared" si="130"/>
        <v>-87.406162430898135</v>
      </c>
      <c r="AA311" s="72">
        <f t="shared" si="131"/>
        <v>92.593837569101865</v>
      </c>
      <c r="AB311" s="110">
        <f t="shared" ca="1" si="132"/>
        <v>-39.216905784754509</v>
      </c>
      <c r="AC311" s="111">
        <f t="shared" ca="1" si="133"/>
        <v>-109.87947071689553</v>
      </c>
      <c r="AD311" s="72">
        <f t="shared" ca="1" si="134"/>
        <v>70.120529283104474</v>
      </c>
    </row>
    <row r="312" spans="1:30">
      <c r="A312" s="118">
        <v>21629</v>
      </c>
      <c r="B312" s="101">
        <f t="shared" ca="1" si="108"/>
        <v>1109.1519320078698</v>
      </c>
      <c r="C312" s="102">
        <f t="shared" ca="1" si="109"/>
        <v>1.5698947369345544</v>
      </c>
      <c r="D312" s="102">
        <f t="shared" si="110"/>
        <v>1.186579157933416</v>
      </c>
      <c r="E312" s="103">
        <f t="shared" si="111"/>
        <v>0.56840841817191035</v>
      </c>
      <c r="F312" s="101">
        <f t="shared" si="112"/>
        <v>7392.9064756736798</v>
      </c>
      <c r="G312" s="104">
        <f t="shared" si="113"/>
        <v>1.5706610619966281</v>
      </c>
      <c r="H312" s="113">
        <f t="shared" si="114"/>
        <v>924.11384206419802</v>
      </c>
      <c r="I312" s="114">
        <f t="shared" si="115"/>
        <v>1.5697142088245288</v>
      </c>
      <c r="J312" s="101">
        <f t="shared" si="116"/>
        <v>21.766825246187786</v>
      </c>
      <c r="K312" s="104">
        <f t="shared" si="117"/>
        <v>1.5248386782621861</v>
      </c>
      <c r="L312" s="102">
        <f t="shared" si="118"/>
        <v>1</v>
      </c>
      <c r="M312" s="103">
        <f t="shared" si="119"/>
        <v>7.1346982798192507E-10</v>
      </c>
      <c r="N312" s="101">
        <f t="shared" si="120"/>
        <v>1</v>
      </c>
      <c r="O312" s="104">
        <f t="shared" si="121"/>
        <v>1.1415517247710801E-10</v>
      </c>
      <c r="P312" s="105">
        <f t="shared" ca="1" si="122"/>
        <v>1.5667023642956643</v>
      </c>
      <c r="Q312" s="106">
        <f t="shared" ca="1" si="123"/>
        <v>0.91672365752362461</v>
      </c>
      <c r="R312" s="107">
        <f t="shared" ca="1" si="124"/>
        <v>-35.935163380143223</v>
      </c>
      <c r="S312" s="108">
        <f t="shared" ca="1" si="125"/>
        <v>-197.32640744554294</v>
      </c>
      <c r="T312" s="116">
        <f t="shared" ca="1" si="126"/>
        <v>-17.326407445542941</v>
      </c>
      <c r="V312" s="72">
        <f t="shared" ca="1" si="127"/>
        <v>21629</v>
      </c>
      <c r="W312" s="72">
        <f t="shared" si="128"/>
        <v>467813641</v>
      </c>
      <c r="Y312" s="110">
        <f t="shared" si="129"/>
        <v>19.264703108001548</v>
      </c>
      <c r="Z312" s="111">
        <f t="shared" si="130"/>
        <v>-87.421071458864915</v>
      </c>
      <c r="AA312" s="72">
        <f t="shared" si="131"/>
        <v>92.578928541135085</v>
      </c>
      <c r="AB312" s="110">
        <f t="shared" ca="1" si="132"/>
        <v>-39.282266141263264</v>
      </c>
      <c r="AC312" s="111">
        <f t="shared" ca="1" si="133"/>
        <v>-109.90533598667807</v>
      </c>
      <c r="AD312" s="72">
        <f t="shared" ca="1" si="134"/>
        <v>70.094664013321932</v>
      </c>
    </row>
    <row r="313" spans="1:30">
      <c r="A313" s="118">
        <v>21753.5</v>
      </c>
      <c r="B313" s="101">
        <f t="shared" ca="1" si="108"/>
        <v>1115.5363836056445</v>
      </c>
      <c r="C313" s="102">
        <f t="shared" ca="1" si="109"/>
        <v>1.5698998969261559</v>
      </c>
      <c r="D313" s="102">
        <f t="shared" si="110"/>
        <v>1.1885622820749848</v>
      </c>
      <c r="E313" s="103">
        <f t="shared" si="111"/>
        <v>0.57101534540658105</v>
      </c>
      <c r="F313" s="101">
        <f t="shared" si="112"/>
        <v>7435.4612326864453</v>
      </c>
      <c r="G313" s="104">
        <f t="shared" si="113"/>
        <v>1.5706618361464055</v>
      </c>
      <c r="H313" s="113">
        <f t="shared" si="114"/>
        <v>929.43318364258164</v>
      </c>
      <c r="I313" s="114">
        <f t="shared" si="115"/>
        <v>1.5697204020156494</v>
      </c>
      <c r="J313" s="101">
        <f t="shared" si="116"/>
        <v>21.89185489911096</v>
      </c>
      <c r="K313" s="104">
        <f t="shared" si="117"/>
        <v>1.5251013368200559</v>
      </c>
      <c r="L313" s="102">
        <f t="shared" si="118"/>
        <v>1</v>
      </c>
      <c r="M313" s="103">
        <f t="shared" si="119"/>
        <v>7.1757667497363754E-10</v>
      </c>
      <c r="N313" s="101">
        <f t="shared" si="120"/>
        <v>1</v>
      </c>
      <c r="O313" s="104">
        <f t="shared" si="121"/>
        <v>1.1481226799578201E-10</v>
      </c>
      <c r="P313" s="105">
        <f t="shared" ca="1" si="122"/>
        <v>1.5720608675232735</v>
      </c>
      <c r="Q313" s="106">
        <f t="shared" ca="1" si="123"/>
        <v>0.91976622627574012</v>
      </c>
      <c r="R313" s="107">
        <f t="shared" ca="1" si="124"/>
        <v>-36.049919432696896</v>
      </c>
      <c r="S313" s="108">
        <f t="shared" ca="1" si="125"/>
        <v>-197.36640225008333</v>
      </c>
      <c r="T313" s="116">
        <f t="shared" ca="1" si="126"/>
        <v>-17.366402250083325</v>
      </c>
      <c r="V313" s="72">
        <f t="shared" ca="1" si="127"/>
        <v>21753.5</v>
      </c>
      <c r="W313" s="72">
        <f t="shared" si="128"/>
        <v>473214762.25</v>
      </c>
      <c r="Y313" s="110">
        <f t="shared" si="129"/>
        <v>19.214953643321721</v>
      </c>
      <c r="Z313" s="111">
        <f t="shared" si="130"/>
        <v>-87.435810197305017</v>
      </c>
      <c r="AA313" s="72">
        <f t="shared" si="131"/>
        <v>92.564189802694983</v>
      </c>
      <c r="AB313" s="110">
        <f t="shared" ca="1" si="132"/>
        <v>-39.347272729137117</v>
      </c>
      <c r="AC313" s="111">
        <f t="shared" ca="1" si="133"/>
        <v>-109.93059205277827</v>
      </c>
      <c r="AD313" s="72">
        <f t="shared" ca="1" si="134"/>
        <v>70.069407947221734</v>
      </c>
    </row>
    <row r="314" spans="1:30">
      <c r="A314" s="118">
        <v>21878</v>
      </c>
      <c r="B314" s="101">
        <f t="shared" ca="1" si="108"/>
        <v>1121.9208352327828</v>
      </c>
      <c r="C314" s="102">
        <f t="shared" ca="1" si="109"/>
        <v>1.5699049981904112</v>
      </c>
      <c r="D314" s="102">
        <f t="shared" si="110"/>
        <v>1.1905534568267755</v>
      </c>
      <c r="E314" s="103">
        <f t="shared" si="111"/>
        <v>0.57361357019171644</v>
      </c>
      <c r="F314" s="101">
        <f t="shared" si="112"/>
        <v>7478.0159897036156</v>
      </c>
      <c r="G314" s="104">
        <f t="shared" si="113"/>
        <v>1.5706626014853551</v>
      </c>
      <c r="H314" s="113">
        <f t="shared" si="114"/>
        <v>934.7525252562084</v>
      </c>
      <c r="I314" s="114">
        <f t="shared" si="115"/>
        <v>1.5697265247203078</v>
      </c>
      <c r="J314" s="101">
        <f t="shared" si="116"/>
        <v>22.016886045189089</v>
      </c>
      <c r="K314" s="104">
        <f t="shared" si="117"/>
        <v>1.52536101218538</v>
      </c>
      <c r="L314" s="102">
        <f t="shared" si="118"/>
        <v>1</v>
      </c>
      <c r="M314" s="103">
        <f t="shared" si="119"/>
        <v>7.2168352196535012E-10</v>
      </c>
      <c r="N314" s="101">
        <f t="shared" si="120"/>
        <v>1</v>
      </c>
      <c r="O314" s="104">
        <f t="shared" si="121"/>
        <v>1.15469363514456E-10</v>
      </c>
      <c r="P314" s="105">
        <f t="shared" ca="1" si="122"/>
        <v>1.5774319535343684</v>
      </c>
      <c r="Q314" s="106">
        <f t="shared" ca="1" si="123"/>
        <v>0.9227896628962744</v>
      </c>
      <c r="R314" s="107">
        <f t="shared" ca="1" si="124"/>
        <v>-36.164042052159814</v>
      </c>
      <c r="S314" s="108">
        <f t="shared" ca="1" si="125"/>
        <v>-197.405628722442</v>
      </c>
      <c r="T314" s="116">
        <f t="shared" ca="1" si="126"/>
        <v>-17.405628722442003</v>
      </c>
      <c r="V314" s="72">
        <f t="shared" ca="1" si="127"/>
        <v>21878</v>
      </c>
      <c r="W314" s="72">
        <f t="shared" si="128"/>
        <v>478646884</v>
      </c>
      <c r="Y314" s="110">
        <f t="shared" si="129"/>
        <v>19.165486913867539</v>
      </c>
      <c r="Z314" s="111">
        <f t="shared" si="130"/>
        <v>-87.450381545156205</v>
      </c>
      <c r="AA314" s="72">
        <f t="shared" si="131"/>
        <v>92.549618454843795</v>
      </c>
      <c r="AB314" s="110">
        <f t="shared" ca="1" si="132"/>
        <v>-39.411928619145854</v>
      </c>
      <c r="AC314" s="111">
        <f t="shared" ca="1" si="133"/>
        <v>-109.95524717728583</v>
      </c>
      <c r="AD314" s="72">
        <f t="shared" ca="1" si="134"/>
        <v>70.044752822714173</v>
      </c>
    </row>
    <row r="315" spans="1:30">
      <c r="A315" s="118">
        <v>22005.25</v>
      </c>
      <c r="B315" s="101">
        <f t="shared" ca="1" si="108"/>
        <v>1128.4463089136386</v>
      </c>
      <c r="C315" s="102">
        <f t="shared" ca="1" si="109"/>
        <v>1.5699101524833807</v>
      </c>
      <c r="D315" s="102">
        <f t="shared" si="110"/>
        <v>1.1925968906836042</v>
      </c>
      <c r="E315" s="103">
        <f t="shared" si="111"/>
        <v>0.5762602015308631</v>
      </c>
      <c r="F315" s="101">
        <f t="shared" si="112"/>
        <v>7521.5107112376882</v>
      </c>
      <c r="G315" s="104">
        <f t="shared" si="113"/>
        <v>1.5706633747801568</v>
      </c>
      <c r="H315" s="113">
        <f t="shared" si="114"/>
        <v>940.18936240312178</v>
      </c>
      <c r="I315" s="114">
        <f t="shared" si="115"/>
        <v>1.5697327110717934</v>
      </c>
      <c r="J315" s="101">
        <f t="shared" si="116"/>
        <v>22.144680440072619</v>
      </c>
      <c r="K315" s="104">
        <f t="shared" si="117"/>
        <v>1.5256233931560226</v>
      </c>
      <c r="L315" s="102">
        <f t="shared" si="118"/>
        <v>1</v>
      </c>
      <c r="M315" s="103">
        <f t="shared" si="119"/>
        <v>7.2588108244483129E-10</v>
      </c>
      <c r="N315" s="101">
        <f t="shared" si="120"/>
        <v>1</v>
      </c>
      <c r="O315" s="104">
        <f t="shared" si="121"/>
        <v>1.1614097319117301E-10</v>
      </c>
      <c r="P315" s="105">
        <f t="shared" ca="1" si="122"/>
        <v>1.5829345507304595</v>
      </c>
      <c r="Q315" s="106">
        <f t="shared" ca="1" si="123"/>
        <v>0.92586026823921674</v>
      </c>
      <c r="R315" s="107">
        <f t="shared" ca="1" si="124"/>
        <v>-36.280037350863125</v>
      </c>
      <c r="S315" s="108">
        <f t="shared" ca="1" si="125"/>
        <v>-197.44493913949933</v>
      </c>
      <c r="T315" s="116">
        <f t="shared" ca="1" si="126"/>
        <v>-17.444939139499326</v>
      </c>
      <c r="V315" s="72">
        <f t="shared" ca="1" si="127"/>
        <v>22005.25</v>
      </c>
      <c r="W315" s="72">
        <f t="shared" si="128"/>
        <v>484231027.5625</v>
      </c>
      <c r="Y315" s="110">
        <f t="shared" si="129"/>
        <v>19.115216398441667</v>
      </c>
      <c r="Z315" s="111">
        <f t="shared" si="130"/>
        <v>-87.465104721911118</v>
      </c>
      <c r="AA315" s="72">
        <f t="shared" si="131"/>
        <v>92.534895278088882</v>
      </c>
      <c r="AB315" s="110">
        <f t="shared" ca="1" si="132"/>
        <v>-39.477653402423286</v>
      </c>
      <c r="AC315" s="111">
        <f t="shared" ca="1" si="133"/>
        <v>-109.97983441758821</v>
      </c>
      <c r="AD315" s="72">
        <f t="shared" ca="1" si="134"/>
        <v>70.020165582411792</v>
      </c>
    </row>
    <row r="316" spans="1:30">
      <c r="A316" s="118">
        <v>22132.5</v>
      </c>
      <c r="B316" s="101">
        <f t="shared" ca="1" si="108"/>
        <v>1134.9717826241288</v>
      </c>
      <c r="C316" s="102">
        <f t="shared" ca="1" si="109"/>
        <v>1.5699152475075584</v>
      </c>
      <c r="D316" s="102">
        <f t="shared" si="110"/>
        <v>1.1946486496611133</v>
      </c>
      <c r="E316" s="103">
        <f t="shared" si="111"/>
        <v>0.57889776033569185</v>
      </c>
      <c r="F316" s="101">
        <f t="shared" si="112"/>
        <v>7565.0054327762073</v>
      </c>
      <c r="G316" s="104">
        <f t="shared" si="113"/>
        <v>1.5706641391828984</v>
      </c>
      <c r="H316" s="113">
        <f t="shared" si="114"/>
        <v>945.62619958560333</v>
      </c>
      <c r="I316" s="114">
        <f t="shared" si="115"/>
        <v>1.5697388262869552</v>
      </c>
      <c r="J316" s="101">
        <f t="shared" si="116"/>
        <v>22.272476341984724</v>
      </c>
      <c r="K316" s="104">
        <f t="shared" si="117"/>
        <v>1.5258827631443816</v>
      </c>
      <c r="L316" s="102">
        <f t="shared" si="118"/>
        <v>1</v>
      </c>
      <c r="M316" s="103">
        <f t="shared" si="119"/>
        <v>7.3007864292431256E-10</v>
      </c>
      <c r="N316" s="101">
        <f t="shared" si="120"/>
        <v>1</v>
      </c>
      <c r="O316" s="104">
        <f t="shared" si="121"/>
        <v>1.1681258286789001E-10</v>
      </c>
      <c r="P316" s="105">
        <f t="shared" ca="1" si="122"/>
        <v>1.5884500304049638</v>
      </c>
      <c r="Q316" s="106">
        <f t="shared" ca="1" si="123"/>
        <v>0.92891120394243099</v>
      </c>
      <c r="R316" s="107">
        <f t="shared" ca="1" si="124"/>
        <v>-36.395383960412161</v>
      </c>
      <c r="S316" s="108">
        <f t="shared" ca="1" si="125"/>
        <v>-197.48347004104556</v>
      </c>
      <c r="T316" s="116">
        <f t="shared" ca="1" si="126"/>
        <v>-17.483470041045564</v>
      </c>
      <c r="V316" s="72">
        <f t="shared" ca="1" si="127"/>
        <v>22132.5</v>
      </c>
      <c r="W316" s="72">
        <f t="shared" si="128"/>
        <v>489847556.25</v>
      </c>
      <c r="Y316" s="110">
        <f t="shared" si="129"/>
        <v>19.065234568215299</v>
      </c>
      <c r="Z316" s="111">
        <f t="shared" si="130"/>
        <v>-87.479658948422411</v>
      </c>
      <c r="AA316" s="72">
        <f t="shared" si="131"/>
        <v>92.520341051577589</v>
      </c>
      <c r="AB316" s="110">
        <f t="shared" ca="1" si="132"/>
        <v>-39.543018181745964</v>
      </c>
      <c r="AC316" s="111">
        <f t="shared" ca="1" si="133"/>
        <v>-110.00381109262322</v>
      </c>
      <c r="AD316" s="72">
        <f t="shared" ca="1" si="134"/>
        <v>69.996188907376776</v>
      </c>
    </row>
    <row r="317" spans="1:30">
      <c r="A317" s="118">
        <v>22259.75</v>
      </c>
      <c r="B317" s="101">
        <f t="shared" ca="1" si="108"/>
        <v>1141.4972563637452</v>
      </c>
      <c r="C317" s="102">
        <f t="shared" ca="1" si="109"/>
        <v>1.5699202842793902</v>
      </c>
      <c r="D317" s="102">
        <f t="shared" si="110"/>
        <v>1.1967086909390054</v>
      </c>
      <c r="E317" s="103">
        <f t="shared" si="111"/>
        <v>0.58152625666769919</v>
      </c>
      <c r="F317" s="101">
        <f t="shared" si="112"/>
        <v>7608.5001543190956</v>
      </c>
      <c r="G317" s="104">
        <f t="shared" si="113"/>
        <v>1.5706648948460766</v>
      </c>
      <c r="H317" s="113">
        <f t="shared" si="114"/>
        <v>951.06303680304313</v>
      </c>
      <c r="I317" s="114">
        <f t="shared" si="115"/>
        <v>1.5697448715857643</v>
      </c>
      <c r="J317" s="101">
        <f t="shared" si="116"/>
        <v>22.400273725132134</v>
      </c>
      <c r="K317" s="104">
        <f t="shared" si="117"/>
        <v>1.5261391736497611</v>
      </c>
      <c r="L317" s="102">
        <f t="shared" si="118"/>
        <v>1</v>
      </c>
      <c r="M317" s="103">
        <f t="shared" si="119"/>
        <v>7.3427620340379383E-10</v>
      </c>
      <c r="N317" s="101">
        <f t="shared" si="120"/>
        <v>1</v>
      </c>
      <c r="O317" s="104">
        <f t="shared" si="121"/>
        <v>1.1748419254460701E-10</v>
      </c>
      <c r="P317" s="105">
        <f t="shared" ca="1" si="122"/>
        <v>1.5939782622534846</v>
      </c>
      <c r="Q317" s="106">
        <f t="shared" ca="1" si="123"/>
        <v>0.93194262884087786</v>
      </c>
      <c r="R317" s="107">
        <f t="shared" ca="1" si="124"/>
        <v>-36.510088320861087</v>
      </c>
      <c r="S317" s="108">
        <f t="shared" ca="1" si="125"/>
        <v>-197.52123289894158</v>
      </c>
      <c r="T317" s="116">
        <f t="shared" ca="1" si="126"/>
        <v>-17.521232898941577</v>
      </c>
      <c r="V317" s="72">
        <f t="shared" ca="1" si="127"/>
        <v>22259.75</v>
      </c>
      <c r="W317" s="72">
        <f t="shared" si="128"/>
        <v>495496470.0625</v>
      </c>
      <c r="Y317" s="110">
        <f t="shared" si="129"/>
        <v>19.015538133142485</v>
      </c>
      <c r="Z317" s="111">
        <f t="shared" si="130"/>
        <v>-87.49404711422109</v>
      </c>
      <c r="AA317" s="72">
        <f t="shared" si="131"/>
        <v>92.50595288577891</v>
      </c>
      <c r="AB317" s="110">
        <f t="shared" ca="1" si="132"/>
        <v>-39.608026107122072</v>
      </c>
      <c r="AC317" s="111">
        <f t="shared" ca="1" si="133"/>
        <v>-110.02718578472049</v>
      </c>
      <c r="AD317" s="72">
        <f t="shared" ca="1" si="134"/>
        <v>69.972814215279513</v>
      </c>
    </row>
    <row r="318" spans="1:30">
      <c r="A318" s="118">
        <v>22387</v>
      </c>
      <c r="B318" s="101">
        <f t="shared" ca="1" si="108"/>
        <v>1148.0227301319912</v>
      </c>
      <c r="C318" s="102">
        <f t="shared" ca="1" si="109"/>
        <v>1.5699252637922125</v>
      </c>
      <c r="D318" s="102">
        <f t="shared" si="110"/>
        <v>1.198776971819062</v>
      </c>
      <c r="E318" s="103">
        <f t="shared" si="111"/>
        <v>0.58414570102025898</v>
      </c>
      <c r="F318" s="101">
        <f t="shared" si="112"/>
        <v>7651.9948758662795</v>
      </c>
      <c r="G318" s="104">
        <f t="shared" si="113"/>
        <v>1.5706656419187213</v>
      </c>
      <c r="H318" s="113">
        <f t="shared" si="114"/>
        <v>956.49987405484489</v>
      </c>
      <c r="I318" s="114">
        <f t="shared" si="115"/>
        <v>1.5697508481604545</v>
      </c>
      <c r="J318" s="101">
        <f t="shared" si="116"/>
        <v>22.528072564306569</v>
      </c>
      <c r="K318" s="104">
        <f t="shared" si="117"/>
        <v>1.5263926750044459</v>
      </c>
      <c r="L318" s="102">
        <f t="shared" si="118"/>
        <v>1</v>
      </c>
      <c r="M318" s="103">
        <f t="shared" si="119"/>
        <v>7.3847376388327511E-10</v>
      </c>
      <c r="N318" s="101">
        <f t="shared" si="120"/>
        <v>1</v>
      </c>
      <c r="O318" s="104">
        <f t="shared" si="121"/>
        <v>1.1815580222132401E-10</v>
      </c>
      <c r="P318" s="105">
        <f t="shared" ca="1" si="122"/>
        <v>1.5995191174856316</v>
      </c>
      <c r="Q318" s="106">
        <f t="shared" ca="1" si="123"/>
        <v>0.93495470080795484</v>
      </c>
      <c r="R318" s="107">
        <f t="shared" ca="1" si="124"/>
        <v>-36.624156774991874</v>
      </c>
      <c r="S318" s="108">
        <f t="shared" ca="1" si="125"/>
        <v>-197.55823903841082</v>
      </c>
      <c r="T318" s="116">
        <f t="shared" ca="1" si="126"/>
        <v>-17.558239038410818</v>
      </c>
      <c r="V318" s="72">
        <f t="shared" ca="1" si="127"/>
        <v>22387</v>
      </c>
      <c r="W318" s="72">
        <f t="shared" si="128"/>
        <v>501177769</v>
      </c>
      <c r="Y318" s="110">
        <f t="shared" si="129"/>
        <v>18.966123858989221</v>
      </c>
      <c r="Z318" s="111">
        <f t="shared" si="130"/>
        <v>-87.508272043363434</v>
      </c>
      <c r="AA318" s="72">
        <f t="shared" si="131"/>
        <v>92.491727956636566</v>
      </c>
      <c r="AB318" s="110">
        <f t="shared" ca="1" si="132"/>
        <v>-39.672680287099588</v>
      </c>
      <c r="AC318" s="111">
        <f t="shared" ca="1" si="133"/>
        <v>-110.0499669950474</v>
      </c>
      <c r="AD318" s="72">
        <f t="shared" ca="1" si="134"/>
        <v>69.950033004952601</v>
      </c>
    </row>
    <row r="319" spans="1:30">
      <c r="A319" s="118">
        <v>22517.5</v>
      </c>
      <c r="B319" s="101">
        <f t="shared" ca="1" si="108"/>
        <v>1154.7148663243313</v>
      </c>
      <c r="C319" s="102">
        <f t="shared" ca="1" si="109"/>
        <v>1.5699303120286885</v>
      </c>
      <c r="D319" s="102">
        <f t="shared" si="110"/>
        <v>1.2009065905189771</v>
      </c>
      <c r="E319" s="103">
        <f t="shared" si="111"/>
        <v>0.58682265642450193</v>
      </c>
      <c r="F319" s="101">
        <f t="shared" si="112"/>
        <v>7696.6004645693474</v>
      </c>
      <c r="G319" s="104">
        <f t="shared" si="113"/>
        <v>1.5706663993019188</v>
      </c>
      <c r="H319" s="113">
        <f t="shared" si="114"/>
        <v>962.07556966053448</v>
      </c>
      <c r="I319" s="114">
        <f t="shared" si="115"/>
        <v>1.5697569072195525</v>
      </c>
      <c r="J319" s="101">
        <f t="shared" si="116"/>
        <v>22.659136907461459</v>
      </c>
      <c r="K319" s="104">
        <f t="shared" si="117"/>
        <v>1.5266496808297445</v>
      </c>
      <c r="L319" s="102">
        <f t="shared" si="118"/>
        <v>1</v>
      </c>
      <c r="M319" s="103">
        <f t="shared" si="119"/>
        <v>7.4277853121193753E-10</v>
      </c>
      <c r="N319" s="101">
        <f t="shared" si="120"/>
        <v>1</v>
      </c>
      <c r="O319" s="104">
        <f t="shared" si="121"/>
        <v>1.1884456499391E-10</v>
      </c>
      <c r="P319" s="105">
        <f t="shared" ca="1" si="122"/>
        <v>1.6052144654661862</v>
      </c>
      <c r="Q319" s="106">
        <f t="shared" ca="1" si="123"/>
        <v>0.93802376560330125</v>
      </c>
      <c r="R319" s="107">
        <f t="shared" ca="1" si="124"/>
        <v>-36.740484636954235</v>
      </c>
      <c r="S319" s="108">
        <f t="shared" ca="1" si="125"/>
        <v>-197.59541607955427</v>
      </c>
      <c r="T319" s="116">
        <f t="shared" ca="1" si="126"/>
        <v>-17.595416079554269</v>
      </c>
      <c r="V319" s="72">
        <f t="shared" ca="1" si="127"/>
        <v>22517.5</v>
      </c>
      <c r="W319" s="72">
        <f t="shared" si="128"/>
        <v>507037806.25</v>
      </c>
      <c r="Y319" s="110">
        <f t="shared" si="129"/>
        <v>18.915737263047067</v>
      </c>
      <c r="Z319" s="111">
        <f t="shared" si="130"/>
        <v>-87.522693628619152</v>
      </c>
      <c r="AA319" s="72">
        <f t="shared" si="131"/>
        <v>92.477306371380848</v>
      </c>
      <c r="AB319" s="110">
        <f t="shared" ca="1" si="132"/>
        <v>-39.738621553119799</v>
      </c>
      <c r="AC319" s="111">
        <f t="shared" ca="1" si="133"/>
        <v>-110.0727224509351</v>
      </c>
      <c r="AD319" s="72">
        <f t="shared" ca="1" si="134"/>
        <v>69.927277549064897</v>
      </c>
    </row>
    <row r="320" spans="1:30">
      <c r="A320" s="118">
        <v>22648</v>
      </c>
      <c r="B320" s="101">
        <f t="shared" ca="1" si="108"/>
        <v>1161.4070025457595</v>
      </c>
      <c r="C320" s="102">
        <f t="shared" ca="1" si="109"/>
        <v>1.5699353020883393</v>
      </c>
      <c r="D320" s="102">
        <f t="shared" si="110"/>
        <v>1.2030447845201524</v>
      </c>
      <c r="E320" s="103">
        <f t="shared" si="111"/>
        <v>0.58949011528167794</v>
      </c>
      <c r="F320" s="101">
        <f t="shared" si="112"/>
        <v>7741.20605327678</v>
      </c>
      <c r="G320" s="104">
        <f t="shared" si="113"/>
        <v>1.5706671479568837</v>
      </c>
      <c r="H320" s="113">
        <f t="shared" si="114"/>
        <v>967.65126530113707</v>
      </c>
      <c r="I320" s="114">
        <f t="shared" si="115"/>
        <v>1.5697628964529384</v>
      </c>
      <c r="J320" s="101">
        <f t="shared" si="116"/>
        <v>22.790202730082918</v>
      </c>
      <c r="K320" s="104">
        <f t="shared" si="117"/>
        <v>1.5269037306049436</v>
      </c>
      <c r="L320" s="102">
        <f t="shared" si="118"/>
        <v>1</v>
      </c>
      <c r="M320" s="103">
        <f t="shared" si="119"/>
        <v>7.4708329854060006E-10</v>
      </c>
      <c r="N320" s="101">
        <f t="shared" si="120"/>
        <v>1</v>
      </c>
      <c r="O320" s="104">
        <f t="shared" si="121"/>
        <v>1.1953332776649599E-10</v>
      </c>
      <c r="P320" s="105">
        <f t="shared" ca="1" si="122"/>
        <v>1.6109228203255326</v>
      </c>
      <c r="Q320" s="106">
        <f t="shared" ca="1" si="123"/>
        <v>0.94107280945752458</v>
      </c>
      <c r="R320" s="107">
        <f t="shared" ca="1" si="124"/>
        <v>-36.85615690298944</v>
      </c>
      <c r="S320" s="108">
        <f t="shared" ca="1" si="125"/>
        <v>-197.63182091548194</v>
      </c>
      <c r="T320" s="116">
        <f t="shared" ca="1" si="126"/>
        <v>-17.631820915481939</v>
      </c>
      <c r="V320" s="72">
        <f t="shared" ca="1" si="127"/>
        <v>22648</v>
      </c>
      <c r="W320" s="72">
        <f t="shared" si="128"/>
        <v>512931904</v>
      </c>
      <c r="Y320" s="110">
        <f t="shared" si="129"/>
        <v>18.865640709760303</v>
      </c>
      <c r="Z320" s="111">
        <f t="shared" si="130"/>
        <v>-87.536949345307676</v>
      </c>
      <c r="AA320" s="72">
        <f t="shared" si="131"/>
        <v>92.463050654692324</v>
      </c>
      <c r="AB320" s="110">
        <f t="shared" ca="1" si="132"/>
        <v>-39.804197265868233</v>
      </c>
      <c r="AC320" s="111">
        <f t="shared" ca="1" si="133"/>
        <v>-110.09487157017426</v>
      </c>
      <c r="AD320" s="72">
        <f t="shared" ca="1" si="134"/>
        <v>69.905128429825737</v>
      </c>
    </row>
    <row r="321" spans="1:30">
      <c r="A321" s="118">
        <v>22778.5</v>
      </c>
      <c r="B321" s="101">
        <f t="shared" ca="1" si="108"/>
        <v>1168.0991387957763</v>
      </c>
      <c r="C321" s="102">
        <f t="shared" ca="1" si="109"/>
        <v>1.5699402349710641</v>
      </c>
      <c r="D321" s="102">
        <f t="shared" si="110"/>
        <v>1.2051915081809021</v>
      </c>
      <c r="E321" s="103">
        <f t="shared" si="111"/>
        <v>0.5921480902780264</v>
      </c>
      <c r="F321" s="101">
        <f t="shared" si="112"/>
        <v>7785.8116419885018</v>
      </c>
      <c r="G321" s="104">
        <f t="shared" si="113"/>
        <v>1.5706678880336304</v>
      </c>
      <c r="H321" s="113">
        <f t="shared" si="114"/>
        <v>973.2269609760524</v>
      </c>
      <c r="I321" s="114">
        <f t="shared" si="115"/>
        <v>1.5697688170607234</v>
      </c>
      <c r="J321" s="101">
        <f t="shared" si="116"/>
        <v>22.921270006791797</v>
      </c>
      <c r="K321" s="104">
        <f t="shared" si="117"/>
        <v>1.527154875006385</v>
      </c>
      <c r="L321" s="102">
        <f t="shared" si="118"/>
        <v>1</v>
      </c>
      <c r="M321" s="103">
        <f t="shared" si="119"/>
        <v>7.5138806586926259E-10</v>
      </c>
      <c r="N321" s="101">
        <f t="shared" si="120"/>
        <v>1</v>
      </c>
      <c r="O321" s="104">
        <f t="shared" si="121"/>
        <v>1.2022209053908201E-10</v>
      </c>
      <c r="P321" s="105">
        <f t="shared" ca="1" si="122"/>
        <v>1.6166440480075974</v>
      </c>
      <c r="Q321" s="106">
        <f t="shared" ca="1" si="123"/>
        <v>0.94410199943242445</v>
      </c>
      <c r="R321" s="107">
        <f t="shared" ca="1" si="124"/>
        <v>-36.971180109725388</v>
      </c>
      <c r="S321" s="108">
        <f t="shared" ca="1" si="125"/>
        <v>-197.66746529192633</v>
      </c>
      <c r="T321" s="116">
        <f t="shared" ca="1" si="126"/>
        <v>-17.667465291926334</v>
      </c>
      <c r="V321" s="72">
        <f t="shared" ca="1" si="127"/>
        <v>22778.5</v>
      </c>
      <c r="W321" s="72">
        <f t="shared" si="128"/>
        <v>518860062.25</v>
      </c>
      <c r="Y321" s="110">
        <f t="shared" si="129"/>
        <v>18.815830885461846</v>
      </c>
      <c r="Z321" s="111">
        <f t="shared" si="130"/>
        <v>-87.551042036803423</v>
      </c>
      <c r="AA321" s="72">
        <f t="shared" si="131"/>
        <v>92.448957963196577</v>
      </c>
      <c r="AB321" s="110">
        <f t="shared" ca="1" si="132"/>
        <v>-39.869410648305731</v>
      </c>
      <c r="AC321" s="111">
        <f t="shared" ca="1" si="133"/>
        <v>-110.1164232551229</v>
      </c>
      <c r="AD321" s="72">
        <f t="shared" ca="1" si="134"/>
        <v>69.883576744877104</v>
      </c>
    </row>
    <row r="322" spans="1:30">
      <c r="A322" s="118">
        <v>22909</v>
      </c>
      <c r="B322" s="101">
        <f t="shared" ca="1" si="108"/>
        <v>1174.7912750738931</v>
      </c>
      <c r="C322" s="102">
        <f t="shared" ca="1" si="109"/>
        <v>1.5699451116539787</v>
      </c>
      <c r="D322" s="102">
        <f t="shared" si="110"/>
        <v>1.207346716002726</v>
      </c>
      <c r="E322" s="103">
        <f t="shared" si="111"/>
        <v>0.59479659454575229</v>
      </c>
      <c r="F322" s="101">
        <f t="shared" si="112"/>
        <v>7830.4172307044391</v>
      </c>
      <c r="G322" s="104">
        <f t="shared" si="113"/>
        <v>1.5706686196787552</v>
      </c>
      <c r="H322" s="113">
        <f t="shared" si="114"/>
        <v>978.80265668469417</v>
      </c>
      <c r="I322" s="114">
        <f t="shared" si="115"/>
        <v>1.5697746702156727</v>
      </c>
      <c r="J322" s="101">
        <f t="shared" si="116"/>
        <v>23.052338712785843</v>
      </c>
      <c r="K322" s="104">
        <f t="shared" si="117"/>
        <v>1.5274031635593746</v>
      </c>
      <c r="L322" s="102">
        <f t="shared" si="118"/>
        <v>1</v>
      </c>
      <c r="M322" s="103">
        <f t="shared" si="119"/>
        <v>7.5569283319792512E-10</v>
      </c>
      <c r="N322" s="101">
        <f t="shared" si="120"/>
        <v>1</v>
      </c>
      <c r="O322" s="104">
        <f t="shared" si="121"/>
        <v>1.20910853311668E-10</v>
      </c>
      <c r="P322" s="105">
        <f t="shared" ca="1" si="122"/>
        <v>1.6223780160601675</v>
      </c>
      <c r="Q322" s="106">
        <f t="shared" ca="1" si="123"/>
        <v>0.94711150148262557</v>
      </c>
      <c r="R322" s="107">
        <f t="shared" ca="1" si="124"/>
        <v>-37.085560695499296</v>
      </c>
      <c r="S322" s="108">
        <f t="shared" ca="1" si="125"/>
        <v>-197.70236079974754</v>
      </c>
      <c r="T322" s="116">
        <f t="shared" ca="1" si="126"/>
        <v>-17.702360799747538</v>
      </c>
      <c r="V322" s="72">
        <f t="shared" ca="1" si="127"/>
        <v>22909</v>
      </c>
      <c r="W322" s="72">
        <f t="shared" si="128"/>
        <v>524822281</v>
      </c>
      <c r="Y322" s="110">
        <f t="shared" si="129"/>
        <v>18.766304532840309</v>
      </c>
      <c r="Z322" s="111">
        <f t="shared" si="130"/>
        <v>-87.564974481902169</v>
      </c>
      <c r="AA322" s="72">
        <f t="shared" si="131"/>
        <v>92.435025518097831</v>
      </c>
      <c r="AB322" s="110">
        <f t="shared" ca="1" si="132"/>
        <v>-39.934264881458105</v>
      </c>
      <c r="AC322" s="111">
        <f t="shared" ca="1" si="133"/>
        <v>-110.13738631784528</v>
      </c>
      <c r="AD322" s="72">
        <f t="shared" ca="1" si="134"/>
        <v>69.862613682154716</v>
      </c>
    </row>
    <row r="323" spans="1:30">
      <c r="A323" s="118">
        <v>23042.25</v>
      </c>
      <c r="B323" s="101">
        <f t="shared" ca="1" si="108"/>
        <v>1181.6244334093574</v>
      </c>
      <c r="C323" s="102">
        <f t="shared" ca="1" si="109"/>
        <v>1.5699500341057016</v>
      </c>
      <c r="D323" s="102">
        <f t="shared" si="110"/>
        <v>1.209556047178709</v>
      </c>
      <c r="E323" s="103">
        <f t="shared" si="111"/>
        <v>0.59749115211548975</v>
      </c>
      <c r="F323" s="101">
        <f t="shared" si="112"/>
        <v>7875.9627839378236</v>
      </c>
      <c r="G323" s="104">
        <f t="shared" si="113"/>
        <v>1.5706693581905342</v>
      </c>
      <c r="H323" s="113">
        <f t="shared" si="114"/>
        <v>984.49584793097927</v>
      </c>
      <c r="I323" s="114">
        <f t="shared" si="115"/>
        <v>1.5697805783038703</v>
      </c>
      <c r="J323" s="101">
        <f t="shared" si="116"/>
        <v>23.186170852600913</v>
      </c>
      <c r="K323" s="104">
        <f t="shared" si="117"/>
        <v>1.527653787785461</v>
      </c>
      <c r="L323" s="102">
        <f t="shared" si="118"/>
        <v>1</v>
      </c>
      <c r="M323" s="103">
        <f t="shared" si="119"/>
        <v>7.6008831401435634E-10</v>
      </c>
      <c r="N323" s="101">
        <f t="shared" si="120"/>
        <v>1</v>
      </c>
      <c r="O323" s="104">
        <f t="shared" si="121"/>
        <v>1.21614130242297E-10</v>
      </c>
      <c r="P323" s="105">
        <f t="shared" ca="1" si="122"/>
        <v>1.6282458247976308</v>
      </c>
      <c r="Q323" s="106">
        <f t="shared" ca="1" si="123"/>
        <v>0.95016427881693288</v>
      </c>
      <c r="R323" s="107">
        <f t="shared" ca="1" si="124"/>
        <v>-37.201695113314017</v>
      </c>
      <c r="S323" s="108">
        <f t="shared" ca="1" si="125"/>
        <v>-197.73723083142016</v>
      </c>
      <c r="T323" s="116">
        <f t="shared" ca="1" si="126"/>
        <v>-17.737230831420163</v>
      </c>
      <c r="V323" s="72">
        <f t="shared" ca="1" si="127"/>
        <v>23042.25</v>
      </c>
      <c r="W323" s="72">
        <f t="shared" si="128"/>
        <v>530945285.0625</v>
      </c>
      <c r="Y323" s="110">
        <f t="shared" si="129"/>
        <v>18.716023689307335</v>
      </c>
      <c r="Z323" s="111">
        <f t="shared" si="130"/>
        <v>-87.579037997194575</v>
      </c>
      <c r="AA323" s="72">
        <f t="shared" si="131"/>
        <v>92.420962002805425</v>
      </c>
      <c r="AB323" s="110">
        <f t="shared" ca="1" si="132"/>
        <v>-40.000118455739859</v>
      </c>
      <c r="AC323" s="111">
        <f t="shared" ca="1" si="133"/>
        <v>-110.15819283422566</v>
      </c>
      <c r="AD323" s="72">
        <f t="shared" ca="1" si="134"/>
        <v>69.841807165774341</v>
      </c>
    </row>
    <row r="324" spans="1:30">
      <c r="A324" s="118">
        <v>23175.5</v>
      </c>
      <c r="B324" s="101">
        <f t="shared" ca="1" si="108"/>
        <v>1188.4575917731238</v>
      </c>
      <c r="C324" s="102">
        <f t="shared" ca="1" si="109"/>
        <v>1.5699548999531463</v>
      </c>
      <c r="D324" s="102">
        <f t="shared" si="110"/>
        <v>1.2117741284455998</v>
      </c>
      <c r="E324" s="103">
        <f t="shared" si="111"/>
        <v>0.60017586466036066</v>
      </c>
      <c r="F324" s="101">
        <f t="shared" si="112"/>
        <v>7921.5083371754536</v>
      </c>
      <c r="G324" s="104">
        <f t="shared" si="113"/>
        <v>1.5706700882100095</v>
      </c>
      <c r="H324" s="113">
        <f t="shared" si="114"/>
        <v>990.18903921123365</v>
      </c>
      <c r="I324" s="114">
        <f t="shared" si="115"/>
        <v>1.5697864184537758</v>
      </c>
      <c r="J324" s="101">
        <f t="shared" si="116"/>
        <v>23.320004432081173</v>
      </c>
      <c r="K324" s="104">
        <f t="shared" si="117"/>
        <v>1.5279015353605021</v>
      </c>
      <c r="L324" s="102">
        <f t="shared" si="118"/>
        <v>1</v>
      </c>
      <c r="M324" s="103">
        <f t="shared" si="119"/>
        <v>7.6448379483078757E-10</v>
      </c>
      <c r="N324" s="101">
        <f t="shared" si="120"/>
        <v>1</v>
      </c>
      <c r="O324" s="104">
        <f t="shared" si="121"/>
        <v>1.2231740717292602E-10</v>
      </c>
      <c r="P324" s="105">
        <f t="shared" ca="1" si="122"/>
        <v>1.6341266424519987</v>
      </c>
      <c r="Q324" s="106">
        <f t="shared" ca="1" si="123"/>
        <v>0.95319687584992308</v>
      </c>
      <c r="R324" s="107">
        <f t="shared" ca="1" si="124"/>
        <v>-37.317172803741066</v>
      </c>
      <c r="S324" s="108">
        <f t="shared" ca="1" si="125"/>
        <v>-197.77134403822529</v>
      </c>
      <c r="T324" s="116">
        <f t="shared" ca="1" si="126"/>
        <v>-17.771344038225294</v>
      </c>
      <c r="V324" s="72">
        <f t="shared" ca="1" si="127"/>
        <v>23175.5</v>
      </c>
      <c r="W324" s="72">
        <f t="shared" si="128"/>
        <v>537103800.25</v>
      </c>
      <c r="Y324" s="110">
        <f t="shared" si="129"/>
        <v>18.666031700968773</v>
      </c>
      <c r="Z324" s="111">
        <f t="shared" si="130"/>
        <v>-87.59294009852691</v>
      </c>
      <c r="AA324" s="72">
        <f t="shared" si="131"/>
        <v>92.40705990147309</v>
      </c>
      <c r="AB324" s="110">
        <f t="shared" ca="1" si="132"/>
        <v>-40.065604157828332</v>
      </c>
      <c r="AC324" s="111">
        <f t="shared" ca="1" si="133"/>
        <v>-110.17840393969838</v>
      </c>
      <c r="AD324" s="72">
        <f t="shared" ca="1" si="134"/>
        <v>69.821596060301616</v>
      </c>
    </row>
    <row r="325" spans="1:30">
      <c r="A325" s="118">
        <v>23308.75</v>
      </c>
      <c r="B325" s="101">
        <f t="shared" ca="1" si="108"/>
        <v>1195.2907501647069</v>
      </c>
      <c r="C325" s="102">
        <f t="shared" ca="1" si="109"/>
        <v>1.5699597101670872</v>
      </c>
      <c r="D325" s="102">
        <f t="shared" si="110"/>
        <v>1.2140009118419539</v>
      </c>
      <c r="E325" s="103">
        <f t="shared" si="111"/>
        <v>0.60285074754833556</v>
      </c>
      <c r="F325" s="101">
        <f t="shared" si="112"/>
        <v>7967.0538904172563</v>
      </c>
      <c r="G325" s="104">
        <f t="shared" si="113"/>
        <v>1.5706708098828259</v>
      </c>
      <c r="H325" s="113">
        <f t="shared" si="114"/>
        <v>995.88223052487444</v>
      </c>
      <c r="I325" s="114">
        <f t="shared" si="115"/>
        <v>1.5697921918305437</v>
      </c>
      <c r="J325" s="101">
        <f t="shared" si="116"/>
        <v>23.453839426581336</v>
      </c>
      <c r="K325" s="104">
        <f t="shared" si="117"/>
        <v>1.5281464554990518</v>
      </c>
      <c r="L325" s="102">
        <f t="shared" si="118"/>
        <v>1</v>
      </c>
      <c r="M325" s="103">
        <f t="shared" si="119"/>
        <v>7.688792756472188E-10</v>
      </c>
      <c r="N325" s="101">
        <f t="shared" si="120"/>
        <v>1</v>
      </c>
      <c r="O325" s="104">
        <f t="shared" si="121"/>
        <v>1.2302068410355501E-10</v>
      </c>
      <c r="P325" s="105">
        <f t="shared" ca="1" si="122"/>
        <v>1.6400203330808583</v>
      </c>
      <c r="Q325" s="106">
        <f t="shared" ca="1" si="123"/>
        <v>0.956209465621633</v>
      </c>
      <c r="R325" s="107">
        <f t="shared" ca="1" si="124"/>
        <v>-37.432000317472983</v>
      </c>
      <c r="S325" s="108">
        <f t="shared" ca="1" si="125"/>
        <v>-197.80471227110073</v>
      </c>
      <c r="T325" s="116">
        <f t="shared" ca="1" si="126"/>
        <v>-17.804712271100726</v>
      </c>
      <c r="V325" s="72">
        <f t="shared" ca="1" si="127"/>
        <v>23308.75</v>
      </c>
      <c r="W325" s="72">
        <f t="shared" si="128"/>
        <v>543297826.5625</v>
      </c>
      <c r="Y325" s="110">
        <f t="shared" si="129"/>
        <v>18.616325273996882</v>
      </c>
      <c r="Z325" s="111">
        <f t="shared" si="130"/>
        <v>-87.60668354727197</v>
      </c>
      <c r="AA325" s="72">
        <f t="shared" si="131"/>
        <v>92.39331645272803</v>
      </c>
      <c r="AB325" s="110">
        <f t="shared" ca="1" si="132"/>
        <v>-40.130725244588362</v>
      </c>
      <c r="AC325" s="111">
        <f t="shared" ca="1" si="133"/>
        <v>-110.19802872382873</v>
      </c>
      <c r="AD325" s="72">
        <f t="shared" ca="1" si="134"/>
        <v>69.801971276171273</v>
      </c>
    </row>
    <row r="326" spans="1:30">
      <c r="A326" s="118">
        <v>23442</v>
      </c>
      <c r="B326" s="101">
        <f t="shared" ca="1" si="108"/>
        <v>1202.1239085836326</v>
      </c>
      <c r="C326" s="102">
        <f t="shared" ca="1" si="109"/>
        <v>1.5699644656962264</v>
      </c>
      <c r="D326" s="102">
        <f t="shared" si="110"/>
        <v>1.2162363495700954</v>
      </c>
      <c r="E326" s="103">
        <f t="shared" si="111"/>
        <v>0.60551581659770659</v>
      </c>
      <c r="F326" s="101">
        <f t="shared" si="112"/>
        <v>8012.5994436631627</v>
      </c>
      <c r="G326" s="104">
        <f t="shared" si="113"/>
        <v>1.5706715233513167</v>
      </c>
      <c r="H326" s="113">
        <f t="shared" si="114"/>
        <v>1001.5754218713325</v>
      </c>
      <c r="I326" s="114">
        <f t="shared" si="115"/>
        <v>1.5697978995728363</v>
      </c>
      <c r="J326" s="101">
        <f t="shared" si="116"/>
        <v>23.587675812015195</v>
      </c>
      <c r="K326" s="104">
        <f t="shared" si="117"/>
        <v>1.5283885963000667</v>
      </c>
      <c r="L326" s="102">
        <f t="shared" si="118"/>
        <v>1</v>
      </c>
      <c r="M326" s="103">
        <f t="shared" si="119"/>
        <v>7.7327475646365013E-10</v>
      </c>
      <c r="N326" s="101">
        <f t="shared" si="120"/>
        <v>1</v>
      </c>
      <c r="O326" s="104">
        <f t="shared" si="121"/>
        <v>1.2372396103418401E-10</v>
      </c>
      <c r="P326" s="105">
        <f t="shared" ca="1" si="122"/>
        <v>1.645926762407717</v>
      </c>
      <c r="Q326" s="106">
        <f t="shared" ca="1" si="123"/>
        <v>0.95920221993393628</v>
      </c>
      <c r="R326" s="107">
        <f t="shared" ca="1" si="124"/>
        <v>-37.546184107515153</v>
      </c>
      <c r="S326" s="108">
        <f t="shared" ca="1" si="125"/>
        <v>-197.83734722038562</v>
      </c>
      <c r="T326" s="116">
        <f t="shared" ca="1" si="126"/>
        <v>-17.837347220385624</v>
      </c>
      <c r="V326" s="72">
        <f t="shared" ca="1" si="127"/>
        <v>23442</v>
      </c>
      <c r="W326" s="72">
        <f t="shared" si="128"/>
        <v>549527364</v>
      </c>
      <c r="Y326" s="110">
        <f t="shared" si="129"/>
        <v>18.566901170481248</v>
      </c>
      <c r="Z326" s="111">
        <f t="shared" si="130"/>
        <v>-87.620271042211456</v>
      </c>
      <c r="AA326" s="72">
        <f t="shared" si="131"/>
        <v>92.379728957788544</v>
      </c>
      <c r="AB326" s="110">
        <f t="shared" ca="1" si="132"/>
        <v>-40.195484931114891</v>
      </c>
      <c r="AC326" s="111">
        <f t="shared" ca="1" si="133"/>
        <v>-110.21707617817415</v>
      </c>
      <c r="AD326" s="72">
        <f t="shared" ca="1" si="134"/>
        <v>69.782923821825847</v>
      </c>
    </row>
    <row r="327" spans="1:30">
      <c r="A327" s="118">
        <v>23578.5</v>
      </c>
      <c r="B327" s="101">
        <f t="shared" ca="1" si="108"/>
        <v>1209.123729430886</v>
      </c>
      <c r="C327" s="102">
        <f t="shared" ca="1" si="109"/>
        <v>1.5699692814812864</v>
      </c>
      <c r="D327" s="102">
        <f t="shared" si="110"/>
        <v>1.2185352339082272</v>
      </c>
      <c r="E327" s="103">
        <f t="shared" si="111"/>
        <v>0.60823572853030539</v>
      </c>
      <c r="F327" s="101">
        <f t="shared" si="112"/>
        <v>8059.255864065588</v>
      </c>
      <c r="G327" s="104">
        <f t="shared" si="113"/>
        <v>1.5706722458599527</v>
      </c>
      <c r="H327" s="113">
        <f t="shared" si="114"/>
        <v>1007.4074715767601</v>
      </c>
      <c r="I327" s="114">
        <f t="shared" si="115"/>
        <v>1.5698036796362851</v>
      </c>
      <c r="J327" s="101">
        <f t="shared" si="116"/>
        <v>23.72477791716177</v>
      </c>
      <c r="K327" s="104">
        <f t="shared" si="117"/>
        <v>1.5286338102653563</v>
      </c>
      <c r="L327" s="102">
        <f t="shared" si="118"/>
        <v>1</v>
      </c>
      <c r="M327" s="103">
        <f t="shared" si="119"/>
        <v>7.7777744412926261E-10</v>
      </c>
      <c r="N327" s="101">
        <f t="shared" si="120"/>
        <v>1</v>
      </c>
      <c r="O327" s="104">
        <f t="shared" si="121"/>
        <v>1.2444439106068202E-10</v>
      </c>
      <c r="P327" s="105">
        <f t="shared" ca="1" si="122"/>
        <v>1.6519903208940898</v>
      </c>
      <c r="Q327" s="106">
        <f t="shared" ca="1" si="123"/>
        <v>0.96224757948437833</v>
      </c>
      <c r="R327" s="107">
        <f t="shared" ca="1" si="124"/>
        <v>-37.662492046954441</v>
      </c>
      <c r="S327" s="108">
        <f t="shared" ca="1" si="125"/>
        <v>-197.8700298680636</v>
      </c>
      <c r="T327" s="116">
        <f t="shared" ca="1" si="126"/>
        <v>-17.870029868063597</v>
      </c>
      <c r="V327" s="72">
        <f t="shared" ca="1" si="127"/>
        <v>23578.5</v>
      </c>
      <c r="W327" s="72">
        <f t="shared" si="128"/>
        <v>555945662.25</v>
      </c>
      <c r="Y327" s="110">
        <f t="shared" si="129"/>
        <v>18.516561010215199</v>
      </c>
      <c r="Z327" s="111">
        <f t="shared" si="130"/>
        <v>-87.6340309907538</v>
      </c>
      <c r="AA327" s="72">
        <f t="shared" si="131"/>
        <v>92.3659690092462</v>
      </c>
      <c r="AB327" s="110">
        <f t="shared" ca="1" si="132"/>
        <v>-40.261452710288133</v>
      </c>
      <c r="AC327" s="111">
        <f t="shared" ca="1" si="133"/>
        <v>-110.23599887730978</v>
      </c>
      <c r="AD327" s="72">
        <f t="shared" ca="1" si="134"/>
        <v>69.764001122690217</v>
      </c>
    </row>
    <row r="328" spans="1:30">
      <c r="A328" s="118">
        <v>23715</v>
      </c>
      <c r="B328" s="101">
        <f t="shared" ca="1" si="108"/>
        <v>1216.1235503058583</v>
      </c>
      <c r="C328" s="102">
        <f t="shared" ca="1" si="109"/>
        <v>1.5699740418285044</v>
      </c>
      <c r="D328" s="102">
        <f t="shared" si="110"/>
        <v>1.2208430988852115</v>
      </c>
      <c r="E328" s="103">
        <f t="shared" si="111"/>
        <v>0.6109453770775698</v>
      </c>
      <c r="F328" s="101">
        <f t="shared" si="112"/>
        <v>8105.9122844721724</v>
      </c>
      <c r="G328" s="104">
        <f t="shared" si="113"/>
        <v>1.570672960051285</v>
      </c>
      <c r="H328" s="113">
        <f t="shared" si="114"/>
        <v>1013.2395213154568</v>
      </c>
      <c r="I328" s="114">
        <f t="shared" si="115"/>
        <v>1.5698093931614341</v>
      </c>
      <c r="J328" s="101">
        <f t="shared" si="116"/>
        <v>23.861881432483418</v>
      </c>
      <c r="K328" s="104">
        <f t="shared" si="117"/>
        <v>1.52887620638709</v>
      </c>
      <c r="L328" s="102">
        <f t="shared" si="118"/>
        <v>1</v>
      </c>
      <c r="M328" s="103">
        <f t="shared" si="119"/>
        <v>7.8228013179487509E-10</v>
      </c>
      <c r="N328" s="101">
        <f t="shared" si="120"/>
        <v>1</v>
      </c>
      <c r="O328" s="104">
        <f t="shared" si="121"/>
        <v>1.2516482108718E-10</v>
      </c>
      <c r="P328" s="105">
        <f t="shared" ca="1" si="122"/>
        <v>1.6580669670822823</v>
      </c>
      <c r="Q328" s="106">
        <f t="shared" ca="1" si="123"/>
        <v>0.9652724851473915</v>
      </c>
      <c r="R328" s="107">
        <f t="shared" ca="1" si="124"/>
        <v>-37.778137881968597</v>
      </c>
      <c r="S328" s="108">
        <f t="shared" ca="1" si="125"/>
        <v>-197.9019673518994</v>
      </c>
      <c r="T328" s="116">
        <f t="shared" ca="1" si="126"/>
        <v>-17.901967351899401</v>
      </c>
      <c r="V328" s="72">
        <f t="shared" ca="1" si="127"/>
        <v>23715</v>
      </c>
      <c r="W328" s="72">
        <f t="shared" si="128"/>
        <v>562401225</v>
      </c>
      <c r="Y328" s="110">
        <f t="shared" si="129"/>
        <v>18.466510409271958</v>
      </c>
      <c r="Z328" s="111">
        <f t="shared" si="130"/>
        <v>-87.647632824570209</v>
      </c>
      <c r="AA328" s="72">
        <f t="shared" si="131"/>
        <v>92.352367175429791</v>
      </c>
      <c r="AB328" s="110">
        <f t="shared" ca="1" si="132"/>
        <v>-40.327047944359052</v>
      </c>
      <c r="AC328" s="111">
        <f t="shared" ca="1" si="133"/>
        <v>-110.25433452732921</v>
      </c>
      <c r="AD328" s="72">
        <f t="shared" ca="1" si="134"/>
        <v>69.745665472670794</v>
      </c>
    </row>
    <row r="329" spans="1:30">
      <c r="A329" s="118">
        <v>23851.5</v>
      </c>
      <c r="B329" s="101">
        <f t="shared" ca="1" si="108"/>
        <v>1223.1233712080739</v>
      </c>
      <c r="C329" s="102">
        <f t="shared" ca="1" si="109"/>
        <v>1.5699787476896767</v>
      </c>
      <c r="D329" s="102">
        <f t="shared" si="110"/>
        <v>1.2231598936668895</v>
      </c>
      <c r="E329" s="103">
        <f t="shared" si="111"/>
        <v>0.61364478065755179</v>
      </c>
      <c r="F329" s="101">
        <f t="shared" si="112"/>
        <v>8152.568704882844</v>
      </c>
      <c r="G329" s="104">
        <f t="shared" si="113"/>
        <v>1.5706736660681113</v>
      </c>
      <c r="H329" s="113">
        <f t="shared" si="114"/>
        <v>1019.0715710868516</v>
      </c>
      <c r="I329" s="114">
        <f t="shared" si="115"/>
        <v>1.5698150412906602</v>
      </c>
      <c r="J329" s="101">
        <f t="shared" si="116"/>
        <v>23.998986333811619</v>
      </c>
      <c r="K329" s="104">
        <f t="shared" si="117"/>
        <v>1.5291158329310968</v>
      </c>
      <c r="L329" s="102">
        <f t="shared" si="118"/>
        <v>1</v>
      </c>
      <c r="M329" s="103">
        <f t="shared" si="119"/>
        <v>7.8678281946048757E-10</v>
      </c>
      <c r="N329" s="101">
        <f t="shared" si="120"/>
        <v>1</v>
      </c>
      <c r="O329" s="104">
        <f t="shared" si="121"/>
        <v>1.2588525111367801E-10</v>
      </c>
      <c r="P329" s="105">
        <f t="shared" ca="1" si="122"/>
        <v>1.6641565619402483</v>
      </c>
      <c r="Q329" s="106">
        <f t="shared" ca="1" si="123"/>
        <v>0.96827711752173196</v>
      </c>
      <c r="R329" s="107">
        <f t="shared" ca="1" si="124"/>
        <v>-37.893128244306617</v>
      </c>
      <c r="S329" s="108">
        <f t="shared" ca="1" si="125"/>
        <v>-197.93317172685363</v>
      </c>
      <c r="T329" s="116">
        <f t="shared" ca="1" si="126"/>
        <v>-17.933171726853629</v>
      </c>
      <c r="V329" s="72">
        <f t="shared" ca="1" si="127"/>
        <v>23851.5</v>
      </c>
      <c r="W329" s="72">
        <f t="shared" si="128"/>
        <v>568894052.25</v>
      </c>
      <c r="Y329" s="110">
        <f t="shared" si="129"/>
        <v>18.416746061393845</v>
      </c>
      <c r="Z329" s="111">
        <f t="shared" si="130"/>
        <v>-87.661079251817384</v>
      </c>
      <c r="AA329" s="72">
        <f t="shared" si="131"/>
        <v>92.338920748182616</v>
      </c>
      <c r="AB329" s="110">
        <f t="shared" ca="1" si="132"/>
        <v>-40.392273958818954</v>
      </c>
      <c r="AC329" s="111">
        <f t="shared" ca="1" si="133"/>
        <v>-110.27209247503625</v>
      </c>
      <c r="AD329" s="72">
        <f t="shared" ca="1" si="134"/>
        <v>69.727907524963754</v>
      </c>
    </row>
    <row r="330" spans="1:30">
      <c r="A330" s="118">
        <v>23988</v>
      </c>
      <c r="B330" s="101">
        <f t="shared" ca="1" si="108"/>
        <v>1230.1231921370675</v>
      </c>
      <c r="C330" s="102">
        <f t="shared" ca="1" si="109"/>
        <v>1.5699833999949357</v>
      </c>
      <c r="D330" s="102">
        <f t="shared" si="110"/>
        <v>1.2254855676075624</v>
      </c>
      <c r="E330" s="103">
        <f t="shared" si="111"/>
        <v>0.61633395814651593</v>
      </c>
      <c r="F330" s="101">
        <f t="shared" si="112"/>
        <v>8199.2251252975329</v>
      </c>
      <c r="G330" s="104">
        <f t="shared" si="113"/>
        <v>1.570674364049979</v>
      </c>
      <c r="H330" s="113">
        <f t="shared" si="114"/>
        <v>1024.903620890386</v>
      </c>
      <c r="I330" s="114">
        <f t="shared" si="115"/>
        <v>1.5698206251403382</v>
      </c>
      <c r="J330" s="101">
        <f t="shared" si="116"/>
        <v>24.13609259752678</v>
      </c>
      <c r="K330" s="104">
        <f t="shared" si="117"/>
        <v>1.5293527370677882</v>
      </c>
      <c r="L330" s="102">
        <f t="shared" si="118"/>
        <v>1</v>
      </c>
      <c r="M330" s="103">
        <f t="shared" si="119"/>
        <v>7.9128550712610005E-10</v>
      </c>
      <c r="N330" s="101">
        <f t="shared" si="120"/>
        <v>1</v>
      </c>
      <c r="O330" s="104">
        <f t="shared" si="121"/>
        <v>1.2660568114017601E-10</v>
      </c>
      <c r="P330" s="105">
        <f t="shared" ca="1" si="122"/>
        <v>1.6702589681851507</v>
      </c>
      <c r="Q330" s="106">
        <f t="shared" ca="1" si="123"/>
        <v>0.97126165581738244</v>
      </c>
      <c r="R330" s="107">
        <f t="shared" ca="1" si="124"/>
        <v>-38.007469667267408</v>
      </c>
      <c r="S330" s="108">
        <f t="shared" ca="1" si="125"/>
        <v>-197.96365487936163</v>
      </c>
      <c r="T330" s="116">
        <f t="shared" ca="1" si="126"/>
        <v>-17.963654879361627</v>
      </c>
      <c r="V330" s="72">
        <f t="shared" ca="1" si="127"/>
        <v>23988</v>
      </c>
      <c r="W330" s="72">
        <f t="shared" si="128"/>
        <v>575424144</v>
      </c>
      <c r="Y330" s="110">
        <f t="shared" si="129"/>
        <v>18.367264716530606</v>
      </c>
      <c r="Z330" s="111">
        <f t="shared" si="130"/>
        <v>-87.67437291919272</v>
      </c>
      <c r="AA330" s="72">
        <f t="shared" si="131"/>
        <v>92.32562708080728</v>
      </c>
      <c r="AB330" s="110">
        <f t="shared" ca="1" si="132"/>
        <v>-40.4571340369165</v>
      </c>
      <c r="AC330" s="111">
        <f t="shared" ca="1" si="133"/>
        <v>-110.28928196016895</v>
      </c>
      <c r="AD330" s="72">
        <f t="shared" ca="1" si="134"/>
        <v>69.71071803983105</v>
      </c>
    </row>
    <row r="331" spans="1:30">
      <c r="A331" s="118">
        <v>24127.75</v>
      </c>
      <c r="B331" s="101">
        <f t="shared" ca="1" si="108"/>
        <v>1237.2896754963995</v>
      </c>
      <c r="C331" s="102">
        <f t="shared" ca="1" si="109"/>
        <v>1.5699881085347158</v>
      </c>
      <c r="D331" s="102">
        <f t="shared" si="110"/>
        <v>1.2278757608405986</v>
      </c>
      <c r="E331" s="103">
        <f t="shared" si="111"/>
        <v>0.61907658964625933</v>
      </c>
      <c r="F331" s="101">
        <f t="shared" si="112"/>
        <v>8246.9924128690436</v>
      </c>
      <c r="G331" s="104">
        <f t="shared" si="113"/>
        <v>1.5706750704686643</v>
      </c>
      <c r="H331" s="113">
        <f t="shared" si="114"/>
        <v>1030.8745290553034</v>
      </c>
      <c r="I331" s="114">
        <f t="shared" si="115"/>
        <v>1.5698262764845554</v>
      </c>
      <c r="J331" s="101">
        <f t="shared" si="116"/>
        <v>24.276464683418297</v>
      </c>
      <c r="K331" s="104">
        <f t="shared" si="117"/>
        <v>1.529592509509569</v>
      </c>
      <c r="L331" s="102">
        <f t="shared" si="118"/>
        <v>1</v>
      </c>
      <c r="M331" s="103">
        <f t="shared" si="119"/>
        <v>7.9589540164089379E-10</v>
      </c>
      <c r="N331" s="101">
        <f t="shared" si="120"/>
        <v>1</v>
      </c>
      <c r="O331" s="104">
        <f t="shared" si="121"/>
        <v>1.2734326426254301E-10</v>
      </c>
      <c r="P331" s="105">
        <f t="shared" ca="1" si="122"/>
        <v>1.6765198008462079</v>
      </c>
      <c r="Q331" s="106">
        <f t="shared" ca="1" si="123"/>
        <v>0.97429662279981499</v>
      </c>
      <c r="R331" s="107">
        <f t="shared" ca="1" si="124"/>
        <v>-38.123867926379098</v>
      </c>
      <c r="S331" s="108">
        <f t="shared" ca="1" si="125"/>
        <v>-197.99412887358628</v>
      </c>
      <c r="T331" s="116">
        <f t="shared" ca="1" si="126"/>
        <v>-17.994128873586277</v>
      </c>
      <c r="V331" s="72">
        <f t="shared" ca="1" si="127"/>
        <v>24127.75</v>
      </c>
      <c r="W331" s="72">
        <f t="shared" si="128"/>
        <v>582148320.0625</v>
      </c>
      <c r="Y331" s="110">
        <f t="shared" si="129"/>
        <v>18.31689509883082</v>
      </c>
      <c r="Z331" s="111">
        <f t="shared" si="130"/>
        <v>-87.687827544580813</v>
      </c>
      <c r="AA331" s="72">
        <f t="shared" si="131"/>
        <v>92.312172455419187</v>
      </c>
      <c r="AB331" s="110">
        <f t="shared" ca="1" si="132"/>
        <v>-40.523162678328404</v>
      </c>
      <c r="AC331" s="111">
        <f t="shared" ca="1" si="133"/>
        <v>-110.30630132900548</v>
      </c>
      <c r="AD331" s="72">
        <f t="shared" ca="1" si="134"/>
        <v>69.693698670994522</v>
      </c>
    </row>
    <row r="332" spans="1:30">
      <c r="A332" s="118">
        <v>24267.5</v>
      </c>
      <c r="B332" s="101">
        <f t="shared" ca="1" si="108"/>
        <v>1244.4561588828465</v>
      </c>
      <c r="C332" s="102">
        <f t="shared" ca="1" si="109"/>
        <v>1.5699927628441048</v>
      </c>
      <c r="D332" s="102">
        <f t="shared" si="110"/>
        <v>1.230275154260422</v>
      </c>
      <c r="E332" s="103">
        <f t="shared" si="111"/>
        <v>0.62180854377523398</v>
      </c>
      <c r="F332" s="101">
        <f t="shared" si="112"/>
        <v>8294.7597004446234</v>
      </c>
      <c r="G332" s="104">
        <f t="shared" si="113"/>
        <v>1.5706757687511996</v>
      </c>
      <c r="H332" s="113">
        <f t="shared" si="114"/>
        <v>1036.8454372527651</v>
      </c>
      <c r="I332" s="114">
        <f t="shared" si="115"/>
        <v>1.5698318627396932</v>
      </c>
      <c r="J332" s="101">
        <f t="shared" si="116"/>
        <v>24.416838148936296</v>
      </c>
      <c r="K332" s="104">
        <f t="shared" si="117"/>
        <v>1.5298295250404328</v>
      </c>
      <c r="L332" s="102">
        <f t="shared" si="118"/>
        <v>1</v>
      </c>
      <c r="M332" s="103">
        <f t="shared" si="119"/>
        <v>8.0050529615568763E-10</v>
      </c>
      <c r="N332" s="101">
        <f t="shared" si="120"/>
        <v>1</v>
      </c>
      <c r="O332" s="104">
        <f t="shared" si="121"/>
        <v>1.2808084738491001E-10</v>
      </c>
      <c r="P332" s="105">
        <f t="shared" ca="1" si="122"/>
        <v>1.6827937765270273</v>
      </c>
      <c r="Q332" s="106">
        <f t="shared" ca="1" si="123"/>
        <v>0.9773109031363868</v>
      </c>
      <c r="R332" s="107">
        <f t="shared" ca="1" si="124"/>
        <v>-38.23959952861896</v>
      </c>
      <c r="S332" s="108">
        <f t="shared" ca="1" si="125"/>
        <v>-198.02387157522125</v>
      </c>
      <c r="T332" s="116">
        <f t="shared" ca="1" si="126"/>
        <v>-18.02387157522125</v>
      </c>
      <c r="V332" s="72">
        <f t="shared" ca="1" si="127"/>
        <v>24267.5</v>
      </c>
      <c r="W332" s="72">
        <f t="shared" si="128"/>
        <v>588911556.25</v>
      </c>
      <c r="Y332" s="110">
        <f t="shared" si="129"/>
        <v>18.266815401578317</v>
      </c>
      <c r="Z332" s="111">
        <f t="shared" si="130"/>
        <v>-87.70112747377118</v>
      </c>
      <c r="AA332" s="72">
        <f t="shared" si="131"/>
        <v>92.29887252622882</v>
      </c>
      <c r="AB332" s="110">
        <f t="shared" ca="1" si="132"/>
        <v>-40.588814583315767</v>
      </c>
      <c r="AC332" s="111">
        <f t="shared" ca="1" si="133"/>
        <v>-110.32274410145006</v>
      </c>
      <c r="AD332" s="72">
        <f t="shared" ca="1" si="134"/>
        <v>69.677255898549944</v>
      </c>
    </row>
    <row r="333" spans="1:30">
      <c r="A333" s="118">
        <v>24407.25</v>
      </c>
      <c r="B333" s="101">
        <f t="shared" ca="1" si="108"/>
        <v>1251.622642295943</v>
      </c>
      <c r="C333" s="102">
        <f t="shared" ca="1" si="109"/>
        <v>1.5699973638546323</v>
      </c>
      <c r="D333" s="102">
        <f t="shared" si="110"/>
        <v>1.2326836941431119</v>
      </c>
      <c r="E333" s="103">
        <f t="shared" si="111"/>
        <v>0.62452984222198682</v>
      </c>
      <c r="F333" s="101">
        <f t="shared" si="112"/>
        <v>8342.5269880241995</v>
      </c>
      <c r="G333" s="104">
        <f t="shared" si="113"/>
        <v>1.5706764590373419</v>
      </c>
      <c r="H333" s="113">
        <f t="shared" si="114"/>
        <v>1042.8163454822125</v>
      </c>
      <c r="I333" s="114">
        <f t="shared" si="115"/>
        <v>1.5698373850238034</v>
      </c>
      <c r="J333" s="101">
        <f t="shared" si="116"/>
        <v>24.557212970422199</v>
      </c>
      <c r="K333" s="104">
        <f t="shared" si="117"/>
        <v>1.5300638309109786</v>
      </c>
      <c r="L333" s="102">
        <f t="shared" si="118"/>
        <v>1</v>
      </c>
      <c r="M333" s="103">
        <f t="shared" si="119"/>
        <v>8.0511519067048136E-10</v>
      </c>
      <c r="N333" s="101">
        <f t="shared" si="120"/>
        <v>1</v>
      </c>
      <c r="O333" s="104">
        <f t="shared" si="121"/>
        <v>1.28818430507277E-10</v>
      </c>
      <c r="P333" s="105">
        <f t="shared" ca="1" si="122"/>
        <v>1.6890807534630643</v>
      </c>
      <c r="Q333" s="106">
        <f t="shared" ca="1" si="123"/>
        <v>0.98030468459468822</v>
      </c>
      <c r="R333" s="107">
        <f t="shared" ca="1" si="124"/>
        <v>-38.354671178209038</v>
      </c>
      <c r="S333" s="108">
        <f t="shared" ca="1" si="125"/>
        <v>-198.05289520447525</v>
      </c>
      <c r="T333" s="116">
        <f t="shared" ca="1" si="126"/>
        <v>-18.052895204475249</v>
      </c>
      <c r="V333" s="72">
        <f t="shared" ca="1" si="127"/>
        <v>24407.25</v>
      </c>
      <c r="W333" s="72">
        <f t="shared" si="128"/>
        <v>595713852.5625</v>
      </c>
      <c r="Y333" s="110">
        <f t="shared" si="129"/>
        <v>18.217022311950455</v>
      </c>
      <c r="Z333" s="111">
        <f t="shared" si="130"/>
        <v>-87.714275357971573</v>
      </c>
      <c r="AA333" s="72">
        <f t="shared" si="131"/>
        <v>92.285724642028427</v>
      </c>
      <c r="AB333" s="110">
        <f t="shared" ca="1" si="132"/>
        <v>-40.654093143277983</v>
      </c>
      <c r="AC333" s="111">
        <f t="shared" ca="1" si="133"/>
        <v>-110.33861984650366</v>
      </c>
      <c r="AD333" s="72">
        <f t="shared" ca="1" si="134"/>
        <v>69.661380153496339</v>
      </c>
    </row>
    <row r="334" spans="1:30">
      <c r="A334" s="118">
        <v>24547</v>
      </c>
      <c r="B334" s="101">
        <f t="shared" ref="B334:B397" ca="1" si="135">SQRT(1+(A334/Pole1)^2)</f>
        <v>1258.7891257352342</v>
      </c>
      <c r="C334" s="102">
        <f t="shared" ref="C334:C397" ca="1" si="136">ATAN(A334/Pole1)</f>
        <v>1.570001912476614</v>
      </c>
      <c r="D334" s="102">
        <f t="shared" ref="D334:D397" si="137">SQRT(1+(A334/Zero1)^2)</f>
        <v>1.2351013269798108</v>
      </c>
      <c r="E334" s="103">
        <f t="shared" ref="E334:E397" si="138">ATAN(A334/Zero1)</f>
        <v>0.62724050713749147</v>
      </c>
      <c r="F334" s="101">
        <f t="shared" ref="F334:F397" si="139">SQRT(1+(A334/Pole2)^2)</f>
        <v>8390.2942756077082</v>
      </c>
      <c r="G334" s="104">
        <f t="shared" ref="G334:G397" si="140">ATAN(A334/Pole2)</f>
        <v>1.5706771414636651</v>
      </c>
      <c r="H334" s="113">
        <f t="shared" ref="H334:H397" si="141">SQRT(1+(A334/Zero2)^2)</f>
        <v>1048.787253743099</v>
      </c>
      <c r="I334" s="114">
        <f t="shared" ref="I334:I397" si="142">ATAN(A334/Zero2)</f>
        <v>1.5698428444294765</v>
      </c>
      <c r="J334" s="101">
        <f t="shared" ref="J334:J397" si="143">SQRT(1+(A334/pole4)^2)</f>
        <v>24.697589124755073</v>
      </c>
      <c r="K334" s="104">
        <f t="shared" ref="K334:K397" si="144">ATAN(A334/pole4)</f>
        <v>1.5302954732987593</v>
      </c>
      <c r="L334" s="102">
        <f t="shared" ref="L334:L397" si="145">SQRT(1+(A334/Zerofeed)^2)</f>
        <v>1</v>
      </c>
      <c r="M334" s="103">
        <f t="shared" ref="M334:M397" si="146">ATAN(A334/Zerofeed)</f>
        <v>8.097250851852751E-10</v>
      </c>
      <c r="N334" s="101">
        <f t="shared" ref="N334:N397" si="147">SQRT(1+(A334/Polefeed)^2)</f>
        <v>1</v>
      </c>
      <c r="O334" s="104">
        <f t="shared" ref="O334:O397" si="148">ATAN(A334/Polefeed)</f>
        <v>1.29556013629644E-10</v>
      </c>
      <c r="P334" s="105">
        <f t="shared" ref="P334:P397" ca="1" si="149">SQRT((1-(W334/pterm2))^2+(A334/pterm1)^2)</f>
        <v>1.6953805917183009</v>
      </c>
      <c r="Q334" s="106">
        <f t="shared" ref="Q334:Q397" ca="1" si="150">IF((ATAN((A334/pterm1)/(1-A334^2/pterm2))&gt;0),ATAN((A334/pterm1)/(1-A334^2/pterm2)),PI()+ATAN((A334/pterm1)/(1-A334^2/pterm2)))</f>
        <v>0.98327815340152525</v>
      </c>
      <c r="R334" s="107">
        <f t="shared" ref="R334:R397" ca="1" si="151">20*LOG10(((D334*H334*L334)/(B334*F334*P334*J334*N334))*Adc)</f>
        <v>-38.469089480291416</v>
      </c>
      <c r="S334" s="108">
        <f t="shared" ref="S334:S397" ca="1" si="152">((E334+I334+M334)-(C334+G334+Q334+K334+O334))*radconv</f>
        <v>-198.08121180536145</v>
      </c>
      <c r="T334" s="116">
        <f t="shared" ref="T334:T397" ca="1" si="153">IF(S334&gt;0,S334,S334+180)</f>
        <v>-18.081211805361448</v>
      </c>
      <c r="V334" s="72">
        <f t="shared" ref="V334:V397" ca="1" si="154">IF(R334&lt;0,A334,1000000000)</f>
        <v>24547</v>
      </c>
      <c r="W334" s="72">
        <f t="shared" ref="W334:W397" si="155">A334^2</f>
        <v>602555209</v>
      </c>
      <c r="Y334" s="110">
        <f t="shared" ref="Y334:Y397" si="156">20*LOG10(((H334*L334)/(F334*J334*N334))*Aea)</f>
        <v>18.167512573489461</v>
      </c>
      <c r="Z334" s="111">
        <f t="shared" ref="Z334:Z397" si="157">(I334+M334-(G334+K334+O334))*radconv</f>
        <v>-87.727273788185158</v>
      </c>
      <c r="AA334" s="72">
        <f t="shared" ref="AA334:AA397" si="158">IF(Z334&gt;0,Z334,Z334+180)</f>
        <v>92.272726211814842</v>
      </c>
      <c r="AB334" s="110">
        <f t="shared" ref="AB334:AB397" ca="1" si="159">20*LOG10((D334/(B334*P334))*Acs*Am)</f>
        <v>-40.71900170689937</v>
      </c>
      <c r="AC334" s="111">
        <f t="shared" ref="AC334:AC397" ca="1" si="160">(E334-(C334+Q334))*radconv</f>
        <v>-110.35393801717628</v>
      </c>
      <c r="AD334" s="72">
        <f t="shared" ref="AD334:AD397" ca="1" si="161">IF(AC334&gt;0,AC334,AC334+180)</f>
        <v>69.646061982823724</v>
      </c>
    </row>
    <row r="335" spans="1:30">
      <c r="A335" s="118">
        <v>24690</v>
      </c>
      <c r="B335" s="101">
        <f t="shared" ca="1" si="135"/>
        <v>1266.1222716067412</v>
      </c>
      <c r="C335" s="102">
        <f t="shared" ca="1" si="136"/>
        <v>1.5700065135782801</v>
      </c>
      <c r="D335" s="102">
        <f t="shared" si="137"/>
        <v>1.2375845408532422</v>
      </c>
      <c r="E335" s="103">
        <f t="shared" si="138"/>
        <v>0.63000322701002553</v>
      </c>
      <c r="F335" s="101">
        <f t="shared" si="139"/>
        <v>8439.172430348317</v>
      </c>
      <c r="G335" s="104">
        <f t="shared" si="140"/>
        <v>1.5706778317634711</v>
      </c>
      <c r="H335" s="113">
        <f t="shared" si="141"/>
        <v>1054.8970203676217</v>
      </c>
      <c r="I335" s="114">
        <f t="shared" si="142"/>
        <v>1.5698483668230097</v>
      </c>
      <c r="J335" s="101">
        <f t="shared" si="143"/>
        <v>24.841231196947543</v>
      </c>
      <c r="K335" s="104">
        <f t="shared" si="144"/>
        <v>1.5305297926810633</v>
      </c>
      <c r="L335" s="102">
        <f t="shared" si="145"/>
        <v>1</v>
      </c>
      <c r="M335" s="103">
        <f t="shared" si="146"/>
        <v>8.1444218654925009E-10</v>
      </c>
      <c r="N335" s="101">
        <f t="shared" si="147"/>
        <v>1</v>
      </c>
      <c r="O335" s="104">
        <f t="shared" si="148"/>
        <v>1.3031074984788001E-10</v>
      </c>
      <c r="P335" s="105">
        <f t="shared" ca="1" si="149"/>
        <v>1.7018401072036364</v>
      </c>
      <c r="Q335" s="106">
        <f t="shared" ca="1" si="150"/>
        <v>0.98629993856972487</v>
      </c>
      <c r="R335" s="107">
        <f t="shared" ca="1" si="151"/>
        <v>-38.585499146372896</v>
      </c>
      <c r="S335" s="108">
        <f t="shared" ca="1" si="152"/>
        <v>-198.10946743002057</v>
      </c>
      <c r="T335" s="116">
        <f t="shared" ca="1" si="153"/>
        <v>-18.109467430020572</v>
      </c>
      <c r="V335" s="72">
        <f t="shared" ca="1" si="154"/>
        <v>24690</v>
      </c>
      <c r="W335" s="72">
        <f t="shared" si="155"/>
        <v>609596100</v>
      </c>
      <c r="Y335" s="110">
        <f t="shared" si="156"/>
        <v>18.117141418630212</v>
      </c>
      <c r="Z335" s="111">
        <f t="shared" si="157"/>
        <v>-87.740422441060517</v>
      </c>
      <c r="AA335" s="72">
        <f t="shared" si="158"/>
        <v>92.259577558939483</v>
      </c>
      <c r="AB335" s="110">
        <f t="shared" ca="1" si="159"/>
        <v>-40.785040218121608</v>
      </c>
      <c r="AC335" s="111">
        <f t="shared" ca="1" si="160"/>
        <v>-110.36904498896006</v>
      </c>
      <c r="AD335" s="72">
        <f t="shared" ca="1" si="161"/>
        <v>69.630955011039944</v>
      </c>
    </row>
    <row r="336" spans="1:30">
      <c r="A336" s="118">
        <v>24833</v>
      </c>
      <c r="B336" s="101">
        <f t="shared" ca="1" si="135"/>
        <v>1273.4554175047435</v>
      </c>
      <c r="C336" s="102">
        <f t="shared" ca="1" si="136"/>
        <v>1.570011061689399</v>
      </c>
      <c r="D336" s="102">
        <f t="shared" si="137"/>
        <v>1.2400771628679195</v>
      </c>
      <c r="E336" s="103">
        <f t="shared" si="138"/>
        <v>0.63275486138250625</v>
      </c>
      <c r="F336" s="101">
        <f t="shared" si="139"/>
        <v>8488.0505850929003</v>
      </c>
      <c r="G336" s="104">
        <f t="shared" si="140"/>
        <v>1.5706785141131403</v>
      </c>
      <c r="H336" s="113">
        <f t="shared" si="141"/>
        <v>1061.0067870239445</v>
      </c>
      <c r="I336" s="114">
        <f t="shared" si="142"/>
        <v>1.5698538256155625</v>
      </c>
      <c r="J336" s="101">
        <f t="shared" si="143"/>
        <v>24.984874617379187</v>
      </c>
      <c r="K336" s="104">
        <f t="shared" si="144"/>
        <v>1.5307614177708637</v>
      </c>
      <c r="L336" s="102">
        <f t="shared" si="145"/>
        <v>1</v>
      </c>
      <c r="M336" s="103">
        <f t="shared" si="146"/>
        <v>8.1915928791322508E-10</v>
      </c>
      <c r="N336" s="101">
        <f t="shared" si="147"/>
        <v>1</v>
      </c>
      <c r="O336" s="104">
        <f t="shared" si="148"/>
        <v>1.3106548606611601E-10</v>
      </c>
      <c r="P336" s="105">
        <f t="shared" ca="1" si="149"/>
        <v>1.7083127984802995</v>
      </c>
      <c r="Q336" s="106">
        <f t="shared" ca="1" si="150"/>
        <v>0.98930084489169656</v>
      </c>
      <c r="R336" s="107">
        <f t="shared" ca="1" si="151"/>
        <v>-38.701238407446297</v>
      </c>
      <c r="S336" s="108">
        <f t="shared" ca="1" si="152"/>
        <v>-198.13700771811031</v>
      </c>
      <c r="T336" s="116">
        <f t="shared" ca="1" si="153"/>
        <v>-18.137007718110311</v>
      </c>
      <c r="V336" s="72">
        <f t="shared" ca="1" si="154"/>
        <v>24833</v>
      </c>
      <c r="W336" s="72">
        <f t="shared" si="155"/>
        <v>616677889</v>
      </c>
      <c r="Y336" s="110">
        <f t="shared" si="156"/>
        <v>18.067060223950204</v>
      </c>
      <c r="Z336" s="111">
        <f t="shared" si="157"/>
        <v>-87.75341991090491</v>
      </c>
      <c r="AA336" s="72">
        <f t="shared" si="158"/>
        <v>92.24658008909509</v>
      </c>
      <c r="AB336" s="110">
        <f t="shared" ca="1" si="159"/>
        <v>-40.850698284515005</v>
      </c>
      <c r="AC336" s="111">
        <f t="shared" ca="1" si="160"/>
        <v>-110.38358780720539</v>
      </c>
      <c r="AD336" s="72">
        <f t="shared" ca="1" si="161"/>
        <v>69.616412192794613</v>
      </c>
    </row>
    <row r="337" spans="1:30">
      <c r="A337" s="118">
        <v>24976</v>
      </c>
      <c r="B337" s="101">
        <f t="shared" ca="1" si="135"/>
        <v>1280.7885634287859</v>
      </c>
      <c r="C337" s="102">
        <f t="shared" ca="1" si="136"/>
        <v>1.5700155577201611</v>
      </c>
      <c r="D337" s="102">
        <f t="shared" si="137"/>
        <v>1.2425791364054624</v>
      </c>
      <c r="E337" s="103">
        <f t="shared" si="138"/>
        <v>0.63549543542500675</v>
      </c>
      <c r="F337" s="101">
        <f t="shared" si="139"/>
        <v>8536.9287398413926</v>
      </c>
      <c r="G337" s="104">
        <f t="shared" si="140"/>
        <v>1.5706791886492284</v>
      </c>
      <c r="H337" s="113">
        <f t="shared" si="141"/>
        <v>1067.1165537115219</v>
      </c>
      <c r="I337" s="114">
        <f t="shared" si="142"/>
        <v>1.5698592218995757</v>
      </c>
      <c r="J337" s="101">
        <f t="shared" si="143"/>
        <v>25.12851936292898</v>
      </c>
      <c r="K337" s="104">
        <f t="shared" si="144"/>
        <v>1.5309903947480772</v>
      </c>
      <c r="L337" s="102">
        <f t="shared" si="145"/>
        <v>1</v>
      </c>
      <c r="M337" s="103">
        <f t="shared" si="146"/>
        <v>8.2387638927720007E-10</v>
      </c>
      <c r="N337" s="101">
        <f t="shared" si="147"/>
        <v>1</v>
      </c>
      <c r="O337" s="104">
        <f t="shared" si="148"/>
        <v>1.31820222284352E-10</v>
      </c>
      <c r="P337" s="105">
        <f t="shared" ca="1" si="149"/>
        <v>1.7147985214150019</v>
      </c>
      <c r="Q337" s="106">
        <f t="shared" ca="1" si="150"/>
        <v>0.99228106687224482</v>
      </c>
      <c r="R337" s="107">
        <f t="shared" ca="1" si="151"/>
        <v>-38.816314031817136</v>
      </c>
      <c r="S337" s="108">
        <f t="shared" ca="1" si="152"/>
        <v>-198.16384501509222</v>
      </c>
      <c r="T337" s="116">
        <f t="shared" ca="1" si="153"/>
        <v>-18.163845015092221</v>
      </c>
      <c r="V337" s="72">
        <f t="shared" ca="1" si="154"/>
        <v>24976</v>
      </c>
      <c r="W337" s="72">
        <f t="shared" si="155"/>
        <v>623800576</v>
      </c>
      <c r="Y337" s="110">
        <f t="shared" si="156"/>
        <v>18.017265675569845</v>
      </c>
      <c r="Z337" s="111">
        <f t="shared" si="157"/>
        <v>-87.766268788864565</v>
      </c>
      <c r="AA337" s="72">
        <f t="shared" si="158"/>
        <v>92.233731211135435</v>
      </c>
      <c r="AB337" s="110">
        <f t="shared" ca="1" si="159"/>
        <v>-40.915979360505474</v>
      </c>
      <c r="AC337" s="111">
        <f t="shared" ca="1" si="160"/>
        <v>-110.39757622622774</v>
      </c>
      <c r="AD337" s="72">
        <f t="shared" ca="1" si="161"/>
        <v>69.602423773772259</v>
      </c>
    </row>
    <row r="338" spans="1:30">
      <c r="A338" s="118">
        <v>25119</v>
      </c>
      <c r="B338" s="101">
        <f t="shared" ca="1" si="135"/>
        <v>1288.1217093784237</v>
      </c>
      <c r="C338" s="102">
        <f t="shared" ca="1" si="136"/>
        <v>1.5700200025600313</v>
      </c>
      <c r="D338" s="102">
        <f t="shared" si="137"/>
        <v>1.2450904050910192</v>
      </c>
      <c r="E338" s="103">
        <f t="shared" si="138"/>
        <v>0.63822497477023632</v>
      </c>
      <c r="F338" s="101">
        <f t="shared" si="139"/>
        <v>8585.8068945937266</v>
      </c>
      <c r="G338" s="104">
        <f t="shared" si="140"/>
        <v>1.5706798555051813</v>
      </c>
      <c r="H338" s="113">
        <f t="shared" si="141"/>
        <v>1073.2263204298199</v>
      </c>
      <c r="I338" s="114">
        <f t="shared" si="142"/>
        <v>1.5698645567426128</v>
      </c>
      <c r="J338" s="101">
        <f t="shared" si="143"/>
        <v>25.272165411001357</v>
      </c>
      <c r="K338" s="104">
        <f t="shared" si="144"/>
        <v>1.5312167687438065</v>
      </c>
      <c r="L338" s="102">
        <f t="shared" si="145"/>
        <v>1</v>
      </c>
      <c r="M338" s="103">
        <f t="shared" si="146"/>
        <v>8.2859349064117506E-10</v>
      </c>
      <c r="N338" s="101">
        <f t="shared" si="147"/>
        <v>1</v>
      </c>
      <c r="O338" s="104">
        <f t="shared" si="148"/>
        <v>1.3257495850258801E-10</v>
      </c>
      <c r="P338" s="105">
        <f t="shared" ca="1" si="149"/>
        <v>1.7212971337777681</v>
      </c>
      <c r="Q338" s="106">
        <f t="shared" ca="1" si="150"/>
        <v>0.99524079732340398</v>
      </c>
      <c r="R338" s="107">
        <f t="shared" ca="1" si="151"/>
        <v>-38.930732688200301</v>
      </c>
      <c r="S338" s="108">
        <f t="shared" ca="1" si="152"/>
        <v>-198.18999148289956</v>
      </c>
      <c r="T338" s="116">
        <f t="shared" ca="1" si="153"/>
        <v>-18.189991482899558</v>
      </c>
      <c r="V338" s="72">
        <f t="shared" ca="1" si="154"/>
        <v>25119</v>
      </c>
      <c r="W338" s="72">
        <f t="shared" si="155"/>
        <v>630964161</v>
      </c>
      <c r="Y338" s="110">
        <f t="shared" si="156"/>
        <v>17.967754516006892</v>
      </c>
      <c r="Z338" s="111">
        <f t="shared" si="157"/>
        <v>-87.778971607240067</v>
      </c>
      <c r="AA338" s="72">
        <f t="shared" si="158"/>
        <v>92.221028392759933</v>
      </c>
      <c r="AB338" s="110">
        <f t="shared" ca="1" si="159"/>
        <v>-40.980886857325686</v>
      </c>
      <c r="AC338" s="111">
        <f t="shared" ca="1" si="160"/>
        <v>-110.41101987565951</v>
      </c>
      <c r="AD338" s="72">
        <f t="shared" ca="1" si="161"/>
        <v>69.588980124340495</v>
      </c>
    </row>
    <row r="339" spans="1:30">
      <c r="A339" s="118">
        <v>25265.25</v>
      </c>
      <c r="B339" s="101">
        <f t="shared" ca="1" si="135"/>
        <v>1295.6215177620297</v>
      </c>
      <c r="C339" s="102">
        <f t="shared" ca="1" si="136"/>
        <v>1.5700244963756131</v>
      </c>
      <c r="D339" s="102">
        <f t="shared" si="137"/>
        <v>1.247668303997626</v>
      </c>
      <c r="E339" s="103">
        <f t="shared" si="138"/>
        <v>0.64100516255799456</v>
      </c>
      <c r="F339" s="101">
        <f t="shared" si="139"/>
        <v>8635.7959165034245</v>
      </c>
      <c r="G339" s="104">
        <f t="shared" si="140"/>
        <v>1.5706805297089184</v>
      </c>
      <c r="H339" s="113">
        <f t="shared" si="141"/>
        <v>1079.4749455138567</v>
      </c>
      <c r="I339" s="114">
        <f t="shared" si="142"/>
        <v>1.5698699503679265</v>
      </c>
      <c r="J339" s="101">
        <f t="shared" si="143"/>
        <v>25.419077466233997</v>
      </c>
      <c r="K339" s="104">
        <f t="shared" si="144"/>
        <v>1.5314456411781756</v>
      </c>
      <c r="L339" s="102">
        <f t="shared" si="145"/>
        <v>1</v>
      </c>
      <c r="M339" s="103">
        <f t="shared" si="146"/>
        <v>8.334177988543313E-10</v>
      </c>
      <c r="N339" s="101">
        <f t="shared" si="147"/>
        <v>1</v>
      </c>
      <c r="O339" s="104">
        <f t="shared" si="148"/>
        <v>1.33346847816693E-10</v>
      </c>
      <c r="P339" s="105">
        <f t="shared" ca="1" si="149"/>
        <v>1.7279566277838434</v>
      </c>
      <c r="Q339" s="106">
        <f t="shared" ca="1" si="150"/>
        <v>0.99824679815187178</v>
      </c>
      <c r="R339" s="107">
        <f t="shared" ca="1" si="151"/>
        <v>-39.047079082180637</v>
      </c>
      <c r="S339" s="108">
        <f t="shared" ca="1" si="152"/>
        <v>-198.21603011515373</v>
      </c>
      <c r="T339" s="116">
        <f t="shared" ca="1" si="153"/>
        <v>-18.216030115153728</v>
      </c>
      <c r="V339" s="72">
        <f t="shared" ca="1" si="154"/>
        <v>25265.25</v>
      </c>
      <c r="W339" s="72">
        <f t="shared" si="155"/>
        <v>638332857.5625</v>
      </c>
      <c r="Y339" s="110">
        <f t="shared" si="156"/>
        <v>17.9174078886799</v>
      </c>
      <c r="Z339" s="111">
        <f t="shared" si="157"/>
        <v>-87.791814628620713</v>
      </c>
      <c r="AA339" s="72">
        <f t="shared" si="158"/>
        <v>92.208185371379287</v>
      </c>
      <c r="AB339" s="110">
        <f t="shared" ca="1" si="159"/>
        <v>-41.046886623979034</v>
      </c>
      <c r="AC339" s="111">
        <f t="shared" ca="1" si="160"/>
        <v>-110.42421548653299</v>
      </c>
      <c r="AD339" s="72">
        <f t="shared" ca="1" si="161"/>
        <v>69.575784513467013</v>
      </c>
    </row>
    <row r="340" spans="1:30">
      <c r="A340" s="118">
        <v>25411.5</v>
      </c>
      <c r="B340" s="101">
        <f t="shared" ca="1" si="135"/>
        <v>1303.1213261714986</v>
      </c>
      <c r="C340" s="102">
        <f t="shared" ca="1" si="136"/>
        <v>1.5700289384649968</v>
      </c>
      <c r="D340" s="102">
        <f t="shared" si="137"/>
        <v>1.2502558068743337</v>
      </c>
      <c r="E340" s="103">
        <f t="shared" si="138"/>
        <v>0.64377386403739145</v>
      </c>
      <c r="F340" s="101">
        <f t="shared" si="139"/>
        <v>8685.7849384170022</v>
      </c>
      <c r="G340" s="104">
        <f t="shared" si="140"/>
        <v>1.5706811961522087</v>
      </c>
      <c r="H340" s="113">
        <f t="shared" si="141"/>
        <v>1085.7235706289352</v>
      </c>
      <c r="I340" s="114">
        <f t="shared" si="142"/>
        <v>1.5698752819097717</v>
      </c>
      <c r="J340" s="101">
        <f t="shared" si="143"/>
        <v>25.565990837680914</v>
      </c>
      <c r="K340" s="104">
        <f t="shared" si="144"/>
        <v>1.5316718832219502</v>
      </c>
      <c r="L340" s="102">
        <f t="shared" si="145"/>
        <v>1</v>
      </c>
      <c r="M340" s="103">
        <f t="shared" si="146"/>
        <v>8.3824210706748755E-10</v>
      </c>
      <c r="N340" s="101">
        <f t="shared" si="147"/>
        <v>1</v>
      </c>
      <c r="O340" s="104">
        <f t="shared" si="148"/>
        <v>1.34118737130798E-10</v>
      </c>
      <c r="P340" s="105">
        <f t="shared" ca="1" si="149"/>
        <v>1.7346293088270761</v>
      </c>
      <c r="Q340" s="106">
        <f t="shared" ca="1" si="150"/>
        <v>1.0012317679537086</v>
      </c>
      <c r="R340" s="107">
        <f t="shared" ca="1" si="151"/>
        <v>-39.162752105929705</v>
      </c>
      <c r="S340" s="108">
        <f t="shared" ca="1" si="152"/>
        <v>-198.24137131384106</v>
      </c>
      <c r="T340" s="116">
        <f t="shared" ca="1" si="153"/>
        <v>-18.241371313841057</v>
      </c>
      <c r="V340" s="72">
        <f t="shared" ca="1" si="154"/>
        <v>25411.5</v>
      </c>
      <c r="W340" s="72">
        <f t="shared" si="155"/>
        <v>645744332.25</v>
      </c>
      <c r="Y340" s="110">
        <f t="shared" si="156"/>
        <v>17.867350961096658</v>
      </c>
      <c r="Z340" s="111">
        <f t="shared" si="157"/>
        <v>-87.804510052201536</v>
      </c>
      <c r="AA340" s="72">
        <f t="shared" si="158"/>
        <v>92.195489947798464</v>
      </c>
      <c r="AB340" s="110">
        <f t="shared" ca="1" si="159"/>
        <v>-41.11250272014486</v>
      </c>
      <c r="AC340" s="111">
        <f t="shared" ca="1" si="160"/>
        <v>-110.43686126163954</v>
      </c>
      <c r="AD340" s="72">
        <f t="shared" ca="1" si="161"/>
        <v>69.563138738360465</v>
      </c>
    </row>
    <row r="341" spans="1:30">
      <c r="A341" s="118">
        <v>25557.75</v>
      </c>
      <c r="B341" s="101">
        <f t="shared" ca="1" si="135"/>
        <v>1310.6211346063869</v>
      </c>
      <c r="C341" s="102">
        <f t="shared" ca="1" si="136"/>
        <v>1.5700333297161659</v>
      </c>
      <c r="D341" s="102">
        <f t="shared" si="137"/>
        <v>1.2528528542162298</v>
      </c>
      <c r="E341" s="103">
        <f t="shared" si="138"/>
        <v>0.64653110805930347</v>
      </c>
      <c r="F341" s="101">
        <f t="shared" si="139"/>
        <v>8735.7739603343944</v>
      </c>
      <c r="G341" s="104">
        <f t="shared" si="140"/>
        <v>1.5706818549682759</v>
      </c>
      <c r="H341" s="113">
        <f t="shared" si="141"/>
        <v>1091.9721957745228</v>
      </c>
      <c r="I341" s="114">
        <f t="shared" si="142"/>
        <v>1.5698805524339345</v>
      </c>
      <c r="J341" s="101">
        <f t="shared" si="143"/>
        <v>25.71290550278113</v>
      </c>
      <c r="K341" s="104">
        <f t="shared" si="144"/>
        <v>1.5318955399392002</v>
      </c>
      <c r="L341" s="102">
        <f t="shared" si="145"/>
        <v>1</v>
      </c>
      <c r="M341" s="103">
        <f t="shared" si="146"/>
        <v>8.4306641528064379E-10</v>
      </c>
      <c r="N341" s="101">
        <f t="shared" si="147"/>
        <v>1</v>
      </c>
      <c r="O341" s="104">
        <f t="shared" si="148"/>
        <v>1.3489062644490302E-10</v>
      </c>
      <c r="P341" s="105">
        <f t="shared" ca="1" si="149"/>
        <v>1.7413150307723939</v>
      </c>
      <c r="Q341" s="106">
        <f t="shared" ca="1" si="150"/>
        <v>1.0041959075032543</v>
      </c>
      <c r="R341" s="107">
        <f t="shared" ca="1" si="151"/>
        <v>-39.277758583621008</v>
      </c>
      <c r="S341" s="108">
        <f t="shared" ca="1" si="152"/>
        <v>-198.26602750887733</v>
      </c>
      <c r="T341" s="116">
        <f t="shared" ca="1" si="153"/>
        <v>-18.266027508877329</v>
      </c>
      <c r="V341" s="72">
        <f t="shared" ca="1" si="154"/>
        <v>25557.75</v>
      </c>
      <c r="W341" s="72">
        <f t="shared" si="155"/>
        <v>653198585.0625</v>
      </c>
      <c r="Y341" s="110">
        <f t="shared" si="156"/>
        <v>17.817580423468304</v>
      </c>
      <c r="Z341" s="111">
        <f t="shared" si="157"/>
        <v>-87.817060406531652</v>
      </c>
      <c r="AA341" s="72">
        <f t="shared" si="158"/>
        <v>92.182939593468348</v>
      </c>
      <c r="AB341" s="110">
        <f t="shared" ca="1" si="159"/>
        <v>-41.177738660207801</v>
      </c>
      <c r="AC341" s="111">
        <f t="shared" ca="1" si="160"/>
        <v>-110.44896710234566</v>
      </c>
      <c r="AD341" s="72">
        <f t="shared" ca="1" si="161"/>
        <v>69.551032897654338</v>
      </c>
    </row>
    <row r="342" spans="1:30">
      <c r="A342" s="118">
        <v>25704</v>
      </c>
      <c r="B342" s="101">
        <f t="shared" ca="1" si="135"/>
        <v>1318.1209430662602</v>
      </c>
      <c r="C342" s="102">
        <f t="shared" ca="1" si="136"/>
        <v>1.5700376709968935</v>
      </c>
      <c r="D342" s="102">
        <f t="shared" si="137"/>
        <v>1.2554593867921813</v>
      </c>
      <c r="E342" s="103">
        <f t="shared" si="138"/>
        <v>0.64927692393315672</v>
      </c>
      <c r="F342" s="101">
        <f t="shared" si="139"/>
        <v>8785.7629822555355</v>
      </c>
      <c r="G342" s="104">
        <f t="shared" si="140"/>
        <v>1.570682506287312</v>
      </c>
      <c r="H342" s="113">
        <f t="shared" si="141"/>
        <v>1098.2208209500982</v>
      </c>
      <c r="I342" s="114">
        <f t="shared" si="142"/>
        <v>1.5698857629819445</v>
      </c>
      <c r="J342" s="101">
        <f t="shared" si="143"/>
        <v>25.859821439486151</v>
      </c>
      <c r="K342" s="104">
        <f t="shared" si="144"/>
        <v>1.532116655370964</v>
      </c>
      <c r="L342" s="102">
        <f t="shared" si="145"/>
        <v>1</v>
      </c>
      <c r="M342" s="103">
        <f t="shared" si="146"/>
        <v>8.4789072349380004E-10</v>
      </c>
      <c r="N342" s="101">
        <f t="shared" si="147"/>
        <v>1</v>
      </c>
      <c r="O342" s="104">
        <f t="shared" si="148"/>
        <v>1.3566251575900802E-10</v>
      </c>
      <c r="P342" s="105">
        <f t="shared" ca="1" si="149"/>
        <v>1.7480136494577894</v>
      </c>
      <c r="Q342" s="106">
        <f t="shared" ca="1" si="150"/>
        <v>1.0071394157315161</v>
      </c>
      <c r="R342" s="107">
        <f t="shared" ca="1" si="151"/>
        <v>-39.392105239433654</v>
      </c>
      <c r="S342" s="108">
        <f t="shared" ca="1" si="152"/>
        <v>-198.29001093973272</v>
      </c>
      <c r="T342" s="116">
        <f t="shared" ca="1" si="153"/>
        <v>-18.290010939732724</v>
      </c>
      <c r="V342" s="72">
        <f t="shared" ca="1" si="154"/>
        <v>25704</v>
      </c>
      <c r="W342" s="72">
        <f t="shared" si="155"/>
        <v>660695616</v>
      </c>
      <c r="Y342" s="110">
        <f t="shared" si="156"/>
        <v>17.768093022318947</v>
      </c>
      <c r="Z342" s="111">
        <f t="shared" si="157"/>
        <v>-87.82946816276089</v>
      </c>
      <c r="AA342" s="72">
        <f t="shared" si="158"/>
        <v>92.17053183723911</v>
      </c>
      <c r="AB342" s="110">
        <f t="shared" ca="1" si="159"/>
        <v>-41.242597914871098</v>
      </c>
      <c r="AC342" s="111">
        <f t="shared" ca="1" si="160"/>
        <v>-110.46054277697189</v>
      </c>
      <c r="AD342" s="72">
        <f t="shared" ca="1" si="161"/>
        <v>69.539457223028109</v>
      </c>
    </row>
    <row r="343" spans="1:30">
      <c r="A343" s="118">
        <v>25853.75</v>
      </c>
      <c r="B343" s="101">
        <f t="shared" ca="1" si="135"/>
        <v>1325.8002341472009</v>
      </c>
      <c r="C343" s="102">
        <f t="shared" ca="1" si="136"/>
        <v>1.5700420652786724</v>
      </c>
      <c r="D343" s="102">
        <f t="shared" si="137"/>
        <v>1.2581380647968157</v>
      </c>
      <c r="E343" s="103">
        <f t="shared" si="138"/>
        <v>0.65207664105970142</v>
      </c>
      <c r="F343" s="101">
        <f t="shared" si="139"/>
        <v>8836.9483226538196</v>
      </c>
      <c r="G343" s="104">
        <f t="shared" si="140"/>
        <v>1.5706831655580509</v>
      </c>
      <c r="H343" s="113">
        <f t="shared" si="141"/>
        <v>1104.6189859040066</v>
      </c>
      <c r="I343" s="114">
        <f t="shared" si="142"/>
        <v>1.5698910371435757</v>
      </c>
      <c r="J343" s="101">
        <f t="shared" si="143"/>
        <v>26.010254608248946</v>
      </c>
      <c r="K343" s="104">
        <f t="shared" si="144"/>
        <v>1.5323404741694466</v>
      </c>
      <c r="L343" s="102">
        <f t="shared" si="145"/>
        <v>1</v>
      </c>
      <c r="M343" s="103">
        <f t="shared" si="146"/>
        <v>8.5283048523684386E-10</v>
      </c>
      <c r="N343" s="101">
        <f t="shared" si="147"/>
        <v>1</v>
      </c>
      <c r="O343" s="104">
        <f t="shared" si="148"/>
        <v>1.3645287763789502E-10</v>
      </c>
      <c r="P343" s="105">
        <f t="shared" ca="1" si="149"/>
        <v>1.754885791834236</v>
      </c>
      <c r="Q343" s="106">
        <f t="shared" ca="1" si="150"/>
        <v>1.0101321948917106</v>
      </c>
      <c r="R343" s="107">
        <f t="shared" ca="1" si="151"/>
        <v>-39.508511619893078</v>
      </c>
      <c r="S343" s="108">
        <f t="shared" ca="1" si="152"/>
        <v>-198.31388381179224</v>
      </c>
      <c r="T343" s="116">
        <f t="shared" ca="1" si="153"/>
        <v>-18.313883811792238</v>
      </c>
      <c r="V343" s="72">
        <f t="shared" ca="1" si="154"/>
        <v>25853.75</v>
      </c>
      <c r="W343" s="72">
        <f t="shared" si="155"/>
        <v>668416389.0625</v>
      </c>
      <c r="Y343" s="110">
        <f t="shared" si="156"/>
        <v>17.71771134846523</v>
      </c>
      <c r="Z343" s="111">
        <f t="shared" si="157"/>
        <v>-87.842027621295188</v>
      </c>
      <c r="AA343" s="72">
        <f t="shared" si="158"/>
        <v>92.157972378704812</v>
      </c>
      <c r="AB343" s="110">
        <f t="shared" ca="1" si="159"/>
        <v>-41.3086226214768</v>
      </c>
      <c r="AC343" s="111">
        <f t="shared" ca="1" si="160"/>
        <v>-110.47185619049708</v>
      </c>
      <c r="AD343" s="72">
        <f t="shared" ca="1" si="161"/>
        <v>69.528143809502922</v>
      </c>
    </row>
    <row r="344" spans="1:30">
      <c r="A344" s="118">
        <v>26003.5</v>
      </c>
      <c r="B344" s="101">
        <f t="shared" ca="1" si="135"/>
        <v>1333.4795252534473</v>
      </c>
      <c r="C344" s="102">
        <f t="shared" ca="1" si="136"/>
        <v>1.5700464089485469</v>
      </c>
      <c r="D344" s="102">
        <f t="shared" si="137"/>
        <v>1.2608265626623496</v>
      </c>
      <c r="E344" s="103">
        <f t="shared" si="138"/>
        <v>0.65486444012101708</v>
      </c>
      <c r="F344" s="101">
        <f t="shared" si="139"/>
        <v>8888.1336630558999</v>
      </c>
      <c r="G344" s="104">
        <f t="shared" si="140"/>
        <v>1.5706838172355202</v>
      </c>
      <c r="H344" s="113">
        <f t="shared" si="141"/>
        <v>1111.0171508882884</v>
      </c>
      <c r="I344" s="114">
        <f t="shared" si="142"/>
        <v>1.5698962505591487</v>
      </c>
      <c r="J344" s="101">
        <f t="shared" si="143"/>
        <v>26.160689065006434</v>
      </c>
      <c r="K344" s="104">
        <f t="shared" si="144"/>
        <v>1.5325617188831493</v>
      </c>
      <c r="L344" s="102">
        <f t="shared" si="145"/>
        <v>1</v>
      </c>
      <c r="M344" s="103">
        <f t="shared" si="146"/>
        <v>8.5777024697988759E-10</v>
      </c>
      <c r="N344" s="101">
        <f t="shared" si="147"/>
        <v>1</v>
      </c>
      <c r="O344" s="104">
        <f t="shared" si="148"/>
        <v>1.3724323951678202E-10</v>
      </c>
      <c r="P344" s="105">
        <f t="shared" ca="1" si="149"/>
        <v>1.7617711559331517</v>
      </c>
      <c r="Q344" s="106">
        <f t="shared" ca="1" si="150"/>
        <v>1.0131037596526522</v>
      </c>
      <c r="R344" s="107">
        <f t="shared" ca="1" si="151"/>
        <v>-39.624240175584987</v>
      </c>
      <c r="S344" s="108">
        <f t="shared" ca="1" si="152"/>
        <v>-198.33707670453444</v>
      </c>
      <c r="T344" s="116">
        <f t="shared" ca="1" si="153"/>
        <v>-18.337076704534439</v>
      </c>
      <c r="V344" s="72">
        <f t="shared" ca="1" si="154"/>
        <v>26003.5</v>
      </c>
      <c r="W344" s="72">
        <f t="shared" si="155"/>
        <v>676182012.25</v>
      </c>
      <c r="Y344" s="110">
        <f t="shared" si="156"/>
        <v>17.667619796800494</v>
      </c>
      <c r="Z344" s="111">
        <f t="shared" si="157"/>
        <v>-87.854442641065788</v>
      </c>
      <c r="AA344" s="72">
        <f t="shared" si="158"/>
        <v>92.145557358934212</v>
      </c>
      <c r="AB344" s="110">
        <f t="shared" ca="1" si="159"/>
        <v>-41.374259625503981</v>
      </c>
      <c r="AC344" s="111">
        <f t="shared" ca="1" si="160"/>
        <v>-110.48263406346864</v>
      </c>
      <c r="AD344" s="72">
        <f t="shared" ca="1" si="161"/>
        <v>69.517365936531363</v>
      </c>
    </row>
    <row r="345" spans="1:30">
      <c r="A345" s="118">
        <v>26153.25</v>
      </c>
      <c r="B345" s="101">
        <f t="shared" ca="1" si="135"/>
        <v>1341.1588163845654</v>
      </c>
      <c r="C345" s="102">
        <f t="shared" ca="1" si="136"/>
        <v>1.5700507028759076</v>
      </c>
      <c r="D345" s="102">
        <f t="shared" si="137"/>
        <v>1.2635248177053899</v>
      </c>
      <c r="E345" s="103">
        <f t="shared" si="138"/>
        <v>0.65764035399959098</v>
      </c>
      <c r="F345" s="101">
        <f t="shared" si="139"/>
        <v>8939.3190034617128</v>
      </c>
      <c r="G345" s="104">
        <f t="shared" si="140"/>
        <v>1.5706844614501541</v>
      </c>
      <c r="H345" s="113">
        <f t="shared" si="141"/>
        <v>1117.4153159024213</v>
      </c>
      <c r="I345" s="114">
        <f t="shared" si="142"/>
        <v>1.569901404272134</v>
      </c>
      <c r="J345" s="101">
        <f t="shared" si="143"/>
        <v>26.311124787666202</v>
      </c>
      <c r="K345" s="104">
        <f t="shared" si="144"/>
        <v>1.532780433642762</v>
      </c>
      <c r="L345" s="102">
        <f t="shared" si="145"/>
        <v>1</v>
      </c>
      <c r="M345" s="103">
        <f t="shared" si="146"/>
        <v>8.6271000872293132E-10</v>
      </c>
      <c r="N345" s="101">
        <f t="shared" si="147"/>
        <v>1</v>
      </c>
      <c r="O345" s="104">
        <f t="shared" si="148"/>
        <v>1.3803360139566902E-10</v>
      </c>
      <c r="P345" s="105">
        <f t="shared" ca="1" si="149"/>
        <v>1.7686695932471863</v>
      </c>
      <c r="Q345" s="106">
        <f t="shared" ca="1" si="150"/>
        <v>1.0160543175932824</v>
      </c>
      <c r="R345" s="107">
        <f t="shared" ca="1" si="151"/>
        <v>-39.739297812769621</v>
      </c>
      <c r="S345" s="108">
        <f t="shared" ca="1" si="152"/>
        <v>-198.35960215333029</v>
      </c>
      <c r="T345" s="116">
        <f t="shared" ca="1" si="153"/>
        <v>-18.359602153330286</v>
      </c>
      <c r="V345" s="72">
        <f t="shared" ca="1" si="154"/>
        <v>26153.25</v>
      </c>
      <c r="W345" s="72">
        <f t="shared" si="155"/>
        <v>683992485.5625</v>
      </c>
      <c r="Y345" s="110">
        <f t="shared" si="156"/>
        <v>17.617815049969749</v>
      </c>
      <c r="Z345" s="111">
        <f t="shared" si="157"/>
        <v>-87.866715698261828</v>
      </c>
      <c r="AA345" s="72">
        <f t="shared" si="158"/>
        <v>92.133284301738172</v>
      </c>
      <c r="AB345" s="110">
        <f t="shared" ca="1" si="159"/>
        <v>-41.439512515857864</v>
      </c>
      <c r="AC345" s="111">
        <f t="shared" ca="1" si="160"/>
        <v>-110.4928864550685</v>
      </c>
      <c r="AD345" s="72">
        <f t="shared" ca="1" si="161"/>
        <v>69.507113544931499</v>
      </c>
    </row>
    <row r="346" spans="1:30">
      <c r="A346" s="118">
        <v>26303</v>
      </c>
      <c r="B346" s="101">
        <f t="shared" ca="1" si="135"/>
        <v>1348.8381075401296</v>
      </c>
      <c r="C346" s="102">
        <f t="shared" ca="1" si="136"/>
        <v>1.5700549479103463</v>
      </c>
      <c r="D346" s="102">
        <f t="shared" si="137"/>
        <v>1.2662327675503129</v>
      </c>
      <c r="E346" s="103">
        <f t="shared" si="138"/>
        <v>0.66040441603080768</v>
      </c>
      <c r="F346" s="101">
        <f t="shared" si="139"/>
        <v>8990.5043438711946</v>
      </c>
      <c r="G346" s="104">
        <f t="shared" si="140"/>
        <v>1.5706850983294165</v>
      </c>
      <c r="H346" s="113">
        <f t="shared" si="141"/>
        <v>1123.8134809458959</v>
      </c>
      <c r="I346" s="114">
        <f t="shared" si="142"/>
        <v>1.5699064993022385</v>
      </c>
      <c r="J346" s="101">
        <f t="shared" si="143"/>
        <v>26.461561754638037</v>
      </c>
      <c r="K346" s="104">
        <f t="shared" si="144"/>
        <v>1.5329966615764032</v>
      </c>
      <c r="L346" s="102">
        <f t="shared" si="145"/>
        <v>1</v>
      </c>
      <c r="M346" s="103">
        <f t="shared" si="146"/>
        <v>8.6764977046597504E-10</v>
      </c>
      <c r="N346" s="101">
        <f t="shared" si="147"/>
        <v>1</v>
      </c>
      <c r="O346" s="104">
        <f t="shared" si="148"/>
        <v>1.3882396327455602E-10</v>
      </c>
      <c r="P346" s="105">
        <f t="shared" ca="1" si="149"/>
        <v>1.7755809573199186</v>
      </c>
      <c r="Q346" s="106">
        <f t="shared" ca="1" si="150"/>
        <v>1.0189840742880933</v>
      </c>
      <c r="R346" s="107">
        <f t="shared" ca="1" si="151"/>
        <v>-39.853691336739729</v>
      </c>
      <c r="S346" s="108">
        <f t="shared" ca="1" si="152"/>
        <v>-198.38147249536939</v>
      </c>
      <c r="T346" s="116">
        <f t="shared" ca="1" si="153"/>
        <v>-18.381472495369394</v>
      </c>
      <c r="V346" s="72">
        <f t="shared" ca="1" si="154"/>
        <v>26303</v>
      </c>
      <c r="W346" s="72">
        <f t="shared" si="155"/>
        <v>691847809</v>
      </c>
      <c r="Y346" s="110">
        <f t="shared" si="156"/>
        <v>17.568293847110031</v>
      </c>
      <c r="Z346" s="111">
        <f t="shared" si="157"/>
        <v>-87.878849212820768</v>
      </c>
      <c r="AA346" s="72">
        <f t="shared" si="158"/>
        <v>92.121150787179232</v>
      </c>
      <c r="AB346" s="110">
        <f t="shared" ca="1" si="159"/>
        <v>-41.504384836968249</v>
      </c>
      <c r="AC346" s="111">
        <f t="shared" ca="1" si="160"/>
        <v>-110.50262328254864</v>
      </c>
      <c r="AD346" s="72">
        <f t="shared" ca="1" si="161"/>
        <v>69.49737671745136</v>
      </c>
    </row>
    <row r="347" spans="1:30">
      <c r="A347" s="118">
        <v>26456</v>
      </c>
      <c r="B347" s="101">
        <f t="shared" ca="1" si="135"/>
        <v>1356.6840611329017</v>
      </c>
      <c r="C347" s="102">
        <f t="shared" ca="1" si="136"/>
        <v>1.5700592354416485</v>
      </c>
      <c r="D347" s="102">
        <f t="shared" si="137"/>
        <v>1.2690094357208885</v>
      </c>
      <c r="E347" s="103">
        <f t="shared" si="138"/>
        <v>0.66321626072407136</v>
      </c>
      <c r="F347" s="101">
        <f t="shared" si="139"/>
        <v>9042.8005514385259</v>
      </c>
      <c r="G347" s="104">
        <f t="shared" si="140"/>
        <v>1.5706857415844466</v>
      </c>
      <c r="H347" s="113">
        <f t="shared" si="141"/>
        <v>1130.3505043589971</v>
      </c>
      <c r="I347" s="114">
        <f t="shared" si="142"/>
        <v>1.5699116453384925</v>
      </c>
      <c r="J347" s="101">
        <f t="shared" si="143"/>
        <v>26.615264893906478</v>
      </c>
      <c r="K347" s="104">
        <f t="shared" si="144"/>
        <v>1.5332150577471022</v>
      </c>
      <c r="L347" s="102">
        <f t="shared" si="145"/>
        <v>1</v>
      </c>
      <c r="M347" s="103">
        <f t="shared" si="146"/>
        <v>8.7269673905820012E-10</v>
      </c>
      <c r="N347" s="101">
        <f t="shared" si="147"/>
        <v>1</v>
      </c>
      <c r="O347" s="104">
        <f t="shared" si="148"/>
        <v>1.39631478249312E-10</v>
      </c>
      <c r="P347" s="105">
        <f t="shared" ca="1" si="149"/>
        <v>1.7826555179936496</v>
      </c>
      <c r="Q347" s="106">
        <f t="shared" ca="1" si="150"/>
        <v>1.0219561434665021</v>
      </c>
      <c r="R347" s="107">
        <f t="shared" ca="1" si="151"/>
        <v>-39.969888611393117</v>
      </c>
      <c r="S347" s="108">
        <f t="shared" ca="1" si="152"/>
        <v>-198.40315352785558</v>
      </c>
      <c r="T347" s="116">
        <f t="shared" ca="1" si="153"/>
        <v>-18.403153527855579</v>
      </c>
      <c r="V347" s="72">
        <f t="shared" ca="1" si="154"/>
        <v>26456</v>
      </c>
      <c r="W347" s="72">
        <f t="shared" si="155"/>
        <v>699919936</v>
      </c>
      <c r="Y347" s="110">
        <f t="shared" si="156"/>
        <v>17.517987400513011</v>
      </c>
      <c r="Z347" s="111">
        <f t="shared" si="157"/>
        <v>-87.891104401074514</v>
      </c>
      <c r="AA347" s="72">
        <f t="shared" si="158"/>
        <v>92.108895598925486</v>
      </c>
      <c r="AB347" s="110">
        <f t="shared" ca="1" si="159"/>
        <v>-41.570275665024631</v>
      </c>
      <c r="AC347" s="111">
        <f t="shared" ca="1" si="160"/>
        <v>-110.51204912678102</v>
      </c>
      <c r="AD347" s="72">
        <f t="shared" ca="1" si="161"/>
        <v>69.487950873218978</v>
      </c>
    </row>
    <row r="348" spans="1:30">
      <c r="A348" s="118">
        <v>26609</v>
      </c>
      <c r="B348" s="101">
        <f t="shared" ca="1" si="135"/>
        <v>1364.5300147503262</v>
      </c>
      <c r="C348" s="102">
        <f t="shared" ca="1" si="136"/>
        <v>1.5700634736669314</v>
      </c>
      <c r="D348" s="102">
        <f t="shared" si="137"/>
        <v>1.2717960934199892</v>
      </c>
      <c r="E348" s="103">
        <f t="shared" si="138"/>
        <v>0.66601580529362658</v>
      </c>
      <c r="F348" s="101">
        <f t="shared" si="139"/>
        <v>9095.096759009557</v>
      </c>
      <c r="G348" s="104">
        <f t="shared" si="140"/>
        <v>1.5706863774421287</v>
      </c>
      <c r="H348" s="113">
        <f t="shared" si="141"/>
        <v>1136.8875278016878</v>
      </c>
      <c r="I348" s="114">
        <f t="shared" si="142"/>
        <v>1.5699167321960523</v>
      </c>
      <c r="J348" s="101">
        <f t="shared" si="143"/>
        <v>26.768969288062042</v>
      </c>
      <c r="K348" s="104">
        <f t="shared" si="144"/>
        <v>1.533430945915776</v>
      </c>
      <c r="L348" s="102">
        <f t="shared" si="145"/>
        <v>1</v>
      </c>
      <c r="M348" s="103">
        <f t="shared" si="146"/>
        <v>8.777437076504251E-10</v>
      </c>
      <c r="N348" s="101">
        <f t="shared" si="147"/>
        <v>1</v>
      </c>
      <c r="O348" s="104">
        <f t="shared" si="148"/>
        <v>1.4043899322406802E-10</v>
      </c>
      <c r="P348" s="105">
        <f t="shared" ca="1" si="149"/>
        <v>1.7897432699498794</v>
      </c>
      <c r="Q348" s="106">
        <f t="shared" ca="1" si="150"/>
        <v>1.0249069261879289</v>
      </c>
      <c r="R348" s="107">
        <f t="shared" ca="1" si="151"/>
        <v>-40.085406682307635</v>
      </c>
      <c r="S348" s="108">
        <f t="shared" ca="1" si="152"/>
        <v>-198.4241761252658</v>
      </c>
      <c r="T348" s="116">
        <f t="shared" ca="1" si="153"/>
        <v>-18.424176125265802</v>
      </c>
      <c r="V348" s="72">
        <f t="shared" ca="1" si="154"/>
        <v>26609</v>
      </c>
      <c r="W348" s="72">
        <f t="shared" si="155"/>
        <v>708038881</v>
      </c>
      <c r="Y348" s="110">
        <f t="shared" si="156"/>
        <v>17.467970232026943</v>
      </c>
      <c r="Z348" s="111">
        <f t="shared" si="157"/>
        <v>-87.903218858249645</v>
      </c>
      <c r="AA348" s="72">
        <f t="shared" si="158"/>
        <v>92.096781141750355</v>
      </c>
      <c r="AB348" s="110">
        <f t="shared" ca="1" si="159"/>
        <v>-41.635776567453064</v>
      </c>
      <c r="AC348" s="111">
        <f t="shared" ca="1" si="160"/>
        <v>-110.52095726701614</v>
      </c>
      <c r="AD348" s="72">
        <f t="shared" ca="1" si="161"/>
        <v>69.479042732983856</v>
      </c>
    </row>
    <row r="349" spans="1:30">
      <c r="A349" s="118">
        <v>26762</v>
      </c>
      <c r="B349" s="101">
        <f t="shared" ca="1" si="135"/>
        <v>1372.3759683919814</v>
      </c>
      <c r="C349" s="102">
        <f t="shared" ca="1" si="136"/>
        <v>1.5700676634318509</v>
      </c>
      <c r="D349" s="102">
        <f t="shared" si="137"/>
        <v>1.2745926751269285</v>
      </c>
      <c r="E349" s="103">
        <f t="shared" si="138"/>
        <v>0.66880308667633681</v>
      </c>
      <c r="F349" s="101">
        <f t="shared" si="139"/>
        <v>9147.3929665842224</v>
      </c>
      <c r="G349" s="104">
        <f t="shared" si="140"/>
        <v>1.5706870060293359</v>
      </c>
      <c r="H349" s="113">
        <f t="shared" si="141"/>
        <v>1143.4245512734603</v>
      </c>
      <c r="I349" s="114">
        <f t="shared" si="142"/>
        <v>1.5699217608899019</v>
      </c>
      <c r="J349" s="101">
        <f t="shared" si="143"/>
        <v>26.922674915611879</v>
      </c>
      <c r="K349" s="104">
        <f t="shared" si="144"/>
        <v>1.5336443690178159</v>
      </c>
      <c r="L349" s="102">
        <f t="shared" si="145"/>
        <v>1</v>
      </c>
      <c r="M349" s="103">
        <f t="shared" si="146"/>
        <v>8.8279067624265008E-10</v>
      </c>
      <c r="N349" s="101">
        <f t="shared" si="147"/>
        <v>1</v>
      </c>
      <c r="O349" s="104">
        <f t="shared" si="148"/>
        <v>1.4124650819882401E-10</v>
      </c>
      <c r="P349" s="105">
        <f t="shared" ca="1" si="149"/>
        <v>1.7968440634336982</v>
      </c>
      <c r="Q349" s="106">
        <f t="shared" ca="1" si="150"/>
        <v>1.0278366352704456</v>
      </c>
      <c r="R349" s="107">
        <f t="shared" ca="1" si="151"/>
        <v>-40.200252494431929</v>
      </c>
      <c r="S349" s="108">
        <f t="shared" ca="1" si="152"/>
        <v>-198.44455282243533</v>
      </c>
      <c r="T349" s="116">
        <f t="shared" ca="1" si="153"/>
        <v>-18.444552822435327</v>
      </c>
      <c r="V349" s="72">
        <f t="shared" ca="1" si="154"/>
        <v>26762</v>
      </c>
      <c r="W349" s="72">
        <f t="shared" si="155"/>
        <v>716204644</v>
      </c>
      <c r="Y349" s="110">
        <f t="shared" si="156"/>
        <v>17.418239038394731</v>
      </c>
      <c r="Z349" s="111">
        <f t="shared" si="157"/>
        <v>-87.915194993477911</v>
      </c>
      <c r="AA349" s="72">
        <f t="shared" si="158"/>
        <v>92.084805006522089</v>
      </c>
      <c r="AB349" s="110">
        <f t="shared" ca="1" si="159"/>
        <v>-41.700891185945153</v>
      </c>
      <c r="AC349" s="111">
        <f t="shared" ca="1" si="160"/>
        <v>-110.52935782895746</v>
      </c>
      <c r="AD349" s="72">
        <f t="shared" ca="1" si="161"/>
        <v>69.470642171042542</v>
      </c>
    </row>
    <row r="350" spans="1:30">
      <c r="A350" s="118">
        <v>26915</v>
      </c>
      <c r="B350" s="101">
        <f t="shared" ca="1" si="135"/>
        <v>1380.2219220574532</v>
      </c>
      <c r="C350" s="102">
        <f t="shared" ca="1" si="136"/>
        <v>1.5700718055628342</v>
      </c>
      <c r="D350" s="102">
        <f t="shared" si="137"/>
        <v>1.2773991156624735</v>
      </c>
      <c r="E350" s="103">
        <f t="shared" si="138"/>
        <v>0.67157814224835921</v>
      </c>
      <c r="F350" s="101">
        <f t="shared" si="139"/>
        <v>9199.689174162464</v>
      </c>
      <c r="G350" s="104">
        <f t="shared" si="140"/>
        <v>1.5706876274700565</v>
      </c>
      <c r="H350" s="113">
        <f t="shared" si="141"/>
        <v>1149.9615747738192</v>
      </c>
      <c r="I350" s="114">
        <f t="shared" si="142"/>
        <v>1.5699267324119459</v>
      </c>
      <c r="J350" s="101">
        <f t="shared" si="143"/>
        <v>27.076381755551015</v>
      </c>
      <c r="K350" s="104">
        <f t="shared" si="144"/>
        <v>1.5338553690145829</v>
      </c>
      <c r="L350" s="102">
        <f t="shared" si="145"/>
        <v>1</v>
      </c>
      <c r="M350" s="103">
        <f t="shared" si="146"/>
        <v>8.8783764483487506E-10</v>
      </c>
      <c r="N350" s="101">
        <f t="shared" si="147"/>
        <v>1</v>
      </c>
      <c r="O350" s="104">
        <f t="shared" si="148"/>
        <v>1.4205402317358002E-10</v>
      </c>
      <c r="P350" s="105">
        <f t="shared" ca="1" si="149"/>
        <v>1.8039577507995028</v>
      </c>
      <c r="Q350" s="106">
        <f t="shared" ca="1" si="150"/>
        <v>1.030745481383349</v>
      </c>
      <c r="R350" s="107">
        <f t="shared" ca="1" si="151"/>
        <v>-40.314432891553189</v>
      </c>
      <c r="S350" s="108">
        <f t="shared" ca="1" si="152"/>
        <v>-198.46429595016147</v>
      </c>
      <c r="T350" s="116">
        <f t="shared" ca="1" si="153"/>
        <v>-18.464295950161471</v>
      </c>
      <c r="V350" s="72">
        <f t="shared" ca="1" si="154"/>
        <v>26915</v>
      </c>
      <c r="W350" s="72">
        <f t="shared" si="155"/>
        <v>724417225</v>
      </c>
      <c r="Y350" s="110">
        <f t="shared" si="156"/>
        <v>17.368790572539787</v>
      </c>
      <c r="Z350" s="111">
        <f t="shared" si="157"/>
        <v>-87.92703516124017</v>
      </c>
      <c r="AA350" s="72">
        <f t="shared" si="158"/>
        <v>92.07296483875983</v>
      </c>
      <c r="AB350" s="110">
        <f t="shared" ca="1" si="159"/>
        <v>-41.765623117211462</v>
      </c>
      <c r="AC350" s="111">
        <f t="shared" ca="1" si="160"/>
        <v>-110.53726078892129</v>
      </c>
      <c r="AD350" s="72">
        <f t="shared" ca="1" si="161"/>
        <v>69.462739211078713</v>
      </c>
    </row>
    <row r="351" spans="1:30">
      <c r="A351" s="118">
        <v>27071.75</v>
      </c>
      <c r="B351" s="101">
        <f t="shared" ca="1" si="135"/>
        <v>1388.2601785331212</v>
      </c>
      <c r="C351" s="102">
        <f t="shared" ca="1" si="136"/>
        <v>1.5700760006615526</v>
      </c>
      <c r="D351" s="102">
        <f t="shared" si="137"/>
        <v>1.2802844979652699</v>
      </c>
      <c r="E351" s="103">
        <f t="shared" si="138"/>
        <v>0.6744085744533852</v>
      </c>
      <c r="F351" s="101">
        <f t="shared" si="139"/>
        <v>9253.2671515379297</v>
      </c>
      <c r="G351" s="104">
        <f t="shared" si="140"/>
        <v>1.570688256857482</v>
      </c>
      <c r="H351" s="113">
        <f t="shared" si="141"/>
        <v>1156.6588194675408</v>
      </c>
      <c r="I351" s="114">
        <f t="shared" si="142"/>
        <v>1.5699317675076234</v>
      </c>
      <c r="J351" s="101">
        <f t="shared" si="143"/>
        <v>27.233857155862204</v>
      </c>
      <c r="K351" s="104">
        <f t="shared" si="144"/>
        <v>1.5340690705386375</v>
      </c>
      <c r="L351" s="102">
        <f t="shared" si="145"/>
        <v>1</v>
      </c>
      <c r="M351" s="103">
        <f t="shared" si="146"/>
        <v>8.9300831363769385E-10</v>
      </c>
      <c r="N351" s="101">
        <f t="shared" si="147"/>
        <v>1</v>
      </c>
      <c r="O351" s="104">
        <f t="shared" si="148"/>
        <v>1.42881330182031E-10</v>
      </c>
      <c r="P351" s="105">
        <f t="shared" ca="1" si="149"/>
        <v>1.8112590128597172</v>
      </c>
      <c r="Q351" s="106">
        <f t="shared" ca="1" si="150"/>
        <v>1.0337042045004405</v>
      </c>
      <c r="R351" s="107">
        <f t="shared" ca="1" si="151"/>
        <v>-40.430728800382767</v>
      </c>
      <c r="S351" s="108">
        <f t="shared" ca="1" si="152"/>
        <v>-198.48387860611268</v>
      </c>
      <c r="T351" s="116">
        <f t="shared" ca="1" si="153"/>
        <v>-18.483878606112683</v>
      </c>
      <c r="V351" s="72">
        <f t="shared" ca="1" si="154"/>
        <v>27071.75</v>
      </c>
      <c r="W351" s="72">
        <f t="shared" si="155"/>
        <v>732879648.0625</v>
      </c>
      <c r="Y351" s="110">
        <f t="shared" si="156"/>
        <v>17.318420004405162</v>
      </c>
      <c r="Z351" s="111">
        <f t="shared" si="157"/>
        <v>-87.939026927920253</v>
      </c>
      <c r="AA351" s="72">
        <f t="shared" si="158"/>
        <v>92.060973072079747</v>
      </c>
      <c r="AB351" s="110">
        <f t="shared" ca="1" si="159"/>
        <v>-41.831548457906429</v>
      </c>
      <c r="AC351" s="111">
        <f t="shared" ca="1" si="160"/>
        <v>-110.54485167819239</v>
      </c>
      <c r="AD351" s="72">
        <f t="shared" ca="1" si="161"/>
        <v>69.455148321807613</v>
      </c>
    </row>
    <row r="352" spans="1:30">
      <c r="A352" s="118">
        <v>27228.5</v>
      </c>
      <c r="B352" s="101">
        <f t="shared" ca="1" si="135"/>
        <v>1396.2984350329398</v>
      </c>
      <c r="C352" s="102">
        <f t="shared" ca="1" si="136"/>
        <v>1.5700801474593078</v>
      </c>
      <c r="D352" s="102">
        <f t="shared" si="137"/>
        <v>1.2831800908956779</v>
      </c>
      <c r="E352" s="103">
        <f t="shared" si="138"/>
        <v>0.67722625497842981</v>
      </c>
      <c r="F352" s="101">
        <f t="shared" si="139"/>
        <v>9306.8451289170207</v>
      </c>
      <c r="G352" s="104">
        <f t="shared" si="140"/>
        <v>1.5706888789983477</v>
      </c>
      <c r="H352" s="113">
        <f t="shared" si="141"/>
        <v>1163.3560641902486</v>
      </c>
      <c r="I352" s="114">
        <f t="shared" si="142"/>
        <v>1.5699367446309072</v>
      </c>
      <c r="J352" s="101">
        <f t="shared" si="143"/>
        <v>27.391333785597862</v>
      </c>
      <c r="K352" s="104">
        <f t="shared" si="144"/>
        <v>1.5342803148720217</v>
      </c>
      <c r="L352" s="102">
        <f t="shared" si="145"/>
        <v>1</v>
      </c>
      <c r="M352" s="103">
        <f t="shared" si="146"/>
        <v>8.9817898244051254E-10</v>
      </c>
      <c r="N352" s="101">
        <f t="shared" si="147"/>
        <v>1</v>
      </c>
      <c r="O352" s="104">
        <f t="shared" si="148"/>
        <v>1.4370863719048201E-10</v>
      </c>
      <c r="P352" s="105">
        <f t="shared" ca="1" si="149"/>
        <v>1.8185735015134543</v>
      </c>
      <c r="Q352" s="106">
        <f t="shared" ca="1" si="150"/>
        <v>1.0366414702169873</v>
      </c>
      <c r="R352" s="107">
        <f t="shared" ca="1" si="151"/>
        <v>-40.546340502318621</v>
      </c>
      <c r="S352" s="108">
        <f t="shared" ca="1" si="152"/>
        <v>-198.50282181329726</v>
      </c>
      <c r="T352" s="116">
        <f t="shared" ca="1" si="153"/>
        <v>-18.50282181329726</v>
      </c>
      <c r="V352" s="72">
        <f t="shared" ca="1" si="154"/>
        <v>27228.5</v>
      </c>
      <c r="W352" s="72">
        <f t="shared" si="155"/>
        <v>741391212.25</v>
      </c>
      <c r="Y352" s="110">
        <f t="shared" si="156"/>
        <v>17.268339468514945</v>
      </c>
      <c r="Z352" s="111">
        <f t="shared" si="157"/>
        <v>-87.950880814321508</v>
      </c>
      <c r="AA352" s="72">
        <f t="shared" si="158"/>
        <v>92.049119185678492</v>
      </c>
      <c r="AB352" s="110">
        <f t="shared" ca="1" si="159"/>
        <v>-41.897079623952067</v>
      </c>
      <c r="AC352" s="111">
        <f t="shared" ca="1" si="160"/>
        <v>-110.55194099897571</v>
      </c>
      <c r="AD352" s="72">
        <f t="shared" ca="1" si="161"/>
        <v>69.448059001024291</v>
      </c>
    </row>
    <row r="353" spans="1:30">
      <c r="A353" s="118">
        <v>27385.25</v>
      </c>
      <c r="B353" s="101">
        <f t="shared" ca="1" si="135"/>
        <v>1404.3366915564941</v>
      </c>
      <c r="C353" s="102">
        <f t="shared" ca="1" si="136"/>
        <v>1.570084246785507</v>
      </c>
      <c r="D353" s="102">
        <f t="shared" si="137"/>
        <v>1.2860858254867134</v>
      </c>
      <c r="E353" s="103">
        <f t="shared" si="138"/>
        <v>0.68003122536374672</v>
      </c>
      <c r="F353" s="101">
        <f t="shared" si="139"/>
        <v>9360.4231062996696</v>
      </c>
      <c r="G353" s="104">
        <f t="shared" si="140"/>
        <v>1.5706894940170888</v>
      </c>
      <c r="H353" s="113">
        <f t="shared" si="141"/>
        <v>1170.053308941445</v>
      </c>
      <c r="I353" s="114">
        <f t="shared" si="142"/>
        <v>1.5699416647772779</v>
      </c>
      <c r="J353" s="101">
        <f t="shared" si="143"/>
        <v>27.548811623674791</v>
      </c>
      <c r="K353" s="104">
        <f t="shared" si="144"/>
        <v>1.5344891441339872</v>
      </c>
      <c r="L353" s="102">
        <f t="shared" si="145"/>
        <v>1</v>
      </c>
      <c r="M353" s="103">
        <f t="shared" si="146"/>
        <v>9.0334965124333133E-10</v>
      </c>
      <c r="N353" s="101">
        <f t="shared" si="147"/>
        <v>1</v>
      </c>
      <c r="O353" s="104">
        <f t="shared" si="148"/>
        <v>1.4453594419893302E-10</v>
      </c>
      <c r="P353" s="105">
        <f t="shared" ca="1" si="149"/>
        <v>1.8259010646773053</v>
      </c>
      <c r="Q353" s="106">
        <f t="shared" ca="1" si="150"/>
        <v>1.0395574981298792</v>
      </c>
      <c r="R353" s="107">
        <f t="shared" ca="1" si="151"/>
        <v>-40.661275039911196</v>
      </c>
      <c r="S353" s="108">
        <f t="shared" ca="1" si="152"/>
        <v>-198.52113818447853</v>
      </c>
      <c r="T353" s="116">
        <f t="shared" ca="1" si="153"/>
        <v>-18.521138184478531</v>
      </c>
      <c r="V353" s="72">
        <f t="shared" ca="1" si="154"/>
        <v>27385.25</v>
      </c>
      <c r="W353" s="72">
        <f t="shared" si="155"/>
        <v>749951917.5625</v>
      </c>
      <c r="Y353" s="110">
        <f t="shared" si="156"/>
        <v>17.218545648409705</v>
      </c>
      <c r="Z353" s="111">
        <f t="shared" si="157"/>
        <v>-87.962599183792065</v>
      </c>
      <c r="AA353" s="72">
        <f t="shared" si="158"/>
        <v>92.037400816207935</v>
      </c>
      <c r="AB353" s="110">
        <f t="shared" ca="1" si="159"/>
        <v>-41.962220341439398</v>
      </c>
      <c r="AC353" s="111">
        <f t="shared" ca="1" si="160"/>
        <v>-110.55853900068649</v>
      </c>
      <c r="AD353" s="72">
        <f t="shared" ca="1" si="161"/>
        <v>69.441460999313506</v>
      </c>
    </row>
    <row r="354" spans="1:30">
      <c r="A354" s="118">
        <v>27542</v>
      </c>
      <c r="B354" s="101">
        <f t="shared" ca="1" si="135"/>
        <v>1412.3749481033788</v>
      </c>
      <c r="C354" s="102">
        <f t="shared" ca="1" si="136"/>
        <v>1.5700882994506753</v>
      </c>
      <c r="D354" s="102">
        <f t="shared" si="137"/>
        <v>1.2890016331527998</v>
      </c>
      <c r="E354" s="103">
        <f t="shared" si="138"/>
        <v>0.68282352757569276</v>
      </c>
      <c r="F354" s="101">
        <f t="shared" si="139"/>
        <v>9414.0010836858219</v>
      </c>
      <c r="G354" s="104">
        <f t="shared" si="140"/>
        <v>1.5706901020353081</v>
      </c>
      <c r="H354" s="113">
        <f t="shared" si="141"/>
        <v>1176.7505537206434</v>
      </c>
      <c r="I354" s="114">
        <f t="shared" si="142"/>
        <v>1.5699465289195544</v>
      </c>
      <c r="J354" s="101">
        <f t="shared" si="143"/>
        <v>27.706290649488974</v>
      </c>
      <c r="K354" s="104">
        <f t="shared" si="144"/>
        <v>1.5346955994870375</v>
      </c>
      <c r="L354" s="102">
        <f t="shared" si="145"/>
        <v>1</v>
      </c>
      <c r="M354" s="103">
        <f t="shared" si="146"/>
        <v>9.0852032004615012E-10</v>
      </c>
      <c r="N354" s="101">
        <f t="shared" si="147"/>
        <v>1</v>
      </c>
      <c r="O354" s="104">
        <f t="shared" si="148"/>
        <v>1.45363251207384E-10</v>
      </c>
      <c r="P354" s="105">
        <f t="shared" ca="1" si="149"/>
        <v>1.8332415524570003</v>
      </c>
      <c r="Q354" s="106">
        <f t="shared" ca="1" si="150"/>
        <v>1.0424525055188962</v>
      </c>
      <c r="R354" s="107">
        <f t="shared" ca="1" si="151"/>
        <v>-40.775539353145113</v>
      </c>
      <c r="S354" s="108">
        <f t="shared" ca="1" si="152"/>
        <v>-198.53884012048226</v>
      </c>
      <c r="T354" s="116">
        <f t="shared" ca="1" si="153"/>
        <v>-18.538840120482263</v>
      </c>
      <c r="V354" s="72">
        <f t="shared" ca="1" si="154"/>
        <v>27542</v>
      </c>
      <c r="W354" s="72">
        <f t="shared" si="155"/>
        <v>758561764</v>
      </c>
      <c r="Y354" s="110">
        <f t="shared" si="156"/>
        <v>17.169035284116354</v>
      </c>
      <c r="Z354" s="111">
        <f t="shared" si="157"/>
        <v>-87.974184345998552</v>
      </c>
      <c r="AA354" s="72">
        <f t="shared" si="158"/>
        <v>92.025815654001448</v>
      </c>
      <c r="AB354" s="110">
        <f t="shared" ca="1" si="159"/>
        <v>-42.026974290379961</v>
      </c>
      <c r="AC354" s="111">
        <f t="shared" ca="1" si="160"/>
        <v>-110.56465577448373</v>
      </c>
      <c r="AD354" s="72">
        <f t="shared" ca="1" si="161"/>
        <v>69.435344225516275</v>
      </c>
    </row>
    <row r="355" spans="1:30">
      <c r="A355" s="118">
        <v>27702.5</v>
      </c>
      <c r="B355" s="101">
        <f t="shared" ca="1" si="135"/>
        <v>1420.6055074622273</v>
      </c>
      <c r="C355" s="102">
        <f t="shared" ca="1" si="136"/>
        <v>1.5700924015479985</v>
      </c>
      <c r="D355" s="102">
        <f t="shared" si="137"/>
        <v>1.291997563183499</v>
      </c>
      <c r="E355" s="103">
        <f t="shared" si="138"/>
        <v>0.68566954914176748</v>
      </c>
      <c r="F355" s="101">
        <f t="shared" si="139"/>
        <v>9468.8608308694638</v>
      </c>
      <c r="G355" s="104">
        <f t="shared" si="140"/>
        <v>1.5706907174697919</v>
      </c>
      <c r="H355" s="113">
        <f t="shared" si="141"/>
        <v>1183.6080196953269</v>
      </c>
      <c r="I355" s="114">
        <f t="shared" si="142"/>
        <v>1.5699514523919451</v>
      </c>
      <c r="J355" s="101">
        <f t="shared" si="143"/>
        <v>27.867538325781034</v>
      </c>
      <c r="K355" s="104">
        <f t="shared" si="144"/>
        <v>1.5349045762017948</v>
      </c>
      <c r="L355" s="102">
        <f t="shared" si="145"/>
        <v>1</v>
      </c>
      <c r="M355" s="103">
        <f t="shared" si="146"/>
        <v>9.1381468905956262E-10</v>
      </c>
      <c r="N355" s="101">
        <f t="shared" si="147"/>
        <v>1</v>
      </c>
      <c r="O355" s="104">
        <f t="shared" si="148"/>
        <v>1.4621035024953E-10</v>
      </c>
      <c r="P355" s="105">
        <f t="shared" ca="1" si="149"/>
        <v>1.8407708878191693</v>
      </c>
      <c r="Q355" s="106">
        <f t="shared" ca="1" si="150"/>
        <v>1.0453952151083998</v>
      </c>
      <c r="R355" s="107">
        <f t="shared" ca="1" si="151"/>
        <v>-40.891849937922238</v>
      </c>
      <c r="S355" s="108">
        <f t="shared" ca="1" si="152"/>
        <v>-198.5563416201652</v>
      </c>
      <c r="T355" s="116">
        <f t="shared" ca="1" si="153"/>
        <v>-18.556341620165199</v>
      </c>
      <c r="V355" s="72">
        <f t="shared" ca="1" si="154"/>
        <v>27702.5</v>
      </c>
      <c r="W355" s="72">
        <f t="shared" si="155"/>
        <v>767428506.25</v>
      </c>
      <c r="Y355" s="110">
        <f t="shared" si="156"/>
        <v>17.118630823310468</v>
      </c>
      <c r="Z355" s="111">
        <f t="shared" si="157"/>
        <v>-87.985910997139186</v>
      </c>
      <c r="AA355" s="72">
        <f t="shared" si="158"/>
        <v>92.014089002860814</v>
      </c>
      <c r="AB355" s="110">
        <f t="shared" ca="1" si="159"/>
        <v>-42.0928804143512</v>
      </c>
      <c r="AC355" s="111">
        <f t="shared" ca="1" si="160"/>
        <v>-110.57043062302603</v>
      </c>
      <c r="AD355" s="72">
        <f t="shared" ca="1" si="161"/>
        <v>69.429569376973973</v>
      </c>
    </row>
    <row r="356" spans="1:30">
      <c r="A356" s="118">
        <v>27863</v>
      </c>
      <c r="B356" s="101">
        <f t="shared" ca="1" si="135"/>
        <v>1428.8360668447053</v>
      </c>
      <c r="C356" s="102">
        <f t="shared" ca="1" si="136"/>
        <v>1.5700964563864985</v>
      </c>
      <c r="D356" s="102">
        <f t="shared" si="137"/>
        <v>1.2950039097163863</v>
      </c>
      <c r="E356" s="103">
        <f t="shared" si="138"/>
        <v>0.68850237950878901</v>
      </c>
      <c r="F356" s="101">
        <f t="shared" si="139"/>
        <v>9523.720578056651</v>
      </c>
      <c r="G356" s="104">
        <f t="shared" si="140"/>
        <v>1.5706913258140676</v>
      </c>
      <c r="H356" s="113">
        <f t="shared" si="141"/>
        <v>1190.4654856983707</v>
      </c>
      <c r="I356" s="114">
        <f t="shared" si="142"/>
        <v>1.5699563191427508</v>
      </c>
      <c r="J356" s="101">
        <f t="shared" si="143"/>
        <v>28.028787205081024</v>
      </c>
      <c r="K356" s="104">
        <f t="shared" si="144"/>
        <v>1.5351111484503444</v>
      </c>
      <c r="L356" s="102">
        <f t="shared" si="145"/>
        <v>1</v>
      </c>
      <c r="M356" s="103">
        <f t="shared" si="146"/>
        <v>9.1910905807297512E-10</v>
      </c>
      <c r="N356" s="101">
        <f t="shared" si="147"/>
        <v>1</v>
      </c>
      <c r="O356" s="104">
        <f t="shared" si="148"/>
        <v>1.4705744929167601E-10</v>
      </c>
      <c r="P356" s="105">
        <f t="shared" ca="1" si="149"/>
        <v>1.8483134624240323</v>
      </c>
      <c r="Q356" s="106">
        <f t="shared" ca="1" si="150"/>
        <v>1.0483163400445479</v>
      </c>
      <c r="R356" s="107">
        <f t="shared" ca="1" si="151"/>
        <v>-41.007472252156106</v>
      </c>
      <c r="S356" s="108">
        <f t="shared" ca="1" si="152"/>
        <v>-198.57322458051203</v>
      </c>
      <c r="T356" s="116">
        <f t="shared" ca="1" si="153"/>
        <v>-18.573224580512033</v>
      </c>
      <c r="V356" s="72">
        <f t="shared" ca="1" si="154"/>
        <v>27863</v>
      </c>
      <c r="W356" s="72">
        <f t="shared" si="155"/>
        <v>776346769</v>
      </c>
      <c r="Y356" s="110">
        <f t="shared" si="156"/>
        <v>17.068516801626956</v>
      </c>
      <c r="Z356" s="111">
        <f t="shared" si="157"/>
        <v>-87.997502726182432</v>
      </c>
      <c r="AA356" s="72">
        <f t="shared" si="158"/>
        <v>92.002497273817568</v>
      </c>
      <c r="AB356" s="110">
        <f t="shared" ca="1" si="159"/>
        <v>-42.158388706901555</v>
      </c>
      <c r="AC356" s="111">
        <f t="shared" ca="1" si="160"/>
        <v>-110.57572185432963</v>
      </c>
      <c r="AD356" s="72">
        <f t="shared" ca="1" si="161"/>
        <v>69.424278145670371</v>
      </c>
    </row>
    <row r="357" spans="1:30">
      <c r="A357" s="118">
        <v>28023.5</v>
      </c>
      <c r="B357" s="101">
        <f t="shared" ca="1" si="135"/>
        <v>1437.0666262504067</v>
      </c>
      <c r="C357" s="102">
        <f t="shared" ca="1" si="136"/>
        <v>1.5701004647781764</v>
      </c>
      <c r="D357" s="102">
        <f t="shared" si="137"/>
        <v>1.2980206003744572</v>
      </c>
      <c r="E357" s="103">
        <f t="shared" si="138"/>
        <v>0.69132206502435345</v>
      </c>
      <c r="F357" s="101">
        <f t="shared" si="139"/>
        <v>9578.5803252473233</v>
      </c>
      <c r="G357" s="104">
        <f t="shared" si="140"/>
        <v>1.5706919271899593</v>
      </c>
      <c r="H357" s="113">
        <f t="shared" si="141"/>
        <v>1197.3229517292887</v>
      </c>
      <c r="I357" s="114">
        <f t="shared" si="142"/>
        <v>1.5699611301465617</v>
      </c>
      <c r="J357" s="101">
        <f t="shared" si="143"/>
        <v>28.190037266745083</v>
      </c>
      <c r="K357" s="104">
        <f t="shared" si="144"/>
        <v>1.5353153574763239</v>
      </c>
      <c r="L357" s="102">
        <f t="shared" si="145"/>
        <v>1</v>
      </c>
      <c r="M357" s="103">
        <f t="shared" si="146"/>
        <v>9.2440342708638762E-10</v>
      </c>
      <c r="N357" s="101">
        <f t="shared" si="147"/>
        <v>1</v>
      </c>
      <c r="O357" s="104">
        <f t="shared" si="148"/>
        <v>1.4790454833382201E-10</v>
      </c>
      <c r="P357" s="105">
        <f t="shared" ca="1" si="149"/>
        <v>1.8558691222792028</v>
      </c>
      <c r="Q357" s="106">
        <f t="shared" ca="1" si="150"/>
        <v>1.05121610612061</v>
      </c>
      <c r="R357" s="107">
        <f t="shared" ca="1" si="151"/>
        <v>-41.122413425158868</v>
      </c>
      <c r="S357" s="108">
        <f t="shared" ca="1" si="152"/>
        <v>-198.58950164375321</v>
      </c>
      <c r="T357" s="116">
        <f t="shared" ca="1" si="153"/>
        <v>-18.589501643753209</v>
      </c>
      <c r="V357" s="72">
        <f t="shared" ca="1" si="154"/>
        <v>28023.5</v>
      </c>
      <c r="W357" s="72">
        <f t="shared" si="155"/>
        <v>785316552.25</v>
      </c>
      <c r="Y357" s="110">
        <f t="shared" si="156"/>
        <v>17.018689895344568</v>
      </c>
      <c r="Z357" s="111">
        <f t="shared" si="157"/>
        <v>-88.008961847354726</v>
      </c>
      <c r="AA357" s="72">
        <f t="shared" si="158"/>
        <v>91.991038152645274</v>
      </c>
      <c r="AB357" s="110">
        <f t="shared" ca="1" si="159"/>
        <v>-42.22350297362194</v>
      </c>
      <c r="AC357" s="111">
        <f t="shared" ca="1" si="160"/>
        <v>-110.58053979639844</v>
      </c>
      <c r="AD357" s="72">
        <f t="shared" ca="1" si="161"/>
        <v>69.41946020360156</v>
      </c>
    </row>
    <row r="358" spans="1:30">
      <c r="A358" s="118">
        <v>28184</v>
      </c>
      <c r="B358" s="101">
        <f t="shared" ca="1" si="135"/>
        <v>1445.2971856789345</v>
      </c>
      <c r="C358" s="102">
        <f t="shared" ca="1" si="136"/>
        <v>1.5701044275165363</v>
      </c>
      <c r="D358" s="102">
        <f t="shared" si="137"/>
        <v>1.3010475632040968</v>
      </c>
      <c r="E358" s="103">
        <f t="shared" si="138"/>
        <v>0.69412865244302191</v>
      </c>
      <c r="F358" s="101">
        <f t="shared" si="139"/>
        <v>9633.4400724414209</v>
      </c>
      <c r="G358" s="104">
        <f t="shared" si="140"/>
        <v>1.570692521716516</v>
      </c>
      <c r="H358" s="113">
        <f t="shared" si="141"/>
        <v>1204.1804177876036</v>
      </c>
      <c r="I358" s="114">
        <f t="shared" si="142"/>
        <v>1.5699658863557673</v>
      </c>
      <c r="J358" s="101">
        <f t="shared" si="143"/>
        <v>28.351288490598868</v>
      </c>
      <c r="K358" s="104">
        <f t="shared" si="144"/>
        <v>1.5355172435858577</v>
      </c>
      <c r="L358" s="102">
        <f t="shared" si="145"/>
        <v>1</v>
      </c>
      <c r="M358" s="103">
        <f t="shared" si="146"/>
        <v>9.2969779609980012E-10</v>
      </c>
      <c r="N358" s="101">
        <f t="shared" si="147"/>
        <v>1</v>
      </c>
      <c r="O358" s="104">
        <f t="shared" si="148"/>
        <v>1.4875164737596802E-10</v>
      </c>
      <c r="P358" s="105">
        <f t="shared" ca="1" si="149"/>
        <v>1.8634377156547592</v>
      </c>
      <c r="Q358" s="106">
        <f t="shared" ca="1" si="150"/>
        <v>1.0540947366486431</v>
      </c>
      <c r="R358" s="107">
        <f t="shared" ca="1" si="151"/>
        <v>-41.236680482411771</v>
      </c>
      <c r="S358" s="108">
        <f t="shared" ca="1" si="152"/>
        <v>-198.60518523297631</v>
      </c>
      <c r="T358" s="116">
        <f t="shared" ca="1" si="153"/>
        <v>-18.605185232976311</v>
      </c>
      <c r="V358" s="72">
        <f t="shared" ca="1" si="154"/>
        <v>28184</v>
      </c>
      <c r="W358" s="72">
        <f t="shared" si="155"/>
        <v>794337856</v>
      </c>
      <c r="Y358" s="110">
        <f t="shared" si="156"/>
        <v>16.96914683739972</v>
      </c>
      <c r="Z358" s="111">
        <f t="shared" si="157"/>
        <v>-88.020290622280015</v>
      </c>
      <c r="AA358" s="72">
        <f t="shared" si="158"/>
        <v>91.979709377719985</v>
      </c>
      <c r="AB358" s="110">
        <f t="shared" ca="1" si="159"/>
        <v>-42.288226972929976</v>
      </c>
      <c r="AC358" s="111">
        <f t="shared" ca="1" si="160"/>
        <v>-110.58489461069635</v>
      </c>
      <c r="AD358" s="72">
        <f t="shared" ca="1" si="161"/>
        <v>69.415105389303648</v>
      </c>
    </row>
    <row r="359" spans="1:30">
      <c r="A359" s="118">
        <v>28348</v>
      </c>
      <c r="B359" s="101">
        <f t="shared" ca="1" si="135"/>
        <v>1453.7072277349982</v>
      </c>
      <c r="C359" s="102">
        <f t="shared" ca="1" si="136"/>
        <v>1.5701084303190533</v>
      </c>
      <c r="D359" s="102">
        <f t="shared" si="137"/>
        <v>1.3041510707676969</v>
      </c>
      <c r="E359" s="103">
        <f t="shared" si="138"/>
        <v>0.69698296210508648</v>
      </c>
      <c r="F359" s="101">
        <f t="shared" si="139"/>
        <v>9689.4961381136309</v>
      </c>
      <c r="G359" s="104">
        <f t="shared" si="140"/>
        <v>1.5706931222538636</v>
      </c>
      <c r="H359" s="113">
        <f t="shared" si="141"/>
        <v>1211.1874236320152</v>
      </c>
      <c r="I359" s="114">
        <f t="shared" si="142"/>
        <v>1.5699706906513065</v>
      </c>
      <c r="J359" s="101">
        <f t="shared" si="143"/>
        <v>28.516057276249533</v>
      </c>
      <c r="K359" s="104">
        <f t="shared" si="144"/>
        <v>1.5357211737280352</v>
      </c>
      <c r="L359" s="102">
        <f t="shared" si="145"/>
        <v>1</v>
      </c>
      <c r="M359" s="103">
        <f t="shared" si="146"/>
        <v>9.3510761864309999E-10</v>
      </c>
      <c r="N359" s="101">
        <f t="shared" si="147"/>
        <v>1</v>
      </c>
      <c r="O359" s="104">
        <f t="shared" si="148"/>
        <v>1.49617218982896E-10</v>
      </c>
      <c r="P359" s="105">
        <f t="shared" ca="1" si="149"/>
        <v>1.8711845603540784</v>
      </c>
      <c r="Q359" s="106">
        <f t="shared" ca="1" si="150"/>
        <v>1.0570145388975345</v>
      </c>
      <c r="R359" s="107">
        <f t="shared" ca="1" si="151"/>
        <v>-41.352750221392014</v>
      </c>
      <c r="S359" s="108">
        <f t="shared" ca="1" si="152"/>
        <v>-198.62061050409844</v>
      </c>
      <c r="T359" s="116">
        <f t="shared" ca="1" si="153"/>
        <v>-18.620610504098437</v>
      </c>
      <c r="V359" s="72">
        <f t="shared" ca="1" si="154"/>
        <v>28348</v>
      </c>
      <c r="W359" s="72">
        <f t="shared" si="155"/>
        <v>803609104</v>
      </c>
      <c r="Y359" s="110">
        <f t="shared" si="156"/>
        <v>16.918813260521087</v>
      </c>
      <c r="Z359" s="111">
        <f t="shared" si="157"/>
        <v>-88.031734100892521</v>
      </c>
      <c r="AA359" s="72">
        <f t="shared" si="158"/>
        <v>91.968265899107479</v>
      </c>
      <c r="AB359" s="110">
        <f t="shared" ca="1" si="159"/>
        <v>-42.353963135031599</v>
      </c>
      <c r="AC359" s="111">
        <f t="shared" ca="1" si="160"/>
        <v>-110.58887640320593</v>
      </c>
      <c r="AD359" s="72">
        <f t="shared" ca="1" si="161"/>
        <v>69.41112359679407</v>
      </c>
    </row>
    <row r="360" spans="1:30">
      <c r="A360" s="118">
        <v>28512</v>
      </c>
      <c r="B360" s="101">
        <f t="shared" ca="1" si="135"/>
        <v>1462.1172698140863</v>
      </c>
      <c r="C360" s="102">
        <f t="shared" ca="1" si="136"/>
        <v>1.5701123870736393</v>
      </c>
      <c r="D360" s="102">
        <f t="shared" si="137"/>
        <v>1.3072651528601931</v>
      </c>
      <c r="E360" s="103">
        <f t="shared" si="138"/>
        <v>0.69982369611721995</v>
      </c>
      <c r="F360" s="101">
        <f t="shared" si="139"/>
        <v>9745.552203789297</v>
      </c>
      <c r="G360" s="104">
        <f t="shared" si="140"/>
        <v>1.5706937158826728</v>
      </c>
      <c r="H360" s="113">
        <f t="shared" si="141"/>
        <v>1218.1944295040612</v>
      </c>
      <c r="I360" s="114">
        <f t="shared" si="142"/>
        <v>1.5699754396786123</v>
      </c>
      <c r="J360" s="101">
        <f t="shared" si="143"/>
        <v>28.680827234185873</v>
      </c>
      <c r="K360" s="104">
        <f t="shared" si="144"/>
        <v>1.5359227607410137</v>
      </c>
      <c r="L360" s="102">
        <f t="shared" si="145"/>
        <v>1</v>
      </c>
      <c r="M360" s="103">
        <f t="shared" si="146"/>
        <v>9.4051744118640007E-10</v>
      </c>
      <c r="N360" s="101">
        <f t="shared" si="147"/>
        <v>1</v>
      </c>
      <c r="O360" s="104">
        <f t="shared" si="148"/>
        <v>1.5048279058982401E-10</v>
      </c>
      <c r="P360" s="105">
        <f t="shared" ca="1" si="149"/>
        <v>1.8789445955837512</v>
      </c>
      <c r="Q360" s="106">
        <f t="shared" ca="1" si="150"/>
        <v>1.0599127373015422</v>
      </c>
      <c r="R360" s="107">
        <f t="shared" ca="1" si="151"/>
        <v>-41.468130631147943</v>
      </c>
      <c r="S360" s="108">
        <f t="shared" ca="1" si="152"/>
        <v>-198.63544167457235</v>
      </c>
      <c r="T360" s="116">
        <f t="shared" ca="1" si="153"/>
        <v>-18.635441674572348</v>
      </c>
      <c r="V360" s="72">
        <f t="shared" ca="1" si="154"/>
        <v>28512</v>
      </c>
      <c r="W360" s="72">
        <f t="shared" si="155"/>
        <v>812934144</v>
      </c>
      <c r="Y360" s="110">
        <f t="shared" si="156"/>
        <v>16.868769325521853</v>
      </c>
      <c r="Z360" s="111">
        <f t="shared" si="157"/>
        <v>-88.043046098897349</v>
      </c>
      <c r="AA360" s="72">
        <f t="shared" si="158"/>
        <v>91.956953901102651</v>
      </c>
      <c r="AB360" s="110">
        <f t="shared" ca="1" si="159"/>
        <v>-42.419299609788297</v>
      </c>
      <c r="AC360" s="111">
        <f t="shared" ca="1" si="160"/>
        <v>-110.59239557567498</v>
      </c>
      <c r="AD360" s="72">
        <f t="shared" ca="1" si="161"/>
        <v>69.407604424325015</v>
      </c>
    </row>
    <row r="361" spans="1:30">
      <c r="A361" s="118">
        <v>28676</v>
      </c>
      <c r="B361" s="101">
        <f t="shared" ca="1" si="135"/>
        <v>1470.527311915803</v>
      </c>
      <c r="C361" s="102">
        <f t="shared" ca="1" si="136"/>
        <v>1.5701162985703476</v>
      </c>
      <c r="D361" s="102">
        <f t="shared" si="137"/>
        <v>1.3103897340919146</v>
      </c>
      <c r="E361" s="103">
        <f t="shared" si="138"/>
        <v>0.70265090558015542</v>
      </c>
      <c r="F361" s="101">
        <f t="shared" si="139"/>
        <v>9801.6082694683573</v>
      </c>
      <c r="G361" s="104">
        <f t="shared" si="140"/>
        <v>1.570694302721475</v>
      </c>
      <c r="H361" s="113">
        <f t="shared" si="141"/>
        <v>1225.2014354032672</v>
      </c>
      <c r="I361" s="114">
        <f t="shared" si="142"/>
        <v>1.5699801343859323</v>
      </c>
      <c r="J361" s="101">
        <f t="shared" si="143"/>
        <v>28.845598344319122</v>
      </c>
      <c r="K361" s="104">
        <f t="shared" si="144"/>
        <v>1.5361220447613604</v>
      </c>
      <c r="L361" s="102">
        <f t="shared" si="145"/>
        <v>1</v>
      </c>
      <c r="M361" s="103">
        <f t="shared" si="146"/>
        <v>9.4592726372970016E-10</v>
      </c>
      <c r="N361" s="101">
        <f t="shared" si="147"/>
        <v>1</v>
      </c>
      <c r="O361" s="104">
        <f t="shared" si="148"/>
        <v>1.5134836219675201E-10</v>
      </c>
      <c r="P361" s="105">
        <f t="shared" ca="1" si="149"/>
        <v>1.8867176665625092</v>
      </c>
      <c r="Q361" s="106">
        <f t="shared" ca="1" si="150"/>
        <v>1.0627895621930659</v>
      </c>
      <c r="R361" s="107">
        <f t="shared" ca="1" si="151"/>
        <v>-41.582828884357674</v>
      </c>
      <c r="S361" s="108">
        <f t="shared" ca="1" si="152"/>
        <v>-198.64969131099946</v>
      </c>
      <c r="T361" s="116">
        <f t="shared" ca="1" si="153"/>
        <v>-18.649691310999458</v>
      </c>
      <c r="V361" s="72">
        <f t="shared" ca="1" si="154"/>
        <v>28676</v>
      </c>
      <c r="W361" s="72">
        <f t="shared" si="155"/>
        <v>822312976</v>
      </c>
      <c r="Y361" s="110">
        <f t="shared" si="156"/>
        <v>16.819011722031838</v>
      </c>
      <c r="Z361" s="111">
        <f t="shared" si="157"/>
        <v>-88.054228868411158</v>
      </c>
      <c r="AA361" s="72">
        <f t="shared" si="158"/>
        <v>91.945771131588842</v>
      </c>
      <c r="AB361" s="110">
        <f t="shared" ca="1" si="159"/>
        <v>-42.484240259508006</v>
      </c>
      <c r="AC361" s="111">
        <f t="shared" ca="1" si="160"/>
        <v>-110.59546244258829</v>
      </c>
      <c r="AD361" s="72">
        <f t="shared" ca="1" si="161"/>
        <v>69.404537557411714</v>
      </c>
    </row>
    <row r="362" spans="1:30">
      <c r="A362" s="118">
        <v>28840</v>
      </c>
      <c r="B362" s="101">
        <f t="shared" ca="1" si="135"/>
        <v>1478.9373540397626</v>
      </c>
      <c r="C362" s="102">
        <f t="shared" ca="1" si="136"/>
        <v>1.5701201655812607</v>
      </c>
      <c r="D362" s="102">
        <f t="shared" si="137"/>
        <v>1.31352473953756</v>
      </c>
      <c r="E362" s="103">
        <f t="shared" si="138"/>
        <v>0.70546464197404923</v>
      </c>
      <c r="F362" s="101">
        <f t="shared" si="139"/>
        <v>9857.6643351507573</v>
      </c>
      <c r="G362" s="104">
        <f t="shared" si="140"/>
        <v>1.5706948828861049</v>
      </c>
      <c r="H362" s="113">
        <f t="shared" si="141"/>
        <v>1232.20844132917</v>
      </c>
      <c r="I362" s="114">
        <f t="shared" si="142"/>
        <v>1.569984775699945</v>
      </c>
      <c r="J362" s="101">
        <f t="shared" si="143"/>
        <v>29.010370587016777</v>
      </c>
      <c r="K362" s="104">
        <f t="shared" si="144"/>
        <v>1.5363190650145175</v>
      </c>
      <c r="L362" s="102">
        <f t="shared" si="145"/>
        <v>1</v>
      </c>
      <c r="M362" s="103">
        <f t="shared" si="146"/>
        <v>9.5133708627300003E-10</v>
      </c>
      <c r="N362" s="101">
        <f t="shared" si="147"/>
        <v>1</v>
      </c>
      <c r="O362" s="104">
        <f t="shared" si="148"/>
        <v>1.5221393380368E-10</v>
      </c>
      <c r="P362" s="105">
        <f t="shared" ca="1" si="149"/>
        <v>1.8945036208239183</v>
      </c>
      <c r="Q362" s="106">
        <f t="shared" ca="1" si="150"/>
        <v>1.065645241280851</v>
      </c>
      <c r="R362" s="107">
        <f t="shared" ca="1" si="151"/>
        <v>-41.69685204936836</v>
      </c>
      <c r="S362" s="108">
        <f t="shared" ca="1" si="152"/>
        <v>-198.66337175576561</v>
      </c>
      <c r="T362" s="116">
        <f t="shared" ca="1" si="153"/>
        <v>-18.66337175576561</v>
      </c>
      <c r="V362" s="72">
        <f t="shared" ca="1" si="154"/>
        <v>28840</v>
      </c>
      <c r="W362" s="72">
        <f t="shared" si="155"/>
        <v>831745600</v>
      </c>
      <c r="Y362" s="110">
        <f t="shared" si="156"/>
        <v>16.769537196042638</v>
      </c>
      <c r="Z362" s="111">
        <f t="shared" si="157"/>
        <v>-88.065284610428307</v>
      </c>
      <c r="AA362" s="72">
        <f t="shared" si="158"/>
        <v>91.934715389571693</v>
      </c>
      <c r="AB362" s="110">
        <f t="shared" ca="1" si="159"/>
        <v>-42.548788898529494</v>
      </c>
      <c r="AC362" s="111">
        <f t="shared" ca="1" si="160"/>
        <v>-110.59808714533733</v>
      </c>
      <c r="AD362" s="72">
        <f t="shared" ca="1" si="161"/>
        <v>69.401912854662669</v>
      </c>
    </row>
    <row r="363" spans="1:30">
      <c r="A363" s="118">
        <v>29008</v>
      </c>
      <c r="B363" s="101">
        <f t="shared" ca="1" si="135"/>
        <v>1487.5525191650243</v>
      </c>
      <c r="C363" s="102">
        <f t="shared" ca="1" si="136"/>
        <v>1.5701240815716622</v>
      </c>
      <c r="D363" s="102">
        <f t="shared" si="137"/>
        <v>1.316746939387329</v>
      </c>
      <c r="E363" s="103">
        <f t="shared" si="138"/>
        <v>0.70833309028666902</v>
      </c>
      <c r="F363" s="101">
        <f t="shared" si="139"/>
        <v>9915.0876219507591</v>
      </c>
      <c r="G363" s="104">
        <f t="shared" si="140"/>
        <v>1.5706954703990861</v>
      </c>
      <c r="H363" s="113">
        <f t="shared" si="141"/>
        <v>1239.3863498658391</v>
      </c>
      <c r="I363" s="114">
        <f t="shared" si="142"/>
        <v>1.5699894758007658</v>
      </c>
      <c r="J363" s="101">
        <f t="shared" si="143"/>
        <v>29.179162819182864</v>
      </c>
      <c r="K363" s="104">
        <f t="shared" si="144"/>
        <v>1.5365185834502153</v>
      </c>
      <c r="L363" s="102">
        <f t="shared" si="145"/>
        <v>1</v>
      </c>
      <c r="M363" s="103">
        <f t="shared" si="146"/>
        <v>9.5687885570760015E-10</v>
      </c>
      <c r="N363" s="101">
        <f t="shared" si="147"/>
        <v>1</v>
      </c>
      <c r="O363" s="104">
        <f t="shared" si="148"/>
        <v>1.5310061691321602E-10</v>
      </c>
      <c r="P363" s="105">
        <f t="shared" ca="1" si="149"/>
        <v>1.902492677883435</v>
      </c>
      <c r="Q363" s="106">
        <f t="shared" ca="1" si="150"/>
        <v>1.0685488806480541</v>
      </c>
      <c r="R363" s="107">
        <f t="shared" ca="1" si="151"/>
        <v>-41.812963560949463</v>
      </c>
      <c r="S363" s="108">
        <f t="shared" ca="1" si="152"/>
        <v>-198.67680835451557</v>
      </c>
      <c r="T363" s="116">
        <f t="shared" ca="1" si="153"/>
        <v>-18.676808354515572</v>
      </c>
      <c r="V363" s="72">
        <f t="shared" ca="1" si="154"/>
        <v>29008</v>
      </c>
      <c r="W363" s="72">
        <f t="shared" si="155"/>
        <v>841464064</v>
      </c>
      <c r="Y363" s="110">
        <f t="shared" si="156"/>
        <v>16.71914614896718</v>
      </c>
      <c r="Z363" s="111">
        <f t="shared" si="157"/>
        <v>-88.076480540548857</v>
      </c>
      <c r="AA363" s="72">
        <f t="shared" si="158"/>
        <v>91.923519459451143</v>
      </c>
      <c r="AB363" s="110">
        <f t="shared" ca="1" si="159"/>
        <v>-42.614509363035125</v>
      </c>
      <c r="AC363" s="111">
        <f t="shared" ca="1" si="160"/>
        <v>-110.60032781396673</v>
      </c>
      <c r="AD363" s="72">
        <f t="shared" ca="1" si="161"/>
        <v>69.399672186033271</v>
      </c>
    </row>
    <row r="364" spans="1:30">
      <c r="A364" s="118">
        <v>29176</v>
      </c>
      <c r="B364" s="101">
        <f t="shared" ca="1" si="135"/>
        <v>1496.1676843128348</v>
      </c>
      <c r="C364" s="102">
        <f t="shared" ca="1" si="136"/>
        <v>1.5701279524643059</v>
      </c>
      <c r="D364" s="102">
        <f t="shared" si="137"/>
        <v>1.3199799204788063</v>
      </c>
      <c r="E364" s="103">
        <f t="shared" si="138"/>
        <v>0.71118751080765086</v>
      </c>
      <c r="F364" s="101">
        <f t="shared" si="139"/>
        <v>9972.5109087541441</v>
      </c>
      <c r="G364" s="104">
        <f t="shared" si="140"/>
        <v>1.570696051146083</v>
      </c>
      <c r="H364" s="113">
        <f t="shared" si="141"/>
        <v>1246.5642584295722</v>
      </c>
      <c r="I364" s="114">
        <f t="shared" si="142"/>
        <v>1.5699941217737809</v>
      </c>
      <c r="J364" s="101">
        <f t="shared" si="143"/>
        <v>29.347956199540402</v>
      </c>
      <c r="K364" s="104">
        <f t="shared" si="144"/>
        <v>1.5367158068520188</v>
      </c>
      <c r="L364" s="102">
        <f t="shared" si="145"/>
        <v>1</v>
      </c>
      <c r="M364" s="103">
        <f t="shared" si="146"/>
        <v>9.6242062514220007E-10</v>
      </c>
      <c r="N364" s="101">
        <f t="shared" si="147"/>
        <v>1</v>
      </c>
      <c r="O364" s="104">
        <f t="shared" si="148"/>
        <v>1.5398730002275201E-10</v>
      </c>
      <c r="P364" s="105">
        <f t="shared" ca="1" si="149"/>
        <v>1.9104949377384377</v>
      </c>
      <c r="Q364" s="106">
        <f t="shared" ca="1" si="150"/>
        <v>1.0714308055152726</v>
      </c>
      <c r="R364" s="107">
        <f t="shared" ca="1" si="151"/>
        <v>-41.928381340550807</v>
      </c>
      <c r="S364" s="108">
        <f t="shared" ca="1" si="152"/>
        <v>-198.68967317128354</v>
      </c>
      <c r="T364" s="116">
        <f t="shared" ca="1" si="153"/>
        <v>-18.689673171283545</v>
      </c>
      <c r="V364" s="72">
        <f t="shared" ca="1" si="154"/>
        <v>29176</v>
      </c>
      <c r="W364" s="72">
        <f t="shared" si="155"/>
        <v>851238976</v>
      </c>
      <c r="Y364" s="110">
        <f t="shared" si="156"/>
        <v>16.669045419660463</v>
      </c>
      <c r="Z364" s="111">
        <f t="shared" si="157"/>
        <v>-88.08754768854574</v>
      </c>
      <c r="AA364" s="72">
        <f t="shared" si="158"/>
        <v>91.91245231145426</v>
      </c>
      <c r="AB364" s="110">
        <f t="shared" ca="1" si="159"/>
        <v>-42.679826413329771</v>
      </c>
      <c r="AC364" s="111">
        <f t="shared" ca="1" si="160"/>
        <v>-110.60212548273785</v>
      </c>
      <c r="AD364" s="72">
        <f t="shared" ca="1" si="161"/>
        <v>69.397874517262153</v>
      </c>
    </row>
    <row r="365" spans="1:30">
      <c r="A365" s="118">
        <v>29344</v>
      </c>
      <c r="B365" s="101">
        <f t="shared" ca="1" si="135"/>
        <v>1504.782849482807</v>
      </c>
      <c r="C365" s="102">
        <f t="shared" ca="1" si="136"/>
        <v>1.570131779033771</v>
      </c>
      <c r="D365" s="102">
        <f t="shared" si="137"/>
        <v>1.3232236037878209</v>
      </c>
      <c r="E365" s="103">
        <f t="shared" si="138"/>
        <v>0.71402796001376134</v>
      </c>
      <c r="F365" s="101">
        <f t="shared" si="139"/>
        <v>10029.934195560858</v>
      </c>
      <c r="G365" s="104">
        <f t="shared" si="140"/>
        <v>1.5706966252433052</v>
      </c>
      <c r="H365" s="113">
        <f t="shared" si="141"/>
        <v>1253.7421670199044</v>
      </c>
      <c r="I365" s="114">
        <f t="shared" si="142"/>
        <v>1.569998714548666</v>
      </c>
      <c r="J365" s="101">
        <f t="shared" si="143"/>
        <v>29.516750708391388</v>
      </c>
      <c r="K365" s="104">
        <f t="shared" si="144"/>
        <v>1.5369107745775987</v>
      </c>
      <c r="L365" s="102">
        <f t="shared" si="145"/>
        <v>1</v>
      </c>
      <c r="M365" s="103">
        <f t="shared" si="146"/>
        <v>9.6796239457680019E-10</v>
      </c>
      <c r="N365" s="101">
        <f t="shared" si="147"/>
        <v>1</v>
      </c>
      <c r="O365" s="104">
        <f t="shared" si="148"/>
        <v>1.5487398313228801E-10</v>
      </c>
      <c r="P365" s="105">
        <f t="shared" ca="1" si="149"/>
        <v>1.9185102438073482</v>
      </c>
      <c r="Q365" s="106">
        <f t="shared" ca="1" si="150"/>
        <v>1.0742912522415662</v>
      </c>
      <c r="R365" s="107">
        <f t="shared" ca="1" si="151"/>
        <v>-42.043112659362983</v>
      </c>
      <c r="S365" s="108">
        <f t="shared" ca="1" si="152"/>
        <v>-198.70197876536619</v>
      </c>
      <c r="T365" s="116">
        <f t="shared" ca="1" si="153"/>
        <v>-18.701978765366192</v>
      </c>
      <c r="V365" s="72">
        <f t="shared" ca="1" si="154"/>
        <v>29344</v>
      </c>
      <c r="W365" s="72">
        <f t="shared" si="155"/>
        <v>861070336</v>
      </c>
      <c r="Y365" s="110">
        <f t="shared" si="156"/>
        <v>16.619231685917853</v>
      </c>
      <c r="Z365" s="111">
        <f t="shared" si="157"/>
        <v>-88.098488262839197</v>
      </c>
      <c r="AA365" s="72">
        <f t="shared" si="158"/>
        <v>91.901511737160803</v>
      </c>
      <c r="AB365" s="110">
        <f t="shared" ca="1" si="159"/>
        <v>-42.744743998399329</v>
      </c>
      <c r="AC365" s="111">
        <f t="shared" ca="1" si="160"/>
        <v>-110.60349050252699</v>
      </c>
      <c r="AD365" s="72">
        <f t="shared" ca="1" si="161"/>
        <v>69.396509497473005</v>
      </c>
    </row>
    <row r="366" spans="1:30">
      <c r="A366" s="118">
        <v>29512</v>
      </c>
      <c r="B366" s="101">
        <f t="shared" ca="1" si="135"/>
        <v>1513.3980146745625</v>
      </c>
      <c r="C366" s="102">
        <f t="shared" ca="1" si="136"/>
        <v>1.5701355620369994</v>
      </c>
      <c r="D366" s="102">
        <f t="shared" si="137"/>
        <v>1.3264779108028428</v>
      </c>
      <c r="E366" s="103">
        <f t="shared" si="138"/>
        <v>0.71685449473205309</v>
      </c>
      <c r="F366" s="101">
        <f t="shared" si="139"/>
        <v>10087.357482370837</v>
      </c>
      <c r="G366" s="104">
        <f t="shared" si="140"/>
        <v>1.5706971928043163</v>
      </c>
      <c r="H366" s="113">
        <f t="shared" si="141"/>
        <v>1260.9200756363814</v>
      </c>
      <c r="I366" s="114">
        <f t="shared" si="142"/>
        <v>1.5700032550339269</v>
      </c>
      <c r="J366" s="101">
        <f t="shared" si="143"/>
        <v>29.685546326485689</v>
      </c>
      <c r="K366" s="104">
        <f t="shared" si="144"/>
        <v>1.5371035250901512</v>
      </c>
      <c r="L366" s="102">
        <f t="shared" si="145"/>
        <v>1</v>
      </c>
      <c r="M366" s="103">
        <f t="shared" si="146"/>
        <v>9.735041640114001E-10</v>
      </c>
      <c r="N366" s="101">
        <f t="shared" si="147"/>
        <v>1</v>
      </c>
      <c r="O366" s="104">
        <f t="shared" si="148"/>
        <v>1.55760666241824E-10</v>
      </c>
      <c r="P366" s="105">
        <f t="shared" ca="1" si="149"/>
        <v>1.9265384418968445</v>
      </c>
      <c r="Q366" s="106">
        <f t="shared" ca="1" si="150"/>
        <v>1.0771304543948355</v>
      </c>
      <c r="R366" s="107">
        <f t="shared" ca="1" si="151"/>
        <v>-42.157164682600353</v>
      </c>
      <c r="S366" s="108">
        <f t="shared" ca="1" si="152"/>
        <v>-198.71373746486967</v>
      </c>
      <c r="T366" s="116">
        <f t="shared" ca="1" si="153"/>
        <v>-18.713737464869666</v>
      </c>
      <c r="V366" s="72">
        <f t="shared" ca="1" si="154"/>
        <v>29512</v>
      </c>
      <c r="W366" s="72">
        <f t="shared" si="155"/>
        <v>870958144</v>
      </c>
      <c r="Y366" s="110">
        <f t="shared" si="156"/>
        <v>16.569701682170766</v>
      </c>
      <c r="Z366" s="111">
        <f t="shared" si="157"/>
        <v>-88.10930442166125</v>
      </c>
      <c r="AA366" s="72">
        <f t="shared" si="158"/>
        <v>91.89069557833875</v>
      </c>
      <c r="AB366" s="110">
        <f t="shared" ca="1" si="159"/>
        <v>-42.80926601788962</v>
      </c>
      <c r="AC366" s="111">
        <f t="shared" ca="1" si="160"/>
        <v>-110.60443304320839</v>
      </c>
      <c r="AD366" s="72">
        <f t="shared" ca="1" si="161"/>
        <v>69.395566956791612</v>
      </c>
    </row>
    <row r="367" spans="1:30">
      <c r="A367" s="118">
        <v>29684</v>
      </c>
      <c r="B367" s="101">
        <f t="shared" ca="1" si="135"/>
        <v>1522.2183028692548</v>
      </c>
      <c r="C367" s="102">
        <f t="shared" ca="1" si="136"/>
        <v>1.5701393907496246</v>
      </c>
      <c r="D367" s="102">
        <f t="shared" si="137"/>
        <v>1.3298206260087932</v>
      </c>
      <c r="E367" s="103">
        <f t="shared" si="138"/>
        <v>0.71973397220885382</v>
      </c>
      <c r="F367" s="101">
        <f t="shared" si="139"/>
        <v>10146.147990298667</v>
      </c>
      <c r="G367" s="104">
        <f t="shared" si="140"/>
        <v>1.5706977672230695</v>
      </c>
      <c r="H367" s="113">
        <f t="shared" si="141"/>
        <v>1268.2688868655873</v>
      </c>
      <c r="I367" s="114">
        <f t="shared" si="142"/>
        <v>1.5700078503811234</v>
      </c>
      <c r="J367" s="101">
        <f t="shared" si="143"/>
        <v>29.858362017397273</v>
      </c>
      <c r="K367" s="104">
        <f t="shared" si="144"/>
        <v>1.5372986071240544</v>
      </c>
      <c r="L367" s="102">
        <f t="shared" si="145"/>
        <v>1</v>
      </c>
      <c r="M367" s="103">
        <f t="shared" si="146"/>
        <v>9.7917788033730005E-10</v>
      </c>
      <c r="N367" s="101">
        <f t="shared" si="147"/>
        <v>1</v>
      </c>
      <c r="O367" s="104">
        <f t="shared" si="148"/>
        <v>1.5666846085396801E-10</v>
      </c>
      <c r="P367" s="105">
        <f t="shared" ca="1" si="149"/>
        <v>1.9347709851196577</v>
      </c>
      <c r="Q367" s="106">
        <f t="shared" ca="1" si="150"/>
        <v>1.080015488261203</v>
      </c>
      <c r="R367" s="107">
        <f t="shared" ca="1" si="151"/>
        <v>-42.273235854482117</v>
      </c>
      <c r="S367" s="108">
        <f t="shared" ca="1" si="152"/>
        <v>-198.72522218632753</v>
      </c>
      <c r="T367" s="116">
        <f t="shared" ca="1" si="153"/>
        <v>-18.725222186327528</v>
      </c>
      <c r="V367" s="72">
        <f t="shared" ca="1" si="154"/>
        <v>29684</v>
      </c>
      <c r="W367" s="72">
        <f t="shared" si="155"/>
        <v>881139856</v>
      </c>
      <c r="Y367" s="110">
        <f t="shared" si="156"/>
        <v>16.519282984423477</v>
      </c>
      <c r="Z367" s="111">
        <f t="shared" si="157"/>
        <v>-88.120251416372639</v>
      </c>
      <c r="AA367" s="72">
        <f t="shared" si="158"/>
        <v>91.879748583627361</v>
      </c>
      <c r="AB367" s="110">
        <f t="shared" ca="1" si="159"/>
        <v>-42.874918492024094</v>
      </c>
      <c r="AC367" s="111">
        <f t="shared" ca="1" si="160"/>
        <v>-110.60497076995492</v>
      </c>
      <c r="AD367" s="72">
        <f t="shared" ca="1" si="161"/>
        <v>69.395029230045083</v>
      </c>
    </row>
    <row r="368" spans="1:30">
      <c r="A368" s="118">
        <v>29856</v>
      </c>
      <c r="B368" s="101">
        <f t="shared" ca="1" si="135"/>
        <v>1531.0385910860045</v>
      </c>
      <c r="C368" s="102">
        <f t="shared" ca="1" si="136"/>
        <v>1.5701431753479487</v>
      </c>
      <c r="D368" s="102">
        <f t="shared" si="137"/>
        <v>1.3331743119316537</v>
      </c>
      <c r="E368" s="103">
        <f t="shared" si="138"/>
        <v>0.72259898631882813</v>
      </c>
      <c r="F368" s="101">
        <f t="shared" si="139"/>
        <v>10204.938498229807</v>
      </c>
      <c r="G368" s="104">
        <f t="shared" si="140"/>
        <v>1.5706983350233858</v>
      </c>
      <c r="H368" s="113">
        <f t="shared" si="141"/>
        <v>1275.6176981212673</v>
      </c>
      <c r="I368" s="114">
        <f t="shared" si="142"/>
        <v>1.5700123927808904</v>
      </c>
      <c r="J368" s="101">
        <f t="shared" si="143"/>
        <v>30.031178831550513</v>
      </c>
      <c r="K368" s="104">
        <f t="shared" si="144"/>
        <v>1.5374914439349747</v>
      </c>
      <c r="L368" s="102">
        <f t="shared" si="145"/>
        <v>1</v>
      </c>
      <c r="M368" s="103">
        <f t="shared" si="146"/>
        <v>9.848515966632E-10</v>
      </c>
      <c r="N368" s="101">
        <f t="shared" si="147"/>
        <v>1</v>
      </c>
      <c r="O368" s="104">
        <f t="shared" si="148"/>
        <v>1.5757625546611201E-10</v>
      </c>
      <c r="P368" s="105">
        <f t="shared" ca="1" si="149"/>
        <v>1.9430167219840897</v>
      </c>
      <c r="Q368" s="106">
        <f t="shared" ca="1" si="150"/>
        <v>1.0828787404859903</v>
      </c>
      <c r="R368" s="107">
        <f t="shared" ca="1" si="151"/>
        <v>-42.388609866734377</v>
      </c>
      <c r="S368" s="108">
        <f t="shared" ca="1" si="152"/>
        <v>-198.73615908661961</v>
      </c>
      <c r="T368" s="116">
        <f t="shared" ca="1" si="153"/>
        <v>-18.736159086619608</v>
      </c>
      <c r="V368" s="72">
        <f t="shared" ca="1" si="154"/>
        <v>29856</v>
      </c>
      <c r="W368" s="72">
        <f t="shared" si="155"/>
        <v>891380736</v>
      </c>
      <c r="Y368" s="110">
        <f t="shared" si="156"/>
        <v>16.469154937531624</v>
      </c>
      <c r="Z368" s="111">
        <f t="shared" si="157"/>
        <v>-88.13107242373863</v>
      </c>
      <c r="AA368" s="72">
        <f t="shared" si="158"/>
        <v>91.86892757626137</v>
      </c>
      <c r="AB368" s="110">
        <f t="shared" ca="1" si="159"/>
        <v>-42.940164457384498</v>
      </c>
      <c r="AC368" s="111">
        <f t="shared" ca="1" si="160"/>
        <v>-110.60508666288099</v>
      </c>
      <c r="AD368" s="72">
        <f t="shared" ca="1" si="161"/>
        <v>69.394913337119007</v>
      </c>
    </row>
    <row r="369" spans="1:30">
      <c r="A369" s="118">
        <v>30028</v>
      </c>
      <c r="B369" s="101">
        <f t="shared" ca="1" si="135"/>
        <v>1539.8588793244321</v>
      </c>
      <c r="C369" s="102">
        <f t="shared" ca="1" si="136"/>
        <v>1.5701469165900293</v>
      </c>
      <c r="D369" s="102">
        <f t="shared" si="137"/>
        <v>1.33653888598721</v>
      </c>
      <c r="E369" s="103">
        <f t="shared" si="138"/>
        <v>0.72544959908058693</v>
      </c>
      <c r="F369" s="101">
        <f t="shared" si="139"/>
        <v>10263.729006164198</v>
      </c>
      <c r="G369" s="104">
        <f t="shared" si="140"/>
        <v>1.5706988963189963</v>
      </c>
      <c r="H369" s="113">
        <f t="shared" si="141"/>
        <v>1282.9665094029658</v>
      </c>
      <c r="I369" s="114">
        <f t="shared" si="142"/>
        <v>1.5700168831430739</v>
      </c>
      <c r="J369" s="101">
        <f t="shared" si="143"/>
        <v>30.203996749665009</v>
      </c>
      <c r="K369" s="104">
        <f t="shared" si="144"/>
        <v>1.5376820740478587</v>
      </c>
      <c r="L369" s="102">
        <f t="shared" si="145"/>
        <v>1</v>
      </c>
      <c r="M369" s="103">
        <f t="shared" si="146"/>
        <v>9.9052531298910016E-10</v>
      </c>
      <c r="N369" s="101">
        <f t="shared" si="147"/>
        <v>1</v>
      </c>
      <c r="O369" s="104">
        <f t="shared" si="148"/>
        <v>1.5848405007825602E-10</v>
      </c>
      <c r="P369" s="105">
        <f t="shared" ca="1" si="149"/>
        <v>1.9512754945442696</v>
      </c>
      <c r="Q369" s="106">
        <f t="shared" ca="1" si="150"/>
        <v>1.0857204527972959</v>
      </c>
      <c r="R369" s="107">
        <f t="shared" ca="1" si="151"/>
        <v>-42.503294076986805</v>
      </c>
      <c r="S369" s="108">
        <f t="shared" ca="1" si="152"/>
        <v>-198.74656066747733</v>
      </c>
      <c r="T369" s="116">
        <f t="shared" ca="1" si="153"/>
        <v>-18.746560667477326</v>
      </c>
      <c r="V369" s="72">
        <f t="shared" ca="1" si="154"/>
        <v>30028</v>
      </c>
      <c r="W369" s="72">
        <f t="shared" si="155"/>
        <v>901680784</v>
      </c>
      <c r="Y369" s="110">
        <f t="shared" si="156"/>
        <v>16.419314213325972</v>
      </c>
      <c r="Z369" s="111">
        <f t="shared" si="157"/>
        <v>-88.141769605462088</v>
      </c>
      <c r="AA369" s="72">
        <f t="shared" si="158"/>
        <v>91.858230394537912</v>
      </c>
      <c r="AB369" s="110">
        <f t="shared" ca="1" si="159"/>
        <v>-43.005007943431281</v>
      </c>
      <c r="AC369" s="111">
        <f t="shared" ca="1" si="160"/>
        <v>-110.60479106201525</v>
      </c>
      <c r="AD369" s="72">
        <f t="shared" ca="1" si="161"/>
        <v>69.395208937984748</v>
      </c>
    </row>
    <row r="370" spans="1:30">
      <c r="A370" s="118">
        <v>30200</v>
      </c>
      <c r="B370" s="101">
        <f t="shared" ca="1" si="135"/>
        <v>1548.6791675841678</v>
      </c>
      <c r="C370" s="102">
        <f t="shared" ca="1" si="136"/>
        <v>1.5701506152166551</v>
      </c>
      <c r="D370" s="102">
        <f t="shared" si="137"/>
        <v>1.3399142661539589</v>
      </c>
      <c r="E370" s="103">
        <f t="shared" si="138"/>
        <v>0.72828587282704094</v>
      </c>
      <c r="F370" s="101">
        <f t="shared" si="139"/>
        <v>10322.519514101788</v>
      </c>
      <c r="G370" s="104">
        <f t="shared" si="140"/>
        <v>1.570699451221041</v>
      </c>
      <c r="H370" s="113">
        <f t="shared" si="141"/>
        <v>1290.3153207102387</v>
      </c>
      <c r="I370" s="114">
        <f t="shared" si="142"/>
        <v>1.5700213223567916</v>
      </c>
      <c r="J370" s="101">
        <f t="shared" si="143"/>
        <v>30.376815752898995</v>
      </c>
      <c r="K370" s="104">
        <f t="shared" si="144"/>
        <v>1.5378705351116013</v>
      </c>
      <c r="L370" s="102">
        <f t="shared" si="145"/>
        <v>1</v>
      </c>
      <c r="M370" s="103">
        <f t="shared" si="146"/>
        <v>9.9619902931500011E-10</v>
      </c>
      <c r="N370" s="101">
        <f t="shared" si="147"/>
        <v>1</v>
      </c>
      <c r="O370" s="104">
        <f t="shared" si="148"/>
        <v>1.593918446904E-10</v>
      </c>
      <c r="P370" s="105">
        <f t="shared" ca="1" si="149"/>
        <v>1.9595471473083899</v>
      </c>
      <c r="Q370" s="106">
        <f t="shared" ca="1" si="150"/>
        <v>1.0885408639718388</v>
      </c>
      <c r="R370" s="107">
        <f t="shared" ca="1" si="151"/>
        <v>-42.617295735401285</v>
      </c>
      <c r="S370" s="108">
        <f t="shared" ca="1" si="152"/>
        <v>-198.7564391933783</v>
      </c>
      <c r="T370" s="116">
        <f t="shared" ca="1" si="153"/>
        <v>-18.756439193378299</v>
      </c>
      <c r="V370" s="72">
        <f t="shared" ca="1" si="154"/>
        <v>30200</v>
      </c>
      <c r="W370" s="72">
        <f t="shared" si="155"/>
        <v>912040000</v>
      </c>
      <c r="Y370" s="110">
        <f t="shared" si="156"/>
        <v>16.369757540414483</v>
      </c>
      <c r="Z370" s="111">
        <f t="shared" si="157"/>
        <v>-88.152345074090945</v>
      </c>
      <c r="AA370" s="72">
        <f t="shared" si="158"/>
        <v>91.847654925909055</v>
      </c>
      <c r="AB370" s="110">
        <f t="shared" ca="1" si="159"/>
        <v>-43.069452928934254</v>
      </c>
      <c r="AC370" s="111">
        <f t="shared" ca="1" si="160"/>
        <v>-110.6040941192874</v>
      </c>
      <c r="AD370" s="72">
        <f t="shared" ca="1" si="161"/>
        <v>69.395905880712604</v>
      </c>
    </row>
    <row r="371" spans="1:30">
      <c r="A371" s="118">
        <v>30375.75</v>
      </c>
      <c r="B371" s="101">
        <f t="shared" ca="1" si="135"/>
        <v>1557.6917586618968</v>
      </c>
      <c r="C371" s="102">
        <f t="shared" ca="1" si="136"/>
        <v>1.5701543512158849</v>
      </c>
      <c r="D371" s="102">
        <f t="shared" si="137"/>
        <v>1.343374314784191</v>
      </c>
      <c r="E371" s="103">
        <f t="shared" si="138"/>
        <v>0.73116923774315534</v>
      </c>
      <c r="F371" s="101">
        <f t="shared" si="139"/>
        <v>10382.591791837773</v>
      </c>
      <c r="G371" s="104">
        <f t="shared" si="140"/>
        <v>1.5707000117300656</v>
      </c>
      <c r="H371" s="113">
        <f t="shared" si="141"/>
        <v>1297.8243532202334</v>
      </c>
      <c r="I371" s="114">
        <f t="shared" si="142"/>
        <v>1.5700258064263513</v>
      </c>
      <c r="J371" s="101">
        <f t="shared" si="143"/>
        <v>30.553403714014689</v>
      </c>
      <c r="K371" s="104">
        <f t="shared" si="144"/>
        <v>1.5380609028459493</v>
      </c>
      <c r="L371" s="102">
        <f t="shared" si="145"/>
        <v>1</v>
      </c>
      <c r="M371" s="103">
        <f t="shared" si="146"/>
        <v>1.0019964458514938E-9</v>
      </c>
      <c r="N371" s="101">
        <f t="shared" si="147"/>
        <v>1</v>
      </c>
      <c r="O371" s="104">
        <f t="shared" si="148"/>
        <v>1.60319431336239E-10</v>
      </c>
      <c r="P371" s="105">
        <f t="shared" ca="1" si="149"/>
        <v>1.9680122865747107</v>
      </c>
      <c r="Q371" s="106">
        <f t="shared" ca="1" si="150"/>
        <v>1.0914010092266462</v>
      </c>
      <c r="R371" s="107">
        <f t="shared" ca="1" si="151"/>
        <v>-42.733085292418309</v>
      </c>
      <c r="S371" s="108">
        <f t="shared" ca="1" si="152"/>
        <v>-198.76600532577808</v>
      </c>
      <c r="T371" s="116">
        <f t="shared" ca="1" si="153"/>
        <v>-18.766005325778082</v>
      </c>
      <c r="V371" s="72">
        <f t="shared" ca="1" si="154"/>
        <v>30375.75</v>
      </c>
      <c r="W371" s="72">
        <f t="shared" si="155"/>
        <v>922686188.0625</v>
      </c>
      <c r="Y371" s="110">
        <f t="shared" si="156"/>
        <v>16.319410479393298</v>
      </c>
      <c r="Z371" s="111">
        <f t="shared" si="157"/>
        <v>-88.163027538098419</v>
      </c>
      <c r="AA371" s="72">
        <f t="shared" si="158"/>
        <v>91.836972461901581</v>
      </c>
      <c r="AB371" s="110">
        <f t="shared" ca="1" si="159"/>
        <v>-43.1348954249301</v>
      </c>
      <c r="AC371" s="111">
        <f t="shared" ca="1" si="160"/>
        <v>-110.60297778767962</v>
      </c>
      <c r="AD371" s="72">
        <f t="shared" ca="1" si="161"/>
        <v>69.39702221232038</v>
      </c>
    </row>
    <row r="372" spans="1:30">
      <c r="A372" s="118">
        <v>30551.5</v>
      </c>
      <c r="B372" s="101">
        <f t="shared" ca="1" si="135"/>
        <v>1566.7043497611173</v>
      </c>
      <c r="C372" s="102">
        <f t="shared" ca="1" si="136"/>
        <v>1.5701580442318506</v>
      </c>
      <c r="D372" s="102">
        <f t="shared" si="137"/>
        <v>1.3468454745127332</v>
      </c>
      <c r="E372" s="103">
        <f t="shared" si="138"/>
        <v>0.73403776409141341</v>
      </c>
      <c r="F372" s="101">
        <f t="shared" si="139"/>
        <v>10442.664069576982</v>
      </c>
      <c r="G372" s="104">
        <f t="shared" si="140"/>
        <v>1.5707005657903421</v>
      </c>
      <c r="H372" s="113">
        <f t="shared" si="141"/>
        <v>1305.3333857560233</v>
      </c>
      <c r="I372" s="114">
        <f t="shared" si="142"/>
        <v>1.5700302389059886</v>
      </c>
      <c r="J372" s="101">
        <f t="shared" si="143"/>
        <v>30.729992769656363</v>
      </c>
      <c r="K372" s="104">
        <f t="shared" si="144"/>
        <v>1.5382490827011848</v>
      </c>
      <c r="L372" s="102">
        <f t="shared" si="145"/>
        <v>1</v>
      </c>
      <c r="M372" s="103">
        <f t="shared" si="146"/>
        <v>1.0077938623879876E-9</v>
      </c>
      <c r="N372" s="101">
        <f t="shared" si="147"/>
        <v>1</v>
      </c>
      <c r="O372" s="104">
        <f t="shared" si="148"/>
        <v>1.61247017982078E-10</v>
      </c>
      <c r="P372" s="105">
        <f t="shared" ca="1" si="149"/>
        <v>1.9764905532332315</v>
      </c>
      <c r="Q372" s="106">
        <f t="shared" ca="1" si="150"/>
        <v>1.0942394091331225</v>
      </c>
      <c r="R372" s="107">
        <f t="shared" ca="1" si="151"/>
        <v>-42.848177181094094</v>
      </c>
      <c r="S372" s="108">
        <f t="shared" ca="1" si="152"/>
        <v>-198.77505049620581</v>
      </c>
      <c r="T372" s="116">
        <f t="shared" ca="1" si="153"/>
        <v>-18.775050496205807</v>
      </c>
      <c r="V372" s="72">
        <f t="shared" ca="1" si="154"/>
        <v>30551.5</v>
      </c>
      <c r="W372" s="72">
        <f t="shared" si="155"/>
        <v>933394152.25</v>
      </c>
      <c r="Y372" s="110">
        <f t="shared" si="156"/>
        <v>16.269353260830336</v>
      </c>
      <c r="Z372" s="111">
        <f t="shared" si="157"/>
        <v>-88.173587232265291</v>
      </c>
      <c r="AA372" s="72">
        <f t="shared" si="158"/>
        <v>91.826412767734709</v>
      </c>
      <c r="AB372" s="110">
        <f t="shared" ca="1" si="159"/>
        <v>-43.19993009504293</v>
      </c>
      <c r="AC372" s="111">
        <f t="shared" ca="1" si="160"/>
        <v>-110.60146326394057</v>
      </c>
      <c r="AD372" s="72">
        <f t="shared" ca="1" si="161"/>
        <v>69.398536736059427</v>
      </c>
    </row>
    <row r="373" spans="1:30">
      <c r="A373" s="118">
        <v>30727.25</v>
      </c>
      <c r="B373" s="101">
        <f t="shared" ca="1" si="135"/>
        <v>1575.7169408814609</v>
      </c>
      <c r="C373" s="102">
        <f t="shared" ca="1" si="136"/>
        <v>1.5701616950021033</v>
      </c>
      <c r="D373" s="102">
        <f t="shared" si="137"/>
        <v>1.3503276596528366</v>
      </c>
      <c r="E373" s="103">
        <f t="shared" si="138"/>
        <v>0.73689151927868124</v>
      </c>
      <c r="F373" s="101">
        <f t="shared" si="139"/>
        <v>10502.736347319362</v>
      </c>
      <c r="G373" s="104">
        <f t="shared" si="140"/>
        <v>1.5707011135125251</v>
      </c>
      <c r="H373" s="113">
        <f t="shared" si="141"/>
        <v>1312.8424183171653</v>
      </c>
      <c r="I373" s="114">
        <f t="shared" si="142"/>
        <v>1.5700346206809357</v>
      </c>
      <c r="J373" s="101">
        <f t="shared" si="143"/>
        <v>30.906582901062844</v>
      </c>
      <c r="K373" s="104">
        <f t="shared" si="144"/>
        <v>1.5384351121663473</v>
      </c>
      <c r="L373" s="102">
        <f t="shared" si="145"/>
        <v>1</v>
      </c>
      <c r="M373" s="103">
        <f t="shared" si="146"/>
        <v>1.0135912789244813E-9</v>
      </c>
      <c r="N373" s="101">
        <f t="shared" si="147"/>
        <v>1</v>
      </c>
      <c r="O373" s="104">
        <f t="shared" si="148"/>
        <v>1.6217460462791701E-10</v>
      </c>
      <c r="P373" s="105">
        <f t="shared" ca="1" si="149"/>
        <v>1.98498178907208</v>
      </c>
      <c r="Q373" s="106">
        <f t="shared" ca="1" si="150"/>
        <v>1.0970563090742105</v>
      </c>
      <c r="R373" s="107">
        <f t="shared" ca="1" si="151"/>
        <v>-42.96257880208011</v>
      </c>
      <c r="S373" s="108">
        <f t="shared" ca="1" si="152"/>
        <v>-198.78358704778205</v>
      </c>
      <c r="T373" s="116">
        <f t="shared" ca="1" si="153"/>
        <v>-18.783587047782049</v>
      </c>
      <c r="V373" s="72">
        <f t="shared" ca="1" si="154"/>
        <v>30727.25</v>
      </c>
      <c r="W373" s="72">
        <f t="shared" si="155"/>
        <v>944163892.5625</v>
      </c>
      <c r="Y373" s="110">
        <f t="shared" si="156"/>
        <v>16.219582570143228</v>
      </c>
      <c r="Z373" s="111">
        <f t="shared" si="157"/>
        <v>-88.184026260175258</v>
      </c>
      <c r="AA373" s="72">
        <f t="shared" si="158"/>
        <v>91.815973739824742</v>
      </c>
      <c r="AB373" s="110">
        <f t="shared" ca="1" si="159"/>
        <v>-43.264561025341834</v>
      </c>
      <c r="AC373" s="111">
        <f t="shared" ca="1" si="160"/>
        <v>-110.5995607876068</v>
      </c>
      <c r="AD373" s="72">
        <f t="shared" ca="1" si="161"/>
        <v>69.400439212393195</v>
      </c>
    </row>
    <row r="374" spans="1:30">
      <c r="A374" s="118">
        <v>30903</v>
      </c>
      <c r="B374" s="101">
        <f t="shared" ca="1" si="135"/>
        <v>1584.7295320225667</v>
      </c>
      <c r="C374" s="102">
        <f t="shared" ca="1" si="136"/>
        <v>1.5701653042474157</v>
      </c>
      <c r="D374" s="102">
        <f t="shared" si="137"/>
        <v>1.3538207851285657</v>
      </c>
      <c r="E374" s="103">
        <f t="shared" si="138"/>
        <v>0.73973057098178641</v>
      </c>
      <c r="F374" s="101">
        <f t="shared" si="139"/>
        <v>10562.808625064858</v>
      </c>
      <c r="G374" s="104">
        <f t="shared" si="140"/>
        <v>1.5707016550047517</v>
      </c>
      <c r="H374" s="113">
        <f t="shared" si="141"/>
        <v>1320.3514509032277</v>
      </c>
      <c r="I374" s="114">
        <f t="shared" si="142"/>
        <v>1.5700389526162879</v>
      </c>
      <c r="J374" s="101">
        <f t="shared" si="143"/>
        <v>31.083174089899185</v>
      </c>
      <c r="K374" s="104">
        <f t="shared" si="144"/>
        <v>1.5386190278791414</v>
      </c>
      <c r="L374" s="102">
        <f t="shared" si="145"/>
        <v>1</v>
      </c>
      <c r="M374" s="103">
        <f t="shared" si="146"/>
        <v>1.0193886954609752E-9</v>
      </c>
      <c r="N374" s="101">
        <f t="shared" si="147"/>
        <v>1</v>
      </c>
      <c r="O374" s="104">
        <f t="shared" si="148"/>
        <v>1.6310219127375601E-10</v>
      </c>
      <c r="P374" s="105">
        <f t="shared" ca="1" si="149"/>
        <v>1.9934858383772283</v>
      </c>
      <c r="Q374" s="106">
        <f t="shared" ca="1" si="150"/>
        <v>1.099851951347345</v>
      </c>
      <c r="R374" s="107">
        <f t="shared" ca="1" si="151"/>
        <v>-43.07629744783145</v>
      </c>
      <c r="S374" s="108">
        <f t="shared" ca="1" si="152"/>
        <v>-198.79162708264317</v>
      </c>
      <c r="T374" s="116">
        <f t="shared" ca="1" si="153"/>
        <v>-18.791627082643174</v>
      </c>
      <c r="V374" s="72">
        <f t="shared" ca="1" si="154"/>
        <v>30903</v>
      </c>
      <c r="W374" s="72">
        <f t="shared" si="155"/>
        <v>954995409</v>
      </c>
      <c r="Y374" s="110">
        <f t="shared" si="156"/>
        <v>16.170095149224512</v>
      </c>
      <c r="Z374" s="111">
        <f t="shared" si="157"/>
        <v>-88.194346677643651</v>
      </c>
      <c r="AA374" s="72">
        <f t="shared" si="158"/>
        <v>91.805653322356349</v>
      </c>
      <c r="AB374" s="110">
        <f t="shared" ca="1" si="159"/>
        <v>-43.328792250174459</v>
      </c>
      <c r="AC374" s="111">
        <f t="shared" ca="1" si="160"/>
        <v>-110.59728040499947</v>
      </c>
      <c r="AD374" s="72">
        <f t="shared" ca="1" si="161"/>
        <v>69.402719595000534</v>
      </c>
    </row>
    <row r="375" spans="1:30">
      <c r="A375" s="118">
        <v>31083</v>
      </c>
      <c r="B375" s="101">
        <f t="shared" ca="1" si="135"/>
        <v>1593.9600663560909</v>
      </c>
      <c r="C375" s="102">
        <f t="shared" ca="1" si="136"/>
        <v>1.5701689584644687</v>
      </c>
      <c r="D375" s="102">
        <f t="shared" si="137"/>
        <v>1.357409633750835</v>
      </c>
      <c r="E375" s="103">
        <f t="shared" si="138"/>
        <v>0.74262310670914133</v>
      </c>
      <c r="F375" s="101">
        <f t="shared" si="139"/>
        <v>10624.333575248336</v>
      </c>
      <c r="G375" s="104">
        <f t="shared" si="140"/>
        <v>1.5707022032440505</v>
      </c>
      <c r="H375" s="113">
        <f t="shared" si="141"/>
        <v>1328.0420675174712</v>
      </c>
      <c r="I375" s="114">
        <f t="shared" si="142"/>
        <v>1.5700433385282162</v>
      </c>
      <c r="J375" s="101">
        <f t="shared" si="143"/>
        <v>31.264036697800687</v>
      </c>
      <c r="K375" s="104">
        <f t="shared" si="144"/>
        <v>1.5388052374269652</v>
      </c>
      <c r="L375" s="102">
        <f t="shared" si="145"/>
        <v>1</v>
      </c>
      <c r="M375" s="103">
        <f t="shared" si="146"/>
        <v>1.0253263055694752E-9</v>
      </c>
      <c r="N375" s="101">
        <f t="shared" si="147"/>
        <v>1</v>
      </c>
      <c r="O375" s="104">
        <f t="shared" si="148"/>
        <v>1.6405220889111601E-10</v>
      </c>
      <c r="P375" s="105">
        <f t="shared" ca="1" si="149"/>
        <v>2.0022086551246452</v>
      </c>
      <c r="Q375" s="106">
        <f t="shared" ca="1" si="150"/>
        <v>1.1026934130649642</v>
      </c>
      <c r="R375" s="107">
        <f t="shared" ca="1" si="151"/>
        <v>-43.192065606573706</v>
      </c>
      <c r="S375" s="108">
        <f t="shared" ca="1" si="152"/>
        <v>-198.7993592671306</v>
      </c>
      <c r="T375" s="116">
        <f t="shared" ca="1" si="153"/>
        <v>-18.799359267130598</v>
      </c>
      <c r="V375" s="72">
        <f t="shared" ca="1" si="154"/>
        <v>31083</v>
      </c>
      <c r="W375" s="72">
        <f t="shared" si="155"/>
        <v>966152889</v>
      </c>
      <c r="Y375" s="110">
        <f t="shared" si="156"/>
        <v>16.119701300919218</v>
      </c>
      <c r="Z375" s="111">
        <f t="shared" si="157"/>
        <v>-88.204795816120395</v>
      </c>
      <c r="AA375" s="72">
        <f t="shared" si="158"/>
        <v>91.795204183879605</v>
      </c>
      <c r="AB375" s="110">
        <f t="shared" ca="1" si="159"/>
        <v>-43.39416656061141</v>
      </c>
      <c r="AC375" s="111">
        <f t="shared" ca="1" si="160"/>
        <v>-110.59456345101025</v>
      </c>
      <c r="AD375" s="72">
        <f t="shared" ca="1" si="161"/>
        <v>69.405436548989755</v>
      </c>
    </row>
    <row r="376" spans="1:30">
      <c r="A376" s="118">
        <v>31263</v>
      </c>
      <c r="B376" s="101">
        <f t="shared" ca="1" si="135"/>
        <v>1603.1906007106543</v>
      </c>
      <c r="C376" s="102">
        <f t="shared" ca="1" si="136"/>
        <v>1.5701725706024625</v>
      </c>
      <c r="D376" s="102">
        <f t="shared" si="137"/>
        <v>1.3610097795472171</v>
      </c>
      <c r="E376" s="103">
        <f t="shared" si="138"/>
        <v>0.74550036372134842</v>
      </c>
      <c r="F376" s="101">
        <f t="shared" si="139"/>
        <v>10685.858525434973</v>
      </c>
      <c r="G376" s="104">
        <f t="shared" si="140"/>
        <v>1.5707027451702589</v>
      </c>
      <c r="H376" s="113">
        <f t="shared" si="141"/>
        <v>1335.7326841569673</v>
      </c>
      <c r="I376" s="114">
        <f t="shared" si="142"/>
        <v>1.5700476739354776</v>
      </c>
      <c r="J376" s="101">
        <f t="shared" si="143"/>
        <v>31.44490037728092</v>
      </c>
      <c r="K376" s="104">
        <f t="shared" si="144"/>
        <v>1.538989304913966</v>
      </c>
      <c r="L376" s="102">
        <f t="shared" si="145"/>
        <v>1</v>
      </c>
      <c r="M376" s="103">
        <f t="shared" si="146"/>
        <v>1.0312639156779752E-9</v>
      </c>
      <c r="N376" s="101">
        <f t="shared" si="147"/>
        <v>1</v>
      </c>
      <c r="O376" s="104">
        <f t="shared" si="148"/>
        <v>1.6500222650847602E-10</v>
      </c>
      <c r="P376" s="105">
        <f t="shared" ca="1" si="149"/>
        <v>2.010944589767361</v>
      </c>
      <c r="Q376" s="106">
        <f t="shared" ca="1" si="150"/>
        <v>1.1055130812616405</v>
      </c>
      <c r="R376" s="107">
        <f t="shared" ca="1" si="151"/>
        <v>-43.307132504212419</v>
      </c>
      <c r="S376" s="108">
        <f t="shared" ca="1" si="152"/>
        <v>-198.80659557073483</v>
      </c>
      <c r="T376" s="116">
        <f t="shared" ca="1" si="153"/>
        <v>-18.806595570734828</v>
      </c>
      <c r="V376" s="72">
        <f t="shared" ca="1" si="154"/>
        <v>31263</v>
      </c>
      <c r="W376" s="72">
        <f t="shared" si="155"/>
        <v>977375169</v>
      </c>
      <c r="Y376" s="110">
        <f t="shared" si="156"/>
        <v>16.069597846405387</v>
      </c>
      <c r="Z376" s="111">
        <f t="shared" si="157"/>
        <v>-88.21512475554313</v>
      </c>
      <c r="AA376" s="72">
        <f t="shared" si="158"/>
        <v>91.78487524445687</v>
      </c>
      <c r="AB376" s="110">
        <f t="shared" ca="1" si="159"/>
        <v>-43.459130003736306</v>
      </c>
      <c r="AC376" s="111">
        <f t="shared" ca="1" si="160"/>
        <v>-110.5914708151917</v>
      </c>
      <c r="AD376" s="72">
        <f t="shared" ca="1" si="161"/>
        <v>69.408529184808302</v>
      </c>
    </row>
    <row r="377" spans="1:30">
      <c r="A377" s="118">
        <v>31443</v>
      </c>
      <c r="B377" s="101">
        <f t="shared" ca="1" si="135"/>
        <v>1612.4211350858959</v>
      </c>
      <c r="C377" s="102">
        <f t="shared" ca="1" si="136"/>
        <v>1.57017614138406</v>
      </c>
      <c r="D377" s="102">
        <f t="shared" si="137"/>
        <v>1.3646211331050435</v>
      </c>
      <c r="E377" s="103">
        <f t="shared" si="138"/>
        <v>0.74836241549205096</v>
      </c>
      <c r="F377" s="101">
        <f t="shared" si="139"/>
        <v>10747.383475624712</v>
      </c>
      <c r="G377" s="104">
        <f t="shared" si="140"/>
        <v>1.5707032808917973</v>
      </c>
      <c r="H377" s="113">
        <f t="shared" si="141"/>
        <v>1343.4233008212821</v>
      </c>
      <c r="I377" s="114">
        <f t="shared" si="142"/>
        <v>1.5700519597054352</v>
      </c>
      <c r="J377" s="101">
        <f t="shared" si="143"/>
        <v>31.625765109955232</v>
      </c>
      <c r="K377" s="104">
        <f t="shared" si="144"/>
        <v>1.5391712670782873</v>
      </c>
      <c r="L377" s="102">
        <f t="shared" si="145"/>
        <v>1</v>
      </c>
      <c r="M377" s="103">
        <f t="shared" si="146"/>
        <v>1.037201525786475E-9</v>
      </c>
      <c r="N377" s="101">
        <f t="shared" si="147"/>
        <v>1</v>
      </c>
      <c r="O377" s="104">
        <f t="shared" si="148"/>
        <v>1.65952244125836E-10</v>
      </c>
      <c r="P377" s="105">
        <f t="shared" ca="1" si="149"/>
        <v>2.0196934828875701</v>
      </c>
      <c r="Q377" s="106">
        <f t="shared" ca="1" si="150"/>
        <v>1.1083112063979512</v>
      </c>
      <c r="R377" s="107">
        <f t="shared" ca="1" si="151"/>
        <v>-43.421505635887968</v>
      </c>
      <c r="S377" s="108">
        <f t="shared" ca="1" si="152"/>
        <v>-198.81334823692208</v>
      </c>
      <c r="T377" s="116">
        <f t="shared" ca="1" si="153"/>
        <v>-18.813348236922081</v>
      </c>
      <c r="V377" s="72">
        <f t="shared" ca="1" si="154"/>
        <v>31443</v>
      </c>
      <c r="W377" s="72">
        <f t="shared" si="155"/>
        <v>988662249</v>
      </c>
      <c r="Y377" s="110">
        <f t="shared" si="156"/>
        <v>16.019781461427577</v>
      </c>
      <c r="Z377" s="111">
        <f t="shared" si="157"/>
        <v>-88.225335557368339</v>
      </c>
      <c r="AA377" s="72">
        <f t="shared" si="158"/>
        <v>91.774664442631661</v>
      </c>
      <c r="AB377" s="110">
        <f t="shared" ca="1" si="159"/>
        <v>-43.523686750434045</v>
      </c>
      <c r="AC377" s="111">
        <f t="shared" ca="1" si="160"/>
        <v>-110.58801267955373</v>
      </c>
      <c r="AD377" s="72">
        <f t="shared" ca="1" si="161"/>
        <v>69.411987320446272</v>
      </c>
    </row>
    <row r="378" spans="1:30">
      <c r="A378" s="118">
        <v>31623</v>
      </c>
      <c r="B378" s="101">
        <f t="shared" ca="1" si="135"/>
        <v>1621.6516694814627</v>
      </c>
      <c r="C378" s="102">
        <f t="shared" ca="1" si="136"/>
        <v>1.5701796715154697</v>
      </c>
      <c r="D378" s="102">
        <f t="shared" si="137"/>
        <v>1.3682436056787401</v>
      </c>
      <c r="E378" s="103">
        <f t="shared" si="138"/>
        <v>0.75120933571681714</v>
      </c>
      <c r="F378" s="101">
        <f t="shared" si="139"/>
        <v>10808.908425817503</v>
      </c>
      <c r="G378" s="104">
        <f t="shared" si="140"/>
        <v>1.5707038105146183</v>
      </c>
      <c r="H378" s="113">
        <f t="shared" si="141"/>
        <v>1351.1139175099918</v>
      </c>
      <c r="I378" s="114">
        <f t="shared" si="142"/>
        <v>1.5700561966857036</v>
      </c>
      <c r="J378" s="101">
        <f t="shared" si="143"/>
        <v>31.806630877857014</v>
      </c>
      <c r="K378" s="104">
        <f t="shared" si="144"/>
        <v>1.5393511598230041</v>
      </c>
      <c r="L378" s="102">
        <f t="shared" si="145"/>
        <v>1</v>
      </c>
      <c r="M378" s="103">
        <f t="shared" si="146"/>
        <v>1.043139135894975E-9</v>
      </c>
      <c r="N378" s="101">
        <f t="shared" si="147"/>
        <v>1</v>
      </c>
      <c r="O378" s="104">
        <f t="shared" si="148"/>
        <v>1.66902261743196E-10</v>
      </c>
      <c r="P378" s="105">
        <f t="shared" ca="1" si="149"/>
        <v>2.0284551776294983</v>
      </c>
      <c r="Q378" s="106">
        <f t="shared" ca="1" si="150"/>
        <v>1.111088035689372</v>
      </c>
      <c r="R378" s="107">
        <f t="shared" ca="1" si="151"/>
        <v>-43.535192386733627</v>
      </c>
      <c r="S378" s="108">
        <f t="shared" ca="1" si="152"/>
        <v>-198.81962926271393</v>
      </c>
      <c r="T378" s="116">
        <f t="shared" ca="1" si="153"/>
        <v>-18.819629262713931</v>
      </c>
      <c r="V378" s="72">
        <f t="shared" ca="1" si="154"/>
        <v>31623</v>
      </c>
      <c r="W378" s="72">
        <f t="shared" si="155"/>
        <v>1000014129</v>
      </c>
      <c r="Y378" s="110">
        <f t="shared" si="156"/>
        <v>15.970248878429887</v>
      </c>
      <c r="Z378" s="111">
        <f t="shared" si="157"/>
        <v>-88.235430236196507</v>
      </c>
      <c r="AA378" s="72">
        <f t="shared" si="158"/>
        <v>91.764569763803493</v>
      </c>
      <c r="AB378" s="110">
        <f t="shared" ca="1" si="159"/>
        <v>-43.587840918282012</v>
      </c>
      <c r="AC378" s="111">
        <f t="shared" ca="1" si="160"/>
        <v>-110.58419902651742</v>
      </c>
      <c r="AD378" s="72">
        <f t="shared" ca="1" si="161"/>
        <v>69.415800973482575</v>
      </c>
    </row>
    <row r="379" spans="1:30">
      <c r="A379" s="118">
        <v>31807</v>
      </c>
      <c r="B379" s="101">
        <f t="shared" ca="1" si="135"/>
        <v>1631.0873268842461</v>
      </c>
      <c r="C379" s="102">
        <f t="shared" ca="1" si="136"/>
        <v>1.5701832387976056</v>
      </c>
      <c r="D379" s="102">
        <f t="shared" si="137"/>
        <v>1.3719579783298346</v>
      </c>
      <c r="E379" s="103">
        <f t="shared" si="138"/>
        <v>0.75410395811645614</v>
      </c>
      <c r="F379" s="101">
        <f t="shared" si="139"/>
        <v>10871.800597128784</v>
      </c>
      <c r="G379" s="104">
        <f t="shared" si="140"/>
        <v>1.5707043457111307</v>
      </c>
      <c r="H379" s="113">
        <f t="shared" si="141"/>
        <v>1358.9754368165666</v>
      </c>
      <c r="I379" s="114">
        <f t="shared" si="142"/>
        <v>1.5700604782555088</v>
      </c>
      <c r="J379" s="101">
        <f t="shared" si="143"/>
        <v>31.991516936753985</v>
      </c>
      <c r="K379" s="104">
        <f t="shared" si="144"/>
        <v>1.539532947807098</v>
      </c>
      <c r="L379" s="102">
        <f t="shared" si="145"/>
        <v>1</v>
      </c>
      <c r="M379" s="103">
        <f t="shared" si="146"/>
        <v>1.0492086928947751E-9</v>
      </c>
      <c r="N379" s="101">
        <f t="shared" si="147"/>
        <v>1</v>
      </c>
      <c r="O379" s="104">
        <f t="shared" si="148"/>
        <v>1.6787339086316402E-10</v>
      </c>
      <c r="P379" s="105">
        <f t="shared" ca="1" si="149"/>
        <v>2.0374246475134981</v>
      </c>
      <c r="Q379" s="106">
        <f t="shared" ca="1" si="150"/>
        <v>1.1139048153857058</v>
      </c>
      <c r="R379" s="107">
        <f t="shared" ca="1" si="151"/>
        <v>-43.650703656890755</v>
      </c>
      <c r="S379" s="108">
        <f t="shared" ca="1" si="152"/>
        <v>-198.8255746271507</v>
      </c>
      <c r="T379" s="116">
        <f t="shared" ca="1" si="153"/>
        <v>-18.825574627150701</v>
      </c>
      <c r="V379" s="72">
        <f t="shared" ca="1" si="154"/>
        <v>31807</v>
      </c>
      <c r="W379" s="72">
        <f t="shared" si="155"/>
        <v>1011685249</v>
      </c>
      <c r="Y379" s="110">
        <f t="shared" si="156"/>
        <v>15.919905559206812</v>
      </c>
      <c r="Z379" s="111">
        <f t="shared" si="157"/>
        <v>-88.245631268792664</v>
      </c>
      <c r="AA379" s="72">
        <f t="shared" si="158"/>
        <v>91.754368731207336</v>
      </c>
      <c r="AB379" s="110">
        <f t="shared" ca="1" si="159"/>
        <v>-43.653008869216059</v>
      </c>
      <c r="AC379" s="111">
        <f t="shared" ca="1" si="160"/>
        <v>-110.57994335835802</v>
      </c>
      <c r="AD379" s="72">
        <f t="shared" ca="1" si="161"/>
        <v>69.420056641641978</v>
      </c>
    </row>
    <row r="380" spans="1:30">
      <c r="A380" s="118">
        <v>31991</v>
      </c>
      <c r="B380" s="101">
        <f t="shared" ca="1" si="135"/>
        <v>1640.5229843075467</v>
      </c>
      <c r="C380" s="102">
        <f t="shared" ca="1" si="136"/>
        <v>1.5701867650444712</v>
      </c>
      <c r="D380" s="102">
        <f t="shared" si="137"/>
        <v>1.3756837842640275</v>
      </c>
      <c r="E380" s="103">
        <f t="shared" si="138"/>
        <v>0.75698292534337297</v>
      </c>
      <c r="F380" s="101">
        <f t="shared" si="139"/>
        <v>10934.692768443143</v>
      </c>
      <c r="G380" s="104">
        <f t="shared" si="140"/>
        <v>1.5707048747511521</v>
      </c>
      <c r="H380" s="113">
        <f t="shared" si="141"/>
        <v>1366.8369561477673</v>
      </c>
      <c r="I380" s="114">
        <f t="shared" si="142"/>
        <v>1.5700647105734353</v>
      </c>
      <c r="J380" s="101">
        <f t="shared" si="143"/>
        <v>32.17640404072089</v>
      </c>
      <c r="K380" s="104">
        <f t="shared" si="144"/>
        <v>1.5397126466727658</v>
      </c>
      <c r="L380" s="102">
        <f t="shared" si="145"/>
        <v>1</v>
      </c>
      <c r="M380" s="103">
        <f t="shared" si="146"/>
        <v>1.0552782498945752E-9</v>
      </c>
      <c r="N380" s="101">
        <f t="shared" si="147"/>
        <v>1</v>
      </c>
      <c r="O380" s="104">
        <f t="shared" si="148"/>
        <v>1.6884451998313201E-10</v>
      </c>
      <c r="P380" s="105">
        <f t="shared" ca="1" si="149"/>
        <v>2.046407170848648</v>
      </c>
      <c r="Q380" s="106">
        <f t="shared" ca="1" si="150"/>
        <v>1.116699854417101</v>
      </c>
      <c r="R380" s="107">
        <f t="shared" ca="1" si="151"/>
        <v>-43.765512964375304</v>
      </c>
      <c r="S380" s="108">
        <f t="shared" ca="1" si="152"/>
        <v>-198.83105173893395</v>
      </c>
      <c r="T380" s="116">
        <f t="shared" ca="1" si="153"/>
        <v>-18.831051738933951</v>
      </c>
      <c r="V380" s="72">
        <f t="shared" ca="1" si="154"/>
        <v>31991</v>
      </c>
      <c r="W380" s="72">
        <f t="shared" si="155"/>
        <v>1023424081</v>
      </c>
      <c r="Y380" s="110">
        <f t="shared" si="156"/>
        <v>15.869852066681954</v>
      </c>
      <c r="Z380" s="111">
        <f t="shared" si="157"/>
        <v>-88.255715072903783</v>
      </c>
      <c r="AA380" s="72">
        <f t="shared" si="158"/>
        <v>91.744284927096217</v>
      </c>
      <c r="AB380" s="110">
        <f t="shared" ca="1" si="159"/>
        <v>-43.717764684175748</v>
      </c>
      <c r="AC380" s="111">
        <f t="shared" ca="1" si="160"/>
        <v>-110.57533666603015</v>
      </c>
      <c r="AD380" s="72">
        <f t="shared" ca="1" si="161"/>
        <v>69.424663333969846</v>
      </c>
    </row>
    <row r="381" spans="1:30">
      <c r="A381" s="118">
        <v>32175</v>
      </c>
      <c r="B381" s="101">
        <f t="shared" ca="1" si="135"/>
        <v>1649.9586417510134</v>
      </c>
      <c r="C381" s="102">
        <f t="shared" ca="1" si="136"/>
        <v>1.5701902509600745</v>
      </c>
      <c r="D381" s="102">
        <f t="shared" si="137"/>
        <v>1.3794209308376781</v>
      </c>
      <c r="E381" s="103">
        <f t="shared" si="138"/>
        <v>0.75984631671952085</v>
      </c>
      <c r="F381" s="101">
        <f t="shared" si="139"/>
        <v>10997.584939760529</v>
      </c>
      <c r="G381" s="104">
        <f t="shared" si="140"/>
        <v>1.5707053977403036</v>
      </c>
      <c r="H381" s="113">
        <f t="shared" si="141"/>
        <v>1374.6984755031715</v>
      </c>
      <c r="I381" s="114">
        <f t="shared" si="142"/>
        <v>1.5700688944844572</v>
      </c>
      <c r="J381" s="101">
        <f t="shared" si="143"/>
        <v>32.361292171845569</v>
      </c>
      <c r="K381" s="104">
        <f t="shared" si="144"/>
        <v>1.5398902922152644</v>
      </c>
      <c r="L381" s="102">
        <f t="shared" si="145"/>
        <v>1</v>
      </c>
      <c r="M381" s="103">
        <f t="shared" si="146"/>
        <v>1.061347806894375E-9</v>
      </c>
      <c r="N381" s="101">
        <f t="shared" si="147"/>
        <v>1</v>
      </c>
      <c r="O381" s="104">
        <f t="shared" si="148"/>
        <v>1.698156491031E-10</v>
      </c>
      <c r="P381" s="105">
        <f t="shared" ca="1" si="149"/>
        <v>2.0554025880978402</v>
      </c>
      <c r="Q381" s="106">
        <f t="shared" ca="1" si="150"/>
        <v>1.1194734065823961</v>
      </c>
      <c r="R381" s="107">
        <f t="shared" ca="1" si="151"/>
        <v>-43.879627854988428</v>
      </c>
      <c r="S381" s="108">
        <f t="shared" ca="1" si="152"/>
        <v>-198.83607264374487</v>
      </c>
      <c r="T381" s="116">
        <f t="shared" ca="1" si="153"/>
        <v>-18.83607264374487</v>
      </c>
      <c r="V381" s="72">
        <f t="shared" ca="1" si="154"/>
        <v>32175</v>
      </c>
      <c r="W381" s="72">
        <f t="shared" si="155"/>
        <v>1035230625</v>
      </c>
      <c r="Y381" s="110">
        <f t="shared" si="156"/>
        <v>15.820085086078056</v>
      </c>
      <c r="Z381" s="111">
        <f t="shared" si="157"/>
        <v>-88.265683657085262</v>
      </c>
      <c r="AA381" s="72">
        <f t="shared" si="158"/>
        <v>91.734316342914738</v>
      </c>
      <c r="AB381" s="110">
        <f t="shared" ca="1" si="159"/>
        <v>-43.78211259418498</v>
      </c>
      <c r="AC381" s="111">
        <f t="shared" ca="1" si="160"/>
        <v>-110.57038898665965</v>
      </c>
      <c r="AD381" s="72">
        <f t="shared" ca="1" si="161"/>
        <v>69.429611013340349</v>
      </c>
    </row>
    <row r="382" spans="1:30">
      <c r="A382" s="118">
        <v>32359</v>
      </c>
      <c r="B382" s="101">
        <f t="shared" ca="1" si="135"/>
        <v>1659.3942992143018</v>
      </c>
      <c r="C382" s="102">
        <f t="shared" ca="1" si="136"/>
        <v>1.5701936972324106</v>
      </c>
      <c r="D382" s="102">
        <f t="shared" si="137"/>
        <v>1.3831693261279185</v>
      </c>
      <c r="E382" s="103">
        <f t="shared" si="138"/>
        <v>0.76269421173255625</v>
      </c>
      <c r="F382" s="101">
        <f t="shared" si="139"/>
        <v>11060.477111080887</v>
      </c>
      <c r="G382" s="104">
        <f t="shared" si="140"/>
        <v>1.5707059147818054</v>
      </c>
      <c r="H382" s="113">
        <f t="shared" si="141"/>
        <v>1382.559994882366</v>
      </c>
      <c r="I382" s="114">
        <f t="shared" si="142"/>
        <v>1.5700730308143285</v>
      </c>
      <c r="J382" s="101">
        <f t="shared" si="143"/>
        <v>32.546181312622821</v>
      </c>
      <c r="K382" s="104">
        <f t="shared" si="144"/>
        <v>1.5400659194169899</v>
      </c>
      <c r="L382" s="102">
        <f t="shared" si="145"/>
        <v>1</v>
      </c>
      <c r="M382" s="103">
        <f t="shared" si="146"/>
        <v>1.0674173638941751E-9</v>
      </c>
      <c r="N382" s="101">
        <f t="shared" si="147"/>
        <v>1</v>
      </c>
      <c r="O382" s="104">
        <f t="shared" si="148"/>
        <v>1.7078677822306802E-10</v>
      </c>
      <c r="P382" s="105">
        <f t="shared" ca="1" si="149"/>
        <v>2.0644107423276465</v>
      </c>
      <c r="Q382" s="106">
        <f t="shared" ca="1" si="150"/>
        <v>1.1222257223041354</v>
      </c>
      <c r="R382" s="107">
        <f t="shared" ca="1" si="151"/>
        <v>-43.99305576348798</v>
      </c>
      <c r="S382" s="108">
        <f t="shared" ca="1" si="152"/>
        <v>-198.84064913779596</v>
      </c>
      <c r="T382" s="116">
        <f t="shared" ca="1" si="153"/>
        <v>-18.840649137795964</v>
      </c>
      <c r="V382" s="72">
        <f t="shared" ca="1" si="154"/>
        <v>32359</v>
      </c>
      <c r="W382" s="72">
        <f t="shared" si="155"/>
        <v>1047104881</v>
      </c>
      <c r="Y382" s="110">
        <f t="shared" si="156"/>
        <v>15.770601359107699</v>
      </c>
      <c r="Z382" s="111">
        <f t="shared" si="157"/>
        <v>-88.275538984282548</v>
      </c>
      <c r="AA382" s="72">
        <f t="shared" si="158"/>
        <v>91.724461015717452</v>
      </c>
      <c r="AB382" s="110">
        <f t="shared" ca="1" si="159"/>
        <v>-43.846056775714175</v>
      </c>
      <c r="AC382" s="111">
        <f t="shared" ca="1" si="160"/>
        <v>-110.56511015351343</v>
      </c>
      <c r="AD382" s="72">
        <f t="shared" ca="1" si="161"/>
        <v>69.43488984648657</v>
      </c>
    </row>
    <row r="383" spans="1:30">
      <c r="A383" s="118">
        <v>32547.5</v>
      </c>
      <c r="B383" s="101">
        <f t="shared" ca="1" si="135"/>
        <v>1669.0607200596669</v>
      </c>
      <c r="C383" s="102">
        <f t="shared" ca="1" si="136"/>
        <v>1.5701971873820464</v>
      </c>
      <c r="D383" s="102">
        <f t="shared" si="137"/>
        <v>1.3870209635225867</v>
      </c>
      <c r="E383" s="103">
        <f t="shared" si="138"/>
        <v>0.7655957701281052</v>
      </c>
      <c r="F383" s="101">
        <f t="shared" si="139"/>
        <v>11124.907406159395</v>
      </c>
      <c r="G383" s="104">
        <f t="shared" si="140"/>
        <v>1.5707064384061813</v>
      </c>
      <c r="H383" s="113">
        <f t="shared" si="141"/>
        <v>1390.6137797054093</v>
      </c>
      <c r="I383" s="114">
        <f t="shared" si="142"/>
        <v>1.5700772198071911</v>
      </c>
      <c r="J383" s="101">
        <f t="shared" si="143"/>
        <v>32.735593227799505</v>
      </c>
      <c r="K383" s="104">
        <f t="shared" si="144"/>
        <v>1.5402437846035781</v>
      </c>
      <c r="L383" s="102">
        <f t="shared" si="145"/>
        <v>1</v>
      </c>
      <c r="M383" s="103">
        <f t="shared" si="146"/>
        <v>1.0736353611466876E-9</v>
      </c>
      <c r="N383" s="101">
        <f t="shared" si="147"/>
        <v>1</v>
      </c>
      <c r="O383" s="104">
        <f t="shared" si="148"/>
        <v>1.7178165778347E-10</v>
      </c>
      <c r="P383" s="105">
        <f t="shared" ca="1" si="149"/>
        <v>2.0736522513454037</v>
      </c>
      <c r="Q383" s="106">
        <f t="shared" ca="1" si="150"/>
        <v>1.1250235865404585</v>
      </c>
      <c r="R383" s="107">
        <f t="shared" ca="1" si="151"/>
        <v>-44.108552992788873</v>
      </c>
      <c r="S383" s="108">
        <f t="shared" ca="1" si="152"/>
        <v>-198.84488878503086</v>
      </c>
      <c r="T383" s="116">
        <f t="shared" ca="1" si="153"/>
        <v>-18.844888785030861</v>
      </c>
      <c r="V383" s="72">
        <f t="shared" ca="1" si="154"/>
        <v>32547.5</v>
      </c>
      <c r="W383" s="72">
        <f t="shared" si="155"/>
        <v>1059339756.25</v>
      </c>
      <c r="Y383" s="110">
        <f t="shared" si="156"/>
        <v>15.720197813468666</v>
      </c>
      <c r="Z383" s="111">
        <f t="shared" si="157"/>
        <v>-88.285519898363845</v>
      </c>
      <c r="AA383" s="72">
        <f t="shared" si="158"/>
        <v>91.714480101636155</v>
      </c>
      <c r="AB383" s="110">
        <f t="shared" ca="1" si="159"/>
        <v>-43.911150459376032</v>
      </c>
      <c r="AC383" s="111">
        <f t="shared" ca="1" si="160"/>
        <v>-110.55936888666704</v>
      </c>
      <c r="AD383" s="72">
        <f t="shared" ca="1" si="161"/>
        <v>69.440631113332955</v>
      </c>
    </row>
    <row r="384" spans="1:30">
      <c r="A384" s="118">
        <v>32736</v>
      </c>
      <c r="B384" s="101">
        <f t="shared" ca="1" si="135"/>
        <v>1678.7271409251293</v>
      </c>
      <c r="C384" s="102">
        <f t="shared" ca="1" si="136"/>
        <v>1.5702006373378299</v>
      </c>
      <c r="D384" s="102">
        <f t="shared" si="137"/>
        <v>1.3908842135725681</v>
      </c>
      <c r="E384" s="103">
        <f t="shared" si="138"/>
        <v>0.76848123425892922</v>
      </c>
      <c r="F384" s="101">
        <f t="shared" si="139"/>
        <v>11189.337701240918</v>
      </c>
      <c r="G384" s="104">
        <f t="shared" si="140"/>
        <v>1.5707069560003035</v>
      </c>
      <c r="H384" s="113">
        <f t="shared" si="141"/>
        <v>1398.6675645525738</v>
      </c>
      <c r="I384" s="114">
        <f t="shared" si="142"/>
        <v>1.5700813605580726</v>
      </c>
      <c r="J384" s="101">
        <f t="shared" si="143"/>
        <v>32.925006166684661</v>
      </c>
      <c r="K384" s="104">
        <f t="shared" si="144"/>
        <v>1.5404196033287714</v>
      </c>
      <c r="L384" s="102">
        <f t="shared" si="145"/>
        <v>1</v>
      </c>
      <c r="M384" s="103">
        <f t="shared" si="146"/>
        <v>1.0798533583992002E-9</v>
      </c>
      <c r="N384" s="101">
        <f t="shared" si="147"/>
        <v>1</v>
      </c>
      <c r="O384" s="104">
        <f t="shared" si="148"/>
        <v>1.7277653734387202E-10</v>
      </c>
      <c r="P384" s="105">
        <f t="shared" ca="1" si="149"/>
        <v>2.0829068027073356</v>
      </c>
      <c r="Q384" s="106">
        <f t="shared" ca="1" si="150"/>
        <v>1.12779968428078</v>
      </c>
      <c r="R384" s="107">
        <f t="shared" ca="1" si="151"/>
        <v>-44.223344675194262</v>
      </c>
      <c r="S384" s="108">
        <f t="shared" ca="1" si="152"/>
        <v>-198.84868629936764</v>
      </c>
      <c r="T384" s="116">
        <f t="shared" ca="1" si="153"/>
        <v>-18.848686299367643</v>
      </c>
      <c r="V384" s="72">
        <f t="shared" ca="1" si="154"/>
        <v>32736</v>
      </c>
      <c r="W384" s="72">
        <f t="shared" si="155"/>
        <v>1071645696</v>
      </c>
      <c r="Y384" s="110">
        <f t="shared" si="156"/>
        <v>15.670084799105268</v>
      </c>
      <c r="Z384" s="111">
        <f t="shared" si="157"/>
        <v>-88.295385977397984</v>
      </c>
      <c r="AA384" s="72">
        <f t="shared" si="158"/>
        <v>91.704614022602016</v>
      </c>
      <c r="AB384" s="110">
        <f t="shared" ca="1" si="159"/>
        <v>-43.975829127418031</v>
      </c>
      <c r="AC384" s="111">
        <f t="shared" ca="1" si="160"/>
        <v>-110.55330032196966</v>
      </c>
      <c r="AD384" s="72">
        <f t="shared" ca="1" si="161"/>
        <v>69.446699678030342</v>
      </c>
    </row>
    <row r="385" spans="1:30">
      <c r="A385" s="118">
        <v>32924.5</v>
      </c>
      <c r="B385" s="101">
        <f t="shared" ca="1" si="135"/>
        <v>1688.393561810343</v>
      </c>
      <c r="C385" s="102">
        <f t="shared" ca="1" si="136"/>
        <v>1.5702040477901167</v>
      </c>
      <c r="D385" s="102">
        <f t="shared" si="137"/>
        <v>1.3947589797825035</v>
      </c>
      <c r="E385" s="103">
        <f t="shared" si="138"/>
        <v>0.77135069001114664</v>
      </c>
      <c r="F385" s="101">
        <f t="shared" si="139"/>
        <v>11253.767996325405</v>
      </c>
      <c r="G385" s="104">
        <f t="shared" si="140"/>
        <v>1.5707074676677455</v>
      </c>
      <c r="H385" s="113">
        <f t="shared" si="141"/>
        <v>1406.7213494234447</v>
      </c>
      <c r="I385" s="114">
        <f t="shared" si="142"/>
        <v>1.57008545389556</v>
      </c>
      <c r="J385" s="101">
        <f t="shared" si="143"/>
        <v>33.114420111711603</v>
      </c>
      <c r="K385" s="104">
        <f t="shared" si="144"/>
        <v>1.5405934106987833</v>
      </c>
      <c r="L385" s="102">
        <f t="shared" si="145"/>
        <v>1</v>
      </c>
      <c r="M385" s="103">
        <f t="shared" si="146"/>
        <v>1.0860713556517125E-9</v>
      </c>
      <c r="N385" s="101">
        <f t="shared" si="147"/>
        <v>1</v>
      </c>
      <c r="O385" s="104">
        <f t="shared" si="148"/>
        <v>1.73771416904274E-10</v>
      </c>
      <c r="P385" s="105">
        <f t="shared" ca="1" si="149"/>
        <v>2.09217423587822</v>
      </c>
      <c r="Q385" s="106">
        <f t="shared" ca="1" si="150"/>
        <v>1.1305542740263876</v>
      </c>
      <c r="R385" s="107">
        <f t="shared" ca="1" si="151"/>
        <v>-44.337438455748313</v>
      </c>
      <c r="S385" s="108">
        <f t="shared" ca="1" si="152"/>
        <v>-198.85205358037891</v>
      </c>
      <c r="T385" s="116">
        <f t="shared" ca="1" si="153"/>
        <v>-18.852053580378907</v>
      </c>
      <c r="V385" s="72">
        <f t="shared" ca="1" si="154"/>
        <v>32924.5</v>
      </c>
      <c r="W385" s="72">
        <f t="shared" si="155"/>
        <v>1084022700.25</v>
      </c>
      <c r="Y385" s="110">
        <f t="shared" si="156"/>
        <v>15.620258988962711</v>
      </c>
      <c r="Z385" s="111">
        <f t="shared" si="157"/>
        <v>-88.305139191282578</v>
      </c>
      <c r="AA385" s="72">
        <f t="shared" si="158"/>
        <v>91.694860808717422</v>
      </c>
      <c r="AB385" s="110">
        <f t="shared" ca="1" si="159"/>
        <v>-44.040097097829516</v>
      </c>
      <c r="AC385" s="111">
        <f t="shared" ca="1" si="160"/>
        <v>-110.54691438909636</v>
      </c>
      <c r="AD385" s="72">
        <f t="shared" ca="1" si="161"/>
        <v>69.453085610903642</v>
      </c>
    </row>
    <row r="386" spans="1:30">
      <c r="A386" s="118">
        <v>33113</v>
      </c>
      <c r="B386" s="101">
        <f t="shared" ca="1" si="135"/>
        <v>1698.0599827149715</v>
      </c>
      <c r="C386" s="102">
        <f t="shared" ca="1" si="136"/>
        <v>1.5702074194135431</v>
      </c>
      <c r="D386" s="102">
        <f t="shared" si="137"/>
        <v>1.3986451664402839</v>
      </c>
      <c r="E386" s="103">
        <f t="shared" si="138"/>
        <v>0.77420422337504347</v>
      </c>
      <c r="F386" s="101">
        <f t="shared" si="139"/>
        <v>11318.198291412804</v>
      </c>
      <c r="G386" s="104">
        <f t="shared" si="140"/>
        <v>1.5707079735097222</v>
      </c>
      <c r="H386" s="113">
        <f t="shared" si="141"/>
        <v>1414.7751343176176</v>
      </c>
      <c r="I386" s="114">
        <f t="shared" si="142"/>
        <v>1.5700895006293736</v>
      </c>
      <c r="J386" s="101">
        <f t="shared" si="143"/>
        <v>33.303835045713178</v>
      </c>
      <c r="K386" s="104">
        <f t="shared" si="144"/>
        <v>1.5407652410216559</v>
      </c>
      <c r="L386" s="102">
        <f t="shared" si="145"/>
        <v>1</v>
      </c>
      <c r="M386" s="103">
        <f t="shared" si="146"/>
        <v>1.0922893529042251E-9</v>
      </c>
      <c r="N386" s="101">
        <f t="shared" si="147"/>
        <v>1</v>
      </c>
      <c r="O386" s="104">
        <f t="shared" si="148"/>
        <v>1.7476629646467601E-10</v>
      </c>
      <c r="P386" s="105">
        <f t="shared" ca="1" si="149"/>
        <v>2.101454392987903</v>
      </c>
      <c r="Q386" s="106">
        <f t="shared" ca="1" si="150"/>
        <v>1.1332876107454841</v>
      </c>
      <c r="R386" s="107">
        <f t="shared" ca="1" si="151"/>
        <v>-44.450841866383499</v>
      </c>
      <c r="S386" s="108">
        <f t="shared" ca="1" si="152"/>
        <v>-198.8550022735518</v>
      </c>
      <c r="T386" s="116">
        <f t="shared" ca="1" si="153"/>
        <v>-18.855002273551804</v>
      </c>
      <c r="V386" s="72">
        <f t="shared" ca="1" si="154"/>
        <v>33113</v>
      </c>
      <c r="W386" s="72">
        <f t="shared" si="155"/>
        <v>1096470769</v>
      </c>
      <c r="Y386" s="110">
        <f t="shared" si="156"/>
        <v>15.570717112759322</v>
      </c>
      <c r="Z386" s="111">
        <f t="shared" si="157"/>
        <v>-88.314781465129371</v>
      </c>
      <c r="AA386" s="72">
        <f t="shared" si="158"/>
        <v>91.685218534870629</v>
      </c>
      <c r="AB386" s="110">
        <f t="shared" ca="1" si="159"/>
        <v>-44.103958632261318</v>
      </c>
      <c r="AC386" s="111">
        <f t="shared" ca="1" si="160"/>
        <v>-110.54022080842246</v>
      </c>
      <c r="AD386" s="72">
        <f t="shared" ca="1" si="161"/>
        <v>69.459779191577539</v>
      </c>
    </row>
    <row r="387" spans="1:30">
      <c r="A387" s="118">
        <v>33305.75</v>
      </c>
      <c r="B387" s="101">
        <f t="shared" ca="1" si="135"/>
        <v>1707.9443468162276</v>
      </c>
      <c r="C387" s="102">
        <f t="shared" ca="1" si="136"/>
        <v>1.5702108275899611</v>
      </c>
      <c r="D387" s="102">
        <f t="shared" si="137"/>
        <v>1.4026306833772964</v>
      </c>
      <c r="E387" s="103">
        <f t="shared" si="138"/>
        <v>0.77710571845164422</v>
      </c>
      <c r="F387" s="101">
        <f t="shared" si="139"/>
        <v>11384.081258938821</v>
      </c>
      <c r="G387" s="104">
        <f t="shared" si="140"/>
        <v>1.5707084848357133</v>
      </c>
      <c r="H387" s="113">
        <f t="shared" si="141"/>
        <v>1423.0105032450244</v>
      </c>
      <c r="I387" s="114">
        <f t="shared" si="142"/>
        <v>1.5700935912353025</v>
      </c>
      <c r="J387" s="101">
        <f t="shared" si="143"/>
        <v>33.497521613394184</v>
      </c>
      <c r="K387" s="104">
        <f t="shared" si="144"/>
        <v>1.5409389360215002</v>
      </c>
      <c r="L387" s="102">
        <f t="shared" si="145"/>
        <v>1</v>
      </c>
      <c r="M387" s="103">
        <f t="shared" si="146"/>
        <v>1.0986475437287438E-9</v>
      </c>
      <c r="N387" s="101">
        <f t="shared" si="147"/>
        <v>1</v>
      </c>
      <c r="O387" s="104">
        <f t="shared" si="148"/>
        <v>1.75783606996599E-10</v>
      </c>
      <c r="P387" s="105">
        <f t="shared" ca="1" si="149"/>
        <v>2.1109567801652704</v>
      </c>
      <c r="Q387" s="106">
        <f t="shared" ca="1" si="150"/>
        <v>1.1360608592065411</v>
      </c>
      <c r="R387" s="107">
        <f t="shared" ca="1" si="151"/>
        <v>-44.566095955290677</v>
      </c>
      <c r="S387" s="108">
        <f t="shared" ca="1" si="152"/>
        <v>-198.85759647034538</v>
      </c>
      <c r="T387" s="116">
        <f t="shared" ca="1" si="153"/>
        <v>-18.857596470345385</v>
      </c>
      <c r="V387" s="72">
        <f t="shared" ca="1" si="154"/>
        <v>33305.75</v>
      </c>
      <c r="W387" s="72">
        <f t="shared" si="155"/>
        <v>1109272983.0625</v>
      </c>
      <c r="Y387" s="110">
        <f t="shared" si="156"/>
        <v>15.520348504303389</v>
      </c>
      <c r="Z387" s="111">
        <f t="shared" si="157"/>
        <v>-88.324528377613944</v>
      </c>
      <c r="AA387" s="72">
        <f t="shared" si="158"/>
        <v>91.675471622386056</v>
      </c>
      <c r="AB387" s="110">
        <f t="shared" ca="1" si="159"/>
        <v>-44.168844112712563</v>
      </c>
      <c r="AC387" s="111">
        <f t="shared" ca="1" si="160"/>
        <v>-110.53306809273138</v>
      </c>
      <c r="AD387" s="72">
        <f t="shared" ca="1" si="161"/>
        <v>69.466931907268616</v>
      </c>
    </row>
    <row r="388" spans="1:30">
      <c r="A388" s="118">
        <v>33498.5</v>
      </c>
      <c r="B388" s="101">
        <f t="shared" ca="1" si="135"/>
        <v>1717.8287109370938</v>
      </c>
      <c r="C388" s="102">
        <f t="shared" ca="1" si="136"/>
        <v>1.5702141965451735</v>
      </c>
      <c r="D388" s="102">
        <f t="shared" si="137"/>
        <v>1.4066279416316885</v>
      </c>
      <c r="E388" s="103">
        <f t="shared" si="138"/>
        <v>0.77999074716448558</v>
      </c>
      <c r="F388" s="101">
        <f t="shared" si="139"/>
        <v>11449.96422646778</v>
      </c>
      <c r="G388" s="104">
        <f t="shared" si="140"/>
        <v>1.5707089902773763</v>
      </c>
      <c r="H388" s="113">
        <f t="shared" si="141"/>
        <v>1431.2458721959686</v>
      </c>
      <c r="I388" s="114">
        <f t="shared" si="142"/>
        <v>1.5700976347666518</v>
      </c>
      <c r="J388" s="101">
        <f t="shared" si="143"/>
        <v>33.691209180073976</v>
      </c>
      <c r="K388" s="104">
        <f t="shared" si="144"/>
        <v>1.5411106339143095</v>
      </c>
      <c r="L388" s="102">
        <f t="shared" si="145"/>
        <v>1</v>
      </c>
      <c r="M388" s="103">
        <f t="shared" si="146"/>
        <v>1.1050057345532625E-9</v>
      </c>
      <c r="N388" s="101">
        <f t="shared" si="147"/>
        <v>1</v>
      </c>
      <c r="O388" s="104">
        <f t="shared" si="148"/>
        <v>1.7680091752852202E-10</v>
      </c>
      <c r="P388" s="105">
        <f t="shared" ca="1" si="149"/>
        <v>2.1204721459668159</v>
      </c>
      <c r="Q388" s="106">
        <f t="shared" ca="1" si="150"/>
        <v>1.1388124135722979</v>
      </c>
      <c r="R388" s="107">
        <f t="shared" ca="1" si="151"/>
        <v>-44.680643768303732</v>
      </c>
      <c r="S388" s="108">
        <f t="shared" ca="1" si="152"/>
        <v>-198.85977682719829</v>
      </c>
      <c r="T388" s="116">
        <f t="shared" ca="1" si="153"/>
        <v>-18.859776827198289</v>
      </c>
      <c r="V388" s="72">
        <f t="shared" ca="1" si="154"/>
        <v>33498.5</v>
      </c>
      <c r="W388" s="72">
        <f t="shared" si="155"/>
        <v>1122149502.25</v>
      </c>
      <c r="Y388" s="110">
        <f t="shared" si="156"/>
        <v>15.470270037790989</v>
      </c>
      <c r="Z388" s="111">
        <f t="shared" si="157"/>
        <v>-88.334163224321642</v>
      </c>
      <c r="AA388" s="72">
        <f t="shared" si="158"/>
        <v>91.665836775678358</v>
      </c>
      <c r="AB388" s="110">
        <f t="shared" ca="1" si="159"/>
        <v>-44.233313459213221</v>
      </c>
      <c r="AC388" s="111">
        <f t="shared" ca="1" si="160"/>
        <v>-110.52561360287667</v>
      </c>
      <c r="AD388" s="72">
        <f t="shared" ca="1" si="161"/>
        <v>69.474386397123325</v>
      </c>
    </row>
    <row r="389" spans="1:30">
      <c r="A389" s="118">
        <v>33691.25</v>
      </c>
      <c r="B389" s="101">
        <f t="shared" ca="1" si="135"/>
        <v>1727.7130750772344</v>
      </c>
      <c r="C389" s="102">
        <f t="shared" ca="1" si="136"/>
        <v>1.5702175269523417</v>
      </c>
      <c r="D389" s="102">
        <f t="shared" si="137"/>
        <v>1.4106368413909327</v>
      </c>
      <c r="E389" s="103">
        <f t="shared" si="138"/>
        <v>0.78285940167057766</v>
      </c>
      <c r="F389" s="101">
        <f t="shared" si="139"/>
        <v>11515.847193999631</v>
      </c>
      <c r="G389" s="104">
        <f t="shared" si="140"/>
        <v>1.570709489935705</v>
      </c>
      <c r="H389" s="113">
        <f t="shared" si="141"/>
        <v>1439.4812411700459</v>
      </c>
      <c r="I389" s="114">
        <f t="shared" si="142"/>
        <v>1.5701016320313714</v>
      </c>
      <c r="J389" s="101">
        <f t="shared" si="143"/>
        <v>33.884897728621596</v>
      </c>
      <c r="K389" s="104">
        <f t="shared" si="144"/>
        <v>1.5412803689367014</v>
      </c>
      <c r="L389" s="102">
        <f t="shared" si="145"/>
        <v>1</v>
      </c>
      <c r="M389" s="103">
        <f t="shared" si="146"/>
        <v>1.1113639253777814E-9</v>
      </c>
      <c r="N389" s="101">
        <f t="shared" si="147"/>
        <v>1</v>
      </c>
      <c r="O389" s="104">
        <f t="shared" si="148"/>
        <v>1.7781822806044501E-10</v>
      </c>
      <c r="P389" s="105">
        <f t="shared" ca="1" si="149"/>
        <v>2.1300003299299739</v>
      </c>
      <c r="Q389" s="106">
        <f t="shared" ca="1" si="150"/>
        <v>1.1415425352911079</v>
      </c>
      <c r="R389" s="107">
        <f t="shared" ca="1" si="151"/>
        <v>-44.794493005510517</v>
      </c>
      <c r="S389" s="108">
        <f t="shared" ca="1" si="152"/>
        <v>-198.86155500346774</v>
      </c>
      <c r="T389" s="116">
        <f t="shared" ca="1" si="153"/>
        <v>-18.861555003467743</v>
      </c>
      <c r="V389" s="72">
        <f t="shared" ca="1" si="154"/>
        <v>33691.25</v>
      </c>
      <c r="W389" s="72">
        <f t="shared" si="155"/>
        <v>1135100326.5625</v>
      </c>
      <c r="Y389" s="110">
        <f t="shared" si="156"/>
        <v>15.420478392626469</v>
      </c>
      <c r="Z389" s="111">
        <f t="shared" si="157"/>
        <v>-88.343687926360545</v>
      </c>
      <c r="AA389" s="72">
        <f t="shared" si="158"/>
        <v>91.656312073639455</v>
      </c>
      <c r="AB389" s="110">
        <f t="shared" ca="1" si="159"/>
        <v>-44.297371051255482</v>
      </c>
      <c r="AC389" s="111">
        <f t="shared" ca="1" si="160"/>
        <v>-110.51786707710717</v>
      </c>
      <c r="AD389" s="72">
        <f t="shared" ca="1" si="161"/>
        <v>69.482132922892831</v>
      </c>
    </row>
    <row r="390" spans="1:30">
      <c r="A390" s="118">
        <v>33884</v>
      </c>
      <c r="B390" s="101">
        <f t="shared" ca="1" si="135"/>
        <v>1737.5974392363198</v>
      </c>
      <c r="C390" s="102">
        <f t="shared" ca="1" si="136"/>
        <v>1.5702208194693097</v>
      </c>
      <c r="D390" s="102">
        <f t="shared" si="137"/>
        <v>1.4146572836848583</v>
      </c>
      <c r="E390" s="103">
        <f t="shared" si="138"/>
        <v>0.78571177416181515</v>
      </c>
      <c r="F390" s="101">
        <f t="shared" si="139"/>
        <v>11581.730161534324</v>
      </c>
      <c r="G390" s="104">
        <f t="shared" si="140"/>
        <v>1.5707099839093954</v>
      </c>
      <c r="H390" s="113">
        <f t="shared" si="141"/>
        <v>1447.7166101668618</v>
      </c>
      <c r="I390" s="114">
        <f t="shared" si="142"/>
        <v>1.5701055838190281</v>
      </c>
      <c r="J390" s="101">
        <f t="shared" si="143"/>
        <v>34.078587242295455</v>
      </c>
      <c r="K390" s="104">
        <f t="shared" si="144"/>
        <v>1.5414481745474007</v>
      </c>
      <c r="L390" s="102">
        <f t="shared" si="145"/>
        <v>1</v>
      </c>
      <c r="M390" s="103">
        <f t="shared" si="146"/>
        <v>1.1177221162023001E-9</v>
      </c>
      <c r="N390" s="101">
        <f t="shared" si="147"/>
        <v>1</v>
      </c>
      <c r="O390" s="104">
        <f t="shared" si="148"/>
        <v>1.7883553859236802E-10</v>
      </c>
      <c r="P390" s="105">
        <f t="shared" ca="1" si="149"/>
        <v>2.1395411742956805</v>
      </c>
      <c r="Q390" s="106">
        <f t="shared" ca="1" si="150"/>
        <v>1.1442514821520142</v>
      </c>
      <c r="R390" s="107">
        <f t="shared" ca="1" si="151"/>
        <v>-44.907651252608275</v>
      </c>
      <c r="S390" s="108">
        <f t="shared" ca="1" si="152"/>
        <v>-198.86294240232263</v>
      </c>
      <c r="T390" s="116">
        <f t="shared" ca="1" si="153"/>
        <v>-18.862942402322631</v>
      </c>
      <c r="V390" s="72">
        <f t="shared" ca="1" si="154"/>
        <v>33884</v>
      </c>
      <c r="W390" s="72">
        <f t="shared" si="155"/>
        <v>1148125456</v>
      </c>
      <c r="Y390" s="110">
        <f t="shared" si="156"/>
        <v>15.370970304845484</v>
      </c>
      <c r="Z390" s="111">
        <f t="shared" si="157"/>
        <v>-88.353104361190375</v>
      </c>
      <c r="AA390" s="72">
        <f t="shared" si="158"/>
        <v>91.646895638809625</v>
      </c>
      <c r="AB390" s="110">
        <f t="shared" ca="1" si="159"/>
        <v>-44.361021210572254</v>
      </c>
      <c r="AC390" s="111">
        <f t="shared" ca="1" si="160"/>
        <v>-110.50983804113228</v>
      </c>
      <c r="AD390" s="72">
        <f t="shared" ca="1" si="161"/>
        <v>69.490161958867716</v>
      </c>
    </row>
    <row r="391" spans="1:30">
      <c r="A391" s="118">
        <v>34081.5</v>
      </c>
      <c r="B391" s="101">
        <f t="shared" ca="1" si="135"/>
        <v>1747.7253869672786</v>
      </c>
      <c r="C391" s="102">
        <f t="shared" ca="1" si="136"/>
        <v>1.5702241544948199</v>
      </c>
      <c r="D391" s="102">
        <f t="shared" si="137"/>
        <v>1.4187886731157215</v>
      </c>
      <c r="E391" s="103">
        <f t="shared" si="138"/>
        <v>0.78861764618923524</v>
      </c>
      <c r="F391" s="101">
        <f t="shared" si="139"/>
        <v>11649.236704147348</v>
      </c>
      <c r="G391" s="104">
        <f t="shared" si="140"/>
        <v>1.5707104842606066</v>
      </c>
      <c r="H391" s="113">
        <f t="shared" si="141"/>
        <v>1456.1549260233576</v>
      </c>
      <c r="I391" s="114">
        <f t="shared" si="142"/>
        <v>1.570109586626848</v>
      </c>
      <c r="J391" s="101">
        <f t="shared" si="143"/>
        <v>34.277050892690859</v>
      </c>
      <c r="K391" s="104">
        <f t="shared" si="144"/>
        <v>1.541618148322776</v>
      </c>
      <c r="L391" s="102">
        <f t="shared" si="145"/>
        <v>1</v>
      </c>
      <c r="M391" s="103">
        <f t="shared" si="146"/>
        <v>1.1242369939602377E-9</v>
      </c>
      <c r="N391" s="101">
        <f t="shared" si="147"/>
        <v>1</v>
      </c>
      <c r="O391" s="104">
        <f t="shared" si="148"/>
        <v>1.7987791903363802E-10</v>
      </c>
      <c r="P391" s="105">
        <f t="shared" ca="1" si="149"/>
        <v>2.1493301067925006</v>
      </c>
      <c r="Q391" s="106">
        <f t="shared" ca="1" si="150"/>
        <v>1.1470054882384277</v>
      </c>
      <c r="R391" s="107">
        <f t="shared" ca="1" si="151"/>
        <v>-45.022889167276617</v>
      </c>
      <c r="S391" s="108">
        <f t="shared" ca="1" si="152"/>
        <v>-198.86397031140044</v>
      </c>
      <c r="T391" s="116">
        <f t="shared" ca="1" si="153"/>
        <v>-18.863970311400436</v>
      </c>
      <c r="V391" s="72">
        <f t="shared" ca="1" si="154"/>
        <v>34081.5</v>
      </c>
      <c r="W391" s="72">
        <f t="shared" si="155"/>
        <v>1161548642.25</v>
      </c>
      <c r="Y391" s="110">
        <f t="shared" si="156"/>
        <v>15.320532943392632</v>
      </c>
      <c r="Z391" s="111">
        <f t="shared" si="157"/>
        <v>-88.362642464863043</v>
      </c>
      <c r="AA391" s="72">
        <f t="shared" si="158"/>
        <v>91.637357535136957</v>
      </c>
      <c r="AB391" s="110">
        <f t="shared" ca="1" si="159"/>
        <v>-44.425821763787745</v>
      </c>
      <c r="AC391" s="111">
        <f t="shared" ca="1" si="160"/>
        <v>-110.50132784653738</v>
      </c>
      <c r="AD391" s="72">
        <f t="shared" ca="1" si="161"/>
        <v>69.498672153462621</v>
      </c>
    </row>
    <row r="392" spans="1:30">
      <c r="A392" s="118">
        <v>34279</v>
      </c>
      <c r="B392" s="101">
        <f t="shared" ca="1" si="135"/>
        <v>1757.8533347174528</v>
      </c>
      <c r="C392" s="102">
        <f t="shared" ca="1" si="136"/>
        <v>1.5702274510905436</v>
      </c>
      <c r="D392" s="102">
        <f t="shared" si="137"/>
        <v>1.4229319733016901</v>
      </c>
      <c r="E392" s="103">
        <f t="shared" si="138"/>
        <v>0.79150661982893533</v>
      </c>
      <c r="F392" s="101">
        <f t="shared" si="139"/>
        <v>11716.743246763255</v>
      </c>
      <c r="G392" s="104">
        <f t="shared" si="140"/>
        <v>1.5707109788462257</v>
      </c>
      <c r="H392" s="113">
        <f t="shared" si="141"/>
        <v>1464.5932419029159</v>
      </c>
      <c r="I392" s="114">
        <f t="shared" si="142"/>
        <v>1.5701135433099751</v>
      </c>
      <c r="J392" s="101">
        <f t="shared" si="143"/>
        <v>34.475515521985763</v>
      </c>
      <c r="K392" s="104">
        <f t="shared" si="144"/>
        <v>1.5417861651325231</v>
      </c>
      <c r="L392" s="102">
        <f t="shared" si="145"/>
        <v>1</v>
      </c>
      <c r="M392" s="103">
        <f t="shared" si="146"/>
        <v>1.130751871718175E-9</v>
      </c>
      <c r="N392" s="101">
        <f t="shared" si="147"/>
        <v>1</v>
      </c>
      <c r="O392" s="104">
        <f t="shared" si="148"/>
        <v>1.8092029947490802E-10</v>
      </c>
      <c r="P392" s="105">
        <f t="shared" ca="1" si="149"/>
        <v>2.1591320045119193</v>
      </c>
      <c r="Q392" s="106">
        <f t="shared" ca="1" si="150"/>
        <v>1.1497377993805451</v>
      </c>
      <c r="R392" s="107">
        <f t="shared" ca="1" si="151"/>
        <v>-45.137417381451577</v>
      </c>
      <c r="S392" s="108">
        <f t="shared" ca="1" si="152"/>
        <v>-198.86461138270008</v>
      </c>
      <c r="T392" s="116">
        <f t="shared" ca="1" si="153"/>
        <v>-18.864611382700076</v>
      </c>
      <c r="V392" s="72">
        <f t="shared" ca="1" si="154"/>
        <v>34279</v>
      </c>
      <c r="W392" s="72">
        <f t="shared" si="155"/>
        <v>1175049841</v>
      </c>
      <c r="Y392" s="110">
        <f t="shared" si="156"/>
        <v>15.270386525840507</v>
      </c>
      <c r="Z392" s="111">
        <f t="shared" si="157"/>
        <v>-88.372070755070524</v>
      </c>
      <c r="AA392" s="72">
        <f t="shared" si="158"/>
        <v>91.627929244929476</v>
      </c>
      <c r="AB392" s="110">
        <f t="shared" ca="1" si="159"/>
        <v>-44.490203560410592</v>
      </c>
      <c r="AC392" s="111">
        <f t="shared" ca="1" si="160"/>
        <v>-110.49254062762959</v>
      </c>
      <c r="AD392" s="72">
        <f t="shared" ca="1" si="161"/>
        <v>69.507459372370406</v>
      </c>
    </row>
    <row r="393" spans="1:30">
      <c r="A393" s="118">
        <v>34476.5</v>
      </c>
      <c r="B393" s="101">
        <f t="shared" ca="1" si="135"/>
        <v>1767.9812824865114</v>
      </c>
      <c r="C393" s="102">
        <f t="shared" ca="1" si="136"/>
        <v>1.5702307099169204</v>
      </c>
      <c r="D393" s="102">
        <f t="shared" si="137"/>
        <v>1.4270870805003233</v>
      </c>
      <c r="E393" s="103">
        <f t="shared" si="138"/>
        <v>0.79437879425110369</v>
      </c>
      <c r="F393" s="101">
        <f t="shared" si="139"/>
        <v>11784.249789381995</v>
      </c>
      <c r="G393" s="104">
        <f t="shared" si="140"/>
        <v>1.5707114677653382</v>
      </c>
      <c r="H393" s="113">
        <f t="shared" si="141"/>
        <v>1473.03155780514</v>
      </c>
      <c r="I393" s="114">
        <f t="shared" si="142"/>
        <v>1.5701174546610903</v>
      </c>
      <c r="J393" s="101">
        <f t="shared" si="143"/>
        <v>34.673981113371291</v>
      </c>
      <c r="K393" s="104">
        <f t="shared" si="144"/>
        <v>1.541952258570686</v>
      </c>
      <c r="L393" s="102">
        <f t="shared" si="145"/>
        <v>1</v>
      </c>
      <c r="M393" s="103">
        <f t="shared" si="146"/>
        <v>1.1372667494761125E-9</v>
      </c>
      <c r="N393" s="101">
        <f t="shared" si="147"/>
        <v>1</v>
      </c>
      <c r="O393" s="104">
        <f t="shared" si="148"/>
        <v>1.8196267991617802E-10</v>
      </c>
      <c r="P393" s="105">
        <f t="shared" ca="1" si="149"/>
        <v>2.1689467062450531</v>
      </c>
      <c r="Q393" s="106">
        <f t="shared" ca="1" si="150"/>
        <v>1.1524486812756083</v>
      </c>
      <c r="R393" s="107">
        <f t="shared" ca="1" si="151"/>
        <v>-45.251243696106314</v>
      </c>
      <c r="S393" s="108">
        <f t="shared" ca="1" si="152"/>
        <v>-198.86487708041648</v>
      </c>
      <c r="T393" s="116">
        <f t="shared" ca="1" si="153"/>
        <v>-18.864877080416477</v>
      </c>
      <c r="V393" s="72">
        <f t="shared" ca="1" si="154"/>
        <v>34476.5</v>
      </c>
      <c r="W393" s="72">
        <f t="shared" si="155"/>
        <v>1188629052.25</v>
      </c>
      <c r="Y393" s="110">
        <f t="shared" si="156"/>
        <v>15.220527717657486</v>
      </c>
      <c r="Z393" s="111">
        <f t="shared" si="157"/>
        <v>-88.381391116869779</v>
      </c>
      <c r="AA393" s="72">
        <f t="shared" si="158"/>
        <v>91.618608883130221</v>
      </c>
      <c r="AB393" s="110">
        <f t="shared" ca="1" si="159"/>
        <v>-44.554171066882304</v>
      </c>
      <c r="AC393" s="111">
        <f t="shared" ca="1" si="160"/>
        <v>-110.48348596354668</v>
      </c>
      <c r="AD393" s="72">
        <f t="shared" ca="1" si="161"/>
        <v>69.516514036453316</v>
      </c>
    </row>
    <row r="394" spans="1:30">
      <c r="A394" s="118">
        <v>34674</v>
      </c>
      <c r="B394" s="101">
        <f t="shared" ca="1" si="135"/>
        <v>1778.1092302741317</v>
      </c>
      <c r="C394" s="102">
        <f t="shared" ca="1" si="136"/>
        <v>1.5702339316193423</v>
      </c>
      <c r="D394" s="102">
        <f t="shared" si="137"/>
        <v>1.431253891879968</v>
      </c>
      <c r="E394" s="103">
        <f t="shared" si="138"/>
        <v>0.79723426858464841</v>
      </c>
      <c r="F394" s="101">
        <f t="shared" si="139"/>
        <v>11851.756332003521</v>
      </c>
      <c r="G394" s="104">
        <f t="shared" si="140"/>
        <v>1.5707119511147718</v>
      </c>
      <c r="H394" s="113">
        <f t="shared" si="141"/>
        <v>1481.469873729643</v>
      </c>
      <c r="I394" s="114">
        <f t="shared" si="142"/>
        <v>1.5701213214548142</v>
      </c>
      <c r="J394" s="101">
        <f t="shared" si="143"/>
        <v>34.872447650421137</v>
      </c>
      <c r="K394" s="104">
        <f t="shared" si="144"/>
        <v>1.5421164614669749</v>
      </c>
      <c r="L394" s="102">
        <f t="shared" si="145"/>
        <v>1</v>
      </c>
      <c r="M394" s="103">
        <f t="shared" si="146"/>
        <v>1.1437816272340501E-9</v>
      </c>
      <c r="N394" s="101">
        <f t="shared" si="147"/>
        <v>1</v>
      </c>
      <c r="O394" s="104">
        <f t="shared" si="148"/>
        <v>1.8300506035744802E-10</v>
      </c>
      <c r="P394" s="105">
        <f t="shared" ca="1" si="149"/>
        <v>2.1787740535439593</v>
      </c>
      <c r="Q394" s="106">
        <f t="shared" ca="1" si="150"/>
        <v>1.1551383958098915</v>
      </c>
      <c r="R394" s="107">
        <f t="shared" ca="1" si="151"/>
        <v>-45.364375795559219</v>
      </c>
      <c r="S394" s="108">
        <f t="shared" ca="1" si="152"/>
        <v>-198.86477860900695</v>
      </c>
      <c r="T394" s="116">
        <f t="shared" ca="1" si="153"/>
        <v>-18.864778609006947</v>
      </c>
      <c r="V394" s="72">
        <f t="shared" ca="1" si="154"/>
        <v>34674</v>
      </c>
      <c r="W394" s="72">
        <f t="shared" si="155"/>
        <v>1202286276</v>
      </c>
      <c r="Y394" s="110">
        <f t="shared" si="156"/>
        <v>15.170953241263994</v>
      </c>
      <c r="Z394" s="111">
        <f t="shared" si="157"/>
        <v>-88.390605392429876</v>
      </c>
      <c r="AA394" s="72">
        <f t="shared" si="158"/>
        <v>91.609394607570124</v>
      </c>
      <c r="AB394" s="110">
        <f t="shared" ca="1" si="159"/>
        <v>-44.617728689941714</v>
      </c>
      <c r="AC394" s="111">
        <f t="shared" ca="1" si="160"/>
        <v>-110.47417321657707</v>
      </c>
      <c r="AD394" s="72">
        <f t="shared" ca="1" si="161"/>
        <v>69.525826783422929</v>
      </c>
    </row>
    <row r="395" spans="1:30">
      <c r="A395" s="118">
        <v>34875.75</v>
      </c>
      <c r="B395" s="101">
        <f t="shared" ca="1" si="135"/>
        <v>1788.4551212608299</v>
      </c>
      <c r="C395" s="102">
        <f t="shared" ca="1" si="136"/>
        <v>1.570237184974552</v>
      </c>
      <c r="D395" s="102">
        <f t="shared" si="137"/>
        <v>1.4355223475159862</v>
      </c>
      <c r="E395" s="103">
        <f t="shared" si="138"/>
        <v>0.80013404984840453</v>
      </c>
      <c r="F395" s="101">
        <f t="shared" si="139"/>
        <v>11920.715547064032</v>
      </c>
      <c r="G395" s="104">
        <f t="shared" si="140"/>
        <v>1.570712439213046</v>
      </c>
      <c r="H395" s="113">
        <f t="shared" si="141"/>
        <v>1490.0897736903205</v>
      </c>
      <c r="I395" s="114">
        <f t="shared" si="142"/>
        <v>1.5701252262392662</v>
      </c>
      <c r="J395" s="101">
        <f t="shared" si="143"/>
        <v>35.075185946084034</v>
      </c>
      <c r="K395" s="104">
        <f t="shared" si="144"/>
        <v>1.5422822792036093</v>
      </c>
      <c r="L395" s="102">
        <f t="shared" si="145"/>
        <v>1</v>
      </c>
      <c r="M395" s="103">
        <f t="shared" si="146"/>
        <v>1.1504366985639938E-9</v>
      </c>
      <c r="N395" s="101">
        <f t="shared" si="147"/>
        <v>1</v>
      </c>
      <c r="O395" s="104">
        <f t="shared" si="148"/>
        <v>1.84069871770239E-10</v>
      </c>
      <c r="P395" s="105">
        <f t="shared" ca="1" si="149"/>
        <v>2.1888257701369751</v>
      </c>
      <c r="Q395" s="106">
        <f t="shared" ca="1" si="150"/>
        <v>1.1578644031784242</v>
      </c>
      <c r="R395" s="107">
        <f t="shared" ca="1" si="151"/>
        <v>-45.479233470514593</v>
      </c>
      <c r="S395" s="108">
        <f t="shared" ca="1" si="152"/>
        <v>-198.8643133962027</v>
      </c>
      <c r="T395" s="116">
        <f t="shared" ca="1" si="153"/>
        <v>-18.864313396202704</v>
      </c>
      <c r="V395" s="72">
        <f t="shared" ca="1" si="154"/>
        <v>34875.75</v>
      </c>
      <c r="W395" s="72">
        <f t="shared" si="155"/>
        <v>1216317938.0625</v>
      </c>
      <c r="Y395" s="110">
        <f t="shared" si="156"/>
        <v>15.120602197543633</v>
      </c>
      <c r="Z395" s="111">
        <f t="shared" si="157"/>
        <v>-88.399910286899882</v>
      </c>
      <c r="AA395" s="72">
        <f t="shared" si="158"/>
        <v>91.600089713100118</v>
      </c>
      <c r="AB395" s="110">
        <f t="shared" ca="1" si="159"/>
        <v>-44.682235321176726</v>
      </c>
      <c r="AC395" s="111">
        <f t="shared" ca="1" si="160"/>
        <v>-110.46440310930282</v>
      </c>
      <c r="AD395" s="72">
        <f t="shared" ca="1" si="161"/>
        <v>69.535596890697178</v>
      </c>
    </row>
    <row r="396" spans="1:30">
      <c r="A396" s="118">
        <v>35077.5</v>
      </c>
      <c r="B396" s="101">
        <f t="shared" ca="1" si="135"/>
        <v>1798.8010122662397</v>
      </c>
      <c r="C396" s="102">
        <f t="shared" ca="1" si="136"/>
        <v>1.570240400906102</v>
      </c>
      <c r="D396" s="102">
        <f t="shared" si="137"/>
        <v>1.4398028024436231</v>
      </c>
      <c r="E396" s="103">
        <f t="shared" si="138"/>
        <v>0.80301661344908704</v>
      </c>
      <c r="F396" s="101">
        <f t="shared" si="139"/>
        <v>11989.67476212735</v>
      </c>
      <c r="G396" s="104">
        <f t="shared" si="140"/>
        <v>1.5707129216966769</v>
      </c>
      <c r="H396" s="113">
        <f t="shared" si="141"/>
        <v>1498.7096736734566</v>
      </c>
      <c r="I396" s="114">
        <f t="shared" si="142"/>
        <v>1.5701290861066113</v>
      </c>
      <c r="J396" s="101">
        <f t="shared" si="143"/>
        <v>35.27792519507274</v>
      </c>
      <c r="K396" s="104">
        <f t="shared" si="144"/>
        <v>1.5424461910637233</v>
      </c>
      <c r="L396" s="102">
        <f t="shared" si="145"/>
        <v>1</v>
      </c>
      <c r="M396" s="103">
        <f t="shared" si="146"/>
        <v>1.1570917698939377E-9</v>
      </c>
      <c r="N396" s="101">
        <f t="shared" si="147"/>
        <v>1</v>
      </c>
      <c r="O396" s="104">
        <f t="shared" si="148"/>
        <v>1.8513468318303E-10</v>
      </c>
      <c r="P396" s="105">
        <f t="shared" ca="1" si="149"/>
        <v>2.1988903567365967</v>
      </c>
      <c r="Q396" s="106">
        <f t="shared" ca="1" si="150"/>
        <v>1.16056886289769</v>
      </c>
      <c r="R396" s="107">
        <f t="shared" ca="1" si="151"/>
        <v>-45.593382578248161</v>
      </c>
      <c r="S396" s="108">
        <f t="shared" ca="1" si="152"/>
        <v>-198.86349100243038</v>
      </c>
      <c r="T396" s="116">
        <f t="shared" ca="1" si="153"/>
        <v>-18.863491002430379</v>
      </c>
      <c r="V396" s="72">
        <f t="shared" ca="1" si="154"/>
        <v>35077.5</v>
      </c>
      <c r="W396" s="72">
        <f t="shared" si="155"/>
        <v>1230431006.25</v>
      </c>
      <c r="Y396" s="110">
        <f t="shared" si="156"/>
        <v>15.07054111666343</v>
      </c>
      <c r="Z396" s="111">
        <f t="shared" si="157"/>
        <v>-88.409108234554111</v>
      </c>
      <c r="AA396" s="72">
        <f t="shared" si="158"/>
        <v>91.590891765445889</v>
      </c>
      <c r="AB396" s="110">
        <f t="shared" ca="1" si="159"/>
        <v>-44.746323348030089</v>
      </c>
      <c r="AC396" s="111">
        <f t="shared" ca="1" si="160"/>
        <v>-110.4543827678763</v>
      </c>
      <c r="AD396" s="72">
        <f t="shared" ca="1" si="161"/>
        <v>69.545617232123703</v>
      </c>
    </row>
    <row r="397" spans="1:30">
      <c r="A397" s="118">
        <v>35279.25</v>
      </c>
      <c r="B397" s="101">
        <f t="shared" ca="1" si="135"/>
        <v>1809.1469032900404</v>
      </c>
      <c r="C397" s="102">
        <f t="shared" ca="1" si="136"/>
        <v>1.5702435800560315</v>
      </c>
      <c r="D397" s="102">
        <f t="shared" si="137"/>
        <v>1.4440951499612704</v>
      </c>
      <c r="E397" s="103">
        <f t="shared" si="138"/>
        <v>0.80588206480053748</v>
      </c>
      <c r="F397" s="101">
        <f t="shared" si="139"/>
        <v>12058.633977193427</v>
      </c>
      <c r="G397" s="104">
        <f t="shared" si="140"/>
        <v>1.570713398661989</v>
      </c>
      <c r="H397" s="113">
        <f t="shared" si="141"/>
        <v>1507.3295736786661</v>
      </c>
      <c r="I397" s="114">
        <f t="shared" si="142"/>
        <v>1.5701329018274457</v>
      </c>
      <c r="J397" s="101">
        <f t="shared" si="143"/>
        <v>35.480665381045121</v>
      </c>
      <c r="K397" s="104">
        <f t="shared" si="144"/>
        <v>1.5426082297095587</v>
      </c>
      <c r="L397" s="102">
        <f t="shared" si="145"/>
        <v>1</v>
      </c>
      <c r="M397" s="103">
        <f t="shared" si="146"/>
        <v>1.1637468412238814E-9</v>
      </c>
      <c r="N397" s="101">
        <f t="shared" si="147"/>
        <v>1</v>
      </c>
      <c r="O397" s="104">
        <f t="shared" si="148"/>
        <v>1.8619949459582101E-10</v>
      </c>
      <c r="P397" s="105">
        <f t="shared" ca="1" si="149"/>
        <v>2.2089676530293989</v>
      </c>
      <c r="Q397" s="106">
        <f t="shared" ca="1" si="150"/>
        <v>1.163252042165833</v>
      </c>
      <c r="R397" s="107">
        <f t="shared" ca="1" si="151"/>
        <v>-45.706830947205404</v>
      </c>
      <c r="S397" s="108">
        <f t="shared" ca="1" si="152"/>
        <v>-198.86232256680969</v>
      </c>
      <c r="T397" s="116">
        <f t="shared" ca="1" si="153"/>
        <v>-18.862322566809695</v>
      </c>
      <c r="V397" s="72">
        <f t="shared" ca="1" si="154"/>
        <v>35279.25</v>
      </c>
      <c r="W397" s="72">
        <f t="shared" si="155"/>
        <v>1244625480.5625</v>
      </c>
      <c r="Y397" s="110">
        <f t="shared" si="156"/>
        <v>15.020766680706622</v>
      </c>
      <c r="Z397" s="111">
        <f t="shared" si="157"/>
        <v>-88.418201068168344</v>
      </c>
      <c r="AA397" s="72">
        <f t="shared" si="158"/>
        <v>91.581798931831656</v>
      </c>
      <c r="AB397" s="110">
        <f t="shared" ca="1" si="159"/>
        <v>-44.809997281030519</v>
      </c>
      <c r="AC397" s="111">
        <f t="shared" ca="1" si="160"/>
        <v>-110.44412149864142</v>
      </c>
      <c r="AD397" s="72">
        <f t="shared" ca="1" si="161"/>
        <v>69.555878501358578</v>
      </c>
    </row>
    <row r="398" spans="1:30">
      <c r="A398" s="118">
        <v>35481</v>
      </c>
      <c r="B398" s="101">
        <f t="shared" ref="B398:B461" ca="1" si="162">SQRT(1+(A398/Pole1)^2)</f>
        <v>1819.4927943319183</v>
      </c>
      <c r="C398" s="102">
        <f t="shared" ref="C398:C461" ca="1" si="163">ATAN(A398/Pole1)</f>
        <v>1.5702467230517769</v>
      </c>
      <c r="D398" s="102">
        <f t="shared" ref="D398:D461" si="164">SQRT(1+(A398/Zero1)^2)</f>
        <v>1.4483992843374607</v>
      </c>
      <c r="E398" s="103">
        <f t="shared" ref="E398:E461" si="165">ATAN(A398/Zero1)</f>
        <v>0.8087305091928253</v>
      </c>
      <c r="F398" s="101">
        <f t="shared" ref="F398:F461" si="166">SQRT(1+(A398/Pole2)^2)</f>
        <v>12127.593192262217</v>
      </c>
      <c r="G398" s="104">
        <f t="shared" ref="G398:G461" si="167">ATAN(A398/Pole2)</f>
        <v>1.5707138702031163</v>
      </c>
      <c r="H398" s="113">
        <f t="shared" ref="H398:H461" si="168">SQRT(1+(A398/Zero2)^2)</f>
        <v>1515.9494737055722</v>
      </c>
      <c r="I398" s="114">
        <f t="shared" ref="I398:I461" si="169">ATAN(A398/Zero2)</f>
        <v>1.5701366741548393</v>
      </c>
      <c r="J398" s="101">
        <f t="shared" ref="J398:J461" si="170">SQRT(1+(A398/pole4)^2)</f>
        <v>35.683406488030364</v>
      </c>
      <c r="K398" s="104">
        <f t="shared" ref="K398:K461" si="171">ATAN(A398/pole4)</f>
        <v>1.5427684270614521</v>
      </c>
      <c r="L398" s="102">
        <f t="shared" ref="L398:L461" si="172">SQRT(1+(A398/Zerofeed)^2)</f>
        <v>1</v>
      </c>
      <c r="M398" s="103">
        <f t="shared" ref="M398:M461" si="173">ATAN(A398/Zerofeed)</f>
        <v>1.1704019125538251E-9</v>
      </c>
      <c r="N398" s="101">
        <f t="shared" ref="N398:N461" si="174">SQRT(1+(A398/Polefeed)^2)</f>
        <v>1</v>
      </c>
      <c r="O398" s="104">
        <f t="shared" ref="O398:O461" si="175">ATAN(A398/Polefeed)</f>
        <v>1.8726430600861201E-10</v>
      </c>
      <c r="P398" s="105">
        <f t="shared" ref="P398:P461" ca="1" si="176">SQRT((1-(W398/pterm2))^2+(A398/pterm1)^2)</f>
        <v>2.2190575014834089</v>
      </c>
      <c r="Q398" s="106">
        <f t="shared" ref="Q398:Q461" ca="1" si="177">IF((ATAN((A398/pterm1)/(1-A398^2/pterm2))&gt;0),ATAN((A398/pterm1)/(1-A398^2/pterm2)),PI()+ATAN((A398/pterm1)/(1-A398^2/pterm2)))</f>
        <v>1.1659142042701707</v>
      </c>
      <c r="R398" s="107">
        <f t="shared" ref="R398:R461" ca="1" si="178">20*LOG10(((D398*H398*L398)/(B398*F398*P398*J398*N398))*Adc)</f>
        <v>-45.81958628829824</v>
      </c>
      <c r="S398" s="108">
        <f t="shared" ref="S398:S461" ca="1" si="179">((E398+I398+M398)-(C398+G398+Q398+K398+O398))*radconv</f>
        <v>-198.86081896901186</v>
      </c>
      <c r="T398" s="116">
        <f t="shared" ref="T398:T461" ca="1" si="180">IF(S398&gt;0,S398,S398+180)</f>
        <v>-18.860818969011859</v>
      </c>
      <c r="V398" s="72">
        <f t="shared" ref="V398:V461" ca="1" si="181">IF(R398&lt;0,A398,1000000000)</f>
        <v>35481</v>
      </c>
      <c r="W398" s="72">
        <f t="shared" ref="W398:W461" si="182">A398^2</f>
        <v>1258901361</v>
      </c>
      <c r="Y398" s="110">
        <f t="shared" ref="Y398:Y461" si="183">20*LOG10(((H398*L398)/(F398*J398*N398))*Aea)</f>
        <v>14.971275628335787</v>
      </c>
      <c r="Z398" s="111">
        <f t="shared" ref="Z398:Z461" si="184">(I398+M398-(G398+K398+O398))*radconv</f>
        <v>-88.42719057888884</v>
      </c>
      <c r="AA398" s="72">
        <f t="shared" ref="AA398:AA461" si="185">IF(Z398&gt;0,Z398,Z398+180)</f>
        <v>91.57280942111116</v>
      </c>
      <c r="AB398" s="110">
        <f t="shared" ref="AB398:AB461" ca="1" si="186">20*LOG10((D398/(B398*P398))*Acs*Am)</f>
        <v>-44.873261569752529</v>
      </c>
      <c r="AC398" s="111">
        <f t="shared" ref="AC398:AC461" ca="1" si="187">(E398-(C398+Q398))*radconv</f>
        <v>-110.43362839012306</v>
      </c>
      <c r="AD398" s="72">
        <f t="shared" ref="AD398:AD461" ca="1" si="188">IF(AC398&gt;0,AC398,AC398+180)</f>
        <v>69.566371609876938</v>
      </c>
    </row>
    <row r="399" spans="1:30">
      <c r="A399" s="118">
        <v>35687.75</v>
      </c>
      <c r="B399" s="101">
        <f t="shared" ca="1" si="162"/>
        <v>1830.0950891355233</v>
      </c>
      <c r="C399" s="102">
        <f t="shared" ca="1" si="163"/>
        <v>1.5702499070729385</v>
      </c>
      <c r="D399" s="102">
        <f t="shared" si="164"/>
        <v>1.4528222077764685</v>
      </c>
      <c r="E399" s="103">
        <f t="shared" si="165"/>
        <v>0.81163201258072049</v>
      </c>
      <c r="F399" s="101">
        <f t="shared" si="166"/>
        <v>12198.261433729531</v>
      </c>
      <c r="G399" s="104">
        <f t="shared" si="167"/>
        <v>1.570714347899252</v>
      </c>
      <c r="H399" s="113">
        <f t="shared" si="168"/>
        <v>1524.7830020080582</v>
      </c>
      <c r="I399" s="114">
        <f t="shared" si="169"/>
        <v>1.5701404957222989</v>
      </c>
      <c r="J399" s="101">
        <f t="shared" si="170"/>
        <v>35.891173096973723</v>
      </c>
      <c r="K399" s="104">
        <f t="shared" si="171"/>
        <v>1.5429307169305599</v>
      </c>
      <c r="L399" s="102">
        <f t="shared" si="172"/>
        <v>1</v>
      </c>
      <c r="M399" s="103">
        <f t="shared" si="173"/>
        <v>1.1772219174978939E-9</v>
      </c>
      <c r="N399" s="101">
        <f t="shared" si="174"/>
        <v>1</v>
      </c>
      <c r="O399" s="104">
        <f t="shared" si="175"/>
        <v>1.8835550679966301E-10</v>
      </c>
      <c r="P399" s="105">
        <f t="shared" ca="1" si="176"/>
        <v>2.2294102688624018</v>
      </c>
      <c r="Q399" s="106">
        <f t="shared" ca="1" si="177"/>
        <v>1.1686208095633515</v>
      </c>
      <c r="R399" s="107">
        <f t="shared" ca="1" si="178"/>
        <v>-45.934425002515049</v>
      </c>
      <c r="S399" s="108">
        <f t="shared" ca="1" si="179"/>
        <v>-198.85894149623715</v>
      </c>
      <c r="T399" s="116">
        <f t="shared" ca="1" si="180"/>
        <v>-18.858941496237151</v>
      </c>
      <c r="V399" s="72">
        <f t="shared" ca="1" si="181"/>
        <v>35687.75</v>
      </c>
      <c r="W399" s="72">
        <f t="shared" si="182"/>
        <v>1273615500.0625</v>
      </c>
      <c r="Y399" s="110">
        <f t="shared" si="183"/>
        <v>14.920848683905257</v>
      </c>
      <c r="Z399" s="111">
        <f t="shared" si="184"/>
        <v>-88.43629751341453</v>
      </c>
      <c r="AA399" s="72">
        <f t="shared" si="185"/>
        <v>91.56370248658547</v>
      </c>
      <c r="AB399" s="110">
        <f t="shared" ca="1" si="186"/>
        <v>-44.937673339538797</v>
      </c>
      <c r="AC399" s="111">
        <f t="shared" ca="1" si="187"/>
        <v>-110.42264398282271</v>
      </c>
      <c r="AD399" s="72">
        <f t="shared" ca="1" si="188"/>
        <v>69.577356017177294</v>
      </c>
    </row>
    <row r="400" spans="1:30">
      <c r="A400" s="118">
        <v>35894.5</v>
      </c>
      <c r="B400" s="101">
        <f t="shared" ca="1" si="162"/>
        <v>1840.6973839574678</v>
      </c>
      <c r="C400" s="102">
        <f t="shared" ca="1" si="163"/>
        <v>1.5702530544145987</v>
      </c>
      <c r="D400" s="102">
        <f t="shared" si="164"/>
        <v>1.4572572878176964</v>
      </c>
      <c r="E400" s="103">
        <f t="shared" si="165"/>
        <v>0.81451587900169753</v>
      </c>
      <c r="F400" s="101">
        <f t="shared" si="166"/>
        <v>12268.929675199593</v>
      </c>
      <c r="G400" s="104">
        <f t="shared" si="167"/>
        <v>1.5707148200923904</v>
      </c>
      <c r="H400" s="113">
        <f t="shared" si="168"/>
        <v>1533.6165303325563</v>
      </c>
      <c r="I400" s="114">
        <f t="shared" si="169"/>
        <v>1.5701442732658144</v>
      </c>
      <c r="J400" s="101">
        <f t="shared" si="170"/>
        <v>36.098940640337524</v>
      </c>
      <c r="K400" s="104">
        <f t="shared" si="171"/>
        <v>1.5430911386843553</v>
      </c>
      <c r="L400" s="102">
        <f t="shared" si="172"/>
        <v>1</v>
      </c>
      <c r="M400" s="103">
        <f t="shared" si="173"/>
        <v>1.1840419224419625E-9</v>
      </c>
      <c r="N400" s="101">
        <f t="shared" si="174"/>
        <v>1</v>
      </c>
      <c r="O400" s="104">
        <f t="shared" si="175"/>
        <v>1.8944670759071402E-10</v>
      </c>
      <c r="P400" s="105">
        <f t="shared" ca="1" si="176"/>
        <v>2.2397758920272319</v>
      </c>
      <c r="Q400" s="106">
        <f t="shared" ca="1" si="177"/>
        <v>1.1713058905515055</v>
      </c>
      <c r="R400" s="107">
        <f t="shared" ca="1" si="178"/>
        <v>-46.04855193995445</v>
      </c>
      <c r="S400" s="108">
        <f t="shared" ca="1" si="179"/>
        <v>-198.856734365779</v>
      </c>
      <c r="T400" s="116">
        <f t="shared" ca="1" si="180"/>
        <v>-18.856734365779005</v>
      </c>
      <c r="V400" s="72">
        <f t="shared" ca="1" si="181"/>
        <v>35894.5</v>
      </c>
      <c r="W400" s="72">
        <f t="shared" si="182"/>
        <v>1288415130.25</v>
      </c>
      <c r="Y400" s="110">
        <f t="shared" si="183"/>
        <v>14.870712585234799</v>
      </c>
      <c r="Z400" s="111">
        <f t="shared" si="184"/>
        <v>-88.445299619904716</v>
      </c>
      <c r="AA400" s="72">
        <f t="shared" si="185"/>
        <v>91.554700380095284</v>
      </c>
      <c r="AB400" s="110">
        <f t="shared" ca="1" si="186"/>
        <v>-45.001664178307749</v>
      </c>
      <c r="AC400" s="111">
        <f t="shared" ca="1" si="187"/>
        <v>-110.41143474587423</v>
      </c>
      <c r="AD400" s="72">
        <f t="shared" ca="1" si="188"/>
        <v>69.588565254125768</v>
      </c>
    </row>
    <row r="401" spans="1:30">
      <c r="A401" s="118">
        <v>36101.25</v>
      </c>
      <c r="B401" s="101">
        <f t="shared" ca="1" si="162"/>
        <v>1851.2996787974371</v>
      </c>
      <c r="C401" s="102">
        <f t="shared" ca="1" si="163"/>
        <v>1.570256165706942</v>
      </c>
      <c r="D401" s="102">
        <f t="shared" si="164"/>
        <v>1.4617044138050475</v>
      </c>
      <c r="E401" s="103">
        <f t="shared" si="165"/>
        <v>0.81738222124621773</v>
      </c>
      <c r="F401" s="101">
        <f t="shared" si="166"/>
        <v>12339.597916672361</v>
      </c>
      <c r="G401" s="104">
        <f t="shared" si="167"/>
        <v>1.5707152868770771</v>
      </c>
      <c r="H401" s="113">
        <f t="shared" si="168"/>
        <v>1542.4500586786883</v>
      </c>
      <c r="I401" s="114">
        <f t="shared" si="169"/>
        <v>1.5701480075417535</v>
      </c>
      <c r="J401" s="101">
        <f t="shared" si="170"/>
        <v>36.306709102079914</v>
      </c>
      <c r="K401" s="104">
        <f t="shared" si="171"/>
        <v>1.5432497243858916</v>
      </c>
      <c r="L401" s="102">
        <f t="shared" si="172"/>
        <v>1</v>
      </c>
      <c r="M401" s="103">
        <f t="shared" si="173"/>
        <v>1.1908619273860314E-9</v>
      </c>
      <c r="N401" s="101">
        <f t="shared" si="174"/>
        <v>1</v>
      </c>
      <c r="O401" s="104">
        <f t="shared" si="175"/>
        <v>1.90537908381765E-10</v>
      </c>
      <c r="P401" s="105">
        <f t="shared" ca="1" si="176"/>
        <v>2.2501542101811105</v>
      </c>
      <c r="Q401" s="106">
        <f t="shared" ca="1" si="177"/>
        <v>1.173969718188721</v>
      </c>
      <c r="R401" s="107">
        <f t="shared" ca="1" si="178"/>
        <v>-46.161975029599702</v>
      </c>
      <c r="S401" s="108">
        <f t="shared" ca="1" si="179"/>
        <v>-198.85420847501047</v>
      </c>
      <c r="T401" s="116">
        <f t="shared" ca="1" si="180"/>
        <v>-18.854208475010466</v>
      </c>
      <c r="V401" s="72">
        <f t="shared" ca="1" si="181"/>
        <v>36101.25</v>
      </c>
      <c r="W401" s="72">
        <f t="shared" si="182"/>
        <v>1303300251.5625</v>
      </c>
      <c r="Y401" s="110">
        <f t="shared" si="183"/>
        <v>14.820863999104319</v>
      </c>
      <c r="Z401" s="111">
        <f t="shared" si="184"/>
        <v>-88.454198697517441</v>
      </c>
      <c r="AA401" s="72">
        <f t="shared" si="185"/>
        <v>91.545801302482559</v>
      </c>
      <c r="AB401" s="110">
        <f t="shared" ca="1" si="186"/>
        <v>-45.065238681822521</v>
      </c>
      <c r="AC401" s="111">
        <f t="shared" ca="1" si="187"/>
        <v>-110.400009777493</v>
      </c>
      <c r="AD401" s="72">
        <f t="shared" ca="1" si="188"/>
        <v>69.599990222507003</v>
      </c>
    </row>
    <row r="402" spans="1:30">
      <c r="A402" s="118">
        <v>36308</v>
      </c>
      <c r="B402" s="101">
        <f t="shared" ca="1" si="162"/>
        <v>1861.9019736551229</v>
      </c>
      <c r="C402" s="102">
        <f t="shared" ca="1" si="163"/>
        <v>1.5702592415657997</v>
      </c>
      <c r="D402" s="102">
        <f t="shared" si="164"/>
        <v>1.4661634761262463</v>
      </c>
      <c r="E402" s="103">
        <f t="shared" si="165"/>
        <v>0.82023115188999962</v>
      </c>
      <c r="F402" s="101">
        <f t="shared" si="166"/>
        <v>12410.266158147784</v>
      </c>
      <c r="G402" s="104">
        <f t="shared" si="167"/>
        <v>1.5707157483457048</v>
      </c>
      <c r="H402" s="113">
        <f t="shared" si="168"/>
        <v>1551.283587046084</v>
      </c>
      <c r="I402" s="114">
        <f t="shared" si="169"/>
        <v>1.5701516992892568</v>
      </c>
      <c r="J402" s="101">
        <f t="shared" si="170"/>
        <v>36.514478466524082</v>
      </c>
      <c r="K402" s="104">
        <f t="shared" si="171"/>
        <v>1.5434065053688344</v>
      </c>
      <c r="L402" s="102">
        <f t="shared" si="172"/>
        <v>1</v>
      </c>
      <c r="M402" s="103">
        <f t="shared" si="173"/>
        <v>1.1976819323301E-9</v>
      </c>
      <c r="N402" s="101">
        <f t="shared" si="174"/>
        <v>1</v>
      </c>
      <c r="O402" s="104">
        <f t="shared" si="175"/>
        <v>1.9162910917281601E-10</v>
      </c>
      <c r="P402" s="105">
        <f t="shared" ca="1" si="176"/>
        <v>2.2605450653614625</v>
      </c>
      <c r="Q402" s="106">
        <f t="shared" ca="1" si="177"/>
        <v>1.1766125593740244</v>
      </c>
      <c r="R402" s="107">
        <f t="shared" ca="1" si="178"/>
        <v>-46.274702080490158</v>
      </c>
      <c r="S402" s="108">
        <f t="shared" ca="1" si="179"/>
        <v>-198.85137445952117</v>
      </c>
      <c r="T402" s="116">
        <f t="shared" ca="1" si="180"/>
        <v>-18.851374459521168</v>
      </c>
      <c r="V402" s="72">
        <f t="shared" ca="1" si="181"/>
        <v>36308</v>
      </c>
      <c r="W402" s="72">
        <f t="shared" si="182"/>
        <v>1318270864</v>
      </c>
      <c r="Y402" s="110">
        <f t="shared" si="183"/>
        <v>14.77129964922441</v>
      </c>
      <c r="Z402" s="111">
        <f t="shared" si="184"/>
        <v>-88.46299650448357</v>
      </c>
      <c r="AA402" s="72">
        <f t="shared" si="185"/>
        <v>91.53700349551643</v>
      </c>
      <c r="AB402" s="110">
        <f t="shared" ca="1" si="186"/>
        <v>-45.128401382833061</v>
      </c>
      <c r="AC402" s="111">
        <f t="shared" ca="1" si="187"/>
        <v>-110.38837795503768</v>
      </c>
      <c r="AD402" s="72">
        <f t="shared" ca="1" si="188"/>
        <v>69.611622044962317</v>
      </c>
    </row>
    <row r="403" spans="1:30">
      <c r="A403" s="118">
        <v>36519.5</v>
      </c>
      <c r="B403" s="101">
        <f t="shared" ca="1" si="162"/>
        <v>1872.7478520886218</v>
      </c>
      <c r="C403" s="102">
        <f t="shared" ca="1" si="163"/>
        <v>1.5702623520548342</v>
      </c>
      <c r="D403" s="102">
        <f t="shared" si="164"/>
        <v>1.4707372212849792</v>
      </c>
      <c r="E403" s="103">
        <f t="shared" si="165"/>
        <v>0.82312763649548848</v>
      </c>
      <c r="F403" s="101">
        <f t="shared" si="166"/>
        <v>12482.557974702135</v>
      </c>
      <c r="G403" s="104">
        <f t="shared" si="167"/>
        <v>1.5707162150098686</v>
      </c>
      <c r="H403" s="113">
        <f t="shared" si="168"/>
        <v>1560.3200622778882</v>
      </c>
      <c r="I403" s="114">
        <f t="shared" si="169"/>
        <v>1.5701554326010492</v>
      </c>
      <c r="J403" s="101">
        <f t="shared" si="170"/>
        <v>36.727022168541112</v>
      </c>
      <c r="K403" s="104">
        <f t="shared" si="171"/>
        <v>1.543565052871207</v>
      </c>
      <c r="L403" s="102">
        <f t="shared" si="172"/>
        <v>1</v>
      </c>
      <c r="M403" s="103">
        <f t="shared" si="173"/>
        <v>1.2046586242075877E-9</v>
      </c>
      <c r="N403" s="101">
        <f t="shared" si="174"/>
        <v>1</v>
      </c>
      <c r="O403" s="104">
        <f t="shared" si="175"/>
        <v>1.9274537987321402E-10</v>
      </c>
      <c r="P403" s="105">
        <f t="shared" ca="1" si="176"/>
        <v>2.2711874569546158</v>
      </c>
      <c r="Q403" s="106">
        <f t="shared" ca="1" si="177"/>
        <v>1.1792946776698967</v>
      </c>
      <c r="R403" s="107">
        <f t="shared" ca="1" si="178"/>
        <v>-46.389306800539046</v>
      </c>
      <c r="S403" s="108">
        <f t="shared" ca="1" si="179"/>
        <v>-198.84816732988088</v>
      </c>
      <c r="T403" s="116">
        <f t="shared" ca="1" si="180"/>
        <v>-18.84816732988088</v>
      </c>
      <c r="V403" s="72">
        <f t="shared" ca="1" si="181"/>
        <v>36519.5</v>
      </c>
      <c r="W403" s="72">
        <f t="shared" si="182"/>
        <v>1333673880.25</v>
      </c>
      <c r="Y403" s="110">
        <f t="shared" si="183"/>
        <v>14.720887326793289</v>
      </c>
      <c r="Z403" s="111">
        <f t="shared" si="184"/>
        <v>-88.471893441773986</v>
      </c>
      <c r="AA403" s="72">
        <f t="shared" si="185"/>
        <v>91.528106558226014</v>
      </c>
      <c r="AB403" s="110">
        <f t="shared" ca="1" si="186"/>
        <v>-45.192593780450835</v>
      </c>
      <c r="AC403" s="111">
        <f t="shared" ca="1" si="187"/>
        <v>-110.37627388810691</v>
      </c>
      <c r="AD403" s="72">
        <f t="shared" ca="1" si="188"/>
        <v>69.623726111893092</v>
      </c>
    </row>
    <row r="404" spans="1:30">
      <c r="A404" s="118">
        <v>36731</v>
      </c>
      <c r="B404" s="101">
        <f t="shared" ca="1" si="162"/>
        <v>1883.5937305400309</v>
      </c>
      <c r="C404" s="102">
        <f t="shared" ca="1" si="163"/>
        <v>1.5702654267229956</v>
      </c>
      <c r="D404" s="102">
        <f t="shared" si="164"/>
        <v>1.475323228809025</v>
      </c>
      <c r="E404" s="103">
        <f t="shared" si="165"/>
        <v>0.82600613781729837</v>
      </c>
      <c r="F404" s="101">
        <f t="shared" si="166"/>
        <v>12554.849791259168</v>
      </c>
      <c r="G404" s="104">
        <f t="shared" si="167"/>
        <v>1.5707166762998541</v>
      </c>
      <c r="H404" s="113">
        <f t="shared" si="168"/>
        <v>1569.3565375311887</v>
      </c>
      <c r="I404" s="114">
        <f t="shared" si="169"/>
        <v>1.5701591229194505</v>
      </c>
      <c r="J404" s="101">
        <f t="shared" si="170"/>
        <v>36.939566783152628</v>
      </c>
      <c r="K404" s="104">
        <f t="shared" si="171"/>
        <v>1.5437217758613477</v>
      </c>
      <c r="L404" s="102">
        <f t="shared" si="172"/>
        <v>1</v>
      </c>
      <c r="M404" s="103">
        <f t="shared" si="173"/>
        <v>1.2116353160850751E-9</v>
      </c>
      <c r="N404" s="101">
        <f t="shared" si="174"/>
        <v>1</v>
      </c>
      <c r="O404" s="104">
        <f t="shared" si="175"/>
        <v>1.9386165057361201E-10</v>
      </c>
      <c r="P404" s="105">
        <f t="shared" ca="1" si="176"/>
        <v>2.2818426426928324</v>
      </c>
      <c r="Q404" s="106">
        <f t="shared" ca="1" si="177"/>
        <v>1.181955386429888</v>
      </c>
      <c r="R404" s="107">
        <f t="shared" ca="1" si="178"/>
        <v>-46.503199289270896</v>
      </c>
      <c r="S404" s="108">
        <f t="shared" ca="1" si="179"/>
        <v>-198.84465945663621</v>
      </c>
      <c r="T404" s="116">
        <f t="shared" ca="1" si="180"/>
        <v>-18.844659456636208</v>
      </c>
      <c r="V404" s="72">
        <f t="shared" ca="1" si="181"/>
        <v>36731</v>
      </c>
      <c r="W404" s="72">
        <f t="shared" si="182"/>
        <v>1349166361</v>
      </c>
      <c r="Y404" s="110">
        <f t="shared" si="183"/>
        <v>14.670765692076191</v>
      </c>
      <c r="Z404" s="111">
        <f t="shared" si="184"/>
        <v>-88.48068799763584</v>
      </c>
      <c r="AA404" s="72">
        <f t="shared" si="185"/>
        <v>91.51931200236416</v>
      </c>
      <c r="AB404" s="110">
        <f t="shared" ca="1" si="186"/>
        <v>-45.256364634465591</v>
      </c>
      <c r="AC404" s="111">
        <f t="shared" ca="1" si="187"/>
        <v>-110.36397145900035</v>
      </c>
      <c r="AD404" s="72">
        <f t="shared" ca="1" si="188"/>
        <v>69.636028540999646</v>
      </c>
    </row>
    <row r="405" spans="1:30">
      <c r="A405" s="118">
        <v>36942.5</v>
      </c>
      <c r="B405" s="101">
        <f t="shared" ca="1" si="162"/>
        <v>1894.4396090090431</v>
      </c>
      <c r="C405" s="102">
        <f t="shared" ca="1" si="163"/>
        <v>1.5702684661855195</v>
      </c>
      <c r="D405" s="102">
        <f t="shared" si="164"/>
        <v>1.4799213847018609</v>
      </c>
      <c r="E405" s="103">
        <f t="shared" si="165"/>
        <v>0.82886677555584887</v>
      </c>
      <c r="F405" s="101">
        <f t="shared" si="166"/>
        <v>12627.141607818845</v>
      </c>
      <c r="G405" s="104">
        <f t="shared" si="167"/>
        <v>1.5707171323079649</v>
      </c>
      <c r="H405" s="113">
        <f t="shared" si="168"/>
        <v>1578.3930128056168</v>
      </c>
      <c r="I405" s="114">
        <f t="shared" si="169"/>
        <v>1.5701627709828867</v>
      </c>
      <c r="J405" s="101">
        <f t="shared" si="170"/>
        <v>37.152112294695947</v>
      </c>
      <c r="K405" s="104">
        <f t="shared" si="171"/>
        <v>1.5438767056453402</v>
      </c>
      <c r="L405" s="102">
        <f t="shared" si="172"/>
        <v>1</v>
      </c>
      <c r="M405" s="103">
        <f t="shared" si="173"/>
        <v>1.2186120079625626E-9</v>
      </c>
      <c r="N405" s="101">
        <f t="shared" si="174"/>
        <v>1</v>
      </c>
      <c r="O405" s="104">
        <f t="shared" si="175"/>
        <v>1.9497792127401E-10</v>
      </c>
      <c r="P405" s="105">
        <f t="shared" ca="1" si="176"/>
        <v>2.2925104623189814</v>
      </c>
      <c r="Q405" s="106">
        <f t="shared" ca="1" si="177"/>
        <v>1.1845949586141793</v>
      </c>
      <c r="R405" s="107">
        <f t="shared" ca="1" si="178"/>
        <v>-46.616387531624838</v>
      </c>
      <c r="S405" s="108">
        <f t="shared" ca="1" si="179"/>
        <v>-198.84086141286144</v>
      </c>
      <c r="T405" s="116">
        <f t="shared" ca="1" si="180"/>
        <v>-18.840861412861443</v>
      </c>
      <c r="V405" s="72">
        <f t="shared" ca="1" si="181"/>
        <v>36942.5</v>
      </c>
      <c r="W405" s="72">
        <f t="shared" si="182"/>
        <v>1364748306.25</v>
      </c>
      <c r="Y405" s="110">
        <f t="shared" si="183"/>
        <v>14.620931414388959</v>
      </c>
      <c r="Z405" s="111">
        <f t="shared" si="184"/>
        <v>-88.489381928755506</v>
      </c>
      <c r="AA405" s="72">
        <f t="shared" si="185"/>
        <v>91.510618071244494</v>
      </c>
      <c r="AB405" s="110">
        <f t="shared" ca="1" si="186"/>
        <v>-45.319718599132287</v>
      </c>
      <c r="AC405" s="111">
        <f t="shared" ca="1" si="187"/>
        <v>-110.35147948410591</v>
      </c>
      <c r="AD405" s="72">
        <f t="shared" ca="1" si="188"/>
        <v>69.648520515894091</v>
      </c>
    </row>
    <row r="406" spans="1:30">
      <c r="A406" s="118">
        <v>37154</v>
      </c>
      <c r="B406" s="101">
        <f t="shared" ca="1" si="162"/>
        <v>1905.2854874953571</v>
      </c>
      <c r="C406" s="102">
        <f t="shared" ca="1" si="163"/>
        <v>1.5702714710436323</v>
      </c>
      <c r="D406" s="102">
        <f t="shared" si="164"/>
        <v>1.4845315760792086</v>
      </c>
      <c r="E406" s="103">
        <f t="shared" si="165"/>
        <v>0.83170966909998678</v>
      </c>
      <c r="F406" s="101">
        <f t="shared" si="166"/>
        <v>12699.433424381117</v>
      </c>
      <c r="G406" s="104">
        <f t="shared" si="167"/>
        <v>1.5707175831244022</v>
      </c>
      <c r="H406" s="113">
        <f t="shared" si="168"/>
        <v>1587.4294881008116</v>
      </c>
      <c r="I406" s="114">
        <f t="shared" si="169"/>
        <v>1.5701663775129693</v>
      </c>
      <c r="J406" s="101">
        <f t="shared" si="170"/>
        <v>37.364658687864733</v>
      </c>
      <c r="K406" s="104">
        <f t="shared" si="171"/>
        <v>1.5440298728172868</v>
      </c>
      <c r="L406" s="102">
        <f t="shared" si="172"/>
        <v>1</v>
      </c>
      <c r="M406" s="103">
        <f t="shared" si="173"/>
        <v>1.2255886998400501E-9</v>
      </c>
      <c r="N406" s="101">
        <f t="shared" si="174"/>
        <v>1</v>
      </c>
      <c r="O406" s="104">
        <f t="shared" si="175"/>
        <v>1.9609419197440802E-10</v>
      </c>
      <c r="P406" s="105">
        <f t="shared" ca="1" si="176"/>
        <v>2.3031907584395981</v>
      </c>
      <c r="Q406" s="106">
        <f t="shared" ca="1" si="177"/>
        <v>1.1872136630176922</v>
      </c>
      <c r="R406" s="107">
        <f t="shared" ca="1" si="178"/>
        <v>-46.728879391009876</v>
      </c>
      <c r="S406" s="108">
        <f t="shared" ca="1" si="179"/>
        <v>-198.83678351007771</v>
      </c>
      <c r="T406" s="116">
        <f t="shared" ca="1" si="180"/>
        <v>-18.836783510077709</v>
      </c>
      <c r="V406" s="72">
        <f t="shared" ca="1" si="181"/>
        <v>37154</v>
      </c>
      <c r="W406" s="72">
        <f t="shared" si="182"/>
        <v>1380419716</v>
      </c>
      <c r="Y406" s="110">
        <f t="shared" si="183"/>
        <v>14.571381219924451</v>
      </c>
      <c r="Z406" s="111">
        <f t="shared" si="184"/>
        <v>-88.497976951868836</v>
      </c>
      <c r="AA406" s="72">
        <f t="shared" si="185"/>
        <v>91.502023048131164</v>
      </c>
      <c r="AB406" s="110">
        <f t="shared" ca="1" si="186"/>
        <v>-45.382660264052824</v>
      </c>
      <c r="AC406" s="111">
        <f t="shared" ca="1" si="187"/>
        <v>-110.33880655820887</v>
      </c>
      <c r="AD406" s="72">
        <f t="shared" ca="1" si="188"/>
        <v>69.661193441791127</v>
      </c>
    </row>
    <row r="407" spans="1:30">
      <c r="A407" s="118">
        <v>37370.25</v>
      </c>
      <c r="B407" s="101">
        <f t="shared" ca="1" si="162"/>
        <v>1916.3749495586403</v>
      </c>
      <c r="C407" s="102">
        <f t="shared" ca="1" si="163"/>
        <v>1.5702745082198768</v>
      </c>
      <c r="D407" s="102">
        <f t="shared" si="164"/>
        <v>1.4892576335714534</v>
      </c>
      <c r="E407" s="103">
        <f t="shared" si="165"/>
        <v>0.83459818772035055</v>
      </c>
      <c r="F407" s="101">
        <f t="shared" si="166"/>
        <v>12773.348816022484</v>
      </c>
      <c r="G407" s="104">
        <f t="shared" si="167"/>
        <v>1.5707180387895017</v>
      </c>
      <c r="H407" s="113">
        <f t="shared" si="168"/>
        <v>1596.6689102618016</v>
      </c>
      <c r="I407" s="114">
        <f t="shared" si="169"/>
        <v>1.5701700228323474</v>
      </c>
      <c r="J407" s="101">
        <f t="shared" si="170"/>
        <v>37.581979477555592</v>
      </c>
      <c r="K407" s="104">
        <f t="shared" si="171"/>
        <v>1.5441846886231825</v>
      </c>
      <c r="L407" s="102">
        <f t="shared" si="172"/>
        <v>1</v>
      </c>
      <c r="M407" s="103">
        <f t="shared" si="173"/>
        <v>1.2327220786509563E-9</v>
      </c>
      <c r="N407" s="101">
        <f t="shared" si="174"/>
        <v>1</v>
      </c>
      <c r="O407" s="104">
        <f t="shared" si="175"/>
        <v>1.97235532584153E-10</v>
      </c>
      <c r="P407" s="105">
        <f t="shared" ca="1" si="176"/>
        <v>2.3141236583007365</v>
      </c>
      <c r="Q407" s="106">
        <f t="shared" ca="1" si="177"/>
        <v>1.1898698796013818</v>
      </c>
      <c r="R407" s="107">
        <f t="shared" ca="1" si="178"/>
        <v>-46.843185711317659</v>
      </c>
      <c r="S407" s="108">
        <f t="shared" ca="1" si="179"/>
        <v>-198.83233513938751</v>
      </c>
      <c r="T407" s="116">
        <f t="shared" ca="1" si="180"/>
        <v>-18.83233513938751</v>
      </c>
      <c r="V407" s="72">
        <f t="shared" ca="1" si="181"/>
        <v>37370.25</v>
      </c>
      <c r="W407" s="72">
        <f t="shared" si="182"/>
        <v>1396535585.0625</v>
      </c>
      <c r="Y407" s="110">
        <f t="shared" si="183"/>
        <v>14.521008569045664</v>
      </c>
      <c r="Z407" s="111">
        <f t="shared" si="184"/>
        <v>-88.506664490086891</v>
      </c>
      <c r="AA407" s="72">
        <f t="shared" si="185"/>
        <v>91.493335509913109</v>
      </c>
      <c r="AB407" s="110">
        <f t="shared" ca="1" si="186"/>
        <v>-45.446593933481829</v>
      </c>
      <c r="AC407" s="111">
        <f t="shared" ca="1" si="187"/>
        <v>-110.32567064930058</v>
      </c>
      <c r="AD407" s="72">
        <f t="shared" ca="1" si="188"/>
        <v>69.674329350699423</v>
      </c>
    </row>
    <row r="408" spans="1:30">
      <c r="A408" s="118">
        <v>37586.5</v>
      </c>
      <c r="B408" s="101">
        <f t="shared" ca="1" si="162"/>
        <v>1927.4644116393972</v>
      </c>
      <c r="C408" s="102">
        <f t="shared" ca="1" si="163"/>
        <v>1.5702775104479783</v>
      </c>
      <c r="D408" s="102">
        <f t="shared" si="164"/>
        <v>1.4939960380698409</v>
      </c>
      <c r="E408" s="103">
        <f t="shared" si="165"/>
        <v>0.8374684075304718</v>
      </c>
      <c r="F408" s="101">
        <f t="shared" si="166"/>
        <v>12847.264207666472</v>
      </c>
      <c r="G408" s="104">
        <f t="shared" si="167"/>
        <v>1.5707184892113577</v>
      </c>
      <c r="H408" s="113">
        <f t="shared" si="168"/>
        <v>1605.9083324437647</v>
      </c>
      <c r="I408" s="114">
        <f t="shared" si="169"/>
        <v>1.5701736262058137</v>
      </c>
      <c r="J408" s="101">
        <f t="shared" si="170"/>
        <v>37.799301157651271</v>
      </c>
      <c r="K408" s="104">
        <f t="shared" si="171"/>
        <v>1.5443377242500085</v>
      </c>
      <c r="L408" s="102">
        <f t="shared" si="172"/>
        <v>1</v>
      </c>
      <c r="M408" s="103">
        <f t="shared" si="173"/>
        <v>1.2398554574618626E-9</v>
      </c>
      <c r="N408" s="101">
        <f t="shared" si="174"/>
        <v>1</v>
      </c>
      <c r="O408" s="104">
        <f t="shared" si="175"/>
        <v>1.98376873193898E-10</v>
      </c>
      <c r="P408" s="105">
        <f t="shared" ca="1" si="176"/>
        <v>2.3250692774946846</v>
      </c>
      <c r="Q408" s="106">
        <f t="shared" ca="1" si="177"/>
        <v>1.19250483583736</v>
      </c>
      <c r="R408" s="107">
        <f t="shared" ca="1" si="178"/>
        <v>-46.956780264739479</v>
      </c>
      <c r="S408" s="108">
        <f t="shared" ca="1" si="179"/>
        <v>-198.82761518887858</v>
      </c>
      <c r="T408" s="116">
        <f t="shared" ca="1" si="180"/>
        <v>-18.827615188878582</v>
      </c>
      <c r="V408" s="72">
        <f t="shared" ca="1" si="181"/>
        <v>37586.5</v>
      </c>
      <c r="W408" s="72">
        <f t="shared" si="182"/>
        <v>1412744982.25</v>
      </c>
      <c r="Y408" s="110">
        <f t="shared" si="183"/>
        <v>14.470926159506838</v>
      </c>
      <c r="Z408" s="111">
        <f t="shared" si="184"/>
        <v>-88.515252134465371</v>
      </c>
      <c r="AA408" s="72">
        <f t="shared" si="185"/>
        <v>91.484747865534629</v>
      </c>
      <c r="AB408" s="110">
        <f t="shared" ca="1" si="186"/>
        <v>-45.51010607736481</v>
      </c>
      <c r="AC408" s="111">
        <f t="shared" ca="1" si="187"/>
        <v>-110.31236305441315</v>
      </c>
      <c r="AD408" s="72">
        <f t="shared" ca="1" si="188"/>
        <v>69.687636945586846</v>
      </c>
    </row>
    <row r="409" spans="1:30">
      <c r="A409" s="118">
        <v>37802.75</v>
      </c>
      <c r="B409" s="101">
        <f t="shared" ca="1" si="162"/>
        <v>1938.5538737373283</v>
      </c>
      <c r="C409" s="102">
        <f t="shared" ca="1" si="163"/>
        <v>1.5702804783276978</v>
      </c>
      <c r="D409" s="102">
        <f t="shared" si="164"/>
        <v>1.4987466724663077</v>
      </c>
      <c r="E409" s="103">
        <f t="shared" si="165"/>
        <v>0.84032045502235064</v>
      </c>
      <c r="F409" s="101">
        <f t="shared" si="166"/>
        <v>12921.17959931304</v>
      </c>
      <c r="G409" s="104">
        <f t="shared" si="167"/>
        <v>1.5707189344799526</v>
      </c>
      <c r="H409" s="113">
        <f t="shared" si="168"/>
        <v>1615.1477546463409</v>
      </c>
      <c r="I409" s="114">
        <f t="shared" si="169"/>
        <v>1.5701771883532203</v>
      </c>
      <c r="J409" s="101">
        <f t="shared" si="170"/>
        <v>38.016623712881795</v>
      </c>
      <c r="K409" s="104">
        <f t="shared" si="171"/>
        <v>1.5444890102197895</v>
      </c>
      <c r="L409" s="102">
        <f t="shared" si="172"/>
        <v>1</v>
      </c>
      <c r="M409" s="103">
        <f t="shared" si="173"/>
        <v>1.2469888362727689E-9</v>
      </c>
      <c r="N409" s="101">
        <f t="shared" si="174"/>
        <v>1</v>
      </c>
      <c r="O409" s="104">
        <f t="shared" si="175"/>
        <v>1.99518213803643E-10</v>
      </c>
      <c r="P409" s="105">
        <f t="shared" ca="1" si="176"/>
        <v>2.3360274566988832</v>
      </c>
      <c r="Q409" s="106">
        <f t="shared" ca="1" si="177"/>
        <v>1.1951188059708489</v>
      </c>
      <c r="R409" s="107">
        <f t="shared" ca="1" si="178"/>
        <v>-47.069671077414974</v>
      </c>
      <c r="S409" s="108">
        <f t="shared" ca="1" si="179"/>
        <v>-198.82263387124502</v>
      </c>
      <c r="T409" s="116">
        <f t="shared" ca="1" si="180"/>
        <v>-18.822633871245017</v>
      </c>
      <c r="V409" s="72">
        <f t="shared" ca="1" si="181"/>
        <v>37802.75</v>
      </c>
      <c r="W409" s="72">
        <f t="shared" si="182"/>
        <v>1429047907.5625</v>
      </c>
      <c r="Y409" s="110">
        <f t="shared" si="183"/>
        <v>14.421130668106144</v>
      </c>
      <c r="Z409" s="111">
        <f t="shared" si="184"/>
        <v>-88.523741597698617</v>
      </c>
      <c r="AA409" s="72">
        <f t="shared" si="185"/>
        <v>91.476258402301383</v>
      </c>
      <c r="AB409" s="110">
        <f t="shared" ca="1" si="186"/>
        <v>-45.573201398639611</v>
      </c>
      <c r="AC409" s="111">
        <f t="shared" ca="1" si="187"/>
        <v>-110.29889227354644</v>
      </c>
      <c r="AD409" s="72">
        <f t="shared" ca="1" si="188"/>
        <v>69.701107726453557</v>
      </c>
    </row>
    <row r="410" spans="1:30">
      <c r="A410" s="118">
        <v>38019</v>
      </c>
      <c r="B410" s="101">
        <f t="shared" ca="1" si="162"/>
        <v>1949.6433358521408</v>
      </c>
      <c r="C410" s="102">
        <f t="shared" ca="1" si="163"/>
        <v>1.5702834124451497</v>
      </c>
      <c r="D410" s="102">
        <f t="shared" si="164"/>
        <v>1.5035094208325359</v>
      </c>
      <c r="E410" s="103">
        <f t="shared" si="165"/>
        <v>0.84315445627391838</v>
      </c>
      <c r="F410" s="101">
        <f t="shared" si="166"/>
        <v>12995.094990962138</v>
      </c>
      <c r="G410" s="104">
        <f t="shared" si="167"/>
        <v>1.5707193746832204</v>
      </c>
      <c r="H410" s="113">
        <f t="shared" si="168"/>
        <v>1624.3871768691783</v>
      </c>
      <c r="I410" s="114">
        <f t="shared" si="169"/>
        <v>1.5701807099780418</v>
      </c>
      <c r="J410" s="101">
        <f t="shared" si="170"/>
        <v>38.233947128324303</v>
      </c>
      <c r="K410" s="104">
        <f t="shared" si="171"/>
        <v>1.5446385763609205</v>
      </c>
      <c r="L410" s="102">
        <f t="shared" si="172"/>
        <v>1</v>
      </c>
      <c r="M410" s="103">
        <f t="shared" si="173"/>
        <v>1.2541222150836752E-9</v>
      </c>
      <c r="N410" s="101">
        <f t="shared" si="174"/>
        <v>1</v>
      </c>
      <c r="O410" s="104">
        <f t="shared" si="175"/>
        <v>2.0065955441338801E-10</v>
      </c>
      <c r="P410" s="105">
        <f t="shared" ca="1" si="176"/>
        <v>2.3469980394747458</v>
      </c>
      <c r="Q410" s="106">
        <f t="shared" ca="1" si="177"/>
        <v>1.1977120599864592</v>
      </c>
      <c r="R410" s="107">
        <f t="shared" ca="1" si="178"/>
        <v>-47.181866052604946</v>
      </c>
      <c r="S410" s="108">
        <f t="shared" ca="1" si="179"/>
        <v>-198.81740113908751</v>
      </c>
      <c r="T410" s="116">
        <f t="shared" ca="1" si="180"/>
        <v>-18.817401139087508</v>
      </c>
      <c r="V410" s="72">
        <f t="shared" ca="1" si="181"/>
        <v>38019</v>
      </c>
      <c r="W410" s="72">
        <f t="shared" si="182"/>
        <v>1445444361</v>
      </c>
      <c r="Y410" s="110">
        <f t="shared" si="183"/>
        <v>14.371618828352693</v>
      </c>
      <c r="Z410" s="111">
        <f t="shared" si="184"/>
        <v>-88.5321345535598</v>
      </c>
      <c r="AA410" s="72">
        <f t="shared" si="185"/>
        <v>91.4678654464402</v>
      </c>
      <c r="AB410" s="110">
        <f t="shared" ca="1" si="186"/>
        <v>-45.635884534076141</v>
      </c>
      <c r="AC410" s="111">
        <f t="shared" ca="1" si="187"/>
        <v>-110.28526658552765</v>
      </c>
      <c r="AD410" s="72">
        <f t="shared" ca="1" si="188"/>
        <v>69.714733414472349</v>
      </c>
    </row>
    <row r="411" spans="1:30">
      <c r="A411" s="118">
        <v>38240.5</v>
      </c>
      <c r="B411" s="101">
        <f t="shared" ca="1" si="162"/>
        <v>1961.0020219198898</v>
      </c>
      <c r="C411" s="102">
        <f t="shared" ca="1" si="163"/>
        <v>1.5702863833924103</v>
      </c>
      <c r="D411" s="102">
        <f t="shared" si="164"/>
        <v>1.5084002353739852</v>
      </c>
      <c r="E411" s="103">
        <f t="shared" si="165"/>
        <v>0.84603868244525304</v>
      </c>
      <c r="F411" s="101">
        <f t="shared" si="166"/>
        <v>13070.804860330154</v>
      </c>
      <c r="G411" s="104">
        <f t="shared" si="167"/>
        <v>1.5707198204120334</v>
      </c>
      <c r="H411" s="113">
        <f t="shared" si="168"/>
        <v>1633.8509087851237</v>
      </c>
      <c r="I411" s="114">
        <f t="shared" si="169"/>
        <v>1.5701842758072224</v>
      </c>
      <c r="J411" s="101">
        <f t="shared" si="170"/>
        <v>38.456547480113549</v>
      </c>
      <c r="K411" s="104">
        <f t="shared" si="171"/>
        <v>1.5447900210875309</v>
      </c>
      <c r="L411" s="102">
        <f t="shared" si="172"/>
        <v>1</v>
      </c>
      <c r="M411" s="103">
        <f t="shared" si="173"/>
        <v>1.2614287741894127E-9</v>
      </c>
      <c r="N411" s="101">
        <f t="shared" si="174"/>
        <v>1</v>
      </c>
      <c r="O411" s="104">
        <f t="shared" si="175"/>
        <v>2.01828603870306E-10</v>
      </c>
      <c r="P411" s="105">
        <f t="shared" ca="1" si="176"/>
        <v>2.3582476584923215</v>
      </c>
      <c r="Q411" s="106">
        <f t="shared" ca="1" si="177"/>
        <v>1.2003470727455192</v>
      </c>
      <c r="R411" s="107">
        <f t="shared" ca="1" si="178"/>
        <v>-47.296071587144922</v>
      </c>
      <c r="S411" s="108">
        <f t="shared" ca="1" si="179"/>
        <v>-198.81179085982876</v>
      </c>
      <c r="T411" s="116">
        <f t="shared" ca="1" si="180"/>
        <v>-18.811790859828761</v>
      </c>
      <c r="V411" s="72">
        <f t="shared" ca="1" si="181"/>
        <v>38240.5</v>
      </c>
      <c r="W411" s="72">
        <f t="shared" si="182"/>
        <v>1462335840.25</v>
      </c>
      <c r="Y411" s="110">
        <f t="shared" si="183"/>
        <v>14.321195676268283</v>
      </c>
      <c r="Z411" s="111">
        <f t="shared" si="184"/>
        <v>-88.540632928299459</v>
      </c>
      <c r="AA411" s="72">
        <f t="shared" si="185"/>
        <v>91.459367071700541</v>
      </c>
      <c r="AB411" s="110">
        <f t="shared" ca="1" si="186"/>
        <v>-45.699666916531704</v>
      </c>
      <c r="AC411" s="111">
        <f t="shared" ca="1" si="187"/>
        <v>-110.27115793152932</v>
      </c>
      <c r="AD411" s="72">
        <f t="shared" ca="1" si="188"/>
        <v>69.728842068470684</v>
      </c>
    </row>
    <row r="412" spans="1:30">
      <c r="A412" s="118">
        <v>38462</v>
      </c>
      <c r="B412" s="101">
        <f t="shared" ca="1" si="162"/>
        <v>1972.3607080047486</v>
      </c>
      <c r="C412" s="102">
        <f t="shared" ca="1" si="163"/>
        <v>1.5702893201207198</v>
      </c>
      <c r="D412" s="102">
        <f t="shared" si="164"/>
        <v>1.5133035167678508</v>
      </c>
      <c r="E412" s="103">
        <f t="shared" si="165"/>
        <v>0.84890424186198099</v>
      </c>
      <c r="F412" s="101">
        <f t="shared" si="166"/>
        <v>13146.514729700735</v>
      </c>
      <c r="G412" s="104">
        <f t="shared" si="167"/>
        <v>1.5707202610070035</v>
      </c>
      <c r="H412" s="113">
        <f t="shared" si="168"/>
        <v>1643.3146407216041</v>
      </c>
      <c r="I412" s="114">
        <f t="shared" si="169"/>
        <v>1.5701878005656906</v>
      </c>
      <c r="J412" s="101">
        <f t="shared" si="170"/>
        <v>38.679148703770984</v>
      </c>
      <c r="K412" s="104">
        <f t="shared" si="171"/>
        <v>1.5449397226674164</v>
      </c>
      <c r="L412" s="102">
        <f t="shared" si="172"/>
        <v>1</v>
      </c>
      <c r="M412" s="103">
        <f t="shared" si="173"/>
        <v>1.2687353332951501E-9</v>
      </c>
      <c r="N412" s="101">
        <f t="shared" si="174"/>
        <v>1</v>
      </c>
      <c r="O412" s="104">
        <f t="shared" si="175"/>
        <v>2.0299765332722402E-10</v>
      </c>
      <c r="P412" s="105">
        <f t="shared" ca="1" si="176"/>
        <v>2.3695099674303481</v>
      </c>
      <c r="Q412" s="106">
        <f t="shared" ca="1" si="177"/>
        <v>1.202960911294811</v>
      </c>
      <c r="R412" s="107">
        <f t="shared" ca="1" si="178"/>
        <v>-47.409563487372388</v>
      </c>
      <c r="S412" s="108">
        <f t="shared" ca="1" si="179"/>
        <v>-198.80593713745074</v>
      </c>
      <c r="T412" s="116">
        <f t="shared" ca="1" si="180"/>
        <v>-18.805937137450741</v>
      </c>
      <c r="V412" s="72">
        <f t="shared" ca="1" si="181"/>
        <v>38462</v>
      </c>
      <c r="W412" s="72">
        <f t="shared" si="182"/>
        <v>1479325444</v>
      </c>
      <c r="Y412" s="110">
        <f t="shared" si="183"/>
        <v>14.271063355321239</v>
      </c>
      <c r="Z412" s="111">
        <f t="shared" si="184"/>
        <v>-88.549033487119502</v>
      </c>
      <c r="AA412" s="72">
        <f t="shared" si="185"/>
        <v>91.450966512880498</v>
      </c>
      <c r="AB412" s="110">
        <f t="shared" ca="1" si="186"/>
        <v>-45.76302649581212</v>
      </c>
      <c r="AC412" s="111">
        <f t="shared" ca="1" si="187"/>
        <v>-110.25690365033128</v>
      </c>
      <c r="AD412" s="72">
        <f t="shared" ca="1" si="188"/>
        <v>69.743096349668718</v>
      </c>
    </row>
    <row r="413" spans="1:30">
      <c r="A413" s="118">
        <v>38683.5</v>
      </c>
      <c r="B413" s="101">
        <f t="shared" ca="1" si="162"/>
        <v>1983.7193941064229</v>
      </c>
      <c r="C413" s="102">
        <f t="shared" ca="1" si="163"/>
        <v>1.5702922232178864</v>
      </c>
      <c r="D413" s="102">
        <f t="shared" si="164"/>
        <v>1.5182191442242914</v>
      </c>
      <c r="E413" s="103">
        <f t="shared" si="165"/>
        <v>0.85175126855035144</v>
      </c>
      <c r="F413" s="101">
        <f t="shared" si="166"/>
        <v>13222.224599073841</v>
      </c>
      <c r="G413" s="104">
        <f t="shared" si="167"/>
        <v>1.5707206965563192</v>
      </c>
      <c r="H413" s="113">
        <f t="shared" si="168"/>
        <v>1652.7783726782673</v>
      </c>
      <c r="I413" s="114">
        <f t="shared" si="169"/>
        <v>1.5701912849589534</v>
      </c>
      <c r="J413" s="101">
        <f t="shared" si="170"/>
        <v>38.901750784329764</v>
      </c>
      <c r="K413" s="104">
        <f t="shared" si="171"/>
        <v>1.5450877110175074</v>
      </c>
      <c r="L413" s="102">
        <f t="shared" si="172"/>
        <v>1</v>
      </c>
      <c r="M413" s="103">
        <f t="shared" si="173"/>
        <v>1.2760418924008876E-9</v>
      </c>
      <c r="N413" s="101">
        <f t="shared" si="174"/>
        <v>1</v>
      </c>
      <c r="O413" s="104">
        <f t="shared" si="175"/>
        <v>2.0416670278414202E-10</v>
      </c>
      <c r="P413" s="105">
        <f t="shared" ca="1" si="176"/>
        <v>2.380784807206616</v>
      </c>
      <c r="Q413" s="106">
        <f t="shared" ca="1" si="177"/>
        <v>1.2055538523254428</v>
      </c>
      <c r="R413" s="107">
        <f t="shared" ca="1" si="178"/>
        <v>-47.5223498606193</v>
      </c>
      <c r="S413" s="108">
        <f t="shared" ca="1" si="179"/>
        <v>-198.79984985847085</v>
      </c>
      <c r="T413" s="116">
        <f t="shared" ca="1" si="180"/>
        <v>-18.79984985847085</v>
      </c>
      <c r="V413" s="72">
        <f t="shared" ca="1" si="181"/>
        <v>38683.5</v>
      </c>
      <c r="W413" s="72">
        <f t="shared" si="182"/>
        <v>1496413172.25</v>
      </c>
      <c r="Y413" s="110">
        <f t="shared" si="183"/>
        <v>14.221218532046462</v>
      </c>
      <c r="Z413" s="111">
        <f t="shared" si="184"/>
        <v>-88.557337908764083</v>
      </c>
      <c r="AA413" s="72">
        <f t="shared" si="185"/>
        <v>91.442662091235917</v>
      </c>
      <c r="AB413" s="110">
        <f t="shared" ca="1" si="186"/>
        <v>-45.825968045784258</v>
      </c>
      <c r="AC413" s="111">
        <f t="shared" ca="1" si="187"/>
        <v>-110.24251194970678</v>
      </c>
      <c r="AD413" s="72">
        <f t="shared" ca="1" si="188"/>
        <v>69.757488050293219</v>
      </c>
    </row>
    <row r="414" spans="1:30">
      <c r="A414" s="118">
        <v>38905</v>
      </c>
      <c r="B414" s="101">
        <f t="shared" ca="1" si="162"/>
        <v>1995.0780802246256</v>
      </c>
      <c r="C414" s="102">
        <f t="shared" ca="1" si="163"/>
        <v>1.5702950932583326</v>
      </c>
      <c r="D414" s="102">
        <f t="shared" si="164"/>
        <v>1.523146998210573</v>
      </c>
      <c r="E414" s="103">
        <f t="shared" si="165"/>
        <v>0.85457989601041828</v>
      </c>
      <c r="F414" s="101">
        <f t="shared" si="166"/>
        <v>13297.934468449426</v>
      </c>
      <c r="G414" s="104">
        <f t="shared" si="167"/>
        <v>1.5707211271461605</v>
      </c>
      <c r="H414" s="113">
        <f t="shared" si="168"/>
        <v>1662.2421046547686</v>
      </c>
      <c r="I414" s="114">
        <f t="shared" si="169"/>
        <v>1.5701947296764507</v>
      </c>
      <c r="J414" s="101">
        <f t="shared" si="170"/>
        <v>39.124353707163607</v>
      </c>
      <c r="K414" s="104">
        <f t="shared" si="171"/>
        <v>1.5452340153741739</v>
      </c>
      <c r="L414" s="102">
        <f t="shared" si="172"/>
        <v>1</v>
      </c>
      <c r="M414" s="103">
        <f t="shared" si="173"/>
        <v>1.2833484515066252E-9</v>
      </c>
      <c r="N414" s="101">
        <f t="shared" si="174"/>
        <v>1</v>
      </c>
      <c r="O414" s="104">
        <f t="shared" si="175"/>
        <v>2.0533575224106001E-10</v>
      </c>
      <c r="P414" s="105">
        <f t="shared" ca="1" si="176"/>
        <v>2.3920720216603475</v>
      </c>
      <c r="Q414" s="106">
        <f t="shared" ca="1" si="177"/>
        <v>1.2081261681485005</v>
      </c>
      <c r="R414" s="107">
        <f t="shared" ca="1" si="178"/>
        <v>-47.634438689114035</v>
      </c>
      <c r="S414" s="108">
        <f t="shared" ca="1" si="179"/>
        <v>-198.79353864964366</v>
      </c>
      <c r="T414" s="116">
        <f t="shared" ca="1" si="180"/>
        <v>-18.793538649643665</v>
      </c>
      <c r="V414" s="72">
        <f t="shared" ca="1" si="181"/>
        <v>38905</v>
      </c>
      <c r="W414" s="72">
        <f t="shared" si="182"/>
        <v>1513599025</v>
      </c>
      <c r="Y414" s="110">
        <f t="shared" si="183"/>
        <v>14.171657929926344</v>
      </c>
      <c r="Z414" s="111">
        <f t="shared" si="184"/>
        <v>-88.56554783378958</v>
      </c>
      <c r="AA414" s="72">
        <f t="shared" si="185"/>
        <v>91.43445216621042</v>
      </c>
      <c r="AB414" s="110">
        <f t="shared" ca="1" si="186"/>
        <v>-45.888496272158875</v>
      </c>
      <c r="AC414" s="111">
        <f t="shared" ca="1" si="187"/>
        <v>-110.22799081585404</v>
      </c>
      <c r="AD414" s="72">
        <f t="shared" ca="1" si="188"/>
        <v>69.772009184145958</v>
      </c>
    </row>
    <row r="415" spans="1:30">
      <c r="A415" s="118">
        <v>39131.5</v>
      </c>
      <c r="B415" s="101">
        <f t="shared" ca="1" si="162"/>
        <v>2006.6931701094747</v>
      </c>
      <c r="C415" s="102">
        <f t="shared" ca="1" si="163"/>
        <v>1.5702979944856603</v>
      </c>
      <c r="D415" s="102">
        <f t="shared" si="164"/>
        <v>1.5281986108368972</v>
      </c>
      <c r="E415" s="103">
        <f t="shared" si="165"/>
        <v>0.85745348671644583</v>
      </c>
      <c r="F415" s="101">
        <f t="shared" si="166"/>
        <v>13375.353364224271</v>
      </c>
      <c r="G415" s="104">
        <f t="shared" si="167"/>
        <v>1.5707215624149433</v>
      </c>
      <c r="H415" s="113">
        <f t="shared" si="168"/>
        <v>1671.9194649127537</v>
      </c>
      <c r="I415" s="114">
        <f t="shared" si="169"/>
        <v>1.5701982118254798</v>
      </c>
      <c r="J415" s="101">
        <f t="shared" si="170"/>
        <v>39.351982382792151</v>
      </c>
      <c r="K415" s="104">
        <f t="shared" si="171"/>
        <v>1.5453819106381199</v>
      </c>
      <c r="L415" s="102">
        <f t="shared" si="172"/>
        <v>1</v>
      </c>
      <c r="M415" s="103">
        <f t="shared" si="173"/>
        <v>1.2908199442264876E-9</v>
      </c>
      <c r="N415" s="101">
        <f t="shared" si="174"/>
        <v>1</v>
      </c>
      <c r="O415" s="104">
        <f t="shared" si="175"/>
        <v>2.0653119107623801E-10</v>
      </c>
      <c r="P415" s="105">
        <f t="shared" ca="1" si="176"/>
        <v>2.4036266636395927</v>
      </c>
      <c r="Q415" s="106">
        <f t="shared" ca="1" si="177"/>
        <v>1.2107355001684383</v>
      </c>
      <c r="R415" s="107">
        <f t="shared" ca="1" si="178"/>
        <v>-47.748344586215424</v>
      </c>
      <c r="S415" s="108">
        <f t="shared" ca="1" si="179"/>
        <v>-198.78686317100036</v>
      </c>
      <c r="T415" s="116">
        <f t="shared" ca="1" si="180"/>
        <v>-18.786863171000363</v>
      </c>
      <c r="V415" s="72">
        <f t="shared" ca="1" si="181"/>
        <v>39131.5</v>
      </c>
      <c r="W415" s="72">
        <f t="shared" si="182"/>
        <v>1531274292.25</v>
      </c>
      <c r="Y415" s="110">
        <f t="shared" si="183"/>
        <v>14.121269140153078</v>
      </c>
      <c r="Z415" s="111">
        <f t="shared" si="184"/>
        <v>-88.573847034494761</v>
      </c>
      <c r="AA415" s="72">
        <f t="shared" si="185"/>
        <v>91.426152965505239</v>
      </c>
      <c r="AB415" s="110">
        <f t="shared" ca="1" si="186"/>
        <v>-45.952013379487006</v>
      </c>
      <c r="AC415" s="111">
        <f t="shared" ca="1" si="187"/>
        <v>-110.21301613650564</v>
      </c>
      <c r="AD415" s="72">
        <f t="shared" ca="1" si="188"/>
        <v>69.786983863494356</v>
      </c>
    </row>
    <row r="416" spans="1:30">
      <c r="A416" s="118">
        <v>39358</v>
      </c>
      <c r="B416" s="101">
        <f t="shared" ca="1" si="162"/>
        <v>2018.3082600110199</v>
      </c>
      <c r="C416" s="102">
        <f t="shared" ca="1" si="163"/>
        <v>1.5703008623206498</v>
      </c>
      <c r="D416" s="102">
        <f t="shared" si="164"/>
        <v>1.5332627593866088</v>
      </c>
      <c r="E416" s="103">
        <f t="shared" si="165"/>
        <v>0.86030811874344493</v>
      </c>
      <c r="F416" s="101">
        <f t="shared" si="166"/>
        <v>13452.772260001622</v>
      </c>
      <c r="G416" s="104">
        <f t="shared" si="167"/>
        <v>1.5707219926738996</v>
      </c>
      <c r="H416" s="113">
        <f t="shared" si="168"/>
        <v>1681.5968251907784</v>
      </c>
      <c r="I416" s="114">
        <f t="shared" si="169"/>
        <v>1.570201653895924</v>
      </c>
      <c r="J416" s="101">
        <f t="shared" si="170"/>
        <v>39.579611909266383</v>
      </c>
      <c r="K416" s="104">
        <f t="shared" si="171"/>
        <v>1.5455281047602607</v>
      </c>
      <c r="L416" s="102">
        <f t="shared" si="172"/>
        <v>1</v>
      </c>
      <c r="M416" s="103">
        <f t="shared" si="173"/>
        <v>1.2982914369463501E-9</v>
      </c>
      <c r="N416" s="101">
        <f t="shared" si="174"/>
        <v>1</v>
      </c>
      <c r="O416" s="104">
        <f t="shared" si="175"/>
        <v>2.0772662991141601E-10</v>
      </c>
      <c r="P416" s="105">
        <f t="shared" ca="1" si="176"/>
        <v>2.4151939241021112</v>
      </c>
      <c r="Q416" s="106">
        <f t="shared" ca="1" si="177"/>
        <v>1.2133238275311276</v>
      </c>
      <c r="R416" s="107">
        <f t="shared" ca="1" si="178"/>
        <v>-47.861537582966271</v>
      </c>
      <c r="S416" s="108">
        <f t="shared" ca="1" si="179"/>
        <v>-198.77997309424583</v>
      </c>
      <c r="T416" s="116">
        <f t="shared" ca="1" si="180"/>
        <v>-18.779973094245832</v>
      </c>
      <c r="V416" s="72">
        <f t="shared" ca="1" si="181"/>
        <v>39358</v>
      </c>
      <c r="W416" s="72">
        <f t="shared" si="182"/>
        <v>1549052164</v>
      </c>
      <c r="Y416" s="110">
        <f t="shared" si="183"/>
        <v>14.071170795199963</v>
      </c>
      <c r="Z416" s="111">
        <f t="shared" si="184"/>
        <v>-88.582050776245879</v>
      </c>
      <c r="AA416" s="72">
        <f t="shared" si="185"/>
        <v>91.417949223754121</v>
      </c>
      <c r="AB416" s="110">
        <f t="shared" ca="1" si="186"/>
        <v>-46.015108031284733</v>
      </c>
      <c r="AC416" s="111">
        <f t="shared" ca="1" si="187"/>
        <v>-110.197922318</v>
      </c>
      <c r="AD416" s="72">
        <f t="shared" ca="1" si="188"/>
        <v>69.802077682000004</v>
      </c>
    </row>
    <row r="417" spans="1:30">
      <c r="A417" s="118">
        <v>39584.5</v>
      </c>
      <c r="B417" s="101">
        <f t="shared" ca="1" si="162"/>
        <v>2029.9233499289744</v>
      </c>
      <c r="C417" s="102">
        <f t="shared" ca="1" si="163"/>
        <v>1.5703036973365074</v>
      </c>
      <c r="D417" s="102">
        <f t="shared" si="164"/>
        <v>1.5383393200565099</v>
      </c>
      <c r="E417" s="103">
        <f t="shared" si="165"/>
        <v>0.86314393302926462</v>
      </c>
      <c r="F417" s="101">
        <f t="shared" si="166"/>
        <v>13530.191155781433</v>
      </c>
      <c r="G417" s="104">
        <f t="shared" si="167"/>
        <v>1.5707224180090269</v>
      </c>
      <c r="H417" s="113">
        <f t="shared" si="168"/>
        <v>1691.2741854884982</v>
      </c>
      <c r="I417" s="114">
        <f t="shared" si="169"/>
        <v>1.5702050565757641</v>
      </c>
      <c r="J417" s="101">
        <f t="shared" si="170"/>
        <v>39.807242271990127</v>
      </c>
      <c r="K417" s="104">
        <f t="shared" si="171"/>
        <v>1.5456726269172887</v>
      </c>
      <c r="L417" s="102">
        <f t="shared" si="172"/>
        <v>1</v>
      </c>
      <c r="M417" s="103">
        <f t="shared" si="173"/>
        <v>1.3057629296662126E-9</v>
      </c>
      <c r="N417" s="101">
        <f t="shared" si="174"/>
        <v>1</v>
      </c>
      <c r="O417" s="104">
        <f t="shared" si="175"/>
        <v>2.0892206874659401E-10</v>
      </c>
      <c r="P417" s="105">
        <f t="shared" ca="1" si="176"/>
        <v>2.4267736451587867</v>
      </c>
      <c r="Q417" s="106">
        <f t="shared" ca="1" si="177"/>
        <v>1.2158914276873602</v>
      </c>
      <c r="R417" s="107">
        <f t="shared" ca="1" si="178"/>
        <v>-47.974025824172145</v>
      </c>
      <c r="S417" s="108">
        <f t="shared" ca="1" si="179"/>
        <v>-198.77287791104817</v>
      </c>
      <c r="T417" s="116">
        <f t="shared" ca="1" si="180"/>
        <v>-18.77287791104817</v>
      </c>
      <c r="V417" s="72">
        <f t="shared" ca="1" si="181"/>
        <v>39584.5</v>
      </c>
      <c r="W417" s="72">
        <f t="shared" si="182"/>
        <v>1566932640.25</v>
      </c>
      <c r="Y417" s="110">
        <f t="shared" si="183"/>
        <v>14.021359568072324</v>
      </c>
      <c r="Z417" s="111">
        <f t="shared" si="184"/>
        <v>-88.590160696253207</v>
      </c>
      <c r="AA417" s="72">
        <f t="shared" si="185"/>
        <v>91.409839303746793</v>
      </c>
      <c r="AB417" s="110">
        <f t="shared" ca="1" si="186"/>
        <v>-46.077785045362972</v>
      </c>
      <c r="AC417" s="111">
        <f t="shared" ca="1" si="187"/>
        <v>-110.18271721479503</v>
      </c>
      <c r="AD417" s="72">
        <f t="shared" ca="1" si="188"/>
        <v>69.817282785204966</v>
      </c>
    </row>
    <row r="418" spans="1:30">
      <c r="A418" s="118">
        <v>39811</v>
      </c>
      <c r="B418" s="101">
        <f t="shared" ca="1" si="162"/>
        <v>2041.5384398630586</v>
      </c>
      <c r="C418" s="102">
        <f t="shared" ca="1" si="163"/>
        <v>1.5703065000933942</v>
      </c>
      <c r="D418" s="102">
        <f t="shared" si="164"/>
        <v>1.5434281703707771</v>
      </c>
      <c r="E418" s="103">
        <f t="shared" si="165"/>
        <v>0.8659610698704473</v>
      </c>
      <c r="F418" s="101">
        <f t="shared" si="166"/>
        <v>13607.610051563666</v>
      </c>
      <c r="G418" s="104">
        <f t="shared" si="167"/>
        <v>1.5707228385043657</v>
      </c>
      <c r="H418" s="113">
        <f t="shared" si="168"/>
        <v>1700.9515458055776</v>
      </c>
      <c r="I418" s="114">
        <f t="shared" si="169"/>
        <v>1.5702084205373248</v>
      </c>
      <c r="J418" s="101">
        <f t="shared" si="170"/>
        <v>40.034873456699152</v>
      </c>
      <c r="K418" s="104">
        <f t="shared" si="171"/>
        <v>1.5458155056226053</v>
      </c>
      <c r="L418" s="102">
        <f t="shared" si="172"/>
        <v>1</v>
      </c>
      <c r="M418" s="103">
        <f t="shared" si="173"/>
        <v>1.3132344223860751E-9</v>
      </c>
      <c r="N418" s="101">
        <f t="shared" si="174"/>
        <v>1</v>
      </c>
      <c r="O418" s="104">
        <f t="shared" si="175"/>
        <v>2.1011750758177201E-10</v>
      </c>
      <c r="P418" s="105">
        <f t="shared" ca="1" si="176"/>
        <v>2.4383656718566171</v>
      </c>
      <c r="Q418" s="106">
        <f t="shared" ca="1" si="177"/>
        <v>1.2184385736240271</v>
      </c>
      <c r="R418" s="107">
        <f t="shared" ca="1" si="178"/>
        <v>-48.085817328149865</v>
      </c>
      <c r="S418" s="108">
        <f t="shared" ca="1" si="179"/>
        <v>-198.76558685609049</v>
      </c>
      <c r="T418" s="116">
        <f t="shared" ca="1" si="180"/>
        <v>-18.765586856090493</v>
      </c>
      <c r="V418" s="72">
        <f t="shared" ca="1" si="181"/>
        <v>39811</v>
      </c>
      <c r="W418" s="72">
        <f t="shared" si="182"/>
        <v>1584915721</v>
      </c>
      <c r="Y418" s="110">
        <f t="shared" si="183"/>
        <v>13.971832188579452</v>
      </c>
      <c r="Z418" s="111">
        <f t="shared" si="184"/>
        <v>-88.598178394508025</v>
      </c>
      <c r="AA418" s="72">
        <f t="shared" si="185"/>
        <v>91.401821605491975</v>
      </c>
      <c r="AB418" s="110">
        <f t="shared" ca="1" si="186"/>
        <v>-46.140049169847821</v>
      </c>
      <c r="AC418" s="111">
        <f t="shared" ca="1" si="187"/>
        <v>-110.16740846158245</v>
      </c>
      <c r="AD418" s="72">
        <f t="shared" ca="1" si="188"/>
        <v>69.832591538417546</v>
      </c>
    </row>
    <row r="419" spans="1:30">
      <c r="A419" s="118">
        <v>40042.75</v>
      </c>
      <c r="B419" s="101">
        <f t="shared" ca="1" si="162"/>
        <v>2053.4227537524216</v>
      </c>
      <c r="C419" s="102">
        <f t="shared" ca="1" si="163"/>
        <v>1.5703093349965933</v>
      </c>
      <c r="D419" s="102">
        <f t="shared" si="164"/>
        <v>1.548647568037284</v>
      </c>
      <c r="E419" s="103">
        <f t="shared" si="165"/>
        <v>0.86882431838783081</v>
      </c>
      <c r="F419" s="101">
        <f t="shared" si="166"/>
        <v>13686.823425065168</v>
      </c>
      <c r="G419" s="104">
        <f t="shared" si="167"/>
        <v>1.5707232638225885</v>
      </c>
      <c r="H419" s="113">
        <f t="shared" si="168"/>
        <v>1710.8532158185749</v>
      </c>
      <c r="I419" s="114">
        <f t="shared" si="169"/>
        <v>1.5702118230819568</v>
      </c>
      <c r="J419" s="101">
        <f t="shared" si="170"/>
        <v>40.267781697166562</v>
      </c>
      <c r="K419" s="104">
        <f t="shared" si="171"/>
        <v>1.54596002411727</v>
      </c>
      <c r="L419" s="102">
        <f t="shared" si="172"/>
        <v>1</v>
      </c>
      <c r="M419" s="103">
        <f t="shared" si="173"/>
        <v>1.3208790954007689E-9</v>
      </c>
      <c r="N419" s="101">
        <f t="shared" si="174"/>
        <v>1</v>
      </c>
      <c r="O419" s="104">
        <f t="shared" si="175"/>
        <v>2.1134065526412302E-10</v>
      </c>
      <c r="P419" s="105">
        <f t="shared" ca="1" si="176"/>
        <v>2.4502389661010562</v>
      </c>
      <c r="Q419" s="106">
        <f t="shared" ca="1" si="177"/>
        <v>1.221023868631065</v>
      </c>
      <c r="R419" s="107">
        <f t="shared" ca="1" si="178"/>
        <v>-48.199487110489336</v>
      </c>
      <c r="S419" s="108">
        <f t="shared" ca="1" si="179"/>
        <v>-198.75793343795675</v>
      </c>
      <c r="T419" s="116">
        <f t="shared" ca="1" si="180"/>
        <v>-18.757933437956751</v>
      </c>
      <c r="V419" s="72">
        <f t="shared" ca="1" si="181"/>
        <v>40042.75</v>
      </c>
      <c r="W419" s="72">
        <f t="shared" si="182"/>
        <v>1603421827.5625</v>
      </c>
      <c r="Y419" s="110">
        <f t="shared" si="183"/>
        <v>13.921447263546378</v>
      </c>
      <c r="Z419" s="111">
        <f t="shared" si="184"/>
        <v>-88.606288111447356</v>
      </c>
      <c r="AA419" s="72">
        <f t="shared" si="185"/>
        <v>91.393711888552644</v>
      </c>
      <c r="AB419" s="110">
        <f t="shared" ca="1" si="186"/>
        <v>-46.203334027154213</v>
      </c>
      <c r="AC419" s="111">
        <f t="shared" ca="1" si="187"/>
        <v>-110.15164532650945</v>
      </c>
      <c r="AD419" s="72">
        <f t="shared" ca="1" si="188"/>
        <v>69.848354673490547</v>
      </c>
    </row>
    <row r="420" spans="1:30">
      <c r="A420" s="118">
        <v>40274.5</v>
      </c>
      <c r="B420" s="101">
        <f t="shared" ca="1" si="162"/>
        <v>2065.3070676580969</v>
      </c>
      <c r="C420" s="102">
        <f t="shared" ca="1" si="163"/>
        <v>1.5703121372742521</v>
      </c>
      <c r="D420" s="102">
        <f t="shared" si="164"/>
        <v>1.5538795764624271</v>
      </c>
      <c r="E420" s="103">
        <f t="shared" si="165"/>
        <v>0.87166830862136546</v>
      </c>
      <c r="F420" s="101">
        <f t="shared" si="166"/>
        <v>13766.036798569115</v>
      </c>
      <c r="G420" s="104">
        <f t="shared" si="167"/>
        <v>1.570723684246027</v>
      </c>
      <c r="H420" s="113">
        <f t="shared" si="168"/>
        <v>1720.7548858511516</v>
      </c>
      <c r="I420" s="114">
        <f t="shared" si="169"/>
        <v>1.57021518646834</v>
      </c>
      <c r="J420" s="101">
        <f t="shared" si="170"/>
        <v>40.500690768977648</v>
      </c>
      <c r="K420" s="104">
        <f t="shared" si="171"/>
        <v>1.5461028804373902</v>
      </c>
      <c r="L420" s="102">
        <f t="shared" si="172"/>
        <v>1</v>
      </c>
      <c r="M420" s="103">
        <f t="shared" si="173"/>
        <v>1.3285237684154627E-9</v>
      </c>
      <c r="N420" s="101">
        <f t="shared" si="174"/>
        <v>1</v>
      </c>
      <c r="O420" s="104">
        <f t="shared" si="175"/>
        <v>2.1256380294647401E-10</v>
      </c>
      <c r="P420" s="105">
        <f t="shared" ca="1" si="176"/>
        <v>2.4621248240079652</v>
      </c>
      <c r="Q420" s="106">
        <f t="shared" ca="1" si="177"/>
        <v>1.2235883144499704</v>
      </c>
      <c r="R420" s="107">
        <f t="shared" ca="1" si="178"/>
        <v>-48.312444070431141</v>
      </c>
      <c r="S420" s="108">
        <f t="shared" ca="1" si="179"/>
        <v>-198.75009372598171</v>
      </c>
      <c r="T420" s="116">
        <f t="shared" ca="1" si="180"/>
        <v>-18.750093725981714</v>
      </c>
      <c r="V420" s="72">
        <f t="shared" ca="1" si="181"/>
        <v>40274.5</v>
      </c>
      <c r="W420" s="72">
        <f t="shared" si="182"/>
        <v>1622035350.25</v>
      </c>
      <c r="Y420" s="110">
        <f t="shared" si="183"/>
        <v>13.871352747305959</v>
      </c>
      <c r="Z420" s="111">
        <f t="shared" si="184"/>
        <v>-88.614304555952231</v>
      </c>
      <c r="AA420" s="72">
        <f t="shared" si="185"/>
        <v>91.385695444047769</v>
      </c>
      <c r="AB420" s="110">
        <f t="shared" ca="1" si="186"/>
        <v>-46.26619647085559</v>
      </c>
      <c r="AC420" s="111">
        <f t="shared" ca="1" si="187"/>
        <v>-110.13578917002947</v>
      </c>
      <c r="AD420" s="72">
        <f t="shared" ca="1" si="188"/>
        <v>69.864210829970531</v>
      </c>
    </row>
    <row r="421" spans="1:30">
      <c r="A421" s="118">
        <v>40506.25</v>
      </c>
      <c r="B421" s="101">
        <f t="shared" ca="1" si="162"/>
        <v>2077.1913815798057</v>
      </c>
      <c r="C421" s="102">
        <f t="shared" ca="1" si="163"/>
        <v>1.5703149074863556</v>
      </c>
      <c r="D421" s="102">
        <f t="shared" si="164"/>
        <v>1.5591240686910894</v>
      </c>
      <c r="E421" s="103">
        <f t="shared" si="165"/>
        <v>0.87449318867267534</v>
      </c>
      <c r="F421" s="101">
        <f t="shared" si="166"/>
        <v>13845.25017207547</v>
      </c>
      <c r="G421" s="104">
        <f t="shared" si="167"/>
        <v>1.5707240998586953</v>
      </c>
      <c r="H421" s="113">
        <f t="shared" si="168"/>
        <v>1730.6565559029714</v>
      </c>
      <c r="I421" s="114">
        <f t="shared" si="169"/>
        <v>1.5702185113685867</v>
      </c>
      <c r="J421" s="101">
        <f t="shared" si="170"/>
        <v>40.733600657871882</v>
      </c>
      <c r="K421" s="104">
        <f t="shared" si="171"/>
        <v>1.5462441030894347</v>
      </c>
      <c r="L421" s="102">
        <f t="shared" si="172"/>
        <v>1</v>
      </c>
      <c r="M421" s="103">
        <f t="shared" si="173"/>
        <v>1.3361684414301564E-9</v>
      </c>
      <c r="N421" s="101">
        <f t="shared" si="174"/>
        <v>1</v>
      </c>
      <c r="O421" s="104">
        <f t="shared" si="175"/>
        <v>2.1378695062882501E-10</v>
      </c>
      <c r="P421" s="105">
        <f t="shared" ca="1" si="176"/>
        <v>2.4740230887445565</v>
      </c>
      <c r="Q421" s="106">
        <f t="shared" ca="1" si="177"/>
        <v>1.2261321894943904</v>
      </c>
      <c r="R421" s="107">
        <f t="shared" ca="1" si="178"/>
        <v>-48.424696401519675</v>
      </c>
      <c r="S421" s="108">
        <f t="shared" ca="1" si="179"/>
        <v>-198.74207681818385</v>
      </c>
      <c r="T421" s="116">
        <f t="shared" ca="1" si="180"/>
        <v>-18.742076818183847</v>
      </c>
      <c r="V421" s="72">
        <f t="shared" ca="1" si="181"/>
        <v>40506.25</v>
      </c>
      <c r="W421" s="72">
        <f t="shared" si="182"/>
        <v>1640756289.0625</v>
      </c>
      <c r="Y421" s="110">
        <f t="shared" si="183"/>
        <v>13.821545313337381</v>
      </c>
      <c r="Z421" s="111">
        <f t="shared" si="184"/>
        <v>-88.622229327627537</v>
      </c>
      <c r="AA421" s="72">
        <f t="shared" si="185"/>
        <v>91.377770672372463</v>
      </c>
      <c r="AB421" s="110">
        <f t="shared" ca="1" si="186"/>
        <v>-46.328641367975564</v>
      </c>
      <c r="AC421" s="111">
        <f t="shared" ca="1" si="187"/>
        <v>-110.1198474905563</v>
      </c>
      <c r="AD421" s="72">
        <f t="shared" ca="1" si="188"/>
        <v>69.880152509443704</v>
      </c>
    </row>
    <row r="422" spans="1:30">
      <c r="A422" s="118">
        <v>40738</v>
      </c>
      <c r="B422" s="101">
        <f t="shared" ca="1" si="162"/>
        <v>2089.0756955172733</v>
      </c>
      <c r="C422" s="102">
        <f t="shared" ca="1" si="163"/>
        <v>1.5703176461801467</v>
      </c>
      <c r="D422" s="102">
        <f t="shared" si="164"/>
        <v>1.5643809191696918</v>
      </c>
      <c r="E422" s="103">
        <f t="shared" si="165"/>
        <v>0.87729910587978388</v>
      </c>
      <c r="F422" s="101">
        <f t="shared" si="166"/>
        <v>13924.463545584187</v>
      </c>
      <c r="G422" s="104">
        <f t="shared" si="167"/>
        <v>1.5707245107426957</v>
      </c>
      <c r="H422" s="113">
        <f t="shared" si="168"/>
        <v>1740.5582259737057</v>
      </c>
      <c r="I422" s="114">
        <f t="shared" si="169"/>
        <v>1.5702217984395155</v>
      </c>
      <c r="J422" s="101">
        <f t="shared" si="170"/>
        <v>40.966511349913006</v>
      </c>
      <c r="K422" s="104">
        <f t="shared" si="171"/>
        <v>1.5463837199318535</v>
      </c>
      <c r="L422" s="102">
        <f t="shared" si="172"/>
        <v>1</v>
      </c>
      <c r="M422" s="103">
        <f t="shared" si="173"/>
        <v>1.3438131144448502E-9</v>
      </c>
      <c r="N422" s="101">
        <f t="shared" si="174"/>
        <v>1</v>
      </c>
      <c r="O422" s="104">
        <f t="shared" si="175"/>
        <v>2.1501009831117602E-10</v>
      </c>
      <c r="P422" s="105">
        <f t="shared" ca="1" si="176"/>
        <v>2.4859336064325053</v>
      </c>
      <c r="Q422" s="106">
        <f t="shared" ca="1" si="177"/>
        <v>1.228655767626389</v>
      </c>
      <c r="R422" s="107">
        <f t="shared" ca="1" si="178"/>
        <v>-48.536252169144078</v>
      </c>
      <c r="S422" s="108">
        <f t="shared" ca="1" si="179"/>
        <v>-198.73389155845419</v>
      </c>
      <c r="T422" s="116">
        <f t="shared" ca="1" si="180"/>
        <v>-18.733891558454189</v>
      </c>
      <c r="V422" s="72">
        <f t="shared" ca="1" si="181"/>
        <v>40738</v>
      </c>
      <c r="W422" s="72">
        <f t="shared" si="182"/>
        <v>1659584644</v>
      </c>
      <c r="Y422" s="110">
        <f t="shared" si="183"/>
        <v>13.772021691916292</v>
      </c>
      <c r="Z422" s="111">
        <f t="shared" si="184"/>
        <v>-88.630063989716021</v>
      </c>
      <c r="AA422" s="72">
        <f t="shared" si="185"/>
        <v>91.369936010283979</v>
      </c>
      <c r="AB422" s="110">
        <f t="shared" ca="1" si="186"/>
        <v>-46.390673514178857</v>
      </c>
      <c r="AC422" s="111">
        <f t="shared" ca="1" si="187"/>
        <v>-110.10382756873821</v>
      </c>
      <c r="AD422" s="72">
        <f t="shared" ca="1" si="188"/>
        <v>69.896172431261789</v>
      </c>
    </row>
    <row r="423" spans="1:30">
      <c r="A423" s="118">
        <v>40975.25</v>
      </c>
      <c r="B423" s="101">
        <f t="shared" ca="1" si="162"/>
        <v>2101.2420535987521</v>
      </c>
      <c r="C423" s="102">
        <f t="shared" ca="1" si="163"/>
        <v>1.5703204177790668</v>
      </c>
      <c r="D423" s="102">
        <f t="shared" si="164"/>
        <v>1.5697751997346574</v>
      </c>
      <c r="E423" s="103">
        <f t="shared" si="165"/>
        <v>0.88015212421244404</v>
      </c>
      <c r="F423" s="101">
        <f t="shared" si="166"/>
        <v>14005.556848132197</v>
      </c>
      <c r="G423" s="104">
        <f t="shared" si="167"/>
        <v>1.5707249265634247</v>
      </c>
      <c r="H423" s="113">
        <f t="shared" si="168"/>
        <v>1750.6948871549132</v>
      </c>
      <c r="I423" s="114">
        <f t="shared" si="169"/>
        <v>1.5702251250042729</v>
      </c>
      <c r="J423" s="101">
        <f t="shared" si="170"/>
        <v>41.204950405787997</v>
      </c>
      <c r="K423" s="104">
        <f t="shared" si="171"/>
        <v>1.5465250152252867</v>
      </c>
      <c r="L423" s="102">
        <f t="shared" si="172"/>
        <v>1</v>
      </c>
      <c r="M423" s="103">
        <f t="shared" si="173"/>
        <v>1.3516392144350814E-9</v>
      </c>
      <c r="N423" s="101">
        <f t="shared" si="174"/>
        <v>1</v>
      </c>
      <c r="O423" s="104">
        <f t="shared" si="175"/>
        <v>2.1626227430961302E-10</v>
      </c>
      <c r="P423" s="105">
        <f t="shared" ca="1" si="176"/>
        <v>2.498139325095571</v>
      </c>
      <c r="Q423" s="106">
        <f t="shared" ca="1" si="177"/>
        <v>1.2312184925685645</v>
      </c>
      <c r="R423" s="107">
        <f t="shared" ca="1" si="178"/>
        <v>-48.649742163233185</v>
      </c>
      <c r="S423" s="108">
        <f t="shared" ca="1" si="179"/>
        <v>-198.72534662352382</v>
      </c>
      <c r="T423" s="116">
        <f t="shared" ca="1" si="180"/>
        <v>-18.725346623523819</v>
      </c>
      <c r="V423" s="72">
        <f t="shared" ca="1" si="181"/>
        <v>40975.25</v>
      </c>
      <c r="W423" s="72">
        <f t="shared" si="182"/>
        <v>1678971112.5625</v>
      </c>
      <c r="Y423" s="110">
        <f t="shared" si="183"/>
        <v>13.721613392910093</v>
      </c>
      <c r="Z423" s="111">
        <f t="shared" si="184"/>
        <v>-88.637992839979105</v>
      </c>
      <c r="AA423" s="72">
        <f t="shared" si="185"/>
        <v>91.362007160020895</v>
      </c>
      <c r="AB423" s="110">
        <f t="shared" ca="1" si="186"/>
        <v>-46.453755209261772</v>
      </c>
      <c r="AC423" s="111">
        <f t="shared" ca="1" si="187"/>
        <v>-110.08735378354469</v>
      </c>
      <c r="AD423" s="72">
        <f t="shared" ca="1" si="188"/>
        <v>69.912646216455315</v>
      </c>
    </row>
    <row r="424" spans="1:30">
      <c r="A424" s="118">
        <v>41212.5</v>
      </c>
      <c r="B424" s="101">
        <f t="shared" ca="1" si="162"/>
        <v>2113.4084116961862</v>
      </c>
      <c r="C424" s="102">
        <f t="shared" ca="1" si="163"/>
        <v>1.5703231574671981</v>
      </c>
      <c r="D424" s="102">
        <f t="shared" si="164"/>
        <v>1.575182170245385</v>
      </c>
      <c r="E424" s="103">
        <f t="shared" si="165"/>
        <v>0.88298557893483087</v>
      </c>
      <c r="F424" s="101">
        <f t="shared" si="166"/>
        <v>14086.650150682601</v>
      </c>
      <c r="G424" s="104">
        <f t="shared" si="167"/>
        <v>1.570725337596603</v>
      </c>
      <c r="H424" s="113">
        <f t="shared" si="168"/>
        <v>1760.831548355271</v>
      </c>
      <c r="I424" s="114">
        <f t="shared" si="169"/>
        <v>1.570228413268649</v>
      </c>
      <c r="J424" s="101">
        <f t="shared" si="170"/>
        <v>41.443390274827649</v>
      </c>
      <c r="K424" s="104">
        <f t="shared" si="171"/>
        <v>1.5466646846684307</v>
      </c>
      <c r="L424" s="102">
        <f t="shared" si="172"/>
        <v>1</v>
      </c>
      <c r="M424" s="103">
        <f t="shared" si="173"/>
        <v>1.3594653144253127E-9</v>
      </c>
      <c r="N424" s="101">
        <f t="shared" si="174"/>
        <v>1</v>
      </c>
      <c r="O424" s="104">
        <f t="shared" si="175"/>
        <v>2.1751445030805E-10</v>
      </c>
      <c r="P424" s="105">
        <f t="shared" ca="1" si="176"/>
        <v>2.510357568048835</v>
      </c>
      <c r="Q424" s="106">
        <f t="shared" ca="1" si="177"/>
        <v>1.233760512356749</v>
      </c>
      <c r="R424" s="107">
        <f t="shared" ca="1" si="178"/>
        <v>-48.762518844514219</v>
      </c>
      <c r="S424" s="108">
        <f t="shared" ca="1" si="179"/>
        <v>-198.71664322038657</v>
      </c>
      <c r="T424" s="116">
        <f t="shared" ca="1" si="180"/>
        <v>-18.716643220386572</v>
      </c>
      <c r="V424" s="72">
        <f t="shared" ca="1" si="181"/>
        <v>41212.5</v>
      </c>
      <c r="W424" s="72">
        <f t="shared" si="182"/>
        <v>1698470156.25</v>
      </c>
      <c r="Y424" s="110">
        <f t="shared" si="183"/>
        <v>13.671495779454226</v>
      </c>
      <c r="Z424" s="111">
        <f t="shared" si="184"/>
        <v>-88.645830456026204</v>
      </c>
      <c r="AA424" s="72">
        <f t="shared" si="185"/>
        <v>91.354169543973796</v>
      </c>
      <c r="AB424" s="110">
        <f t="shared" ca="1" si="186"/>
        <v>-46.516414277086952</v>
      </c>
      <c r="AC424" s="111">
        <f t="shared" ca="1" si="187"/>
        <v>-110.07081276436041</v>
      </c>
      <c r="AD424" s="72">
        <f t="shared" ca="1" si="188"/>
        <v>69.929187235639588</v>
      </c>
    </row>
    <row r="425" spans="1:30">
      <c r="A425" s="118">
        <v>41449.75</v>
      </c>
      <c r="B425" s="101">
        <f t="shared" ca="1" si="162"/>
        <v>2125.5747698093019</v>
      </c>
      <c r="C425" s="102">
        <f t="shared" ca="1" si="163"/>
        <v>1.5703258657924928</v>
      </c>
      <c r="D425" s="102">
        <f t="shared" si="164"/>
        <v>1.5806017004714188</v>
      </c>
      <c r="E425" s="103">
        <f t="shared" si="165"/>
        <v>0.88579962555403513</v>
      </c>
      <c r="F425" s="101">
        <f t="shared" si="166"/>
        <v>14167.743453235356</v>
      </c>
      <c r="G425" s="104">
        <f t="shared" si="167"/>
        <v>1.5707257439244395</v>
      </c>
      <c r="H425" s="113">
        <f t="shared" si="168"/>
        <v>1770.9682095744499</v>
      </c>
      <c r="I425" s="114">
        <f t="shared" si="169"/>
        <v>1.5702316638903147</v>
      </c>
      <c r="J425" s="101">
        <f t="shared" si="170"/>
        <v>41.681830943076903</v>
      </c>
      <c r="K425" s="104">
        <f t="shared" si="171"/>
        <v>1.5468027561577897</v>
      </c>
      <c r="L425" s="102">
        <f t="shared" si="172"/>
        <v>1</v>
      </c>
      <c r="M425" s="103">
        <f t="shared" si="173"/>
        <v>1.3672914144155439E-9</v>
      </c>
      <c r="N425" s="101">
        <f t="shared" si="174"/>
        <v>1</v>
      </c>
      <c r="O425" s="104">
        <f t="shared" si="175"/>
        <v>2.18766626306487E-10</v>
      </c>
      <c r="P425" s="105">
        <f t="shared" ca="1" si="176"/>
        <v>2.5225881794122231</v>
      </c>
      <c r="Q425" s="106">
        <f t="shared" ca="1" si="177"/>
        <v>1.2362821065296627</v>
      </c>
      <c r="R425" s="107">
        <f t="shared" ca="1" si="178"/>
        <v>-48.874590465091629</v>
      </c>
      <c r="S425" s="108">
        <f t="shared" ca="1" si="179"/>
        <v>-198.7077900523073</v>
      </c>
      <c r="T425" s="116">
        <f t="shared" ca="1" si="180"/>
        <v>-18.707790052307303</v>
      </c>
      <c r="V425" s="72">
        <f t="shared" ca="1" si="181"/>
        <v>41449.75</v>
      </c>
      <c r="W425" s="72">
        <f t="shared" si="182"/>
        <v>1718081775.0625</v>
      </c>
      <c r="Y425" s="110">
        <f t="shared" si="183"/>
        <v>13.621665520148024</v>
      </c>
      <c r="Z425" s="111">
        <f t="shared" si="184"/>
        <v>-88.653578403237645</v>
      </c>
      <c r="AA425" s="72">
        <f t="shared" si="185"/>
        <v>91.346421596762355</v>
      </c>
      <c r="AB425" s="110">
        <f t="shared" ca="1" si="186"/>
        <v>-46.578655638358157</v>
      </c>
      <c r="AC425" s="111">
        <f t="shared" ca="1" si="187"/>
        <v>-110.05421164906967</v>
      </c>
      <c r="AD425" s="72">
        <f t="shared" ca="1" si="188"/>
        <v>69.945788350930329</v>
      </c>
    </row>
    <row r="426" spans="1:30">
      <c r="A426" s="118">
        <v>41687</v>
      </c>
      <c r="B426" s="101">
        <f t="shared" ca="1" si="162"/>
        <v>2137.7411279378312</v>
      </c>
      <c r="C426" s="102">
        <f t="shared" ca="1" si="163"/>
        <v>1.5703285432904295</v>
      </c>
      <c r="D426" s="102">
        <f t="shared" si="164"/>
        <v>1.5860336616618587</v>
      </c>
      <c r="E426" s="103">
        <f t="shared" si="165"/>
        <v>0.88859441868370015</v>
      </c>
      <c r="F426" s="101">
        <f t="shared" si="166"/>
        <v>14248.836755790424</v>
      </c>
      <c r="G426" s="104">
        <f t="shared" si="167"/>
        <v>1.5707261456272714</v>
      </c>
      <c r="H426" s="113">
        <f t="shared" si="168"/>
        <v>1781.1048708121289</v>
      </c>
      <c r="I426" s="114">
        <f t="shared" si="169"/>
        <v>1.5702348775119683</v>
      </c>
      <c r="J426" s="101">
        <f t="shared" si="170"/>
        <v>41.920272396898135</v>
      </c>
      <c r="K426" s="104">
        <f t="shared" si="171"/>
        <v>1.5469392569554168</v>
      </c>
      <c r="L426" s="102">
        <f t="shared" si="172"/>
        <v>1</v>
      </c>
      <c r="M426" s="103">
        <f t="shared" si="173"/>
        <v>1.3751175144057751E-9</v>
      </c>
      <c r="N426" s="101">
        <f t="shared" si="174"/>
        <v>1</v>
      </c>
      <c r="O426" s="104">
        <f t="shared" si="175"/>
        <v>2.20018802304924E-10</v>
      </c>
      <c r="P426" s="105">
        <f t="shared" ca="1" si="176"/>
        <v>2.5348310062815678</v>
      </c>
      <c r="Q426" s="106">
        <f t="shared" ca="1" si="177"/>
        <v>1.2387835499835473</v>
      </c>
      <c r="R426" s="107">
        <f t="shared" ca="1" si="178"/>
        <v>-48.985965146995525</v>
      </c>
      <c r="S426" s="108">
        <f t="shared" ca="1" si="179"/>
        <v>-198.69879557143145</v>
      </c>
      <c r="T426" s="116">
        <f t="shared" ca="1" si="180"/>
        <v>-18.698795571431447</v>
      </c>
      <c r="V426" s="72">
        <f t="shared" ca="1" si="181"/>
        <v>41687</v>
      </c>
      <c r="W426" s="72">
        <f t="shared" si="182"/>
        <v>1737805969</v>
      </c>
      <c r="Y426" s="110">
        <f t="shared" si="183"/>
        <v>13.572119340501205</v>
      </c>
      <c r="Z426" s="111">
        <f t="shared" si="184"/>
        <v>-88.661238211393112</v>
      </c>
      <c r="AA426" s="72">
        <f t="shared" si="185"/>
        <v>91.338761788606888</v>
      </c>
      <c r="AB426" s="110">
        <f t="shared" ca="1" si="186"/>
        <v>-46.640484140615222</v>
      </c>
      <c r="AC426" s="111">
        <f t="shared" ca="1" si="187"/>
        <v>-110.03755736003832</v>
      </c>
      <c r="AD426" s="72">
        <f t="shared" ca="1" si="188"/>
        <v>69.962442639961679</v>
      </c>
    </row>
    <row r="427" spans="1:30">
      <c r="A427" s="118">
        <v>41929.75</v>
      </c>
      <c r="B427" s="101">
        <f t="shared" ca="1" si="162"/>
        <v>2150.1895302114699</v>
      </c>
      <c r="C427" s="102">
        <f t="shared" ca="1" si="163"/>
        <v>1.5703312514971155</v>
      </c>
      <c r="D427" s="102">
        <f t="shared" si="164"/>
        <v>1.5916042820068352</v>
      </c>
      <c r="E427" s="103">
        <f t="shared" si="165"/>
        <v>0.89143423368334096</v>
      </c>
      <c r="F427" s="101">
        <f t="shared" si="166"/>
        <v>14331.80998738495</v>
      </c>
      <c r="G427" s="104">
        <f t="shared" si="167"/>
        <v>1.5707265519373113</v>
      </c>
      <c r="H427" s="113">
        <f t="shared" si="168"/>
        <v>1791.4765231615993</v>
      </c>
      <c r="I427" s="114">
        <f t="shared" si="169"/>
        <v>1.5702381279912829</v>
      </c>
      <c r="J427" s="101">
        <f t="shared" si="170"/>
        <v>42.164242270555043</v>
      </c>
      <c r="K427" s="104">
        <f t="shared" si="171"/>
        <v>1.5470773242116651</v>
      </c>
      <c r="L427" s="102">
        <f t="shared" si="172"/>
        <v>1</v>
      </c>
      <c r="M427" s="103">
        <f t="shared" si="173"/>
        <v>1.3831250413715438E-9</v>
      </c>
      <c r="N427" s="101">
        <f t="shared" si="174"/>
        <v>1</v>
      </c>
      <c r="O427" s="104">
        <f t="shared" si="175"/>
        <v>2.2130000661944701E-10</v>
      </c>
      <c r="P427" s="105">
        <f t="shared" ca="1" si="176"/>
        <v>2.547370137134263</v>
      </c>
      <c r="Q427" s="106">
        <f t="shared" ca="1" si="177"/>
        <v>1.2413224077475904</v>
      </c>
      <c r="R427" s="107">
        <f t="shared" ca="1" si="178"/>
        <v>-49.099208726791453</v>
      </c>
      <c r="S427" s="108">
        <f t="shared" ca="1" si="179"/>
        <v>-198.68945487261121</v>
      </c>
      <c r="T427" s="116">
        <f t="shared" ca="1" si="180"/>
        <v>-18.689454872611208</v>
      </c>
      <c r="V427" s="72">
        <f t="shared" ca="1" si="181"/>
        <v>41929.75</v>
      </c>
      <c r="W427" s="72">
        <f t="shared" si="182"/>
        <v>1758103935.0625</v>
      </c>
      <c r="Y427" s="110">
        <f t="shared" si="183"/>
        <v>13.52171524393852</v>
      </c>
      <c r="Z427" s="111">
        <f t="shared" si="184"/>
        <v>-88.668985923192892</v>
      </c>
      <c r="AA427" s="72">
        <f t="shared" si="185"/>
        <v>91.331014076807108</v>
      </c>
      <c r="AB427" s="110">
        <f t="shared" ca="1" si="186"/>
        <v>-46.703323623848469</v>
      </c>
      <c r="AC427" s="111">
        <f t="shared" ca="1" si="187"/>
        <v>-110.02046894941826</v>
      </c>
      <c r="AD427" s="72">
        <f t="shared" ca="1" si="188"/>
        <v>69.979531050581741</v>
      </c>
    </row>
    <row r="428" spans="1:30">
      <c r="A428" s="118">
        <v>42172.5</v>
      </c>
      <c r="B428" s="101">
        <f t="shared" ca="1" si="162"/>
        <v>2162.6379325006969</v>
      </c>
      <c r="C428" s="102">
        <f t="shared" ca="1" si="163"/>
        <v>1.570333928526279</v>
      </c>
      <c r="D428" s="102">
        <f t="shared" si="164"/>
        <v>1.5971876483277692</v>
      </c>
      <c r="E428" s="103">
        <f t="shared" si="165"/>
        <v>0.89425421673466199</v>
      </c>
      <c r="F428" s="101">
        <f t="shared" si="166"/>
        <v>14414.783218981815</v>
      </c>
      <c r="G428" s="104">
        <f t="shared" si="167"/>
        <v>1.5707269535698116</v>
      </c>
      <c r="H428" s="113">
        <f t="shared" si="168"/>
        <v>1801.8481755297796</v>
      </c>
      <c r="I428" s="114">
        <f t="shared" si="169"/>
        <v>1.5702413410503064</v>
      </c>
      <c r="J428" s="101">
        <f t="shared" si="170"/>
        <v>42.408212938722762</v>
      </c>
      <c r="K428" s="104">
        <f t="shared" si="171"/>
        <v>1.5472138028932585</v>
      </c>
      <c r="L428" s="102">
        <f t="shared" si="172"/>
        <v>1</v>
      </c>
      <c r="M428" s="103">
        <f t="shared" si="173"/>
        <v>1.3911325683373126E-9</v>
      </c>
      <c r="N428" s="101">
        <f t="shared" si="174"/>
        <v>1</v>
      </c>
      <c r="O428" s="104">
        <f t="shared" si="175"/>
        <v>2.2258121093397E-10</v>
      </c>
      <c r="P428" s="105">
        <f t="shared" ca="1" si="176"/>
        <v>2.5599217418282971</v>
      </c>
      <c r="Q428" s="106">
        <f t="shared" ca="1" si="177"/>
        <v>1.2438407374204727</v>
      </c>
      <c r="R428" s="107">
        <f t="shared" ca="1" si="178"/>
        <v>-49.21173947704591</v>
      </c>
      <c r="S428" s="108">
        <f t="shared" ca="1" si="179"/>
        <v>-198.67998335880191</v>
      </c>
      <c r="T428" s="116">
        <f t="shared" ca="1" si="180"/>
        <v>-18.679983358801906</v>
      </c>
      <c r="V428" s="72">
        <f t="shared" ca="1" si="181"/>
        <v>42172.5</v>
      </c>
      <c r="W428" s="72">
        <f t="shared" si="182"/>
        <v>1778519756.25</v>
      </c>
      <c r="Y428" s="110">
        <f t="shared" si="183"/>
        <v>13.471601792265487</v>
      </c>
      <c r="Z428" s="111">
        <f t="shared" si="184"/>
        <v>-88.676644492390864</v>
      </c>
      <c r="AA428" s="72">
        <f t="shared" si="185"/>
        <v>91.323355507609136</v>
      </c>
      <c r="AB428" s="110">
        <f t="shared" ca="1" si="186"/>
        <v>-46.765740922429899</v>
      </c>
      <c r="AC428" s="111">
        <f t="shared" ca="1" si="187"/>
        <v>-110.00333886641099</v>
      </c>
      <c r="AD428" s="72">
        <f t="shared" ca="1" si="188"/>
        <v>69.996661133589015</v>
      </c>
    </row>
    <row r="429" spans="1:30">
      <c r="A429" s="118">
        <v>42415.25</v>
      </c>
      <c r="B429" s="101">
        <f t="shared" ca="1" si="162"/>
        <v>2175.0863348052458</v>
      </c>
      <c r="C429" s="102">
        <f t="shared" ca="1" si="163"/>
        <v>1.5703365749132232</v>
      </c>
      <c r="D429" s="102">
        <f t="shared" si="164"/>
        <v>1.6027836274211844</v>
      </c>
      <c r="E429" s="103">
        <f t="shared" si="165"/>
        <v>0.89705453047644601</v>
      </c>
      <c r="F429" s="101">
        <f t="shared" si="166"/>
        <v>14497.756450580977</v>
      </c>
      <c r="G429" s="104">
        <f t="shared" si="167"/>
        <v>1.5707273506050841</v>
      </c>
      <c r="H429" s="113">
        <f t="shared" si="168"/>
        <v>1812.2198279163488</v>
      </c>
      <c r="I429" s="114">
        <f t="shared" si="169"/>
        <v>1.5702445173315278</v>
      </c>
      <c r="J429" s="101">
        <f t="shared" si="170"/>
        <v>42.652184387767484</v>
      </c>
      <c r="K429" s="104">
        <f t="shared" si="171"/>
        <v>1.5473487202551162</v>
      </c>
      <c r="L429" s="102">
        <f t="shared" si="172"/>
        <v>1</v>
      </c>
      <c r="M429" s="103">
        <f t="shared" si="173"/>
        <v>1.3991400953030814E-9</v>
      </c>
      <c r="N429" s="101">
        <f t="shared" si="174"/>
        <v>1</v>
      </c>
      <c r="O429" s="104">
        <f t="shared" si="175"/>
        <v>2.2386241524849301E-10</v>
      </c>
      <c r="P429" s="105">
        <f t="shared" ca="1" si="176"/>
        <v>2.5724856658372932</v>
      </c>
      <c r="Q429" s="106">
        <f t="shared" ca="1" si="177"/>
        <v>1.2463388189302478</v>
      </c>
      <c r="R429" s="107">
        <f t="shared" ca="1" si="178"/>
        <v>-49.323565691437764</v>
      </c>
      <c r="S429" s="108">
        <f t="shared" ca="1" si="179"/>
        <v>-198.67038931023589</v>
      </c>
      <c r="T429" s="116">
        <f t="shared" ca="1" si="180"/>
        <v>-18.67038931023589</v>
      </c>
      <c r="V429" s="72">
        <f t="shared" ca="1" si="181"/>
        <v>42415.25</v>
      </c>
      <c r="W429" s="72">
        <f t="shared" si="182"/>
        <v>1799053432.5625</v>
      </c>
      <c r="Y429" s="110">
        <f t="shared" si="183"/>
        <v>13.421775654647467</v>
      </c>
      <c r="Z429" s="111">
        <f t="shared" si="184"/>
        <v>-88.684215448368519</v>
      </c>
      <c r="AA429" s="72">
        <f t="shared" si="185"/>
        <v>91.315784551631481</v>
      </c>
      <c r="AB429" s="110">
        <f t="shared" ca="1" si="186"/>
        <v>-46.827740999203726</v>
      </c>
      <c r="AC429" s="111">
        <f t="shared" ca="1" si="187"/>
        <v>-109.98617386186729</v>
      </c>
      <c r="AD429" s="72">
        <f t="shared" ca="1" si="188"/>
        <v>70.013826138132714</v>
      </c>
    </row>
    <row r="430" spans="1:30">
      <c r="A430" s="118">
        <v>42658</v>
      </c>
      <c r="B430" s="101">
        <f t="shared" ca="1" si="162"/>
        <v>2187.5347371248536</v>
      </c>
      <c r="C430" s="102">
        <f t="shared" ca="1" si="163"/>
        <v>1.5703391911810671</v>
      </c>
      <c r="D430" s="102">
        <f t="shared" si="164"/>
        <v>1.6083920876385696</v>
      </c>
      <c r="E430" s="103">
        <f t="shared" si="165"/>
        <v>0.89983533652059122</v>
      </c>
      <c r="F430" s="101">
        <f t="shared" si="166"/>
        <v>14580.729682182398</v>
      </c>
      <c r="G430" s="104">
        <f t="shared" si="167"/>
        <v>1.5707277431216113</v>
      </c>
      <c r="H430" s="113">
        <f t="shared" si="168"/>
        <v>1822.591480320993</v>
      </c>
      <c r="I430" s="114">
        <f t="shared" si="169"/>
        <v>1.5702476574628108</v>
      </c>
      <c r="J430" s="101">
        <f t="shared" si="170"/>
        <v>42.89615660436553</v>
      </c>
      <c r="K430" s="104">
        <f t="shared" si="171"/>
        <v>1.5474821029323373</v>
      </c>
      <c r="L430" s="102">
        <f t="shared" si="172"/>
        <v>1</v>
      </c>
      <c r="M430" s="103">
        <f t="shared" si="173"/>
        <v>1.4071476222688501E-9</v>
      </c>
      <c r="N430" s="101">
        <f t="shared" si="174"/>
        <v>1</v>
      </c>
      <c r="O430" s="104">
        <f t="shared" si="175"/>
        <v>2.2514361956301602E-10</v>
      </c>
      <c r="P430" s="105">
        <f t="shared" ca="1" si="176"/>
        <v>2.5850617576225781</v>
      </c>
      <c r="Q430" s="106">
        <f t="shared" ca="1" si="177"/>
        <v>1.2488169274882737</v>
      </c>
      <c r="R430" s="107">
        <f t="shared" ca="1" si="178"/>
        <v>-49.434695531965303</v>
      </c>
      <c r="S430" s="108">
        <f t="shared" ca="1" si="179"/>
        <v>-198.66068076025672</v>
      </c>
      <c r="T430" s="116">
        <f t="shared" ca="1" si="180"/>
        <v>-18.660680760256724</v>
      </c>
      <c r="V430" s="72">
        <f t="shared" ca="1" si="181"/>
        <v>42658</v>
      </c>
      <c r="W430" s="72">
        <f t="shared" si="182"/>
        <v>1819704964</v>
      </c>
      <c r="Y430" s="110">
        <f t="shared" si="183"/>
        <v>13.372233557150304</v>
      </c>
      <c r="Z430" s="111">
        <f t="shared" si="184"/>
        <v>-88.691700285727379</v>
      </c>
      <c r="AA430" s="72">
        <f t="shared" si="185"/>
        <v>91.308299714272621</v>
      </c>
      <c r="AB430" s="110">
        <f t="shared" ca="1" si="186"/>
        <v>-46.889328742234106</v>
      </c>
      <c r="AC430" s="111">
        <f t="shared" ca="1" si="187"/>
        <v>-109.96898047452932</v>
      </c>
      <c r="AD430" s="72">
        <f t="shared" ca="1" si="188"/>
        <v>70.031019525470683</v>
      </c>
    </row>
    <row r="431" spans="1:30">
      <c r="A431" s="118">
        <v>42906.5</v>
      </c>
      <c r="B431" s="101">
        <f t="shared" ca="1" si="162"/>
        <v>2200.2780037783841</v>
      </c>
      <c r="C431" s="102">
        <f t="shared" ca="1" si="163"/>
        <v>1.5703418387562444</v>
      </c>
      <c r="D431" s="102">
        <f t="shared" si="164"/>
        <v>1.6141461872685254</v>
      </c>
      <c r="E431" s="103">
        <f t="shared" si="165"/>
        <v>0.90266197264290227</v>
      </c>
      <c r="F431" s="101">
        <f t="shared" si="166"/>
        <v>14665.668294143312</v>
      </c>
      <c r="G431" s="104">
        <f t="shared" si="167"/>
        <v>1.5707281403351514</v>
      </c>
      <c r="H431" s="113">
        <f t="shared" si="168"/>
        <v>1833.2088052520792</v>
      </c>
      <c r="I431" s="114">
        <f t="shared" si="169"/>
        <v>1.5702508351701954</v>
      </c>
      <c r="J431" s="101">
        <f t="shared" si="170"/>
        <v>43.145908552957955</v>
      </c>
      <c r="K431" s="104">
        <f t="shared" si="171"/>
        <v>1.5476170825656799</v>
      </c>
      <c r="L431" s="102">
        <f t="shared" si="172"/>
        <v>1</v>
      </c>
      <c r="M431" s="103">
        <f t="shared" si="173"/>
        <v>1.4153448228908626E-9</v>
      </c>
      <c r="N431" s="101">
        <f t="shared" si="174"/>
        <v>1</v>
      </c>
      <c r="O431" s="104">
        <f t="shared" si="175"/>
        <v>2.2645517166253801E-10</v>
      </c>
      <c r="P431" s="105">
        <f t="shared" ca="1" si="176"/>
        <v>2.5979481866763581</v>
      </c>
      <c r="Q431" s="106">
        <f t="shared" ca="1" si="177"/>
        <v>1.2513333290645718</v>
      </c>
      <c r="R431" s="107">
        <f t="shared" ca="1" si="178"/>
        <v>-49.547744770046613</v>
      </c>
      <c r="S431" s="108">
        <f t="shared" ca="1" si="179"/>
        <v>-198.65063177733714</v>
      </c>
      <c r="T431" s="116">
        <f t="shared" ca="1" si="180"/>
        <v>-18.650631777337139</v>
      </c>
      <c r="V431" s="72">
        <f t="shared" ca="1" si="181"/>
        <v>42906.5</v>
      </c>
      <c r="W431" s="72">
        <f t="shared" si="182"/>
        <v>1840967742.25</v>
      </c>
      <c r="Y431" s="110">
        <f t="shared" si="183"/>
        <v>13.321808812220342</v>
      </c>
      <c r="Z431" s="111">
        <f t="shared" si="184"/>
        <v>-88.69927473809004</v>
      </c>
      <c r="AA431" s="72">
        <f t="shared" si="185"/>
        <v>91.30072526190996</v>
      </c>
      <c r="AB431" s="110">
        <f t="shared" ca="1" si="186"/>
        <v>-46.951953235385446</v>
      </c>
      <c r="AC431" s="111">
        <f t="shared" ca="1" si="187"/>
        <v>-109.9513570392471</v>
      </c>
      <c r="AD431" s="72">
        <f t="shared" ca="1" si="188"/>
        <v>70.0486429607529</v>
      </c>
    </row>
    <row r="432" spans="1:30">
      <c r="A432" s="118">
        <v>43155</v>
      </c>
      <c r="B432" s="101">
        <f t="shared" ca="1" si="162"/>
        <v>2213.0212704471596</v>
      </c>
      <c r="C432" s="102">
        <f t="shared" ca="1" si="163"/>
        <v>1.5703444558402948</v>
      </c>
      <c r="D432" s="102">
        <f t="shared" si="164"/>
        <v>1.6199130920379734</v>
      </c>
      <c r="E432" s="103">
        <f t="shared" si="165"/>
        <v>0.90546850535770951</v>
      </c>
      <c r="F432" s="101">
        <f t="shared" si="166"/>
        <v>14750.606906106512</v>
      </c>
      <c r="G432" s="104">
        <f t="shared" si="167"/>
        <v>1.5707285329741316</v>
      </c>
      <c r="H432" s="113">
        <f t="shared" si="168"/>
        <v>1843.8261302014637</v>
      </c>
      <c r="I432" s="114">
        <f t="shared" si="169"/>
        <v>1.570253976281123</v>
      </c>
      <c r="J432" s="101">
        <f t="shared" si="170"/>
        <v>43.395661278598986</v>
      </c>
      <c r="K432" s="104">
        <f t="shared" si="171"/>
        <v>1.5477505085193182</v>
      </c>
      <c r="L432" s="102">
        <f t="shared" si="172"/>
        <v>1</v>
      </c>
      <c r="M432" s="103">
        <f t="shared" si="173"/>
        <v>1.4235420235128751E-9</v>
      </c>
      <c r="N432" s="101">
        <f t="shared" si="174"/>
        <v>1</v>
      </c>
      <c r="O432" s="104">
        <f t="shared" si="175"/>
        <v>2.2776672376206002E-10</v>
      </c>
      <c r="P432" s="105">
        <f t="shared" ca="1" si="176"/>
        <v>2.6108470547133384</v>
      </c>
      <c r="Q432" s="106">
        <f t="shared" ca="1" si="177"/>
        <v>1.2538293691679636</v>
      </c>
      <c r="R432" s="107">
        <f t="shared" ca="1" si="178"/>
        <v>-49.66008115109139</v>
      </c>
      <c r="S432" s="108">
        <f t="shared" ca="1" si="179"/>
        <v>-198.64047907677588</v>
      </c>
      <c r="T432" s="116">
        <f t="shared" ca="1" si="180"/>
        <v>-18.640479076775875</v>
      </c>
      <c r="V432" s="72">
        <f t="shared" ca="1" si="181"/>
        <v>43155</v>
      </c>
      <c r="W432" s="72">
        <f t="shared" si="182"/>
        <v>1862354025</v>
      </c>
      <c r="Y432" s="110">
        <f t="shared" si="183"/>
        <v>13.271674956998048</v>
      </c>
      <c r="Z432" s="111">
        <f t="shared" si="184"/>
        <v>-88.706762005882354</v>
      </c>
      <c r="AA432" s="72">
        <f t="shared" si="185"/>
        <v>91.293237994117646</v>
      </c>
      <c r="AB432" s="110">
        <f t="shared" ca="1" si="186"/>
        <v>-47.014155761207938</v>
      </c>
      <c r="AC432" s="111">
        <f t="shared" ca="1" si="187"/>
        <v>-109.93371707089356</v>
      </c>
      <c r="AD432" s="72">
        <f t="shared" ca="1" si="188"/>
        <v>70.066282929106436</v>
      </c>
    </row>
    <row r="433" spans="1:30">
      <c r="A433" s="118">
        <v>43403.5</v>
      </c>
      <c r="B433" s="101">
        <f t="shared" ca="1" si="162"/>
        <v>2225.7645371309191</v>
      </c>
      <c r="C433" s="102">
        <f t="shared" ca="1" si="163"/>
        <v>1.5703470429569342</v>
      </c>
      <c r="D433" s="102">
        <f t="shared" si="164"/>
        <v>1.6256926656738926</v>
      </c>
      <c r="E433" s="103">
        <f t="shared" si="165"/>
        <v>0.90825510462860837</v>
      </c>
      <c r="F433" s="101">
        <f t="shared" si="166"/>
        <v>14835.54551807196</v>
      </c>
      <c r="G433" s="104">
        <f t="shared" si="167"/>
        <v>1.5707289211171249</v>
      </c>
      <c r="H433" s="113">
        <f t="shared" si="168"/>
        <v>1854.4434551688321</v>
      </c>
      <c r="I433" s="114">
        <f t="shared" si="169"/>
        <v>1.5702570814241752</v>
      </c>
      <c r="J433" s="101">
        <f t="shared" si="170"/>
        <v>43.645414767949063</v>
      </c>
      <c r="K433" s="104">
        <f t="shared" si="171"/>
        <v>1.5478824074604667</v>
      </c>
      <c r="L433" s="102">
        <f t="shared" si="172"/>
        <v>1</v>
      </c>
      <c r="M433" s="103">
        <f t="shared" si="173"/>
        <v>1.4317392241348876E-9</v>
      </c>
      <c r="N433" s="101">
        <f t="shared" si="174"/>
        <v>1</v>
      </c>
      <c r="O433" s="104">
        <f t="shared" si="175"/>
        <v>2.2907827586158201E-10</v>
      </c>
      <c r="P433" s="105">
        <f t="shared" ca="1" si="176"/>
        <v>2.6237582084772737</v>
      </c>
      <c r="Q433" s="106">
        <f t="shared" ca="1" si="177"/>
        <v>1.25630532825508</v>
      </c>
      <c r="R433" s="107">
        <f t="shared" ca="1" si="178"/>
        <v>-49.771713018899597</v>
      </c>
      <c r="S433" s="108">
        <f t="shared" ca="1" si="179"/>
        <v>-198.63023051577005</v>
      </c>
      <c r="T433" s="116">
        <f t="shared" ca="1" si="180"/>
        <v>-18.630230515770052</v>
      </c>
      <c r="V433" s="72">
        <f t="shared" ca="1" si="181"/>
        <v>43403.5</v>
      </c>
      <c r="W433" s="72">
        <f t="shared" si="182"/>
        <v>1883863812.25</v>
      </c>
      <c r="Y433" s="110">
        <f t="shared" si="183"/>
        <v>13.221828656326293</v>
      </c>
      <c r="Z433" s="111">
        <f t="shared" si="184"/>
        <v>-88.714163585510008</v>
      </c>
      <c r="AA433" s="72">
        <f t="shared" si="185"/>
        <v>91.285836414489992</v>
      </c>
      <c r="AB433" s="110">
        <f t="shared" ca="1" si="186"/>
        <v>-47.075941328344385</v>
      </c>
      <c r="AC433" s="111">
        <f t="shared" ca="1" si="187"/>
        <v>-109.91606693026003</v>
      </c>
      <c r="AD433" s="72">
        <f t="shared" ca="1" si="188"/>
        <v>70.08393306973997</v>
      </c>
    </row>
    <row r="434" spans="1:30">
      <c r="A434" s="118">
        <v>43652</v>
      </c>
      <c r="B434" s="101">
        <f t="shared" ca="1" si="162"/>
        <v>2238.5078038294064</v>
      </c>
      <c r="C434" s="102">
        <f t="shared" ca="1" si="163"/>
        <v>1.570349600617954</v>
      </c>
      <c r="D434" s="102">
        <f t="shared" si="164"/>
        <v>1.6314847735370057</v>
      </c>
      <c r="E434" s="103">
        <f t="shared" si="165"/>
        <v>0.91102193925178909</v>
      </c>
      <c r="F434" s="101">
        <f t="shared" si="166"/>
        <v>14920.484130039618</v>
      </c>
      <c r="G434" s="104">
        <f t="shared" si="167"/>
        <v>1.570729304840915</v>
      </c>
      <c r="H434" s="113">
        <f t="shared" si="168"/>
        <v>1865.0607801538772</v>
      </c>
      <c r="I434" s="114">
        <f t="shared" si="169"/>
        <v>1.5702601512136207</v>
      </c>
      <c r="J434" s="101">
        <f t="shared" si="170"/>
        <v>43.895169007972207</v>
      </c>
      <c r="K434" s="104">
        <f t="shared" si="171"/>
        <v>1.5480128054496318</v>
      </c>
      <c r="L434" s="102">
        <f t="shared" si="172"/>
        <v>1</v>
      </c>
      <c r="M434" s="103">
        <f t="shared" si="173"/>
        <v>1.4399364247569001E-9</v>
      </c>
      <c r="N434" s="101">
        <f t="shared" si="174"/>
        <v>1</v>
      </c>
      <c r="O434" s="104">
        <f t="shared" si="175"/>
        <v>2.30389827961104E-10</v>
      </c>
      <c r="P434" s="105">
        <f t="shared" ca="1" si="176"/>
        <v>2.6366814977141226</v>
      </c>
      <c r="Q434" s="106">
        <f t="shared" ca="1" si="177"/>
        <v>1.2587614819890884</v>
      </c>
      <c r="R434" s="107">
        <f t="shared" ca="1" si="178"/>
        <v>-49.882648583765842</v>
      </c>
      <c r="S434" s="108">
        <f t="shared" ca="1" si="179"/>
        <v>-198.61989370903129</v>
      </c>
      <c r="T434" s="116">
        <f t="shared" ca="1" si="180"/>
        <v>-18.619893709031288</v>
      </c>
      <c r="V434" s="72">
        <f t="shared" ca="1" si="181"/>
        <v>43652</v>
      </c>
      <c r="W434" s="72">
        <f t="shared" si="182"/>
        <v>1905497104</v>
      </c>
      <c r="Y434" s="110">
        <f t="shared" si="183"/>
        <v>13.172266632049453</v>
      </c>
      <c r="Z434" s="111">
        <f t="shared" si="184"/>
        <v>-88.721480939334469</v>
      </c>
      <c r="AA434" s="72">
        <f t="shared" si="185"/>
        <v>91.278519060665531</v>
      </c>
      <c r="AB434" s="110">
        <f t="shared" ca="1" si="186"/>
        <v>-47.137314868933792</v>
      </c>
      <c r="AC434" s="111">
        <f t="shared" ca="1" si="187"/>
        <v>-109.89841276969678</v>
      </c>
      <c r="AD434" s="72">
        <f t="shared" ca="1" si="188"/>
        <v>70.101587230303224</v>
      </c>
    </row>
    <row r="435" spans="1:30">
      <c r="A435" s="118">
        <v>43906</v>
      </c>
      <c r="B435" s="101">
        <f t="shared" ca="1" si="162"/>
        <v>2251.5331146750136</v>
      </c>
      <c r="C435" s="102">
        <f t="shared" ca="1" si="163"/>
        <v>1.5703521849671087</v>
      </c>
      <c r="D435" s="102">
        <f t="shared" si="164"/>
        <v>1.6374178918919684</v>
      </c>
      <c r="E435" s="103">
        <f t="shared" si="165"/>
        <v>0.91382976050219433</v>
      </c>
      <c r="F435" s="101">
        <f t="shared" si="166"/>
        <v>15007.302671047035</v>
      </c>
      <c r="G435" s="104">
        <f t="shared" si="167"/>
        <v>1.5707296925687029</v>
      </c>
      <c r="H435" s="113">
        <f t="shared" si="168"/>
        <v>1875.9130962531265</v>
      </c>
      <c r="I435" s="114">
        <f t="shared" si="169"/>
        <v>1.570263253035052</v>
      </c>
      <c r="J435" s="101">
        <f t="shared" si="170"/>
        <v>44.150451770350948</v>
      </c>
      <c r="K435" s="104">
        <f t="shared" si="171"/>
        <v>1.5481445648746683</v>
      </c>
      <c r="L435" s="102">
        <f t="shared" si="172"/>
        <v>1</v>
      </c>
      <c r="M435" s="103">
        <f t="shared" si="173"/>
        <v>1.4483150523544502E-9</v>
      </c>
      <c r="N435" s="101">
        <f t="shared" si="174"/>
        <v>1</v>
      </c>
      <c r="O435" s="104">
        <f t="shared" si="175"/>
        <v>2.3173040837671202E-10</v>
      </c>
      <c r="P435" s="105">
        <f t="shared" ca="1" si="176"/>
        <v>2.6499032034670065</v>
      </c>
      <c r="Q435" s="106">
        <f t="shared" ca="1" si="177"/>
        <v>1.2612518116127192</v>
      </c>
      <c r="R435" s="107">
        <f t="shared" ca="1" si="178"/>
        <v>-49.995328283260257</v>
      </c>
      <c r="S435" s="108">
        <f t="shared" ca="1" si="179"/>
        <v>-198.60924460352493</v>
      </c>
      <c r="T435" s="116">
        <f t="shared" ca="1" si="180"/>
        <v>-18.609244603524928</v>
      </c>
      <c r="V435" s="72">
        <f t="shared" ca="1" si="181"/>
        <v>43906</v>
      </c>
      <c r="W435" s="72">
        <f t="shared" si="182"/>
        <v>1927736836</v>
      </c>
      <c r="Y435" s="110">
        <f t="shared" si="183"/>
        <v>13.121898090860784</v>
      </c>
      <c r="Z435" s="111">
        <f t="shared" si="184"/>
        <v>-88.72887469179436</v>
      </c>
      <c r="AA435" s="72">
        <f t="shared" si="185"/>
        <v>91.27112530820564</v>
      </c>
      <c r="AB435" s="110">
        <f t="shared" ca="1" si="186"/>
        <v>-47.199626027239539</v>
      </c>
      <c r="AC435" s="111">
        <f t="shared" ca="1" si="187"/>
        <v>-109.8803699117306</v>
      </c>
      <c r="AD435" s="72">
        <f t="shared" ca="1" si="188"/>
        <v>70.119630088269403</v>
      </c>
    </row>
    <row r="436" spans="1:30">
      <c r="A436" s="118">
        <v>44160</v>
      </c>
      <c r="B436" s="101">
        <f t="shared" ca="1" si="162"/>
        <v>2264.5584255354852</v>
      </c>
      <c r="C436" s="102">
        <f t="shared" ca="1" si="163"/>
        <v>1.57035473958689</v>
      </c>
      <c r="D436" s="102">
        <f t="shared" si="164"/>
        <v>1.6433638261482508</v>
      </c>
      <c r="E436" s="103">
        <f t="shared" si="165"/>
        <v>0.91661728536872433</v>
      </c>
      <c r="F436" s="101">
        <f t="shared" si="166"/>
        <v>15094.121212056682</v>
      </c>
      <c r="G436" s="104">
        <f t="shared" si="167"/>
        <v>1.5707300758362166</v>
      </c>
      <c r="H436" s="113">
        <f t="shared" si="168"/>
        <v>1886.7654123702168</v>
      </c>
      <c r="I436" s="114">
        <f t="shared" si="169"/>
        <v>1.5702663191743087</v>
      </c>
      <c r="J436" s="101">
        <f t="shared" si="170"/>
        <v>44.40573529039289</v>
      </c>
      <c r="K436" s="104">
        <f t="shared" si="171"/>
        <v>1.5482748093620564</v>
      </c>
      <c r="L436" s="102">
        <f t="shared" si="172"/>
        <v>1</v>
      </c>
      <c r="M436" s="103">
        <f t="shared" si="173"/>
        <v>1.4566936799520001E-9</v>
      </c>
      <c r="N436" s="101">
        <f t="shared" si="174"/>
        <v>1</v>
      </c>
      <c r="O436" s="104">
        <f t="shared" si="175"/>
        <v>2.3307098879231999E-10</v>
      </c>
      <c r="P436" s="105">
        <f t="shared" ca="1" si="176"/>
        <v>2.6631372797029025</v>
      </c>
      <c r="Q436" s="106">
        <f t="shared" ca="1" si="177"/>
        <v>1.2637220169368544</v>
      </c>
      <c r="R436" s="107">
        <f t="shared" ca="1" si="178"/>
        <v>-50.10729744636788</v>
      </c>
      <c r="S436" s="108">
        <f t="shared" ca="1" si="179"/>
        <v>-198.5985186437093</v>
      </c>
      <c r="T436" s="116">
        <f t="shared" ca="1" si="180"/>
        <v>-18.598518643709298</v>
      </c>
      <c r="V436" s="72">
        <f t="shared" ca="1" si="181"/>
        <v>44160</v>
      </c>
      <c r="W436" s="72">
        <f t="shared" si="182"/>
        <v>1950105600</v>
      </c>
      <c r="Y436" s="110">
        <f t="shared" si="183"/>
        <v>13.071819800131861</v>
      </c>
      <c r="Z436" s="111">
        <f t="shared" si="184"/>
        <v>-88.736183433603813</v>
      </c>
      <c r="AA436" s="72">
        <f t="shared" si="185"/>
        <v>91.263816566396187</v>
      </c>
      <c r="AB436" s="110">
        <f t="shared" ca="1" si="186"/>
        <v>-47.261516899618243</v>
      </c>
      <c r="AC436" s="111">
        <f t="shared" ca="1" si="187"/>
        <v>-109.8623352101055</v>
      </c>
      <c r="AD436" s="72">
        <f t="shared" ca="1" si="188"/>
        <v>70.137664789894501</v>
      </c>
    </row>
    <row r="437" spans="1:30">
      <c r="A437" s="118">
        <v>44414</v>
      </c>
      <c r="B437" s="101">
        <f t="shared" ca="1" si="162"/>
        <v>2277.5837364105669</v>
      </c>
      <c r="C437" s="102">
        <f t="shared" ca="1" si="163"/>
        <v>1.5703572649873578</v>
      </c>
      <c r="D437" s="102">
        <f t="shared" si="164"/>
        <v>1.6493224376989282</v>
      </c>
      <c r="E437" s="103">
        <f t="shared" si="165"/>
        <v>0.91938469027464187</v>
      </c>
      <c r="F437" s="101">
        <f t="shared" si="166"/>
        <v>15180.939753068518</v>
      </c>
      <c r="G437" s="104">
        <f t="shared" si="167"/>
        <v>1.5707304547199796</v>
      </c>
      <c r="H437" s="113">
        <f t="shared" si="168"/>
        <v>1897.6177285048418</v>
      </c>
      <c r="I437" s="114">
        <f t="shared" si="169"/>
        <v>1.5702693502435803</v>
      </c>
      <c r="J437" s="101">
        <f t="shared" si="170"/>
        <v>44.661019555105582</v>
      </c>
      <c r="K437" s="104">
        <f t="shared" si="171"/>
        <v>1.5484035648856806</v>
      </c>
      <c r="L437" s="102">
        <f t="shared" si="172"/>
        <v>1</v>
      </c>
      <c r="M437" s="103">
        <f t="shared" si="173"/>
        <v>1.4650723075495502E-9</v>
      </c>
      <c r="N437" s="101">
        <f t="shared" si="174"/>
        <v>1</v>
      </c>
      <c r="O437" s="104">
        <f t="shared" si="175"/>
        <v>2.3441156920792802E-10</v>
      </c>
      <c r="P437" s="105">
        <f t="shared" ca="1" si="176"/>
        <v>2.676383575267415</v>
      </c>
      <c r="Q437" s="106">
        <f t="shared" ca="1" si="177"/>
        <v>1.2661723774091489</v>
      </c>
      <c r="R437" s="107">
        <f t="shared" ca="1" si="178"/>
        <v>-50.21856442525457</v>
      </c>
      <c r="S437" s="108">
        <f t="shared" ca="1" si="179"/>
        <v>-198.58772321917388</v>
      </c>
      <c r="T437" s="116">
        <f t="shared" ca="1" si="180"/>
        <v>-18.587723219173881</v>
      </c>
      <c r="V437" s="72">
        <f t="shared" ca="1" si="181"/>
        <v>44414</v>
      </c>
      <c r="W437" s="72">
        <f t="shared" si="182"/>
        <v>1972603396</v>
      </c>
      <c r="Y437" s="110">
        <f t="shared" si="183"/>
        <v>13.022028435542762</v>
      </c>
      <c r="Z437" s="111">
        <f t="shared" si="184"/>
        <v>-88.743408622265335</v>
      </c>
      <c r="AA437" s="72">
        <f t="shared" si="185"/>
        <v>91.256591377734665</v>
      </c>
      <c r="AB437" s="110">
        <f t="shared" ca="1" si="186"/>
        <v>-47.322992513915821</v>
      </c>
      <c r="AC437" s="111">
        <f t="shared" ca="1" si="187"/>
        <v>-109.84431459690856</v>
      </c>
      <c r="AD437" s="72">
        <f t="shared" ca="1" si="188"/>
        <v>70.155685403091439</v>
      </c>
    </row>
    <row r="438" spans="1:30">
      <c r="A438" s="118">
        <v>44668</v>
      </c>
      <c r="B438" s="101">
        <f t="shared" ca="1" si="162"/>
        <v>2290.6090473000081</v>
      </c>
      <c r="C438" s="102">
        <f t="shared" ca="1" si="163"/>
        <v>1.5703597616669698</v>
      </c>
      <c r="D438" s="102">
        <f t="shared" si="164"/>
        <v>1.6552935896394594</v>
      </c>
      <c r="E438" s="103">
        <f t="shared" si="165"/>
        <v>0.92213215033839313</v>
      </c>
      <c r="F438" s="101">
        <f t="shared" si="166"/>
        <v>15267.758294082512</v>
      </c>
      <c r="G438" s="104">
        <f t="shared" si="167"/>
        <v>1.5707308292947755</v>
      </c>
      <c r="H438" s="113">
        <f t="shared" si="168"/>
        <v>1908.4700446567031</v>
      </c>
      <c r="I438" s="114">
        <f t="shared" si="169"/>
        <v>1.5702723468411326</v>
      </c>
      <c r="J438" s="101">
        <f t="shared" si="170"/>
        <v>44.916304551791875</v>
      </c>
      <c r="K438" s="104">
        <f t="shared" si="171"/>
        <v>1.5485308568291283</v>
      </c>
      <c r="L438" s="102">
        <f t="shared" si="172"/>
        <v>1</v>
      </c>
      <c r="M438" s="103">
        <f t="shared" si="173"/>
        <v>1.4734509351471001E-9</v>
      </c>
      <c r="N438" s="101">
        <f t="shared" si="174"/>
        <v>1</v>
      </c>
      <c r="O438" s="104">
        <f t="shared" si="175"/>
        <v>2.3575214962353599E-10</v>
      </c>
      <c r="P438" s="105">
        <f t="shared" ca="1" si="176"/>
        <v>2.6896419420016273</v>
      </c>
      <c r="Q438" s="106">
        <f t="shared" ca="1" si="177"/>
        <v>1.2686031676429106</v>
      </c>
      <c r="R438" s="107">
        <f t="shared" ca="1" si="178"/>
        <v>-50.329137437615501</v>
      </c>
      <c r="S438" s="108">
        <f t="shared" ca="1" si="179"/>
        <v>-198.57686548349309</v>
      </c>
      <c r="T438" s="116">
        <f t="shared" ca="1" si="180"/>
        <v>-18.576865483493094</v>
      </c>
      <c r="V438" s="72">
        <f t="shared" ca="1" si="181"/>
        <v>44668</v>
      </c>
      <c r="W438" s="72">
        <f t="shared" si="182"/>
        <v>1995230224</v>
      </c>
      <c r="Y438" s="110">
        <f t="shared" si="183"/>
        <v>12.97252072953164</v>
      </c>
      <c r="Z438" s="111">
        <f t="shared" si="184"/>
        <v>-88.750551682158104</v>
      </c>
      <c r="AA438" s="72">
        <f t="shared" si="185"/>
        <v>91.249448317841896</v>
      </c>
      <c r="AB438" s="110">
        <f t="shared" ca="1" si="186"/>
        <v>-47.384057820265639</v>
      </c>
      <c r="AC438" s="111">
        <f t="shared" ca="1" si="187"/>
        <v>-109.826313801335</v>
      </c>
      <c r="AD438" s="72">
        <f t="shared" ca="1" si="188"/>
        <v>70.173686198664996</v>
      </c>
    </row>
    <row r="439" spans="1:30">
      <c r="A439" s="118">
        <v>44928.25</v>
      </c>
      <c r="B439" s="101">
        <f t="shared" ca="1" si="162"/>
        <v>2303.9548629011729</v>
      </c>
      <c r="C439" s="102">
        <f t="shared" ca="1" si="163"/>
        <v>1.5703622905003927</v>
      </c>
      <c r="D439" s="102">
        <f t="shared" si="164"/>
        <v>1.661424535182555</v>
      </c>
      <c r="E439" s="103">
        <f t="shared" si="165"/>
        <v>0.92492670993907367</v>
      </c>
      <c r="F439" s="101">
        <f t="shared" si="166"/>
        <v>15356.713118096091</v>
      </c>
      <c r="G439" s="104">
        <f t="shared" si="167"/>
        <v>1.5707312086935805</v>
      </c>
      <c r="H439" s="113">
        <f t="shared" si="168"/>
        <v>1919.5893961645181</v>
      </c>
      <c r="I439" s="114">
        <f t="shared" si="169"/>
        <v>1.5702753820307567</v>
      </c>
      <c r="J439" s="101">
        <f t="shared" si="170"/>
        <v>45.177871913727337</v>
      </c>
      <c r="K439" s="104">
        <f t="shared" si="171"/>
        <v>1.5486597888536864</v>
      </c>
      <c r="L439" s="102">
        <f t="shared" si="172"/>
        <v>1</v>
      </c>
      <c r="M439" s="103">
        <f t="shared" si="173"/>
        <v>1.4820357297623063E-9</v>
      </c>
      <c r="N439" s="101">
        <f t="shared" si="174"/>
        <v>1</v>
      </c>
      <c r="O439" s="104">
        <f t="shared" si="175"/>
        <v>2.3712571676196902E-10</v>
      </c>
      <c r="P439" s="105">
        <f t="shared" ca="1" si="176"/>
        <v>2.7032389165875284</v>
      </c>
      <c r="Q439" s="106">
        <f t="shared" ca="1" si="177"/>
        <v>1.2710737543215798</v>
      </c>
      <c r="R439" s="107">
        <f t="shared" ca="1" si="178"/>
        <v>-50.441719906818008</v>
      </c>
      <c r="S439" s="108">
        <f t="shared" ca="1" si="179"/>
        <v>-198.56568318868764</v>
      </c>
      <c r="T439" s="116">
        <f t="shared" ca="1" si="180"/>
        <v>-18.565683188687643</v>
      </c>
      <c r="V439" s="72">
        <f t="shared" ca="1" si="181"/>
        <v>44928.25</v>
      </c>
      <c r="W439" s="72">
        <f t="shared" si="182"/>
        <v>2018547648.0625</v>
      </c>
      <c r="Y439" s="110">
        <f t="shared" si="183"/>
        <v>12.922085677633619</v>
      </c>
      <c r="Z439" s="111">
        <f t="shared" si="184"/>
        <v>-88.757786776999254</v>
      </c>
      <c r="AA439" s="72">
        <f t="shared" si="185"/>
        <v>91.242213223000746</v>
      </c>
      <c r="AB439" s="110">
        <f t="shared" ca="1" si="186"/>
        <v>-47.446205237570126</v>
      </c>
      <c r="AC439" s="111">
        <f t="shared" ca="1" si="187"/>
        <v>-109.80789641168843</v>
      </c>
      <c r="AD439" s="72">
        <f t="shared" ca="1" si="188"/>
        <v>70.192103588311568</v>
      </c>
    </row>
    <row r="440" spans="1:30">
      <c r="A440" s="118">
        <v>45188.5</v>
      </c>
      <c r="B440" s="101">
        <f t="shared" ca="1" si="162"/>
        <v>2317.3006785169014</v>
      </c>
      <c r="C440" s="102">
        <f t="shared" ca="1" si="163"/>
        <v>1.5703647902056623</v>
      </c>
      <c r="D440" s="102">
        <f t="shared" si="164"/>
        <v>1.6675683602597653</v>
      </c>
      <c r="E440" s="103">
        <f t="shared" si="165"/>
        <v>0.92770069906887376</v>
      </c>
      <c r="F440" s="101">
        <f t="shared" si="166"/>
        <v>15445.667942111857</v>
      </c>
      <c r="G440" s="104">
        <f t="shared" si="167"/>
        <v>1.5707315837223117</v>
      </c>
      <c r="H440" s="113">
        <f t="shared" si="168"/>
        <v>1930.7087476898134</v>
      </c>
      <c r="I440" s="114">
        <f t="shared" si="169"/>
        <v>1.5702783822598094</v>
      </c>
      <c r="J440" s="101">
        <f t="shared" si="170"/>
        <v>45.439440018029416</v>
      </c>
      <c r="K440" s="104">
        <f t="shared" si="171"/>
        <v>1.5487872365088264</v>
      </c>
      <c r="L440" s="102">
        <f t="shared" si="172"/>
        <v>1</v>
      </c>
      <c r="M440" s="103">
        <f t="shared" si="173"/>
        <v>1.4906205243775126E-9</v>
      </c>
      <c r="N440" s="101">
        <f t="shared" si="174"/>
        <v>1</v>
      </c>
      <c r="O440" s="104">
        <f t="shared" si="175"/>
        <v>2.38499283900402E-10</v>
      </c>
      <c r="P440" s="105">
        <f t="shared" ca="1" si="176"/>
        <v>2.7168482581531852</v>
      </c>
      <c r="Q440" s="106">
        <f t="shared" ca="1" si="177"/>
        <v>1.2735243643423997</v>
      </c>
      <c r="R440" s="107">
        <f t="shared" ca="1" si="178"/>
        <v>-50.553590882557145</v>
      </c>
      <c r="S440" s="108">
        <f t="shared" ca="1" si="179"/>
        <v>-198.55444995254592</v>
      </c>
      <c r="T440" s="116">
        <f t="shared" ca="1" si="180"/>
        <v>-18.554449952545923</v>
      </c>
      <c r="V440" s="72">
        <f t="shared" ca="1" si="181"/>
        <v>45188.5</v>
      </c>
      <c r="W440" s="72">
        <f t="shared" si="182"/>
        <v>2042000532.25</v>
      </c>
      <c r="Y440" s="110">
        <f t="shared" si="183"/>
        <v>12.871941647710825</v>
      </c>
      <c r="Z440" s="111">
        <f t="shared" si="184"/>
        <v>-88.764938576443825</v>
      </c>
      <c r="AA440" s="72">
        <f t="shared" si="185"/>
        <v>91.235061423556175</v>
      </c>
      <c r="AB440" s="110">
        <f t="shared" ca="1" si="186"/>
        <v>-47.507932183386473</v>
      </c>
      <c r="AC440" s="111">
        <f t="shared" ca="1" si="187"/>
        <v>-109.78951137610215</v>
      </c>
      <c r="AD440" s="72">
        <f t="shared" ca="1" si="188"/>
        <v>70.210488623897845</v>
      </c>
    </row>
    <row r="441" spans="1:30">
      <c r="A441" s="118">
        <v>45448.75</v>
      </c>
      <c r="B441" s="101">
        <f t="shared" ca="1" si="162"/>
        <v>2330.646494146944</v>
      </c>
      <c r="C441" s="102">
        <f t="shared" ca="1" si="163"/>
        <v>1.5703672612831623</v>
      </c>
      <c r="D441" s="102">
        <f t="shared" si="164"/>
        <v>1.6737249230384625</v>
      </c>
      <c r="E441" s="103">
        <f t="shared" si="165"/>
        <v>0.93045430179688604</v>
      </c>
      <c r="F441" s="101">
        <f t="shared" si="166"/>
        <v>15534.622766129771</v>
      </c>
      <c r="G441" s="104">
        <f t="shared" si="167"/>
        <v>1.5707319544560414</v>
      </c>
      <c r="H441" s="113">
        <f t="shared" si="168"/>
        <v>1941.8280992322889</v>
      </c>
      <c r="I441" s="114">
        <f t="shared" si="169"/>
        <v>1.5702813481288675</v>
      </c>
      <c r="J441" s="101">
        <f t="shared" si="170"/>
        <v>45.701008851951357</v>
      </c>
      <c r="K441" s="104">
        <f t="shared" si="171"/>
        <v>1.5489132252776503</v>
      </c>
      <c r="L441" s="102">
        <f t="shared" si="172"/>
        <v>1</v>
      </c>
      <c r="M441" s="103">
        <f t="shared" si="173"/>
        <v>1.4992053189927189E-9</v>
      </c>
      <c r="N441" s="101">
        <f t="shared" si="174"/>
        <v>1</v>
      </c>
      <c r="O441" s="104">
        <f t="shared" si="175"/>
        <v>2.3987285103883504E-10</v>
      </c>
      <c r="P441" s="105">
        <f t="shared" ca="1" si="176"/>
        <v>2.7304698166836001</v>
      </c>
      <c r="Q441" s="106">
        <f t="shared" ca="1" si="177"/>
        <v>1.2759552779222607</v>
      </c>
      <c r="R441" s="107">
        <f t="shared" ca="1" si="178"/>
        <v>-50.664758782311395</v>
      </c>
      <c r="S441" s="108">
        <f t="shared" ca="1" si="179"/>
        <v>-198.54317274256584</v>
      </c>
      <c r="T441" s="116">
        <f t="shared" ca="1" si="180"/>
        <v>-18.543172742565844</v>
      </c>
      <c r="V441" s="72">
        <f t="shared" ca="1" si="181"/>
        <v>45448.75</v>
      </c>
      <c r="W441" s="72">
        <f t="shared" si="182"/>
        <v>2065588876.5625</v>
      </c>
      <c r="Y441" s="110">
        <f t="shared" si="183"/>
        <v>12.822085302103844</v>
      </c>
      <c r="Z441" s="111">
        <f t="shared" si="184"/>
        <v>-88.772008510456786</v>
      </c>
      <c r="AA441" s="72">
        <f t="shared" si="185"/>
        <v>91.227991489543214</v>
      </c>
      <c r="AB441" s="110">
        <f t="shared" ca="1" si="186"/>
        <v>-47.569243737533739</v>
      </c>
      <c r="AC441" s="111">
        <f t="shared" ca="1" si="187"/>
        <v>-109.77116423210904</v>
      </c>
      <c r="AD441" s="72">
        <f t="shared" ca="1" si="188"/>
        <v>70.228835767890956</v>
      </c>
    </row>
    <row r="442" spans="1:30">
      <c r="A442" s="118">
        <v>45709</v>
      </c>
      <c r="B442" s="101">
        <f t="shared" ca="1" si="162"/>
        <v>2343.992309791056</v>
      </c>
      <c r="C442" s="102">
        <f t="shared" ca="1" si="163"/>
        <v>1.5703697042218798</v>
      </c>
      <c r="D442" s="102">
        <f t="shared" si="164"/>
        <v>1.6798940834732894</v>
      </c>
      <c r="E442" s="103">
        <f t="shared" si="165"/>
        <v>0.93318770073333812</v>
      </c>
      <c r="F442" s="101">
        <f t="shared" si="166"/>
        <v>15623.577590149795</v>
      </c>
      <c r="G442" s="104">
        <f t="shared" si="167"/>
        <v>1.5707323209681316</v>
      </c>
      <c r="H442" s="113">
        <f t="shared" si="168"/>
        <v>1952.9474507916507</v>
      </c>
      <c r="I442" s="114">
        <f t="shared" si="169"/>
        <v>1.5702842802248298</v>
      </c>
      <c r="J442" s="101">
        <f t="shared" si="170"/>
        <v>45.962578403036581</v>
      </c>
      <c r="K442" s="104">
        <f t="shared" si="171"/>
        <v>1.5490377800633581</v>
      </c>
      <c r="L442" s="102">
        <f t="shared" si="172"/>
        <v>1</v>
      </c>
      <c r="M442" s="103">
        <f t="shared" si="173"/>
        <v>1.5077901136079251E-9</v>
      </c>
      <c r="N442" s="101">
        <f t="shared" si="174"/>
        <v>1</v>
      </c>
      <c r="O442" s="104">
        <f t="shared" si="175"/>
        <v>2.4124641817726802E-10</v>
      </c>
      <c r="P442" s="105">
        <f t="shared" ca="1" si="176"/>
        <v>2.7441034451785233</v>
      </c>
      <c r="Q442" s="106">
        <f t="shared" ca="1" si="177"/>
        <v>1.2783667703627006</v>
      </c>
      <c r="R442" s="107">
        <f t="shared" ca="1" si="178"/>
        <v>-50.775231886875986</v>
      </c>
      <c r="S442" s="108">
        <f t="shared" ca="1" si="179"/>
        <v>-198.53185829500984</v>
      </c>
      <c r="T442" s="116">
        <f t="shared" ca="1" si="180"/>
        <v>-18.53185829500984</v>
      </c>
      <c r="V442" s="72">
        <f t="shared" ca="1" si="181"/>
        <v>45709</v>
      </c>
      <c r="W442" s="72">
        <f t="shared" si="182"/>
        <v>2089312681</v>
      </c>
      <c r="Y442" s="110">
        <f t="shared" si="183"/>
        <v>12.772513360216923</v>
      </c>
      <c r="Z442" s="111">
        <f t="shared" si="184"/>
        <v>-88.778997976462961</v>
      </c>
      <c r="AA442" s="72">
        <f t="shared" si="185"/>
        <v>91.221002023537039</v>
      </c>
      <c r="AB442" s="110">
        <f t="shared" ca="1" si="186"/>
        <v>-47.630144900211405</v>
      </c>
      <c r="AC442" s="111">
        <f t="shared" ca="1" si="187"/>
        <v>-109.75286031854688</v>
      </c>
      <c r="AD442" s="72">
        <f t="shared" ca="1" si="188"/>
        <v>70.24713968145312</v>
      </c>
    </row>
    <row r="443" spans="1:30">
      <c r="A443" s="118">
        <v>45975.25</v>
      </c>
      <c r="B443" s="101">
        <f t="shared" ca="1" si="162"/>
        <v>2357.6458099600059</v>
      </c>
      <c r="C443" s="102">
        <f t="shared" ca="1" si="163"/>
        <v>1.5703721748608954</v>
      </c>
      <c r="D443" s="102">
        <f t="shared" si="164"/>
        <v>1.6862183648605034</v>
      </c>
      <c r="E443" s="103">
        <f t="shared" si="165"/>
        <v>0.93596339855406296</v>
      </c>
      <c r="F443" s="101">
        <f t="shared" si="166"/>
        <v>15714.583245849661</v>
      </c>
      <c r="G443" s="104">
        <f t="shared" si="167"/>
        <v>1.5707326916360744</v>
      </c>
      <c r="H443" s="113">
        <f t="shared" si="168"/>
        <v>1964.3231562946294</v>
      </c>
      <c r="I443" s="114">
        <f t="shared" si="169"/>
        <v>1.57028724556761</v>
      </c>
      <c r="J443" s="101">
        <f t="shared" si="170"/>
        <v>46.23017910550962</v>
      </c>
      <c r="K443" s="104">
        <f t="shared" si="171"/>
        <v>1.5491637478528755</v>
      </c>
      <c r="L443" s="102">
        <f t="shared" si="172"/>
        <v>1</v>
      </c>
      <c r="M443" s="103">
        <f t="shared" si="173"/>
        <v>1.5165728285600815E-9</v>
      </c>
      <c r="N443" s="101">
        <f t="shared" si="174"/>
        <v>1</v>
      </c>
      <c r="O443" s="104">
        <f t="shared" si="175"/>
        <v>2.4265165256961299E-10</v>
      </c>
      <c r="P443" s="105">
        <f t="shared" ca="1" si="176"/>
        <v>2.7580637340144256</v>
      </c>
      <c r="Q443" s="106">
        <f t="shared" ca="1" si="177"/>
        <v>1.2808140432790369</v>
      </c>
      <c r="R443" s="107">
        <f t="shared" ca="1" si="178"/>
        <v>-50.887541409220034</v>
      </c>
      <c r="S443" s="108">
        <f t="shared" ca="1" si="179"/>
        <v>-198.52025124963023</v>
      </c>
      <c r="T443" s="116">
        <f t="shared" ca="1" si="180"/>
        <v>-18.520251249630235</v>
      </c>
      <c r="V443" s="72">
        <f t="shared" ca="1" si="181"/>
        <v>45975.25</v>
      </c>
      <c r="W443" s="72">
        <f t="shared" si="182"/>
        <v>2113723612.5625</v>
      </c>
      <c r="Y443" s="110">
        <f t="shared" si="183"/>
        <v>12.722089501423095</v>
      </c>
      <c r="Z443" s="111">
        <f t="shared" si="184"/>
        <v>-88.786066734824871</v>
      </c>
      <c r="AA443" s="72">
        <f t="shared" si="185"/>
        <v>91.213933265175129</v>
      </c>
      <c r="AB443" s="110">
        <f t="shared" ca="1" si="186"/>
        <v>-47.692030563761634</v>
      </c>
      <c r="AC443" s="111">
        <f t="shared" ca="1" si="187"/>
        <v>-109.73418451480538</v>
      </c>
      <c r="AD443" s="72">
        <f t="shared" ca="1" si="188"/>
        <v>70.265815485194622</v>
      </c>
    </row>
    <row r="444" spans="1:30">
      <c r="A444" s="118">
        <v>46241.5</v>
      </c>
      <c r="B444" s="101">
        <f t="shared" ca="1" si="162"/>
        <v>2371.2993101431807</v>
      </c>
      <c r="C444" s="102">
        <f t="shared" ca="1" si="163"/>
        <v>1.5703746170489516</v>
      </c>
      <c r="D444" s="102">
        <f t="shared" si="164"/>
        <v>1.6925555405703017</v>
      </c>
      <c r="E444" s="103">
        <f t="shared" si="165"/>
        <v>0.93871833223011092</v>
      </c>
      <c r="F444" s="101">
        <f t="shared" si="166"/>
        <v>15805.58890155166</v>
      </c>
      <c r="G444" s="104">
        <f t="shared" si="167"/>
        <v>1.5707330580355423</v>
      </c>
      <c r="H444" s="113">
        <f t="shared" si="168"/>
        <v>1975.6988618146815</v>
      </c>
      <c r="I444" s="114">
        <f t="shared" si="169"/>
        <v>1.5702901767626092</v>
      </c>
      <c r="J444" s="101">
        <f t="shared" si="170"/>
        <v>46.497780533114145</v>
      </c>
      <c r="K444" s="104">
        <f t="shared" si="171"/>
        <v>1.5492882657187868</v>
      </c>
      <c r="L444" s="102">
        <f t="shared" si="172"/>
        <v>1</v>
      </c>
      <c r="M444" s="103">
        <f t="shared" si="173"/>
        <v>1.5253555435122376E-9</v>
      </c>
      <c r="N444" s="101">
        <f t="shared" si="174"/>
        <v>1</v>
      </c>
      <c r="O444" s="104">
        <f t="shared" si="175"/>
        <v>2.4405688696195802E-10</v>
      </c>
      <c r="P444" s="105">
        <f t="shared" ca="1" si="176"/>
        <v>2.7720363538806962</v>
      </c>
      <c r="Q444" s="106">
        <f t="shared" ca="1" si="177"/>
        <v>1.2832415568327256</v>
      </c>
      <c r="R444" s="107">
        <f t="shared" ca="1" si="178"/>
        <v>-50.999140837985173</v>
      </c>
      <c r="S444" s="108">
        <f t="shared" ca="1" si="179"/>
        <v>-198.50861878135524</v>
      </c>
      <c r="T444" s="116">
        <f t="shared" ca="1" si="180"/>
        <v>-18.508618781355239</v>
      </c>
      <c r="V444" s="72">
        <f t="shared" ca="1" si="181"/>
        <v>46241.5</v>
      </c>
      <c r="W444" s="72">
        <f t="shared" si="182"/>
        <v>2138276322.25</v>
      </c>
      <c r="Y444" s="110">
        <f t="shared" si="183"/>
        <v>12.671956542200739</v>
      </c>
      <c r="Z444" s="111">
        <f t="shared" si="184"/>
        <v>-88.793054130641593</v>
      </c>
      <c r="AA444" s="72">
        <f t="shared" si="185"/>
        <v>91.206945869358407</v>
      </c>
      <c r="AB444" s="110">
        <f t="shared" ca="1" si="186"/>
        <v>-47.753497033304413</v>
      </c>
      <c r="AC444" s="111">
        <f t="shared" ca="1" si="187"/>
        <v>-109.71556465071367</v>
      </c>
      <c r="AD444" s="72">
        <f t="shared" ca="1" si="188"/>
        <v>70.284435349286326</v>
      </c>
    </row>
    <row r="445" spans="1:30">
      <c r="A445" s="118">
        <v>46507.75</v>
      </c>
      <c r="B445" s="101">
        <f t="shared" ca="1" si="162"/>
        <v>2384.9528103403372</v>
      </c>
      <c r="C445" s="102">
        <f t="shared" ca="1" si="163"/>
        <v>1.570377031274681</v>
      </c>
      <c r="D445" s="102">
        <f t="shared" si="164"/>
        <v>1.6989054663093388</v>
      </c>
      <c r="E445" s="103">
        <f t="shared" si="165"/>
        <v>0.9414526925363258</v>
      </c>
      <c r="F445" s="101">
        <f t="shared" si="166"/>
        <v>15896.594557255759</v>
      </c>
      <c r="G445" s="104">
        <f t="shared" si="167"/>
        <v>1.5707334202398444</v>
      </c>
      <c r="H445" s="113">
        <f t="shared" si="168"/>
        <v>1987.0745673515148</v>
      </c>
      <c r="I445" s="114">
        <f t="shared" si="169"/>
        <v>1.5702930743962997</v>
      </c>
      <c r="J445" s="101">
        <f t="shared" si="170"/>
        <v>46.76538267340208</v>
      </c>
      <c r="K445" s="104">
        <f t="shared" si="171"/>
        <v>1.5494113585475737</v>
      </c>
      <c r="L445" s="102">
        <f t="shared" si="172"/>
        <v>1</v>
      </c>
      <c r="M445" s="103">
        <f t="shared" si="173"/>
        <v>1.5341382584643939E-9</v>
      </c>
      <c r="N445" s="101">
        <f t="shared" si="174"/>
        <v>1</v>
      </c>
      <c r="O445" s="104">
        <f t="shared" si="175"/>
        <v>2.4546212135430299E-10</v>
      </c>
      <c r="P445" s="105">
        <f t="shared" ca="1" si="176"/>
        <v>2.7860211567313407</v>
      </c>
      <c r="Q445" s="106">
        <f t="shared" ca="1" si="177"/>
        <v>1.2856495904769936</v>
      </c>
      <c r="R445" s="107">
        <f t="shared" ca="1" si="178"/>
        <v>-51.110038613582944</v>
      </c>
      <c r="S445" s="108">
        <f t="shared" ca="1" si="179"/>
        <v>-198.49696739556688</v>
      </c>
      <c r="T445" s="116">
        <f t="shared" ca="1" si="180"/>
        <v>-18.496967395566884</v>
      </c>
      <c r="V445" s="72">
        <f t="shared" ca="1" si="181"/>
        <v>46507.75</v>
      </c>
      <c r="W445" s="72">
        <f t="shared" si="182"/>
        <v>2162970810.0625</v>
      </c>
      <c r="Y445" s="110">
        <f t="shared" si="183"/>
        <v>12.622111146880851</v>
      </c>
      <c r="Z445" s="111">
        <f t="shared" si="184"/>
        <v>-88.799961560401428</v>
      </c>
      <c r="AA445" s="72">
        <f t="shared" si="185"/>
        <v>91.200038439598572</v>
      </c>
      <c r="AB445" s="110">
        <f t="shared" ca="1" si="186"/>
        <v>-47.814549413582284</v>
      </c>
      <c r="AC445" s="111">
        <f t="shared" ca="1" si="187"/>
        <v>-109.6970058351654</v>
      </c>
      <c r="AD445" s="72">
        <f t="shared" ca="1" si="188"/>
        <v>70.302994164834601</v>
      </c>
    </row>
    <row r="446" spans="1:30">
      <c r="A446" s="118">
        <v>46774</v>
      </c>
      <c r="B446" s="101">
        <f t="shared" ca="1" si="162"/>
        <v>2398.6063105512353</v>
      </c>
      <c r="C446" s="102">
        <f t="shared" ca="1" si="163"/>
        <v>1.5703794180155901</v>
      </c>
      <c r="D446" s="102">
        <f t="shared" si="164"/>
        <v>1.7052679996453368</v>
      </c>
      <c r="E446" s="103">
        <f t="shared" si="165"/>
        <v>0.94416666863949339</v>
      </c>
      <c r="F446" s="101">
        <f t="shared" si="166"/>
        <v>15987.600212961919</v>
      </c>
      <c r="G446" s="104">
        <f t="shared" si="167"/>
        <v>1.5707337783206208</v>
      </c>
      <c r="H446" s="113">
        <f t="shared" si="168"/>
        <v>1998.450272904842</v>
      </c>
      <c r="I446" s="114">
        <f t="shared" si="169"/>
        <v>1.5702959390418014</v>
      </c>
      <c r="J446" s="101">
        <f t="shared" si="170"/>
        <v>47.032985514208619</v>
      </c>
      <c r="K446" s="104">
        <f t="shared" si="171"/>
        <v>1.5495330506595084</v>
      </c>
      <c r="L446" s="102">
        <f t="shared" si="172"/>
        <v>1</v>
      </c>
      <c r="M446" s="103">
        <f t="shared" si="173"/>
        <v>1.5429209734165501E-9</v>
      </c>
      <c r="N446" s="101">
        <f t="shared" si="174"/>
        <v>1</v>
      </c>
      <c r="O446" s="104">
        <f t="shared" si="175"/>
        <v>2.4686735574664802E-10</v>
      </c>
      <c r="P446" s="105">
        <f t="shared" ca="1" si="176"/>
        <v>2.8000179975330952</v>
      </c>
      <c r="Q446" s="106">
        <f t="shared" ca="1" si="177"/>
        <v>1.288038418705072</v>
      </c>
      <c r="R446" s="107">
        <f t="shared" ca="1" si="178"/>
        <v>-51.220243038417401</v>
      </c>
      <c r="S446" s="108">
        <f t="shared" ca="1" si="179"/>
        <v>-198.4853033731855</v>
      </c>
      <c r="T446" s="116">
        <f t="shared" ca="1" si="180"/>
        <v>-18.485303373185502</v>
      </c>
      <c r="V446" s="72">
        <f t="shared" ca="1" si="181"/>
        <v>46774</v>
      </c>
      <c r="W446" s="72">
        <f t="shared" si="182"/>
        <v>2187807076</v>
      </c>
      <c r="Y446" s="110">
        <f t="shared" si="183"/>
        <v>12.572550036815333</v>
      </c>
      <c r="Z446" s="111">
        <f t="shared" si="184"/>
        <v>-88.806790388820559</v>
      </c>
      <c r="AA446" s="72">
        <f t="shared" si="185"/>
        <v>91.193209611179441</v>
      </c>
      <c r="AB446" s="110">
        <f t="shared" ca="1" si="186"/>
        <v>-47.87519272835123</v>
      </c>
      <c r="AC446" s="111">
        <f t="shared" ca="1" si="187"/>
        <v>-109.67851298436489</v>
      </c>
      <c r="AD446" s="72">
        <f t="shared" ca="1" si="188"/>
        <v>70.321487015635114</v>
      </c>
    </row>
    <row r="447" spans="1:30">
      <c r="A447" s="118">
        <v>47046.25</v>
      </c>
      <c r="B447" s="101">
        <f t="shared" ca="1" si="162"/>
        <v>2412.5674952878962</v>
      </c>
      <c r="C447" s="102">
        <f t="shared" ca="1" si="163"/>
        <v>1.5703818306074997</v>
      </c>
      <c r="D447" s="102">
        <f t="shared" si="164"/>
        <v>1.7117868045199991</v>
      </c>
      <c r="E447" s="103">
        <f t="shared" si="165"/>
        <v>0.94692092173822828</v>
      </c>
      <c r="F447" s="101">
        <f t="shared" si="166"/>
        <v>16080.65670034806</v>
      </c>
      <c r="G447" s="104">
        <f t="shared" si="167"/>
        <v>1.570734140279801</v>
      </c>
      <c r="H447" s="113">
        <f t="shared" si="168"/>
        <v>2010.0823324028956</v>
      </c>
      <c r="I447" s="114">
        <f t="shared" si="169"/>
        <v>1.5702988347145328</v>
      </c>
      <c r="J447" s="101">
        <f t="shared" si="170"/>
        <v>47.306619553559287</v>
      </c>
      <c r="K447" s="104">
        <f t="shared" si="171"/>
        <v>1.549656061469282</v>
      </c>
      <c r="L447" s="102">
        <f t="shared" si="172"/>
        <v>1</v>
      </c>
      <c r="M447" s="103">
        <f t="shared" si="173"/>
        <v>1.5519016087056564E-9</v>
      </c>
      <c r="N447" s="101">
        <f t="shared" si="174"/>
        <v>1</v>
      </c>
      <c r="O447" s="104">
        <f t="shared" si="175"/>
        <v>2.4830425739290503E-10</v>
      </c>
      <c r="P447" s="105">
        <f t="shared" ca="1" si="176"/>
        <v>2.8143425600088481</v>
      </c>
      <c r="Q447" s="106">
        <f t="shared" ca="1" si="177"/>
        <v>1.2904615010760574</v>
      </c>
      <c r="R447" s="107">
        <f t="shared" ca="1" si="178"/>
        <v>-51.332222487213073</v>
      </c>
      <c r="S447" s="108">
        <f t="shared" ca="1" si="179"/>
        <v>-198.4733697482169</v>
      </c>
      <c r="T447" s="116">
        <f t="shared" ca="1" si="180"/>
        <v>-18.473369748216896</v>
      </c>
      <c r="V447" s="72">
        <f t="shared" ca="1" si="181"/>
        <v>47046.25</v>
      </c>
      <c r="W447" s="72">
        <f t="shared" si="182"/>
        <v>2213349639.0625</v>
      </c>
      <c r="Y447" s="110">
        <f t="shared" si="183"/>
        <v>12.522162666351665</v>
      </c>
      <c r="Z447" s="111">
        <f t="shared" si="184"/>
        <v>-88.813693217537732</v>
      </c>
      <c r="AA447" s="72">
        <f t="shared" si="185"/>
        <v>91.186306782462268</v>
      </c>
      <c r="AB447" s="110">
        <f t="shared" ca="1" si="186"/>
        <v>-47.936784806683228</v>
      </c>
      <c r="AC447" s="111">
        <f t="shared" ca="1" si="187"/>
        <v>-109.65967653067915</v>
      </c>
      <c r="AD447" s="72">
        <f t="shared" ca="1" si="188"/>
        <v>70.34032346932085</v>
      </c>
    </row>
    <row r="448" spans="1:30">
      <c r="A448" s="118">
        <v>47318.5</v>
      </c>
      <c r="B448" s="101">
        <f t="shared" ca="1" si="162"/>
        <v>2426.5286800384383</v>
      </c>
      <c r="C448" s="102">
        <f t="shared" ca="1" si="163"/>
        <v>1.5703842154374119</v>
      </c>
      <c r="D448" s="102">
        <f t="shared" si="164"/>
        <v>1.7183184962721281</v>
      </c>
      <c r="E448" s="103">
        <f t="shared" si="165"/>
        <v>0.94965425644452894</v>
      </c>
      <c r="F448" s="101">
        <f t="shared" si="166"/>
        <v>16173.713187736281</v>
      </c>
      <c r="G448" s="104">
        <f t="shared" si="167"/>
        <v>1.5707344980738707</v>
      </c>
      <c r="H448" s="113">
        <f t="shared" si="168"/>
        <v>2021.7143919176094</v>
      </c>
      <c r="I448" s="114">
        <f t="shared" si="169"/>
        <v>1.5703016970663977</v>
      </c>
      <c r="J448" s="101">
        <f t="shared" si="170"/>
        <v>47.580254300504151</v>
      </c>
      <c r="K448" s="104">
        <f t="shared" si="171"/>
        <v>1.5497776574069015</v>
      </c>
      <c r="L448" s="102">
        <f t="shared" si="172"/>
        <v>1</v>
      </c>
      <c r="M448" s="103">
        <f t="shared" si="173"/>
        <v>1.5608822439947626E-9</v>
      </c>
      <c r="N448" s="101">
        <f t="shared" si="174"/>
        <v>1</v>
      </c>
      <c r="O448" s="104">
        <f t="shared" si="175"/>
        <v>2.49741159039162E-10</v>
      </c>
      <c r="P448" s="105">
        <f t="shared" ca="1" si="176"/>
        <v>2.8286794117474474</v>
      </c>
      <c r="Q448" s="106">
        <f t="shared" ca="1" si="177"/>
        <v>1.2928650677201183</v>
      </c>
      <c r="R448" s="107">
        <f t="shared" ca="1" si="178"/>
        <v>-51.443494111078294</v>
      </c>
      <c r="S448" s="108">
        <f t="shared" ca="1" si="179"/>
        <v>-198.46143550371568</v>
      </c>
      <c r="T448" s="116">
        <f t="shared" ca="1" si="180"/>
        <v>-18.461435503715677</v>
      </c>
      <c r="V448" s="72">
        <f t="shared" ca="1" si="181"/>
        <v>47318.5</v>
      </c>
      <c r="W448" s="72">
        <f t="shared" si="182"/>
        <v>2239040442.25</v>
      </c>
      <c r="Y448" s="110">
        <f t="shared" si="183"/>
        <v>12.472065781899675</v>
      </c>
      <c r="Z448" s="111">
        <f t="shared" si="184"/>
        <v>-88.820516650553643</v>
      </c>
      <c r="AA448" s="72">
        <f t="shared" si="185"/>
        <v>91.179483349446357</v>
      </c>
      <c r="AB448" s="110">
        <f t="shared" ca="1" si="186"/>
        <v>-47.997959546096467</v>
      </c>
      <c r="AC448" s="111">
        <f t="shared" ca="1" si="187"/>
        <v>-109.64091885316199</v>
      </c>
      <c r="AD448" s="72">
        <f t="shared" ca="1" si="188"/>
        <v>70.359081146838008</v>
      </c>
    </row>
    <row r="449" spans="1:30">
      <c r="A449" s="118">
        <v>47590.75</v>
      </c>
      <c r="B449" s="101">
        <f t="shared" ca="1" si="162"/>
        <v>2440.4898648026228</v>
      </c>
      <c r="C449" s="102">
        <f t="shared" ca="1" si="163"/>
        <v>1.5703865729817768</v>
      </c>
      <c r="D449" s="102">
        <f t="shared" si="164"/>
        <v>1.7248629285020767</v>
      </c>
      <c r="E449" s="103">
        <f t="shared" si="165"/>
        <v>0.95236686978745999</v>
      </c>
      <c r="F449" s="101">
        <f t="shared" si="166"/>
        <v>16266.769675126552</v>
      </c>
      <c r="G449" s="104">
        <f t="shared" si="167"/>
        <v>1.5707348517743116</v>
      </c>
      <c r="H449" s="113">
        <f t="shared" si="168"/>
        <v>2033.346451448698</v>
      </c>
      <c r="I449" s="114">
        <f t="shared" si="169"/>
        <v>1.5703045266692472</v>
      </c>
      <c r="J449" s="101">
        <f t="shared" si="170"/>
        <v>47.853889742904883</v>
      </c>
      <c r="K449" s="104">
        <f t="shared" si="171"/>
        <v>1.549897862740069</v>
      </c>
      <c r="L449" s="102">
        <f t="shared" si="172"/>
        <v>1</v>
      </c>
      <c r="M449" s="103">
        <f t="shared" si="173"/>
        <v>1.569862879283869E-9</v>
      </c>
      <c r="N449" s="101">
        <f t="shared" si="174"/>
        <v>1</v>
      </c>
      <c r="O449" s="104">
        <f t="shared" si="175"/>
        <v>2.5117806068541902E-10</v>
      </c>
      <c r="P449" s="105">
        <f t="shared" ca="1" si="176"/>
        <v>2.8430284070184566</v>
      </c>
      <c r="Q449" s="106">
        <f t="shared" ca="1" si="177"/>
        <v>1.2952493966763385</v>
      </c>
      <c r="R449" s="107">
        <f t="shared" ca="1" si="178"/>
        <v>-51.554066356779622</v>
      </c>
      <c r="S449" s="108">
        <f t="shared" ca="1" si="179"/>
        <v>-198.44950667028027</v>
      </c>
      <c r="T449" s="116">
        <f t="shared" ca="1" si="180"/>
        <v>-18.449506670280272</v>
      </c>
      <c r="V449" s="72">
        <f t="shared" ca="1" si="181"/>
        <v>47590.75</v>
      </c>
      <c r="W449" s="72">
        <f t="shared" si="182"/>
        <v>2264879485.5625</v>
      </c>
      <c r="Y449" s="110">
        <f t="shared" si="183"/>
        <v>12.422256054776868</v>
      </c>
      <c r="Z449" s="111">
        <f t="shared" si="184"/>
        <v>-88.827262049636104</v>
      </c>
      <c r="AA449" s="72">
        <f t="shared" si="185"/>
        <v>91.172737950363896</v>
      </c>
      <c r="AB449" s="110">
        <f t="shared" ca="1" si="186"/>
        <v>-48.058722064674981</v>
      </c>
      <c r="AC449" s="111">
        <f t="shared" ca="1" si="187"/>
        <v>-109.62224462064422</v>
      </c>
      <c r="AD449" s="72">
        <f t="shared" ca="1" si="188"/>
        <v>70.377755379355776</v>
      </c>
    </row>
    <row r="450" spans="1:30">
      <c r="A450" s="118">
        <v>47863</v>
      </c>
      <c r="B450" s="101">
        <f t="shared" ca="1" si="162"/>
        <v>2454.4510495802174</v>
      </c>
      <c r="C450" s="102">
        <f t="shared" ca="1" si="163"/>
        <v>1.5703889037062038</v>
      </c>
      <c r="D450" s="102">
        <f t="shared" si="164"/>
        <v>1.7314199567402326</v>
      </c>
      <c r="E450" s="103">
        <f t="shared" si="165"/>
        <v>0.95505895703992905</v>
      </c>
      <c r="F450" s="101">
        <f t="shared" si="166"/>
        <v>16359.826162518833</v>
      </c>
      <c r="G450" s="104">
        <f t="shared" si="167"/>
        <v>1.5707352014509786</v>
      </c>
      <c r="H450" s="113">
        <f t="shared" si="168"/>
        <v>2044.9785109958816</v>
      </c>
      <c r="I450" s="114">
        <f t="shared" si="169"/>
        <v>1.570307324081921</v>
      </c>
      <c r="J450" s="101">
        <f t="shared" si="170"/>
        <v>48.12752586889912</v>
      </c>
      <c r="K450" s="104">
        <f t="shared" si="171"/>
        <v>1.550016701184739</v>
      </c>
      <c r="L450" s="102">
        <f t="shared" si="172"/>
        <v>1</v>
      </c>
      <c r="M450" s="103">
        <f t="shared" si="173"/>
        <v>1.5788435145729752E-9</v>
      </c>
      <c r="N450" s="101">
        <f t="shared" si="174"/>
        <v>1</v>
      </c>
      <c r="O450" s="104">
        <f t="shared" si="175"/>
        <v>2.5261496233167603E-10</v>
      </c>
      <c r="P450" s="105">
        <f t="shared" ca="1" si="176"/>
        <v>2.8573894030933529</v>
      </c>
      <c r="Q450" s="106">
        <f t="shared" ca="1" si="177"/>
        <v>1.297614760995752</v>
      </c>
      <c r="R450" s="107">
        <f t="shared" ca="1" si="178"/>
        <v>-51.663947532099485</v>
      </c>
      <c r="S450" s="108">
        <f t="shared" ca="1" si="179"/>
        <v>-198.43758906175401</v>
      </c>
      <c r="T450" s="116">
        <f t="shared" ca="1" si="180"/>
        <v>-18.437589061754011</v>
      </c>
      <c r="V450" s="72">
        <f t="shared" ca="1" si="181"/>
        <v>47863</v>
      </c>
      <c r="W450" s="72">
        <f t="shared" si="182"/>
        <v>2290866769</v>
      </c>
      <c r="Y450" s="110">
        <f t="shared" si="183"/>
        <v>12.372730213165292</v>
      </c>
      <c r="Z450" s="111">
        <f t="shared" si="184"/>
        <v>-88.833930745592426</v>
      </c>
      <c r="AA450" s="72">
        <f t="shared" si="185"/>
        <v>91.166069254407574</v>
      </c>
      <c r="AB450" s="110">
        <f t="shared" ca="1" si="186"/>
        <v>-48.119077398383268</v>
      </c>
      <c r="AC450" s="111">
        <f t="shared" ca="1" si="187"/>
        <v>-109.60365831616163</v>
      </c>
      <c r="AD450" s="72">
        <f t="shared" ca="1" si="188"/>
        <v>70.396341683838372</v>
      </c>
    </row>
    <row r="451" spans="1:30">
      <c r="A451" s="118">
        <v>48141.75</v>
      </c>
      <c r="B451" s="101">
        <f t="shared" ca="1" si="162"/>
        <v>2468.7455592605575</v>
      </c>
      <c r="C451" s="102">
        <f t="shared" ca="1" si="163"/>
        <v>1.5703912627640593</v>
      </c>
      <c r="D451" s="102">
        <f t="shared" si="164"/>
        <v>1.7381464365996642</v>
      </c>
      <c r="E451" s="103">
        <f t="shared" si="165"/>
        <v>0.95779425323917378</v>
      </c>
      <c r="F451" s="101">
        <f t="shared" si="166"/>
        <v>16455.104384231072</v>
      </c>
      <c r="G451" s="104">
        <f t="shared" si="167"/>
        <v>1.5707355553784859</v>
      </c>
      <c r="H451" s="113">
        <f t="shared" si="168"/>
        <v>2056.888287316322</v>
      </c>
      <c r="I451" s="114">
        <f t="shared" si="169"/>
        <v>1.5703101555013168</v>
      </c>
      <c r="J451" s="101">
        <f t="shared" si="170"/>
        <v>48.407695784973676</v>
      </c>
      <c r="K451" s="104">
        <f t="shared" si="171"/>
        <v>1.5501369848853115</v>
      </c>
      <c r="L451" s="102">
        <f t="shared" si="172"/>
        <v>1</v>
      </c>
      <c r="M451" s="103">
        <f t="shared" si="173"/>
        <v>1.5880385635604439E-9</v>
      </c>
      <c r="N451" s="101">
        <f t="shared" si="174"/>
        <v>1</v>
      </c>
      <c r="O451" s="104">
        <f t="shared" si="175"/>
        <v>2.5408617016967103E-10</v>
      </c>
      <c r="P451" s="105">
        <f t="shared" ca="1" si="176"/>
        <v>2.8721055576263894</v>
      </c>
      <c r="Q451" s="106">
        <f t="shared" ca="1" si="177"/>
        <v>1.3000172294717596</v>
      </c>
      <c r="R451" s="107">
        <f t="shared" ca="1" si="178"/>
        <v>-51.775744649819771</v>
      </c>
      <c r="S451" s="108">
        <f t="shared" ca="1" si="179"/>
        <v>-198.42540440006795</v>
      </c>
      <c r="T451" s="116">
        <f t="shared" ca="1" si="180"/>
        <v>-18.425404400067947</v>
      </c>
      <c r="V451" s="72">
        <f t="shared" ca="1" si="181"/>
        <v>48141.75</v>
      </c>
      <c r="W451" s="72">
        <f t="shared" si="182"/>
        <v>2317628093.0625</v>
      </c>
      <c r="Y451" s="110">
        <f t="shared" si="183"/>
        <v>12.322312711001315</v>
      </c>
      <c r="Z451" s="111">
        <f t="shared" si="184"/>
        <v>-88.840680543715635</v>
      </c>
      <c r="AA451" s="72">
        <f t="shared" si="185"/>
        <v>91.159319456284365</v>
      </c>
      <c r="AB451" s="110">
        <f t="shared" ca="1" si="186"/>
        <v>-48.180457013939588</v>
      </c>
      <c r="AC451" s="111">
        <f t="shared" ca="1" si="187"/>
        <v>-109.58472385635228</v>
      </c>
      <c r="AD451" s="72">
        <f t="shared" ca="1" si="188"/>
        <v>70.415276143647716</v>
      </c>
    </row>
    <row r="452" spans="1:30">
      <c r="A452" s="118">
        <v>48420.5</v>
      </c>
      <c r="B452" s="101">
        <f t="shared" ca="1" si="162"/>
        <v>2483.0400689544776</v>
      </c>
      <c r="C452" s="102">
        <f t="shared" ca="1" si="163"/>
        <v>1.5703935946603913</v>
      </c>
      <c r="D452" s="102">
        <f t="shared" si="164"/>
        <v>1.7448858206811304</v>
      </c>
      <c r="E452" s="103">
        <f t="shared" si="165"/>
        <v>0.96050844019630088</v>
      </c>
      <c r="F452" s="101">
        <f t="shared" si="166"/>
        <v>16550.382605945346</v>
      </c>
      <c r="G452" s="104">
        <f t="shared" si="167"/>
        <v>1.5707359052309715</v>
      </c>
      <c r="H452" s="113">
        <f t="shared" si="168"/>
        <v>2068.7980636530624</v>
      </c>
      <c r="I452" s="114">
        <f t="shared" si="169"/>
        <v>1.5703129543205547</v>
      </c>
      <c r="J452" s="101">
        <f t="shared" si="170"/>
        <v>48.68786639335849</v>
      </c>
      <c r="K452" s="104">
        <f t="shared" si="171"/>
        <v>1.5502558842608525</v>
      </c>
      <c r="L452" s="102">
        <f t="shared" si="172"/>
        <v>1</v>
      </c>
      <c r="M452" s="103">
        <f t="shared" si="173"/>
        <v>1.5972336125479126E-9</v>
      </c>
      <c r="N452" s="101">
        <f t="shared" si="174"/>
        <v>1</v>
      </c>
      <c r="O452" s="104">
        <f t="shared" si="175"/>
        <v>2.5555737800766602E-10</v>
      </c>
      <c r="P452" s="105">
        <f t="shared" ca="1" si="176"/>
        <v>2.8868339993690206</v>
      </c>
      <c r="Q452" s="106">
        <f t="shared" ca="1" si="177"/>
        <v>1.302400380682204</v>
      </c>
      <c r="R452" s="107">
        <f t="shared" ca="1" si="178"/>
        <v>-51.886834496531755</v>
      </c>
      <c r="S452" s="108">
        <f t="shared" ca="1" si="179"/>
        <v>-198.41324317322287</v>
      </c>
      <c r="T452" s="116">
        <f t="shared" ca="1" si="180"/>
        <v>-18.413243173222867</v>
      </c>
      <c r="V452" s="72">
        <f t="shared" ca="1" si="181"/>
        <v>48420.5</v>
      </c>
      <c r="W452" s="72">
        <f t="shared" si="182"/>
        <v>2344544820.25</v>
      </c>
      <c r="Y452" s="110">
        <f t="shared" si="183"/>
        <v>12.272186047188789</v>
      </c>
      <c r="Z452" s="111">
        <f t="shared" si="184"/>
        <v>-88.847352660226875</v>
      </c>
      <c r="AA452" s="72">
        <f t="shared" si="185"/>
        <v>91.152647339773125</v>
      </c>
      <c r="AB452" s="110">
        <f t="shared" ca="1" si="186"/>
        <v>-48.241420196839044</v>
      </c>
      <c r="AC452" s="111">
        <f t="shared" ca="1" si="187"/>
        <v>-109.56589051299599</v>
      </c>
      <c r="AD452" s="72">
        <f t="shared" ca="1" si="188"/>
        <v>70.434109487004008</v>
      </c>
    </row>
    <row r="453" spans="1:30">
      <c r="A453" s="118">
        <v>48699.25</v>
      </c>
      <c r="B453" s="101">
        <f t="shared" ca="1" si="162"/>
        <v>2497.3345786617456</v>
      </c>
      <c r="C453" s="102">
        <f t="shared" ca="1" si="163"/>
        <v>1.5703958998616103</v>
      </c>
      <c r="D453" s="102">
        <f t="shared" si="164"/>
        <v>1.7516379600386038</v>
      </c>
      <c r="E453" s="103">
        <f t="shared" si="165"/>
        <v>0.96320172180273911</v>
      </c>
      <c r="F453" s="101">
        <f t="shared" si="166"/>
        <v>16645.660827661617</v>
      </c>
      <c r="G453" s="104">
        <f t="shared" si="167"/>
        <v>1.5707362510784109</v>
      </c>
      <c r="H453" s="113">
        <f t="shared" si="168"/>
        <v>2080.7078400058226</v>
      </c>
      <c r="I453" s="114">
        <f t="shared" si="169"/>
        <v>1.5703157210994356</v>
      </c>
      <c r="J453" s="101">
        <f t="shared" si="170"/>
        <v>48.968037682170412</v>
      </c>
      <c r="K453" s="104">
        <f t="shared" si="171"/>
        <v>1.5503734230692741</v>
      </c>
      <c r="L453" s="102">
        <f t="shared" si="172"/>
        <v>1</v>
      </c>
      <c r="M453" s="103">
        <f t="shared" si="173"/>
        <v>1.6064286615353815E-9</v>
      </c>
      <c r="N453" s="101">
        <f t="shared" si="174"/>
        <v>1</v>
      </c>
      <c r="O453" s="104">
        <f t="shared" si="175"/>
        <v>2.5702858584566101E-10</v>
      </c>
      <c r="P453" s="105">
        <f t="shared" ca="1" si="176"/>
        <v>2.9015745844593468</v>
      </c>
      <c r="Q453" s="106">
        <f t="shared" ca="1" si="177"/>
        <v>1.304764492125126</v>
      </c>
      <c r="R453" s="107">
        <f t="shared" ca="1" si="178"/>
        <v>-51.997225554813127</v>
      </c>
      <c r="S453" s="108">
        <f t="shared" ca="1" si="179"/>
        <v>-198.40111095845359</v>
      </c>
      <c r="T453" s="116">
        <f t="shared" ca="1" si="180"/>
        <v>-18.401110958453586</v>
      </c>
      <c r="V453" s="72">
        <f t="shared" ca="1" si="181"/>
        <v>48699.25</v>
      </c>
      <c r="W453" s="72">
        <f t="shared" si="182"/>
        <v>2371616950.5625</v>
      </c>
      <c r="Y453" s="110">
        <f t="shared" si="183"/>
        <v>12.222346886905214</v>
      </c>
      <c r="Z453" s="111">
        <f t="shared" si="184"/>
        <v>-88.853948428289328</v>
      </c>
      <c r="AA453" s="72">
        <f t="shared" si="185"/>
        <v>91.146051571710672</v>
      </c>
      <c r="AB453" s="110">
        <f t="shared" ca="1" si="186"/>
        <v>-48.301972094836827</v>
      </c>
      <c r="AC453" s="111">
        <f t="shared" ca="1" si="187"/>
        <v>-109.54716253016427</v>
      </c>
      <c r="AD453" s="72">
        <f t="shared" ca="1" si="188"/>
        <v>70.452837469835728</v>
      </c>
    </row>
    <row r="454" spans="1:30">
      <c r="A454" s="118">
        <v>48978</v>
      </c>
      <c r="B454" s="101">
        <f t="shared" ca="1" si="162"/>
        <v>2511.6290883821334</v>
      </c>
      <c r="C454" s="102">
        <f t="shared" ca="1" si="163"/>
        <v>1.570398178823508</v>
      </c>
      <c r="D454" s="102">
        <f t="shared" si="164"/>
        <v>1.7584027077340763</v>
      </c>
      <c r="E454" s="103">
        <f t="shared" si="165"/>
        <v>0.96587430003438857</v>
      </c>
      <c r="F454" s="101">
        <f t="shared" si="166"/>
        <v>16740.939049379864</v>
      </c>
      <c r="G454" s="104">
        <f t="shared" si="167"/>
        <v>1.5707365929891857</v>
      </c>
      <c r="H454" s="113">
        <f t="shared" si="168"/>
        <v>2092.6176163743294</v>
      </c>
      <c r="I454" s="114">
        <f t="shared" si="169"/>
        <v>1.5703184563850161</v>
      </c>
      <c r="J454" s="101">
        <f t="shared" si="170"/>
        <v>49.248209639796649</v>
      </c>
      <c r="K454" s="104">
        <f t="shared" si="171"/>
        <v>1.5504896245280075</v>
      </c>
      <c r="L454" s="102">
        <f t="shared" si="172"/>
        <v>1</v>
      </c>
      <c r="M454" s="103">
        <f t="shared" si="173"/>
        <v>1.6156237105228501E-9</v>
      </c>
      <c r="N454" s="101">
        <f t="shared" si="174"/>
        <v>1</v>
      </c>
      <c r="O454" s="104">
        <f t="shared" si="175"/>
        <v>2.58499793683656E-10</v>
      </c>
      <c r="P454" s="105">
        <f t="shared" ca="1" si="176"/>
        <v>2.9163271720396002</v>
      </c>
      <c r="Q454" s="106">
        <f t="shared" ca="1" si="177"/>
        <v>1.3071098362627325</v>
      </c>
      <c r="R454" s="107">
        <f t="shared" ca="1" si="178"/>
        <v>-52.106926166624952</v>
      </c>
      <c r="S454" s="108">
        <f t="shared" ca="1" si="179"/>
        <v>-198.38901312327775</v>
      </c>
      <c r="T454" s="116">
        <f t="shared" ca="1" si="180"/>
        <v>-18.389013123277749</v>
      </c>
      <c r="V454" s="72">
        <f t="shared" ca="1" si="181"/>
        <v>48978</v>
      </c>
      <c r="W454" s="72">
        <f t="shared" si="182"/>
        <v>2398844484</v>
      </c>
      <c r="Y454" s="110">
        <f t="shared" si="183"/>
        <v>12.172791952334368</v>
      </c>
      <c r="Z454" s="111">
        <f t="shared" si="184"/>
        <v>-88.860469150737785</v>
      </c>
      <c r="AA454" s="72">
        <f t="shared" si="185"/>
        <v>91.139530849262215</v>
      </c>
      <c r="AB454" s="110">
        <f t="shared" ca="1" si="186"/>
        <v>-48.362117772077823</v>
      </c>
      <c r="AC454" s="111">
        <f t="shared" ca="1" si="187"/>
        <v>-109.52854397253995</v>
      </c>
      <c r="AD454" s="72">
        <f t="shared" ca="1" si="188"/>
        <v>70.47145602746005</v>
      </c>
    </row>
    <row r="455" spans="1:30">
      <c r="A455" s="118">
        <v>49263.25</v>
      </c>
      <c r="B455" s="101">
        <f t="shared" ca="1" si="162"/>
        <v>2526.2569230062113</v>
      </c>
      <c r="C455" s="102">
        <f t="shared" ca="1" si="163"/>
        <v>1.5704004842275756</v>
      </c>
      <c r="D455" s="102">
        <f t="shared" si="164"/>
        <v>1.7653380999780834</v>
      </c>
      <c r="E455" s="103">
        <f t="shared" si="165"/>
        <v>0.96858797403476093</v>
      </c>
      <c r="F455" s="101">
        <f t="shared" si="166"/>
        <v>16838.439005418208</v>
      </c>
      <c r="G455" s="104">
        <f t="shared" si="167"/>
        <v>1.5707369388670569</v>
      </c>
      <c r="H455" s="113">
        <f t="shared" si="168"/>
        <v>2104.8051095172286</v>
      </c>
      <c r="I455" s="114">
        <f t="shared" si="169"/>
        <v>1.5703212234073674</v>
      </c>
      <c r="J455" s="101">
        <f t="shared" si="170"/>
        <v>49.534915435728969</v>
      </c>
      <c r="K455" s="104">
        <f t="shared" si="171"/>
        <v>1.5506071747982355</v>
      </c>
      <c r="L455" s="102">
        <f t="shared" si="172"/>
        <v>1</v>
      </c>
      <c r="M455" s="103">
        <f t="shared" si="173"/>
        <v>1.6250331732086813E-9</v>
      </c>
      <c r="N455" s="101">
        <f t="shared" si="174"/>
        <v>1</v>
      </c>
      <c r="O455" s="104">
        <f t="shared" si="175"/>
        <v>2.6000530771338902E-10</v>
      </c>
      <c r="P455" s="105">
        <f t="shared" ca="1" si="176"/>
        <v>2.9314360478400938</v>
      </c>
      <c r="Q455" s="106">
        <f t="shared" ca="1" si="177"/>
        <v>1.309490720283367</v>
      </c>
      <c r="R455" s="107">
        <f t="shared" ca="1" si="178"/>
        <v>-52.218478593896165</v>
      </c>
      <c r="S455" s="108">
        <f t="shared" ca="1" si="179"/>
        <v>-198.37667416443509</v>
      </c>
      <c r="T455" s="116">
        <f t="shared" ca="1" si="180"/>
        <v>-18.376674164435087</v>
      </c>
      <c r="V455" s="72">
        <f t="shared" ca="1" si="181"/>
        <v>49263.25</v>
      </c>
      <c r="W455" s="72">
        <f t="shared" si="182"/>
        <v>2426867800.5625</v>
      </c>
      <c r="Y455" s="110">
        <f t="shared" si="183"/>
        <v>12.122372359928178</v>
      </c>
      <c r="Z455" s="111">
        <f t="shared" si="184"/>
        <v>-88.867065563296833</v>
      </c>
      <c r="AA455" s="72">
        <f t="shared" si="185"/>
        <v>91.132934436703167</v>
      </c>
      <c r="AB455" s="110">
        <f t="shared" ca="1" si="186"/>
        <v>-48.423250606942844</v>
      </c>
      <c r="AC455" s="111">
        <f t="shared" ca="1" si="187"/>
        <v>-109.50960860113824</v>
      </c>
      <c r="AD455" s="72">
        <f t="shared" ca="1" si="188"/>
        <v>70.49039139886176</v>
      </c>
    </row>
    <row r="456" spans="1:30">
      <c r="A456" s="118">
        <v>49548.5</v>
      </c>
      <c r="B456" s="101">
        <f t="shared" ca="1" si="162"/>
        <v>2540.8847576435619</v>
      </c>
      <c r="C456" s="102">
        <f t="shared" ca="1" si="163"/>
        <v>1.5704027630872917</v>
      </c>
      <c r="D456" s="102">
        <f t="shared" si="164"/>
        <v>1.7722863904188269</v>
      </c>
      <c r="E456" s="103">
        <f t="shared" si="165"/>
        <v>0.97128038968753616</v>
      </c>
      <c r="F456" s="101">
        <f t="shared" si="166"/>
        <v>16935.938961458538</v>
      </c>
      <c r="G456" s="104">
        <f t="shared" si="167"/>
        <v>1.5707372807625002</v>
      </c>
      <c r="H456" s="113">
        <f t="shared" si="168"/>
        <v>2116.9926026760568</v>
      </c>
      <c r="I456" s="114">
        <f t="shared" si="169"/>
        <v>1.5703239585703102</v>
      </c>
      <c r="J456" s="101">
        <f t="shared" si="170"/>
        <v>49.821621908260177</v>
      </c>
      <c r="K456" s="104">
        <f t="shared" si="171"/>
        <v>1.5507233721464826</v>
      </c>
      <c r="L456" s="102">
        <f t="shared" si="172"/>
        <v>1</v>
      </c>
      <c r="M456" s="103">
        <f t="shared" si="173"/>
        <v>1.6344426358945127E-9</v>
      </c>
      <c r="N456" s="101">
        <f t="shared" si="174"/>
        <v>1</v>
      </c>
      <c r="O456" s="104">
        <f t="shared" si="175"/>
        <v>2.6151082174312204E-10</v>
      </c>
      <c r="P456" s="105">
        <f t="shared" ca="1" si="176"/>
        <v>2.9465572033035201</v>
      </c>
      <c r="Q456" s="106">
        <f t="shared" ca="1" si="177"/>
        <v>1.3118525131407164</v>
      </c>
      <c r="R456" s="107">
        <f t="shared" ca="1" si="178"/>
        <v>-52.329325235240781</v>
      </c>
      <c r="S456" s="108">
        <f t="shared" ca="1" si="179"/>
        <v>-198.36438193574151</v>
      </c>
      <c r="T456" s="116">
        <f t="shared" ca="1" si="180"/>
        <v>-18.364381935741505</v>
      </c>
      <c r="V456" s="72">
        <f t="shared" ca="1" si="181"/>
        <v>49548.5</v>
      </c>
      <c r="W456" s="72">
        <f t="shared" si="182"/>
        <v>2455053852.25</v>
      </c>
      <c r="Y456" s="110">
        <f t="shared" si="183"/>
        <v>12.072243635476813</v>
      </c>
      <c r="Z456" s="111">
        <f t="shared" si="184"/>
        <v>-88.873586056369632</v>
      </c>
      <c r="AA456" s="72">
        <f t="shared" si="185"/>
        <v>91.126413943630368</v>
      </c>
      <c r="AB456" s="110">
        <f t="shared" ca="1" si="186"/>
        <v>-48.48396852383609</v>
      </c>
      <c r="AC456" s="111">
        <f t="shared" ca="1" si="187"/>
        <v>-109.49079587937186</v>
      </c>
      <c r="AD456" s="72">
        <f t="shared" ca="1" si="188"/>
        <v>70.509204120628141</v>
      </c>
    </row>
    <row r="457" spans="1:30">
      <c r="A457" s="118">
        <v>49833.75</v>
      </c>
      <c r="B457" s="101">
        <f t="shared" ca="1" si="162"/>
        <v>2555.5125922939565</v>
      </c>
      <c r="C457" s="102">
        <f t="shared" ca="1" si="163"/>
        <v>1.5704050158584777</v>
      </c>
      <c r="D457" s="102">
        <f t="shared" si="164"/>
        <v>1.779247427946778</v>
      </c>
      <c r="E457" s="103">
        <f t="shared" si="165"/>
        <v>0.9739517572380697</v>
      </c>
      <c r="F457" s="101">
        <f t="shared" si="166"/>
        <v>17033.438917500825</v>
      </c>
      <c r="G457" s="104">
        <f t="shared" si="167"/>
        <v>1.5707376187439024</v>
      </c>
      <c r="H457" s="113">
        <f t="shared" si="168"/>
        <v>2129.1800958505414</v>
      </c>
      <c r="I457" s="114">
        <f t="shared" si="169"/>
        <v>1.5703266624209373</v>
      </c>
      <c r="J457" s="101">
        <f t="shared" si="170"/>
        <v>50.108329045776308</v>
      </c>
      <c r="K457" s="104">
        <f t="shared" si="171"/>
        <v>1.5508382397928115</v>
      </c>
      <c r="L457" s="102">
        <f t="shared" si="172"/>
        <v>1</v>
      </c>
      <c r="M457" s="103">
        <f t="shared" si="173"/>
        <v>1.6438520985803439E-9</v>
      </c>
      <c r="N457" s="101">
        <f t="shared" si="174"/>
        <v>1</v>
      </c>
      <c r="O457" s="104">
        <f t="shared" si="175"/>
        <v>2.6301633577285501E-10</v>
      </c>
      <c r="P457" s="105">
        <f t="shared" ca="1" si="176"/>
        <v>2.9616904968073006</v>
      </c>
      <c r="Q457" s="106">
        <f t="shared" ca="1" si="177"/>
        <v>1.3141954911151454</v>
      </c>
      <c r="R457" s="107">
        <f t="shared" ca="1" si="178"/>
        <v>-52.439474591201019</v>
      </c>
      <c r="S457" s="108">
        <f t="shared" ca="1" si="179"/>
        <v>-198.35214154982467</v>
      </c>
      <c r="T457" s="116">
        <f t="shared" ca="1" si="180"/>
        <v>-18.352141549824665</v>
      </c>
      <c r="V457" s="72">
        <f t="shared" ca="1" si="181"/>
        <v>49833.75</v>
      </c>
      <c r="W457" s="72">
        <f t="shared" si="182"/>
        <v>2483402639.0625</v>
      </c>
      <c r="Y457" s="110">
        <f t="shared" si="183"/>
        <v>12.022402443555153</v>
      </c>
      <c r="Z457" s="111">
        <f t="shared" si="184"/>
        <v>-88.880031932939886</v>
      </c>
      <c r="AA457" s="72">
        <f t="shared" si="185"/>
        <v>91.119968067060114</v>
      </c>
      <c r="AB457" s="110">
        <f t="shared" ca="1" si="186"/>
        <v>-48.544276687874671</v>
      </c>
      <c r="AC457" s="111">
        <f t="shared" ca="1" si="187"/>
        <v>-109.47210961688478</v>
      </c>
      <c r="AD457" s="72">
        <f t="shared" ca="1" si="188"/>
        <v>70.527890383115221</v>
      </c>
    </row>
    <row r="458" spans="1:30">
      <c r="A458" s="118">
        <v>50119</v>
      </c>
      <c r="B458" s="101">
        <f t="shared" ca="1" si="162"/>
        <v>2570.1404269571731</v>
      </c>
      <c r="C458" s="102">
        <f t="shared" ca="1" si="163"/>
        <v>1.5704072429865792</v>
      </c>
      <c r="D458" s="102">
        <f t="shared" si="164"/>
        <v>1.7862210635328768</v>
      </c>
      <c r="E458" s="103">
        <f t="shared" si="165"/>
        <v>0.97660228485906797</v>
      </c>
      <c r="F458" s="101">
        <f t="shared" si="166"/>
        <v>17130.938873545041</v>
      </c>
      <c r="G458" s="104">
        <f t="shared" si="167"/>
        <v>1.5707379528780931</v>
      </c>
      <c r="H458" s="113">
        <f t="shared" si="168"/>
        <v>2141.3675890404152</v>
      </c>
      <c r="I458" s="114">
        <f t="shared" si="169"/>
        <v>1.5703293354938865</v>
      </c>
      <c r="J458" s="101">
        <f t="shared" si="170"/>
        <v>50.395036836927694</v>
      </c>
      <c r="K458" s="104">
        <f t="shared" si="171"/>
        <v>1.5509518004290135</v>
      </c>
      <c r="L458" s="102">
        <f t="shared" si="172"/>
        <v>1</v>
      </c>
      <c r="M458" s="103">
        <f t="shared" si="173"/>
        <v>1.6532615612661751E-9</v>
      </c>
      <c r="N458" s="101">
        <f t="shared" si="174"/>
        <v>1</v>
      </c>
      <c r="O458" s="104">
        <f t="shared" si="175"/>
        <v>2.6452184980258802E-10</v>
      </c>
      <c r="P458" s="105">
        <f t="shared" ca="1" si="176"/>
        <v>2.9768357897259623</v>
      </c>
      <c r="Q458" s="106">
        <f t="shared" ca="1" si="177"/>
        <v>1.3165199254206814</v>
      </c>
      <c r="R458" s="107">
        <f t="shared" ca="1" si="178"/>
        <v>-52.548935020453314</v>
      </c>
      <c r="S458" s="108">
        <f t="shared" ca="1" si="179"/>
        <v>-198.33995791754893</v>
      </c>
      <c r="T458" s="116">
        <f t="shared" ca="1" si="180"/>
        <v>-18.339957917548929</v>
      </c>
      <c r="V458" s="72">
        <f t="shared" ca="1" si="181"/>
        <v>50119</v>
      </c>
      <c r="W458" s="72">
        <f t="shared" si="182"/>
        <v>2511914161</v>
      </c>
      <c r="Y458" s="110">
        <f t="shared" si="183"/>
        <v>11.972845505760191</v>
      </c>
      <c r="Z458" s="111">
        <f t="shared" si="184"/>
        <v>-88.886404466348111</v>
      </c>
      <c r="AA458" s="72">
        <f t="shared" si="185"/>
        <v>91.113595533651889</v>
      </c>
      <c r="AB458" s="110">
        <f t="shared" ca="1" si="186"/>
        <v>-48.604180179331998</v>
      </c>
      <c r="AC458" s="111">
        <f t="shared" ca="1" si="187"/>
        <v>-109.45355345120082</v>
      </c>
      <c r="AD458" s="72">
        <f t="shared" ca="1" si="188"/>
        <v>70.546446548799182</v>
      </c>
    </row>
    <row r="459" spans="1:30">
      <c r="A459" s="118">
        <v>50410.75</v>
      </c>
      <c r="B459" s="101">
        <f t="shared" ca="1" si="162"/>
        <v>2585.1015865249624</v>
      </c>
      <c r="C459" s="102">
        <f t="shared" ca="1" si="163"/>
        <v>1.5704094947917937</v>
      </c>
      <c r="D459" s="102">
        <f t="shared" si="164"/>
        <v>1.7933664863089342</v>
      </c>
      <c r="E459" s="103">
        <f t="shared" si="165"/>
        <v>0.97929186728378481</v>
      </c>
      <c r="F459" s="101">
        <f t="shared" si="166"/>
        <v>17230.660563909481</v>
      </c>
      <c r="G459" s="104">
        <f t="shared" si="167"/>
        <v>1.5707382907145704</v>
      </c>
      <c r="H459" s="113">
        <f t="shared" si="168"/>
        <v>2153.8327990057392</v>
      </c>
      <c r="I459" s="114">
        <f t="shared" si="169"/>
        <v>1.5703320381851267</v>
      </c>
      <c r="J459" s="101">
        <f t="shared" si="170"/>
        <v>50.688278511394159</v>
      </c>
      <c r="K459" s="104">
        <f t="shared" si="171"/>
        <v>1.5510666198645087</v>
      </c>
      <c r="L459" s="102">
        <f t="shared" si="172"/>
        <v>1</v>
      </c>
      <c r="M459" s="103">
        <f t="shared" si="173"/>
        <v>1.6628854376503688E-9</v>
      </c>
      <c r="N459" s="101">
        <f t="shared" si="174"/>
        <v>1</v>
      </c>
      <c r="O459" s="104">
        <f t="shared" si="175"/>
        <v>2.6606167002405902E-10</v>
      </c>
      <c r="P459" s="105">
        <f t="shared" ca="1" si="176"/>
        <v>2.9923384701279128</v>
      </c>
      <c r="Q459" s="106">
        <f t="shared" ca="1" si="177"/>
        <v>1.3188784218513545</v>
      </c>
      <c r="R459" s="107">
        <f t="shared" ca="1" si="178"/>
        <v>-52.66018564081827</v>
      </c>
      <c r="S459" s="108">
        <f t="shared" ca="1" si="179"/>
        <v>-198.32756027875496</v>
      </c>
      <c r="T459" s="116">
        <f t="shared" ca="1" si="180"/>
        <v>-18.327560278754959</v>
      </c>
      <c r="V459" s="72">
        <f t="shared" ca="1" si="181"/>
        <v>50410.75</v>
      </c>
      <c r="W459" s="72">
        <f t="shared" si="182"/>
        <v>2541243715.5625</v>
      </c>
      <c r="Y459" s="110">
        <f t="shared" si="183"/>
        <v>11.922449997818187</v>
      </c>
      <c r="Z459" s="111">
        <f t="shared" si="184"/>
        <v>-88.892847638755171</v>
      </c>
      <c r="AA459" s="72">
        <f t="shared" si="185"/>
        <v>91.107152361244829</v>
      </c>
      <c r="AB459" s="110">
        <f t="shared" ca="1" si="186"/>
        <v>-48.665035291754954</v>
      </c>
      <c r="AC459" s="111">
        <f t="shared" ca="1" si="187"/>
        <v>-109.43471263999979</v>
      </c>
      <c r="AD459" s="72">
        <f t="shared" ca="1" si="188"/>
        <v>70.565287360000212</v>
      </c>
    </row>
    <row r="460" spans="1:30">
      <c r="A460" s="118">
        <v>50702.5</v>
      </c>
      <c r="B460" s="101">
        <f t="shared" ca="1" si="162"/>
        <v>2600.0627461057093</v>
      </c>
      <c r="C460" s="102">
        <f t="shared" ca="1" si="163"/>
        <v>1.5704117206825436</v>
      </c>
      <c r="D460" s="102">
        <f t="shared" si="164"/>
        <v>1.80052477901426</v>
      </c>
      <c r="E460" s="103">
        <f t="shared" si="165"/>
        <v>0.98196008309701288</v>
      </c>
      <c r="F460" s="101">
        <f t="shared" si="166"/>
        <v>17330.382254275868</v>
      </c>
      <c r="G460" s="104">
        <f t="shared" si="167"/>
        <v>1.5707386246631212</v>
      </c>
      <c r="H460" s="113">
        <f t="shared" si="168"/>
        <v>2166.2980089866151</v>
      </c>
      <c r="I460" s="114">
        <f t="shared" si="169"/>
        <v>1.5703347097729694</v>
      </c>
      <c r="J460" s="101">
        <f t="shared" si="170"/>
        <v>50.981520846422242</v>
      </c>
      <c r="K460" s="104">
        <f t="shared" si="171"/>
        <v>1.5511801184338927</v>
      </c>
      <c r="L460" s="102">
        <f t="shared" si="172"/>
        <v>1</v>
      </c>
      <c r="M460" s="103">
        <f t="shared" si="173"/>
        <v>1.6725093140345628E-9</v>
      </c>
      <c r="N460" s="101">
        <f t="shared" si="174"/>
        <v>1</v>
      </c>
      <c r="O460" s="104">
        <f t="shared" si="175"/>
        <v>2.6760149024553001E-10</v>
      </c>
      <c r="P460" s="105">
        <f t="shared" ca="1" si="176"/>
        <v>3.0078534190000163</v>
      </c>
      <c r="Q460" s="106">
        <f t="shared" ca="1" si="177"/>
        <v>1.3212180780105964</v>
      </c>
      <c r="R460" s="107">
        <f t="shared" ca="1" si="178"/>
        <v>-52.770732824975369</v>
      </c>
      <c r="S460" s="108">
        <f t="shared" ca="1" si="179"/>
        <v>-198.31523178307259</v>
      </c>
      <c r="T460" s="116">
        <f t="shared" ca="1" si="180"/>
        <v>-18.315231783072591</v>
      </c>
      <c r="V460" s="72">
        <f t="shared" ca="1" si="181"/>
        <v>50702.5</v>
      </c>
      <c r="W460" s="72">
        <f t="shared" si="182"/>
        <v>2570743506.25</v>
      </c>
      <c r="Y460" s="110">
        <f t="shared" si="183"/>
        <v>11.872345086114519</v>
      </c>
      <c r="Z460" s="111">
        <f t="shared" si="184"/>
        <v>-88.899216690440312</v>
      </c>
      <c r="AA460" s="72">
        <f t="shared" si="185"/>
        <v>91.100783309559688</v>
      </c>
      <c r="AB460" s="110">
        <f t="shared" ca="1" si="186"/>
        <v>-48.72547756420839</v>
      </c>
      <c r="AC460" s="111">
        <f t="shared" ca="1" si="187"/>
        <v>-109.41601509263235</v>
      </c>
      <c r="AD460" s="72">
        <f t="shared" ca="1" si="188"/>
        <v>70.58398490736765</v>
      </c>
    </row>
    <row r="461" spans="1:30">
      <c r="A461" s="118">
        <v>50994.25</v>
      </c>
      <c r="B461" s="101">
        <f t="shared" ca="1" si="162"/>
        <v>2615.0239056991904</v>
      </c>
      <c r="C461" s="102">
        <f t="shared" ca="1" si="163"/>
        <v>1.5704139211036168</v>
      </c>
      <c r="D461" s="102">
        <f t="shared" si="164"/>
        <v>1.8076957887580016</v>
      </c>
      <c r="E461" s="103">
        <f t="shared" si="165"/>
        <v>0.98460714835975438</v>
      </c>
      <c r="F461" s="101">
        <f t="shared" si="166"/>
        <v>17430.103944644165</v>
      </c>
      <c r="G461" s="104">
        <f t="shared" si="167"/>
        <v>1.5707389547904769</v>
      </c>
      <c r="H461" s="113">
        <f t="shared" si="168"/>
        <v>2178.7632189827764</v>
      </c>
      <c r="I461" s="114">
        <f t="shared" si="169"/>
        <v>1.5703373507912644</v>
      </c>
      <c r="J461" s="101">
        <f t="shared" si="170"/>
        <v>51.274763830678623</v>
      </c>
      <c r="K461" s="104">
        <f t="shared" si="171"/>
        <v>1.5512923187965173</v>
      </c>
      <c r="L461" s="102">
        <f t="shared" si="172"/>
        <v>1</v>
      </c>
      <c r="M461" s="103">
        <f t="shared" si="173"/>
        <v>1.6821331904187565E-9</v>
      </c>
      <c r="N461" s="101">
        <f t="shared" si="174"/>
        <v>1</v>
      </c>
      <c r="O461" s="104">
        <f t="shared" si="175"/>
        <v>2.69141310467001E-10</v>
      </c>
      <c r="P461" s="105">
        <f t="shared" ca="1" si="176"/>
        <v>3.0233804973005109</v>
      </c>
      <c r="Q461" s="106">
        <f t="shared" ca="1" si="177"/>
        <v>1.323539168332083</v>
      </c>
      <c r="R461" s="107">
        <f t="shared" ca="1" si="178"/>
        <v>-52.880585074478674</v>
      </c>
      <c r="S461" s="108">
        <f t="shared" ca="1" si="179"/>
        <v>-198.30297707201566</v>
      </c>
      <c r="T461" s="116">
        <f t="shared" ca="1" si="180"/>
        <v>-18.302977072015665</v>
      </c>
      <c r="V461" s="72">
        <f t="shared" ca="1" si="181"/>
        <v>50994.25</v>
      </c>
      <c r="W461" s="72">
        <f t="shared" si="182"/>
        <v>2600413533.0625</v>
      </c>
      <c r="Y461" s="110">
        <f t="shared" si="183"/>
        <v>11.822527439792808</v>
      </c>
      <c r="Z461" s="111">
        <f t="shared" si="184"/>
        <v>-88.905512892924804</v>
      </c>
      <c r="AA461" s="72">
        <f t="shared" si="185"/>
        <v>91.094487107075196</v>
      </c>
      <c r="AB461" s="110">
        <f t="shared" ca="1" si="186"/>
        <v>-48.785512167389982</v>
      </c>
      <c r="AC461" s="111">
        <f t="shared" ca="1" si="187"/>
        <v>-109.39746417909085</v>
      </c>
      <c r="AD461" s="72">
        <f t="shared" ca="1" si="188"/>
        <v>70.602535820909154</v>
      </c>
    </row>
    <row r="462" spans="1:30">
      <c r="A462" s="118">
        <v>51286</v>
      </c>
      <c r="B462" s="101">
        <f t="shared" ref="B462:B525" ca="1" si="189">SQRT(1+(A462/Pole1)^2)</f>
        <v>2629.9850653051899</v>
      </c>
      <c r="C462" s="102">
        <f t="shared" ref="C462:C525" ca="1" si="190">ATAN(A462/Pole1)</f>
        <v>1.5704160964896801</v>
      </c>
      <c r="D462" s="102">
        <f t="shared" ref="D462:D525" si="191">SQRT(1+(A462/Zero1)^2)</f>
        <v>1.8148793647962507</v>
      </c>
      <c r="E462" s="103">
        <f t="shared" ref="E462:E525" si="192">ATAN(A462/Zero1)</f>
        <v>0.98723327690690976</v>
      </c>
      <c r="F462" s="101">
        <f t="shared" ref="F462:F525" si="193">SQRT(1+(A462/Pole2)^2)</f>
        <v>17529.825635014338</v>
      </c>
      <c r="G462" s="104">
        <f t="shared" ref="G462:G525" si="194">ATAN(A462/Pole2)</f>
        <v>1.5707392811618501</v>
      </c>
      <c r="H462" s="113">
        <f t="shared" ref="H462:H525" si="195">SQRT(1+(A462/Zero2)^2)</f>
        <v>2191.2284289939607</v>
      </c>
      <c r="I462" s="114">
        <f t="shared" ref="I462:I525" si="196">ATAN(A462/Zero2)</f>
        <v>1.5703399617617126</v>
      </c>
      <c r="J462" s="101">
        <f t="shared" ref="J462:J525" si="197">SQRT(1+(A462/pole4)^2)</f>
        <v>51.568007453087723</v>
      </c>
      <c r="K462" s="104">
        <f t="shared" ref="K462:K525" si="198">ATAN(A462/pole4)</f>
        <v>1.5514032430964539</v>
      </c>
      <c r="L462" s="102">
        <f t="shared" ref="L462:L525" si="199">SQRT(1+(A462/Zerofeed)^2)</f>
        <v>1</v>
      </c>
      <c r="M462" s="103">
        <f t="shared" ref="M462:M525" si="200">ATAN(A462/Zerofeed)</f>
        <v>1.6917570668029502E-9</v>
      </c>
      <c r="N462" s="101">
        <f t="shared" ref="N462:N525" si="201">SQRT(1+(A462/Polefeed)^2)</f>
        <v>1</v>
      </c>
      <c r="O462" s="104">
        <f t="shared" ref="O462:O525" si="202">ATAN(A462/Polefeed)</f>
        <v>2.70681130688472E-10</v>
      </c>
      <c r="P462" s="105">
        <f t="shared" ref="P462:P525" ca="1" si="203">SQRT((1-(W462/pterm2))^2+(A462/pterm1)^2)</f>
        <v>3.0389195689690554</v>
      </c>
      <c r="Q462" s="106">
        <f t="shared" ref="Q462:Q525" ca="1" si="204">IF((ATAN((A462/pterm1)/(1-A462^2/pterm2))&gt;0),ATAN((A462/pterm1)/(1-A462^2/pterm2)),PI()+ATAN((A462/pterm1)/(1-A462^2/pterm2)))</f>
        <v>1.3258419621692421</v>
      </c>
      <c r="R462" s="107">
        <f t="shared" ref="R462:R525" ca="1" si="205">20*LOG10(((D462*H462*L462)/(B462*F462*P462*J462*N462))*Adc)</f>
        <v>-52.989750748142228</v>
      </c>
      <c r="S462" s="108">
        <f t="shared" ref="S462:S525" ca="1" si="206">((E462+I462+M462)-(C462+G462+Q462+K462+O462))*radconv</f>
        <v>-198.29080059407283</v>
      </c>
      <c r="T462" s="116">
        <f t="shared" ref="T462:T525" ca="1" si="207">IF(S462&gt;0,S462,S462+180)</f>
        <v>-18.290800594072834</v>
      </c>
      <c r="V462" s="72">
        <f t="shared" ref="V462:V525" ca="1" si="208">IF(R462&lt;0,A462,1000000000)</f>
        <v>51286</v>
      </c>
      <c r="W462" s="72">
        <f t="shared" ref="W462:W525" si="209">A462^2</f>
        <v>2630253796</v>
      </c>
      <c r="Y462" s="110">
        <f t="shared" ref="Y462:Y525" si="210">20*LOG10(((H462*L462)/(F462*J462*N462))*Aea)</f>
        <v>11.772993784917015</v>
      </c>
      <c r="Z462" s="111">
        <f t="shared" ref="Z462:Z525" si="211">(I462+M462-(G462+K462+O462))*radconv</f>
        <v>-88.911737488815675</v>
      </c>
      <c r="AA462" s="72">
        <f t="shared" ref="AA462:AA525" si="212">IF(Z462&gt;0,Z462,Z462+180)</f>
        <v>91.088262511184325</v>
      </c>
      <c r="AB462" s="110">
        <f t="shared" ref="AB462:AB525" ca="1" si="213">20*LOG10((D462/(B462*P462))*Acs*Am)</f>
        <v>-48.845144186177734</v>
      </c>
      <c r="AC462" s="111">
        <f t="shared" ref="AC462:AC525" ca="1" si="214">(E462-(C462+Q462))*radconv</f>
        <v>-109.3790631052572</v>
      </c>
      <c r="AD462" s="72">
        <f t="shared" ref="AD462:AD525" ca="1" si="215">IF(AC462&gt;0,AC462,AC462+180)</f>
        <v>70.620936894742798</v>
      </c>
    </row>
    <row r="463" spans="1:30">
      <c r="A463" s="118">
        <v>51584.75</v>
      </c>
      <c r="B463" s="101">
        <f t="shared" ca="1" si="189"/>
        <v>2645.3051901929766</v>
      </c>
      <c r="C463" s="102">
        <f t="shared" ca="1" si="190"/>
        <v>1.5704182985705826</v>
      </c>
      <c r="D463" s="102">
        <f t="shared" si="191"/>
        <v>1.8222481643442421</v>
      </c>
      <c r="E463" s="103">
        <f t="shared" si="192"/>
        <v>0.98990093932624457</v>
      </c>
      <c r="F463" s="101">
        <f t="shared" si="193"/>
        <v>17631.93996234475</v>
      </c>
      <c r="G463" s="104">
        <f t="shared" si="194"/>
        <v>1.5707396115382277</v>
      </c>
      <c r="H463" s="113">
        <f t="shared" si="195"/>
        <v>2203.9927186094055</v>
      </c>
      <c r="I463" s="114">
        <f t="shared" si="196"/>
        <v>1.5703426047721933</v>
      </c>
      <c r="J463" s="101">
        <f t="shared" si="197"/>
        <v>51.868287562192961</v>
      </c>
      <c r="K463" s="104">
        <f t="shared" si="198"/>
        <v>1.5515155290688942</v>
      </c>
      <c r="L463" s="102">
        <f t="shared" si="199"/>
        <v>1</v>
      </c>
      <c r="M463" s="103">
        <f t="shared" si="200"/>
        <v>1.7016118502469188E-9</v>
      </c>
      <c r="N463" s="101">
        <f t="shared" si="201"/>
        <v>1</v>
      </c>
      <c r="O463" s="104">
        <f t="shared" si="202"/>
        <v>2.72257896039507E-10</v>
      </c>
      <c r="P463" s="105">
        <f t="shared" ca="1" si="203"/>
        <v>3.0548437612272523</v>
      </c>
      <c r="Q463" s="106">
        <f t="shared" ca="1" si="204"/>
        <v>1.3281813231717303</v>
      </c>
      <c r="R463" s="107">
        <f t="shared" ca="1" si="205"/>
        <v>-53.100832750960485</v>
      </c>
      <c r="S463" s="108">
        <f t="shared" ca="1" si="206"/>
        <v>-198.2784174860785</v>
      </c>
      <c r="T463" s="116">
        <f t="shared" ca="1" si="207"/>
        <v>-18.278417486078496</v>
      </c>
      <c r="V463" s="72">
        <f t="shared" ca="1" si="208"/>
        <v>51584.75</v>
      </c>
      <c r="W463" s="72">
        <f t="shared" si="209"/>
        <v>2660986432.5625</v>
      </c>
      <c r="Y463" s="110">
        <f t="shared" si="210"/>
        <v>11.722562594459486</v>
      </c>
      <c r="Z463" s="111">
        <f t="shared" si="211"/>
        <v>-88.918038496494248</v>
      </c>
      <c r="AA463" s="72">
        <f t="shared" si="212"/>
        <v>91.081961503505752</v>
      </c>
      <c r="AB463" s="110">
        <f t="shared" ca="1" si="213"/>
        <v>-48.905794998538468</v>
      </c>
      <c r="AC463" s="111">
        <f t="shared" ca="1" si="214"/>
        <v>-109.36037898958422</v>
      </c>
      <c r="AD463" s="72">
        <f t="shared" ca="1" si="215"/>
        <v>70.63962101041578</v>
      </c>
    </row>
    <row r="464" spans="1:30">
      <c r="A464" s="118">
        <v>51883.5</v>
      </c>
      <c r="B464" s="101">
        <f t="shared" ca="1" si="189"/>
        <v>2660.625315093444</v>
      </c>
      <c r="C464" s="102">
        <f t="shared" ca="1" si="190"/>
        <v>1.5704204752919169</v>
      </c>
      <c r="D464" s="102">
        <f t="shared" si="191"/>
        <v>1.8296298272711555</v>
      </c>
      <c r="E464" s="103">
        <f t="shared" si="192"/>
        <v>0.99254709501998828</v>
      </c>
      <c r="F464" s="101">
        <f t="shared" si="193"/>
        <v>17734.054289677064</v>
      </c>
      <c r="G464" s="104">
        <f t="shared" si="194"/>
        <v>1.5707399381099296</v>
      </c>
      <c r="H464" s="113">
        <f t="shared" si="195"/>
        <v>2216.7570082400689</v>
      </c>
      <c r="I464" s="114">
        <f t="shared" si="196"/>
        <v>1.5703452173452819</v>
      </c>
      <c r="J464" s="101">
        <f t="shared" si="197"/>
        <v>52.168568317732429</v>
      </c>
      <c r="K464" s="104">
        <f t="shared" si="198"/>
        <v>1.5516265224131649</v>
      </c>
      <c r="L464" s="102">
        <f t="shared" si="199"/>
        <v>1</v>
      </c>
      <c r="M464" s="103">
        <f t="shared" si="200"/>
        <v>1.7114666336908877E-9</v>
      </c>
      <c r="N464" s="101">
        <f t="shared" si="201"/>
        <v>1</v>
      </c>
      <c r="O464" s="104">
        <f t="shared" si="202"/>
        <v>2.73834661390542E-10</v>
      </c>
      <c r="P464" s="105">
        <f t="shared" ca="1" si="203"/>
        <v>3.0707802497943932</v>
      </c>
      <c r="Q464" s="106">
        <f t="shared" ca="1" si="204"/>
        <v>1.3305020549707587</v>
      </c>
      <c r="R464" s="107">
        <f t="shared" ca="1" si="205"/>
        <v>-53.211212130333799</v>
      </c>
      <c r="S464" s="108">
        <f t="shared" ca="1" si="206"/>
        <v>-198.26612525876519</v>
      </c>
      <c r="T464" s="116">
        <f t="shared" ca="1" si="207"/>
        <v>-18.266125258765186</v>
      </c>
      <c r="V464" s="72">
        <f t="shared" ca="1" si="208"/>
        <v>51883.5</v>
      </c>
      <c r="W464" s="72">
        <f t="shared" si="209"/>
        <v>2691897572.25</v>
      </c>
      <c r="Y464" s="110">
        <f t="shared" si="210"/>
        <v>11.672422415780733</v>
      </c>
      <c r="Z464" s="111">
        <f t="shared" si="211"/>
        <v>-88.924266967976436</v>
      </c>
      <c r="AA464" s="72">
        <f t="shared" si="212"/>
        <v>91.075733032023564</v>
      </c>
      <c r="AB464" s="110">
        <f t="shared" ca="1" si="213"/>
        <v>-48.966034199233029</v>
      </c>
      <c r="AC464" s="111">
        <f t="shared" ca="1" si="214"/>
        <v>-109.34185829078879</v>
      </c>
      <c r="AD464" s="72">
        <f t="shared" ca="1" si="215"/>
        <v>70.658141709211208</v>
      </c>
    </row>
    <row r="465" spans="1:30">
      <c r="A465" s="118">
        <v>52182.25</v>
      </c>
      <c r="B465" s="101">
        <f t="shared" ca="1" si="189"/>
        <v>2675.9454400063728</v>
      </c>
      <c r="C465" s="102">
        <f t="shared" ca="1" si="190"/>
        <v>1.5704226270892432</v>
      </c>
      <c r="D465" s="102">
        <f t="shared" si="191"/>
        <v>1.8370241985113305</v>
      </c>
      <c r="E465" s="103">
        <f t="shared" si="192"/>
        <v>0.99517196641212269</v>
      </c>
      <c r="F465" s="101">
        <f t="shared" si="193"/>
        <v>17836.168617011248</v>
      </c>
      <c r="G465" s="104">
        <f t="shared" si="194"/>
        <v>1.5707402609423027</v>
      </c>
      <c r="H465" s="113">
        <f t="shared" si="195"/>
        <v>2229.5212978856894</v>
      </c>
      <c r="I465" s="114">
        <f t="shared" si="196"/>
        <v>1.5703478000037518</v>
      </c>
      <c r="J465" s="101">
        <f t="shared" si="197"/>
        <v>52.468849708607458</v>
      </c>
      <c r="K465" s="104">
        <f t="shared" si="198"/>
        <v>1.5517362453198005</v>
      </c>
      <c r="L465" s="102">
        <f t="shared" si="199"/>
        <v>1</v>
      </c>
      <c r="M465" s="103">
        <f t="shared" si="200"/>
        <v>1.7213214171348564E-9</v>
      </c>
      <c r="N465" s="101">
        <f t="shared" si="201"/>
        <v>1</v>
      </c>
      <c r="O465" s="104">
        <f t="shared" si="202"/>
        <v>2.75411426741577E-10</v>
      </c>
      <c r="P465" s="105">
        <f t="shared" ca="1" si="203"/>
        <v>3.0867288978434626</v>
      </c>
      <c r="Q465" s="106">
        <f t="shared" ca="1" si="204"/>
        <v>1.3328044309308846</v>
      </c>
      <c r="R465" s="107">
        <f t="shared" ca="1" si="205"/>
        <v>-53.320897415222824</v>
      </c>
      <c r="S465" s="108">
        <f t="shared" ca="1" si="206"/>
        <v>-198.25392810098413</v>
      </c>
      <c r="T465" s="116">
        <f t="shared" ca="1" si="207"/>
        <v>-18.253928100984126</v>
      </c>
      <c r="V465" s="72">
        <f t="shared" ca="1" si="208"/>
        <v>52182.25</v>
      </c>
      <c r="W465" s="72">
        <f t="shared" si="209"/>
        <v>2722987215.0625</v>
      </c>
      <c r="Y465" s="110">
        <f t="shared" si="210"/>
        <v>11.622569910811247</v>
      </c>
      <c r="Z465" s="111">
        <f t="shared" si="211"/>
        <v>-88.930424148477485</v>
      </c>
      <c r="AA465" s="72">
        <f t="shared" si="212"/>
        <v>91.069575851522515</v>
      </c>
      <c r="AB465" s="110">
        <f t="shared" ca="1" si="213"/>
        <v>-49.025866979152568</v>
      </c>
      <c r="AC465" s="111">
        <f t="shared" ca="1" si="214"/>
        <v>-109.32350395250664</v>
      </c>
      <c r="AD465" s="72">
        <f t="shared" ca="1" si="215"/>
        <v>70.676496047493359</v>
      </c>
    </row>
    <row r="466" spans="1:30">
      <c r="A466" s="118">
        <v>52481</v>
      </c>
      <c r="B466" s="101">
        <f t="shared" ca="1" si="189"/>
        <v>2691.2655649315511</v>
      </c>
      <c r="C466" s="102">
        <f t="shared" ca="1" si="190"/>
        <v>1.5704247543882039</v>
      </c>
      <c r="D466" s="102">
        <f t="shared" si="191"/>
        <v>1.8444311252209211</v>
      </c>
      <c r="E466" s="103">
        <f t="shared" si="192"/>
        <v>0.99777577353615776</v>
      </c>
      <c r="F466" s="101">
        <f t="shared" si="193"/>
        <v>17938.282944347273</v>
      </c>
      <c r="G466" s="104">
        <f t="shared" si="194"/>
        <v>1.5707405800992056</v>
      </c>
      <c r="H466" s="113">
        <f t="shared" si="195"/>
        <v>2242.2855875460123</v>
      </c>
      <c r="I466" s="114">
        <f t="shared" si="196"/>
        <v>1.5703503532584735</v>
      </c>
      <c r="J466" s="101">
        <f t="shared" si="197"/>
        <v>52.76913172397196</v>
      </c>
      <c r="K466" s="104">
        <f t="shared" si="198"/>
        <v>1.5518447194743596</v>
      </c>
      <c r="L466" s="102">
        <f t="shared" si="199"/>
        <v>1</v>
      </c>
      <c r="M466" s="103">
        <f t="shared" si="200"/>
        <v>1.7311762005788253E-9</v>
      </c>
      <c r="N466" s="101">
        <f t="shared" si="201"/>
        <v>1</v>
      </c>
      <c r="O466" s="104">
        <f t="shared" si="202"/>
        <v>2.76988192092612E-10</v>
      </c>
      <c r="P466" s="105">
        <f t="shared" ca="1" si="203"/>
        <v>3.1026895715248051</v>
      </c>
      <c r="Q466" s="106">
        <f t="shared" ca="1" si="204"/>
        <v>1.3350887193045193</v>
      </c>
      <c r="R466" s="107">
        <f t="shared" ca="1" si="205"/>
        <v>-53.429896990384876</v>
      </c>
      <c r="S466" s="108">
        <f t="shared" ca="1" si="206"/>
        <v>-198.24183001674146</v>
      </c>
      <c r="T466" s="116">
        <f t="shared" ca="1" si="207"/>
        <v>-18.24183001674146</v>
      </c>
      <c r="V466" s="72">
        <f t="shared" ca="1" si="208"/>
        <v>52481</v>
      </c>
      <c r="W466" s="72">
        <f t="shared" si="209"/>
        <v>2754255361</v>
      </c>
      <c r="Y466" s="110">
        <f t="shared" si="210"/>
        <v>11.573001798567777</v>
      </c>
      <c r="Z466" s="111">
        <f t="shared" si="211"/>
        <v>-88.936511254876606</v>
      </c>
      <c r="AA466" s="72">
        <f t="shared" si="212"/>
        <v>91.063488745123394</v>
      </c>
      <c r="AB466" s="110">
        <f t="shared" ca="1" si="213"/>
        <v>-49.085298442071149</v>
      </c>
      <c r="AC466" s="111">
        <f t="shared" ca="1" si="214"/>
        <v>-109.30531876186487</v>
      </c>
      <c r="AD466" s="72">
        <f t="shared" ca="1" si="215"/>
        <v>70.694681238135132</v>
      </c>
    </row>
    <row r="467" spans="1:30">
      <c r="A467" s="118">
        <v>52786.5</v>
      </c>
      <c r="B467" s="101">
        <f t="shared" ca="1" si="189"/>
        <v>2706.9318349511723</v>
      </c>
      <c r="C467" s="102">
        <f t="shared" ca="1" si="190"/>
        <v>1.5704269048501569</v>
      </c>
      <c r="D467" s="102">
        <f t="shared" si="191"/>
        <v>1.8520182323195515</v>
      </c>
      <c r="E467" s="103">
        <f t="shared" si="192"/>
        <v>1.0004168546828534</v>
      </c>
      <c r="F467" s="101">
        <f t="shared" si="193"/>
        <v>18042.704457323711</v>
      </c>
      <c r="G467" s="104">
        <f t="shared" si="194"/>
        <v>1.5707409027312327</v>
      </c>
      <c r="H467" s="113">
        <f t="shared" si="195"/>
        <v>2255.3382753977039</v>
      </c>
      <c r="I467" s="114">
        <f t="shared" si="196"/>
        <v>1.5703529343141878</v>
      </c>
      <c r="J467" s="101">
        <f t="shared" si="197"/>
        <v>53.076198988679387</v>
      </c>
      <c r="K467" s="104">
        <f t="shared" si="198"/>
        <v>1.551954375197707</v>
      </c>
      <c r="L467" s="102">
        <f t="shared" si="199"/>
        <v>1</v>
      </c>
      <c r="M467" s="103">
        <f t="shared" si="200"/>
        <v>1.7412536444018628E-9</v>
      </c>
      <c r="N467" s="101">
        <f t="shared" si="201"/>
        <v>1</v>
      </c>
      <c r="O467" s="104">
        <f t="shared" si="202"/>
        <v>2.78600583104298E-10</v>
      </c>
      <c r="P467" s="105">
        <f t="shared" ca="1" si="203"/>
        <v>3.11902316278535</v>
      </c>
      <c r="Q467" s="106">
        <f t="shared" ca="1" si="204"/>
        <v>1.3374061882645292</v>
      </c>
      <c r="R467" s="107">
        <f t="shared" ca="1" si="205"/>
        <v>-53.540658781624806</v>
      </c>
      <c r="S467" s="108">
        <f t="shared" ca="1" si="206"/>
        <v>-198.22956502814182</v>
      </c>
      <c r="T467" s="116">
        <f t="shared" ca="1" si="207"/>
        <v>-18.22956502814182</v>
      </c>
      <c r="V467" s="72">
        <f t="shared" ca="1" si="208"/>
        <v>52786.5</v>
      </c>
      <c r="W467" s="72">
        <f t="shared" si="209"/>
        <v>2786414582.25</v>
      </c>
      <c r="Y467" s="110">
        <f t="shared" si="210"/>
        <v>11.522604480959028</v>
      </c>
      <c r="Z467" s="111">
        <f t="shared" si="211"/>
        <v>-88.942664666400262</v>
      </c>
      <c r="AA467" s="72">
        <f t="shared" si="212"/>
        <v>91.057335333599738</v>
      </c>
      <c r="AB467" s="110">
        <f t="shared" ca="1" si="213"/>
        <v>-49.145662915702331</v>
      </c>
      <c r="AC467" s="111">
        <f t="shared" ca="1" si="214"/>
        <v>-109.28690036174162</v>
      </c>
      <c r="AD467" s="72">
        <f t="shared" ca="1" si="215"/>
        <v>70.713099638258385</v>
      </c>
    </row>
    <row r="468" spans="1:30">
      <c r="A468" s="118">
        <v>53092</v>
      </c>
      <c r="B468" s="101">
        <f t="shared" ca="1" si="189"/>
        <v>2722.5981049831662</v>
      </c>
      <c r="C468" s="102">
        <f t="shared" ca="1" si="190"/>
        <v>1.5704290305638979</v>
      </c>
      <c r="D468" s="102">
        <f t="shared" si="191"/>
        <v>1.859618152354191</v>
      </c>
      <c r="E468" s="103">
        <f t="shared" si="192"/>
        <v>1.0030363667439244</v>
      </c>
      <c r="F468" s="101">
        <f t="shared" si="193"/>
        <v>18147.125970302011</v>
      </c>
      <c r="G468" s="104">
        <f t="shared" si="194"/>
        <v>1.5707412216503056</v>
      </c>
      <c r="H468" s="113">
        <f t="shared" si="195"/>
        <v>2268.3909632642481</v>
      </c>
      <c r="I468" s="114">
        <f t="shared" si="196"/>
        <v>1.5703554856662796</v>
      </c>
      <c r="J468" s="101">
        <f t="shared" si="197"/>
        <v>53.383266884252954</v>
      </c>
      <c r="K468" s="104">
        <f t="shared" si="198"/>
        <v>1.5520627694127307</v>
      </c>
      <c r="L468" s="102">
        <f t="shared" si="199"/>
        <v>1</v>
      </c>
      <c r="M468" s="103">
        <f t="shared" si="200"/>
        <v>1.7513310882249003E-9</v>
      </c>
      <c r="N468" s="101">
        <f t="shared" si="201"/>
        <v>1</v>
      </c>
      <c r="O468" s="104">
        <f t="shared" si="202"/>
        <v>2.8021297411598404E-10</v>
      </c>
      <c r="P468" s="105">
        <f t="shared" ca="1" si="203"/>
        <v>3.135369055365651</v>
      </c>
      <c r="Q468" s="106">
        <f t="shared" ca="1" si="204"/>
        <v>1.3397052945376153</v>
      </c>
      <c r="R468" s="107">
        <f t="shared" ca="1" si="205"/>
        <v>-53.650720812418328</v>
      </c>
      <c r="S468" s="108">
        <f t="shared" ca="1" si="206"/>
        <v>-198.21741154474023</v>
      </c>
      <c r="T468" s="116">
        <f t="shared" ca="1" si="207"/>
        <v>-18.21741154474023</v>
      </c>
      <c r="V468" s="72">
        <f t="shared" ca="1" si="208"/>
        <v>53092</v>
      </c>
      <c r="W468" s="72">
        <f t="shared" si="209"/>
        <v>2818760464</v>
      </c>
      <c r="Y468" s="110">
        <f t="shared" si="210"/>
        <v>11.472497790296739</v>
      </c>
      <c r="Z468" s="111">
        <f t="shared" si="211"/>
        <v>-88.948747287976673</v>
      </c>
      <c r="AA468" s="72">
        <f t="shared" si="212"/>
        <v>91.051252712023327</v>
      </c>
      <c r="AB468" s="110">
        <f t="shared" ca="1" si="213"/>
        <v>-49.205618255833564</v>
      </c>
      <c r="AC468" s="111">
        <f t="shared" ca="1" si="214"/>
        <v>-109.2686642567635</v>
      </c>
      <c r="AD468" s="72">
        <f t="shared" ca="1" si="215"/>
        <v>70.7313357432365</v>
      </c>
    </row>
    <row r="469" spans="1:30">
      <c r="A469" s="118">
        <v>53397.5</v>
      </c>
      <c r="B469" s="101">
        <f t="shared" ca="1" si="189"/>
        <v>2738.2643750273228</v>
      </c>
      <c r="C469" s="102">
        <f t="shared" ca="1" si="190"/>
        <v>1.5704311319541984</v>
      </c>
      <c r="D469" s="102">
        <f t="shared" si="191"/>
        <v>1.867230728872908</v>
      </c>
      <c r="E469" s="103">
        <f t="shared" si="192"/>
        <v>1.0056345373566031</v>
      </c>
      <c r="F469" s="101">
        <f t="shared" si="193"/>
        <v>18251.547483282138</v>
      </c>
      <c r="G469" s="104">
        <f t="shared" si="194"/>
        <v>1.5707415369201523</v>
      </c>
      <c r="H469" s="113">
        <f t="shared" si="195"/>
        <v>2281.4436511453887</v>
      </c>
      <c r="I469" s="114">
        <f t="shared" si="196"/>
        <v>1.5703580078245734</v>
      </c>
      <c r="J469" s="101">
        <f t="shared" si="197"/>
        <v>53.690335399868459</v>
      </c>
      <c r="K469" s="104">
        <f t="shared" si="198"/>
        <v>1.5521699237615112</v>
      </c>
      <c r="L469" s="102">
        <f t="shared" si="199"/>
        <v>1</v>
      </c>
      <c r="M469" s="103">
        <f t="shared" si="200"/>
        <v>1.7614085320479376E-9</v>
      </c>
      <c r="N469" s="101">
        <f t="shared" si="201"/>
        <v>1</v>
      </c>
      <c r="O469" s="104">
        <f t="shared" si="202"/>
        <v>2.8182536512767003E-10</v>
      </c>
      <c r="P469" s="105">
        <f t="shared" ca="1" si="203"/>
        <v>3.1517271153400288</v>
      </c>
      <c r="Q469" s="106">
        <f t="shared" ca="1" si="204"/>
        <v>1.341986309113137</v>
      </c>
      <c r="R469" s="107">
        <f t="shared" ca="1" si="205"/>
        <v>-53.760091600462268</v>
      </c>
      <c r="S469" s="108">
        <f t="shared" ca="1" si="206"/>
        <v>-198.20537328920827</v>
      </c>
      <c r="T469" s="116">
        <f t="shared" ca="1" si="207"/>
        <v>-18.205373289208268</v>
      </c>
      <c r="V469" s="72">
        <f t="shared" ca="1" si="208"/>
        <v>53397.5</v>
      </c>
      <c r="W469" s="72">
        <f t="shared" si="209"/>
        <v>2851293006.25</v>
      </c>
      <c r="Y469" s="110">
        <f t="shared" si="210"/>
        <v>11.422678395029058</v>
      </c>
      <c r="Z469" s="111">
        <f t="shared" si="211"/>
        <v>-88.954760334046242</v>
      </c>
      <c r="AA469" s="72">
        <f t="shared" si="212"/>
        <v>91.045239665953758</v>
      </c>
      <c r="AB469" s="110">
        <f t="shared" ca="1" si="213"/>
        <v>-49.265169648609813</v>
      </c>
      <c r="AC469" s="111">
        <f t="shared" ca="1" si="214"/>
        <v>-109.250612955162</v>
      </c>
      <c r="AD469" s="72">
        <f t="shared" ca="1" si="215"/>
        <v>70.749387044838002</v>
      </c>
    </row>
    <row r="470" spans="1:30">
      <c r="A470" s="118">
        <v>53703</v>
      </c>
      <c r="B470" s="101">
        <f t="shared" ca="1" si="189"/>
        <v>2753.9306450834338</v>
      </c>
      <c r="C470" s="102">
        <f t="shared" ca="1" si="190"/>
        <v>1.5704332094361639</v>
      </c>
      <c r="D470" s="102">
        <f t="shared" si="191"/>
        <v>1.8748558077063269</v>
      </c>
      <c r="E470" s="103">
        <f t="shared" si="192"/>
        <v>1.0082115916166641</v>
      </c>
      <c r="F470" s="101">
        <f t="shared" si="193"/>
        <v>18355.968996264059</v>
      </c>
      <c r="G470" s="104">
        <f t="shared" si="194"/>
        <v>1.5707418486030509</v>
      </c>
      <c r="H470" s="113">
        <f t="shared" si="195"/>
        <v>2294.4963390408775</v>
      </c>
      <c r="I470" s="114">
        <f t="shared" si="196"/>
        <v>1.570360501287293</v>
      </c>
      <c r="J470" s="101">
        <f t="shared" si="197"/>
        <v>53.997404524947846</v>
      </c>
      <c r="K470" s="104">
        <f t="shared" si="198"/>
        <v>1.5522758593939519</v>
      </c>
      <c r="L470" s="102">
        <f t="shared" si="199"/>
        <v>1</v>
      </c>
      <c r="M470" s="103">
        <f t="shared" si="200"/>
        <v>1.7714859758709751E-9</v>
      </c>
      <c r="N470" s="101">
        <f t="shared" si="201"/>
        <v>1</v>
      </c>
      <c r="O470" s="104">
        <f t="shared" si="202"/>
        <v>2.8343775613935603E-10</v>
      </c>
      <c r="P470" s="105">
        <f t="shared" ca="1" si="203"/>
        <v>3.168097211737547</v>
      </c>
      <c r="Q470" s="106">
        <f t="shared" ca="1" si="204"/>
        <v>1.344249497870089</v>
      </c>
      <c r="R470" s="107">
        <f t="shared" ca="1" si="205"/>
        <v>-53.868779518660844</v>
      </c>
      <c r="S470" s="108">
        <f t="shared" ca="1" si="206"/>
        <v>-198.19345380885875</v>
      </c>
      <c r="T470" s="116">
        <f t="shared" ca="1" si="207"/>
        <v>-18.193453808858749</v>
      </c>
      <c r="V470" s="72">
        <f t="shared" ca="1" si="208"/>
        <v>53703</v>
      </c>
      <c r="W470" s="72">
        <f t="shared" si="209"/>
        <v>2884012209</v>
      </c>
      <c r="Y470" s="110">
        <f t="shared" si="210"/>
        <v>11.373143020544143</v>
      </c>
      <c r="Z470" s="111">
        <f t="shared" si="211"/>
        <v>-88.960704991431342</v>
      </c>
      <c r="AA470" s="72">
        <f t="shared" si="212"/>
        <v>91.039295008568658</v>
      </c>
      <c r="AB470" s="110">
        <f t="shared" ca="1" si="213"/>
        <v>-49.324322192323478</v>
      </c>
      <c r="AC470" s="111">
        <f t="shared" ca="1" si="214"/>
        <v>-109.23274881742734</v>
      </c>
      <c r="AD470" s="72">
        <f t="shared" ca="1" si="215"/>
        <v>70.767251182572664</v>
      </c>
    </row>
    <row r="471" spans="1:30">
      <c r="A471" s="118">
        <v>54015.75</v>
      </c>
      <c r="B471" s="101">
        <f t="shared" ca="1" si="189"/>
        <v>2769.9687006113122</v>
      </c>
      <c r="C471" s="102">
        <f t="shared" ca="1" si="190"/>
        <v>1.5704353118774712</v>
      </c>
      <c r="D471" s="102">
        <f t="shared" si="191"/>
        <v>1.8826746340460236</v>
      </c>
      <c r="E471" s="103">
        <f t="shared" si="192"/>
        <v>1.0108281618476158</v>
      </c>
      <c r="F471" s="101">
        <f t="shared" si="193"/>
        <v>18462.868597526427</v>
      </c>
      <c r="G471" s="104">
        <f t="shared" si="194"/>
        <v>1.5707421640305783</v>
      </c>
      <c r="H471" s="113">
        <f t="shared" si="195"/>
        <v>2307.8587879566776</v>
      </c>
      <c r="I471" s="114">
        <f t="shared" si="196"/>
        <v>1.5703630247070435</v>
      </c>
      <c r="J471" s="101">
        <f t="shared" si="197"/>
        <v>54.311761508394291</v>
      </c>
      <c r="K471" s="104">
        <f t="shared" si="198"/>
        <v>1.5523830681843069</v>
      </c>
      <c r="L471" s="102">
        <f t="shared" si="199"/>
        <v>1</v>
      </c>
      <c r="M471" s="103">
        <f t="shared" si="200"/>
        <v>1.7818025734344939E-9</v>
      </c>
      <c r="N471" s="101">
        <f t="shared" si="201"/>
        <v>1</v>
      </c>
      <c r="O471" s="104">
        <f t="shared" si="202"/>
        <v>2.8508841174951899E-10</v>
      </c>
      <c r="P471" s="105">
        <f t="shared" ca="1" si="203"/>
        <v>3.1848681310739679</v>
      </c>
      <c r="Q471" s="106">
        <f t="shared" ca="1" si="204"/>
        <v>1.3465482026485587</v>
      </c>
      <c r="R471" s="107">
        <f t="shared" ca="1" si="205"/>
        <v>-53.979347996274427</v>
      </c>
      <c r="S471" s="108">
        <f t="shared" ca="1" si="206"/>
        <v>-198.1813780230602</v>
      </c>
      <c r="T471" s="116">
        <f t="shared" ca="1" si="207"/>
        <v>-18.181378023060205</v>
      </c>
      <c r="V471" s="72">
        <f t="shared" ca="1" si="208"/>
        <v>54015.75</v>
      </c>
      <c r="W471" s="72">
        <f t="shared" si="209"/>
        <v>2917701248.0625</v>
      </c>
      <c r="Y471" s="110">
        <f t="shared" si="210"/>
        <v>11.322722943646168</v>
      </c>
      <c r="Z471" s="111">
        <f t="shared" si="211"/>
        <v>-88.966721093520192</v>
      </c>
      <c r="AA471" s="72">
        <f t="shared" si="212"/>
        <v>91.033278906479808</v>
      </c>
      <c r="AB471" s="110">
        <f t="shared" ca="1" si="213"/>
        <v>-49.384470593039097</v>
      </c>
      <c r="AC471" s="111">
        <f t="shared" ca="1" si="214"/>
        <v>-109.21465692954001</v>
      </c>
      <c r="AD471" s="72">
        <f t="shared" ca="1" si="215"/>
        <v>70.785343070459987</v>
      </c>
    </row>
    <row r="472" spans="1:30">
      <c r="A472" s="118">
        <v>54328.5</v>
      </c>
      <c r="B472" s="101">
        <f t="shared" ca="1" si="189"/>
        <v>2786.0067561512938</v>
      </c>
      <c r="C472" s="102">
        <f t="shared" ca="1" si="190"/>
        <v>1.5704373901127566</v>
      </c>
      <c r="D472" s="102">
        <f t="shared" si="191"/>
        <v>1.8905062433342528</v>
      </c>
      <c r="E472" s="103">
        <f t="shared" si="192"/>
        <v>1.0134230709196013</v>
      </c>
      <c r="F472" s="101">
        <f t="shared" si="193"/>
        <v>18569.768198790607</v>
      </c>
      <c r="G472" s="104">
        <f t="shared" si="194"/>
        <v>1.5707424758264958</v>
      </c>
      <c r="H472" s="113">
        <f t="shared" si="195"/>
        <v>2321.2212368870041</v>
      </c>
      <c r="I472" s="114">
        <f t="shared" si="196"/>
        <v>1.5703655190739256</v>
      </c>
      <c r="J472" s="101">
        <f t="shared" si="197"/>
        <v>54.62611910890049</v>
      </c>
      <c r="K472" s="104">
        <f t="shared" si="198"/>
        <v>1.5524890430643759</v>
      </c>
      <c r="L472" s="102">
        <f t="shared" si="199"/>
        <v>1</v>
      </c>
      <c r="M472" s="103">
        <f t="shared" si="200"/>
        <v>1.7921191709980127E-9</v>
      </c>
      <c r="N472" s="101">
        <f t="shared" si="201"/>
        <v>1</v>
      </c>
      <c r="O472" s="104">
        <f t="shared" si="202"/>
        <v>2.8673906735968201E-10</v>
      </c>
      <c r="P472" s="105">
        <f t="shared" ca="1" si="203"/>
        <v>3.2016513963029842</v>
      </c>
      <c r="Q472" s="106">
        <f t="shared" ca="1" si="204"/>
        <v>1.3488287734882021</v>
      </c>
      <c r="R472" s="107">
        <f t="shared" ca="1" si="205"/>
        <v>-54.089218114801312</v>
      </c>
      <c r="S472" s="108">
        <f t="shared" ca="1" si="206"/>
        <v>-198.16943370386545</v>
      </c>
      <c r="T472" s="116">
        <f t="shared" ca="1" si="207"/>
        <v>-18.169433703865451</v>
      </c>
      <c r="V472" s="72">
        <f t="shared" ca="1" si="208"/>
        <v>54328.5</v>
      </c>
      <c r="W472" s="72">
        <f t="shared" si="209"/>
        <v>2951585912.25</v>
      </c>
      <c r="Y472" s="110">
        <f t="shared" si="210"/>
        <v>11.272593760110151</v>
      </c>
      <c r="Z472" s="111">
        <f t="shared" si="211"/>
        <v>-88.972667954288042</v>
      </c>
      <c r="AA472" s="72">
        <f t="shared" si="212"/>
        <v>91.027332045711958</v>
      </c>
      <c r="AB472" s="110">
        <f t="shared" ca="1" si="213"/>
        <v>-49.444211528029953</v>
      </c>
      <c r="AC472" s="111">
        <f t="shared" ca="1" si="214"/>
        <v>-109.19676574957748</v>
      </c>
      <c r="AD472" s="72">
        <f t="shared" ca="1" si="215"/>
        <v>70.80323425042252</v>
      </c>
    </row>
    <row r="473" spans="1:30">
      <c r="A473" s="118">
        <v>54641.25</v>
      </c>
      <c r="B473" s="101">
        <f t="shared" ca="1" si="189"/>
        <v>2802.0448117031706</v>
      </c>
      <c r="C473" s="102">
        <f t="shared" ca="1" si="190"/>
        <v>1.5704394445576637</v>
      </c>
      <c r="D473" s="102">
        <f t="shared" si="191"/>
        <v>1.8983504773635778</v>
      </c>
      <c r="E473" s="103">
        <f t="shared" si="192"/>
        <v>1.0159965521895584</v>
      </c>
      <c r="F473" s="101">
        <f t="shared" si="193"/>
        <v>18676.667800056573</v>
      </c>
      <c r="G473" s="104">
        <f t="shared" si="194"/>
        <v>1.5707427840531623</v>
      </c>
      <c r="H473" s="113">
        <f t="shared" si="195"/>
        <v>2334.5836858316075</v>
      </c>
      <c r="I473" s="114">
        <f t="shared" si="196"/>
        <v>1.5703679848868088</v>
      </c>
      <c r="J473" s="101">
        <f t="shared" si="197"/>
        <v>54.940477315874375</v>
      </c>
      <c r="K473" s="104">
        <f t="shared" si="198"/>
        <v>1.5525938052123061</v>
      </c>
      <c r="L473" s="102">
        <f t="shared" si="199"/>
        <v>1</v>
      </c>
      <c r="M473" s="103">
        <f t="shared" si="200"/>
        <v>1.8024357685615315E-9</v>
      </c>
      <c r="N473" s="101">
        <f t="shared" si="201"/>
        <v>1</v>
      </c>
      <c r="O473" s="104">
        <f t="shared" si="202"/>
        <v>2.8838972296984503E-10</v>
      </c>
      <c r="P473" s="105">
        <f t="shared" ca="1" si="203"/>
        <v>3.21844687607167</v>
      </c>
      <c r="Q473" s="106">
        <f t="shared" ca="1" si="204"/>
        <v>1.3510914797423872</v>
      </c>
      <c r="R473" s="107">
        <f t="shared" ca="1" si="205"/>
        <v>-54.198398405726252</v>
      </c>
      <c r="S473" s="108">
        <f t="shared" ca="1" si="206"/>
        <v>-198.157624125941</v>
      </c>
      <c r="T473" s="116">
        <f t="shared" ca="1" si="207"/>
        <v>-18.157624125940998</v>
      </c>
      <c r="V473" s="72">
        <f t="shared" ca="1" si="208"/>
        <v>54641.25</v>
      </c>
      <c r="W473" s="72">
        <f t="shared" si="209"/>
        <v>2985666201.5625</v>
      </c>
      <c r="Y473" s="110">
        <f t="shared" si="210"/>
        <v>11.222752133736414</v>
      </c>
      <c r="Z473" s="111">
        <f t="shared" si="211"/>
        <v>-88.97854676214321</v>
      </c>
      <c r="AA473" s="72">
        <f t="shared" si="212"/>
        <v>91.02145323785679</v>
      </c>
      <c r="AB473" s="110">
        <f t="shared" ca="1" si="213"/>
        <v>-49.503550192581159</v>
      </c>
      <c r="AC473" s="111">
        <f t="shared" ca="1" si="214"/>
        <v>-109.17907736379782</v>
      </c>
      <c r="AD473" s="72">
        <f t="shared" ca="1" si="215"/>
        <v>70.820922636202184</v>
      </c>
    </row>
    <row r="474" spans="1:30">
      <c r="A474" s="118">
        <v>54954</v>
      </c>
      <c r="B474" s="101">
        <f t="shared" ca="1" si="189"/>
        <v>2818.0828672667394</v>
      </c>
      <c r="C474" s="102">
        <f t="shared" ca="1" si="190"/>
        <v>1.5704414756183744</v>
      </c>
      <c r="D474" s="102">
        <f t="shared" si="191"/>
        <v>1.9062071802777716</v>
      </c>
      <c r="E474" s="103">
        <f t="shared" si="192"/>
        <v>1.0185488363117636</v>
      </c>
      <c r="F474" s="101">
        <f t="shared" si="193"/>
        <v>18783.567401324293</v>
      </c>
      <c r="G474" s="104">
        <f t="shared" si="194"/>
        <v>1.5707430887715166</v>
      </c>
      <c r="H474" s="113">
        <f t="shared" si="195"/>
        <v>2347.9461347902443</v>
      </c>
      <c r="I474" s="114">
        <f t="shared" si="196"/>
        <v>1.570370422633206</v>
      </c>
      <c r="J474" s="101">
        <f t="shared" si="197"/>
        <v>55.254836118964946</v>
      </c>
      <c r="K474" s="104">
        <f t="shared" si="198"/>
        <v>1.5526973753244024</v>
      </c>
      <c r="L474" s="102">
        <f t="shared" si="199"/>
        <v>1</v>
      </c>
      <c r="M474" s="103">
        <f t="shared" si="200"/>
        <v>1.8127523661250503E-9</v>
      </c>
      <c r="N474" s="101">
        <f t="shared" si="201"/>
        <v>1</v>
      </c>
      <c r="O474" s="104">
        <f t="shared" si="202"/>
        <v>2.9004037858000799E-10</v>
      </c>
      <c r="P474" s="105">
        <f t="shared" ca="1" si="203"/>
        <v>3.2352544419702407</v>
      </c>
      <c r="Q474" s="106">
        <f t="shared" ca="1" si="204"/>
        <v>1.3533365856386701</v>
      </c>
      <c r="R474" s="107">
        <f t="shared" ca="1" si="205"/>
        <v>-54.306897254595476</v>
      </c>
      <c r="S474" s="108">
        <f t="shared" ca="1" si="206"/>
        <v>-198.14595239753655</v>
      </c>
      <c r="T474" s="116">
        <f t="shared" ca="1" si="207"/>
        <v>-18.145952397536547</v>
      </c>
      <c r="V474" s="72">
        <f t="shared" ca="1" si="208"/>
        <v>54954</v>
      </c>
      <c r="W474" s="72">
        <f t="shared" si="209"/>
        <v>3019942116</v>
      </c>
      <c r="Y474" s="110">
        <f t="shared" si="210"/>
        <v>11.173194785372694</v>
      </c>
      <c r="Z474" s="111">
        <f t="shared" si="211"/>
        <v>-88.984358678455706</v>
      </c>
      <c r="AA474" s="72">
        <f t="shared" si="212"/>
        <v>91.015641321544294</v>
      </c>
      <c r="AB474" s="110">
        <f t="shared" ca="1" si="213"/>
        <v>-49.562491693086663</v>
      </c>
      <c r="AC474" s="111">
        <f t="shared" ca="1" si="214"/>
        <v>-109.16159371908083</v>
      </c>
      <c r="AD474" s="72">
        <f t="shared" ca="1" si="215"/>
        <v>70.838406280919173</v>
      </c>
    </row>
    <row r="475" spans="1:30">
      <c r="A475" s="118">
        <v>55274</v>
      </c>
      <c r="B475" s="101">
        <f t="shared" ca="1" si="189"/>
        <v>2834.4927083029088</v>
      </c>
      <c r="C475" s="102">
        <f t="shared" ca="1" si="190"/>
        <v>1.5704435299724475</v>
      </c>
      <c r="D475" s="102">
        <f t="shared" si="191"/>
        <v>1.9142587586637199</v>
      </c>
      <c r="E475" s="103">
        <f t="shared" si="192"/>
        <v>1.0211385839494305</v>
      </c>
      <c r="F475" s="101">
        <f t="shared" si="193"/>
        <v>18892.945090872588</v>
      </c>
      <c r="G475" s="104">
        <f t="shared" si="194"/>
        <v>1.5707433969845543</v>
      </c>
      <c r="H475" s="113">
        <f t="shared" si="195"/>
        <v>2361.6183447701924</v>
      </c>
      <c r="I475" s="114">
        <f t="shared" si="196"/>
        <v>1.5703728883370704</v>
      </c>
      <c r="J475" s="101">
        <f t="shared" si="197"/>
        <v>55.576482822905973</v>
      </c>
      <c r="K475" s="104">
        <f t="shared" si="198"/>
        <v>1.5528021336324775</v>
      </c>
      <c r="L475" s="102">
        <f t="shared" si="199"/>
        <v>1</v>
      </c>
      <c r="M475" s="103">
        <f t="shared" si="200"/>
        <v>1.8233081174290502E-9</v>
      </c>
      <c r="N475" s="101">
        <f t="shared" si="201"/>
        <v>1</v>
      </c>
      <c r="O475" s="104">
        <f t="shared" si="202"/>
        <v>2.9172929878864804E-10</v>
      </c>
      <c r="P475" s="105">
        <f t="shared" ca="1" si="203"/>
        <v>3.2524640104131897</v>
      </c>
      <c r="Q475" s="106">
        <f t="shared" ca="1" si="204"/>
        <v>1.3556157896100725</v>
      </c>
      <c r="R475" s="107">
        <f t="shared" ca="1" si="205"/>
        <v>-54.417214540873573</v>
      </c>
      <c r="S475" s="108">
        <f t="shared" ca="1" si="206"/>
        <v>-198.13415585520448</v>
      </c>
      <c r="T475" s="116">
        <f t="shared" ca="1" si="207"/>
        <v>-18.134155855204483</v>
      </c>
      <c r="V475" s="72">
        <f t="shared" ca="1" si="208"/>
        <v>55274</v>
      </c>
      <c r="W475" s="72">
        <f t="shared" si="209"/>
        <v>3055215076</v>
      </c>
      <c r="Y475" s="110">
        <f t="shared" si="210"/>
        <v>11.122779503137556</v>
      </c>
      <c r="Z475" s="111">
        <f t="shared" si="211"/>
        <v>-88.990237271757323</v>
      </c>
      <c r="AA475" s="72">
        <f t="shared" si="212"/>
        <v>91.009762728242677</v>
      </c>
      <c r="AB475" s="110">
        <f t="shared" ca="1" si="213"/>
        <v>-49.622393697129624</v>
      </c>
      <c r="AC475" s="111">
        <f t="shared" ca="1" si="214"/>
        <v>-109.14391858344717</v>
      </c>
      <c r="AD475" s="72">
        <f t="shared" ca="1" si="215"/>
        <v>70.856081416552826</v>
      </c>
    </row>
    <row r="476" spans="1:30">
      <c r="A476" s="118">
        <v>55594</v>
      </c>
      <c r="B476" s="101">
        <f t="shared" ca="1" si="189"/>
        <v>2850.9025493509034</v>
      </c>
      <c r="C476" s="102">
        <f t="shared" ca="1" si="190"/>
        <v>1.5704455606767302</v>
      </c>
      <c r="D476" s="102">
        <f t="shared" si="191"/>
        <v>1.9223230679891301</v>
      </c>
      <c r="E476" s="103">
        <f t="shared" si="192"/>
        <v>1.0237066202655407</v>
      </c>
      <c r="F476" s="101">
        <f t="shared" si="193"/>
        <v>19002.322780422655</v>
      </c>
      <c r="G476" s="104">
        <f t="shared" si="194"/>
        <v>1.5707437016494332</v>
      </c>
      <c r="H476" s="113">
        <f t="shared" si="195"/>
        <v>2375.2905547643331</v>
      </c>
      <c r="I476" s="114">
        <f t="shared" si="196"/>
        <v>1.5703753256556741</v>
      </c>
      <c r="J476" s="101">
        <f t="shared" si="197"/>
        <v>55.898130129741084</v>
      </c>
      <c r="K476" s="104">
        <f t="shared" si="198"/>
        <v>1.5529056863475883</v>
      </c>
      <c r="L476" s="102">
        <f t="shared" si="199"/>
        <v>1</v>
      </c>
      <c r="M476" s="103">
        <f t="shared" si="200"/>
        <v>1.8338638687330502E-9</v>
      </c>
      <c r="N476" s="101">
        <f t="shared" si="201"/>
        <v>1</v>
      </c>
      <c r="O476" s="104">
        <f t="shared" si="202"/>
        <v>2.9341821899728803E-10</v>
      </c>
      <c r="P476" s="105">
        <f t="shared" ca="1" si="203"/>
        <v>3.2696859689787665</v>
      </c>
      <c r="Q476" s="106">
        <f t="shared" ca="1" si="204"/>
        <v>1.3578771114762844</v>
      </c>
      <c r="R476" s="107">
        <f t="shared" ca="1" si="205"/>
        <v>-54.526835731889214</v>
      </c>
      <c r="S476" s="108">
        <f t="shared" ca="1" si="206"/>
        <v>-198.12250970344854</v>
      </c>
      <c r="T476" s="116">
        <f t="shared" ca="1" si="207"/>
        <v>-18.122509703448543</v>
      </c>
      <c r="V476" s="72">
        <f t="shared" ca="1" si="208"/>
        <v>55594</v>
      </c>
      <c r="W476" s="72">
        <f t="shared" si="209"/>
        <v>3090692836</v>
      </c>
      <c r="Y476" s="110">
        <f t="shared" si="210"/>
        <v>11.072655063514734</v>
      </c>
      <c r="Z476" s="111">
        <f t="shared" si="211"/>
        <v>-88.996048212731296</v>
      </c>
      <c r="AA476" s="72">
        <f t="shared" si="212"/>
        <v>91.003951787268704</v>
      </c>
      <c r="AB476" s="110">
        <f t="shared" ca="1" si="213"/>
        <v>-49.681890448522452</v>
      </c>
      <c r="AC476" s="111">
        <f t="shared" ca="1" si="214"/>
        <v>-109.12646149071722</v>
      </c>
      <c r="AD476" s="72">
        <f t="shared" ca="1" si="215"/>
        <v>70.873538509282781</v>
      </c>
    </row>
    <row r="477" spans="1:30">
      <c r="A477" s="118">
        <v>55914</v>
      </c>
      <c r="B477" s="101">
        <f t="shared" ca="1" si="189"/>
        <v>2867.3123904105205</v>
      </c>
      <c r="C477" s="102">
        <f t="shared" ca="1" si="190"/>
        <v>1.5704475681372714</v>
      </c>
      <c r="D477" s="102">
        <f t="shared" si="191"/>
        <v>1.9303999487022532</v>
      </c>
      <c r="E477" s="103">
        <f t="shared" si="192"/>
        <v>1.0262531836986799</v>
      </c>
      <c r="F477" s="101">
        <f t="shared" si="193"/>
        <v>19111.700469974465</v>
      </c>
      <c r="G477" s="104">
        <f t="shared" si="194"/>
        <v>1.5707440028270725</v>
      </c>
      <c r="H477" s="113">
        <f t="shared" si="195"/>
        <v>2388.9627647724224</v>
      </c>
      <c r="I477" s="114">
        <f t="shared" si="196"/>
        <v>1.5703777350763697</v>
      </c>
      <c r="J477" s="101">
        <f t="shared" si="197"/>
        <v>56.219778029122374</v>
      </c>
      <c r="K477" s="104">
        <f t="shared" si="198"/>
        <v>1.5530080541600226</v>
      </c>
      <c r="L477" s="102">
        <f t="shared" si="199"/>
        <v>1</v>
      </c>
      <c r="M477" s="103">
        <f t="shared" si="200"/>
        <v>1.8444196200370501E-9</v>
      </c>
      <c r="N477" s="101">
        <f t="shared" si="201"/>
        <v>1</v>
      </c>
      <c r="O477" s="104">
        <f t="shared" si="202"/>
        <v>2.9510713920592802E-10</v>
      </c>
      <c r="P477" s="105">
        <f t="shared" ca="1" si="203"/>
        <v>3.2869201892272333</v>
      </c>
      <c r="Q477" s="106">
        <f t="shared" ca="1" si="204"/>
        <v>1.3601208183525346</v>
      </c>
      <c r="R477" s="107">
        <f t="shared" ca="1" si="205"/>
        <v>-54.635769355626813</v>
      </c>
      <c r="S477" s="108">
        <f t="shared" ca="1" si="206"/>
        <v>-198.11101676961744</v>
      </c>
      <c r="T477" s="116">
        <f t="shared" ca="1" si="207"/>
        <v>-18.111016769617436</v>
      </c>
      <c r="V477" s="72">
        <f t="shared" ca="1" si="208"/>
        <v>55914</v>
      </c>
      <c r="W477" s="72">
        <f t="shared" si="209"/>
        <v>3126375396</v>
      </c>
      <c r="Y477" s="110">
        <f t="shared" si="210"/>
        <v>11.02281813109971</v>
      </c>
      <c r="Z477" s="111">
        <f t="shared" si="211"/>
        <v>-89.001792662410978</v>
      </c>
      <c r="AA477" s="72">
        <f t="shared" si="212"/>
        <v>90.998207337589022</v>
      </c>
      <c r="AB477" s="110">
        <f t="shared" ca="1" si="213"/>
        <v>-49.740987139845025</v>
      </c>
      <c r="AC477" s="111">
        <f t="shared" ca="1" si="214"/>
        <v>-109.10922410720647</v>
      </c>
      <c r="AD477" s="72">
        <f t="shared" ca="1" si="215"/>
        <v>70.890775892793528</v>
      </c>
    </row>
    <row r="478" spans="1:30">
      <c r="A478" s="118">
        <v>56234</v>
      </c>
      <c r="B478" s="101">
        <f t="shared" ca="1" si="189"/>
        <v>2883.7222314815608</v>
      </c>
      <c r="C478" s="102">
        <f t="shared" ca="1" si="190"/>
        <v>1.5704495527508764</v>
      </c>
      <c r="D478" s="102">
        <f t="shared" si="191"/>
        <v>1.9384892436638188</v>
      </c>
      <c r="E478" s="103">
        <f t="shared" si="192"/>
        <v>1.0287785098307389</v>
      </c>
      <c r="F478" s="101">
        <f t="shared" si="193"/>
        <v>19221.078159527991</v>
      </c>
      <c r="G478" s="104">
        <f t="shared" si="194"/>
        <v>1.5707443005770043</v>
      </c>
      <c r="H478" s="113">
        <f t="shared" si="195"/>
        <v>2402.6349747942231</v>
      </c>
      <c r="I478" s="114">
        <f t="shared" si="196"/>
        <v>1.5703801170754168</v>
      </c>
      <c r="J478" s="101">
        <f t="shared" si="197"/>
        <v>56.541426510937356</v>
      </c>
      <c r="K478" s="104">
        <f t="shared" si="198"/>
        <v>1.5531092572893639</v>
      </c>
      <c r="L478" s="102">
        <f t="shared" si="199"/>
        <v>1</v>
      </c>
      <c r="M478" s="103">
        <f t="shared" si="200"/>
        <v>1.8549753713410502E-9</v>
      </c>
      <c r="N478" s="101">
        <f t="shared" si="201"/>
        <v>1</v>
      </c>
      <c r="O478" s="104">
        <f t="shared" si="202"/>
        <v>2.9679605941456801E-10</v>
      </c>
      <c r="P478" s="105">
        <f t="shared" ca="1" si="203"/>
        <v>3.3041665456419222</v>
      </c>
      <c r="Q478" s="106">
        <f t="shared" ca="1" si="204"/>
        <v>1.3623471722292249</v>
      </c>
      <c r="R478" s="107">
        <f t="shared" ca="1" si="205"/>
        <v>-54.744023793390177</v>
      </c>
      <c r="S478" s="108">
        <f t="shared" ca="1" si="206"/>
        <v>-198.09967972416291</v>
      </c>
      <c r="T478" s="116">
        <f t="shared" ca="1" si="207"/>
        <v>-18.099679724162911</v>
      </c>
      <c r="V478" s="72">
        <f t="shared" ca="1" si="208"/>
        <v>56234</v>
      </c>
      <c r="W478" s="72">
        <f t="shared" si="209"/>
        <v>3162262756</v>
      </c>
      <c r="Y478" s="110">
        <f t="shared" si="210"/>
        <v>10.973265427519006</v>
      </c>
      <c r="Z478" s="111">
        <f t="shared" si="211"/>
        <v>-89.007471755416461</v>
      </c>
      <c r="AA478" s="72">
        <f t="shared" si="212"/>
        <v>90.992528244583539</v>
      </c>
      <c r="AB478" s="110">
        <f t="shared" ca="1" si="213"/>
        <v>-49.79968887402768</v>
      </c>
      <c r="AC478" s="111">
        <f t="shared" ca="1" si="214"/>
        <v>-109.09220796874644</v>
      </c>
      <c r="AD478" s="72">
        <f t="shared" ca="1" si="215"/>
        <v>70.907792031253564</v>
      </c>
    </row>
    <row r="479" spans="1:30">
      <c r="A479" s="118">
        <v>56561.5</v>
      </c>
      <c r="B479" s="101">
        <f t="shared" ca="1" si="189"/>
        <v>2900.5166782143287</v>
      </c>
      <c r="C479" s="102">
        <f t="shared" ca="1" si="190"/>
        <v>1.5704515606270888</v>
      </c>
      <c r="D479" s="102">
        <f t="shared" si="191"/>
        <v>1.946780824084662</v>
      </c>
      <c r="E479" s="103">
        <f t="shared" si="192"/>
        <v>1.031341276400872</v>
      </c>
      <c r="F479" s="101">
        <f t="shared" si="193"/>
        <v>19333.019388682173</v>
      </c>
      <c r="G479" s="104">
        <f t="shared" si="194"/>
        <v>1.5707446018170057</v>
      </c>
      <c r="H479" s="113">
        <f t="shared" si="195"/>
        <v>2416.6276272523633</v>
      </c>
      <c r="I479" s="114">
        <f t="shared" si="196"/>
        <v>1.570382526995018</v>
      </c>
      <c r="J479" s="101">
        <f t="shared" si="197"/>
        <v>56.870614221802263</v>
      </c>
      <c r="K479" s="104">
        <f t="shared" si="198"/>
        <v>1.5532116470376849</v>
      </c>
      <c r="L479" s="102">
        <f t="shared" si="199"/>
        <v>1</v>
      </c>
      <c r="M479" s="103">
        <f t="shared" si="200"/>
        <v>1.8657785230662375E-9</v>
      </c>
      <c r="N479" s="101">
        <f t="shared" si="201"/>
        <v>1</v>
      </c>
      <c r="O479" s="104">
        <f t="shared" si="202"/>
        <v>2.98524563690598E-10</v>
      </c>
      <c r="P479" s="105">
        <f t="shared" ca="1" si="203"/>
        <v>3.3218295517105672</v>
      </c>
      <c r="Q479" s="106">
        <f t="shared" ca="1" si="204"/>
        <v>1.364608006579056</v>
      </c>
      <c r="R479" s="107">
        <f t="shared" ca="1" si="205"/>
        <v>-54.854120789805343</v>
      </c>
      <c r="S479" s="108">
        <f t="shared" ca="1" si="206"/>
        <v>-198.08824100654309</v>
      </c>
      <c r="T479" s="116">
        <f t="shared" ca="1" si="207"/>
        <v>-18.088241006543086</v>
      </c>
      <c r="V479" s="72">
        <f t="shared" ca="1" si="208"/>
        <v>56561.5</v>
      </c>
      <c r="W479" s="72">
        <f t="shared" si="209"/>
        <v>3199203282.25</v>
      </c>
      <c r="Y479" s="110">
        <f t="shared" si="210"/>
        <v>10.92284226921816</v>
      </c>
      <c r="Z479" s="111">
        <f t="shared" si="211"/>
        <v>-89.013217436905876</v>
      </c>
      <c r="AA479" s="72">
        <f t="shared" si="212"/>
        <v>90.986782563094124</v>
      </c>
      <c r="AB479" s="110">
        <f t="shared" ca="1" si="213"/>
        <v>-49.859362712142001</v>
      </c>
      <c r="AC479" s="111">
        <f t="shared" ca="1" si="214"/>
        <v>-109.07502356963724</v>
      </c>
      <c r="AD479" s="72">
        <f t="shared" ca="1" si="215"/>
        <v>70.924976430362761</v>
      </c>
    </row>
    <row r="480" spans="1:30">
      <c r="A480" s="118">
        <v>56889</v>
      </c>
      <c r="B480" s="101">
        <f t="shared" ca="1" si="189"/>
        <v>2917.3111249586564</v>
      </c>
      <c r="C480" s="102">
        <f t="shared" ca="1" si="190"/>
        <v>1.5704535453853212</v>
      </c>
      <c r="D480" s="102">
        <f t="shared" si="191"/>
        <v>1.9550850820184946</v>
      </c>
      <c r="E480" s="103">
        <f t="shared" si="192"/>
        <v>1.0338822887506594</v>
      </c>
      <c r="F480" s="101">
        <f t="shared" si="193"/>
        <v>19444.960617838082</v>
      </c>
      <c r="G480" s="104">
        <f t="shared" si="194"/>
        <v>1.5707448995886351</v>
      </c>
      <c r="H480" s="113">
        <f t="shared" si="195"/>
        <v>2430.6202797243764</v>
      </c>
      <c r="I480" s="114">
        <f t="shared" si="196"/>
        <v>1.5703849091676545</v>
      </c>
      <c r="J480" s="101">
        <f t="shared" si="197"/>
        <v>57.199802522016924</v>
      </c>
      <c r="K480" s="104">
        <f t="shared" si="198"/>
        <v>1.5533128582687503</v>
      </c>
      <c r="L480" s="102">
        <f t="shared" si="199"/>
        <v>1</v>
      </c>
      <c r="M480" s="103">
        <f t="shared" si="200"/>
        <v>1.876581674791425E-9</v>
      </c>
      <c r="N480" s="101">
        <f t="shared" si="201"/>
        <v>1</v>
      </c>
      <c r="O480" s="104">
        <f t="shared" si="202"/>
        <v>3.0025306796662803E-10</v>
      </c>
      <c r="P480" s="105">
        <f t="shared" ca="1" si="203"/>
        <v>3.3395050125478005</v>
      </c>
      <c r="Q480" s="106">
        <f t="shared" ca="1" si="204"/>
        <v>1.3668512042962349</v>
      </c>
      <c r="R480" s="107">
        <f t="shared" ca="1" si="205"/>
        <v>-54.963523696541415</v>
      </c>
      <c r="S480" s="108">
        <f t="shared" ca="1" si="206"/>
        <v>-198.07697075175349</v>
      </c>
      <c r="T480" s="116">
        <f t="shared" ca="1" si="207"/>
        <v>-18.076970751753493</v>
      </c>
      <c r="V480" s="72">
        <f t="shared" ca="1" si="208"/>
        <v>56889</v>
      </c>
      <c r="W480" s="72">
        <f t="shared" si="209"/>
        <v>3236358321</v>
      </c>
      <c r="Y480" s="110">
        <f t="shared" si="210"/>
        <v>10.872710048363267</v>
      </c>
      <c r="Z480" s="111">
        <f t="shared" si="211"/>
        <v>-89.018896985391265</v>
      </c>
      <c r="AA480" s="72">
        <f t="shared" si="212"/>
        <v>90.981103014608735</v>
      </c>
      <c r="AB480" s="110">
        <f t="shared" ca="1" si="213"/>
        <v>-49.918633398023182</v>
      </c>
      <c r="AC480" s="111">
        <f t="shared" ca="1" si="214"/>
        <v>-109.05807376636223</v>
      </c>
      <c r="AD480" s="72">
        <f t="shared" ca="1" si="215"/>
        <v>70.941926233637773</v>
      </c>
    </row>
    <row r="481" spans="1:30">
      <c r="A481" s="118">
        <v>57216.5</v>
      </c>
      <c r="B481" s="101">
        <f t="shared" ca="1" si="189"/>
        <v>2934.1055717143449</v>
      </c>
      <c r="C481" s="102">
        <f t="shared" ca="1" si="190"/>
        <v>1.5704555074225468</v>
      </c>
      <c r="D481" s="102">
        <f t="shared" si="191"/>
        <v>1.9634018566057356</v>
      </c>
      <c r="E481" s="103">
        <f t="shared" si="192"/>
        <v>1.0364017903035063</v>
      </c>
      <c r="F481" s="101">
        <f t="shared" si="193"/>
        <v>19556.901846995705</v>
      </c>
      <c r="G481" s="104">
        <f t="shared" si="194"/>
        <v>1.5707451939514503</v>
      </c>
      <c r="H481" s="113">
        <f t="shared" si="195"/>
        <v>2444.6129322100255</v>
      </c>
      <c r="I481" s="114">
        <f t="shared" si="196"/>
        <v>1.5703872640697867</v>
      </c>
      <c r="J481" s="101">
        <f t="shared" si="197"/>
        <v>57.528991401464339</v>
      </c>
      <c r="K481" s="104">
        <f t="shared" si="198"/>
        <v>1.5534129112113864</v>
      </c>
      <c r="L481" s="102">
        <f t="shared" si="199"/>
        <v>1</v>
      </c>
      <c r="M481" s="103">
        <f t="shared" si="200"/>
        <v>1.8873848265166125E-9</v>
      </c>
      <c r="N481" s="101">
        <f t="shared" si="201"/>
        <v>1</v>
      </c>
      <c r="O481" s="104">
        <f t="shared" si="202"/>
        <v>3.0198157224265801E-10</v>
      </c>
      <c r="P481" s="105">
        <f t="shared" ca="1" si="203"/>
        <v>3.3571928026545117</v>
      </c>
      <c r="Q481" s="106">
        <f t="shared" ca="1" si="204"/>
        <v>1.3690770303074611</v>
      </c>
      <c r="R481" s="107">
        <f t="shared" ca="1" si="205"/>
        <v>-55.0722410412152</v>
      </c>
      <c r="S481" s="108">
        <f t="shared" ca="1" si="206"/>
        <v>-198.06587134972656</v>
      </c>
      <c r="T481" s="116">
        <f t="shared" ca="1" si="207"/>
        <v>-18.065871349726564</v>
      </c>
      <c r="V481" s="72">
        <f t="shared" ca="1" si="208"/>
        <v>57216.5</v>
      </c>
      <c r="W481" s="72">
        <f t="shared" si="209"/>
        <v>3273727872.25</v>
      </c>
      <c r="Y481" s="110">
        <f t="shared" si="210"/>
        <v>10.822865427851005</v>
      </c>
      <c r="Z481" s="111">
        <f t="shared" si="211"/>
        <v>-89.02451153601227</v>
      </c>
      <c r="AA481" s="72">
        <f t="shared" si="212"/>
        <v>90.97548846398773</v>
      </c>
      <c r="AB481" s="110">
        <f t="shared" ca="1" si="213"/>
        <v>-49.977506122184707</v>
      </c>
      <c r="AC481" s="111">
        <f t="shared" ca="1" si="214"/>
        <v>-109.04135981371431</v>
      </c>
      <c r="AD481" s="72">
        <f t="shared" ca="1" si="215"/>
        <v>70.958640186285692</v>
      </c>
    </row>
    <row r="482" spans="1:30">
      <c r="A482" s="118">
        <v>57544</v>
      </c>
      <c r="B482" s="101">
        <f t="shared" ca="1" si="189"/>
        <v>2950.9000184811989</v>
      </c>
      <c r="C482" s="102">
        <f t="shared" ca="1" si="190"/>
        <v>1.5704574471267014</v>
      </c>
      <c r="D482" s="102">
        <f t="shared" si="191"/>
        <v>1.9717309894604063</v>
      </c>
      <c r="E482" s="103">
        <f t="shared" si="192"/>
        <v>1.0389000214713491</v>
      </c>
      <c r="F482" s="101">
        <f t="shared" si="193"/>
        <v>19668.843076154997</v>
      </c>
      <c r="G482" s="104">
        <f t="shared" si="194"/>
        <v>1.5707454849636533</v>
      </c>
      <c r="H482" s="113">
        <f t="shared" si="195"/>
        <v>2458.605584709077</v>
      </c>
      <c r="I482" s="114">
        <f t="shared" si="196"/>
        <v>1.5703895921670281</v>
      </c>
      <c r="J482" s="101">
        <f t="shared" si="197"/>
        <v>57.85818085025771</v>
      </c>
      <c r="K482" s="104">
        <f t="shared" si="198"/>
        <v>1.5535118256341389</v>
      </c>
      <c r="L482" s="102">
        <f t="shared" si="199"/>
        <v>1</v>
      </c>
      <c r="M482" s="103">
        <f t="shared" si="200"/>
        <v>1.8981879782418E-9</v>
      </c>
      <c r="N482" s="101">
        <f t="shared" si="201"/>
        <v>1</v>
      </c>
      <c r="O482" s="104">
        <f t="shared" si="202"/>
        <v>3.0371007651868799E-10</v>
      </c>
      <c r="P482" s="105">
        <f t="shared" ca="1" si="203"/>
        <v>3.3748927994355462</v>
      </c>
      <c r="Q482" s="106">
        <f t="shared" ca="1" si="204"/>
        <v>1.3712857444156095</v>
      </c>
      <c r="R482" s="107">
        <f t="shared" ca="1" si="205"/>
        <v>-55.180281203964221</v>
      </c>
      <c r="S482" s="108">
        <f t="shared" ca="1" si="206"/>
        <v>-198.05494504301973</v>
      </c>
      <c r="T482" s="116">
        <f t="shared" ca="1" si="207"/>
        <v>-18.054945043019728</v>
      </c>
      <c r="V482" s="72">
        <f t="shared" ca="1" si="208"/>
        <v>57544</v>
      </c>
      <c r="W482" s="72">
        <f t="shared" si="209"/>
        <v>3311311936</v>
      </c>
      <c r="Y482" s="110">
        <f t="shared" si="210"/>
        <v>10.77330512764938</v>
      </c>
      <c r="Z482" s="111">
        <f t="shared" si="211"/>
        <v>-89.030062198080131</v>
      </c>
      <c r="AA482" s="72">
        <f t="shared" si="212"/>
        <v>90.969937801919869</v>
      </c>
      <c r="AB482" s="110">
        <f t="shared" ca="1" si="213"/>
        <v>-50.0359859847321</v>
      </c>
      <c r="AC482" s="111">
        <f t="shared" ca="1" si="214"/>
        <v>-109.02488284493951</v>
      </c>
      <c r="AD482" s="72">
        <f t="shared" ca="1" si="215"/>
        <v>70.975117155060488</v>
      </c>
    </row>
    <row r="483" spans="1:30">
      <c r="A483" s="118">
        <v>57879</v>
      </c>
      <c r="B483" s="101">
        <f t="shared" ca="1" si="189"/>
        <v>2968.0790709105586</v>
      </c>
      <c r="C483" s="102">
        <f t="shared" ca="1" si="190"/>
        <v>1.5704594085406898</v>
      </c>
      <c r="D483" s="102">
        <f t="shared" si="191"/>
        <v>1.9802634892743824</v>
      </c>
      <c r="E483" s="103">
        <f t="shared" si="192"/>
        <v>1.0414337049230997</v>
      </c>
      <c r="F483" s="101">
        <f t="shared" si="193"/>
        <v>19783.347844915064</v>
      </c>
      <c r="G483" s="104">
        <f t="shared" si="194"/>
        <v>1.570745779232964</v>
      </c>
      <c r="H483" s="113">
        <f t="shared" si="195"/>
        <v>2472.9186796454001</v>
      </c>
      <c r="I483" s="114">
        <f t="shared" si="196"/>
        <v>1.5703919463211331</v>
      </c>
      <c r="J483" s="101">
        <f t="shared" si="197"/>
        <v>58.19490956769851</v>
      </c>
      <c r="K483" s="104">
        <f t="shared" si="198"/>
        <v>1.5536118474848311</v>
      </c>
      <c r="L483" s="102">
        <f t="shared" si="199"/>
        <v>1</v>
      </c>
      <c r="M483" s="103">
        <f t="shared" si="200"/>
        <v>1.9092385303881754E-9</v>
      </c>
      <c r="N483" s="101">
        <f t="shared" si="201"/>
        <v>1</v>
      </c>
      <c r="O483" s="104">
        <f t="shared" si="202"/>
        <v>3.0547816486210802E-10</v>
      </c>
      <c r="P483" s="105">
        <f t="shared" ca="1" si="203"/>
        <v>3.3930106440056016</v>
      </c>
      <c r="Q483" s="106">
        <f t="shared" ca="1" si="204"/>
        <v>1.373527601158675</v>
      </c>
      <c r="R483" s="107">
        <f t="shared" ca="1" si="205"/>
        <v>-55.290103532556557</v>
      </c>
      <c r="S483" s="108">
        <f t="shared" ca="1" si="206"/>
        <v>-198.04394979166057</v>
      </c>
      <c r="T483" s="116">
        <f t="shared" ca="1" si="207"/>
        <v>-18.043949791660566</v>
      </c>
      <c r="V483" s="72">
        <f t="shared" ca="1" si="208"/>
        <v>57879</v>
      </c>
      <c r="W483" s="72">
        <f t="shared" si="209"/>
        <v>3349978641</v>
      </c>
      <c r="Y483" s="110">
        <f t="shared" si="210"/>
        <v>10.722900659340533</v>
      </c>
      <c r="Z483" s="111">
        <f t="shared" si="211"/>
        <v>-89.035675004753472</v>
      </c>
      <c r="AA483" s="72">
        <f t="shared" si="212"/>
        <v>90.964324995246528</v>
      </c>
      <c r="AB483" s="110">
        <f t="shared" ca="1" si="213"/>
        <v>-50.095403845015589</v>
      </c>
      <c r="AC483" s="111">
        <f t="shared" ca="1" si="214"/>
        <v>-109.00827478690711</v>
      </c>
      <c r="AD483" s="72">
        <f t="shared" ca="1" si="215"/>
        <v>70.991725213092892</v>
      </c>
    </row>
    <row r="484" spans="1:30">
      <c r="A484" s="118">
        <v>58214</v>
      </c>
      <c r="B484" s="101">
        <f t="shared" ca="1" si="189"/>
        <v>2985.2581233512051</v>
      </c>
      <c r="C484" s="102">
        <f t="shared" ca="1" si="190"/>
        <v>1.5704613473802591</v>
      </c>
      <c r="D484" s="102">
        <f t="shared" si="191"/>
        <v>1.9888085923661454</v>
      </c>
      <c r="E484" s="103">
        <f t="shared" si="192"/>
        <v>1.0439456319667955</v>
      </c>
      <c r="F484" s="101">
        <f t="shared" si="193"/>
        <v>19897.852613676823</v>
      </c>
      <c r="G484" s="104">
        <f t="shared" si="194"/>
        <v>1.570746070115453</v>
      </c>
      <c r="H484" s="113">
        <f t="shared" si="195"/>
        <v>2487.2317745952701</v>
      </c>
      <c r="I484" s="114">
        <f t="shared" si="196"/>
        <v>1.5703942733806731</v>
      </c>
      <c r="J484" s="101">
        <f t="shared" si="197"/>
        <v>58.531638860643994</v>
      </c>
      <c r="K484" s="104">
        <f t="shared" si="198"/>
        <v>1.5537107184961125</v>
      </c>
      <c r="L484" s="102">
        <f t="shared" si="199"/>
        <v>1</v>
      </c>
      <c r="M484" s="103">
        <f t="shared" si="200"/>
        <v>1.9202890825345503E-9</v>
      </c>
      <c r="N484" s="101">
        <f t="shared" si="201"/>
        <v>1</v>
      </c>
      <c r="O484" s="104">
        <f t="shared" si="202"/>
        <v>3.0724625320552799E-10</v>
      </c>
      <c r="P484" s="105">
        <f t="shared" ca="1" si="203"/>
        <v>3.4111410102470257</v>
      </c>
      <c r="Q484" s="106">
        <f t="shared" ca="1" si="204"/>
        <v>1.3757520872671218</v>
      </c>
      <c r="R484" s="107">
        <f t="shared" ca="1" si="205"/>
        <v>-55.39923458684305</v>
      </c>
      <c r="S484" s="108">
        <f t="shared" ca="1" si="206"/>
        <v>-198.03313995330313</v>
      </c>
      <c r="T484" s="116">
        <f t="shared" ca="1" si="207"/>
        <v>-18.033139953303134</v>
      </c>
      <c r="V484" s="72">
        <f t="shared" ca="1" si="208"/>
        <v>58214</v>
      </c>
      <c r="W484" s="72">
        <f t="shared" si="209"/>
        <v>3388869796</v>
      </c>
      <c r="Y484" s="110">
        <f t="shared" si="210"/>
        <v>10.672786917482126</v>
      </c>
      <c r="Z484" s="111">
        <f t="shared" si="211"/>
        <v>-89.041223231539249</v>
      </c>
      <c r="AA484" s="72">
        <f t="shared" si="212"/>
        <v>90.958776768460751</v>
      </c>
      <c r="AB484" s="110">
        <f t="shared" ca="1" si="213"/>
        <v>-50.154421157443672</v>
      </c>
      <c r="AC484" s="111">
        <f t="shared" ca="1" si="214"/>
        <v>-108.99191672176383</v>
      </c>
      <c r="AD484" s="72">
        <f t="shared" ca="1" si="215"/>
        <v>71.008083278236171</v>
      </c>
    </row>
    <row r="485" spans="1:30">
      <c r="A485" s="118">
        <v>58549</v>
      </c>
      <c r="B485" s="101">
        <f t="shared" ca="1" si="189"/>
        <v>3002.4371758029447</v>
      </c>
      <c r="C485" s="102">
        <f t="shared" ca="1" si="190"/>
        <v>1.5704632640329019</v>
      </c>
      <c r="D485" s="102">
        <f t="shared" si="191"/>
        <v>1.9973661369782159</v>
      </c>
      <c r="E485" s="103">
        <f t="shared" si="192"/>
        <v>1.0464360503388006</v>
      </c>
      <c r="F485" s="101">
        <f t="shared" si="193"/>
        <v>20012.357382440245</v>
      </c>
      <c r="G485" s="104">
        <f t="shared" si="194"/>
        <v>1.5707463576692555</v>
      </c>
      <c r="H485" s="113">
        <f t="shared" si="195"/>
        <v>2501.544869558455</v>
      </c>
      <c r="I485" s="114">
        <f t="shared" si="196"/>
        <v>1.5703965738107295</v>
      </c>
      <c r="J485" s="101">
        <f t="shared" si="197"/>
        <v>58.868368719218431</v>
      </c>
      <c r="K485" s="104">
        <f t="shared" si="198"/>
        <v>1.553808458414601</v>
      </c>
      <c r="L485" s="102">
        <f t="shared" si="199"/>
        <v>1</v>
      </c>
      <c r="M485" s="103">
        <f t="shared" si="200"/>
        <v>1.9313396346809252E-9</v>
      </c>
      <c r="N485" s="101">
        <f t="shared" si="201"/>
        <v>1</v>
      </c>
      <c r="O485" s="104">
        <f t="shared" si="202"/>
        <v>3.0901434154894802E-10</v>
      </c>
      <c r="P485" s="105">
        <f t="shared" ca="1" si="203"/>
        <v>3.4292837759203398</v>
      </c>
      <c r="Q485" s="106">
        <f t="shared" ca="1" si="204"/>
        <v>1.3779594649246889</v>
      </c>
      <c r="R485" s="107">
        <f t="shared" ca="1" si="205"/>
        <v>-55.507682877563063</v>
      </c>
      <c r="S485" s="108">
        <f t="shared" ca="1" si="206"/>
        <v>-198.02251748600389</v>
      </c>
      <c r="T485" s="116">
        <f t="shared" ca="1" si="207"/>
        <v>-18.022517486003892</v>
      </c>
      <c r="V485" s="72">
        <f t="shared" ca="1" si="208"/>
        <v>58549</v>
      </c>
      <c r="W485" s="72">
        <f t="shared" si="209"/>
        <v>3427985401</v>
      </c>
      <c r="Y485" s="110">
        <f t="shared" si="210"/>
        <v>10.622960568521361</v>
      </c>
      <c r="Z485" s="111">
        <f t="shared" si="211"/>
        <v>-89.046707986518953</v>
      </c>
      <c r="AA485" s="72">
        <f t="shared" si="212"/>
        <v>90.953292013481047</v>
      </c>
      <c r="AB485" s="110">
        <f t="shared" ca="1" si="213"/>
        <v>-50.21304309920292</v>
      </c>
      <c r="AC485" s="111">
        <f t="shared" ca="1" si="214"/>
        <v>-108.975809499485</v>
      </c>
      <c r="AD485" s="72">
        <f t="shared" ca="1" si="215"/>
        <v>71.024190500515004</v>
      </c>
    </row>
    <row r="486" spans="1:30">
      <c r="A486" s="118">
        <v>58884</v>
      </c>
      <c r="B486" s="101">
        <f t="shared" ca="1" si="189"/>
        <v>3019.6162282655891</v>
      </c>
      <c r="C486" s="102">
        <f t="shared" ca="1" si="190"/>
        <v>1.5704651588772924</v>
      </c>
      <c r="D486" s="102">
        <f t="shared" si="191"/>
        <v>2.0059359638798964</v>
      </c>
      <c r="E486" s="103">
        <f t="shared" si="192"/>
        <v>1.0489052046183784</v>
      </c>
      <c r="F486" s="101">
        <f t="shared" si="193"/>
        <v>20126.862151205303</v>
      </c>
      <c r="G486" s="104">
        <f t="shared" si="194"/>
        <v>1.5707466419511837</v>
      </c>
      <c r="H486" s="113">
        <f t="shared" si="195"/>
        <v>2515.8579645347272</v>
      </c>
      <c r="I486" s="114">
        <f t="shared" si="196"/>
        <v>1.5703988480657998</v>
      </c>
      <c r="J486" s="101">
        <f t="shared" si="197"/>
        <v>59.205099133770766</v>
      </c>
      <c r="K486" s="104">
        <f t="shared" si="198"/>
        <v>1.553905086537765</v>
      </c>
      <c r="L486" s="102">
        <f t="shared" si="199"/>
        <v>1</v>
      </c>
      <c r="M486" s="103">
        <f t="shared" si="200"/>
        <v>1.9423901868273001E-9</v>
      </c>
      <c r="N486" s="101">
        <f t="shared" si="201"/>
        <v>1</v>
      </c>
      <c r="O486" s="104">
        <f t="shared" si="202"/>
        <v>3.1078242989236804E-10</v>
      </c>
      <c r="P486" s="105">
        <f t="shared" ca="1" si="203"/>
        <v>3.4474388216630119</v>
      </c>
      <c r="Q486" s="106">
        <f t="shared" ca="1" si="204"/>
        <v>1.3801499912078792</v>
      </c>
      <c r="R486" s="107">
        <f t="shared" ca="1" si="205"/>
        <v>-55.615456767576205</v>
      </c>
      <c r="S486" s="108">
        <f t="shared" ca="1" si="206"/>
        <v>-198.01208421037657</v>
      </c>
      <c r="T486" s="116">
        <f t="shared" ca="1" si="207"/>
        <v>-18.012084210376571</v>
      </c>
      <c r="V486" s="72">
        <f t="shared" ca="1" si="208"/>
        <v>58884</v>
      </c>
      <c r="W486" s="72">
        <f t="shared" si="209"/>
        <v>3467325456</v>
      </c>
      <c r="Y486" s="110">
        <f t="shared" si="210"/>
        <v>10.573418335897548</v>
      </c>
      <c r="Z486" s="111">
        <f t="shared" si="211"/>
        <v>-89.052130352570501</v>
      </c>
      <c r="AA486" s="72">
        <f t="shared" si="212"/>
        <v>90.947869647429499</v>
      </c>
      <c r="AB486" s="110">
        <f t="shared" ca="1" si="213"/>
        <v>-50.271274756592248</v>
      </c>
      <c r="AC486" s="111">
        <f t="shared" ca="1" si="214"/>
        <v>-108.9599538578061</v>
      </c>
      <c r="AD486" s="72">
        <f t="shared" ca="1" si="215"/>
        <v>71.040046142193901</v>
      </c>
    </row>
    <row r="487" spans="1:30">
      <c r="A487" s="118">
        <v>59227</v>
      </c>
      <c r="B487" s="101">
        <f t="shared" ca="1" si="189"/>
        <v>3037.2055267682967</v>
      </c>
      <c r="C487" s="102">
        <f t="shared" ca="1" si="190"/>
        <v>1.5704670767625053</v>
      </c>
      <c r="D487" s="102">
        <f t="shared" si="191"/>
        <v>2.0147230054338316</v>
      </c>
      <c r="E487" s="103">
        <f t="shared" si="192"/>
        <v>1.0514115440696659</v>
      </c>
      <c r="F487" s="101">
        <f t="shared" si="193"/>
        <v>20244.101362211193</v>
      </c>
      <c r="G487" s="104">
        <f t="shared" si="194"/>
        <v>1.5707469296899073</v>
      </c>
      <c r="H487" s="113">
        <f t="shared" si="195"/>
        <v>2530.5128647774927</v>
      </c>
      <c r="I487" s="114">
        <f t="shared" si="196"/>
        <v>1.5704011499752304</v>
      </c>
      <c r="J487" s="101">
        <f t="shared" si="197"/>
        <v>59.549871437857924</v>
      </c>
      <c r="K487" s="104">
        <f t="shared" si="198"/>
        <v>1.5540028899552618</v>
      </c>
      <c r="L487" s="102">
        <f t="shared" si="199"/>
        <v>1</v>
      </c>
      <c r="M487" s="103">
        <f t="shared" si="200"/>
        <v>1.9537046327562751E-9</v>
      </c>
      <c r="N487" s="101">
        <f t="shared" si="201"/>
        <v>1</v>
      </c>
      <c r="O487" s="104">
        <f t="shared" si="202"/>
        <v>3.1259274124100404E-10</v>
      </c>
      <c r="P487" s="105">
        <f t="shared" ca="1" si="203"/>
        <v>3.4660400224816419</v>
      </c>
      <c r="Q487" s="106">
        <f t="shared" ca="1" si="204"/>
        <v>1.3823756319942893</v>
      </c>
      <c r="R487" s="107">
        <f t="shared" ca="1" si="205"/>
        <v>-55.725114193599417</v>
      </c>
      <c r="S487" s="108">
        <f t="shared" ca="1" si="206"/>
        <v>-198.00159956729971</v>
      </c>
      <c r="T487" s="116">
        <f t="shared" ca="1" si="207"/>
        <v>-18.001599567299706</v>
      </c>
      <c r="V487" s="72">
        <f t="shared" ca="1" si="208"/>
        <v>59227</v>
      </c>
      <c r="W487" s="72">
        <f t="shared" si="209"/>
        <v>3507837529</v>
      </c>
      <c r="Y487" s="110">
        <f t="shared" si="210"/>
        <v>10.52298401645727</v>
      </c>
      <c r="Z487" s="111">
        <f t="shared" si="211"/>
        <v>-89.057618671596003</v>
      </c>
      <c r="AA487" s="72">
        <f t="shared" si="212"/>
        <v>90.942381328403997</v>
      </c>
      <c r="AB487" s="110">
        <f t="shared" ca="1" si="213"/>
        <v>-50.330497863175182</v>
      </c>
      <c r="AC487" s="111">
        <f t="shared" ca="1" si="214"/>
        <v>-108.94398089570369</v>
      </c>
      <c r="AD487" s="72">
        <f t="shared" ca="1" si="215"/>
        <v>71.056019104296311</v>
      </c>
    </row>
    <row r="488" spans="1:30">
      <c r="A488" s="118">
        <v>59570</v>
      </c>
      <c r="B488" s="101">
        <f t="shared" ca="1" si="189"/>
        <v>3054.7948252820465</v>
      </c>
      <c r="C488" s="102">
        <f t="shared" ca="1" si="190"/>
        <v>1.5704689725616159</v>
      </c>
      <c r="D488" s="102">
        <f t="shared" si="191"/>
        <v>2.0235225929868652</v>
      </c>
      <c r="E488" s="103">
        <f t="shared" si="192"/>
        <v>1.0538961006391634</v>
      </c>
      <c r="F488" s="101">
        <f t="shared" si="193"/>
        <v>20361.340573218742</v>
      </c>
      <c r="G488" s="104">
        <f t="shared" si="194"/>
        <v>1.5707472141150705</v>
      </c>
      <c r="H488" s="113">
        <f t="shared" si="195"/>
        <v>2545.1677650335123</v>
      </c>
      <c r="I488" s="114">
        <f t="shared" si="196"/>
        <v>1.5704034253761898</v>
      </c>
      <c r="J488" s="101">
        <f t="shared" si="197"/>
        <v>59.894644305012008</v>
      </c>
      <c r="K488" s="104">
        <f t="shared" si="198"/>
        <v>1.5540995673977192</v>
      </c>
      <c r="L488" s="102">
        <f t="shared" si="199"/>
        <v>1</v>
      </c>
      <c r="M488" s="103">
        <f t="shared" si="200"/>
        <v>1.9650190786852501E-9</v>
      </c>
      <c r="N488" s="101">
        <f t="shared" si="201"/>
        <v>1</v>
      </c>
      <c r="O488" s="104">
        <f t="shared" si="202"/>
        <v>3.1440305258964003E-10</v>
      </c>
      <c r="P488" s="105">
        <f t="shared" ca="1" si="203"/>
        <v>3.4846538525689805</v>
      </c>
      <c r="Q488" s="106">
        <f t="shared" ca="1" si="204"/>
        <v>1.3845841364971574</v>
      </c>
      <c r="R488" s="107">
        <f t="shared" ca="1" si="205"/>
        <v>-55.834081906380028</v>
      </c>
      <c r="S488" s="108">
        <f t="shared" ca="1" si="206"/>
        <v>-197.99131670460415</v>
      </c>
      <c r="T488" s="116">
        <f t="shared" ca="1" si="207"/>
        <v>-17.991316704604145</v>
      </c>
      <c r="V488" s="72">
        <f t="shared" ca="1" si="208"/>
        <v>59570</v>
      </c>
      <c r="W488" s="72">
        <f t="shared" si="209"/>
        <v>3548584900</v>
      </c>
      <c r="Y488" s="110">
        <f t="shared" si="210"/>
        <v>10.472840770776717</v>
      </c>
      <c r="Z488" s="111">
        <f t="shared" si="211"/>
        <v>-89.063043805974345</v>
      </c>
      <c r="AA488" s="72">
        <f t="shared" si="212"/>
        <v>90.936956194025655</v>
      </c>
      <c r="AB488" s="110">
        <f t="shared" ca="1" si="213"/>
        <v>-50.389322330275235</v>
      </c>
      <c r="AC488" s="111">
        <f t="shared" ca="1" si="214"/>
        <v>-108.92827289862984</v>
      </c>
      <c r="AD488" s="72">
        <f t="shared" ca="1" si="215"/>
        <v>71.071727101370158</v>
      </c>
    </row>
    <row r="489" spans="1:30">
      <c r="A489" s="118">
        <v>59913</v>
      </c>
      <c r="B489" s="101">
        <f t="shared" ca="1" si="189"/>
        <v>3072.3841238066507</v>
      </c>
      <c r="C489" s="102">
        <f t="shared" ca="1" si="190"/>
        <v>1.5704708466539508</v>
      </c>
      <c r="D489" s="102">
        <f t="shared" si="191"/>
        <v>2.0323345635742744</v>
      </c>
      <c r="E489" s="103">
        <f t="shared" si="192"/>
        <v>1.0563591267962318</v>
      </c>
      <c r="F489" s="101">
        <f t="shared" si="193"/>
        <v>20478.579784227917</v>
      </c>
      <c r="G489" s="104">
        <f t="shared" si="194"/>
        <v>1.570747495283584</v>
      </c>
      <c r="H489" s="113">
        <f t="shared" si="195"/>
        <v>2559.8226653025581</v>
      </c>
      <c r="I489" s="114">
        <f t="shared" si="196"/>
        <v>1.5704056747239585</v>
      </c>
      <c r="J489" s="101">
        <f t="shared" si="197"/>
        <v>60.239417725565076</v>
      </c>
      <c r="K489" s="104">
        <f t="shared" si="198"/>
        <v>1.5541951381964825</v>
      </c>
      <c r="L489" s="102">
        <f t="shared" si="199"/>
        <v>1</v>
      </c>
      <c r="M489" s="103">
        <f t="shared" si="200"/>
        <v>1.9763335246142251E-9</v>
      </c>
      <c r="N489" s="101">
        <f t="shared" si="201"/>
        <v>1</v>
      </c>
      <c r="O489" s="104">
        <f t="shared" si="202"/>
        <v>3.1621336393827603E-10</v>
      </c>
      <c r="P489" s="105">
        <f t="shared" ca="1" si="203"/>
        <v>3.5032801927213364</v>
      </c>
      <c r="Q489" s="106">
        <f t="shared" ca="1" si="204"/>
        <v>1.3867757647792067</v>
      </c>
      <c r="R489" s="107">
        <f t="shared" ca="1" si="205"/>
        <v>-55.942368421263893</v>
      </c>
      <c r="S489" s="108">
        <f t="shared" ca="1" si="206"/>
        <v>-197.98123716387119</v>
      </c>
      <c r="T489" s="116">
        <f t="shared" ca="1" si="207"/>
        <v>-17.981237163871185</v>
      </c>
      <c r="V489" s="72">
        <f t="shared" ca="1" si="208"/>
        <v>59913</v>
      </c>
      <c r="W489" s="72">
        <f t="shared" si="209"/>
        <v>3589567569</v>
      </c>
      <c r="Y489" s="110">
        <f t="shared" si="210"/>
        <v>10.422985259279232</v>
      </c>
      <c r="Z489" s="111">
        <f t="shared" si="211"/>
        <v>-89.06840684048511</v>
      </c>
      <c r="AA489" s="72">
        <f t="shared" si="212"/>
        <v>90.93159315951489</v>
      </c>
      <c r="AB489" s="110">
        <f t="shared" ca="1" si="213"/>
        <v>-50.447753333661623</v>
      </c>
      <c r="AC489" s="111">
        <f t="shared" ca="1" si="214"/>
        <v>-108.912830323386</v>
      </c>
      <c r="AD489" s="72">
        <f t="shared" ca="1" si="215"/>
        <v>71.087169676613996</v>
      </c>
    </row>
    <row r="490" spans="1:30">
      <c r="A490" s="118">
        <v>60256</v>
      </c>
      <c r="B490" s="101">
        <f t="shared" ca="1" si="189"/>
        <v>3089.9734223419227</v>
      </c>
      <c r="C490" s="102">
        <f t="shared" ca="1" si="190"/>
        <v>1.5704726994101996</v>
      </c>
      <c r="D490" s="102">
        <f t="shared" si="191"/>
        <v>2.0411587568181417</v>
      </c>
      <c r="E490" s="103">
        <f t="shared" si="192"/>
        <v>1.0588008716985295</v>
      </c>
      <c r="F490" s="101">
        <f t="shared" si="193"/>
        <v>20595.818995238693</v>
      </c>
      <c r="G490" s="104">
        <f t="shared" si="194"/>
        <v>1.5707477732510622</v>
      </c>
      <c r="H490" s="113">
        <f t="shared" si="195"/>
        <v>2574.4775655844082</v>
      </c>
      <c r="I490" s="114">
        <f t="shared" si="196"/>
        <v>1.5704078984634502</v>
      </c>
      <c r="J490" s="101">
        <f t="shared" si="197"/>
        <v>60.584191690069254</v>
      </c>
      <c r="K490" s="104">
        <f t="shared" si="198"/>
        <v>1.554289621242934</v>
      </c>
      <c r="L490" s="102">
        <f t="shared" si="199"/>
        <v>1</v>
      </c>
      <c r="M490" s="103">
        <f t="shared" si="200"/>
        <v>1.9876479705432001E-9</v>
      </c>
      <c r="N490" s="101">
        <f t="shared" si="201"/>
        <v>1</v>
      </c>
      <c r="O490" s="104">
        <f t="shared" si="202"/>
        <v>3.1802367528691203E-10</v>
      </c>
      <c r="P490" s="105">
        <f t="shared" ca="1" si="203"/>
        <v>3.5219189265941879</v>
      </c>
      <c r="Q490" s="106">
        <f t="shared" ca="1" si="204"/>
        <v>1.3889507717976763</v>
      </c>
      <c r="R490" s="107">
        <f t="shared" ca="1" si="205"/>
        <v>-56.049982104839948</v>
      </c>
      <c r="S490" s="108">
        <f t="shared" ca="1" si="206"/>
        <v>-197.97136235872216</v>
      </c>
      <c r="T490" s="116">
        <f t="shared" ca="1" si="207"/>
        <v>-17.97136235872216</v>
      </c>
      <c r="V490" s="72">
        <f t="shared" ca="1" si="208"/>
        <v>60256</v>
      </c>
      <c r="W490" s="72">
        <f t="shared" si="209"/>
        <v>3630785536</v>
      </c>
      <c r="Y490" s="110">
        <f t="shared" si="210"/>
        <v>10.373414199518741</v>
      </c>
      <c r="Z490" s="111">
        <f t="shared" si="211"/>
        <v>-89.073708835219591</v>
      </c>
      <c r="AA490" s="72">
        <f t="shared" si="212"/>
        <v>90.926291164780409</v>
      </c>
      <c r="AB490" s="110">
        <f t="shared" ca="1" si="213"/>
        <v>-50.50579595747719</v>
      </c>
      <c r="AC490" s="111">
        <f t="shared" ca="1" si="214"/>
        <v>-108.89765352350258</v>
      </c>
      <c r="AD490" s="72">
        <f t="shared" ca="1" si="215"/>
        <v>71.102346476497416</v>
      </c>
    </row>
    <row r="491" spans="1:30">
      <c r="A491" s="118">
        <v>60607</v>
      </c>
      <c r="B491" s="101">
        <f t="shared" ca="1" si="189"/>
        <v>3107.9729669180269</v>
      </c>
      <c r="C491" s="102">
        <f t="shared" ca="1" si="190"/>
        <v>1.5704745736690173</v>
      </c>
      <c r="D491" s="102">
        <f t="shared" si="191"/>
        <v>2.0502012510879464</v>
      </c>
      <c r="E491" s="103">
        <f t="shared" si="192"/>
        <v>1.0612777918568037</v>
      </c>
      <c r="F491" s="101">
        <f t="shared" si="193"/>
        <v>20715.792648490416</v>
      </c>
      <c r="G491" s="104">
        <f t="shared" si="194"/>
        <v>1.5707480544445522</v>
      </c>
      <c r="H491" s="113">
        <f t="shared" si="195"/>
        <v>2589.4742711336748</v>
      </c>
      <c r="I491" s="114">
        <f t="shared" si="196"/>
        <v>1.5704101480110395</v>
      </c>
      <c r="J491" s="101">
        <f t="shared" si="197"/>
        <v>60.937007583335607</v>
      </c>
      <c r="K491" s="104">
        <f t="shared" si="198"/>
        <v>1.5543852011328692</v>
      </c>
      <c r="L491" s="102">
        <f t="shared" si="199"/>
        <v>1</v>
      </c>
      <c r="M491" s="103">
        <f t="shared" si="200"/>
        <v>1.9992263102547752E-9</v>
      </c>
      <c r="N491" s="101">
        <f t="shared" si="201"/>
        <v>1</v>
      </c>
      <c r="O491" s="104">
        <f t="shared" si="202"/>
        <v>3.19876209640764E-10</v>
      </c>
      <c r="P491" s="105">
        <f t="shared" ca="1" si="203"/>
        <v>3.5410050953565197</v>
      </c>
      <c r="Q491" s="106">
        <f t="shared" ca="1" si="204"/>
        <v>1.3911595613235757</v>
      </c>
      <c r="R491" s="107">
        <f t="shared" ca="1" si="205"/>
        <v>-56.159417751200749</v>
      </c>
      <c r="S491" s="108">
        <f t="shared" ca="1" si="206"/>
        <v>-197.96147053759748</v>
      </c>
      <c r="T491" s="116">
        <f t="shared" ca="1" si="207"/>
        <v>-17.961470537597478</v>
      </c>
      <c r="V491" s="72">
        <f t="shared" ca="1" si="208"/>
        <v>60607</v>
      </c>
      <c r="W491" s="72">
        <f t="shared" si="209"/>
        <v>3673208449</v>
      </c>
      <c r="Y491" s="110">
        <f t="shared" si="210"/>
        <v>10.322978078198954</v>
      </c>
      <c r="Z491" s="111">
        <f t="shared" si="211"/>
        <v>-89.079072380585586</v>
      </c>
      <c r="AA491" s="72">
        <f t="shared" si="212"/>
        <v>90.920927619414414</v>
      </c>
      <c r="AB491" s="110">
        <f t="shared" ca="1" si="213"/>
        <v>-50.564795482518207</v>
      </c>
      <c r="AC491" s="111">
        <f t="shared" ca="1" si="214"/>
        <v>-108.88239815701188</v>
      </c>
      <c r="AD491" s="72">
        <f t="shared" ca="1" si="215"/>
        <v>71.117601842988122</v>
      </c>
    </row>
    <row r="492" spans="1:30">
      <c r="A492" s="118">
        <v>60958</v>
      </c>
      <c r="B492" s="101">
        <f t="shared" ca="1" si="189"/>
        <v>3125.9725115049232</v>
      </c>
      <c r="C492" s="102">
        <f t="shared" ca="1" si="190"/>
        <v>1.5704764263436368</v>
      </c>
      <c r="D492" s="102">
        <f t="shared" si="191"/>
        <v>2.0592562131053493</v>
      </c>
      <c r="E492" s="103">
        <f t="shared" si="192"/>
        <v>1.06373294393956</v>
      </c>
      <c r="F492" s="101">
        <f t="shared" si="193"/>
        <v>20835.766301743763</v>
      </c>
      <c r="G492" s="104">
        <f t="shared" si="194"/>
        <v>1.5707483323997828</v>
      </c>
      <c r="H492" s="113">
        <f t="shared" si="195"/>
        <v>2604.470976695894</v>
      </c>
      <c r="I492" s="114">
        <f t="shared" si="196"/>
        <v>1.5704123716525595</v>
      </c>
      <c r="J492" s="101">
        <f t="shared" si="197"/>
        <v>61.289824026883721</v>
      </c>
      <c r="K492" s="104">
        <f t="shared" si="198"/>
        <v>1.5544796806074848</v>
      </c>
      <c r="L492" s="102">
        <f t="shared" si="199"/>
        <v>1</v>
      </c>
      <c r="M492" s="103">
        <f t="shared" si="200"/>
        <v>2.0108046499663502E-9</v>
      </c>
      <c r="N492" s="101">
        <f t="shared" si="201"/>
        <v>1</v>
      </c>
      <c r="O492" s="104">
        <f t="shared" si="202"/>
        <v>3.2172874399461602E-10</v>
      </c>
      <c r="P492" s="105">
        <f t="shared" ca="1" si="203"/>
        <v>3.5601040050679855</v>
      </c>
      <c r="Q492" s="106">
        <f t="shared" ca="1" si="204"/>
        <v>1.3933514695527227</v>
      </c>
      <c r="R492" s="107">
        <f t="shared" ca="1" si="205"/>
        <v>-56.268166078588955</v>
      </c>
      <c r="S492" s="108">
        <f t="shared" ca="1" si="206"/>
        <v>-197.95179572120449</v>
      </c>
      <c r="T492" s="116">
        <f t="shared" ca="1" si="207"/>
        <v>-17.951795721204491</v>
      </c>
      <c r="V492" s="72">
        <f t="shared" ca="1" si="208"/>
        <v>60958</v>
      </c>
      <c r="W492" s="72">
        <f t="shared" si="209"/>
        <v>3715877764</v>
      </c>
      <c r="Y492" s="110">
        <f t="shared" si="210"/>
        <v>10.27283305505229</v>
      </c>
      <c r="Z492" s="111">
        <f t="shared" si="211"/>
        <v>-89.084374175567859</v>
      </c>
      <c r="AA492" s="72">
        <f t="shared" si="212"/>
        <v>90.915625824432141</v>
      </c>
      <c r="AB492" s="110">
        <f t="shared" ca="1" si="213"/>
        <v>-50.623398786759743</v>
      </c>
      <c r="AC492" s="111">
        <f t="shared" ca="1" si="214"/>
        <v>-108.86742154563669</v>
      </c>
      <c r="AD492" s="72">
        <f t="shared" ca="1" si="215"/>
        <v>71.132578454363312</v>
      </c>
    </row>
    <row r="493" spans="1:30">
      <c r="A493" s="118">
        <v>61309</v>
      </c>
      <c r="B493" s="101">
        <f t="shared" ca="1" si="189"/>
        <v>3143.972056102426</v>
      </c>
      <c r="C493" s="102">
        <f t="shared" ca="1" si="190"/>
        <v>1.5704782578047731</v>
      </c>
      <c r="D493" s="102">
        <f t="shared" si="191"/>
        <v>2.0683234791218204</v>
      </c>
      <c r="E493" s="103">
        <f t="shared" si="192"/>
        <v>1.0661665844383801</v>
      </c>
      <c r="F493" s="101">
        <f t="shared" si="193"/>
        <v>20955.739954998695</v>
      </c>
      <c r="G493" s="104">
        <f t="shared" si="194"/>
        <v>1.570748607172372</v>
      </c>
      <c r="H493" s="113">
        <f t="shared" si="195"/>
        <v>2619.4676822708439</v>
      </c>
      <c r="I493" s="114">
        <f t="shared" si="196"/>
        <v>1.5704145698329544</v>
      </c>
      <c r="J493" s="101">
        <f t="shared" si="197"/>
        <v>61.642641011264864</v>
      </c>
      <c r="K493" s="104">
        <f t="shared" si="198"/>
        <v>1.5545730785600462</v>
      </c>
      <c r="L493" s="102">
        <f t="shared" si="199"/>
        <v>1</v>
      </c>
      <c r="M493" s="103">
        <f t="shared" si="200"/>
        <v>2.0223829896779253E-9</v>
      </c>
      <c r="N493" s="101">
        <f t="shared" si="201"/>
        <v>1</v>
      </c>
      <c r="O493" s="104">
        <f t="shared" si="202"/>
        <v>3.2358127834846804E-10</v>
      </c>
      <c r="P493" s="105">
        <f t="shared" ca="1" si="203"/>
        <v>3.5792155398929877</v>
      </c>
      <c r="Q493" s="106">
        <f t="shared" ca="1" si="204"/>
        <v>1.3955267538696834</v>
      </c>
      <c r="R493" s="107">
        <f t="shared" ca="1" si="205"/>
        <v>-56.376235590001571</v>
      </c>
      <c r="S493" s="108">
        <f t="shared" ca="1" si="206"/>
        <v>-197.94233904214568</v>
      </c>
      <c r="T493" s="116">
        <f t="shared" ca="1" si="207"/>
        <v>-17.942339042145676</v>
      </c>
      <c r="V493" s="72">
        <f t="shared" ca="1" si="208"/>
        <v>61309</v>
      </c>
      <c r="W493" s="72">
        <f t="shared" si="209"/>
        <v>3758793481</v>
      </c>
      <c r="Y493" s="110">
        <f t="shared" si="210"/>
        <v>10.222975790020371</v>
      </c>
      <c r="Z493" s="111">
        <f t="shared" si="211"/>
        <v>-89.089615280363958</v>
      </c>
      <c r="AA493" s="72">
        <f t="shared" si="212"/>
        <v>90.910384719636042</v>
      </c>
      <c r="AB493" s="110">
        <f t="shared" ca="1" si="213"/>
        <v>-50.681611033140435</v>
      </c>
      <c r="AC493" s="111">
        <f t="shared" ca="1" si="214"/>
        <v>-108.85272376178169</v>
      </c>
      <c r="AD493" s="72">
        <f t="shared" ca="1" si="215"/>
        <v>71.147276238218311</v>
      </c>
    </row>
    <row r="494" spans="1:30">
      <c r="A494" s="118">
        <v>61660</v>
      </c>
      <c r="B494" s="101">
        <f t="shared" ca="1" si="189"/>
        <v>3161.9716007103548</v>
      </c>
      <c r="C494" s="102">
        <f t="shared" ca="1" si="190"/>
        <v>1.5704800684146996</v>
      </c>
      <c r="D494" s="102">
        <f t="shared" si="191"/>
        <v>2.077402888027116</v>
      </c>
      <c r="E494" s="103">
        <f t="shared" si="192"/>
        <v>1.0685789663891787</v>
      </c>
      <c r="F494" s="101">
        <f t="shared" si="193"/>
        <v>21075.713608255192</v>
      </c>
      <c r="G494" s="104">
        <f t="shared" si="194"/>
        <v>1.570748878816671</v>
      </c>
      <c r="H494" s="113">
        <f t="shared" si="195"/>
        <v>2634.4643878583065</v>
      </c>
      <c r="I494" s="114">
        <f t="shared" si="196"/>
        <v>1.570416742987037</v>
      </c>
      <c r="J494" s="101">
        <f t="shared" si="197"/>
        <v>61.995458527245361</v>
      </c>
      <c r="K494" s="104">
        <f t="shared" si="198"/>
        <v>1.5546654134538072</v>
      </c>
      <c r="L494" s="102">
        <f t="shared" si="199"/>
        <v>1</v>
      </c>
      <c r="M494" s="103">
        <f t="shared" si="200"/>
        <v>2.0339613293895004E-9</v>
      </c>
      <c r="N494" s="101">
        <f t="shared" si="201"/>
        <v>1</v>
      </c>
      <c r="O494" s="104">
        <f t="shared" si="202"/>
        <v>3.2543381270232001E-10</v>
      </c>
      <c r="P494" s="105">
        <f t="shared" ca="1" si="203"/>
        <v>3.5983395868293151</v>
      </c>
      <c r="Q494" s="106">
        <f t="shared" ca="1" si="204"/>
        <v>1.3976856665710218</v>
      </c>
      <c r="R494" s="107">
        <f t="shared" ca="1" si="205"/>
        <v>-56.483634639215794</v>
      </c>
      <c r="S494" s="108">
        <f t="shared" ca="1" si="206"/>
        <v>-197.93310151488353</v>
      </c>
      <c r="T494" s="116">
        <f t="shared" ca="1" si="207"/>
        <v>-17.933101514883532</v>
      </c>
      <c r="V494" s="72">
        <f t="shared" ca="1" si="208"/>
        <v>61660</v>
      </c>
      <c r="W494" s="72">
        <f t="shared" si="209"/>
        <v>3801955600</v>
      </c>
      <c r="Y494" s="110">
        <f t="shared" si="210"/>
        <v>10.173403000187777</v>
      </c>
      <c r="Z494" s="111">
        <f t="shared" si="211"/>
        <v>-89.09479673104164</v>
      </c>
      <c r="AA494" s="72">
        <f t="shared" si="212"/>
        <v>90.90520326895836</v>
      </c>
      <c r="AB494" s="110">
        <f t="shared" ca="1" si="213"/>
        <v>-50.739437292522062</v>
      </c>
      <c r="AC494" s="111">
        <f t="shared" ca="1" si="214"/>
        <v>-108.83830478384191</v>
      </c>
      <c r="AD494" s="72">
        <f t="shared" ca="1" si="215"/>
        <v>71.161695216158094</v>
      </c>
    </row>
    <row r="495" spans="1:30">
      <c r="A495" s="118">
        <v>62019</v>
      </c>
      <c r="B495" s="101">
        <f t="shared" ca="1" si="189"/>
        <v>3180.3813913598337</v>
      </c>
      <c r="C495" s="102">
        <f t="shared" ca="1" si="190"/>
        <v>1.5704818990916047</v>
      </c>
      <c r="D495" s="102">
        <f t="shared" si="191"/>
        <v>2.0867016310002588</v>
      </c>
      <c r="E495" s="103">
        <f t="shared" si="192"/>
        <v>1.0710246007118314</v>
      </c>
      <c r="F495" s="101">
        <f t="shared" si="193"/>
        <v>21198.421703752741</v>
      </c>
      <c r="G495" s="104">
        <f t="shared" si="194"/>
        <v>1.5707491534716018</v>
      </c>
      <c r="H495" s="113">
        <f t="shared" si="195"/>
        <v>2649.8028987140465</v>
      </c>
      <c r="I495" s="114">
        <f t="shared" si="196"/>
        <v>1.5704189402261741</v>
      </c>
      <c r="J495" s="101">
        <f t="shared" si="197"/>
        <v>62.356318008598024</v>
      </c>
      <c r="K495" s="104">
        <f t="shared" si="198"/>
        <v>1.5547587719741875</v>
      </c>
      <c r="L495" s="102">
        <f t="shared" si="199"/>
        <v>1</v>
      </c>
      <c r="M495" s="103">
        <f t="shared" si="200"/>
        <v>2.0458035628836751E-9</v>
      </c>
      <c r="N495" s="101">
        <f t="shared" si="201"/>
        <v>1</v>
      </c>
      <c r="O495" s="104">
        <f t="shared" si="202"/>
        <v>3.27328570061388E-10</v>
      </c>
      <c r="P495" s="105">
        <f t="shared" ca="1" si="203"/>
        <v>3.6179123377174172</v>
      </c>
      <c r="Q495" s="106">
        <f t="shared" ca="1" si="204"/>
        <v>1.3998771074424268</v>
      </c>
      <c r="R495" s="107">
        <f t="shared" ca="1" si="205"/>
        <v>-56.592796526126044</v>
      </c>
      <c r="S495" s="108">
        <f t="shared" ca="1" si="206"/>
        <v>-197.92388108566561</v>
      </c>
      <c r="T495" s="116">
        <f t="shared" ca="1" si="207"/>
        <v>-17.923881085665613</v>
      </c>
      <c r="V495" s="72">
        <f t="shared" ca="1" si="208"/>
        <v>62019</v>
      </c>
      <c r="W495" s="72">
        <f t="shared" si="209"/>
        <v>3846356361</v>
      </c>
      <c r="Y495" s="110">
        <f t="shared" si="210"/>
        <v>10.122991257666083</v>
      </c>
      <c r="Z495" s="111">
        <f t="shared" si="211"/>
        <v>-89.100035623716252</v>
      </c>
      <c r="AA495" s="72">
        <f t="shared" si="212"/>
        <v>90.899964376283748</v>
      </c>
      <c r="AB495" s="110">
        <f t="shared" ca="1" si="213"/>
        <v>-50.798187436910624</v>
      </c>
      <c r="AC495" s="111">
        <f t="shared" ca="1" si="214"/>
        <v>-108.82384546194935</v>
      </c>
      <c r="AD495" s="72">
        <f t="shared" ca="1" si="215"/>
        <v>71.176154538050653</v>
      </c>
    </row>
    <row r="496" spans="1:30">
      <c r="A496" s="118">
        <v>62378</v>
      </c>
      <c r="B496" s="101">
        <f t="shared" ca="1" si="189"/>
        <v>3198.7911820198483</v>
      </c>
      <c r="C496" s="102">
        <f t="shared" ca="1" si="190"/>
        <v>1.5704837086965633</v>
      </c>
      <c r="D496" s="102">
        <f t="shared" si="191"/>
        <v>2.0960127440182514</v>
      </c>
      <c r="E496" s="103">
        <f t="shared" si="192"/>
        <v>1.0734485209527274</v>
      </c>
      <c r="F496" s="101">
        <f t="shared" si="193"/>
        <v>21321.129799251878</v>
      </c>
      <c r="G496" s="104">
        <f t="shared" si="194"/>
        <v>1.5707494249651257</v>
      </c>
      <c r="H496" s="113">
        <f t="shared" si="195"/>
        <v>2665.141409582433</v>
      </c>
      <c r="I496" s="114">
        <f t="shared" si="196"/>
        <v>1.570421112174063</v>
      </c>
      <c r="J496" s="101">
        <f t="shared" si="197"/>
        <v>62.717178027182527</v>
      </c>
      <c r="K496" s="104">
        <f t="shared" si="198"/>
        <v>1.554851056169049</v>
      </c>
      <c r="L496" s="102">
        <f t="shared" si="199"/>
        <v>1</v>
      </c>
      <c r="M496" s="103">
        <f t="shared" si="200"/>
        <v>2.0576457963778503E-9</v>
      </c>
      <c r="N496" s="101">
        <f t="shared" si="201"/>
        <v>1</v>
      </c>
      <c r="O496" s="104">
        <f t="shared" si="202"/>
        <v>3.29223327420456E-10</v>
      </c>
      <c r="P496" s="105">
        <f t="shared" ca="1" si="203"/>
        <v>3.6374979472213034</v>
      </c>
      <c r="Q496" s="106">
        <f t="shared" ca="1" si="204"/>
        <v>1.4020519400031617</v>
      </c>
      <c r="R496" s="107">
        <f t="shared" ca="1" si="205"/>
        <v>-56.701274253407988</v>
      </c>
      <c r="S496" s="108">
        <f t="shared" ca="1" si="206"/>
        <v>-197.91489170187731</v>
      </c>
      <c r="T496" s="116">
        <f t="shared" ca="1" si="207"/>
        <v>-17.914891701877309</v>
      </c>
      <c r="V496" s="72">
        <f t="shared" ca="1" si="208"/>
        <v>62378</v>
      </c>
      <c r="W496" s="72">
        <f t="shared" si="209"/>
        <v>3891014884</v>
      </c>
      <c r="Y496" s="110">
        <f t="shared" si="210"/>
        <v>10.072870336291002</v>
      </c>
      <c r="Z496" s="111">
        <f t="shared" si="211"/>
        <v>-89.105214230019286</v>
      </c>
      <c r="AA496" s="72">
        <f t="shared" si="212"/>
        <v>90.894785769980714</v>
      </c>
      <c r="AB496" s="110">
        <f t="shared" ca="1" si="213"/>
        <v>-50.856544242817492</v>
      </c>
      <c r="AC496" s="111">
        <f t="shared" ca="1" si="214"/>
        <v>-108.80967747185794</v>
      </c>
      <c r="AD496" s="72">
        <f t="shared" ca="1" si="215"/>
        <v>71.190322528142062</v>
      </c>
    </row>
    <row r="497" spans="1:30">
      <c r="A497" s="118">
        <v>62737</v>
      </c>
      <c r="B497" s="101">
        <f t="shared" ca="1" si="189"/>
        <v>3217.2009726902188</v>
      </c>
      <c r="C497" s="102">
        <f t="shared" ca="1" si="190"/>
        <v>1.5704854975913152</v>
      </c>
      <c r="D497" s="102">
        <f t="shared" si="191"/>
        <v>2.1053360629568725</v>
      </c>
      <c r="E497" s="103">
        <f t="shared" si="192"/>
        <v>1.0758509869161417</v>
      </c>
      <c r="F497" s="101">
        <f t="shared" si="193"/>
        <v>21443.837894752563</v>
      </c>
      <c r="G497" s="104">
        <f t="shared" si="194"/>
        <v>1.5707496933515144</v>
      </c>
      <c r="H497" s="113">
        <f t="shared" si="195"/>
        <v>2680.4799204632473</v>
      </c>
      <c r="I497" s="114">
        <f t="shared" si="196"/>
        <v>1.5704232592648761</v>
      </c>
      <c r="J497" s="101">
        <f t="shared" si="197"/>
        <v>63.07803857377862</v>
      </c>
      <c r="K497" s="104">
        <f t="shared" si="198"/>
        <v>1.5549422844749994</v>
      </c>
      <c r="L497" s="102">
        <f t="shared" si="199"/>
        <v>1</v>
      </c>
      <c r="M497" s="103">
        <f t="shared" si="200"/>
        <v>2.0694880298720254E-9</v>
      </c>
      <c r="N497" s="101">
        <f t="shared" si="201"/>
        <v>1</v>
      </c>
      <c r="O497" s="104">
        <f t="shared" si="202"/>
        <v>3.3111808477952399E-10</v>
      </c>
      <c r="P497" s="105">
        <f t="shared" ca="1" si="203"/>
        <v>3.6570963031772967</v>
      </c>
      <c r="Q497" s="106">
        <f t="shared" ca="1" si="204"/>
        <v>1.4042104184549071</v>
      </c>
      <c r="R497" s="107">
        <f t="shared" ca="1" si="205"/>
        <v>-56.809076295922864</v>
      </c>
      <c r="S497" s="108">
        <f t="shared" ca="1" si="206"/>
        <v>-197.90613409781267</v>
      </c>
      <c r="T497" s="116">
        <f t="shared" ca="1" si="207"/>
        <v>-17.906134097812668</v>
      </c>
      <c r="V497" s="72">
        <f t="shared" ca="1" si="208"/>
        <v>62737</v>
      </c>
      <c r="W497" s="72">
        <f t="shared" si="209"/>
        <v>3935931169</v>
      </c>
      <c r="Y497" s="110">
        <f t="shared" si="210"/>
        <v>10.023036900697406</v>
      </c>
      <c r="Z497" s="111">
        <f t="shared" si="211"/>
        <v>-89.110333584523815</v>
      </c>
      <c r="AA497" s="72">
        <f t="shared" si="212"/>
        <v>90.889666415476185</v>
      </c>
      <c r="AB497" s="110">
        <f t="shared" ca="1" si="213"/>
        <v>-50.914512849738756</v>
      </c>
      <c r="AC497" s="111">
        <f t="shared" ca="1" si="214"/>
        <v>-108.79580051328887</v>
      </c>
      <c r="AD497" s="72">
        <f t="shared" ca="1" si="215"/>
        <v>71.204199486711133</v>
      </c>
    </row>
    <row r="498" spans="1:30">
      <c r="A498" s="118">
        <v>63096</v>
      </c>
      <c r="B498" s="101">
        <f t="shared" ca="1" si="189"/>
        <v>3235.6107633707666</v>
      </c>
      <c r="C498" s="102">
        <f t="shared" ca="1" si="190"/>
        <v>1.5704872661293678</v>
      </c>
      <c r="D498" s="102">
        <f t="shared" si="191"/>
        <v>2.1146714263730453</v>
      </c>
      <c r="E498" s="103">
        <f t="shared" si="192"/>
        <v>1.0782322548183221</v>
      </c>
      <c r="F498" s="101">
        <f t="shared" si="193"/>
        <v>21566.545990254777</v>
      </c>
      <c r="G498" s="104">
        <f t="shared" si="194"/>
        <v>1.5707499586838041</v>
      </c>
      <c r="H498" s="113">
        <f t="shared" si="195"/>
        <v>2695.8184313562783</v>
      </c>
      <c r="I498" s="114">
        <f t="shared" si="196"/>
        <v>1.5704253819229046</v>
      </c>
      <c r="J498" s="101">
        <f t="shared" si="197"/>
        <v>63.438899639375805</v>
      </c>
      <c r="K498" s="104">
        <f t="shared" si="198"/>
        <v>1.5550324749092246</v>
      </c>
      <c r="L498" s="102">
        <f t="shared" si="199"/>
        <v>1</v>
      </c>
      <c r="M498" s="103">
        <f t="shared" si="200"/>
        <v>2.0813302633662001E-9</v>
      </c>
      <c r="N498" s="101">
        <f t="shared" si="201"/>
        <v>1</v>
      </c>
      <c r="O498" s="104">
        <f t="shared" si="202"/>
        <v>3.3301284213859204E-10</v>
      </c>
      <c r="P498" s="105">
        <f t="shared" ca="1" si="203"/>
        <v>3.6767072962220086</v>
      </c>
      <c r="Q498" s="106">
        <f t="shared" ca="1" si="204"/>
        <v>1.4063527919434533</v>
      </c>
      <c r="R498" s="107">
        <f t="shared" ca="1" si="205"/>
        <v>-56.916210979243161</v>
      </c>
      <c r="S498" s="108">
        <f t="shared" ca="1" si="206"/>
        <v>-197.89760889965632</v>
      </c>
      <c r="T498" s="116">
        <f t="shared" ca="1" si="207"/>
        <v>-17.897608899656319</v>
      </c>
      <c r="V498" s="72">
        <f t="shared" ca="1" si="208"/>
        <v>63096</v>
      </c>
      <c r="W498" s="72">
        <f t="shared" si="209"/>
        <v>3981105216</v>
      </c>
      <c r="Y498" s="110">
        <f t="shared" si="210"/>
        <v>9.9734876725577664</v>
      </c>
      <c r="Z498" s="111">
        <f t="shared" si="211"/>
        <v>-89.115394698267181</v>
      </c>
      <c r="AA498" s="72">
        <f t="shared" si="212"/>
        <v>90.884605301732819</v>
      </c>
      <c r="AB498" s="110">
        <f t="shared" ca="1" si="213"/>
        <v>-50.97209830491942</v>
      </c>
      <c r="AC498" s="111">
        <f t="shared" ca="1" si="214"/>
        <v>-108.78221420138917</v>
      </c>
      <c r="AD498" s="72">
        <f t="shared" ca="1" si="215"/>
        <v>71.217785798610834</v>
      </c>
    </row>
    <row r="499" spans="1:30">
      <c r="A499" s="118">
        <v>63463.25</v>
      </c>
      <c r="B499" s="101">
        <f t="shared" ca="1" si="189"/>
        <v>3254.4436202820416</v>
      </c>
      <c r="C499" s="102">
        <f t="shared" ca="1" si="190"/>
        <v>1.5704890546057262</v>
      </c>
      <c r="D499" s="102">
        <f t="shared" si="191"/>
        <v>2.1242336183902268</v>
      </c>
      <c r="E499" s="103">
        <f t="shared" si="192"/>
        <v>1.0806465745140268</v>
      </c>
      <c r="F499" s="101">
        <f t="shared" si="193"/>
        <v>21692.073979318138</v>
      </c>
      <c r="G499" s="104">
        <f t="shared" si="194"/>
        <v>1.570750227007421</v>
      </c>
      <c r="H499" s="113">
        <f t="shared" si="195"/>
        <v>2711.5094289326739</v>
      </c>
      <c r="I499" s="114">
        <f t="shared" si="196"/>
        <v>1.5704275285115499</v>
      </c>
      <c r="J499" s="101">
        <f t="shared" si="197"/>
        <v>63.808054001040873</v>
      </c>
      <c r="K499" s="104">
        <f t="shared" si="198"/>
        <v>1.5551236824013335</v>
      </c>
      <c r="L499" s="102">
        <f t="shared" si="199"/>
        <v>1</v>
      </c>
      <c r="M499" s="103">
        <f t="shared" si="200"/>
        <v>2.0934446373236813E-9</v>
      </c>
      <c r="N499" s="101">
        <f t="shared" si="201"/>
        <v>1</v>
      </c>
      <c r="O499" s="104">
        <f t="shared" si="202"/>
        <v>3.3495114197178902E-10</v>
      </c>
      <c r="P499" s="105">
        <f t="shared" ca="1" si="203"/>
        <v>3.6967819245885551</v>
      </c>
      <c r="Q499" s="106">
        <f t="shared" ca="1" si="204"/>
        <v>1.4085279884829323</v>
      </c>
      <c r="R499" s="107">
        <f t="shared" ca="1" si="205"/>
        <v>-57.025125659205436</v>
      </c>
      <c r="S499" s="108">
        <f t="shared" ca="1" si="206"/>
        <v>-197.88912881127399</v>
      </c>
      <c r="T499" s="116">
        <f t="shared" ca="1" si="207"/>
        <v>-17.889128811273991</v>
      </c>
      <c r="V499" s="72">
        <f t="shared" ca="1" si="208"/>
        <v>63463.25</v>
      </c>
      <c r="W499" s="72">
        <f t="shared" si="209"/>
        <v>4027584100.5625</v>
      </c>
      <c r="Y499" s="110">
        <f t="shared" si="210"/>
        <v>9.9230904979222814</v>
      </c>
      <c r="Z499" s="111">
        <f t="shared" si="211"/>
        <v>-89.120512885388877</v>
      </c>
      <c r="AA499" s="72">
        <f t="shared" si="212"/>
        <v>90.879487114611123</v>
      </c>
      <c r="AB499" s="110">
        <f t="shared" ca="1" si="213"/>
        <v>-51.030615810246218</v>
      </c>
      <c r="AC499" s="111">
        <f t="shared" ca="1" si="214"/>
        <v>-108.76861592588514</v>
      </c>
      <c r="AD499" s="72">
        <f t="shared" ca="1" si="215"/>
        <v>71.231384074114857</v>
      </c>
    </row>
    <row r="500" spans="1:30">
      <c r="A500" s="118">
        <v>63830.5</v>
      </c>
      <c r="B500" s="101">
        <f t="shared" ca="1" si="189"/>
        <v>3273.2764772036062</v>
      </c>
      <c r="C500" s="102">
        <f t="shared" ca="1" si="190"/>
        <v>1.5704908225020207</v>
      </c>
      <c r="D500" s="102">
        <f t="shared" si="191"/>
        <v>2.1338080814202804</v>
      </c>
      <c r="E500" s="103">
        <f t="shared" si="192"/>
        <v>1.0830392417977091</v>
      </c>
      <c r="F500" s="101">
        <f t="shared" si="193"/>
        <v>21817.601968383038</v>
      </c>
      <c r="G500" s="104">
        <f t="shared" si="194"/>
        <v>1.5707504922434277</v>
      </c>
      <c r="H500" s="113">
        <f t="shared" si="195"/>
        <v>2727.20042652142</v>
      </c>
      <c r="I500" s="114">
        <f t="shared" si="196"/>
        <v>1.5704296503993211</v>
      </c>
      <c r="J500" s="101">
        <f t="shared" si="197"/>
        <v>64.17720888740628</v>
      </c>
      <c r="K500" s="104">
        <f t="shared" si="198"/>
        <v>1.5552138406216485</v>
      </c>
      <c r="L500" s="102">
        <f t="shared" si="199"/>
        <v>1</v>
      </c>
      <c r="M500" s="103">
        <f t="shared" si="200"/>
        <v>2.1055590112811628E-9</v>
      </c>
      <c r="N500" s="101">
        <f t="shared" si="201"/>
        <v>1</v>
      </c>
      <c r="O500" s="104">
        <f t="shared" si="202"/>
        <v>3.3688944180498601E-10</v>
      </c>
      <c r="P500" s="105">
        <f t="shared" ca="1" si="203"/>
        <v>3.716869554676415</v>
      </c>
      <c r="Q500" s="106">
        <f t="shared" ca="1" si="204"/>
        <v>1.4106868431194997</v>
      </c>
      <c r="R500" s="107">
        <f t="shared" ca="1" si="205"/>
        <v>-57.133359116353532</v>
      </c>
      <c r="S500" s="108">
        <f t="shared" ca="1" si="206"/>
        <v>-197.88089293300374</v>
      </c>
      <c r="T500" s="116">
        <f t="shared" ca="1" si="207"/>
        <v>-17.880892933003736</v>
      </c>
      <c r="V500" s="72">
        <f t="shared" ca="1" si="208"/>
        <v>63830.5</v>
      </c>
      <c r="W500" s="72">
        <f t="shared" si="209"/>
        <v>4074332730.25</v>
      </c>
      <c r="Y500" s="110">
        <f t="shared" si="210"/>
        <v>9.8729839802040651</v>
      </c>
      <c r="Z500" s="111">
        <f t="shared" si="211"/>
        <v>-89.125572192013934</v>
      </c>
      <c r="AA500" s="72">
        <f t="shared" si="212"/>
        <v>90.874427807986066</v>
      </c>
      <c r="AB500" s="110">
        <f t="shared" ca="1" si="213"/>
        <v>-51.088742749676086</v>
      </c>
      <c r="AC500" s="111">
        <f t="shared" ca="1" si="214"/>
        <v>-108.75532074098976</v>
      </c>
      <c r="AD500" s="72">
        <f t="shared" ca="1" si="215"/>
        <v>71.24467925901024</v>
      </c>
    </row>
    <row r="501" spans="1:30">
      <c r="A501" s="118">
        <v>64197.75</v>
      </c>
      <c r="B501" s="101">
        <f t="shared" ca="1" si="189"/>
        <v>3292.1093341352844</v>
      </c>
      <c r="C501" s="102">
        <f t="shared" ca="1" si="190"/>
        <v>1.5704925701714427</v>
      </c>
      <c r="D501" s="102">
        <f t="shared" si="191"/>
        <v>2.1433946510207584</v>
      </c>
      <c r="E501" s="103">
        <f t="shared" si="192"/>
        <v>1.0854105196176298</v>
      </c>
      <c r="F501" s="101">
        <f t="shared" si="193"/>
        <v>21943.129957449455</v>
      </c>
      <c r="G501" s="104">
        <f t="shared" si="194"/>
        <v>1.5707507544448132</v>
      </c>
      <c r="H501" s="113">
        <f t="shared" si="195"/>
        <v>2742.8914241223047</v>
      </c>
      <c r="I501" s="114">
        <f t="shared" si="196"/>
        <v>1.5704317480101302</v>
      </c>
      <c r="J501" s="101">
        <f t="shared" si="197"/>
        <v>64.546364289469409</v>
      </c>
      <c r="K501" s="104">
        <f t="shared" si="198"/>
        <v>1.5553029675717664</v>
      </c>
      <c r="L501" s="102">
        <f t="shared" si="199"/>
        <v>1</v>
      </c>
      <c r="M501" s="103">
        <f t="shared" si="200"/>
        <v>2.117673385238644E-9</v>
      </c>
      <c r="N501" s="101">
        <f t="shared" si="201"/>
        <v>1</v>
      </c>
      <c r="O501" s="104">
        <f t="shared" si="202"/>
        <v>3.3882774163818304E-10</v>
      </c>
      <c r="P501" s="105">
        <f t="shared" ca="1" si="203"/>
        <v>3.7369700780515265</v>
      </c>
      <c r="Q501" s="106">
        <f t="shared" ca="1" si="204"/>
        <v>1.4128296069263722</v>
      </c>
      <c r="R501" s="107">
        <f t="shared" ca="1" si="205"/>
        <v>-57.240919799907211</v>
      </c>
      <c r="S501" s="108">
        <f t="shared" ca="1" si="206"/>
        <v>-197.87290161485504</v>
      </c>
      <c r="T501" s="116">
        <f t="shared" ca="1" si="207"/>
        <v>-17.872901614855039</v>
      </c>
      <c r="V501" s="72">
        <f t="shared" ca="1" si="208"/>
        <v>64197.75</v>
      </c>
      <c r="W501" s="72">
        <f t="shared" si="209"/>
        <v>4121351105.0625</v>
      </c>
      <c r="Y501" s="110">
        <f t="shared" si="210"/>
        <v>9.823164786797685</v>
      </c>
      <c r="Z501" s="111">
        <f t="shared" si="211"/>
        <v>-89.130573628305569</v>
      </c>
      <c r="AA501" s="72">
        <f t="shared" si="212"/>
        <v>90.869426371694431</v>
      </c>
      <c r="AB501" s="110">
        <f t="shared" ca="1" si="213"/>
        <v>-51.146484239823387</v>
      </c>
      <c r="AC501" s="111">
        <f t="shared" ca="1" si="214"/>
        <v>-108.74232798654953</v>
      </c>
      <c r="AD501" s="72">
        <f t="shared" ca="1" si="215"/>
        <v>71.257672013450474</v>
      </c>
    </row>
    <row r="502" spans="1:30">
      <c r="A502" s="118">
        <v>64565</v>
      </c>
      <c r="B502" s="101">
        <f t="shared" ca="1" si="189"/>
        <v>3310.9421910769038</v>
      </c>
      <c r="C502" s="102">
        <f t="shared" ca="1" si="190"/>
        <v>1.5704942979591474</v>
      </c>
      <c r="D502" s="102">
        <f t="shared" si="191"/>
        <v>2.1529931654719521</v>
      </c>
      <c r="E502" s="103">
        <f t="shared" si="192"/>
        <v>1.0877606672040008</v>
      </c>
      <c r="F502" s="101">
        <f t="shared" si="193"/>
        <v>22068.657946517367</v>
      </c>
      <c r="G502" s="104">
        <f t="shared" si="194"/>
        <v>1.5707510136633611</v>
      </c>
      <c r="H502" s="113">
        <f t="shared" si="195"/>
        <v>2758.5824217351205</v>
      </c>
      <c r="I502" s="114">
        <f t="shared" si="196"/>
        <v>1.5704338217582436</v>
      </c>
      <c r="J502" s="101">
        <f t="shared" si="197"/>
        <v>64.915520198432375</v>
      </c>
      <c r="K502" s="104">
        <f t="shared" si="198"/>
        <v>1.5553910808438707</v>
      </c>
      <c r="L502" s="102">
        <f t="shared" si="199"/>
        <v>1</v>
      </c>
      <c r="M502" s="103">
        <f t="shared" si="200"/>
        <v>2.1297877591961251E-9</v>
      </c>
      <c r="N502" s="101">
        <f t="shared" si="201"/>
        <v>1</v>
      </c>
      <c r="O502" s="104">
        <f t="shared" si="202"/>
        <v>3.4076604147138002E-10</v>
      </c>
      <c r="P502" s="105">
        <f t="shared" ca="1" si="203"/>
        <v>3.7570833890478448</v>
      </c>
      <c r="Q502" s="106">
        <f t="shared" ca="1" si="204"/>
        <v>1.4149565259529582</v>
      </c>
      <c r="R502" s="107">
        <f t="shared" ca="1" si="205"/>
        <v>-57.347816009698292</v>
      </c>
      <c r="S502" s="108">
        <f t="shared" ca="1" si="206"/>
        <v>-197.86515510858882</v>
      </c>
      <c r="T502" s="116">
        <f t="shared" ca="1" si="207"/>
        <v>-17.865155108588823</v>
      </c>
      <c r="V502" s="72">
        <f t="shared" ca="1" si="208"/>
        <v>64565</v>
      </c>
      <c r="W502" s="72">
        <f t="shared" si="209"/>
        <v>4168639225</v>
      </c>
      <c r="Y502" s="110">
        <f t="shared" si="210"/>
        <v>9.773629642073864</v>
      </c>
      <c r="Z502" s="111">
        <f t="shared" si="211"/>
        <v>-89.135518181452966</v>
      </c>
      <c r="AA502" s="72">
        <f t="shared" si="212"/>
        <v>90.864481818547034</v>
      </c>
      <c r="AB502" s="110">
        <f t="shared" ca="1" si="213"/>
        <v>-51.203845304890656</v>
      </c>
      <c r="AC502" s="111">
        <f t="shared" ca="1" si="214"/>
        <v>-108.72963692713594</v>
      </c>
      <c r="AD502" s="72">
        <f t="shared" ca="1" si="215"/>
        <v>71.270363072864058</v>
      </c>
    </row>
    <row r="503" spans="1:30">
      <c r="A503" s="118">
        <v>64941</v>
      </c>
      <c r="B503" s="101">
        <f t="shared" ca="1" si="189"/>
        <v>3330.2237546269826</v>
      </c>
      <c r="C503" s="102">
        <f t="shared" ca="1" si="190"/>
        <v>1.5704960466669806</v>
      </c>
      <c r="D503" s="102">
        <f t="shared" si="191"/>
        <v>2.1628325806173994</v>
      </c>
      <c r="E503" s="103">
        <f t="shared" si="192"/>
        <v>1.0901451842313654</v>
      </c>
      <c r="F503" s="101">
        <f t="shared" si="193"/>
        <v>22197.176731786509</v>
      </c>
      <c r="G503" s="104">
        <f t="shared" si="194"/>
        <v>1.5707512760205382</v>
      </c>
      <c r="H503" s="113">
        <f t="shared" si="195"/>
        <v>2774.6472688607319</v>
      </c>
      <c r="I503" s="114">
        <f t="shared" si="196"/>
        <v>1.5704359206153899</v>
      </c>
      <c r="J503" s="101">
        <f t="shared" si="197"/>
        <v>65.293472033252542</v>
      </c>
      <c r="K503" s="104">
        <f t="shared" si="198"/>
        <v>1.5554802612387859</v>
      </c>
      <c r="L503" s="102">
        <f t="shared" si="199"/>
        <v>1</v>
      </c>
      <c r="M503" s="103">
        <f t="shared" si="200"/>
        <v>2.1421907669783253E-9</v>
      </c>
      <c r="N503" s="101">
        <f t="shared" si="201"/>
        <v>1</v>
      </c>
      <c r="O503" s="104">
        <f t="shared" si="202"/>
        <v>3.4275052271653203E-10</v>
      </c>
      <c r="P503" s="105">
        <f t="shared" ca="1" si="203"/>
        <v>3.7776890551517557</v>
      </c>
      <c r="Q503" s="106">
        <f t="shared" ca="1" si="204"/>
        <v>1.417117956621468</v>
      </c>
      <c r="R503" s="107">
        <f t="shared" ca="1" si="205"/>
        <v>-57.456579203885056</v>
      </c>
      <c r="S503" s="108">
        <f t="shared" ca="1" si="206"/>
        <v>-197.85747783127894</v>
      </c>
      <c r="T503" s="116">
        <f t="shared" ca="1" si="207"/>
        <v>-17.857477831278942</v>
      </c>
      <c r="V503" s="72">
        <f t="shared" ca="1" si="208"/>
        <v>64941</v>
      </c>
      <c r="W503" s="72">
        <f t="shared" si="209"/>
        <v>4217333481</v>
      </c>
      <c r="Y503" s="110">
        <f t="shared" si="210"/>
        <v>9.7232052049959972</v>
      </c>
      <c r="Z503" s="111">
        <f t="shared" si="211"/>
        <v>-89.140522617408351</v>
      </c>
      <c r="AA503" s="72">
        <f t="shared" si="212"/>
        <v>90.859477382591649</v>
      </c>
      <c r="AB503" s="110">
        <f t="shared" ca="1" si="213"/>
        <v>-51.262184061999541</v>
      </c>
      <c r="AC503" s="111">
        <f t="shared" ca="1" si="214"/>
        <v>-108.71695521387055</v>
      </c>
      <c r="AD503" s="72">
        <f t="shared" ca="1" si="215"/>
        <v>71.283044786129452</v>
      </c>
    </row>
    <row r="504" spans="1:30">
      <c r="A504" s="118">
        <v>65317</v>
      </c>
      <c r="B504" s="101">
        <f t="shared" ca="1" si="189"/>
        <v>3349.5053181871281</v>
      </c>
      <c r="C504" s="102">
        <f t="shared" ca="1" si="190"/>
        <v>1.5704977752417983</v>
      </c>
      <c r="D504" s="102">
        <f t="shared" si="191"/>
        <v>2.1726841820335125</v>
      </c>
      <c r="E504" s="103">
        <f t="shared" si="192"/>
        <v>1.0925080903626547</v>
      </c>
      <c r="F504" s="101">
        <f t="shared" si="193"/>
        <v>22325.69551705716</v>
      </c>
      <c r="G504" s="104">
        <f t="shared" si="194"/>
        <v>1.5707515353571755</v>
      </c>
      <c r="H504" s="113">
        <f t="shared" si="195"/>
        <v>2790.7121159984254</v>
      </c>
      <c r="I504" s="114">
        <f t="shared" si="196"/>
        <v>1.5704379953082244</v>
      </c>
      <c r="J504" s="101">
        <f t="shared" si="197"/>
        <v>65.671424381383815</v>
      </c>
      <c r="K504" s="104">
        <f t="shared" si="198"/>
        <v>1.5555684151319253</v>
      </c>
      <c r="L504" s="102">
        <f t="shared" si="199"/>
        <v>1</v>
      </c>
      <c r="M504" s="103">
        <f t="shared" si="200"/>
        <v>2.1545937747605251E-9</v>
      </c>
      <c r="N504" s="101">
        <f t="shared" si="201"/>
        <v>1</v>
      </c>
      <c r="O504" s="104">
        <f t="shared" si="202"/>
        <v>3.4473500396168404E-10</v>
      </c>
      <c r="P504" s="105">
        <f t="shared" ca="1" si="203"/>
        <v>3.7983079099133215</v>
      </c>
      <c r="Q504" s="106">
        <f t="shared" ca="1" si="204"/>
        <v>1.419263284844033</v>
      </c>
      <c r="R504" s="107">
        <f t="shared" ca="1" si="205"/>
        <v>-57.564663025846897</v>
      </c>
      <c r="S504" s="108">
        <f t="shared" ca="1" si="206"/>
        <v>-197.85005740860609</v>
      </c>
      <c r="T504" s="116">
        <f t="shared" ca="1" si="207"/>
        <v>-17.850057408606091</v>
      </c>
      <c r="V504" s="72">
        <f t="shared" ca="1" si="208"/>
        <v>65317</v>
      </c>
      <c r="W504" s="72">
        <f t="shared" si="209"/>
        <v>4266310489</v>
      </c>
      <c r="Y504" s="110">
        <f t="shared" si="210"/>
        <v>9.6730717416731142</v>
      </c>
      <c r="Z504" s="111">
        <f t="shared" si="211"/>
        <v>-89.145469450593197</v>
      </c>
      <c r="AA504" s="72">
        <f t="shared" si="212"/>
        <v>90.854530549406803</v>
      </c>
      <c r="AB504" s="110">
        <f t="shared" ca="1" si="213"/>
        <v>-51.320134420638503</v>
      </c>
      <c r="AC504" s="111">
        <f t="shared" ca="1" si="214"/>
        <v>-108.70458795801285</v>
      </c>
      <c r="AD504" s="72">
        <f t="shared" ca="1" si="215"/>
        <v>71.295412041987149</v>
      </c>
    </row>
    <row r="505" spans="1:30">
      <c r="A505" s="118">
        <v>65693</v>
      </c>
      <c r="B505" s="101">
        <f t="shared" ca="1" si="189"/>
        <v>3368.7868817571666</v>
      </c>
      <c r="C505" s="102">
        <f t="shared" ca="1" si="190"/>
        <v>1.5704994840293001</v>
      </c>
      <c r="D505" s="102">
        <f t="shared" si="191"/>
        <v>2.182547804700846</v>
      </c>
      <c r="E505" s="103">
        <f t="shared" si="192"/>
        <v>1.0948496520316164</v>
      </c>
      <c r="F505" s="101">
        <f t="shared" si="193"/>
        <v>22454.214302329296</v>
      </c>
      <c r="G505" s="104">
        <f t="shared" si="194"/>
        <v>1.5707517917251379</v>
      </c>
      <c r="H505" s="113">
        <f t="shared" si="195"/>
        <v>2806.7769631479937</v>
      </c>
      <c r="I505" s="114">
        <f t="shared" si="196"/>
        <v>1.5704400462516666</v>
      </c>
      <c r="J505" s="101">
        <f t="shared" si="197"/>
        <v>66.049377234014258</v>
      </c>
      <c r="K505" s="104">
        <f t="shared" si="198"/>
        <v>1.5556555601436908</v>
      </c>
      <c r="L505" s="102">
        <f t="shared" si="199"/>
        <v>1</v>
      </c>
      <c r="M505" s="103">
        <f t="shared" si="200"/>
        <v>2.1669967825427253E-9</v>
      </c>
      <c r="N505" s="101">
        <f t="shared" si="201"/>
        <v>1</v>
      </c>
      <c r="O505" s="104">
        <f t="shared" si="202"/>
        <v>3.4671948520683599E-10</v>
      </c>
      <c r="P505" s="105">
        <f t="shared" ca="1" si="203"/>
        <v>3.8189398484985708</v>
      </c>
      <c r="Q505" s="106">
        <f t="shared" ca="1" si="204"/>
        <v>1.4213927590928348</v>
      </c>
      <c r="R505" s="107">
        <f t="shared" ca="1" si="205"/>
        <v>-57.672075917765412</v>
      </c>
      <c r="S505" s="108">
        <f t="shared" ca="1" si="206"/>
        <v>-197.84289382002865</v>
      </c>
      <c r="T505" s="116">
        <f t="shared" ca="1" si="207"/>
        <v>-17.84289382002865</v>
      </c>
      <c r="V505" s="72">
        <f t="shared" ca="1" si="208"/>
        <v>65693</v>
      </c>
      <c r="W505" s="72">
        <f t="shared" si="209"/>
        <v>4315570249</v>
      </c>
      <c r="Y505" s="110">
        <f t="shared" si="210"/>
        <v>9.6232259140101704</v>
      </c>
      <c r="Z505" s="111">
        <f t="shared" si="211"/>
        <v>-89.150359669780627</v>
      </c>
      <c r="AA505" s="72">
        <f t="shared" si="212"/>
        <v>90.849640330219373</v>
      </c>
      <c r="AB505" s="110">
        <f t="shared" ca="1" si="213"/>
        <v>-51.377701484894082</v>
      </c>
      <c r="AC505" s="111">
        <f t="shared" ca="1" si="214"/>
        <v>-108.69253415024805</v>
      </c>
      <c r="AD505" s="72">
        <f t="shared" ca="1" si="215"/>
        <v>71.307465849751949</v>
      </c>
    </row>
    <row r="506" spans="1:30">
      <c r="A506" s="118">
        <v>66069</v>
      </c>
      <c r="B506" s="101">
        <f t="shared" ca="1" si="189"/>
        <v>3388.0684453369304</v>
      </c>
      <c r="C506" s="102">
        <f t="shared" ca="1" si="190"/>
        <v>1.570501173367316</v>
      </c>
      <c r="D506" s="102">
        <f t="shared" si="191"/>
        <v>2.1924232863700532</v>
      </c>
      <c r="E506" s="103">
        <f t="shared" si="192"/>
        <v>1.097170131816565</v>
      </c>
      <c r="F506" s="101">
        <f t="shared" si="193"/>
        <v>22582.73308760289</v>
      </c>
      <c r="G506" s="104">
        <f t="shared" si="194"/>
        <v>1.57075204517511</v>
      </c>
      <c r="H506" s="113">
        <f t="shared" si="195"/>
        <v>2822.841810309234</v>
      </c>
      <c r="I506" s="114">
        <f t="shared" si="196"/>
        <v>1.5704420738511915</v>
      </c>
      <c r="J506" s="101">
        <f t="shared" si="197"/>
        <v>66.42733058253252</v>
      </c>
      <c r="K506" s="104">
        <f t="shared" si="198"/>
        <v>1.5557417134935247</v>
      </c>
      <c r="L506" s="102">
        <f t="shared" si="199"/>
        <v>1</v>
      </c>
      <c r="M506" s="103">
        <f t="shared" si="200"/>
        <v>2.1793997903249251E-9</v>
      </c>
      <c r="N506" s="101">
        <f t="shared" si="201"/>
        <v>1</v>
      </c>
      <c r="O506" s="104">
        <f t="shared" si="202"/>
        <v>3.48703966451988E-10</v>
      </c>
      <c r="P506" s="105">
        <f t="shared" ca="1" si="203"/>
        <v>3.8395847688170193</v>
      </c>
      <c r="Q506" s="106">
        <f t="shared" ca="1" si="204"/>
        <v>1.4235066228355486</v>
      </c>
      <c r="R506" s="107">
        <f t="shared" ca="1" si="205"/>
        <v>-57.77882617192428</v>
      </c>
      <c r="S506" s="108">
        <f t="shared" ca="1" si="206"/>
        <v>-197.83598695621737</v>
      </c>
      <c r="T506" s="116">
        <f t="shared" ca="1" si="207"/>
        <v>-17.835986956217369</v>
      </c>
      <c r="V506" s="72">
        <f t="shared" ca="1" si="208"/>
        <v>66069</v>
      </c>
      <c r="W506" s="72">
        <f t="shared" si="209"/>
        <v>4365112761</v>
      </c>
      <c r="Y506" s="110">
        <f t="shared" si="210"/>
        <v>9.5736644410143139</v>
      </c>
      <c r="Z506" s="111">
        <f t="shared" si="211"/>
        <v>-89.155194241244004</v>
      </c>
      <c r="AA506" s="72">
        <f t="shared" si="212"/>
        <v>90.844805758755996</v>
      </c>
      <c r="AB506" s="110">
        <f t="shared" ca="1" si="213"/>
        <v>-51.434890266057081</v>
      </c>
      <c r="AC506" s="111">
        <f t="shared" ca="1" si="214"/>
        <v>-108.68079271497336</v>
      </c>
      <c r="AD506" s="72">
        <f t="shared" ca="1" si="215"/>
        <v>71.319207285026636</v>
      </c>
    </row>
    <row r="507" spans="1:30">
      <c r="A507" s="118">
        <v>66453.75</v>
      </c>
      <c r="B507" s="101">
        <f t="shared" ca="1" si="189"/>
        <v>3407.7987155258515</v>
      </c>
      <c r="C507" s="102">
        <f t="shared" ca="1" si="190"/>
        <v>1.5705028822291141</v>
      </c>
      <c r="D507" s="102">
        <f t="shared" si="191"/>
        <v>2.2025406928696047</v>
      </c>
      <c r="E507" s="103">
        <f t="shared" si="192"/>
        <v>1.0995230585705205</v>
      </c>
      <c r="F507" s="101">
        <f t="shared" si="193"/>
        <v>22714.242669077823</v>
      </c>
      <c r="G507" s="104">
        <f t="shared" si="194"/>
        <v>1.5707523015542186</v>
      </c>
      <c r="H507" s="113">
        <f t="shared" si="195"/>
        <v>2839.2805069841079</v>
      </c>
      <c r="I507" s="114">
        <f t="shared" si="196"/>
        <v>1.5704441248838088</v>
      </c>
      <c r="J507" s="101">
        <f t="shared" si="197"/>
        <v>66.814079892517412</v>
      </c>
      <c r="K507" s="104">
        <f t="shared" si="198"/>
        <v>1.5558288627501731</v>
      </c>
      <c r="L507" s="102">
        <f t="shared" si="199"/>
        <v>1</v>
      </c>
      <c r="M507" s="103">
        <f t="shared" si="200"/>
        <v>2.1920914319318439E-9</v>
      </c>
      <c r="N507" s="101">
        <f t="shared" si="201"/>
        <v>1</v>
      </c>
      <c r="O507" s="104">
        <f t="shared" si="202"/>
        <v>3.5073462910909503E-10</v>
      </c>
      <c r="P507" s="105">
        <f t="shared" ca="1" si="203"/>
        <v>3.8607234574905562</v>
      </c>
      <c r="Q507" s="106">
        <f t="shared" ca="1" si="204"/>
        <v>1.4256537681026715</v>
      </c>
      <c r="R507" s="107">
        <f t="shared" ca="1" si="205"/>
        <v>-57.887383189786796</v>
      </c>
      <c r="S507" s="108">
        <f t="shared" ca="1" si="206"/>
        <v>-197.82918491399209</v>
      </c>
      <c r="T507" s="116">
        <f t="shared" ca="1" si="207"/>
        <v>-17.829184913992094</v>
      </c>
      <c r="V507" s="72">
        <f t="shared" ca="1" si="208"/>
        <v>66453.75</v>
      </c>
      <c r="W507" s="72">
        <f t="shared" si="209"/>
        <v>4416100889.0625</v>
      </c>
      <c r="Y507" s="110">
        <f t="shared" si="210"/>
        <v>9.5232406026740328</v>
      </c>
      <c r="Z507" s="111">
        <f t="shared" si="211"/>
        <v>-89.160084699160677</v>
      </c>
      <c r="AA507" s="72">
        <f t="shared" si="212"/>
        <v>90.839915300839323</v>
      </c>
      <c r="AB507" s="110">
        <f t="shared" ca="1" si="213"/>
        <v>-51.493023445579325</v>
      </c>
      <c r="AC507" s="111">
        <f t="shared" ca="1" si="214"/>
        <v>-108.66910021483139</v>
      </c>
      <c r="AD507" s="72">
        <f t="shared" ca="1" si="215"/>
        <v>71.330899785168612</v>
      </c>
    </row>
    <row r="508" spans="1:30">
      <c r="A508" s="118">
        <v>66838.5</v>
      </c>
      <c r="B508" s="101">
        <f t="shared" ca="1" si="189"/>
        <v>3427.5289857246103</v>
      </c>
      <c r="C508" s="102">
        <f t="shared" ca="1" si="190"/>
        <v>1.570504571417086</v>
      </c>
      <c r="D508" s="102">
        <f t="shared" si="191"/>
        <v>2.2126701816649867</v>
      </c>
      <c r="E508" s="103">
        <f t="shared" si="192"/>
        <v>1.1018544549813045</v>
      </c>
      <c r="F508" s="101">
        <f t="shared" si="193"/>
        <v>22845.752250554229</v>
      </c>
      <c r="G508" s="104">
        <f t="shared" si="194"/>
        <v>1.5707525549816794</v>
      </c>
      <c r="H508" s="113">
        <f t="shared" si="195"/>
        <v>2855.7192036707879</v>
      </c>
      <c r="I508" s="114">
        <f t="shared" si="196"/>
        <v>1.5704461523032478</v>
      </c>
      <c r="J508" s="101">
        <f t="shared" si="197"/>
        <v>67.200829704113858</v>
      </c>
      <c r="K508" s="104">
        <f t="shared" si="198"/>
        <v>1.5559150088960871</v>
      </c>
      <c r="L508" s="102">
        <f t="shared" si="199"/>
        <v>1</v>
      </c>
      <c r="M508" s="103">
        <f t="shared" si="200"/>
        <v>2.2047830735387628E-9</v>
      </c>
      <c r="N508" s="101">
        <f t="shared" si="201"/>
        <v>1</v>
      </c>
      <c r="O508" s="104">
        <f t="shared" si="202"/>
        <v>3.5276529176620201E-10</v>
      </c>
      <c r="P508" s="105">
        <f t="shared" ca="1" si="203"/>
        <v>3.8818755313468327</v>
      </c>
      <c r="Q508" s="106">
        <f t="shared" ca="1" si="204"/>
        <v>1.4277850681237882</v>
      </c>
      <c r="R508" s="107">
        <f t="shared" ca="1" si="205"/>
        <v>-57.995263471424494</v>
      </c>
      <c r="S508" s="108">
        <f t="shared" ca="1" si="206"/>
        <v>-197.82265118642059</v>
      </c>
      <c r="T508" s="116">
        <f t="shared" ca="1" si="207"/>
        <v>-17.822651186420586</v>
      </c>
      <c r="V508" s="72">
        <f t="shared" ca="1" si="208"/>
        <v>66838.5</v>
      </c>
      <c r="W508" s="72">
        <f t="shared" si="209"/>
        <v>4467385082.25</v>
      </c>
      <c r="Y508" s="110">
        <f t="shared" si="210"/>
        <v>9.4731077342527392</v>
      </c>
      <c r="Z508" s="111">
        <f t="shared" si="211"/>
        <v>-89.164918866884335</v>
      </c>
      <c r="AA508" s="72">
        <f t="shared" si="212"/>
        <v>90.835081133115665</v>
      </c>
      <c r="AB508" s="110">
        <f t="shared" ca="1" si="213"/>
        <v>-51.55077085879573</v>
      </c>
      <c r="AC508" s="111">
        <f t="shared" ca="1" si="214"/>
        <v>-108.65773231953624</v>
      </c>
      <c r="AD508" s="72">
        <f t="shared" ca="1" si="215"/>
        <v>71.342267680463763</v>
      </c>
    </row>
    <row r="509" spans="1:30">
      <c r="A509" s="118">
        <v>67223.25</v>
      </c>
      <c r="B509" s="101">
        <f t="shared" ca="1" si="189"/>
        <v>3447.259255933036</v>
      </c>
      <c r="C509" s="102">
        <f t="shared" ca="1" si="190"/>
        <v>1.5705062412690389</v>
      </c>
      <c r="D509" s="102">
        <f t="shared" si="191"/>
        <v>2.2228115875769143</v>
      </c>
      <c r="E509" s="103">
        <f t="shared" si="192"/>
        <v>1.1041645902218278</v>
      </c>
      <c r="F509" s="101">
        <f t="shared" si="193"/>
        <v>22977.261832032083</v>
      </c>
      <c r="G509" s="104">
        <f t="shared" si="194"/>
        <v>1.570752805508173</v>
      </c>
      <c r="H509" s="113">
        <f t="shared" si="195"/>
        <v>2872.1579003690717</v>
      </c>
      <c r="I509" s="114">
        <f t="shared" si="196"/>
        <v>1.5704481565149564</v>
      </c>
      <c r="J509" s="101">
        <f t="shared" si="197"/>
        <v>67.587580008710887</v>
      </c>
      <c r="K509" s="104">
        <f t="shared" si="198"/>
        <v>1.5560001691500069</v>
      </c>
      <c r="L509" s="102">
        <f t="shared" si="199"/>
        <v>1</v>
      </c>
      <c r="M509" s="103">
        <f t="shared" si="200"/>
        <v>2.2174747151456816E-9</v>
      </c>
      <c r="N509" s="101">
        <f t="shared" si="201"/>
        <v>1</v>
      </c>
      <c r="O509" s="104">
        <f t="shared" si="202"/>
        <v>3.5479595442330904E-10</v>
      </c>
      <c r="P509" s="105">
        <f t="shared" ca="1" si="203"/>
        <v>3.903040889472408</v>
      </c>
      <c r="Q509" s="106">
        <f t="shared" ca="1" si="204"/>
        <v>1.4299007682714482</v>
      </c>
      <c r="R509" s="107">
        <f t="shared" ca="1" si="205"/>
        <v>-58.102475435895443</v>
      </c>
      <c r="S509" s="108">
        <f t="shared" ca="1" si="206"/>
        <v>-197.81638539543206</v>
      </c>
      <c r="T509" s="116">
        <f t="shared" ca="1" si="207"/>
        <v>-17.816385395432064</v>
      </c>
      <c r="V509" s="72">
        <f t="shared" ca="1" si="208"/>
        <v>67223.25</v>
      </c>
      <c r="W509" s="72">
        <f t="shared" si="209"/>
        <v>4518965340.5625</v>
      </c>
      <c r="Y509" s="110">
        <f t="shared" si="210"/>
        <v>9.4232624976690538</v>
      </c>
      <c r="Z509" s="111">
        <f t="shared" si="211"/>
        <v>-89.169697710649388</v>
      </c>
      <c r="AA509" s="72">
        <f t="shared" si="212"/>
        <v>90.830302289350612</v>
      </c>
      <c r="AB509" s="110">
        <f t="shared" ca="1" si="213"/>
        <v>-51.608137586682986</v>
      </c>
      <c r="AC509" s="111">
        <f t="shared" ca="1" si="214"/>
        <v>-108.64668768478263</v>
      </c>
      <c r="AD509" s="72">
        <f t="shared" ca="1" si="215"/>
        <v>71.353312315217366</v>
      </c>
    </row>
    <row r="510" spans="1:30">
      <c r="A510" s="118">
        <v>67608</v>
      </c>
      <c r="B510" s="101">
        <f t="shared" ca="1" si="189"/>
        <v>3466.9895261509655</v>
      </c>
      <c r="C510" s="102">
        <f t="shared" ca="1" si="190"/>
        <v>1.5705078921150908</v>
      </c>
      <c r="D510" s="102">
        <f t="shared" si="191"/>
        <v>2.2329647482342905</v>
      </c>
      <c r="E510" s="103">
        <f t="shared" si="192"/>
        <v>1.1064537294857117</v>
      </c>
      <c r="F510" s="101">
        <f t="shared" si="193"/>
        <v>23108.771413511367</v>
      </c>
      <c r="G510" s="104">
        <f t="shared" si="194"/>
        <v>1.570753053183227</v>
      </c>
      <c r="H510" s="113">
        <f t="shared" si="195"/>
        <v>2888.596597078762</v>
      </c>
      <c r="I510" s="114">
        <f t="shared" si="196"/>
        <v>1.5704501379151528</v>
      </c>
      <c r="J510" s="101">
        <f t="shared" si="197"/>
        <v>67.974330797893515</v>
      </c>
      <c r="K510" s="104">
        <f t="shared" si="198"/>
        <v>1.5560843603388557</v>
      </c>
      <c r="L510" s="102">
        <f t="shared" si="199"/>
        <v>1</v>
      </c>
      <c r="M510" s="103">
        <f t="shared" si="200"/>
        <v>2.2301663567526E-9</v>
      </c>
      <c r="N510" s="101">
        <f t="shared" si="201"/>
        <v>1</v>
      </c>
      <c r="O510" s="104">
        <f t="shared" si="202"/>
        <v>3.5682661708041602E-10</v>
      </c>
      <c r="P510" s="105">
        <f t="shared" ca="1" si="203"/>
        <v>3.9242194336654652</v>
      </c>
      <c r="Q510" s="106">
        <f t="shared" ca="1" si="204"/>
        <v>1.4320011089475302</v>
      </c>
      <c r="R510" s="107">
        <f t="shared" ca="1" si="205"/>
        <v>-58.209027352256427</v>
      </c>
      <c r="S510" s="108">
        <f t="shared" ca="1" si="206"/>
        <v>-197.81038708372645</v>
      </c>
      <c r="T510" s="116">
        <f t="shared" ca="1" si="207"/>
        <v>-17.810387083726454</v>
      </c>
      <c r="V510" s="72">
        <f t="shared" ca="1" si="208"/>
        <v>67608</v>
      </c>
      <c r="W510" s="72">
        <f t="shared" si="209"/>
        <v>4570841664</v>
      </c>
      <c r="Y510" s="110">
        <f t="shared" si="210"/>
        <v>9.3737016119446608</v>
      </c>
      <c r="Z510" s="111">
        <f t="shared" si="211"/>
        <v>-89.174422174703707</v>
      </c>
      <c r="AA510" s="72">
        <f t="shared" si="212"/>
        <v>90.825577825296293</v>
      </c>
      <c r="AB510" s="110">
        <f t="shared" ca="1" si="213"/>
        <v>-51.665128617319581</v>
      </c>
      <c r="AC510" s="111">
        <f t="shared" ca="1" si="214"/>
        <v>-108.63596490902269</v>
      </c>
      <c r="AD510" s="72">
        <f t="shared" ca="1" si="215"/>
        <v>71.36403509097731</v>
      </c>
    </row>
    <row r="511" spans="1:30">
      <c r="A511" s="118">
        <v>68001.75</v>
      </c>
      <c r="B511" s="101">
        <f t="shared" ca="1" si="189"/>
        <v>3487.1813231672891</v>
      </c>
      <c r="C511" s="102">
        <f t="shared" ca="1" si="190"/>
        <v>1.5705095622360645</v>
      </c>
      <c r="D511" s="102">
        <f t="shared" si="191"/>
        <v>2.2433674136002035</v>
      </c>
      <c r="E511" s="103">
        <f t="shared" si="192"/>
        <v>1.1087749500449995</v>
      </c>
      <c r="F511" s="101">
        <f t="shared" si="193"/>
        <v>23243.357242512084</v>
      </c>
      <c r="G511" s="104">
        <f t="shared" si="194"/>
        <v>1.5707533037500812</v>
      </c>
      <c r="H511" s="113">
        <f t="shared" si="195"/>
        <v>2905.4198247172444</v>
      </c>
      <c r="I511" s="114">
        <f t="shared" si="196"/>
        <v>1.5704521424497508</v>
      </c>
      <c r="J511" s="101">
        <f t="shared" si="197"/>
        <v>68.370128882302751</v>
      </c>
      <c r="K511" s="104">
        <f t="shared" si="198"/>
        <v>1.5561695347380049</v>
      </c>
      <c r="L511" s="102">
        <f t="shared" si="199"/>
        <v>1</v>
      </c>
      <c r="M511" s="103">
        <f t="shared" si="200"/>
        <v>2.2431548788649439E-9</v>
      </c>
      <c r="N511" s="101">
        <f t="shared" si="201"/>
        <v>1</v>
      </c>
      <c r="O511" s="104">
        <f t="shared" si="202"/>
        <v>3.5890478061839104E-10</v>
      </c>
      <c r="P511" s="105">
        <f t="shared" ca="1" si="203"/>
        <v>3.945906935050715</v>
      </c>
      <c r="Q511" s="106">
        <f t="shared" ca="1" si="204"/>
        <v>1.4341349235518208</v>
      </c>
      <c r="R511" s="107">
        <f t="shared" ca="1" si="205"/>
        <v>-58.317396797188906</v>
      </c>
      <c r="S511" s="108">
        <f t="shared" ca="1" si="206"/>
        <v>-197.80452484234536</v>
      </c>
      <c r="T511" s="116">
        <f t="shared" ca="1" si="207"/>
        <v>-17.804524842345359</v>
      </c>
      <c r="V511" s="72">
        <f t="shared" ca="1" si="208"/>
        <v>68001.75</v>
      </c>
      <c r="W511" s="72">
        <f t="shared" si="209"/>
        <v>4624238003.0625</v>
      </c>
      <c r="Y511" s="110">
        <f t="shared" si="210"/>
        <v>9.3232724482147979</v>
      </c>
      <c r="Z511" s="111">
        <f t="shared" si="211"/>
        <v>-89.179201812728749</v>
      </c>
      <c r="AA511" s="72">
        <f t="shared" si="212"/>
        <v>90.820798187271251</v>
      </c>
      <c r="AB511" s="110">
        <f t="shared" ca="1" si="213"/>
        <v>-51.7230688985222</v>
      </c>
      <c r="AC511" s="111">
        <f t="shared" ca="1" si="214"/>
        <v>-108.62532302961665</v>
      </c>
      <c r="AD511" s="72">
        <f t="shared" ca="1" si="215"/>
        <v>71.374676970383348</v>
      </c>
    </row>
    <row r="512" spans="1:30">
      <c r="A512" s="118">
        <v>68395.5</v>
      </c>
      <c r="B512" s="101">
        <f t="shared" ca="1" si="189"/>
        <v>3507.3731201932274</v>
      </c>
      <c r="C512" s="102">
        <f t="shared" ca="1" si="190"/>
        <v>1.5705112131274084</v>
      </c>
      <c r="D512" s="102">
        <f t="shared" si="191"/>
        <v>2.2537820547550536</v>
      </c>
      <c r="E512" s="103">
        <f t="shared" si="192"/>
        <v>1.1110747303566062</v>
      </c>
      <c r="F512" s="101">
        <f t="shared" si="193"/>
        <v>23377.943071514244</v>
      </c>
      <c r="G512" s="104">
        <f t="shared" si="194"/>
        <v>1.5707535514319297</v>
      </c>
      <c r="H512" s="113">
        <f t="shared" si="195"/>
        <v>2922.2430523672674</v>
      </c>
      <c r="I512" s="114">
        <f t="shared" si="196"/>
        <v>1.5704541239043099</v>
      </c>
      <c r="J512" s="101">
        <f t="shared" si="197"/>
        <v>68.765927457005574</v>
      </c>
      <c r="K512" s="104">
        <f t="shared" si="198"/>
        <v>1.556253728654923</v>
      </c>
      <c r="L512" s="102">
        <f t="shared" si="199"/>
        <v>1</v>
      </c>
      <c r="M512" s="103">
        <f t="shared" si="200"/>
        <v>2.2561434009772877E-9</v>
      </c>
      <c r="N512" s="101">
        <f t="shared" si="201"/>
        <v>1</v>
      </c>
      <c r="O512" s="104">
        <f t="shared" si="202"/>
        <v>3.6098294415636601E-10</v>
      </c>
      <c r="P512" s="105">
        <f t="shared" ca="1" si="203"/>
        <v>3.9676080469062436</v>
      </c>
      <c r="Q512" s="106">
        <f t="shared" ca="1" si="204"/>
        <v>1.4362531457339889</v>
      </c>
      <c r="R512" s="107">
        <f t="shared" ca="1" si="205"/>
        <v>-58.4250920102089</v>
      </c>
      <c r="S512" s="108">
        <f t="shared" ca="1" si="206"/>
        <v>-197.79894153450837</v>
      </c>
      <c r="T512" s="116">
        <f t="shared" ca="1" si="207"/>
        <v>-17.798941534508373</v>
      </c>
      <c r="V512" s="72">
        <f t="shared" ca="1" si="208"/>
        <v>68395.5</v>
      </c>
      <c r="W512" s="72">
        <f t="shared" si="209"/>
        <v>4677944420.25</v>
      </c>
      <c r="Y512" s="110">
        <f t="shared" si="210"/>
        <v>9.2731343186073456</v>
      </c>
      <c r="Z512" s="111">
        <f t="shared" si="211"/>
        <v>-89.183926430350141</v>
      </c>
      <c r="AA512" s="72">
        <f t="shared" si="212"/>
        <v>90.816073569649859</v>
      </c>
      <c r="AB512" s="110">
        <f t="shared" ca="1" si="213"/>
        <v>-51.780625981934747</v>
      </c>
      <c r="AC512" s="111">
        <f t="shared" ca="1" si="214"/>
        <v>-108.61501510415818</v>
      </c>
      <c r="AD512" s="72">
        <f t="shared" ca="1" si="215"/>
        <v>71.384984895841825</v>
      </c>
    </row>
    <row r="513" spans="1:30">
      <c r="A513" s="118">
        <v>68789.25</v>
      </c>
      <c r="B513" s="101">
        <f t="shared" ca="1" si="189"/>
        <v>3527.5649172286148</v>
      </c>
      <c r="C513" s="102">
        <f t="shared" ca="1" si="190"/>
        <v>1.5705128451193335</v>
      </c>
      <c r="D513" s="102">
        <f t="shared" si="191"/>
        <v>2.2642085064443522</v>
      </c>
      <c r="E513" s="103">
        <f t="shared" si="192"/>
        <v>1.1133533421149651</v>
      </c>
      <c r="F513" s="101">
        <f t="shared" si="193"/>
        <v>23512.528900517817</v>
      </c>
      <c r="G513" s="104">
        <f t="shared" si="194"/>
        <v>1.570753796278314</v>
      </c>
      <c r="H513" s="113">
        <f t="shared" si="195"/>
        <v>2939.0662800286314</v>
      </c>
      <c r="I513" s="114">
        <f t="shared" si="196"/>
        <v>1.5704560826751606</v>
      </c>
      <c r="J513" s="101">
        <f t="shared" si="197"/>
        <v>69.161726513584384</v>
      </c>
      <c r="K513" s="104">
        <f t="shared" si="198"/>
        <v>1.5563369589217311</v>
      </c>
      <c r="L513" s="102">
        <f t="shared" si="199"/>
        <v>1</v>
      </c>
      <c r="M513" s="103">
        <f t="shared" si="200"/>
        <v>2.2691319230896315E-9</v>
      </c>
      <c r="N513" s="101">
        <f t="shared" si="201"/>
        <v>1</v>
      </c>
      <c r="O513" s="104">
        <f t="shared" si="202"/>
        <v>3.6306110769434103E-10</v>
      </c>
      <c r="P513" s="105">
        <f t="shared" ca="1" si="203"/>
        <v>3.9893226723505797</v>
      </c>
      <c r="Q513" s="106">
        <f t="shared" ca="1" si="204"/>
        <v>1.4383560177766705</v>
      </c>
      <c r="R513" s="107">
        <f t="shared" ca="1" si="205"/>
        <v>-58.532121388224816</v>
      </c>
      <c r="S513" s="108">
        <f t="shared" ca="1" si="206"/>
        <v>-197.79363643850306</v>
      </c>
      <c r="T513" s="116">
        <f t="shared" ca="1" si="207"/>
        <v>-17.793636438503057</v>
      </c>
      <c r="V513" s="72">
        <f t="shared" ca="1" si="208"/>
        <v>68789.25</v>
      </c>
      <c r="W513" s="72">
        <f t="shared" si="209"/>
        <v>4731960915.5625</v>
      </c>
      <c r="Y513" s="110">
        <f t="shared" si="210"/>
        <v>9.2232838838893798</v>
      </c>
      <c r="Z513" s="111">
        <f t="shared" si="211"/>
        <v>-89.188596972107902</v>
      </c>
      <c r="AA513" s="72">
        <f t="shared" si="212"/>
        <v>90.811403027892098</v>
      </c>
      <c r="AB513" s="110">
        <f t="shared" ca="1" si="213"/>
        <v>-51.837804925232689</v>
      </c>
      <c r="AC513" s="111">
        <f t="shared" ca="1" si="214"/>
        <v>-108.60503946639517</v>
      </c>
      <c r="AD513" s="72">
        <f t="shared" ca="1" si="215"/>
        <v>71.394960533604831</v>
      </c>
    </row>
    <row r="514" spans="1:30">
      <c r="A514" s="118">
        <v>69183</v>
      </c>
      <c r="B514" s="101">
        <f t="shared" ca="1" si="189"/>
        <v>3547.7567142732914</v>
      </c>
      <c r="C514" s="102">
        <f t="shared" ca="1" si="190"/>
        <v>1.5705144585345341</v>
      </c>
      <c r="D514" s="102">
        <f t="shared" si="191"/>
        <v>2.2746466062578654</v>
      </c>
      <c r="E514" s="103">
        <f t="shared" si="192"/>
        <v>1.1156110529151668</v>
      </c>
      <c r="F514" s="101">
        <f t="shared" si="193"/>
        <v>23647.114729522793</v>
      </c>
      <c r="G514" s="104">
        <f t="shared" si="194"/>
        <v>1.5707540383376477</v>
      </c>
      <c r="H514" s="113">
        <f t="shared" si="195"/>
        <v>2955.8895077011448</v>
      </c>
      <c r="I514" s="114">
        <f t="shared" si="196"/>
        <v>1.5704580191496109</v>
      </c>
      <c r="J514" s="101">
        <f t="shared" si="197"/>
        <v>69.55752604381324</v>
      </c>
      <c r="K514" s="104">
        <f t="shared" si="198"/>
        <v>1.5564192419874889</v>
      </c>
      <c r="L514" s="102">
        <f t="shared" si="199"/>
        <v>1</v>
      </c>
      <c r="M514" s="103">
        <f t="shared" si="200"/>
        <v>2.2821204452019754E-9</v>
      </c>
      <c r="N514" s="101">
        <f t="shared" si="201"/>
        <v>1</v>
      </c>
      <c r="O514" s="104">
        <f t="shared" si="202"/>
        <v>3.6513927123231604E-10</v>
      </c>
      <c r="P514" s="105">
        <f t="shared" ca="1" si="203"/>
        <v>4.0110507171820844</v>
      </c>
      <c r="Q514" s="106">
        <f t="shared" ca="1" si="204"/>
        <v>1.4404437770266478</v>
      </c>
      <c r="R514" s="107">
        <f t="shared" ca="1" si="205"/>
        <v>-58.638493178046133</v>
      </c>
      <c r="S514" s="108">
        <f t="shared" ca="1" si="206"/>
        <v>-197.78860876276258</v>
      </c>
      <c r="T514" s="116">
        <f t="shared" ca="1" si="207"/>
        <v>-17.788608762762578</v>
      </c>
      <c r="V514" s="72">
        <f t="shared" ca="1" si="208"/>
        <v>69183</v>
      </c>
      <c r="W514" s="72">
        <f t="shared" si="209"/>
        <v>4786287489</v>
      </c>
      <c r="Y514" s="110">
        <f t="shared" si="210"/>
        <v>9.1737178619583606</v>
      </c>
      <c r="Z514" s="111">
        <f t="shared" si="211"/>
        <v>-89.193214361046444</v>
      </c>
      <c r="AA514" s="72">
        <f t="shared" si="212"/>
        <v>90.806785638953556</v>
      </c>
      <c r="AB514" s="110">
        <f t="shared" ca="1" si="213"/>
        <v>-51.894610693122978</v>
      </c>
      <c r="AC514" s="111">
        <f t="shared" ca="1" si="214"/>
        <v>-108.59539440171616</v>
      </c>
      <c r="AD514" s="72">
        <f t="shared" ca="1" si="215"/>
        <v>71.404605598283837</v>
      </c>
    </row>
    <row r="515" spans="1:30">
      <c r="A515" s="118">
        <v>69586</v>
      </c>
      <c r="B515" s="101">
        <f t="shared" ca="1" si="189"/>
        <v>3568.4228583056138</v>
      </c>
      <c r="C515" s="102">
        <f t="shared" ca="1" si="190"/>
        <v>1.5705160909448317</v>
      </c>
      <c r="D515" s="102">
        <f t="shared" si="191"/>
        <v>2.2853418138021229</v>
      </c>
      <c r="E515" s="103">
        <f t="shared" si="192"/>
        <v>1.117900433799025</v>
      </c>
      <c r="F515" s="101">
        <f t="shared" si="193"/>
        <v>23784.862257369299</v>
      </c>
      <c r="G515" s="104">
        <f t="shared" si="194"/>
        <v>1.5707542832467998</v>
      </c>
      <c r="H515" s="113">
        <f t="shared" si="195"/>
        <v>2973.1079477176281</v>
      </c>
      <c r="I515" s="114">
        <f t="shared" si="196"/>
        <v>1.5704599784226074</v>
      </c>
      <c r="J515" s="101">
        <f t="shared" si="197"/>
        <v>69.962624203818223</v>
      </c>
      <c r="K515" s="104">
        <f t="shared" si="198"/>
        <v>1.5565024939881908</v>
      </c>
      <c r="L515" s="102">
        <f t="shared" si="199"/>
        <v>1</v>
      </c>
      <c r="M515" s="103">
        <f t="shared" si="200"/>
        <v>2.2954140945004501E-9</v>
      </c>
      <c r="N515" s="101">
        <f t="shared" si="201"/>
        <v>1</v>
      </c>
      <c r="O515" s="104">
        <f t="shared" si="202"/>
        <v>3.6726625512007202E-10</v>
      </c>
      <c r="P515" s="105">
        <f t="shared" ca="1" si="203"/>
        <v>4.0333029990154854</v>
      </c>
      <c r="Q515" s="106">
        <f t="shared" ca="1" si="204"/>
        <v>1.4425651751877351</v>
      </c>
      <c r="R515" s="107">
        <f t="shared" ca="1" si="205"/>
        <v>-58.7466913714904</v>
      </c>
      <c r="S515" s="108">
        <f t="shared" ca="1" si="206"/>
        <v>-197.78374935375527</v>
      </c>
      <c r="T515" s="116">
        <f t="shared" ca="1" si="207"/>
        <v>-17.783749353755269</v>
      </c>
      <c r="V515" s="72">
        <f t="shared" ca="1" si="208"/>
        <v>69586</v>
      </c>
      <c r="W515" s="72">
        <f t="shared" si="209"/>
        <v>4842211396</v>
      </c>
      <c r="Y515" s="110">
        <f t="shared" si="210"/>
        <v>9.123278578654693</v>
      </c>
      <c r="Z515" s="111">
        <f t="shared" si="211"/>
        <v>-89.197886122875389</v>
      </c>
      <c r="AA515" s="72">
        <f t="shared" si="212"/>
        <v>90.802113877124611</v>
      </c>
      <c r="AB515" s="110">
        <f t="shared" ca="1" si="213"/>
        <v>-51.952369603263584</v>
      </c>
      <c r="AC515" s="111">
        <f t="shared" ca="1" si="214"/>
        <v>-108.58586323087988</v>
      </c>
      <c r="AD515" s="72">
        <f t="shared" ca="1" si="215"/>
        <v>71.41413676912012</v>
      </c>
    </row>
    <row r="516" spans="1:30">
      <c r="A516" s="118">
        <v>69989</v>
      </c>
      <c r="B516" s="101">
        <f t="shared" ca="1" si="189"/>
        <v>3589.0890023473357</v>
      </c>
      <c r="C516" s="102">
        <f t="shared" ca="1" si="190"/>
        <v>1.5705177045561378</v>
      </c>
      <c r="D516" s="102">
        <f t="shared" si="191"/>
        <v>2.2960488878016134</v>
      </c>
      <c r="E516" s="103">
        <f t="shared" si="192"/>
        <v>1.1201684745193923</v>
      </c>
      <c r="F516" s="101">
        <f t="shared" si="193"/>
        <v>23922.609785217213</v>
      </c>
      <c r="G516" s="104">
        <f t="shared" si="194"/>
        <v>1.5707545253355546</v>
      </c>
      <c r="H516" s="113">
        <f t="shared" si="195"/>
        <v>2990.3263877453933</v>
      </c>
      <c r="I516" s="114">
        <f t="shared" si="196"/>
        <v>1.5704619151324317</v>
      </c>
      <c r="J516" s="101">
        <f t="shared" si="197"/>
        <v>70.367722843143781</v>
      </c>
      <c r="K516" s="104">
        <f t="shared" si="198"/>
        <v>1.5565847874456584</v>
      </c>
      <c r="L516" s="102">
        <f t="shared" si="199"/>
        <v>1</v>
      </c>
      <c r="M516" s="103">
        <f t="shared" si="200"/>
        <v>2.3087077437989252E-9</v>
      </c>
      <c r="N516" s="101">
        <f t="shared" si="201"/>
        <v>1</v>
      </c>
      <c r="O516" s="104">
        <f t="shared" si="202"/>
        <v>3.6939323900782804E-10</v>
      </c>
      <c r="P516" s="105">
        <f t="shared" ca="1" si="203"/>
        <v>4.0555691467660155</v>
      </c>
      <c r="Q516" s="106">
        <f t="shared" ca="1" si="204"/>
        <v>1.4446712299364266</v>
      </c>
      <c r="R516" s="107">
        <f t="shared" ca="1" si="205"/>
        <v>-58.854217731215861</v>
      </c>
      <c r="S516" s="108">
        <f t="shared" ca="1" si="206"/>
        <v>-197.77917866686974</v>
      </c>
      <c r="T516" s="116">
        <f t="shared" ca="1" si="207"/>
        <v>-17.77917866686974</v>
      </c>
      <c r="V516" s="72">
        <f t="shared" ca="1" si="208"/>
        <v>69989</v>
      </c>
      <c r="W516" s="72">
        <f t="shared" si="209"/>
        <v>4898460121</v>
      </c>
      <c r="Y516" s="110">
        <f t="shared" si="210"/>
        <v>9.0731304487387643</v>
      </c>
      <c r="Z516" s="111">
        <f t="shared" si="211"/>
        <v>-89.202504095400158</v>
      </c>
      <c r="AA516" s="72">
        <f t="shared" si="212"/>
        <v>90.797495904599842</v>
      </c>
      <c r="AB516" s="110">
        <f t="shared" ca="1" si="213"/>
        <v>-52.009747833073128</v>
      </c>
      <c r="AC516" s="111">
        <f t="shared" ca="1" si="214"/>
        <v>-108.57667457146965</v>
      </c>
      <c r="AD516" s="72">
        <f t="shared" ca="1" si="215"/>
        <v>71.423325428530347</v>
      </c>
    </row>
    <row r="517" spans="1:30">
      <c r="A517" s="118">
        <v>70392</v>
      </c>
      <c r="B517" s="101">
        <f t="shared" ca="1" si="189"/>
        <v>3609.7551463982954</v>
      </c>
      <c r="C517" s="102">
        <f t="shared" ca="1" si="190"/>
        <v>1.5705192996913302</v>
      </c>
      <c r="D517" s="102">
        <f t="shared" si="191"/>
        <v>2.3067676630186171</v>
      </c>
      <c r="E517" s="103">
        <f t="shared" si="192"/>
        <v>1.1224154490606915</v>
      </c>
      <c r="F517" s="101">
        <f t="shared" si="193"/>
        <v>24060.357313066514</v>
      </c>
      <c r="G517" s="104">
        <f t="shared" si="194"/>
        <v>1.5707547646523534</v>
      </c>
      <c r="H517" s="113">
        <f t="shared" si="195"/>
        <v>3007.5448277842461</v>
      </c>
      <c r="I517" s="114">
        <f t="shared" si="196"/>
        <v>1.570463829666612</v>
      </c>
      <c r="J517" s="101">
        <f t="shared" si="197"/>
        <v>70.772821953559159</v>
      </c>
      <c r="K517" s="104">
        <f t="shared" si="198"/>
        <v>1.556666138818688</v>
      </c>
      <c r="L517" s="102">
        <f t="shared" si="199"/>
        <v>1</v>
      </c>
      <c r="M517" s="103">
        <f t="shared" si="200"/>
        <v>2.3220013930974004E-9</v>
      </c>
      <c r="N517" s="101">
        <f t="shared" si="201"/>
        <v>1</v>
      </c>
      <c r="O517" s="104">
        <f t="shared" si="202"/>
        <v>3.7152022289558402E-10</v>
      </c>
      <c r="P517" s="105">
        <f t="shared" ca="1" si="203"/>
        <v>4.0778490677123127</v>
      </c>
      <c r="Q517" s="106">
        <f t="shared" ca="1" si="204"/>
        <v>1.4467621804634496</v>
      </c>
      <c r="R517" s="107">
        <f t="shared" ca="1" si="205"/>
        <v>-58.961080632536465</v>
      </c>
      <c r="S517" s="108">
        <f t="shared" ca="1" si="206"/>
        <v>-197.77489565066517</v>
      </c>
      <c r="T517" s="116">
        <f t="shared" ca="1" si="207"/>
        <v>-17.774895650665172</v>
      </c>
      <c r="V517" s="72">
        <f t="shared" ca="1" si="208"/>
        <v>70392</v>
      </c>
      <c r="W517" s="72">
        <f t="shared" si="209"/>
        <v>4955033664</v>
      </c>
      <c r="Y517" s="110">
        <f t="shared" si="210"/>
        <v>9.0232701308830912</v>
      </c>
      <c r="Z517" s="111">
        <f t="shared" si="211"/>
        <v>-89.207069202212011</v>
      </c>
      <c r="AA517" s="72">
        <f t="shared" si="212"/>
        <v>90.792930797787989</v>
      </c>
      <c r="AB517" s="110">
        <f t="shared" ca="1" si="213"/>
        <v>-52.066750416538056</v>
      </c>
      <c r="AC517" s="111">
        <f t="shared" ca="1" si="214"/>
        <v>-108.56782644845309</v>
      </c>
      <c r="AD517" s="72">
        <f t="shared" ca="1" si="215"/>
        <v>71.43217355154691</v>
      </c>
    </row>
    <row r="518" spans="1:30">
      <c r="A518" s="118">
        <v>70795</v>
      </c>
      <c r="B518" s="101">
        <f t="shared" ca="1" si="189"/>
        <v>3630.4212904583355</v>
      </c>
      <c r="C518" s="102">
        <f t="shared" ca="1" si="190"/>
        <v>1.570520876665934</v>
      </c>
      <c r="D518" s="102">
        <f t="shared" si="191"/>
        <v>2.31749797709349</v>
      </c>
      <c r="E518" s="103">
        <f t="shared" si="192"/>
        <v>1.1246416271922253</v>
      </c>
      <c r="F518" s="101">
        <f t="shared" si="193"/>
        <v>24198.104840917174</v>
      </c>
      <c r="G518" s="104">
        <f t="shared" si="194"/>
        <v>1.5707550012445339</v>
      </c>
      <c r="H518" s="113">
        <f t="shared" si="195"/>
        <v>3024.7632678339974</v>
      </c>
      <c r="I518" s="114">
        <f t="shared" si="196"/>
        <v>1.5704657224038518</v>
      </c>
      <c r="J518" s="101">
        <f t="shared" si="197"/>
        <v>71.177921527020871</v>
      </c>
      <c r="K518" s="104">
        <f t="shared" si="198"/>
        <v>1.556746564191434</v>
      </c>
      <c r="L518" s="102">
        <f t="shared" si="199"/>
        <v>1</v>
      </c>
      <c r="M518" s="103">
        <f t="shared" si="200"/>
        <v>2.3352950423958751E-9</v>
      </c>
      <c r="N518" s="101">
        <f t="shared" si="201"/>
        <v>1</v>
      </c>
      <c r="O518" s="104">
        <f t="shared" si="202"/>
        <v>3.7364720678334004E-10</v>
      </c>
      <c r="P518" s="105">
        <f t="shared" ca="1" si="203"/>
        <v>4.1001426717809295</v>
      </c>
      <c r="Q518" s="106">
        <f t="shared" ca="1" si="204"/>
        <v>1.4488382610597437</v>
      </c>
      <c r="R518" s="107">
        <f t="shared" ca="1" si="205"/>
        <v>-59.067288300585396</v>
      </c>
      <c r="S518" s="108">
        <f t="shared" ca="1" si="206"/>
        <v>-197.77089919302736</v>
      </c>
      <c r="T518" s="116">
        <f t="shared" ca="1" si="207"/>
        <v>-17.770899193027361</v>
      </c>
      <c r="V518" s="72">
        <f t="shared" ca="1" si="208"/>
        <v>70795</v>
      </c>
      <c r="W518" s="72">
        <f t="shared" si="209"/>
        <v>5011932025</v>
      </c>
      <c r="Y518" s="110">
        <f t="shared" si="210"/>
        <v>8.9736943409393213</v>
      </c>
      <c r="Z518" s="111">
        <f t="shared" si="211"/>
        <v>-89.211582345879336</v>
      </c>
      <c r="AA518" s="72">
        <f t="shared" si="212"/>
        <v>90.788417654120664</v>
      </c>
      <c r="AB518" s="110">
        <f t="shared" ca="1" si="213"/>
        <v>-52.123382294643207</v>
      </c>
      <c r="AC518" s="111">
        <f t="shared" ca="1" si="214"/>
        <v>-108.55931684714801</v>
      </c>
      <c r="AD518" s="72">
        <f t="shared" ca="1" si="215"/>
        <v>71.440683152851989</v>
      </c>
    </row>
    <row r="519" spans="1:30">
      <c r="A519" s="118">
        <v>71207.25</v>
      </c>
      <c r="B519" s="101">
        <f t="shared" ca="1" si="189"/>
        <v>3651.5617815066557</v>
      </c>
      <c r="C519" s="102">
        <f t="shared" ca="1" si="190"/>
        <v>1.5705224713674562</v>
      </c>
      <c r="D519" s="102">
        <f t="shared" si="191"/>
        <v>2.3284863553473945</v>
      </c>
      <c r="E519" s="103">
        <f t="shared" si="192"/>
        <v>1.1268976614880521</v>
      </c>
      <c r="F519" s="101">
        <f t="shared" si="193"/>
        <v>24339.014067609471</v>
      </c>
      <c r="G519" s="104">
        <f t="shared" si="194"/>
        <v>1.570755240496269</v>
      </c>
      <c r="H519" s="113">
        <f t="shared" si="195"/>
        <v>3042.3769202284802</v>
      </c>
      <c r="I519" s="114">
        <f t="shared" si="196"/>
        <v>1.5704676364175285</v>
      </c>
      <c r="J519" s="101">
        <f t="shared" si="197"/>
        <v>71.592319762600326</v>
      </c>
      <c r="K519" s="104">
        <f t="shared" si="198"/>
        <v>1.5568278938180584</v>
      </c>
      <c r="L519" s="102">
        <f t="shared" si="199"/>
        <v>1</v>
      </c>
      <c r="M519" s="103">
        <f t="shared" si="200"/>
        <v>2.3488938188804816E-9</v>
      </c>
      <c r="N519" s="101">
        <f t="shared" si="201"/>
        <v>1</v>
      </c>
      <c r="O519" s="104">
        <f t="shared" si="202"/>
        <v>3.7582301102087702E-10</v>
      </c>
      <c r="P519" s="105">
        <f t="shared" ca="1" si="203"/>
        <v>4.1229620442996282</v>
      </c>
      <c r="Q519" s="106">
        <f t="shared" ca="1" si="204"/>
        <v>1.4509468470851368</v>
      </c>
      <c r="R519" s="107">
        <f t="shared" ca="1" si="205"/>
        <v>-59.175264194340251</v>
      </c>
      <c r="S519" s="108">
        <f t="shared" ca="1" si="206"/>
        <v>-197.76710628600696</v>
      </c>
      <c r="T519" s="116">
        <f t="shared" ca="1" si="207"/>
        <v>-17.767106286006964</v>
      </c>
      <c r="V519" s="72">
        <f t="shared" ca="1" si="208"/>
        <v>71207.25</v>
      </c>
      <c r="W519" s="72">
        <f t="shared" si="209"/>
        <v>5070472452.5625</v>
      </c>
      <c r="Y519" s="110">
        <f t="shared" si="210"/>
        <v>8.9232716786080672</v>
      </c>
      <c r="Z519" s="111">
        <f t="shared" si="211"/>
        <v>-89.21614623279406</v>
      </c>
      <c r="AA519" s="72">
        <f t="shared" si="212"/>
        <v>90.78385376720594</v>
      </c>
      <c r="AB519" s="110">
        <f t="shared" ca="1" si="213"/>
        <v>-52.180935526066811</v>
      </c>
      <c r="AC519" s="111">
        <f t="shared" ca="1" si="214"/>
        <v>-108.55096005321292</v>
      </c>
      <c r="AD519" s="72">
        <f t="shared" ca="1" si="215"/>
        <v>71.449039946787082</v>
      </c>
    </row>
    <row r="520" spans="1:30">
      <c r="A520" s="118">
        <v>71619.5</v>
      </c>
      <c r="B520" s="101">
        <f t="shared" ca="1" si="189"/>
        <v>3672.7022725641559</v>
      </c>
      <c r="C520" s="102">
        <f t="shared" ca="1" si="190"/>
        <v>1.5705240477104125</v>
      </c>
      <c r="D520" s="102">
        <f t="shared" si="191"/>
        <v>2.3394864735127952</v>
      </c>
      <c r="E520" s="103">
        <f t="shared" si="192"/>
        <v>1.1291324916069898</v>
      </c>
      <c r="F520" s="101">
        <f t="shared" si="193"/>
        <v>24479.923294303142</v>
      </c>
      <c r="G520" s="104">
        <f t="shared" si="194"/>
        <v>1.5707554769936838</v>
      </c>
      <c r="H520" s="113">
        <f t="shared" si="195"/>
        <v>3059.9905726339807</v>
      </c>
      <c r="I520" s="114">
        <f t="shared" si="196"/>
        <v>1.5704695283966457</v>
      </c>
      <c r="J520" s="101">
        <f t="shared" si="197"/>
        <v>72.006718466277221</v>
      </c>
      <c r="K520" s="104">
        <f t="shared" si="198"/>
        <v>1.5569082873411193</v>
      </c>
      <c r="L520" s="102">
        <f t="shared" si="199"/>
        <v>1</v>
      </c>
      <c r="M520" s="103">
        <f t="shared" si="200"/>
        <v>2.3624925953650876E-9</v>
      </c>
      <c r="N520" s="101">
        <f t="shared" si="201"/>
        <v>1</v>
      </c>
      <c r="O520" s="104">
        <f t="shared" si="202"/>
        <v>3.77998815258414E-10</v>
      </c>
      <c r="P520" s="105">
        <f t="shared" ca="1" si="203"/>
        <v>4.1457955527981278</v>
      </c>
      <c r="Q520" s="106">
        <f t="shared" ca="1" si="204"/>
        <v>1.4530403535189873</v>
      </c>
      <c r="R520" s="107">
        <f t="shared" ca="1" si="205"/>
        <v>-59.282571375847411</v>
      </c>
      <c r="S520" s="108">
        <f t="shared" ca="1" si="206"/>
        <v>-197.76361070990316</v>
      </c>
      <c r="T520" s="116">
        <f t="shared" ca="1" si="207"/>
        <v>-17.763610709903162</v>
      </c>
      <c r="V520" s="72">
        <f t="shared" ca="1" si="208"/>
        <v>71619.5</v>
      </c>
      <c r="W520" s="72">
        <f t="shared" si="209"/>
        <v>5129352780.25</v>
      </c>
      <c r="Y520" s="110">
        <f t="shared" si="210"/>
        <v>8.8731399810251119</v>
      </c>
      <c r="Z520" s="111">
        <f t="shared" si="211"/>
        <v>-89.2206575896017</v>
      </c>
      <c r="AA520" s="72">
        <f t="shared" si="212"/>
        <v>90.7793424103983</v>
      </c>
      <c r="AB520" s="110">
        <f t="shared" ca="1" si="213"/>
        <v>-52.238111009991016</v>
      </c>
      <c r="AC520" s="111">
        <f t="shared" ca="1" si="214"/>
        <v>-108.5429531203015</v>
      </c>
      <c r="AD520" s="72">
        <f t="shared" ca="1" si="215"/>
        <v>71.457046879698495</v>
      </c>
    </row>
    <row r="521" spans="1:30">
      <c r="A521" s="118">
        <v>72031.75</v>
      </c>
      <c r="B521" s="101">
        <f t="shared" ca="1" si="189"/>
        <v>3693.8427636306774</v>
      </c>
      <c r="C521" s="102">
        <f t="shared" ca="1" si="190"/>
        <v>1.5705256060100108</v>
      </c>
      <c r="D521" s="102">
        <f t="shared" si="191"/>
        <v>2.3504981667645355</v>
      </c>
      <c r="E521" s="103">
        <f t="shared" si="192"/>
        <v>1.1313463930817051</v>
      </c>
      <c r="F521" s="101">
        <f t="shared" si="193"/>
        <v>24620.832520998167</v>
      </c>
      <c r="G521" s="104">
        <f t="shared" si="194"/>
        <v>1.5707557107840684</v>
      </c>
      <c r="H521" s="113">
        <f t="shared" si="195"/>
        <v>3077.6042250503092</v>
      </c>
      <c r="I521" s="114">
        <f t="shared" si="196"/>
        <v>1.5704713987195265</v>
      </c>
      <c r="J521" s="101">
        <f t="shared" si="197"/>
        <v>72.421117630016113</v>
      </c>
      <c r="K521" s="104">
        <f t="shared" si="198"/>
        <v>1.5569877608289364</v>
      </c>
      <c r="L521" s="102">
        <f t="shared" si="199"/>
        <v>1</v>
      </c>
      <c r="M521" s="103">
        <f t="shared" si="200"/>
        <v>2.376091371849694E-9</v>
      </c>
      <c r="N521" s="101">
        <f t="shared" si="201"/>
        <v>1</v>
      </c>
      <c r="O521" s="104">
        <f t="shared" si="202"/>
        <v>3.8017461949595103E-10</v>
      </c>
      <c r="P521" s="105">
        <f t="shared" ca="1" si="203"/>
        <v>4.1686431090177054</v>
      </c>
      <c r="Q521" s="106">
        <f t="shared" ca="1" si="204"/>
        <v>1.4551190160235061</v>
      </c>
      <c r="R521" s="107">
        <f t="shared" ca="1" si="205"/>
        <v>-59.389218183964701</v>
      </c>
      <c r="S521" s="108">
        <f t="shared" ca="1" si="206"/>
        <v>-197.76041110004732</v>
      </c>
      <c r="T521" s="116">
        <f t="shared" ca="1" si="207"/>
        <v>-17.760411100047321</v>
      </c>
      <c r="V521" s="72">
        <f t="shared" ca="1" si="208"/>
        <v>72031.75</v>
      </c>
      <c r="W521" s="72">
        <f t="shared" si="209"/>
        <v>5188573008.0625</v>
      </c>
      <c r="Y521" s="110">
        <f t="shared" si="210"/>
        <v>8.8232959100550019</v>
      </c>
      <c r="Z521" s="111">
        <f t="shared" si="211"/>
        <v>-89.225117317982352</v>
      </c>
      <c r="AA521" s="72">
        <f t="shared" si="212"/>
        <v>90.774882682017648</v>
      </c>
      <c r="AB521" s="110">
        <f t="shared" ca="1" si="213"/>
        <v>-52.294913747138196</v>
      </c>
      <c r="AC521" s="111">
        <f t="shared" ca="1" si="214"/>
        <v>-108.535293782065</v>
      </c>
      <c r="AD521" s="72">
        <f t="shared" ca="1" si="215"/>
        <v>71.464706217935003</v>
      </c>
    </row>
    <row r="522" spans="1:30">
      <c r="A522" s="118">
        <v>72444</v>
      </c>
      <c r="B522" s="101">
        <f t="shared" ca="1" si="189"/>
        <v>3714.983254706066</v>
      </c>
      <c r="C522" s="102">
        <f t="shared" ca="1" si="190"/>
        <v>1.5705271465742834</v>
      </c>
      <c r="D522" s="102">
        <f t="shared" si="191"/>
        <v>2.3615212731799216</v>
      </c>
      <c r="E522" s="103">
        <f t="shared" si="192"/>
        <v>1.1335396371290996</v>
      </c>
      <c r="F522" s="101">
        <f t="shared" si="193"/>
        <v>24761.741747694523</v>
      </c>
      <c r="G522" s="104">
        <f t="shared" si="194"/>
        <v>1.5707559419136365</v>
      </c>
      <c r="H522" s="113">
        <f t="shared" si="195"/>
        <v>3095.217877477281</v>
      </c>
      <c r="I522" s="114">
        <f t="shared" si="196"/>
        <v>1.5704732477558818</v>
      </c>
      <c r="J522" s="101">
        <f t="shared" si="197"/>
        <v>72.835517245964397</v>
      </c>
      <c r="K522" s="104">
        <f t="shared" si="198"/>
        <v>1.5570663299841925</v>
      </c>
      <c r="L522" s="102">
        <f t="shared" si="199"/>
        <v>1</v>
      </c>
      <c r="M522" s="103">
        <f t="shared" si="200"/>
        <v>2.3896901483343001E-9</v>
      </c>
      <c r="N522" s="101">
        <f t="shared" si="201"/>
        <v>1</v>
      </c>
      <c r="O522" s="104">
        <f t="shared" si="202"/>
        <v>3.8235042373348801E-10</v>
      </c>
      <c r="P522" s="105">
        <f t="shared" ca="1" si="203"/>
        <v>4.1915046273090697</v>
      </c>
      <c r="Q522" s="106">
        <f t="shared" ca="1" si="204"/>
        <v>1.4571830654103004</v>
      </c>
      <c r="R522" s="107">
        <f t="shared" ca="1" si="205"/>
        <v>-59.495212807671727</v>
      </c>
      <c r="S522" s="108">
        <f t="shared" ca="1" si="206"/>
        <v>-197.75750604019794</v>
      </c>
      <c r="T522" s="116">
        <f t="shared" ca="1" si="207"/>
        <v>-17.757506040197939</v>
      </c>
      <c r="V522" s="72">
        <f t="shared" ca="1" si="208"/>
        <v>72444</v>
      </c>
      <c r="W522" s="72">
        <f t="shared" si="209"/>
        <v>5248133136</v>
      </c>
      <c r="Y522" s="110">
        <f t="shared" si="210"/>
        <v>8.7737361846698256</v>
      </c>
      <c r="Z522" s="111">
        <f t="shared" si="211"/>
        <v>-89.229526299098424</v>
      </c>
      <c r="AA522" s="72">
        <f t="shared" si="212"/>
        <v>90.770473700901576</v>
      </c>
      <c r="AB522" s="110">
        <f t="shared" ca="1" si="213"/>
        <v>-52.35134864546005</v>
      </c>
      <c r="AC522" s="111">
        <f t="shared" ca="1" si="214"/>
        <v>-108.5279797410995</v>
      </c>
      <c r="AD522" s="72">
        <f t="shared" ca="1" si="215"/>
        <v>71.4720202589005</v>
      </c>
    </row>
    <row r="523" spans="1:30">
      <c r="A523" s="118">
        <v>72865.75</v>
      </c>
      <c r="B523" s="101">
        <f t="shared" ca="1" si="189"/>
        <v>3736.6109129589804</v>
      </c>
      <c r="C523" s="102">
        <f t="shared" ca="1" si="190"/>
        <v>1.5705287046005523</v>
      </c>
      <c r="D523" s="102">
        <f t="shared" si="191"/>
        <v>2.372810043865123</v>
      </c>
      <c r="E523" s="103">
        <f t="shared" si="192"/>
        <v>1.1357623242880461</v>
      </c>
      <c r="F523" s="101">
        <f t="shared" si="193"/>
        <v>24905.898124552608</v>
      </c>
      <c r="G523" s="104">
        <f t="shared" si="194"/>
        <v>1.5707561756630135</v>
      </c>
      <c r="H523" s="113">
        <f t="shared" si="195"/>
        <v>3113.2374236641535</v>
      </c>
      <c r="I523" s="114">
        <f t="shared" si="196"/>
        <v>1.5704751177507053</v>
      </c>
      <c r="J523" s="101">
        <f t="shared" si="197"/>
        <v>73.259466858199914</v>
      </c>
      <c r="K523" s="104">
        <f t="shared" si="198"/>
        <v>1.5571457898778887</v>
      </c>
      <c r="L523" s="102">
        <f t="shared" si="199"/>
        <v>1</v>
      </c>
      <c r="M523" s="103">
        <f t="shared" si="200"/>
        <v>2.4036022986857442E-9</v>
      </c>
      <c r="N523" s="101">
        <f t="shared" si="201"/>
        <v>1</v>
      </c>
      <c r="O523" s="104">
        <f t="shared" si="202"/>
        <v>3.8457636778971901E-10</v>
      </c>
      <c r="P523" s="105">
        <f t="shared" ca="1" si="203"/>
        <v>4.2149073343328718</v>
      </c>
      <c r="Q523" s="106">
        <f t="shared" ca="1" si="204"/>
        <v>1.4592797929122352</v>
      </c>
      <c r="R523" s="107">
        <f t="shared" ca="1" si="205"/>
        <v>-59.602983484520998</v>
      </c>
      <c r="S523" s="108">
        <f t="shared" ca="1" si="206"/>
        <v>-197.75483731771021</v>
      </c>
      <c r="T523" s="116">
        <f t="shared" ca="1" si="207"/>
        <v>-17.754837317710212</v>
      </c>
      <c r="V523" s="72">
        <f t="shared" ca="1" si="208"/>
        <v>72865.75</v>
      </c>
      <c r="W523" s="72">
        <f t="shared" si="209"/>
        <v>5309417523.0625</v>
      </c>
      <c r="Y523" s="110">
        <f t="shared" si="210"/>
        <v>8.7233252786533484</v>
      </c>
      <c r="Z523" s="111">
        <f t="shared" si="211"/>
        <v>-89.233985265024955</v>
      </c>
      <c r="AA523" s="72">
        <f t="shared" si="212"/>
        <v>90.766014734975045</v>
      </c>
      <c r="AB523" s="110">
        <f t="shared" ca="1" si="213"/>
        <v>-52.408708416292846</v>
      </c>
      <c r="AC523" s="111">
        <f t="shared" ca="1" si="214"/>
        <v>-108.52085205268526</v>
      </c>
      <c r="AD523" s="72">
        <f t="shared" ca="1" si="215"/>
        <v>71.479147947314743</v>
      </c>
    </row>
    <row r="524" spans="1:30">
      <c r="A524" s="118">
        <v>73287.5</v>
      </c>
      <c r="B524" s="101">
        <f t="shared" ca="1" si="189"/>
        <v>3758.2385712208597</v>
      </c>
      <c r="C524" s="102">
        <f t="shared" ca="1" si="190"/>
        <v>1.570530244694772</v>
      </c>
      <c r="D524" s="102">
        <f t="shared" si="191"/>
        <v>2.3841104259888422</v>
      </c>
      <c r="E524" s="103">
        <f t="shared" si="192"/>
        <v>1.1379639517255788</v>
      </c>
      <c r="F524" s="101">
        <f t="shared" si="193"/>
        <v>25050.05450141204</v>
      </c>
      <c r="G524" s="104">
        <f t="shared" si="194"/>
        <v>1.5707564067220596</v>
      </c>
      <c r="H524" s="113">
        <f t="shared" si="195"/>
        <v>3131.2569698617876</v>
      </c>
      <c r="I524" s="114">
        <f t="shared" si="196"/>
        <v>1.5704769662228888</v>
      </c>
      <c r="J524" s="101">
        <f t="shared" si="197"/>
        <v>73.683416927663771</v>
      </c>
      <c r="K524" s="104">
        <f t="shared" si="198"/>
        <v>1.5572243354000546</v>
      </c>
      <c r="L524" s="102">
        <f t="shared" si="199"/>
        <v>1</v>
      </c>
      <c r="M524" s="103">
        <f t="shared" si="200"/>
        <v>2.4175144490371879E-9</v>
      </c>
      <c r="N524" s="101">
        <f t="shared" si="201"/>
        <v>1</v>
      </c>
      <c r="O524" s="104">
        <f t="shared" si="202"/>
        <v>3.8680231184595001E-10</v>
      </c>
      <c r="P524" s="105">
        <f t="shared" ca="1" si="203"/>
        <v>4.2383244810561589</v>
      </c>
      <c r="Q524" s="106">
        <f t="shared" ca="1" si="204"/>
        <v>1.4613616997224974</v>
      </c>
      <c r="R524" s="107">
        <f t="shared" ca="1" si="205"/>
        <v>-59.710088445800778</v>
      </c>
      <c r="S524" s="108">
        <f t="shared" ca="1" si="206"/>
        <v>-197.75247372724678</v>
      </c>
      <c r="T524" s="116">
        <f t="shared" ca="1" si="207"/>
        <v>-17.75247372724678</v>
      </c>
      <c r="V524" s="72">
        <f t="shared" ca="1" si="208"/>
        <v>73287.5</v>
      </c>
      <c r="W524" s="72">
        <f t="shared" si="209"/>
        <v>5371057656.25</v>
      </c>
      <c r="Y524" s="110">
        <f t="shared" si="210"/>
        <v>8.6732052046504879</v>
      </c>
      <c r="Z524" s="111">
        <f t="shared" si="211"/>
        <v>-89.238392920333666</v>
      </c>
      <c r="AA524" s="72">
        <f t="shared" si="212"/>
        <v>90.761607079666334</v>
      </c>
      <c r="AB524" s="110">
        <f t="shared" ca="1" si="213"/>
        <v>-52.465693303569765</v>
      </c>
      <c r="AC524" s="111">
        <f t="shared" ca="1" si="214"/>
        <v>-108.51408080691311</v>
      </c>
      <c r="AD524" s="72">
        <f t="shared" ca="1" si="215"/>
        <v>71.485919193086886</v>
      </c>
    </row>
    <row r="525" spans="1:30">
      <c r="A525" s="118">
        <v>73709.25</v>
      </c>
      <c r="B525" s="101">
        <f t="shared" ca="1" si="189"/>
        <v>3779.8662294915512</v>
      </c>
      <c r="C525" s="102">
        <f t="shared" ca="1" si="190"/>
        <v>1.5705317671647534</v>
      </c>
      <c r="D525" s="102">
        <f t="shared" si="191"/>
        <v>2.3954222552205269</v>
      </c>
      <c r="E525" s="103">
        <f t="shared" si="192"/>
        <v>1.1401447962952325</v>
      </c>
      <c r="F525" s="101">
        <f t="shared" si="193"/>
        <v>25194.210878272792</v>
      </c>
      <c r="G525" s="104">
        <f t="shared" si="194"/>
        <v>1.570756635136956</v>
      </c>
      <c r="H525" s="113">
        <f t="shared" si="195"/>
        <v>3149.2765160699983</v>
      </c>
      <c r="I525" s="114">
        <f t="shared" si="196"/>
        <v>1.5704787935418774</v>
      </c>
      <c r="J525" s="101">
        <f t="shared" si="197"/>
        <v>74.107367446508945</v>
      </c>
      <c r="K525" s="104">
        <f t="shared" si="198"/>
        <v>1.5573019822424143</v>
      </c>
      <c r="L525" s="102">
        <f t="shared" si="199"/>
        <v>1</v>
      </c>
      <c r="M525" s="103">
        <f t="shared" si="200"/>
        <v>2.4314265993886315E-9</v>
      </c>
      <c r="N525" s="101">
        <f t="shared" si="201"/>
        <v>1</v>
      </c>
      <c r="O525" s="104">
        <f t="shared" si="202"/>
        <v>3.8902825590218101E-10</v>
      </c>
      <c r="P525" s="105">
        <f t="shared" ca="1" si="203"/>
        <v>4.2617559838132921</v>
      </c>
      <c r="Q525" s="106">
        <f t="shared" ca="1" si="204"/>
        <v>1.4634290179968032</v>
      </c>
      <c r="R525" s="107">
        <f t="shared" ca="1" si="205"/>
        <v>-59.81653599490685</v>
      </c>
      <c r="S525" s="108">
        <f t="shared" ca="1" si="206"/>
        <v>-197.7504136059955</v>
      </c>
      <c r="T525" s="116">
        <f t="shared" ca="1" si="207"/>
        <v>-17.750413605995504</v>
      </c>
      <c r="V525" s="72">
        <f t="shared" ca="1" si="208"/>
        <v>73709.25</v>
      </c>
      <c r="W525" s="72">
        <f t="shared" si="209"/>
        <v>5433053535.5625</v>
      </c>
      <c r="Y525" s="110">
        <f t="shared" si="210"/>
        <v>8.6233726267598794</v>
      </c>
      <c r="Z525" s="111">
        <f t="shared" si="211"/>
        <v>-89.242750145572487</v>
      </c>
      <c r="AA525" s="72">
        <f t="shared" si="212"/>
        <v>90.757249854427513</v>
      </c>
      <c r="AB525" s="110">
        <f t="shared" ca="1" si="213"/>
        <v>-52.522308274785217</v>
      </c>
      <c r="AC525" s="111">
        <f t="shared" ca="1" si="214"/>
        <v>-108.50766346042295</v>
      </c>
      <c r="AD525" s="72">
        <f t="shared" ca="1" si="215"/>
        <v>71.492336539577053</v>
      </c>
    </row>
    <row r="526" spans="1:30">
      <c r="A526" s="118">
        <v>74131</v>
      </c>
      <c r="B526" s="101">
        <f t="shared" ref="B526:B589" ca="1" si="216">SQRT(1+(A526/Pole1)^2)</f>
        <v>3801.4938877709046</v>
      </c>
      <c r="C526" s="102">
        <f t="shared" ref="C526:C589" ca="1" si="217">ATAN(A526/Pole1)</f>
        <v>1.5705332723113028</v>
      </c>
      <c r="D526" s="102">
        <f t="shared" ref="D526:D589" si="218">SQRT(1+(A526/Zero1)^2)</f>
        <v>2.4067453701541619</v>
      </c>
      <c r="E526" s="103">
        <f t="shared" ref="E526:E589" si="219">ATAN(A526/Zero1)</f>
        <v>1.1423051304391312</v>
      </c>
      <c r="F526" s="101">
        <f t="shared" ref="F526:F589" si="220">SQRT(1+(A526/Pole2)^2)</f>
        <v>25338.367255134843</v>
      </c>
      <c r="G526" s="104">
        <f t="shared" ref="G526:G589" si="221">ATAN(A526/Pole2)</f>
        <v>1.5707568609528322</v>
      </c>
      <c r="H526" s="113">
        <f t="shared" ref="H526:H589" si="222">SQRT(1+(A526/Zero2)^2)</f>
        <v>3167.2960622886048</v>
      </c>
      <c r="I526" s="114">
        <f t="shared" ref="I526:I589" si="223">ATAN(A526/Zero2)</f>
        <v>1.5704806000687088</v>
      </c>
      <c r="J526" s="101">
        <f t="shared" ref="J526:J589" si="224">SQRT(1+(A526/pole4)^2)</f>
        <v>74.531318407066863</v>
      </c>
      <c r="K526" s="104">
        <f t="shared" ref="K526:K589" si="225">ATAN(A526/pole4)</f>
        <v>1.5573787457397048</v>
      </c>
      <c r="L526" s="102">
        <f t="shared" ref="L526:L589" si="226">SQRT(1+(A526/Zerofeed)^2)</f>
        <v>1</v>
      </c>
      <c r="M526" s="103">
        <f t="shared" ref="M526:M589" si="227">ATAN(A526/Zerofeed)</f>
        <v>2.4453387497400752E-9</v>
      </c>
      <c r="N526" s="101">
        <f t="shared" ref="N526:N589" si="228">SQRT(1+(A526/Polefeed)^2)</f>
        <v>1</v>
      </c>
      <c r="O526" s="104">
        <f t="shared" ref="O526:O589" si="229">ATAN(A526/Polefeed)</f>
        <v>3.9125419995841201E-10</v>
      </c>
      <c r="P526" s="105">
        <f t="shared" ref="P526:P589" ca="1" si="230">SQRT((1-(W526/pterm2))^2+(A526/pterm1)^2)</f>
        <v>4.2852017615097209</v>
      </c>
      <c r="Q526" s="106">
        <f t="shared" ref="Q526:Q589" ca="1" si="231">IF((ATAN((A526/pterm1)/(1-A526^2/pterm2))&gt;0),ATAN((A526/pterm1)/(1-A526^2/pterm2)),PI()+ATAN((A526/pterm1)/(1-A526^2/pterm2)))</f>
        <v>1.4654819750901091</v>
      </c>
      <c r="R526" s="107">
        <f t="shared" ref="R526:R589" ca="1" si="232">20*LOG10(((D526*H526*L526)/(B526*F526*P526*J526*N526))*Adc)</f>
        <v>-59.922334285666487</v>
      </c>
      <c r="S526" s="108">
        <f t="shared" ref="S526:S589" ca="1" si="233">((E526+I526+M526)-(C526+G526+Q526+K526+O526))*radconv</f>
        <v>-197.7486552484022</v>
      </c>
      <c r="T526" s="116">
        <f t="shared" ref="T526:T589" ca="1" si="234">IF(S526&gt;0,S526,S526+180)</f>
        <v>-17.748655248402201</v>
      </c>
      <c r="V526" s="72">
        <f t="shared" ref="V526:V589" ca="1" si="235">IF(R526&lt;0,A526,1000000000)</f>
        <v>74131</v>
      </c>
      <c r="W526" s="72">
        <f t="shared" ref="W526:W589" si="236">A526^2</f>
        <v>5495405161</v>
      </c>
      <c r="Y526" s="110">
        <f t="shared" ref="Y526:Y589" si="237">20*LOG10(((H526*L526)/(F526*J526*N526))*Aea)</f>
        <v>8.573824266137871</v>
      </c>
      <c r="Z526" s="111">
        <f t="shared" ref="Z526:Z589" si="238">(I526+M526-(G526+K526+O526))*radconv</f>
        <v>-89.247057801256886</v>
      </c>
      <c r="AA526" s="72">
        <f t="shared" ref="AA526:AA589" si="239">IF(Z526&gt;0,Z526,Z526+180)</f>
        <v>90.752942198743114</v>
      </c>
      <c r="AB526" s="110">
        <f t="shared" ref="AB526:AB589" ca="1" si="240">20*LOG10((D526/(B526*P526))*Acs*Am)</f>
        <v>-52.578558204922849</v>
      </c>
      <c r="AC526" s="111">
        <f t="shared" ref="AC526:AC589" ca="1" si="241">(E526-(C526+Q526))*radconv</f>
        <v>-108.50159744714533</v>
      </c>
      <c r="AD526" s="72">
        <f t="shared" ref="AD526:AD589" ca="1" si="242">IF(AC526&gt;0,AC526,AC526+180)</f>
        <v>71.498402552854671</v>
      </c>
    </row>
    <row r="527" spans="1:30">
      <c r="A527" s="118">
        <v>74562.75</v>
      </c>
      <c r="B527" s="101">
        <f t="shared" ca="1" si="216"/>
        <v>3823.6343536057125</v>
      </c>
      <c r="C527" s="102">
        <f t="shared" ca="1" si="217"/>
        <v>1.5705347955084501</v>
      </c>
      <c r="D527" s="102">
        <f t="shared" si="218"/>
        <v>2.4183484891551656</v>
      </c>
      <c r="E527" s="103">
        <f t="shared" si="219"/>
        <v>1.1444957219006686</v>
      </c>
      <c r="F527" s="101">
        <f t="shared" si="220"/>
        <v>25485.941684798741</v>
      </c>
      <c r="G527" s="104">
        <f t="shared" si="221"/>
        <v>1.5707570894768244</v>
      </c>
      <c r="H527" s="113">
        <f t="shared" si="222"/>
        <v>3185.7428650967786</v>
      </c>
      <c r="I527" s="114">
        <f t="shared" si="223"/>
        <v>1.5704824282604675</v>
      </c>
      <c r="J527" s="101">
        <f t="shared" si="224"/>
        <v>74.965322003727223</v>
      </c>
      <c r="K527" s="104">
        <f t="shared" si="225"/>
        <v>1.5574564299906939</v>
      </c>
      <c r="L527" s="102">
        <f t="shared" si="226"/>
        <v>1</v>
      </c>
      <c r="M527" s="103">
        <f t="shared" si="227"/>
        <v>2.4595807673197692E-9</v>
      </c>
      <c r="N527" s="101">
        <f t="shared" si="228"/>
        <v>1</v>
      </c>
      <c r="O527" s="104">
        <f t="shared" si="229"/>
        <v>3.9353292277116301E-10</v>
      </c>
      <c r="P527" s="105">
        <f t="shared" ca="1" si="230"/>
        <v>4.309218160309376</v>
      </c>
      <c r="Q527" s="106">
        <f t="shared" ca="1" si="231"/>
        <v>1.4675689657553044</v>
      </c>
      <c r="R527" s="107">
        <f t="shared" ca="1" si="232"/>
        <v>-60.029976958029536</v>
      </c>
      <c r="S527" s="108">
        <f t="shared" ca="1" si="233"/>
        <v>-197.74716595760299</v>
      </c>
      <c r="T527" s="116">
        <f t="shared" ca="1" si="234"/>
        <v>-17.747165957602988</v>
      </c>
      <c r="V527" s="72">
        <f t="shared" ca="1" si="235"/>
        <v>74562.75</v>
      </c>
      <c r="W527" s="72">
        <f t="shared" si="236"/>
        <v>5559603687.5625</v>
      </c>
      <c r="Y527" s="110">
        <f t="shared" si="237"/>
        <v>8.5233921187532946</v>
      </c>
      <c r="Z527" s="111">
        <f t="shared" si="238"/>
        <v>-89.251417126081094</v>
      </c>
      <c r="AA527" s="72">
        <f t="shared" si="239"/>
        <v>90.748582873918906</v>
      </c>
      <c r="AB527" s="110">
        <f t="shared" ca="1" si="240"/>
        <v>-52.635768729901329</v>
      </c>
      <c r="AC527" s="111">
        <f t="shared" ca="1" si="241"/>
        <v>-108.49574883152195</v>
      </c>
      <c r="AD527" s="72">
        <f t="shared" ca="1" si="242"/>
        <v>71.504251168478049</v>
      </c>
    </row>
    <row r="528" spans="1:30">
      <c r="A528" s="118">
        <v>74994.5</v>
      </c>
      <c r="B528" s="101">
        <f t="shared" ca="1" si="216"/>
        <v>3845.7748194492897</v>
      </c>
      <c r="C528" s="102">
        <f t="shared" ca="1" si="217"/>
        <v>1.570536301167236</v>
      </c>
      <c r="D528" s="102">
        <f t="shared" si="218"/>
        <v>2.4299631022035824</v>
      </c>
      <c r="E528" s="103">
        <f t="shared" si="219"/>
        <v>1.1466653827374855</v>
      </c>
      <c r="F528" s="101">
        <f t="shared" si="220"/>
        <v>25633.516114463953</v>
      </c>
      <c r="G528" s="104">
        <f t="shared" si="221"/>
        <v>1.5707573153695507</v>
      </c>
      <c r="H528" s="113">
        <f t="shared" si="222"/>
        <v>3204.1896679154779</v>
      </c>
      <c r="I528" s="114">
        <f t="shared" si="223"/>
        <v>1.5704842354021034</v>
      </c>
      <c r="J528" s="101">
        <f t="shared" si="224"/>
        <v>75.399326047583386</v>
      </c>
      <c r="K528" s="104">
        <f t="shared" si="225"/>
        <v>1.5575332199296634</v>
      </c>
      <c r="L528" s="102">
        <f t="shared" si="226"/>
        <v>1</v>
      </c>
      <c r="M528" s="103">
        <f t="shared" si="227"/>
        <v>2.4738227848994628E-9</v>
      </c>
      <c r="N528" s="101">
        <f t="shared" si="228"/>
        <v>1</v>
      </c>
      <c r="O528" s="104">
        <f t="shared" si="229"/>
        <v>3.9581164558391402E-10</v>
      </c>
      <c r="P528" s="105">
        <f t="shared" ca="1" si="230"/>
        <v>4.3332493549924758</v>
      </c>
      <c r="Q528" s="106">
        <f t="shared" ca="1" si="231"/>
        <v>1.4696413734174703</v>
      </c>
      <c r="R528" s="107">
        <f t="shared" ca="1" si="232"/>
        <v>-60.136956045572902</v>
      </c>
      <c r="S528" s="108">
        <f t="shared" ca="1" si="233"/>
        <v>-197.74598916888141</v>
      </c>
      <c r="T528" s="116">
        <f t="shared" ca="1" si="234"/>
        <v>-17.745989168881408</v>
      </c>
      <c r="V528" s="72">
        <f t="shared" ca="1" si="235"/>
        <v>74994.5</v>
      </c>
      <c r="W528" s="72">
        <f t="shared" si="236"/>
        <v>5624175030.25</v>
      </c>
      <c r="Y528" s="110">
        <f t="shared" si="237"/>
        <v>8.4732510502458407</v>
      </c>
      <c r="Z528" s="111">
        <f t="shared" si="238"/>
        <v>-89.255726265923727</v>
      </c>
      <c r="AA528" s="72">
        <f t="shared" si="239"/>
        <v>90.744273734076273</v>
      </c>
      <c r="AB528" s="110">
        <f t="shared" ca="1" si="240"/>
        <v>-52.69260674893723</v>
      </c>
      <c r="AC528" s="111">
        <f t="shared" ca="1" si="241"/>
        <v>-108.49026290295774</v>
      </c>
      <c r="AD528" s="72">
        <f t="shared" ca="1" si="242"/>
        <v>71.509737097042262</v>
      </c>
    </row>
    <row r="529" spans="1:30">
      <c r="A529" s="118">
        <v>75426.25</v>
      </c>
      <c r="B529" s="101">
        <f t="shared" ca="1" si="216"/>
        <v>3867.9152853014853</v>
      </c>
      <c r="C529" s="102">
        <f t="shared" ca="1" si="217"/>
        <v>1.5705377895888362</v>
      </c>
      <c r="D529" s="102">
        <f t="shared" si="218"/>
        <v>2.4415890452682358</v>
      </c>
      <c r="E529" s="103">
        <f t="shared" si="219"/>
        <v>1.1488143913672826</v>
      </c>
      <c r="F529" s="101">
        <f t="shared" si="220"/>
        <v>25781.09054413046</v>
      </c>
      <c r="G529" s="104">
        <f t="shared" si="221"/>
        <v>1.5707575386761963</v>
      </c>
      <c r="H529" s="113">
        <f t="shared" si="222"/>
        <v>3222.6364707445214</v>
      </c>
      <c r="I529" s="114">
        <f t="shared" si="223"/>
        <v>1.5704860218550978</v>
      </c>
      <c r="J529" s="101">
        <f t="shared" si="224"/>
        <v>75.833330530957255</v>
      </c>
      <c r="K529" s="104">
        <f t="shared" si="225"/>
        <v>1.5576091309105087</v>
      </c>
      <c r="L529" s="102">
        <f t="shared" si="226"/>
        <v>1</v>
      </c>
      <c r="M529" s="103">
        <f t="shared" si="227"/>
        <v>2.4880648024791563E-9</v>
      </c>
      <c r="N529" s="101">
        <f t="shared" si="228"/>
        <v>1</v>
      </c>
      <c r="O529" s="104">
        <f t="shared" si="229"/>
        <v>3.9809036839666503E-10</v>
      </c>
      <c r="P529" s="105">
        <f t="shared" ca="1" si="230"/>
        <v>4.3572952664982489</v>
      </c>
      <c r="Q529" s="106">
        <f t="shared" ca="1" si="231"/>
        <v>1.471699427131792</v>
      </c>
      <c r="R529" s="107">
        <f t="shared" ca="1" si="232"/>
        <v>-60.243279831124504</v>
      </c>
      <c r="S529" s="108">
        <f t="shared" ca="1" si="233"/>
        <v>-197.74512293282072</v>
      </c>
      <c r="T529" s="116">
        <f t="shared" ca="1" si="234"/>
        <v>-17.745122932820721</v>
      </c>
      <c r="V529" s="72">
        <f t="shared" ca="1" si="235"/>
        <v>75426.25</v>
      </c>
      <c r="W529" s="72">
        <f t="shared" si="236"/>
        <v>5689119189.0625</v>
      </c>
      <c r="Y529" s="110">
        <f t="shared" si="237"/>
        <v>8.4233977204366361</v>
      </c>
      <c r="Z529" s="111">
        <f t="shared" si="238"/>
        <v>-89.259986082375718</v>
      </c>
      <c r="AA529" s="72">
        <f t="shared" si="239"/>
        <v>90.740013917624282</v>
      </c>
      <c r="AB529" s="110">
        <f t="shared" ca="1" si="240"/>
        <v>-52.749077204679644</v>
      </c>
      <c r="AC529" s="111">
        <f t="shared" ca="1" si="241"/>
        <v>-108.485136850445</v>
      </c>
      <c r="AD529" s="72">
        <f t="shared" ca="1" si="242"/>
        <v>71.514863149554998</v>
      </c>
    </row>
    <row r="530" spans="1:30">
      <c r="A530" s="118">
        <v>75858</v>
      </c>
      <c r="B530" s="101">
        <f t="shared" ca="1" si="216"/>
        <v>3890.0557511621523</v>
      </c>
      <c r="C530" s="102">
        <f t="shared" ca="1" si="217"/>
        <v>1.5705392610675699</v>
      </c>
      <c r="D530" s="102">
        <f t="shared" si="218"/>
        <v>2.4532261572688445</v>
      </c>
      <c r="E530" s="103">
        <f t="shared" si="219"/>
        <v>1.1509430216957106</v>
      </c>
      <c r="F530" s="101">
        <f t="shared" si="220"/>
        <v>25928.664973798241</v>
      </c>
      <c r="G530" s="104">
        <f t="shared" si="221"/>
        <v>1.5707577594409177</v>
      </c>
      <c r="H530" s="113">
        <f t="shared" si="222"/>
        <v>3241.0832735837325</v>
      </c>
      <c r="I530" s="114">
        <f t="shared" si="223"/>
        <v>1.5704877879727019</v>
      </c>
      <c r="J530" s="101">
        <f t="shared" si="224"/>
        <v>76.267335446345541</v>
      </c>
      <c r="K530" s="104">
        <f t="shared" si="225"/>
        <v>1.5576841779376762</v>
      </c>
      <c r="L530" s="102">
        <f t="shared" si="226"/>
        <v>1</v>
      </c>
      <c r="M530" s="103">
        <f t="shared" si="227"/>
        <v>2.5023068200588503E-9</v>
      </c>
      <c r="N530" s="101">
        <f t="shared" si="228"/>
        <v>1</v>
      </c>
      <c r="O530" s="104">
        <f t="shared" si="229"/>
        <v>4.0036909120941603E-10</v>
      </c>
      <c r="P530" s="105">
        <f t="shared" ca="1" si="230"/>
        <v>4.3813558183044092</v>
      </c>
      <c r="Q530" s="106">
        <f t="shared" ca="1" si="231"/>
        <v>1.4737433511925333</v>
      </c>
      <c r="R530" s="107">
        <f t="shared" ca="1" si="232"/>
        <v>-60.348956447926376</v>
      </c>
      <c r="S530" s="108">
        <f t="shared" ca="1" si="233"/>
        <v>-197.74456526574264</v>
      </c>
      <c r="T530" s="116">
        <f t="shared" ca="1" si="234"/>
        <v>-17.744565265742636</v>
      </c>
      <c r="V530" s="72">
        <f t="shared" ca="1" si="235"/>
        <v>75858</v>
      </c>
      <c r="W530" s="72">
        <f t="shared" si="236"/>
        <v>5754436164</v>
      </c>
      <c r="Y530" s="110">
        <f t="shared" si="237"/>
        <v>8.3738288463027537</v>
      </c>
      <c r="Z530" s="111">
        <f t="shared" si="238"/>
        <v>-89.264197417418742</v>
      </c>
      <c r="AA530" s="72">
        <f t="shared" si="239"/>
        <v>90.735802582581258</v>
      </c>
      <c r="AB530" s="110">
        <f t="shared" ca="1" si="240"/>
        <v>-52.805184947347627</v>
      </c>
      <c r="AC530" s="111">
        <f t="shared" ca="1" si="241"/>
        <v>-108.48036784832387</v>
      </c>
      <c r="AD530" s="72">
        <f t="shared" ca="1" si="242"/>
        <v>71.519632151676134</v>
      </c>
    </row>
    <row r="531" spans="1:30">
      <c r="A531" s="118">
        <v>76299.75</v>
      </c>
      <c r="B531" s="101">
        <f t="shared" ca="1" si="216"/>
        <v>3912.7090245788759</v>
      </c>
      <c r="C531" s="102">
        <f t="shared" ca="1" si="217"/>
        <v>1.5705407493919759</v>
      </c>
      <c r="D531" s="102">
        <f t="shared" si="218"/>
        <v>2.4651441978318243</v>
      </c>
      <c r="E531" s="103">
        <f t="shared" si="219"/>
        <v>1.1531001436844344</v>
      </c>
      <c r="F531" s="101">
        <f t="shared" si="220"/>
        <v>26079.657456267956</v>
      </c>
      <c r="G531" s="104">
        <f t="shared" si="221"/>
        <v>1.570757982732981</v>
      </c>
      <c r="H531" s="113">
        <f t="shared" si="222"/>
        <v>3259.9573330132348</v>
      </c>
      <c r="I531" s="114">
        <f t="shared" si="223"/>
        <v>1.5704895743090417</v>
      </c>
      <c r="J531" s="101">
        <f t="shared" si="224"/>
        <v>76.71139302856507</v>
      </c>
      <c r="K531" s="104">
        <f t="shared" si="225"/>
        <v>1.5577600842627637</v>
      </c>
      <c r="L531" s="102">
        <f t="shared" si="226"/>
        <v>1</v>
      </c>
      <c r="M531" s="103">
        <f t="shared" si="227"/>
        <v>2.5168787048667942E-9</v>
      </c>
      <c r="N531" s="101">
        <f t="shared" si="228"/>
        <v>1</v>
      </c>
      <c r="O531" s="104">
        <f t="shared" si="229"/>
        <v>4.0270059277868704E-10</v>
      </c>
      <c r="P531" s="105">
        <f t="shared" ca="1" si="230"/>
        <v>4.4059887254734074</v>
      </c>
      <c r="Q531" s="106">
        <f t="shared" ca="1" si="231"/>
        <v>1.4758202204370512</v>
      </c>
      <c r="R531" s="107">
        <f t="shared" ca="1" si="232"/>
        <v>-60.456419202384268</v>
      </c>
      <c r="S531" s="108">
        <f t="shared" ca="1" si="233"/>
        <v>-197.74431195243639</v>
      </c>
      <c r="T531" s="116">
        <f t="shared" ca="1" si="234"/>
        <v>-17.744311952436391</v>
      </c>
      <c r="V531" s="72">
        <f t="shared" ca="1" si="235"/>
        <v>76299.75</v>
      </c>
      <c r="W531" s="72">
        <f t="shared" si="236"/>
        <v>5821651850.0625</v>
      </c>
      <c r="Y531" s="110">
        <f t="shared" si="237"/>
        <v>8.3234029291438976</v>
      </c>
      <c r="Z531" s="111">
        <f t="shared" si="238"/>
        <v>-89.268456972947916</v>
      </c>
      <c r="AA531" s="72">
        <f t="shared" si="239"/>
        <v>90.731543027052084</v>
      </c>
      <c r="AB531" s="110">
        <f t="shared" ca="1" si="240"/>
        <v>-52.862221784646657</v>
      </c>
      <c r="AC531" s="111">
        <f t="shared" ca="1" si="241"/>
        <v>-108.47585497948837</v>
      </c>
      <c r="AD531" s="72">
        <f t="shared" ca="1" si="242"/>
        <v>71.524145020511625</v>
      </c>
    </row>
    <row r="532" spans="1:30">
      <c r="A532" s="118">
        <v>76741.5</v>
      </c>
      <c r="B532" s="101">
        <f t="shared" ca="1" si="216"/>
        <v>3935.3622980041669</v>
      </c>
      <c r="C532" s="102">
        <f t="shared" ca="1" si="217"/>
        <v>1.5705422205817867</v>
      </c>
      <c r="D532" s="102">
        <f t="shared" si="218"/>
        <v>2.4770735987325585</v>
      </c>
      <c r="E532" s="103">
        <f t="shared" si="219"/>
        <v>1.1552364984585612</v>
      </c>
      <c r="F532" s="101">
        <f t="shared" si="220"/>
        <v>26230.649938738952</v>
      </c>
      <c r="G532" s="104">
        <f t="shared" si="221"/>
        <v>1.570758203454355</v>
      </c>
      <c r="H532" s="113">
        <f t="shared" si="222"/>
        <v>3278.8313924530189</v>
      </c>
      <c r="I532" s="114">
        <f t="shared" si="223"/>
        <v>1.5704913400798723</v>
      </c>
      <c r="J532" s="101">
        <f t="shared" si="224"/>
        <v>77.155451047690349</v>
      </c>
      <c r="K532" s="104">
        <f t="shared" si="225"/>
        <v>1.5578351168506006</v>
      </c>
      <c r="L532" s="102">
        <f t="shared" si="226"/>
        <v>1</v>
      </c>
      <c r="M532" s="103">
        <f t="shared" si="227"/>
        <v>2.5314505896747376E-9</v>
      </c>
      <c r="N532" s="101">
        <f t="shared" si="228"/>
        <v>1</v>
      </c>
      <c r="O532" s="104">
        <f t="shared" si="229"/>
        <v>4.05032094347958E-10</v>
      </c>
      <c r="P532" s="105">
        <f t="shared" ca="1" si="230"/>
        <v>4.4306368047614839</v>
      </c>
      <c r="Q532" s="106">
        <f t="shared" ca="1" si="231"/>
        <v>1.4778827582178125</v>
      </c>
      <c r="R532" s="107">
        <f t="shared" ca="1" si="232"/>
        <v>-60.563221223264058</v>
      </c>
      <c r="S532" s="108">
        <f t="shared" ca="1" si="233"/>
        <v>-197.74437736832192</v>
      </c>
      <c r="T532" s="116">
        <f t="shared" ca="1" si="234"/>
        <v>-17.744377368321921</v>
      </c>
      <c r="V532" s="72">
        <f t="shared" ca="1" si="235"/>
        <v>76741.5</v>
      </c>
      <c r="W532" s="72">
        <f t="shared" si="236"/>
        <v>5889257822.25</v>
      </c>
      <c r="Y532" s="110">
        <f t="shared" si="237"/>
        <v>8.2732680214730454</v>
      </c>
      <c r="Z532" s="111">
        <f t="shared" si="238"/>
        <v>-89.272667498047383</v>
      </c>
      <c r="AA532" s="72">
        <f t="shared" si="239"/>
        <v>90.727332501952617</v>
      </c>
      <c r="AB532" s="110">
        <f t="shared" ca="1" si="240"/>
        <v>-52.918888897855595</v>
      </c>
      <c r="AC532" s="111">
        <f t="shared" ca="1" si="241"/>
        <v>-108.47170987027449</v>
      </c>
      <c r="AD532" s="72">
        <f t="shared" ca="1" si="242"/>
        <v>71.528290129725505</v>
      </c>
    </row>
    <row r="533" spans="1:30">
      <c r="A533" s="118">
        <v>77183.25</v>
      </c>
      <c r="B533" s="101">
        <f t="shared" ca="1" si="216"/>
        <v>3958.0155714378784</v>
      </c>
      <c r="C533" s="102">
        <f t="shared" ca="1" si="217"/>
        <v>1.5705436749312063</v>
      </c>
      <c r="D533" s="102">
        <f t="shared" si="218"/>
        <v>2.4890141966268375</v>
      </c>
      <c r="E533" s="103">
        <f t="shared" si="219"/>
        <v>1.1573523652569984</v>
      </c>
      <c r="F533" s="101">
        <f t="shared" si="220"/>
        <v>26381.642421211214</v>
      </c>
      <c r="G533" s="104">
        <f t="shared" si="221"/>
        <v>1.5707584216491792</v>
      </c>
      <c r="H533" s="113">
        <f t="shared" si="222"/>
        <v>3297.7054519029098</v>
      </c>
      <c r="I533" s="114">
        <f t="shared" si="223"/>
        <v>1.5704930856383073</v>
      </c>
      <c r="J533" s="101">
        <f t="shared" si="224"/>
        <v>77.59950949622089</v>
      </c>
      <c r="K533" s="104">
        <f t="shared" si="225"/>
        <v>1.5579092907000585</v>
      </c>
      <c r="L533" s="102">
        <f t="shared" si="226"/>
        <v>1</v>
      </c>
      <c r="M533" s="103">
        <f t="shared" si="227"/>
        <v>2.5460224744826815E-9</v>
      </c>
      <c r="N533" s="101">
        <f t="shared" si="228"/>
        <v>1</v>
      </c>
      <c r="O533" s="104">
        <f t="shared" si="229"/>
        <v>4.0736359591722901E-10</v>
      </c>
      <c r="P533" s="105">
        <f t="shared" ca="1" si="230"/>
        <v>4.4552999820275971</v>
      </c>
      <c r="Q533" s="106">
        <f t="shared" ca="1" si="231"/>
        <v>1.4799311900747147</v>
      </c>
      <c r="R533" s="107">
        <f t="shared" ca="1" si="232"/>
        <v>-60.669370758188009</v>
      </c>
      <c r="S533" s="108">
        <f t="shared" ca="1" si="233"/>
        <v>-197.74475929519852</v>
      </c>
      <c r="T533" s="116">
        <f t="shared" ca="1" si="234"/>
        <v>-17.74475929519852</v>
      </c>
      <c r="V533" s="72">
        <f t="shared" ca="1" si="235"/>
        <v>77183.25</v>
      </c>
      <c r="W533" s="72">
        <f t="shared" si="236"/>
        <v>5957254080.5625</v>
      </c>
      <c r="Y533" s="110">
        <f t="shared" si="237"/>
        <v>8.2234207842626539</v>
      </c>
      <c r="Z533" s="111">
        <f t="shared" si="238"/>
        <v>-89.276829834386319</v>
      </c>
      <c r="AA533" s="72">
        <f t="shared" si="239"/>
        <v>90.723170165613681</v>
      </c>
      <c r="AB533" s="110">
        <f t="shared" ca="1" si="240"/>
        <v>-52.975191195569167</v>
      </c>
      <c r="AC533" s="111">
        <f t="shared" ca="1" si="241"/>
        <v>-108.46792946081219</v>
      </c>
      <c r="AD533" s="72">
        <f t="shared" ca="1" si="242"/>
        <v>71.532070539187814</v>
      </c>
    </row>
    <row r="534" spans="1:30">
      <c r="A534" s="118">
        <v>77625</v>
      </c>
      <c r="B534" s="101">
        <f t="shared" ca="1" si="216"/>
        <v>3980.6688448798659</v>
      </c>
      <c r="C534" s="102">
        <f t="shared" ca="1" si="217"/>
        <v>1.5705451127277419</v>
      </c>
      <c r="D534" s="102">
        <f t="shared" si="218"/>
        <v>2.5009658311380685</v>
      </c>
      <c r="E534" s="103">
        <f t="shared" si="219"/>
        <v>1.1594480187222422</v>
      </c>
      <c r="F534" s="101">
        <f t="shared" si="220"/>
        <v>26532.634903684717</v>
      </c>
      <c r="G534" s="104">
        <f t="shared" si="221"/>
        <v>1.570758637360588</v>
      </c>
      <c r="H534" s="113">
        <f t="shared" si="222"/>
        <v>3316.5795113627341</v>
      </c>
      <c r="I534" s="114">
        <f t="shared" si="223"/>
        <v>1.5704948113294221</v>
      </c>
      <c r="J534" s="101">
        <f t="shared" si="224"/>
        <v>78.043568366826889</v>
      </c>
      <c r="K534" s="104">
        <f t="shared" si="225"/>
        <v>1.5579826204686802</v>
      </c>
      <c r="L534" s="102">
        <f t="shared" si="226"/>
        <v>1</v>
      </c>
      <c r="M534" s="103">
        <f t="shared" si="227"/>
        <v>2.5605943592906253E-9</v>
      </c>
      <c r="N534" s="101">
        <f t="shared" si="228"/>
        <v>1</v>
      </c>
      <c r="O534" s="104">
        <f t="shared" si="229"/>
        <v>4.0969509748650002E-10</v>
      </c>
      <c r="P534" s="105">
        <f t="shared" ca="1" si="230"/>
        <v>4.4799781856302294</v>
      </c>
      <c r="Q534" s="106">
        <f t="shared" ca="1" si="231"/>
        <v>1.4819657368391419</v>
      </c>
      <c r="R534" s="107">
        <f t="shared" ca="1" si="232"/>
        <v>-60.774875905555476</v>
      </c>
      <c r="S534" s="108">
        <f t="shared" ca="1" si="233"/>
        <v>-197.74545548890489</v>
      </c>
      <c r="T534" s="116">
        <f t="shared" ca="1" si="234"/>
        <v>-17.745455488904895</v>
      </c>
      <c r="V534" s="72">
        <f t="shared" ca="1" si="235"/>
        <v>77625</v>
      </c>
      <c r="W534" s="72">
        <f t="shared" si="236"/>
        <v>6025640625</v>
      </c>
      <c r="Y534" s="110">
        <f t="shared" si="237"/>
        <v>8.1738579356158105</v>
      </c>
      <c r="Z534" s="111">
        <f t="shared" si="238"/>
        <v>-89.280944804480086</v>
      </c>
      <c r="AA534" s="72">
        <f t="shared" si="239"/>
        <v>90.719055195519914</v>
      </c>
      <c r="AB534" s="110">
        <f t="shared" ca="1" si="240"/>
        <v>-53.031133494289776</v>
      </c>
      <c r="AC534" s="111">
        <f t="shared" ca="1" si="241"/>
        <v>-108.46451068442481</v>
      </c>
      <c r="AD534" s="72">
        <f t="shared" ca="1" si="242"/>
        <v>71.535489315575191</v>
      </c>
    </row>
    <row r="535" spans="1:30">
      <c r="A535" s="118">
        <v>78077</v>
      </c>
      <c r="B535" s="101">
        <f t="shared" ca="1" si="216"/>
        <v>4003.8477460671847</v>
      </c>
      <c r="C535" s="102">
        <f t="shared" ca="1" si="217"/>
        <v>1.5705465670453209</v>
      </c>
      <c r="D535" s="102">
        <f t="shared" si="218"/>
        <v>2.5132060409229466</v>
      </c>
      <c r="E535" s="103">
        <f t="shared" si="219"/>
        <v>1.1615716574354027</v>
      </c>
      <c r="F535" s="101">
        <f t="shared" si="220"/>
        <v>26687.130890280263</v>
      </c>
      <c r="G535" s="104">
        <f t="shared" si="221"/>
        <v>1.5707588555506349</v>
      </c>
      <c r="H535" s="113">
        <f t="shared" si="222"/>
        <v>3335.8915088280542</v>
      </c>
      <c r="I535" s="114">
        <f t="shared" si="223"/>
        <v>1.5704965568496418</v>
      </c>
      <c r="J535" s="101">
        <f t="shared" si="224"/>
        <v>78.497931239956031</v>
      </c>
      <c r="K535" s="104">
        <f t="shared" si="225"/>
        <v>1.558056792975308</v>
      </c>
      <c r="L535" s="102">
        <f t="shared" si="226"/>
        <v>1</v>
      </c>
      <c r="M535" s="103">
        <f t="shared" si="227"/>
        <v>2.5755043580075254E-9</v>
      </c>
      <c r="N535" s="101">
        <f t="shared" si="228"/>
        <v>1</v>
      </c>
      <c r="O535" s="104">
        <f t="shared" si="229"/>
        <v>4.12080697281204E-10</v>
      </c>
      <c r="P535" s="105">
        <f t="shared" ca="1" si="230"/>
        <v>4.5052444829613227</v>
      </c>
      <c r="Q535" s="106">
        <f t="shared" ca="1" si="231"/>
        <v>1.4840333449695984</v>
      </c>
      <c r="R535" s="107">
        <f t="shared" ca="1" si="232"/>
        <v>-60.882170412310984</v>
      </c>
      <c r="S535" s="108">
        <f t="shared" ca="1" si="233"/>
        <v>-197.74649076054808</v>
      </c>
      <c r="T535" s="116">
        <f t="shared" ca="1" si="234"/>
        <v>-17.746490760548085</v>
      </c>
      <c r="V535" s="72">
        <f t="shared" ca="1" si="235"/>
        <v>78077</v>
      </c>
      <c r="W535" s="72">
        <f t="shared" si="236"/>
        <v>6096017929</v>
      </c>
      <c r="Y535" s="110">
        <f t="shared" si="237"/>
        <v>8.1234360702903459</v>
      </c>
      <c r="Z535" s="111">
        <f t="shared" si="238"/>
        <v>-89.28510706578011</v>
      </c>
      <c r="AA535" s="72">
        <f t="shared" si="239"/>
        <v>90.71489293421989</v>
      </c>
      <c r="AB535" s="110">
        <f t="shared" ca="1" si="240"/>
        <v>-53.08800613571983</v>
      </c>
      <c r="AC535" s="111">
        <f t="shared" ca="1" si="241"/>
        <v>-108.46138369476797</v>
      </c>
      <c r="AD535" s="72">
        <f t="shared" ca="1" si="242"/>
        <v>71.538616305232026</v>
      </c>
    </row>
    <row r="536" spans="1:30">
      <c r="A536" s="118">
        <v>78529</v>
      </c>
      <c r="B536" s="101">
        <f t="shared" ca="1" si="216"/>
        <v>4027.0266472628746</v>
      </c>
      <c r="C536" s="102">
        <f t="shared" ca="1" si="217"/>
        <v>1.5705480046212759</v>
      </c>
      <c r="D536" s="102">
        <f t="shared" si="218"/>
        <v>2.5254574749715593</v>
      </c>
      <c r="E536" s="103">
        <f t="shared" si="219"/>
        <v>1.1636747012739459</v>
      </c>
      <c r="F536" s="101">
        <f t="shared" si="220"/>
        <v>26841.626876877064</v>
      </c>
      <c r="G536" s="104">
        <f t="shared" si="221"/>
        <v>1.5707590712289499</v>
      </c>
      <c r="H536" s="113">
        <f t="shared" si="222"/>
        <v>3355.2035063034209</v>
      </c>
      <c r="I536" s="114">
        <f t="shared" si="223"/>
        <v>1.5704982822760094</v>
      </c>
      <c r="J536" s="101">
        <f t="shared" si="224"/>
        <v>78.952294539975654</v>
      </c>
      <c r="K536" s="104">
        <f t="shared" si="225"/>
        <v>1.5581301117702278</v>
      </c>
      <c r="L536" s="102">
        <f t="shared" si="226"/>
        <v>1</v>
      </c>
      <c r="M536" s="103">
        <f t="shared" si="227"/>
        <v>2.5904143567244251E-9</v>
      </c>
      <c r="N536" s="101">
        <f t="shared" si="228"/>
        <v>1</v>
      </c>
      <c r="O536" s="104">
        <f t="shared" si="229"/>
        <v>4.1446629707590803E-10</v>
      </c>
      <c r="P536" s="105">
        <f t="shared" ca="1" si="230"/>
        <v>4.5305263680176591</v>
      </c>
      <c r="Q536" s="106">
        <f t="shared" ca="1" si="231"/>
        <v>1.4860868693516087</v>
      </c>
      <c r="R536" s="107">
        <f t="shared" ca="1" si="232"/>
        <v>-60.988806971209428</v>
      </c>
      <c r="S536" s="108">
        <f t="shared" ca="1" si="233"/>
        <v>-197.74785022632028</v>
      </c>
      <c r="T536" s="116">
        <f t="shared" ca="1" si="234"/>
        <v>-17.747850226320281</v>
      </c>
      <c r="V536" s="72">
        <f t="shared" ca="1" si="235"/>
        <v>78529</v>
      </c>
      <c r="W536" s="72">
        <f t="shared" si="236"/>
        <v>6166803841</v>
      </c>
      <c r="Y536" s="110">
        <f t="shared" si="237"/>
        <v>8.0733051700352014</v>
      </c>
      <c r="Z536" s="111">
        <f t="shared" si="238"/>
        <v>-89.289221420383569</v>
      </c>
      <c r="AA536" s="72">
        <f t="shared" si="239"/>
        <v>90.710778579616431</v>
      </c>
      <c r="AB536" s="110">
        <f t="shared" ca="1" si="240"/>
        <v>-53.144511794363119</v>
      </c>
      <c r="AC536" s="111">
        <f t="shared" ca="1" si="241"/>
        <v>-108.45862880593667</v>
      </c>
      <c r="AD536" s="72">
        <f t="shared" ca="1" si="242"/>
        <v>71.541371194063331</v>
      </c>
    </row>
    <row r="537" spans="1:30">
      <c r="A537" s="118">
        <v>78981</v>
      </c>
      <c r="B537" s="101">
        <f t="shared" ca="1" si="216"/>
        <v>4050.2055484667908</v>
      </c>
      <c r="C537" s="102">
        <f t="shared" ca="1" si="217"/>
        <v>1.5705494257430379</v>
      </c>
      <c r="D537" s="102">
        <f t="shared" si="218"/>
        <v>2.5377199707206715</v>
      </c>
      <c r="E537" s="103">
        <f t="shared" si="219"/>
        <v>1.1657574300483684</v>
      </c>
      <c r="F537" s="101">
        <f t="shared" si="220"/>
        <v>26996.122863475102</v>
      </c>
      <c r="G537" s="104">
        <f t="shared" si="221"/>
        <v>1.5707592844386558</v>
      </c>
      <c r="H537" s="113">
        <f t="shared" si="222"/>
        <v>3374.515503788662</v>
      </c>
      <c r="I537" s="114">
        <f t="shared" si="223"/>
        <v>1.5704999879535093</v>
      </c>
      <c r="J537" s="101">
        <f t="shared" si="224"/>
        <v>79.406658259557801</v>
      </c>
      <c r="K537" s="104">
        <f t="shared" si="225"/>
        <v>1.5582025915074214</v>
      </c>
      <c r="L537" s="102">
        <f t="shared" si="226"/>
        <v>1</v>
      </c>
      <c r="M537" s="103">
        <f t="shared" si="227"/>
        <v>2.6053243554413252E-9</v>
      </c>
      <c r="N537" s="101">
        <f t="shared" si="228"/>
        <v>1</v>
      </c>
      <c r="O537" s="104">
        <f t="shared" si="229"/>
        <v>4.1685189687061201E-10</v>
      </c>
      <c r="P537" s="105">
        <f t="shared" ca="1" si="230"/>
        <v>4.5558237717556223</v>
      </c>
      <c r="Q537" s="106">
        <f t="shared" ca="1" si="231"/>
        <v>1.4881265320085386</v>
      </c>
      <c r="R537" s="107">
        <f t="shared" ca="1" si="232"/>
        <v>-61.094793794753414</v>
      </c>
      <c r="S537" s="108">
        <f t="shared" ca="1" si="233"/>
        <v>-197.74953141404714</v>
      </c>
      <c r="T537" s="116">
        <f t="shared" ca="1" si="234"/>
        <v>-17.749531414047141</v>
      </c>
      <c r="V537" s="72">
        <f t="shared" ca="1" si="235"/>
        <v>78981</v>
      </c>
      <c r="W537" s="72">
        <f t="shared" si="236"/>
        <v>6237998361</v>
      </c>
      <c r="Y537" s="110">
        <f t="shared" si="237"/>
        <v>8.0234618965473032</v>
      </c>
      <c r="Z537" s="111">
        <f t="shared" si="238"/>
        <v>-89.29328869060636</v>
      </c>
      <c r="AA537" s="72">
        <f t="shared" si="239"/>
        <v>90.70671130939364</v>
      </c>
      <c r="AB537" s="110">
        <f t="shared" ca="1" si="240"/>
        <v>-53.200655344419218</v>
      </c>
      <c r="AC537" s="111">
        <f t="shared" ca="1" si="241"/>
        <v>-108.45624272344075</v>
      </c>
      <c r="AD537" s="72">
        <f t="shared" ca="1" si="242"/>
        <v>71.543757276559248</v>
      </c>
    </row>
    <row r="538" spans="1:30">
      <c r="A538" s="118">
        <v>79433</v>
      </c>
      <c r="B538" s="101">
        <f t="shared" ca="1" si="216"/>
        <v>4073.3844496787942</v>
      </c>
      <c r="C538" s="102">
        <f t="shared" ca="1" si="217"/>
        <v>1.570550830691497</v>
      </c>
      <c r="D538" s="102">
        <f t="shared" si="218"/>
        <v>2.5499933685886322</v>
      </c>
      <c r="E538" s="103">
        <f t="shared" si="219"/>
        <v>1.1678201188944137</v>
      </c>
      <c r="F538" s="101">
        <f t="shared" si="220"/>
        <v>27150.618850074348</v>
      </c>
      <c r="G538" s="104">
        <f t="shared" si="221"/>
        <v>1.5707594952218946</v>
      </c>
      <c r="H538" s="113">
        <f t="shared" si="222"/>
        <v>3393.8275012836093</v>
      </c>
      <c r="I538" s="114">
        <f t="shared" si="223"/>
        <v>1.5705016742192746</v>
      </c>
      <c r="J538" s="101">
        <f t="shared" si="224"/>
        <v>79.861022391541255</v>
      </c>
      <c r="K538" s="104">
        <f t="shared" si="225"/>
        <v>1.5582742465074155</v>
      </c>
      <c r="L538" s="102">
        <f t="shared" si="226"/>
        <v>1</v>
      </c>
      <c r="M538" s="103">
        <f t="shared" si="227"/>
        <v>2.6202343541582253E-9</v>
      </c>
      <c r="N538" s="101">
        <f t="shared" si="228"/>
        <v>1</v>
      </c>
      <c r="O538" s="104">
        <f t="shared" si="229"/>
        <v>4.1923749666531604E-10</v>
      </c>
      <c r="P538" s="105">
        <f t="shared" ca="1" si="230"/>
        <v>4.581136627591837</v>
      </c>
      <c r="Q538" s="106">
        <f t="shared" ca="1" si="231"/>
        <v>1.4901525503088282</v>
      </c>
      <c r="R538" s="107">
        <f t="shared" ca="1" si="232"/>
        <v>-61.200138946612988</v>
      </c>
      <c r="S538" s="108">
        <f t="shared" ca="1" si="233"/>
        <v>-197.75153183360385</v>
      </c>
      <c r="T538" s="116">
        <f t="shared" ca="1" si="234"/>
        <v>-17.751531833603849</v>
      </c>
      <c r="V538" s="72">
        <f t="shared" ca="1" si="235"/>
        <v>79433</v>
      </c>
      <c r="W538" s="72">
        <f t="shared" si="236"/>
        <v>6309601489</v>
      </c>
      <c r="Y538" s="110">
        <f t="shared" si="237"/>
        <v>7.9739029686386065</v>
      </c>
      <c r="Z538" s="111">
        <f t="shared" si="238"/>
        <v>-89.29730968005255</v>
      </c>
      <c r="AA538" s="72">
        <f t="shared" si="239"/>
        <v>90.70269031994745</v>
      </c>
      <c r="AB538" s="110">
        <f t="shared" ca="1" si="240"/>
        <v>-53.256441568370086</v>
      </c>
      <c r="AC538" s="111">
        <f t="shared" ca="1" si="241"/>
        <v>-108.45422215355133</v>
      </c>
      <c r="AD538" s="72">
        <f t="shared" ca="1" si="242"/>
        <v>71.545777846448672</v>
      </c>
    </row>
    <row r="539" spans="1:30">
      <c r="A539" s="118">
        <v>79895.5</v>
      </c>
      <c r="B539" s="101">
        <f t="shared" ca="1" si="216"/>
        <v>4097.1017988254098</v>
      </c>
      <c r="C539" s="102">
        <f t="shared" ca="1" si="217"/>
        <v>1.5705522518221402</v>
      </c>
      <c r="D539" s="102">
        <f t="shared" si="218"/>
        <v>2.5625630001172381</v>
      </c>
      <c r="E539" s="103">
        <f t="shared" si="219"/>
        <v>1.1699102627455074</v>
      </c>
      <c r="F539" s="101">
        <f t="shared" si="220"/>
        <v>27308.703792115746</v>
      </c>
      <c r="G539" s="104">
        <f t="shared" si="221"/>
        <v>1.5707597084329328</v>
      </c>
      <c r="H539" s="113">
        <f t="shared" si="222"/>
        <v>3413.5881181992654</v>
      </c>
      <c r="I539" s="114">
        <f t="shared" si="223"/>
        <v>1.5705033799074348</v>
      </c>
      <c r="J539" s="101">
        <f t="shared" si="224"/>
        <v>80.325941862102553</v>
      </c>
      <c r="K539" s="104">
        <f t="shared" si="225"/>
        <v>1.5583467269598492</v>
      </c>
      <c r="L539" s="102">
        <f t="shared" si="226"/>
        <v>1</v>
      </c>
      <c r="M539" s="103">
        <f t="shared" si="227"/>
        <v>2.6354907134647879E-9</v>
      </c>
      <c r="N539" s="101">
        <f t="shared" si="228"/>
        <v>1</v>
      </c>
      <c r="O539" s="104">
        <f t="shared" si="229"/>
        <v>4.2167851415436601E-10</v>
      </c>
      <c r="P539" s="105">
        <f t="shared" ca="1" si="230"/>
        <v>4.6070534310644078</v>
      </c>
      <c r="Q539" s="106">
        <f t="shared" ca="1" si="231"/>
        <v>1.4922117317006596</v>
      </c>
      <c r="R539" s="107">
        <f t="shared" ca="1" si="232"/>
        <v>-61.307275330678181</v>
      </c>
      <c r="S539" s="108">
        <f t="shared" ca="1" si="233"/>
        <v>-197.75390655080275</v>
      </c>
      <c r="T539" s="116">
        <f t="shared" ca="1" si="234"/>
        <v>-17.753906550802753</v>
      </c>
      <c r="V539" s="72">
        <f t="shared" ca="1" si="235"/>
        <v>79895.5</v>
      </c>
      <c r="W539" s="72">
        <f t="shared" si="236"/>
        <v>6383290920.25</v>
      </c>
      <c r="Y539" s="110">
        <f t="shared" si="237"/>
        <v>7.9234837486619654</v>
      </c>
      <c r="Z539" s="111">
        <f t="shared" si="238"/>
        <v>-89.301376990704469</v>
      </c>
      <c r="AA539" s="72">
        <f t="shared" si="239"/>
        <v>90.698623009295531</v>
      </c>
      <c r="AB539" s="110">
        <f t="shared" ca="1" si="240"/>
        <v>-53.313158732458639</v>
      </c>
      <c r="AC539" s="111">
        <f t="shared" ca="1" si="241"/>
        <v>-108.4525295600983</v>
      </c>
      <c r="AD539" s="72">
        <f t="shared" ca="1" si="242"/>
        <v>71.547470439901701</v>
      </c>
    </row>
    <row r="540" spans="1:30">
      <c r="A540" s="118">
        <v>80358</v>
      </c>
      <c r="B540" s="101">
        <f t="shared" ca="1" si="216"/>
        <v>4120.8191479802053</v>
      </c>
      <c r="C540" s="102">
        <f t="shared" ca="1" si="217"/>
        <v>1.570553656594166</v>
      </c>
      <c r="D540" s="102">
        <f t="shared" si="218"/>
        <v>2.5751437174004499</v>
      </c>
      <c r="E540" s="103">
        <f t="shared" si="219"/>
        <v>1.171979993008808</v>
      </c>
      <c r="F540" s="101">
        <f t="shared" si="220"/>
        <v>27466.788734158366</v>
      </c>
      <c r="G540" s="104">
        <f t="shared" si="221"/>
        <v>1.570759919189701</v>
      </c>
      <c r="H540" s="113">
        <f t="shared" si="222"/>
        <v>3433.3487351247381</v>
      </c>
      <c r="I540" s="114">
        <f t="shared" si="223"/>
        <v>1.5705050659614403</v>
      </c>
      <c r="J540" s="101">
        <f t="shared" si="224"/>
        <v>80.790861749792754</v>
      </c>
      <c r="K540" s="104">
        <f t="shared" si="225"/>
        <v>1.5584183732192067</v>
      </c>
      <c r="L540" s="102">
        <f t="shared" si="226"/>
        <v>1</v>
      </c>
      <c r="M540" s="103">
        <f t="shared" si="227"/>
        <v>2.6507470727713501E-9</v>
      </c>
      <c r="N540" s="101">
        <f t="shared" si="228"/>
        <v>1</v>
      </c>
      <c r="O540" s="104">
        <f t="shared" si="229"/>
        <v>4.2411953164341603E-10</v>
      </c>
      <c r="P540" s="105">
        <f t="shared" ca="1" si="230"/>
        <v>4.6329862794448893</v>
      </c>
      <c r="Q540" s="106">
        <f t="shared" ca="1" si="231"/>
        <v>1.4942570734921474</v>
      </c>
      <c r="R540" s="107">
        <f t="shared" ca="1" si="232"/>
        <v>-61.41375650369784</v>
      </c>
      <c r="S540" s="108">
        <f t="shared" ca="1" si="233"/>
        <v>-197.75661018105009</v>
      </c>
      <c r="T540" s="116">
        <f t="shared" ca="1" si="234"/>
        <v>-17.756610181050092</v>
      </c>
      <c r="V540" s="72">
        <f t="shared" ca="1" si="235"/>
        <v>80358</v>
      </c>
      <c r="W540" s="72">
        <f t="shared" si="236"/>
        <v>6457408164</v>
      </c>
      <c r="Y540" s="110">
        <f t="shared" si="237"/>
        <v>7.8733554654260693</v>
      </c>
      <c r="Z540" s="111">
        <f t="shared" si="238"/>
        <v>-89.305397489948646</v>
      </c>
      <c r="AA540" s="72">
        <f t="shared" si="239"/>
        <v>90.694602510051354</v>
      </c>
      <c r="AB540" s="110">
        <f t="shared" ca="1" si="240"/>
        <v>-53.369511622242399</v>
      </c>
      <c r="AC540" s="111">
        <f t="shared" ca="1" si="241"/>
        <v>-108.45121269110143</v>
      </c>
      <c r="AD540" s="72">
        <f t="shared" ca="1" si="242"/>
        <v>71.548787308898568</v>
      </c>
    </row>
    <row r="541" spans="1:30">
      <c r="A541" s="118">
        <v>80820.5</v>
      </c>
      <c r="B541" s="101">
        <f t="shared" ca="1" si="216"/>
        <v>4144.536497143039</v>
      </c>
      <c r="C541" s="102">
        <f t="shared" ca="1" si="217"/>
        <v>1.5705550452884141</v>
      </c>
      <c r="D541" s="102">
        <f t="shared" si="218"/>
        <v>2.5877353587524055</v>
      </c>
      <c r="E541" s="103">
        <f t="shared" si="219"/>
        <v>1.1740295898123236</v>
      </c>
      <c r="F541" s="101">
        <f t="shared" si="220"/>
        <v>27624.873676202191</v>
      </c>
      <c r="G541" s="104">
        <f t="shared" si="221"/>
        <v>1.5707601275343339</v>
      </c>
      <c r="H541" s="113">
        <f t="shared" si="222"/>
        <v>3453.1093520598592</v>
      </c>
      <c r="I541" s="114">
        <f t="shared" si="223"/>
        <v>1.5705067327183635</v>
      </c>
      <c r="J541" s="101">
        <f t="shared" si="224"/>
        <v>81.255782047451746</v>
      </c>
      <c r="K541" s="104">
        <f t="shared" si="225"/>
        <v>1.5584891996037258</v>
      </c>
      <c r="L541" s="102">
        <f t="shared" si="226"/>
        <v>1</v>
      </c>
      <c r="M541" s="103">
        <f t="shared" si="227"/>
        <v>2.6660034320779127E-9</v>
      </c>
      <c r="N541" s="101">
        <f t="shared" si="228"/>
        <v>1</v>
      </c>
      <c r="O541" s="104">
        <f t="shared" si="229"/>
        <v>4.2656054913246605E-10</v>
      </c>
      <c r="P541" s="105">
        <f t="shared" ca="1" si="230"/>
        <v>4.6589351089800894</v>
      </c>
      <c r="Q541" s="106">
        <f t="shared" ca="1" si="231"/>
        <v>1.4962887941833065</v>
      </c>
      <c r="R541" s="107">
        <f t="shared" ca="1" si="232"/>
        <v>-61.519590642898081</v>
      </c>
      <c r="S541" s="108">
        <f t="shared" ca="1" si="233"/>
        <v>-197.75964001288861</v>
      </c>
      <c r="T541" s="116">
        <f t="shared" ca="1" si="234"/>
        <v>-17.75964001288861</v>
      </c>
      <c r="V541" s="72">
        <f t="shared" ca="1" si="235"/>
        <v>80820.5</v>
      </c>
      <c r="W541" s="72">
        <f t="shared" si="236"/>
        <v>6531953220.25</v>
      </c>
      <c r="Y541" s="110">
        <f t="shared" si="237"/>
        <v>7.8235147810779253</v>
      </c>
      <c r="Z541" s="111">
        <f t="shared" si="238"/>
        <v>-89.309371981261009</v>
      </c>
      <c r="AA541" s="72">
        <f t="shared" si="239"/>
        <v>90.690628018738991</v>
      </c>
      <c r="AB541" s="110">
        <f t="shared" ca="1" si="240"/>
        <v>-53.425505077094506</v>
      </c>
      <c r="AC541" s="111">
        <f t="shared" ca="1" si="241"/>
        <v>-108.45026803162766</v>
      </c>
      <c r="AD541" s="72">
        <f t="shared" ca="1" si="242"/>
        <v>71.549731968372342</v>
      </c>
    </row>
    <row r="542" spans="1:30">
      <c r="A542" s="118">
        <v>81283</v>
      </c>
      <c r="B542" s="101">
        <f t="shared" ca="1" si="216"/>
        <v>4168.2538463137753</v>
      </c>
      <c r="C542" s="102">
        <f t="shared" ca="1" si="217"/>
        <v>1.5705564181793317</v>
      </c>
      <c r="D542" s="102">
        <f t="shared" si="218"/>
        <v>2.6003377654799302</v>
      </c>
      <c r="E542" s="103">
        <f t="shared" si="219"/>
        <v>1.1760593285372631</v>
      </c>
      <c r="F542" s="101">
        <f t="shared" si="220"/>
        <v>27782.958618247209</v>
      </c>
      <c r="G542" s="104">
        <f t="shared" si="221"/>
        <v>1.570760333508006</v>
      </c>
      <c r="H542" s="113">
        <f t="shared" si="222"/>
        <v>3472.869969004465</v>
      </c>
      <c r="I542" s="114">
        <f t="shared" si="223"/>
        <v>1.5705083805076057</v>
      </c>
      <c r="J542" s="101">
        <f t="shared" si="224"/>
        <v>81.720702748082473</v>
      </c>
      <c r="K542" s="104">
        <f t="shared" si="225"/>
        <v>1.5585592201058431</v>
      </c>
      <c r="L542" s="102">
        <f t="shared" si="226"/>
        <v>1</v>
      </c>
      <c r="M542" s="103">
        <f t="shared" si="227"/>
        <v>2.6812597913844754E-9</v>
      </c>
      <c r="N542" s="101">
        <f t="shared" si="228"/>
        <v>1</v>
      </c>
      <c r="O542" s="104">
        <f t="shared" si="229"/>
        <v>4.2900156662151601E-10</v>
      </c>
      <c r="P542" s="105">
        <f t="shared" ca="1" si="230"/>
        <v>4.6848998583373032</v>
      </c>
      <c r="Q542" s="106">
        <f t="shared" ca="1" si="231"/>
        <v>1.4983071076741177</v>
      </c>
      <c r="R542" s="107">
        <f t="shared" ca="1" si="232"/>
        <v>-61.624785777095141</v>
      </c>
      <c r="S542" s="108">
        <f t="shared" ca="1" si="233"/>
        <v>-197.76299332462179</v>
      </c>
      <c r="T542" s="116">
        <f t="shared" ca="1" si="234"/>
        <v>-17.762993324621789</v>
      </c>
      <c r="V542" s="72">
        <f t="shared" ca="1" si="235"/>
        <v>81283</v>
      </c>
      <c r="W542" s="72">
        <f t="shared" si="236"/>
        <v>6606926089</v>
      </c>
      <c r="Y542" s="110">
        <f t="shared" si="237"/>
        <v>7.7739584148701333</v>
      </c>
      <c r="Z542" s="111">
        <f t="shared" si="238"/>
        <v>-89.313301249834964</v>
      </c>
      <c r="AA542" s="72">
        <f t="shared" si="239"/>
        <v>90.686698750165036</v>
      </c>
      <c r="AB542" s="110">
        <f t="shared" ca="1" si="240"/>
        <v>-53.481143845083771</v>
      </c>
      <c r="AC542" s="111">
        <f t="shared" ca="1" si="241"/>
        <v>-108.4496920747868</v>
      </c>
      <c r="AD542" s="72">
        <f t="shared" ca="1" si="242"/>
        <v>71.550307925213204</v>
      </c>
    </row>
    <row r="543" spans="1:30">
      <c r="A543" s="118">
        <v>81756.25</v>
      </c>
      <c r="B543" s="101">
        <f t="shared" ca="1" si="216"/>
        <v>4192.5224636084104</v>
      </c>
      <c r="C543" s="102">
        <f t="shared" ca="1" si="217"/>
        <v>1.5705578069018817</v>
      </c>
      <c r="D543" s="102">
        <f t="shared" si="218"/>
        <v>2.6132440741587435</v>
      </c>
      <c r="E543" s="103">
        <f t="shared" si="219"/>
        <v>1.1781159715618597</v>
      </c>
      <c r="F543" s="101">
        <f t="shared" si="220"/>
        <v>27944.717967054472</v>
      </c>
      <c r="G543" s="104">
        <f t="shared" si="221"/>
        <v>1.5707605418568846</v>
      </c>
      <c r="H543" s="113">
        <f t="shared" si="222"/>
        <v>3493.0898867849996</v>
      </c>
      <c r="I543" s="114">
        <f t="shared" si="223"/>
        <v>1.5705100472984994</v>
      </c>
      <c r="J543" s="101">
        <f t="shared" si="224"/>
        <v>82.196430123643935</v>
      </c>
      <c r="K543" s="104">
        <f t="shared" si="225"/>
        <v>1.5586300481786075</v>
      </c>
      <c r="L543" s="102">
        <f t="shared" si="226"/>
        <v>1</v>
      </c>
      <c r="M543" s="103">
        <f t="shared" si="227"/>
        <v>2.6968707579614064E-9</v>
      </c>
      <c r="N543" s="101">
        <f t="shared" si="228"/>
        <v>1</v>
      </c>
      <c r="O543" s="104">
        <f t="shared" si="229"/>
        <v>4.3149932127382503E-10</v>
      </c>
      <c r="P543" s="105">
        <f t="shared" ca="1" si="230"/>
        <v>4.7114845303363975</v>
      </c>
      <c r="Q543" s="106">
        <f t="shared" ca="1" si="231"/>
        <v>1.5003586734826677</v>
      </c>
      <c r="R543" s="107">
        <f t="shared" ca="1" si="232"/>
        <v>-61.731772754189663</v>
      </c>
      <c r="S543" s="108">
        <f t="shared" ca="1" si="233"/>
        <v>-197.76675657583294</v>
      </c>
      <c r="T543" s="116">
        <f t="shared" ca="1" si="234"/>
        <v>-17.766756575832943</v>
      </c>
      <c r="V543" s="72">
        <f t="shared" ca="1" si="235"/>
        <v>81756.25</v>
      </c>
      <c r="W543" s="72">
        <f t="shared" si="236"/>
        <v>6684084414.0625</v>
      </c>
      <c r="Y543" s="110">
        <f t="shared" si="237"/>
        <v>7.7235411418666722</v>
      </c>
      <c r="Z543" s="111">
        <f t="shared" si="238"/>
        <v>-89.317275836156497</v>
      </c>
      <c r="AA543" s="72">
        <f t="shared" si="239"/>
        <v>90.682724163843503</v>
      </c>
      <c r="AB543" s="110">
        <f t="shared" ca="1" si="240"/>
        <v>-53.537713549174832</v>
      </c>
      <c r="AC543" s="111">
        <f t="shared" ca="1" si="241"/>
        <v>-108.44948073967646</v>
      </c>
      <c r="AD543" s="72">
        <f t="shared" ca="1" si="242"/>
        <v>71.55051926032354</v>
      </c>
    </row>
    <row r="544" spans="1:30">
      <c r="A544" s="118">
        <v>82229.5</v>
      </c>
      <c r="B544" s="101">
        <f t="shared" ca="1" si="216"/>
        <v>4216.7910809110381</v>
      </c>
      <c r="C544" s="102">
        <f t="shared" ca="1" si="217"/>
        <v>1.570559179639587</v>
      </c>
      <c r="D544" s="102">
        <f t="shared" si="218"/>
        <v>2.6261613276146694</v>
      </c>
      <c r="E544" s="103">
        <f t="shared" si="219"/>
        <v>1.1801523911819927</v>
      </c>
      <c r="F544" s="101">
        <f t="shared" si="220"/>
        <v>28106.477315862936</v>
      </c>
      <c r="G544" s="104">
        <f t="shared" si="221"/>
        <v>1.5707607478075702</v>
      </c>
      <c r="H544" s="113">
        <f t="shared" si="222"/>
        <v>3513.3098045751267</v>
      </c>
      <c r="I544" s="114">
        <f t="shared" si="223"/>
        <v>1.5705116949038518</v>
      </c>
      <c r="J544" s="101">
        <f t="shared" si="224"/>
        <v>82.672157906807684</v>
      </c>
      <c r="K544" s="104">
        <f t="shared" si="225"/>
        <v>1.558700061107108</v>
      </c>
      <c r="L544" s="102">
        <f t="shared" si="226"/>
        <v>1</v>
      </c>
      <c r="M544" s="103">
        <f t="shared" si="227"/>
        <v>2.7124817245383379E-9</v>
      </c>
      <c r="N544" s="101">
        <f t="shared" si="228"/>
        <v>1</v>
      </c>
      <c r="O544" s="104">
        <f t="shared" si="229"/>
        <v>4.33997075926134E-10</v>
      </c>
      <c r="P544" s="105">
        <f t="shared" ca="1" si="230"/>
        <v>4.7380857483730727</v>
      </c>
      <c r="Q544" s="106">
        <f t="shared" ca="1" si="231"/>
        <v>1.5023966404717111</v>
      </c>
      <c r="R544" s="107">
        <f t="shared" ca="1" si="232"/>
        <v>-61.838107223111685</v>
      </c>
      <c r="S544" s="108">
        <f t="shared" ca="1" si="233"/>
        <v>-197.77085272945757</v>
      </c>
      <c r="T544" s="116">
        <f t="shared" ca="1" si="234"/>
        <v>-17.770852729457573</v>
      </c>
      <c r="V544" s="72">
        <f t="shared" ca="1" si="235"/>
        <v>82229.5</v>
      </c>
      <c r="W544" s="72">
        <f t="shared" si="236"/>
        <v>6761690670.25</v>
      </c>
      <c r="Y544" s="110">
        <f t="shared" si="237"/>
        <v>7.6734147852165711</v>
      </c>
      <c r="Z544" s="111">
        <f t="shared" si="238"/>
        <v>-89.321204679996157</v>
      </c>
      <c r="AA544" s="72">
        <f t="shared" si="239"/>
        <v>90.678795320003843</v>
      </c>
      <c r="AB544" s="110">
        <f t="shared" ca="1" si="240"/>
        <v>-53.593921661446757</v>
      </c>
      <c r="AC544" s="111">
        <f t="shared" ca="1" si="241"/>
        <v>-108.44964804946146</v>
      </c>
      <c r="AD544" s="72">
        <f t="shared" ca="1" si="242"/>
        <v>71.550351950538541</v>
      </c>
    </row>
    <row r="545" spans="1:30">
      <c r="A545" s="118">
        <v>82702.75</v>
      </c>
      <c r="B545" s="101">
        <f t="shared" ca="1" si="216"/>
        <v>4241.059698221522</v>
      </c>
      <c r="C545" s="102">
        <f t="shared" ca="1" si="217"/>
        <v>1.5705605366668574</v>
      </c>
      <c r="D545" s="102">
        <f t="shared" si="218"/>
        <v>2.6390893651372096</v>
      </c>
      <c r="E545" s="103">
        <f t="shared" si="219"/>
        <v>1.1821688675860975</v>
      </c>
      <c r="F545" s="101">
        <f t="shared" si="220"/>
        <v>28268.236664672579</v>
      </c>
      <c r="G545" s="104">
        <f t="shared" si="221"/>
        <v>1.5707609514012324</v>
      </c>
      <c r="H545" s="113">
        <f t="shared" si="222"/>
        <v>3533.529722374682</v>
      </c>
      <c r="I545" s="114">
        <f t="shared" si="223"/>
        <v>1.5705133236530193</v>
      </c>
      <c r="J545" s="101">
        <f t="shared" si="224"/>
        <v>83.147886090577515</v>
      </c>
      <c r="K545" s="104">
        <f t="shared" si="225"/>
        <v>1.5587692728821236</v>
      </c>
      <c r="L545" s="102">
        <f t="shared" si="226"/>
        <v>1</v>
      </c>
      <c r="M545" s="103">
        <f t="shared" si="227"/>
        <v>2.728092691115269E-9</v>
      </c>
      <c r="N545" s="101">
        <f t="shared" si="228"/>
        <v>1</v>
      </c>
      <c r="O545" s="104">
        <f t="shared" si="229"/>
        <v>4.3649483057844303E-10</v>
      </c>
      <c r="P545" s="105">
        <f t="shared" ca="1" si="230"/>
        <v>4.7647034541925981</v>
      </c>
      <c r="Q545" s="106">
        <f t="shared" ca="1" si="231"/>
        <v>1.5044212236066627</v>
      </c>
      <c r="R545" s="107">
        <f t="shared" ca="1" si="232"/>
        <v>-61.943797325441359</v>
      </c>
      <c r="S545" s="108">
        <f t="shared" ca="1" si="233"/>
        <v>-197.77527884931513</v>
      </c>
      <c r="T545" s="116">
        <f t="shared" ca="1" si="234"/>
        <v>-17.775278849315129</v>
      </c>
      <c r="V545" s="72">
        <f t="shared" ca="1" si="235"/>
        <v>82702.75</v>
      </c>
      <c r="W545" s="72">
        <f t="shared" si="236"/>
        <v>6839744857.5625</v>
      </c>
      <c r="Y545" s="110">
        <f t="shared" si="237"/>
        <v>7.6235760073822494</v>
      </c>
      <c r="Z545" s="111">
        <f t="shared" si="238"/>
        <v>-89.325088566454667</v>
      </c>
      <c r="AA545" s="72">
        <f t="shared" si="239"/>
        <v>90.674911433545333</v>
      </c>
      <c r="AB545" s="110">
        <f t="shared" ca="1" si="240"/>
        <v>-53.649772985942107</v>
      </c>
      <c r="AC545" s="111">
        <f t="shared" ca="1" si="241"/>
        <v>-108.4501902828605</v>
      </c>
      <c r="AD545" s="72">
        <f t="shared" ca="1" si="242"/>
        <v>71.549809717139496</v>
      </c>
    </row>
    <row r="546" spans="1:30">
      <c r="A546" s="118">
        <v>83176</v>
      </c>
      <c r="B546" s="101">
        <f t="shared" ca="1" si="216"/>
        <v>4265.3283155397248</v>
      </c>
      <c r="C546" s="102">
        <f t="shared" ca="1" si="217"/>
        <v>1.5705618782518578</v>
      </c>
      <c r="D546" s="102">
        <f t="shared" si="218"/>
        <v>2.6520280290167038</v>
      </c>
      <c r="E546" s="103">
        <f t="shared" si="219"/>
        <v>1.1841656761502986</v>
      </c>
      <c r="F546" s="101">
        <f t="shared" si="220"/>
        <v>28429.996013483382</v>
      </c>
      <c r="G546" s="104">
        <f t="shared" si="221"/>
        <v>1.5707611526781036</v>
      </c>
      <c r="H546" s="113">
        <f t="shared" si="222"/>
        <v>3553.7496401835047</v>
      </c>
      <c r="I546" s="114">
        <f t="shared" si="223"/>
        <v>1.5705149338678628</v>
      </c>
      <c r="J546" s="101">
        <f t="shared" si="224"/>
        <v>83.623614668116318</v>
      </c>
      <c r="K546" s="104">
        <f t="shared" si="225"/>
        <v>1.5588376971760949</v>
      </c>
      <c r="L546" s="102">
        <f t="shared" si="226"/>
        <v>1</v>
      </c>
      <c r="M546" s="103">
        <f t="shared" si="227"/>
        <v>2.7437036576922001E-9</v>
      </c>
      <c r="N546" s="101">
        <f t="shared" si="228"/>
        <v>1</v>
      </c>
      <c r="O546" s="104">
        <f t="shared" si="229"/>
        <v>4.3899258523075205E-10</v>
      </c>
      <c r="P546" s="105">
        <f t="shared" ca="1" si="230"/>
        <v>4.7913375919204162</v>
      </c>
      <c r="Q546" s="106">
        <f t="shared" ca="1" si="231"/>
        <v>1.5064326333091917</v>
      </c>
      <c r="R546" s="107">
        <f t="shared" ca="1" si="232"/>
        <v>-62.048851054808402</v>
      </c>
      <c r="S546" s="108">
        <f t="shared" ca="1" si="233"/>
        <v>-197.7800319963913</v>
      </c>
      <c r="T546" s="116">
        <f t="shared" ca="1" si="234"/>
        <v>-17.780031996391301</v>
      </c>
      <c r="V546" s="72">
        <f t="shared" ca="1" si="235"/>
        <v>83176</v>
      </c>
      <c r="W546" s="72">
        <f t="shared" si="236"/>
        <v>6918246976</v>
      </c>
      <c r="Y546" s="110">
        <f t="shared" si="237"/>
        <v>7.5740215279253196</v>
      </c>
      <c r="Z546" s="111">
        <f t="shared" si="238"/>
        <v>-89.328928262768983</v>
      </c>
      <c r="AA546" s="72">
        <f t="shared" si="239"/>
        <v>90.671071737231017</v>
      </c>
      <c r="AB546" s="110">
        <f t="shared" ca="1" si="240"/>
        <v>-53.705272235852213</v>
      </c>
      <c r="AC546" s="111">
        <f t="shared" ca="1" si="241"/>
        <v>-108.45110373362222</v>
      </c>
      <c r="AD546" s="72">
        <f t="shared" ca="1" si="242"/>
        <v>71.548896266377781</v>
      </c>
    </row>
    <row r="547" spans="1:30">
      <c r="A547" s="118">
        <v>83660.5</v>
      </c>
      <c r="B547" s="101">
        <f t="shared" ca="1" si="216"/>
        <v>4290.1738413598841</v>
      </c>
      <c r="C547" s="102">
        <f t="shared" ca="1" si="217"/>
        <v>1.5705632360050981</v>
      </c>
      <c r="D547" s="102">
        <f t="shared" si="218"/>
        <v>2.6652851147874457</v>
      </c>
      <c r="E547" s="103">
        <f t="shared" si="219"/>
        <v>1.1861898603016052</v>
      </c>
      <c r="F547" s="101">
        <f t="shared" si="220"/>
        <v>28595.600671696568</v>
      </c>
      <c r="G547" s="104">
        <f t="shared" si="221"/>
        <v>1.5707613563806821</v>
      </c>
      <c r="H547" s="113">
        <f t="shared" si="222"/>
        <v>3574.4502216580745</v>
      </c>
      <c r="I547" s="114">
        <f t="shared" si="223"/>
        <v>1.5705165634883647</v>
      </c>
      <c r="J547" s="101">
        <f t="shared" si="224"/>
        <v>84.110652566826616</v>
      </c>
      <c r="K547" s="104">
        <f t="shared" si="225"/>
        <v>1.5589069462059657</v>
      </c>
      <c r="L547" s="102">
        <f t="shared" si="226"/>
        <v>1</v>
      </c>
      <c r="M547" s="103">
        <f t="shared" si="227"/>
        <v>2.7596857249009128E-9</v>
      </c>
      <c r="N547" s="101">
        <f t="shared" si="228"/>
        <v>1</v>
      </c>
      <c r="O547" s="104">
        <f t="shared" si="229"/>
        <v>4.41549715984146E-10</v>
      </c>
      <c r="P547" s="105">
        <f t="shared" ca="1" si="230"/>
        <v>4.8186218373649057</v>
      </c>
      <c r="Q547" s="106">
        <f t="shared" ca="1" si="231"/>
        <v>1.5084784259960571</v>
      </c>
      <c r="R547" s="107">
        <f t="shared" ca="1" si="232"/>
        <v>-62.155751049897951</v>
      </c>
      <c r="S547" s="108">
        <f t="shared" ca="1" si="233"/>
        <v>-197.7852338451153</v>
      </c>
      <c r="T547" s="116">
        <f t="shared" ca="1" si="234"/>
        <v>-17.7852338451153</v>
      </c>
      <c r="V547" s="72">
        <f t="shared" ca="1" si="235"/>
        <v>83660.5</v>
      </c>
      <c r="W547" s="72">
        <f t="shared" si="236"/>
        <v>6999079260.25</v>
      </c>
      <c r="Y547" s="110">
        <f t="shared" si="237"/>
        <v>7.5235801992187241</v>
      </c>
      <c r="Z547" s="111">
        <f t="shared" si="238"/>
        <v>-89.332814240072295</v>
      </c>
      <c r="AA547" s="72">
        <f t="shared" si="239"/>
        <v>90.667185759927705</v>
      </c>
      <c r="AB547" s="110">
        <f t="shared" ca="1" si="240"/>
        <v>-53.761730902235165</v>
      </c>
      <c r="AC547" s="111">
        <f t="shared" ca="1" si="241"/>
        <v>-108.45241960504299</v>
      </c>
      <c r="AD547" s="72">
        <f t="shared" ca="1" si="242"/>
        <v>71.547580394957009</v>
      </c>
    </row>
    <row r="548" spans="1:30">
      <c r="A548" s="118">
        <v>84145</v>
      </c>
      <c r="B548" s="101">
        <f t="shared" ca="1" si="216"/>
        <v>4315.0193671878615</v>
      </c>
      <c r="C548" s="102">
        <f t="shared" ca="1" si="217"/>
        <v>1.5705645781226762</v>
      </c>
      <c r="D548" s="102">
        <f t="shared" si="218"/>
        <v>2.6785530129632193</v>
      </c>
      <c r="E548" s="103">
        <f t="shared" si="219"/>
        <v>1.1881939994793371</v>
      </c>
      <c r="F548" s="101">
        <f t="shared" si="220"/>
        <v>28761.205329910932</v>
      </c>
      <c r="G548" s="104">
        <f t="shared" si="221"/>
        <v>1.5707615577374552</v>
      </c>
      <c r="H548" s="113">
        <f t="shared" si="222"/>
        <v>3595.1508031420276</v>
      </c>
      <c r="I548" s="114">
        <f t="shared" si="223"/>
        <v>1.5705181743424261</v>
      </c>
      <c r="J548" s="101">
        <f t="shared" si="224"/>
        <v>84.597690864239269</v>
      </c>
      <c r="K548" s="104">
        <f t="shared" si="225"/>
        <v>1.5589753978874572</v>
      </c>
      <c r="L548" s="102">
        <f t="shared" si="226"/>
        <v>1</v>
      </c>
      <c r="M548" s="103">
        <f t="shared" si="227"/>
        <v>2.7756677921096254E-9</v>
      </c>
      <c r="N548" s="101">
        <f t="shared" si="228"/>
        <v>1</v>
      </c>
      <c r="O548" s="104">
        <f t="shared" si="229"/>
        <v>4.4410684673754001E-10</v>
      </c>
      <c r="P548" s="105">
        <f t="shared" ca="1" si="230"/>
        <v>4.8459231940875691</v>
      </c>
      <c r="Q548" s="106">
        <f t="shared" ca="1" si="231"/>
        <v>1.5105108437361183</v>
      </c>
      <c r="R548" s="107">
        <f t="shared" ca="1" si="232"/>
        <v>-62.262000552285031</v>
      </c>
      <c r="S548" s="108">
        <f t="shared" ca="1" si="233"/>
        <v>-197.79077221850162</v>
      </c>
      <c r="T548" s="116">
        <f t="shared" ca="1" si="234"/>
        <v>-17.790772218501615</v>
      </c>
      <c r="V548" s="72">
        <f t="shared" ca="1" si="235"/>
        <v>84145</v>
      </c>
      <c r="W548" s="72">
        <f t="shared" si="236"/>
        <v>7080381025</v>
      </c>
      <c r="Y548" s="110">
        <f t="shared" si="237"/>
        <v>7.4734300656699997</v>
      </c>
      <c r="Z548" s="111">
        <f t="shared" si="238"/>
        <v>-89.336655473511684</v>
      </c>
      <c r="AA548" s="72">
        <f t="shared" si="239"/>
        <v>90.663344526488316</v>
      </c>
      <c r="AB548" s="110">
        <f t="shared" ca="1" si="240"/>
        <v>-53.817830271073532</v>
      </c>
      <c r="AC548" s="111">
        <f t="shared" ca="1" si="241"/>
        <v>-108.45411674498992</v>
      </c>
      <c r="AD548" s="72">
        <f t="shared" ca="1" si="242"/>
        <v>71.545883255010082</v>
      </c>
    </row>
    <row r="549" spans="1:30">
      <c r="A549" s="118">
        <v>84629.5</v>
      </c>
      <c r="B549" s="101">
        <f t="shared" ca="1" si="216"/>
        <v>4339.8648930235231</v>
      </c>
      <c r="C549" s="102">
        <f t="shared" ca="1" si="217"/>
        <v>1.570565904873132</v>
      </c>
      <c r="D549" s="102">
        <f t="shared" si="218"/>
        <v>2.6918315636626793</v>
      </c>
      <c r="E549" s="103">
        <f t="shared" si="219"/>
        <v>1.1901783741037741</v>
      </c>
      <c r="F549" s="101">
        <f t="shared" si="220"/>
        <v>28926.809988126442</v>
      </c>
      <c r="G549" s="104">
        <f t="shared" si="221"/>
        <v>1.5707617567887118</v>
      </c>
      <c r="H549" s="113">
        <f t="shared" si="222"/>
        <v>3615.8513846352021</v>
      </c>
      <c r="I549" s="114">
        <f t="shared" si="223"/>
        <v>1.570519766752358</v>
      </c>
      <c r="J549" s="101">
        <f t="shared" si="224"/>
        <v>85.084729553507586</v>
      </c>
      <c r="K549" s="104">
        <f t="shared" si="225"/>
        <v>1.5590430659123737</v>
      </c>
      <c r="L549" s="102">
        <f t="shared" si="226"/>
        <v>1</v>
      </c>
      <c r="M549" s="103">
        <f t="shared" si="227"/>
        <v>2.7916498593183376E-9</v>
      </c>
      <c r="N549" s="101">
        <f t="shared" si="228"/>
        <v>1</v>
      </c>
      <c r="O549" s="104">
        <f t="shared" si="229"/>
        <v>4.4666397749093402E-10</v>
      </c>
      <c r="P549" s="105">
        <f t="shared" ca="1" si="230"/>
        <v>4.8732416094754711</v>
      </c>
      <c r="Q549" s="106">
        <f t="shared" ca="1" si="231"/>
        <v>1.5125300982696563</v>
      </c>
      <c r="R549" s="107">
        <f t="shared" ca="1" si="232"/>
        <v>-62.367607679794617</v>
      </c>
      <c r="S549" s="108">
        <f t="shared" ca="1" si="233"/>
        <v>-197.79664396518626</v>
      </c>
      <c r="T549" s="116">
        <f t="shared" ca="1" si="234"/>
        <v>-17.796643965186263</v>
      </c>
      <c r="V549" s="72">
        <f t="shared" ca="1" si="235"/>
        <v>84629.5</v>
      </c>
      <c r="W549" s="72">
        <f t="shared" si="236"/>
        <v>7162152270.25</v>
      </c>
      <c r="Y549" s="110">
        <f t="shared" si="237"/>
        <v>7.4235677849233772</v>
      </c>
      <c r="Z549" s="111">
        <f t="shared" si="238"/>
        <v>-89.340452731411077</v>
      </c>
      <c r="AA549" s="72">
        <f t="shared" si="239"/>
        <v>90.659547268588923</v>
      </c>
      <c r="AB549" s="110">
        <f t="shared" ca="1" si="240"/>
        <v>-53.873575117836488</v>
      </c>
      <c r="AC549" s="111">
        <f t="shared" ca="1" si="241"/>
        <v>-108.45619123377519</v>
      </c>
      <c r="AD549" s="72">
        <f t="shared" ca="1" si="242"/>
        <v>71.543808766224814</v>
      </c>
    </row>
    <row r="550" spans="1:30">
      <c r="A550" s="118">
        <v>85114</v>
      </c>
      <c r="B550" s="101">
        <f t="shared" ca="1" si="216"/>
        <v>4364.7104188667363</v>
      </c>
      <c r="C550" s="102">
        <f t="shared" ca="1" si="217"/>
        <v>1.5705672165188915</v>
      </c>
      <c r="D550" s="102">
        <f t="shared" si="218"/>
        <v>2.7051206100165848</v>
      </c>
      <c r="E550" s="103">
        <f t="shared" si="219"/>
        <v>1.192143259714149</v>
      </c>
      <c r="F550" s="101">
        <f t="shared" si="220"/>
        <v>29092.414646343095</v>
      </c>
      <c r="G550" s="104">
        <f t="shared" si="221"/>
        <v>1.5707619535738233</v>
      </c>
      <c r="H550" s="113">
        <f t="shared" si="222"/>
        <v>3636.5519661374424</v>
      </c>
      <c r="I550" s="114">
        <f t="shared" si="223"/>
        <v>1.5705213410331327</v>
      </c>
      <c r="J550" s="101">
        <f t="shared" si="224"/>
        <v>85.571768627940742</v>
      </c>
      <c r="K550" s="104">
        <f t="shared" si="225"/>
        <v>1.5591099636608365</v>
      </c>
      <c r="L550" s="102">
        <f t="shared" si="226"/>
        <v>1</v>
      </c>
      <c r="M550" s="103">
        <f t="shared" si="227"/>
        <v>2.8076319265270502E-9</v>
      </c>
      <c r="N550" s="101">
        <f t="shared" si="228"/>
        <v>1</v>
      </c>
      <c r="O550" s="104">
        <f t="shared" si="229"/>
        <v>4.4922110824432803E-10</v>
      </c>
      <c r="P550" s="105">
        <f t="shared" ca="1" si="230"/>
        <v>4.9005770332596459</v>
      </c>
      <c r="Q550" s="106">
        <f t="shared" ca="1" si="231"/>
        <v>1.5145363968418077</v>
      </c>
      <c r="R550" s="107">
        <f t="shared" ca="1" si="232"/>
        <v>-62.472580402499993</v>
      </c>
      <c r="S550" s="108">
        <f t="shared" ca="1" si="233"/>
        <v>-197.80284593807539</v>
      </c>
      <c r="T550" s="116">
        <f t="shared" ca="1" si="234"/>
        <v>-17.802845938075393</v>
      </c>
      <c r="V550" s="72">
        <f t="shared" ca="1" si="235"/>
        <v>85114</v>
      </c>
      <c r="W550" s="72">
        <f t="shared" si="236"/>
        <v>7244392996</v>
      </c>
      <c r="Y550" s="110">
        <f t="shared" si="237"/>
        <v>7.373990071832659</v>
      </c>
      <c r="Z550" s="111">
        <f t="shared" si="238"/>
        <v>-89.344206764604223</v>
      </c>
      <c r="AA550" s="72">
        <f t="shared" si="239"/>
        <v>90.655793235395777</v>
      </c>
      <c r="AB550" s="110">
        <f t="shared" ca="1" si="240"/>
        <v>-53.928970127451151</v>
      </c>
      <c r="AC550" s="111">
        <f t="shared" ca="1" si="241"/>
        <v>-108.45863917347114</v>
      </c>
      <c r="AD550" s="72">
        <f t="shared" ca="1" si="242"/>
        <v>71.541360826528859</v>
      </c>
    </row>
    <row r="551" spans="1:30">
      <c r="A551" s="118">
        <v>85609.5</v>
      </c>
      <c r="B551" s="101">
        <f t="shared" ca="1" si="216"/>
        <v>4390.1200330236661</v>
      </c>
      <c r="C551" s="102">
        <f t="shared" ca="1" si="217"/>
        <v>1.570568542588286</v>
      </c>
      <c r="D551" s="102">
        <f t="shared" si="218"/>
        <v>2.7187220638678267</v>
      </c>
      <c r="E551" s="103">
        <f t="shared" si="219"/>
        <v>1.1941328801185458</v>
      </c>
      <c r="F551" s="101">
        <f t="shared" si="220"/>
        <v>29261.779162642179</v>
      </c>
      <c r="G551" s="104">
        <f t="shared" si="221"/>
        <v>1.5707621525229005</v>
      </c>
      <c r="H551" s="113">
        <f t="shared" si="222"/>
        <v>3657.7225298914659</v>
      </c>
      <c r="I551" s="114">
        <f t="shared" si="223"/>
        <v>1.5705229326256327</v>
      </c>
      <c r="J551" s="101">
        <f t="shared" si="224"/>
        <v>86.069865740625758</v>
      </c>
      <c r="K551" s="104">
        <f t="shared" si="225"/>
        <v>1.5591775971629216</v>
      </c>
      <c r="L551" s="102">
        <f t="shared" si="226"/>
        <v>1</v>
      </c>
      <c r="M551" s="103">
        <f t="shared" si="227"/>
        <v>2.8239768476868376E-9</v>
      </c>
      <c r="N551" s="101">
        <f t="shared" si="228"/>
        <v>1</v>
      </c>
      <c r="O551" s="104">
        <f t="shared" si="229"/>
        <v>4.51836295629894E-10</v>
      </c>
      <c r="P551" s="105">
        <f t="shared" ca="1" si="230"/>
        <v>4.9285506175563354</v>
      </c>
      <c r="Q551" s="106">
        <f t="shared" ca="1" si="231"/>
        <v>1.516575056916911</v>
      </c>
      <c r="R551" s="107">
        <f t="shared" ca="1" si="232"/>
        <v>-62.579288388156122</v>
      </c>
      <c r="S551" s="108">
        <f t="shared" ca="1" si="233"/>
        <v>-197.80952700326881</v>
      </c>
      <c r="T551" s="116">
        <f t="shared" ca="1" si="234"/>
        <v>-17.809527003268812</v>
      </c>
      <c r="V551" s="72">
        <f t="shared" ca="1" si="235"/>
        <v>85609.5</v>
      </c>
      <c r="W551" s="72">
        <f t="shared" si="236"/>
        <v>7328986490.25</v>
      </c>
      <c r="Y551" s="110">
        <f t="shared" si="237"/>
        <v>7.3235777225118728</v>
      </c>
      <c r="Z551" s="111">
        <f t="shared" si="238"/>
        <v>-89.348002085454581</v>
      </c>
      <c r="AA551" s="72">
        <f t="shared" si="239"/>
        <v>90.651997914545419</v>
      </c>
      <c r="AB551" s="110">
        <f t="shared" ca="1" si="240"/>
        <v>-53.985265763786494</v>
      </c>
      <c r="AC551" s="111">
        <f t="shared" ca="1" si="241"/>
        <v>-108.46152491781426</v>
      </c>
      <c r="AD551" s="72">
        <f t="shared" ca="1" si="242"/>
        <v>71.538475082185741</v>
      </c>
    </row>
    <row r="552" spans="1:30">
      <c r="A552" s="118">
        <v>86105</v>
      </c>
      <c r="B552" s="101">
        <f t="shared" ca="1" si="216"/>
        <v>4415.5296471882257</v>
      </c>
      <c r="C552" s="102">
        <f t="shared" ca="1" si="217"/>
        <v>1.5705698533956782</v>
      </c>
      <c r="D552" s="102">
        <f t="shared" si="218"/>
        <v>2.7323341728499084</v>
      </c>
      <c r="E552" s="103">
        <f t="shared" si="219"/>
        <v>1.1961026842315057</v>
      </c>
      <c r="F552" s="101">
        <f t="shared" si="220"/>
        <v>29431.143678942411</v>
      </c>
      <c r="G552" s="104">
        <f t="shared" si="221"/>
        <v>1.5707623491822322</v>
      </c>
      <c r="H552" s="113">
        <f t="shared" si="222"/>
        <v>3678.893093654649</v>
      </c>
      <c r="I552" s="114">
        <f t="shared" si="223"/>
        <v>1.5705245059001718</v>
      </c>
      <c r="J552" s="101">
        <f t="shared" si="224"/>
        <v>86.567963242488673</v>
      </c>
      <c r="K552" s="104">
        <f t="shared" si="225"/>
        <v>1.5592444523617159</v>
      </c>
      <c r="L552" s="102">
        <f t="shared" si="226"/>
        <v>1</v>
      </c>
      <c r="M552" s="103">
        <f t="shared" si="227"/>
        <v>2.8403217688466255E-9</v>
      </c>
      <c r="N552" s="101">
        <f t="shared" si="228"/>
        <v>1</v>
      </c>
      <c r="O552" s="104">
        <f t="shared" si="229"/>
        <v>4.5445148301546003E-10</v>
      </c>
      <c r="P552" s="105">
        <f t="shared" ca="1" si="230"/>
        <v>4.9565418922132185</v>
      </c>
      <c r="Q552" s="106">
        <f t="shared" ca="1" si="231"/>
        <v>1.5186005906038542</v>
      </c>
      <c r="R552" s="107">
        <f t="shared" ca="1" si="232"/>
        <v>-62.685349238425033</v>
      </c>
      <c r="S552" s="108">
        <f t="shared" ca="1" si="233"/>
        <v>-197.81654682209285</v>
      </c>
      <c r="T552" s="116">
        <f t="shared" ca="1" si="234"/>
        <v>-17.816546822092846</v>
      </c>
      <c r="V552" s="72">
        <f t="shared" ca="1" si="235"/>
        <v>86105</v>
      </c>
      <c r="W552" s="72">
        <f t="shared" si="236"/>
        <v>7414071025</v>
      </c>
      <c r="Y552" s="110">
        <f t="shared" si="237"/>
        <v>7.2734562366554565</v>
      </c>
      <c r="Z552" s="111">
        <f t="shared" si="238"/>
        <v>-89.351753731160258</v>
      </c>
      <c r="AA552" s="72">
        <f t="shared" si="239"/>
        <v>90.648246268839742</v>
      </c>
      <c r="AB552" s="110">
        <f t="shared" ca="1" si="240"/>
        <v>-54.041205128198996</v>
      </c>
      <c r="AC552" s="111">
        <f t="shared" ca="1" si="241"/>
        <v>-108.46479309093264</v>
      </c>
      <c r="AD552" s="72">
        <f t="shared" ca="1" si="242"/>
        <v>71.535206909067355</v>
      </c>
    </row>
    <row r="553" spans="1:30">
      <c r="A553" s="118">
        <v>86600.5</v>
      </c>
      <c r="B553" s="101">
        <f t="shared" ca="1" si="216"/>
        <v>4440.9392613602859</v>
      </c>
      <c r="C553" s="102">
        <f t="shared" ca="1" si="217"/>
        <v>1.5705711492030408</v>
      </c>
      <c r="D553" s="102">
        <f t="shared" si="218"/>
        <v>2.7459567785057142</v>
      </c>
      <c r="E553" s="103">
        <f t="shared" si="219"/>
        <v>1.198052951576194</v>
      </c>
      <c r="F553" s="101">
        <f t="shared" si="220"/>
        <v>29600.508195243765</v>
      </c>
      <c r="G553" s="104">
        <f t="shared" si="221"/>
        <v>1.5707625435911221</v>
      </c>
      <c r="H553" s="113">
        <f t="shared" si="222"/>
        <v>3700.0636574268333</v>
      </c>
      <c r="I553" s="114">
        <f t="shared" si="223"/>
        <v>1.5705260611711778</v>
      </c>
      <c r="J553" s="101">
        <f t="shared" si="224"/>
        <v>87.066061126850144</v>
      </c>
      <c r="K553" s="104">
        <f t="shared" si="225"/>
        <v>1.5593105426144476</v>
      </c>
      <c r="L553" s="102">
        <f t="shared" si="226"/>
        <v>1</v>
      </c>
      <c r="M553" s="103">
        <f t="shared" si="227"/>
        <v>2.8566666900064129E-9</v>
      </c>
      <c r="N553" s="101">
        <f t="shared" si="228"/>
        <v>1</v>
      </c>
      <c r="O553" s="104">
        <f t="shared" si="229"/>
        <v>4.5706667040102601E-10</v>
      </c>
      <c r="P553" s="105">
        <f t="shared" ca="1" si="230"/>
        <v>4.9845508106606777</v>
      </c>
      <c r="Q553" s="106">
        <f t="shared" ca="1" si="231"/>
        <v>1.5206132057434756</v>
      </c>
      <c r="R553" s="107">
        <f t="shared" ca="1" si="232"/>
        <v>-62.790771021474434</v>
      </c>
      <c r="S553" s="108">
        <f t="shared" ca="1" si="233"/>
        <v>-197.82390205201185</v>
      </c>
      <c r="T553" s="116">
        <f t="shared" ca="1" si="234"/>
        <v>-17.823902052011846</v>
      </c>
      <c r="V553" s="72">
        <f t="shared" ca="1" si="235"/>
        <v>86600.5</v>
      </c>
      <c r="W553" s="72">
        <f t="shared" si="236"/>
        <v>7499646600.25</v>
      </c>
      <c r="Y553" s="110">
        <f t="shared" si="237"/>
        <v>7.2236222775690528</v>
      </c>
      <c r="Z553" s="111">
        <f t="shared" si="238"/>
        <v>-89.355462451270554</v>
      </c>
      <c r="AA553" s="72">
        <f t="shared" si="239"/>
        <v>90.644537548729446</v>
      </c>
      <c r="AB553" s="110">
        <f t="shared" ca="1" si="240"/>
        <v>-54.096792952161977</v>
      </c>
      <c r="AC553" s="111">
        <f t="shared" ca="1" si="241"/>
        <v>-108.46843960074136</v>
      </c>
      <c r="AD553" s="72">
        <f t="shared" ca="1" si="242"/>
        <v>71.531560399258638</v>
      </c>
    </row>
    <row r="554" spans="1:30">
      <c r="A554" s="118">
        <v>87096</v>
      </c>
      <c r="B554" s="101">
        <f t="shared" ca="1" si="216"/>
        <v>4466.3488755397184</v>
      </c>
      <c r="C554" s="102">
        <f t="shared" ca="1" si="217"/>
        <v>1.570572430266385</v>
      </c>
      <c r="D554" s="102">
        <f t="shared" si="218"/>
        <v>2.7595897253860029</v>
      </c>
      <c r="E554" s="103">
        <f t="shared" si="219"/>
        <v>1.1999839567530384</v>
      </c>
      <c r="F554" s="101">
        <f t="shared" si="220"/>
        <v>29769.872711546228</v>
      </c>
      <c r="G554" s="104">
        <f t="shared" si="221"/>
        <v>1.570762735787979</v>
      </c>
      <c r="H554" s="113">
        <f t="shared" si="222"/>
        <v>3721.2342212078656</v>
      </c>
      <c r="I554" s="114">
        <f t="shared" si="223"/>
        <v>1.570527598745924</v>
      </c>
      <c r="J554" s="101">
        <f t="shared" si="224"/>
        <v>87.564159387182769</v>
      </c>
      <c r="K554" s="104">
        <f t="shared" si="225"/>
        <v>1.5593758809744467</v>
      </c>
      <c r="L554" s="102">
        <f t="shared" si="226"/>
        <v>1</v>
      </c>
      <c r="M554" s="103">
        <f t="shared" si="227"/>
        <v>2.8730116111662003E-9</v>
      </c>
      <c r="N554" s="101">
        <f t="shared" si="228"/>
        <v>1</v>
      </c>
      <c r="O554" s="104">
        <f t="shared" si="229"/>
        <v>4.5968185778659204E-10</v>
      </c>
      <c r="P554" s="105">
        <f t="shared" ca="1" si="230"/>
        <v>5.012577328626425</v>
      </c>
      <c r="Q554" s="106">
        <f t="shared" ca="1" si="231"/>
        <v>1.5226131057501131</v>
      </c>
      <c r="R554" s="107">
        <f t="shared" ca="1" si="232"/>
        <v>-62.895561658571651</v>
      </c>
      <c r="S554" s="108">
        <f t="shared" ca="1" si="233"/>
        <v>-197.8315893615277</v>
      </c>
      <c r="T554" s="116">
        <f t="shared" ca="1" si="234"/>
        <v>-17.831589361527705</v>
      </c>
      <c r="V554" s="72">
        <f t="shared" ca="1" si="235"/>
        <v>87096</v>
      </c>
      <c r="W554" s="72">
        <f t="shared" si="236"/>
        <v>7585713216</v>
      </c>
      <c r="Y554" s="110">
        <f t="shared" si="237"/>
        <v>7.1740725656397739</v>
      </c>
      <c r="Z554" s="111">
        <f t="shared" si="238"/>
        <v>-89.359128978281433</v>
      </c>
      <c r="AA554" s="72">
        <f t="shared" si="239"/>
        <v>90.640871021718567</v>
      </c>
      <c r="AB554" s="110">
        <f t="shared" ca="1" si="240"/>
        <v>-54.152033877329927</v>
      </c>
      <c r="AC554" s="111">
        <f t="shared" ca="1" si="241"/>
        <v>-108.47246038324627</v>
      </c>
      <c r="AD554" s="72">
        <f t="shared" ca="1" si="242"/>
        <v>71.527539616753728</v>
      </c>
    </row>
    <row r="555" spans="1:30">
      <c r="A555" s="118">
        <v>87603.25</v>
      </c>
      <c r="B555" s="101">
        <f t="shared" ca="1" si="216"/>
        <v>4492.3610385997299</v>
      </c>
      <c r="C555" s="102">
        <f t="shared" ca="1" si="217"/>
        <v>1.5705737266967152</v>
      </c>
      <c r="D555" s="102">
        <f t="shared" si="218"/>
        <v>2.773556508835076</v>
      </c>
      <c r="E555" s="103">
        <f t="shared" si="219"/>
        <v>1.2019410815556164</v>
      </c>
      <c r="F555" s="101">
        <f t="shared" si="220"/>
        <v>29943.253439891294</v>
      </c>
      <c r="G555" s="104">
        <f t="shared" si="221"/>
        <v>1.5707629302903319</v>
      </c>
      <c r="H555" s="113">
        <f t="shared" si="222"/>
        <v>3742.9068114851461</v>
      </c>
      <c r="I555" s="114">
        <f t="shared" si="223"/>
        <v>1.5705291547646372</v>
      </c>
      <c r="J555" s="101">
        <f t="shared" si="224"/>
        <v>88.074069643946444</v>
      </c>
      <c r="K555" s="104">
        <f t="shared" si="225"/>
        <v>1.5594420031995033</v>
      </c>
      <c r="L555" s="102">
        <f t="shared" si="226"/>
        <v>1</v>
      </c>
      <c r="M555" s="103">
        <f t="shared" si="227"/>
        <v>2.8897441263191815E-9</v>
      </c>
      <c r="N555" s="101">
        <f t="shared" si="228"/>
        <v>1</v>
      </c>
      <c r="O555" s="104">
        <f t="shared" si="229"/>
        <v>4.6235906021106903E-10</v>
      </c>
      <c r="P555" s="105">
        <f t="shared" ca="1" si="230"/>
        <v>5.0412866378146939</v>
      </c>
      <c r="Q555" s="106">
        <f t="shared" ca="1" si="231"/>
        <v>1.5246474670850381</v>
      </c>
      <c r="R555" s="107">
        <f t="shared" ca="1" si="232"/>
        <v>-63.002191586277817</v>
      </c>
      <c r="S555" s="108">
        <f t="shared" ca="1" si="233"/>
        <v>-197.83979948333243</v>
      </c>
      <c r="T555" s="116">
        <f t="shared" ca="1" si="234"/>
        <v>-17.839799483332428</v>
      </c>
      <c r="V555" s="72">
        <f t="shared" ca="1" si="235"/>
        <v>87603.25</v>
      </c>
      <c r="W555" s="72">
        <f t="shared" si="236"/>
        <v>7674329410.5625</v>
      </c>
      <c r="Y555" s="110">
        <f t="shared" si="237"/>
        <v>7.1236389328658269</v>
      </c>
      <c r="Z555" s="111">
        <f t="shared" si="238"/>
        <v>-89.362839492766923</v>
      </c>
      <c r="AA555" s="72">
        <f t="shared" si="239"/>
        <v>90.637160507233077</v>
      </c>
      <c r="AB555" s="110">
        <f t="shared" ca="1" si="240"/>
        <v>-54.208230172262134</v>
      </c>
      <c r="AC555" s="111">
        <f t="shared" ca="1" si="241"/>
        <v>-108.47695999056549</v>
      </c>
      <c r="AD555" s="72">
        <f t="shared" ca="1" si="242"/>
        <v>71.52304000943451</v>
      </c>
    </row>
    <row r="556" spans="1:30">
      <c r="A556" s="118">
        <v>88110.5</v>
      </c>
      <c r="B556" s="101">
        <f t="shared" ca="1" si="216"/>
        <v>4518.3732016672056</v>
      </c>
      <c r="C556" s="102">
        <f t="shared" ca="1" si="217"/>
        <v>1.5705750082000105</v>
      </c>
      <c r="D556" s="102">
        <f t="shared" si="218"/>
        <v>2.7875338094595423</v>
      </c>
      <c r="E556" s="103">
        <f t="shared" si="219"/>
        <v>1.2038785868190085</v>
      </c>
      <c r="F556" s="101">
        <f t="shared" si="220"/>
        <v>30116.634168237484</v>
      </c>
      <c r="G556" s="104">
        <f t="shared" si="221"/>
        <v>1.5707631225531942</v>
      </c>
      <c r="H556" s="113">
        <f t="shared" si="222"/>
        <v>3764.5794017713852</v>
      </c>
      <c r="I556" s="114">
        <f t="shared" si="223"/>
        <v>1.5705306928674279</v>
      </c>
      <c r="J556" s="101">
        <f t="shared" si="224"/>
        <v>88.583980281349895</v>
      </c>
      <c r="K556" s="104">
        <f t="shared" si="225"/>
        <v>1.5595073641940695</v>
      </c>
      <c r="L556" s="102">
        <f t="shared" si="226"/>
        <v>1</v>
      </c>
      <c r="M556" s="103">
        <f t="shared" si="227"/>
        <v>2.9064766414721627E-9</v>
      </c>
      <c r="N556" s="101">
        <f t="shared" si="228"/>
        <v>1</v>
      </c>
      <c r="O556" s="104">
        <f t="shared" si="229"/>
        <v>4.6503626263554603E-10</v>
      </c>
      <c r="P556" s="105">
        <f t="shared" ca="1" si="230"/>
        <v>5.0700143043227941</v>
      </c>
      <c r="Q556" s="106">
        <f t="shared" ca="1" si="231"/>
        <v>1.526668920785283</v>
      </c>
      <c r="R556" s="107">
        <f t="shared" ca="1" si="232"/>
        <v>-63.108176422714521</v>
      </c>
      <c r="S556" s="108">
        <f t="shared" ca="1" si="233"/>
        <v>-197.84835059658116</v>
      </c>
      <c r="T556" s="116">
        <f t="shared" ca="1" si="234"/>
        <v>-17.848350596581156</v>
      </c>
      <c r="V556" s="72">
        <f t="shared" ca="1" si="235"/>
        <v>88110.5</v>
      </c>
      <c r="W556" s="72">
        <f t="shared" si="236"/>
        <v>7763460210.25</v>
      </c>
      <c r="Y556" s="110">
        <f t="shared" si="237"/>
        <v>7.0734964102550748</v>
      </c>
      <c r="Z556" s="111">
        <f t="shared" si="238"/>
        <v>-89.366507290151446</v>
      </c>
      <c r="AA556" s="72">
        <f t="shared" si="239"/>
        <v>90.633492709848554</v>
      </c>
      <c r="AB556" s="110">
        <f t="shared" ca="1" si="240"/>
        <v>-54.264072486088097</v>
      </c>
      <c r="AC556" s="111">
        <f t="shared" ca="1" si="241"/>
        <v>-108.48184330642972</v>
      </c>
      <c r="AD556" s="72">
        <f t="shared" ca="1" si="242"/>
        <v>71.518156693570276</v>
      </c>
    </row>
    <row r="557" spans="1:30">
      <c r="A557" s="118">
        <v>88617.75</v>
      </c>
      <c r="B557" s="101">
        <f t="shared" ca="1" si="216"/>
        <v>4544.3853647420165</v>
      </c>
      <c r="C557" s="102">
        <f t="shared" ca="1" si="217"/>
        <v>1.5705762750325991</v>
      </c>
      <c r="D557" s="102">
        <f t="shared" si="218"/>
        <v>2.8015214698430975</v>
      </c>
      <c r="E557" s="103">
        <f t="shared" si="219"/>
        <v>1.2057967517608954</v>
      </c>
      <c r="F557" s="101">
        <f t="shared" si="220"/>
        <v>30290.014896584773</v>
      </c>
      <c r="G557" s="104">
        <f t="shared" si="221"/>
        <v>1.5707633126150227</v>
      </c>
      <c r="H557" s="113">
        <f t="shared" si="222"/>
        <v>3786.2519920664276</v>
      </c>
      <c r="I557" s="114">
        <f t="shared" si="223"/>
        <v>1.5705322133619499</v>
      </c>
      <c r="J557" s="101">
        <f t="shared" si="224"/>
        <v>89.093891292857577</v>
      </c>
      <c r="K557" s="104">
        <f t="shared" si="225"/>
        <v>1.5595719770278313</v>
      </c>
      <c r="L557" s="102">
        <f t="shared" si="226"/>
        <v>1</v>
      </c>
      <c r="M557" s="103">
        <f t="shared" si="227"/>
        <v>2.9232091566251439E-9</v>
      </c>
      <c r="N557" s="101">
        <f t="shared" si="228"/>
        <v>1</v>
      </c>
      <c r="O557" s="104">
        <f t="shared" si="229"/>
        <v>4.6771346506002297E-10</v>
      </c>
      <c r="P557" s="105">
        <f t="shared" ca="1" si="230"/>
        <v>5.0987602877342546</v>
      </c>
      <c r="Q557" s="106">
        <f t="shared" ca="1" si="231"/>
        <v>1.5286776714061387</v>
      </c>
      <c r="R557" s="107">
        <f t="shared" ca="1" si="232"/>
        <v>-63.21352421007326</v>
      </c>
      <c r="S557" s="108">
        <f t="shared" ca="1" si="233"/>
        <v>-197.85723917153456</v>
      </c>
      <c r="T557" s="116">
        <f t="shared" ca="1" si="234"/>
        <v>-17.857239171534559</v>
      </c>
      <c r="V557" s="72">
        <f t="shared" ca="1" si="235"/>
        <v>88617.75</v>
      </c>
      <c r="W557" s="72">
        <f t="shared" si="236"/>
        <v>7853105615.0625</v>
      </c>
      <c r="Y557" s="110">
        <f t="shared" si="237"/>
        <v>7.023641656849354</v>
      </c>
      <c r="Z557" s="111">
        <f t="shared" si="238"/>
        <v>-89.370133103848929</v>
      </c>
      <c r="AA557" s="72">
        <f t="shared" si="239"/>
        <v>90.629866896151071</v>
      </c>
      <c r="AB557" s="110">
        <f t="shared" ca="1" si="240"/>
        <v>-54.31956552004111</v>
      </c>
      <c r="AC557" s="111">
        <f t="shared" ca="1" si="241"/>
        <v>-108.48710606768564</v>
      </c>
      <c r="AD557" s="72">
        <f t="shared" ca="1" si="242"/>
        <v>71.512893932314356</v>
      </c>
    </row>
    <row r="558" spans="1:30">
      <c r="A558" s="118">
        <v>89125</v>
      </c>
      <c r="B558" s="101">
        <f t="shared" ca="1" si="216"/>
        <v>4570.3975278240378</v>
      </c>
      <c r="C558" s="102">
        <f t="shared" ca="1" si="217"/>
        <v>1.5705775274449734</v>
      </c>
      <c r="D558" s="102">
        <f t="shared" si="218"/>
        <v>2.8155193355821271</v>
      </c>
      <c r="E558" s="103">
        <f t="shared" si="219"/>
        <v>1.2076958506216977</v>
      </c>
      <c r="F558" s="101">
        <f t="shared" si="220"/>
        <v>30463.395624933146</v>
      </c>
      <c r="G558" s="104">
        <f t="shared" si="221"/>
        <v>1.5707635005133982</v>
      </c>
      <c r="H558" s="113">
        <f t="shared" si="222"/>
        <v>3807.9245823701244</v>
      </c>
      <c r="I558" s="114">
        <f t="shared" si="223"/>
        <v>1.5705337165488524</v>
      </c>
      <c r="J558" s="101">
        <f t="shared" si="224"/>
        <v>89.603802672082736</v>
      </c>
      <c r="K558" s="104">
        <f t="shared" si="225"/>
        <v>1.5596358544729969</v>
      </c>
      <c r="L558" s="102">
        <f t="shared" si="226"/>
        <v>1</v>
      </c>
      <c r="M558" s="103">
        <f t="shared" si="227"/>
        <v>2.9399416717781251E-9</v>
      </c>
      <c r="N558" s="101">
        <f t="shared" si="228"/>
        <v>1</v>
      </c>
      <c r="O558" s="104">
        <f t="shared" si="229"/>
        <v>4.7039066748450007E-10</v>
      </c>
      <c r="P558" s="105">
        <f t="shared" ca="1" si="230"/>
        <v>5.1275245498917457</v>
      </c>
      <c r="Q558" s="106">
        <f t="shared" ca="1" si="231"/>
        <v>1.5306739191286745</v>
      </c>
      <c r="R558" s="107">
        <f t="shared" ca="1" si="232"/>
        <v>-63.318242843948255</v>
      </c>
      <c r="S558" s="108">
        <f t="shared" ca="1" si="233"/>
        <v>-197.86646169597753</v>
      </c>
      <c r="T558" s="116">
        <f t="shared" ca="1" si="234"/>
        <v>-17.866461695977534</v>
      </c>
      <c r="V558" s="72">
        <f t="shared" ca="1" si="235"/>
        <v>89125</v>
      </c>
      <c r="W558" s="72">
        <f t="shared" si="236"/>
        <v>7943265625</v>
      </c>
      <c r="Y558" s="110">
        <f t="shared" si="237"/>
        <v>6.9740713888696515</v>
      </c>
      <c r="Z558" s="111">
        <f t="shared" si="238"/>
        <v>-89.373717650580346</v>
      </c>
      <c r="AA558" s="72">
        <f t="shared" si="239"/>
        <v>90.626282349419654</v>
      </c>
      <c r="AB558" s="110">
        <f t="shared" ca="1" si="240"/>
        <v>-54.374713885936394</v>
      </c>
      <c r="AC558" s="111">
        <f t="shared" ca="1" si="241"/>
        <v>-108.49274404539716</v>
      </c>
      <c r="AD558" s="72">
        <f t="shared" ca="1" si="242"/>
        <v>71.50725595460284</v>
      </c>
    </row>
    <row r="559" spans="1:30">
      <c r="A559" s="118">
        <v>89644</v>
      </c>
      <c r="B559" s="101">
        <f t="shared" ca="1" si="216"/>
        <v>4597.0122397871519</v>
      </c>
      <c r="C559" s="102">
        <f t="shared" ca="1" si="217"/>
        <v>1.5705787941985656</v>
      </c>
      <c r="D559" s="102">
        <f t="shared" si="218"/>
        <v>2.8298518543010043</v>
      </c>
      <c r="E559" s="103">
        <f t="shared" si="219"/>
        <v>1.2096194876883966</v>
      </c>
      <c r="F559" s="101">
        <f t="shared" si="220"/>
        <v>30640.792565324198</v>
      </c>
      <c r="G559" s="104">
        <f t="shared" si="221"/>
        <v>1.5707636905633746</v>
      </c>
      <c r="H559" s="113">
        <f t="shared" si="222"/>
        <v>3830.0991991706842</v>
      </c>
      <c r="I559" s="114">
        <f t="shared" si="223"/>
        <v>1.570535236948561</v>
      </c>
      <c r="J559" s="101">
        <f t="shared" si="224"/>
        <v>90.125526073899366</v>
      </c>
      <c r="K559" s="104">
        <f t="shared" si="225"/>
        <v>1.5597004634634366</v>
      </c>
      <c r="L559" s="102">
        <f t="shared" si="226"/>
        <v>1</v>
      </c>
      <c r="M559" s="103">
        <f t="shared" si="227"/>
        <v>2.9570617809243005E-9</v>
      </c>
      <c r="N559" s="101">
        <f t="shared" si="228"/>
        <v>1</v>
      </c>
      <c r="O559" s="104">
        <f t="shared" si="229"/>
        <v>4.7312988494788804E-10</v>
      </c>
      <c r="P559" s="105">
        <f t="shared" ca="1" si="230"/>
        <v>5.1569739921502196</v>
      </c>
      <c r="Q559" s="106">
        <f t="shared" ca="1" si="231"/>
        <v>1.5327036718143077</v>
      </c>
      <c r="R559" s="107">
        <f t="shared" ca="1" si="232"/>
        <v>-63.424744094911212</v>
      </c>
      <c r="S559" s="108">
        <f t="shared" ca="1" si="233"/>
        <v>-197.87623985095047</v>
      </c>
      <c r="T559" s="116">
        <f t="shared" ca="1" si="234"/>
        <v>-17.876239850950469</v>
      </c>
      <c r="V559" s="72">
        <f t="shared" ca="1" si="235"/>
        <v>89644</v>
      </c>
      <c r="W559" s="72">
        <f t="shared" si="236"/>
        <v>8036046736</v>
      </c>
      <c r="Y559" s="110">
        <f t="shared" si="237"/>
        <v>6.9236439493880564</v>
      </c>
      <c r="Z559" s="111">
        <f t="shared" si="238"/>
        <v>-89.377343248806397</v>
      </c>
      <c r="AA559" s="72">
        <f t="shared" si="239"/>
        <v>90.622656751193603</v>
      </c>
      <c r="AB559" s="110">
        <f t="shared" ca="1" si="240"/>
        <v>-54.430787697417756</v>
      </c>
      <c r="AC559" s="111">
        <f t="shared" ca="1" si="241"/>
        <v>-108.49889660214406</v>
      </c>
      <c r="AD559" s="72">
        <f t="shared" ca="1" si="242"/>
        <v>71.501103397855942</v>
      </c>
    </row>
    <row r="560" spans="1:30">
      <c r="A560" s="118">
        <v>90163</v>
      </c>
      <c r="B560" s="101">
        <f t="shared" ca="1" si="216"/>
        <v>4623.6269517575574</v>
      </c>
      <c r="C560" s="102">
        <f t="shared" ca="1" si="217"/>
        <v>1.5705800463686792</v>
      </c>
      <c r="D560" s="102">
        <f t="shared" si="218"/>
        <v>2.8441947389867672</v>
      </c>
      <c r="E560" s="103">
        <f t="shared" si="219"/>
        <v>1.2115237304656858</v>
      </c>
      <c r="F560" s="101">
        <f t="shared" si="220"/>
        <v>30818.189505716349</v>
      </c>
      <c r="G560" s="104">
        <f t="shared" si="221"/>
        <v>1.5707638784254039</v>
      </c>
      <c r="H560" s="113">
        <f t="shared" si="222"/>
        <v>3852.2738159799965</v>
      </c>
      <c r="I560" s="114">
        <f t="shared" si="223"/>
        <v>1.5705367398446952</v>
      </c>
      <c r="J560" s="101">
        <f t="shared" si="224"/>
        <v>90.647249847598346</v>
      </c>
      <c r="K560" s="104">
        <f t="shared" si="225"/>
        <v>1.5597643287350234</v>
      </c>
      <c r="L560" s="102">
        <f t="shared" si="226"/>
        <v>1</v>
      </c>
      <c r="M560" s="103">
        <f t="shared" si="227"/>
        <v>2.9741818900704755E-9</v>
      </c>
      <c r="N560" s="101">
        <f t="shared" si="228"/>
        <v>1</v>
      </c>
      <c r="O560" s="104">
        <f t="shared" si="229"/>
        <v>4.75869102411276E-10</v>
      </c>
      <c r="P560" s="105">
        <f t="shared" ca="1" si="230"/>
        <v>5.186442495947067</v>
      </c>
      <c r="Q560" s="106">
        <f t="shared" ca="1" si="231"/>
        <v>1.534720746099921</v>
      </c>
      <c r="R560" s="107">
        <f t="shared" ca="1" si="232"/>
        <v>-63.530602974814627</v>
      </c>
      <c r="S560" s="108">
        <f t="shared" ca="1" si="233"/>
        <v>-197.88636022803908</v>
      </c>
      <c r="T560" s="116">
        <f t="shared" ca="1" si="234"/>
        <v>-17.886360228039081</v>
      </c>
      <c r="V560" s="72">
        <f t="shared" ca="1" si="235"/>
        <v>90163</v>
      </c>
      <c r="W560" s="72">
        <f t="shared" si="236"/>
        <v>8129366569</v>
      </c>
      <c r="Y560" s="110">
        <f t="shared" si="237"/>
        <v>6.8735075504616372</v>
      </c>
      <c r="Z560" s="111">
        <f t="shared" si="238"/>
        <v>-89.380927112601782</v>
      </c>
      <c r="AA560" s="72">
        <f t="shared" si="239"/>
        <v>90.619072887398218</v>
      </c>
      <c r="AB560" s="110">
        <f t="shared" ca="1" si="240"/>
        <v>-54.486510178394752</v>
      </c>
      <c r="AC560" s="111">
        <f t="shared" ca="1" si="241"/>
        <v>-108.50543311543734</v>
      </c>
      <c r="AD560" s="72">
        <f t="shared" ca="1" si="242"/>
        <v>71.494566884562659</v>
      </c>
    </row>
    <row r="561" spans="1:30">
      <c r="A561" s="118">
        <v>90682</v>
      </c>
      <c r="B561" s="101">
        <f t="shared" ca="1" si="216"/>
        <v>4650.2416637351298</v>
      </c>
      <c r="C561" s="102">
        <f t="shared" ca="1" si="217"/>
        <v>1.5705812842057112</v>
      </c>
      <c r="D561" s="102">
        <f t="shared" si="218"/>
        <v>2.8585478336043888</v>
      </c>
      <c r="E561" s="103">
        <f t="shared" si="219"/>
        <v>1.2134088571814066</v>
      </c>
      <c r="F561" s="101">
        <f t="shared" si="220"/>
        <v>30995.586446109573</v>
      </c>
      <c r="G561" s="104">
        <f t="shared" si="221"/>
        <v>1.5707640641370531</v>
      </c>
      <c r="H561" s="113">
        <f t="shared" si="222"/>
        <v>3874.4484327979098</v>
      </c>
      <c r="I561" s="114">
        <f t="shared" si="223"/>
        <v>1.5705382255377893</v>
      </c>
      <c r="J561" s="101">
        <f t="shared" si="224"/>
        <v>91.168973986795208</v>
      </c>
      <c r="K561" s="104">
        <f t="shared" si="225"/>
        <v>1.5598274630552622</v>
      </c>
      <c r="L561" s="102">
        <f t="shared" si="226"/>
        <v>1</v>
      </c>
      <c r="M561" s="103">
        <f t="shared" si="227"/>
        <v>2.9913019992166505E-9</v>
      </c>
      <c r="N561" s="101">
        <f t="shared" si="228"/>
        <v>1</v>
      </c>
      <c r="O561" s="104">
        <f t="shared" si="229"/>
        <v>4.7860831987466407E-10</v>
      </c>
      <c r="P561" s="105">
        <f t="shared" ca="1" si="230"/>
        <v>5.2159300273589739</v>
      </c>
      <c r="Q561" s="106">
        <f t="shared" ca="1" si="231"/>
        <v>1.5367253429164507</v>
      </c>
      <c r="R561" s="107">
        <f t="shared" ca="1" si="232"/>
        <v>-63.635827486529607</v>
      </c>
      <c r="S561" s="108">
        <f t="shared" ca="1" si="233"/>
        <v>-197.89681912926099</v>
      </c>
      <c r="T561" s="116">
        <f t="shared" ca="1" si="234"/>
        <v>-17.89681912926099</v>
      </c>
      <c r="V561" s="72">
        <f t="shared" ca="1" si="235"/>
        <v>90682</v>
      </c>
      <c r="W561" s="72">
        <f t="shared" si="236"/>
        <v>8223225124</v>
      </c>
      <c r="Y561" s="110">
        <f t="shared" si="237"/>
        <v>6.8236588522983608</v>
      </c>
      <c r="Z561" s="111">
        <f t="shared" si="238"/>
        <v>-89.384469958423722</v>
      </c>
      <c r="AA561" s="72">
        <f t="shared" si="239"/>
        <v>90.615530041576278</v>
      </c>
      <c r="AB561" s="110">
        <f t="shared" ca="1" si="240"/>
        <v>-54.541885991946472</v>
      </c>
      <c r="AC561" s="111">
        <f t="shared" ca="1" si="241"/>
        <v>-108.51234917083724</v>
      </c>
      <c r="AD561" s="72">
        <f t="shared" ca="1" si="242"/>
        <v>71.48765082916276</v>
      </c>
    </row>
    <row r="562" spans="1:30">
      <c r="A562" s="118">
        <v>91201</v>
      </c>
      <c r="B562" s="101">
        <f t="shared" ca="1" si="216"/>
        <v>4676.8563757197462</v>
      </c>
      <c r="C562" s="102">
        <f t="shared" ca="1" si="217"/>
        <v>1.5705825079543585</v>
      </c>
      <c r="D562" s="102">
        <f t="shared" si="218"/>
        <v>2.8729109851270791</v>
      </c>
      <c r="E562" s="103">
        <f t="shared" si="219"/>
        <v>1.2152751410488032</v>
      </c>
      <c r="F562" s="101">
        <f t="shared" si="220"/>
        <v>31172.983386503853</v>
      </c>
      <c r="G562" s="104">
        <f t="shared" si="221"/>
        <v>1.5707642477350334</v>
      </c>
      <c r="H562" s="113">
        <f t="shared" si="222"/>
        <v>3896.6230496242779</v>
      </c>
      <c r="I562" s="114">
        <f t="shared" si="223"/>
        <v>1.5705396943215366</v>
      </c>
      <c r="J562" s="101">
        <f t="shared" si="224"/>
        <v>91.690698485250905</v>
      </c>
      <c r="K562" s="104">
        <f t="shared" si="225"/>
        <v>1.5598898789010907</v>
      </c>
      <c r="L562" s="102">
        <f t="shared" si="226"/>
        <v>1</v>
      </c>
      <c r="M562" s="103">
        <f t="shared" si="227"/>
        <v>3.0084221083628254E-9</v>
      </c>
      <c r="N562" s="101">
        <f t="shared" si="228"/>
        <v>1</v>
      </c>
      <c r="O562" s="104">
        <f t="shared" si="229"/>
        <v>4.8134753733805203E-10</v>
      </c>
      <c r="P562" s="105">
        <f t="shared" ca="1" si="230"/>
        <v>5.2454365546779709</v>
      </c>
      <c r="Q562" s="106">
        <f t="shared" ca="1" si="231"/>
        <v>1.538717658883455</v>
      </c>
      <c r="R562" s="107">
        <f t="shared" ca="1" si="232"/>
        <v>-63.740425486980158</v>
      </c>
      <c r="S562" s="108">
        <f t="shared" ca="1" si="233"/>
        <v>-197.9076128802931</v>
      </c>
      <c r="T562" s="116">
        <f t="shared" ca="1" si="234"/>
        <v>-17.907612880293101</v>
      </c>
      <c r="V562" s="72">
        <f t="shared" ca="1" si="235"/>
        <v>91201</v>
      </c>
      <c r="W562" s="72">
        <f t="shared" si="236"/>
        <v>8317622401</v>
      </c>
      <c r="Y562" s="110">
        <f t="shared" si="237"/>
        <v>6.7740945722594557</v>
      </c>
      <c r="Z562" s="111">
        <f t="shared" si="238"/>
        <v>-89.387972486424118</v>
      </c>
      <c r="AA562" s="72">
        <f t="shared" si="239"/>
        <v>90.612027513575882</v>
      </c>
      <c r="AB562" s="110">
        <f t="shared" ca="1" si="240"/>
        <v>-54.596919712358115</v>
      </c>
      <c r="AC562" s="111">
        <f t="shared" ca="1" si="241"/>
        <v>-108.51964039386895</v>
      </c>
      <c r="AD562" s="72">
        <f t="shared" ca="1" si="242"/>
        <v>71.480359606131046</v>
      </c>
    </row>
    <row r="563" spans="1:30">
      <c r="A563" s="118">
        <v>91732</v>
      </c>
      <c r="B563" s="101">
        <f t="shared" ca="1" si="216"/>
        <v>4704.0864567747567</v>
      </c>
      <c r="C563" s="102">
        <f t="shared" ca="1" si="217"/>
        <v>1.5705837456663989</v>
      </c>
      <c r="D563" s="102">
        <f t="shared" si="218"/>
        <v>2.8876164845131846</v>
      </c>
      <c r="E563" s="103">
        <f t="shared" si="219"/>
        <v>1.2171653543858905</v>
      </c>
      <c r="F563" s="101">
        <f t="shared" si="220"/>
        <v>31354.481990260927</v>
      </c>
      <c r="G563" s="104">
        <f t="shared" si="221"/>
        <v>1.5707644334279298</v>
      </c>
      <c r="H563" s="113">
        <f t="shared" si="222"/>
        <v>3919.3103743627462</v>
      </c>
      <c r="I563" s="114">
        <f t="shared" si="223"/>
        <v>1.5705411798646123</v>
      </c>
      <c r="J563" s="101">
        <f t="shared" si="224"/>
        <v>92.224486343346413</v>
      </c>
      <c r="K563" s="104">
        <f t="shared" si="225"/>
        <v>1.5599530070196066</v>
      </c>
      <c r="L563" s="102">
        <f t="shared" si="226"/>
        <v>1</v>
      </c>
      <c r="M563" s="103">
        <f t="shared" si="227"/>
        <v>3.0259380581829001E-9</v>
      </c>
      <c r="N563" s="101">
        <f t="shared" si="228"/>
        <v>1</v>
      </c>
      <c r="O563" s="104">
        <f t="shared" si="229"/>
        <v>4.8415008930926398E-10</v>
      </c>
      <c r="P563" s="105">
        <f t="shared" ca="1" si="230"/>
        <v>5.2756449428354628</v>
      </c>
      <c r="Q563" s="106">
        <f t="shared" ca="1" si="231"/>
        <v>1.54074353055793</v>
      </c>
      <c r="R563" s="107">
        <f t="shared" ca="1" si="232"/>
        <v>-63.84680157560345</v>
      </c>
      <c r="S563" s="108">
        <f t="shared" ca="1" si="233"/>
        <v>-197.91899894415764</v>
      </c>
      <c r="T563" s="116">
        <f t="shared" ca="1" si="234"/>
        <v>-17.918998944157636</v>
      </c>
      <c r="V563" s="72">
        <f t="shared" ca="1" si="235"/>
        <v>91732</v>
      </c>
      <c r="W563" s="72">
        <f t="shared" si="236"/>
        <v>8414759824</v>
      </c>
      <c r="Y563" s="110">
        <f t="shared" si="237"/>
        <v>6.7236752907040342</v>
      </c>
      <c r="Z563" s="111">
        <f t="shared" si="238"/>
        <v>-89.391514984415451</v>
      </c>
      <c r="AA563" s="72">
        <f t="shared" si="239"/>
        <v>90.608485015584549</v>
      </c>
      <c r="AB563" s="110">
        <f t="shared" ca="1" si="240"/>
        <v>-54.652876519425973</v>
      </c>
      <c r="AC563" s="111">
        <f t="shared" ca="1" si="241"/>
        <v>-108.52748395974217</v>
      </c>
      <c r="AD563" s="72">
        <f t="shared" ca="1" si="242"/>
        <v>71.47251604025783</v>
      </c>
    </row>
    <row r="564" spans="1:30">
      <c r="A564" s="118">
        <v>92263</v>
      </c>
      <c r="B564" s="101">
        <f t="shared" ca="1" si="216"/>
        <v>4731.3165378368903</v>
      </c>
      <c r="C564" s="102">
        <f t="shared" ca="1" si="217"/>
        <v>1.5705849691316651</v>
      </c>
      <c r="D564" s="102">
        <f t="shared" si="218"/>
        <v>2.902332196511558</v>
      </c>
      <c r="E564" s="103">
        <f t="shared" si="219"/>
        <v>1.2190364064321204</v>
      </c>
      <c r="F564" s="101">
        <f t="shared" si="220"/>
        <v>31535.980594019067</v>
      </c>
      <c r="G564" s="104">
        <f t="shared" si="221"/>
        <v>1.5707646169833946</v>
      </c>
      <c r="H564" s="113">
        <f t="shared" si="222"/>
        <v>3941.9976991097642</v>
      </c>
      <c r="I564" s="114">
        <f t="shared" si="223"/>
        <v>1.5705426483082372</v>
      </c>
      <c r="J564" s="101">
        <f t="shared" si="224"/>
        <v>92.758274564741214</v>
      </c>
      <c r="K564" s="104">
        <f t="shared" si="225"/>
        <v>1.5600154085822475</v>
      </c>
      <c r="L564" s="102">
        <f t="shared" si="226"/>
        <v>1</v>
      </c>
      <c r="M564" s="103">
        <f t="shared" si="227"/>
        <v>3.0434540080029752E-9</v>
      </c>
      <c r="N564" s="101">
        <f t="shared" si="228"/>
        <v>1</v>
      </c>
      <c r="O564" s="104">
        <f t="shared" si="229"/>
        <v>4.8695264128047604E-10</v>
      </c>
      <c r="P564" s="105">
        <f t="shared" ca="1" si="230"/>
        <v>5.3058731551699783</v>
      </c>
      <c r="Q564" s="106">
        <f t="shared" ca="1" si="231"/>
        <v>1.5427569499724141</v>
      </c>
      <c r="R564" s="107">
        <f t="shared" ca="1" si="232"/>
        <v>-63.95253803245572</v>
      </c>
      <c r="S564" s="108">
        <f t="shared" ca="1" si="233"/>
        <v>-197.93072781957113</v>
      </c>
      <c r="T564" s="116">
        <f t="shared" ca="1" si="234"/>
        <v>-17.930727819571132</v>
      </c>
      <c r="V564" s="72">
        <f t="shared" ca="1" si="235"/>
        <v>92263</v>
      </c>
      <c r="W564" s="72">
        <f t="shared" si="236"/>
        <v>8512461169</v>
      </c>
      <c r="Y564" s="110">
        <f t="shared" si="237"/>
        <v>6.673546957418667</v>
      </c>
      <c r="Z564" s="111">
        <f t="shared" si="238"/>
        <v>-89.395016711082079</v>
      </c>
      <c r="AA564" s="72">
        <f t="shared" si="239"/>
        <v>90.604983288917921</v>
      </c>
      <c r="AB564" s="110">
        <f t="shared" ca="1" si="240"/>
        <v>-54.708484642992879</v>
      </c>
      <c r="AC564" s="111">
        <f t="shared" ca="1" si="241"/>
        <v>-108.53571110848904</v>
      </c>
      <c r="AD564" s="72">
        <f t="shared" ca="1" si="242"/>
        <v>71.464288891510961</v>
      </c>
    </row>
    <row r="565" spans="1:30">
      <c r="A565" s="118">
        <v>92794</v>
      </c>
      <c r="B565" s="101">
        <f t="shared" ca="1" si="216"/>
        <v>4758.5466189060244</v>
      </c>
      <c r="C565" s="102">
        <f t="shared" ca="1" si="217"/>
        <v>1.5705861785947324</v>
      </c>
      <c r="D565" s="102">
        <f t="shared" si="218"/>
        <v>2.9170579665631968</v>
      </c>
      <c r="E565" s="103">
        <f t="shared" si="219"/>
        <v>1.220888574174652</v>
      </c>
      <c r="F565" s="101">
        <f t="shared" si="220"/>
        <v>31717.479197778259</v>
      </c>
      <c r="G565" s="104">
        <f t="shared" si="221"/>
        <v>1.5707647984381212</v>
      </c>
      <c r="H565" s="113">
        <f t="shared" si="222"/>
        <v>3964.6850238651855</v>
      </c>
      <c r="I565" s="114">
        <f t="shared" si="223"/>
        <v>1.5705440999459581</v>
      </c>
      <c r="J565" s="101">
        <f t="shared" si="224"/>
        <v>93.292063143199258</v>
      </c>
      <c r="K565" s="104">
        <f t="shared" si="225"/>
        <v>1.5600770960599126</v>
      </c>
      <c r="L565" s="102">
        <f t="shared" si="226"/>
        <v>1</v>
      </c>
      <c r="M565" s="103">
        <f t="shared" si="227"/>
        <v>3.0609699578230503E-9</v>
      </c>
      <c r="N565" s="101">
        <f t="shared" si="228"/>
        <v>1</v>
      </c>
      <c r="O565" s="104">
        <f t="shared" si="229"/>
        <v>4.8975519325168798E-10</v>
      </c>
      <c r="P565" s="105">
        <f t="shared" ca="1" si="230"/>
        <v>5.3361211645325515</v>
      </c>
      <c r="Q565" s="106">
        <f t="shared" ca="1" si="231"/>
        <v>1.5447581144150098</v>
      </c>
      <c r="R565" s="107">
        <f t="shared" ca="1" si="232"/>
        <v>-64.057642820055975</v>
      </c>
      <c r="S565" s="108">
        <f t="shared" ca="1" si="233"/>
        <v>-197.94279565394038</v>
      </c>
      <c r="T565" s="116">
        <f t="shared" ca="1" si="234"/>
        <v>-17.942795653940379</v>
      </c>
      <c r="V565" s="72">
        <f t="shared" ca="1" si="235"/>
        <v>92794</v>
      </c>
      <c r="W565" s="72">
        <f t="shared" si="236"/>
        <v>8610726436</v>
      </c>
      <c r="Y565" s="110">
        <f t="shared" si="237"/>
        <v>6.6237062341677859</v>
      </c>
      <c r="Z565" s="111">
        <f t="shared" si="238"/>
        <v>-89.398478366237271</v>
      </c>
      <c r="AA565" s="72">
        <f t="shared" si="239"/>
        <v>90.601521633762729</v>
      </c>
      <c r="AB565" s="110">
        <f t="shared" ca="1" si="240"/>
        <v>-54.763748707342259</v>
      </c>
      <c r="AC565" s="111">
        <f t="shared" ca="1" si="241"/>
        <v>-108.54431728770317</v>
      </c>
      <c r="AD565" s="72">
        <f t="shared" ca="1" si="242"/>
        <v>71.455682712296834</v>
      </c>
    </row>
    <row r="566" spans="1:30">
      <c r="A566" s="118">
        <v>93325</v>
      </c>
      <c r="B566" s="101">
        <f t="shared" ca="1" si="216"/>
        <v>4785.7766999820415</v>
      </c>
      <c r="C566" s="102">
        <f t="shared" ca="1" si="217"/>
        <v>1.5705873742946095</v>
      </c>
      <c r="D566" s="102">
        <f t="shared" si="218"/>
        <v>2.9317936431097782</v>
      </c>
      <c r="E566" s="103">
        <f t="shared" si="219"/>
        <v>1.2227221295558985</v>
      </c>
      <c r="F566" s="101">
        <f t="shared" si="220"/>
        <v>31898.977801538487</v>
      </c>
      <c r="G566" s="104">
        <f t="shared" si="221"/>
        <v>1.5707649778279678</v>
      </c>
      <c r="H566" s="113">
        <f t="shared" si="222"/>
        <v>3987.3723486288663</v>
      </c>
      <c r="I566" s="114">
        <f t="shared" si="223"/>
        <v>1.5705455350646418</v>
      </c>
      <c r="J566" s="101">
        <f t="shared" si="224"/>
        <v>93.82585207262639</v>
      </c>
      <c r="K566" s="104">
        <f t="shared" si="225"/>
        <v>1.5601380816397288</v>
      </c>
      <c r="L566" s="102">
        <f t="shared" si="226"/>
        <v>1</v>
      </c>
      <c r="M566" s="103">
        <f t="shared" si="227"/>
        <v>3.0784859076431254E-9</v>
      </c>
      <c r="N566" s="101">
        <f t="shared" si="228"/>
        <v>1</v>
      </c>
      <c r="O566" s="104">
        <f t="shared" si="229"/>
        <v>4.9255774522290004E-10</v>
      </c>
      <c r="P566" s="105">
        <f t="shared" ca="1" si="230"/>
        <v>5.3663889459448058</v>
      </c>
      <c r="Q566" s="106">
        <f t="shared" ca="1" si="231"/>
        <v>1.5467472169267766</v>
      </c>
      <c r="R566" s="107">
        <f t="shared" ca="1" si="232"/>
        <v>-64.162123755674031</v>
      </c>
      <c r="S566" s="108">
        <f t="shared" ca="1" si="233"/>
        <v>-197.95519862413434</v>
      </c>
      <c r="T566" s="116">
        <f t="shared" ca="1" si="234"/>
        <v>-17.95519862413434</v>
      </c>
      <c r="V566" s="72">
        <f t="shared" ca="1" si="235"/>
        <v>93325</v>
      </c>
      <c r="W566" s="72">
        <f t="shared" si="236"/>
        <v>8709555625</v>
      </c>
      <c r="Y566" s="110">
        <f t="shared" si="237"/>
        <v>6.5741498398342983</v>
      </c>
      <c r="Z566" s="111">
        <f t="shared" si="238"/>
        <v>-89.401900633770168</v>
      </c>
      <c r="AA566" s="72">
        <f t="shared" si="239"/>
        <v>90.598099366229832</v>
      </c>
      <c r="AB566" s="110">
        <f t="shared" ca="1" si="240"/>
        <v>-54.81867324862683</v>
      </c>
      <c r="AC566" s="111">
        <f t="shared" ca="1" si="241"/>
        <v>-108.55329799036413</v>
      </c>
      <c r="AD566" s="72">
        <f t="shared" ca="1" si="242"/>
        <v>71.446702009635871</v>
      </c>
    </row>
    <row r="567" spans="1:30">
      <c r="A567" s="118">
        <v>93868.5</v>
      </c>
      <c r="B567" s="101">
        <f t="shared" ca="1" si="216"/>
        <v>4813.6477905065885</v>
      </c>
      <c r="C567" s="102">
        <f t="shared" ca="1" si="217"/>
        <v>1.5705885841326344</v>
      </c>
      <c r="D567" s="102">
        <f t="shared" si="218"/>
        <v>2.9468863086359849</v>
      </c>
      <c r="E567" s="103">
        <f t="shared" si="219"/>
        <v>1.2245798516410833</v>
      </c>
      <c r="F567" s="101">
        <f t="shared" si="220"/>
        <v>32084.748971301651</v>
      </c>
      <c r="G567" s="104">
        <f t="shared" si="221"/>
        <v>1.5707651593389487</v>
      </c>
      <c r="H567" s="113">
        <f t="shared" si="222"/>
        <v>4010.5937441345623</v>
      </c>
      <c r="I567" s="114">
        <f t="shared" si="223"/>
        <v>1.5705469871524</v>
      </c>
      <c r="J567" s="101">
        <f t="shared" si="224"/>
        <v>94.37220701206131</v>
      </c>
      <c r="K567" s="104">
        <f t="shared" si="225"/>
        <v>1.5601997884035141</v>
      </c>
      <c r="L567" s="102">
        <f t="shared" si="226"/>
        <v>1</v>
      </c>
      <c r="M567" s="103">
        <f t="shared" si="227"/>
        <v>3.0964141914985129E-9</v>
      </c>
      <c r="N567" s="101">
        <f t="shared" si="228"/>
        <v>1</v>
      </c>
      <c r="O567" s="104">
        <f t="shared" si="229"/>
        <v>4.95426270639762E-10</v>
      </c>
      <c r="P567" s="105">
        <f t="shared" ca="1" si="230"/>
        <v>5.3973896975908842</v>
      </c>
      <c r="Q567" s="106">
        <f t="shared" ca="1" si="231"/>
        <v>1.5487708498354973</v>
      </c>
      <c r="R567" s="107">
        <f t="shared" ca="1" si="232"/>
        <v>-64.26842618030291</v>
      </c>
      <c r="S567" s="108">
        <f t="shared" ca="1" si="233"/>
        <v>-197.96823667030864</v>
      </c>
      <c r="T567" s="116">
        <f t="shared" ca="1" si="234"/>
        <v>-17.968236670308642</v>
      </c>
      <c r="V567" s="72">
        <f t="shared" ca="1" si="235"/>
        <v>93868.5</v>
      </c>
      <c r="W567" s="72">
        <f t="shared" si="236"/>
        <v>8811295292.25</v>
      </c>
      <c r="Y567" s="110">
        <f t="shared" si="237"/>
        <v>6.5237179453269984</v>
      </c>
      <c r="Z567" s="111">
        <f t="shared" si="238"/>
        <v>-89.4053633713567</v>
      </c>
      <c r="AA567" s="72">
        <f t="shared" si="239"/>
        <v>90.5946366286433</v>
      </c>
      <c r="AB567" s="110">
        <f t="shared" ca="1" si="240"/>
        <v>-54.874543778748411</v>
      </c>
      <c r="AC567" s="111">
        <f t="shared" ca="1" si="241"/>
        <v>-108.56287329895196</v>
      </c>
      <c r="AD567" s="72">
        <f t="shared" ca="1" si="242"/>
        <v>71.437126701048044</v>
      </c>
    </row>
    <row r="568" spans="1:30">
      <c r="A568" s="118">
        <v>94412</v>
      </c>
      <c r="B568" s="101">
        <f t="shared" ca="1" si="216"/>
        <v>4841.5188810380996</v>
      </c>
      <c r="C568" s="102">
        <f t="shared" ca="1" si="217"/>
        <v>1.5705897800413506</v>
      </c>
      <c r="D568" s="102">
        <f t="shared" si="218"/>
        <v>2.9619890405911735</v>
      </c>
      <c r="E568" s="103">
        <f t="shared" si="219"/>
        <v>1.2264186355331994</v>
      </c>
      <c r="F568" s="101">
        <f t="shared" si="220"/>
        <v>32270.520141065859</v>
      </c>
      <c r="G568" s="104">
        <f t="shared" si="221"/>
        <v>1.5707653387601272</v>
      </c>
      <c r="H568" s="113">
        <f t="shared" si="222"/>
        <v>4033.8151396486173</v>
      </c>
      <c r="I568" s="114">
        <f t="shared" si="223"/>
        <v>1.5705484225217401</v>
      </c>
      <c r="J568" s="101">
        <f t="shared" si="224"/>
        <v>94.918562306702839</v>
      </c>
      <c r="K568" s="104">
        <f t="shared" si="225"/>
        <v>1.5602607847939987</v>
      </c>
      <c r="L568" s="102">
        <f t="shared" si="226"/>
        <v>1</v>
      </c>
      <c r="M568" s="103">
        <f t="shared" si="227"/>
        <v>3.1143424753539003E-9</v>
      </c>
      <c r="N568" s="101">
        <f t="shared" si="228"/>
        <v>1</v>
      </c>
      <c r="O568" s="104">
        <f t="shared" si="229"/>
        <v>4.9829479605662408E-10</v>
      </c>
      <c r="P568" s="105">
        <f t="shared" ca="1" si="230"/>
        <v>5.4284111168876583</v>
      </c>
      <c r="Q568" s="106">
        <f t="shared" ca="1" si="231"/>
        <v>1.5507822423236113</v>
      </c>
      <c r="R568" s="107">
        <f t="shared" ca="1" si="232"/>
        <v>-64.374091156398947</v>
      </c>
      <c r="S568" s="108">
        <f t="shared" ca="1" si="233"/>
        <v>-197.9816178092529</v>
      </c>
      <c r="T568" s="116">
        <f t="shared" ca="1" si="234"/>
        <v>-17.981617809252896</v>
      </c>
      <c r="V568" s="72">
        <f t="shared" ca="1" si="235"/>
        <v>94412</v>
      </c>
      <c r="W568" s="72">
        <f t="shared" si="236"/>
        <v>8913625744</v>
      </c>
      <c r="Y568" s="110">
        <f t="shared" si="237"/>
        <v>6.4735771457870284</v>
      </c>
      <c r="Z568" s="111">
        <f t="shared" si="238"/>
        <v>-89.408786245709095</v>
      </c>
      <c r="AA568" s="72">
        <f t="shared" si="239"/>
        <v>90.591213754290905</v>
      </c>
      <c r="AB568" s="110">
        <f t="shared" ca="1" si="240"/>
        <v>-54.930067955304473</v>
      </c>
      <c r="AC568" s="111">
        <f t="shared" ca="1" si="241"/>
        <v>-108.5728315635438</v>
      </c>
      <c r="AD568" s="72">
        <f t="shared" ca="1" si="242"/>
        <v>71.427168436456199</v>
      </c>
    </row>
    <row r="569" spans="1:30">
      <c r="A569" s="118">
        <v>94955.5</v>
      </c>
      <c r="B569" s="101">
        <f t="shared" ca="1" si="216"/>
        <v>4869.3899715764555</v>
      </c>
      <c r="C569" s="102">
        <f t="shared" ca="1" si="217"/>
        <v>1.5705909622599412</v>
      </c>
      <c r="D569" s="102">
        <f t="shared" si="218"/>
        <v>2.9771016857754304</v>
      </c>
      <c r="E569" s="103">
        <f t="shared" si="219"/>
        <v>1.2282387571099798</v>
      </c>
      <c r="F569" s="101">
        <f t="shared" si="220"/>
        <v>32456.291310831097</v>
      </c>
      <c r="G569" s="104">
        <f t="shared" si="221"/>
        <v>1.5707655161273875</v>
      </c>
      <c r="H569" s="113">
        <f t="shared" si="222"/>
        <v>4057.0365351708883</v>
      </c>
      <c r="I569" s="114">
        <f t="shared" si="223"/>
        <v>1.5705498414597372</v>
      </c>
      <c r="J569" s="101">
        <f t="shared" si="224"/>
        <v>95.464917950452318</v>
      </c>
      <c r="K569" s="104">
        <f t="shared" si="225"/>
        <v>1.5603210830073457</v>
      </c>
      <c r="L569" s="102">
        <f t="shared" si="226"/>
        <v>1</v>
      </c>
      <c r="M569" s="103">
        <f t="shared" si="227"/>
        <v>3.1322707592092878E-9</v>
      </c>
      <c r="N569" s="101">
        <f t="shared" si="228"/>
        <v>1</v>
      </c>
      <c r="O569" s="104">
        <f t="shared" si="229"/>
        <v>5.0116332147348604E-10</v>
      </c>
      <c r="P569" s="105">
        <f t="shared" ca="1" si="230"/>
        <v>5.4594531837301412</v>
      </c>
      <c r="Q569" s="106">
        <f t="shared" ca="1" si="231"/>
        <v>1.5527815882829605</v>
      </c>
      <c r="R569" s="107">
        <f t="shared" ca="1" si="232"/>
        <v>-64.479126615860807</v>
      </c>
      <c r="S569" s="108">
        <f t="shared" ca="1" si="233"/>
        <v>-197.99533804162226</v>
      </c>
      <c r="T569" s="116">
        <f t="shared" ca="1" si="234"/>
        <v>-17.995338041622261</v>
      </c>
      <c r="V569" s="72">
        <f t="shared" ca="1" si="235"/>
        <v>94955.5</v>
      </c>
      <c r="W569" s="72">
        <f t="shared" si="236"/>
        <v>9016546980.25</v>
      </c>
      <c r="Y569" s="110">
        <f t="shared" si="237"/>
        <v>6.4237241004348817</v>
      </c>
      <c r="Z569" s="111">
        <f t="shared" si="238"/>
        <v>-89.41216994122388</v>
      </c>
      <c r="AA569" s="72">
        <f t="shared" si="239"/>
        <v>90.58783005877612</v>
      </c>
      <c r="AB569" s="110">
        <f t="shared" ca="1" si="240"/>
        <v>-54.985250369414175</v>
      </c>
      <c r="AC569" s="111">
        <f t="shared" ca="1" si="241"/>
        <v>-108.58316810039835</v>
      </c>
      <c r="AD569" s="72">
        <f t="shared" ca="1" si="242"/>
        <v>71.416831899601647</v>
      </c>
    </row>
    <row r="570" spans="1:30">
      <c r="A570" s="118">
        <v>95499</v>
      </c>
      <c r="B570" s="101">
        <f t="shared" ca="1" si="216"/>
        <v>4897.2610621215408</v>
      </c>
      <c r="C570" s="102">
        <f t="shared" ca="1" si="217"/>
        <v>1.5705921310221445</v>
      </c>
      <c r="D570" s="102">
        <f t="shared" si="218"/>
        <v>2.9922240939843188</v>
      </c>
      <c r="E570" s="103">
        <f t="shared" si="219"/>
        <v>1.2300404871722279</v>
      </c>
      <c r="F570" s="101">
        <f t="shared" si="220"/>
        <v>32642.062480597342</v>
      </c>
      <c r="G570" s="104">
        <f t="shared" si="221"/>
        <v>1.5707656914757973</v>
      </c>
      <c r="H570" s="113">
        <f t="shared" si="222"/>
        <v>4080.2579307012352</v>
      </c>
      <c r="I570" s="114">
        <f t="shared" si="223"/>
        <v>1.5705512442469316</v>
      </c>
      <c r="J570" s="101">
        <f t="shared" si="224"/>
        <v>96.011273937349898</v>
      </c>
      <c r="K570" s="104">
        <f t="shared" si="225"/>
        <v>1.5603806949621273</v>
      </c>
      <c r="L570" s="102">
        <f t="shared" si="226"/>
        <v>1</v>
      </c>
      <c r="M570" s="103">
        <f t="shared" si="227"/>
        <v>3.1501990430646752E-9</v>
      </c>
      <c r="N570" s="101">
        <f t="shared" si="228"/>
        <v>1</v>
      </c>
      <c r="O570" s="104">
        <f t="shared" si="229"/>
        <v>5.0403184689034801E-10</v>
      </c>
      <c r="P570" s="105">
        <f t="shared" ca="1" si="230"/>
        <v>5.4905158801420013</v>
      </c>
      <c r="Q570" s="106">
        <f t="shared" ca="1" si="231"/>
        <v>1.5547690774165326</v>
      </c>
      <c r="R570" s="107">
        <f t="shared" ca="1" si="232"/>
        <v>-64.583540345821433</v>
      </c>
      <c r="S570" s="108">
        <f t="shared" ca="1" si="233"/>
        <v>-198.00939340306562</v>
      </c>
      <c r="T570" s="116">
        <f t="shared" ca="1" si="234"/>
        <v>-18.009393403065616</v>
      </c>
      <c r="V570" s="72">
        <f t="shared" ca="1" si="235"/>
        <v>95499</v>
      </c>
      <c r="W570" s="72">
        <f t="shared" si="236"/>
        <v>9120059001</v>
      </c>
      <c r="Y570" s="110">
        <f t="shared" si="237"/>
        <v>6.3741555256680087</v>
      </c>
      <c r="Z570" s="111">
        <f t="shared" si="238"/>
        <v>-89.415515126720393</v>
      </c>
      <c r="AA570" s="72">
        <f t="shared" si="239"/>
        <v>90.584484873279607</v>
      </c>
      <c r="AB570" s="110">
        <f t="shared" ca="1" si="240"/>
        <v>-55.040095524607935</v>
      </c>
      <c r="AC570" s="111">
        <f t="shared" ca="1" si="241"/>
        <v>-108.59387827634521</v>
      </c>
      <c r="AD570" s="72">
        <f t="shared" ca="1" si="242"/>
        <v>71.406121723654792</v>
      </c>
    </row>
    <row r="571" spans="1:30">
      <c r="A571" s="118">
        <v>96611.5</v>
      </c>
      <c r="B571" s="101">
        <f t="shared" ca="1" si="216"/>
        <v>4954.3109024942187</v>
      </c>
      <c r="C571" s="102">
        <f t="shared" ca="1" si="217"/>
        <v>1.5705944823756683</v>
      </c>
      <c r="D571" s="102">
        <f t="shared" si="218"/>
        <v>3.0232082539860685</v>
      </c>
      <c r="E571" s="103">
        <f t="shared" si="219"/>
        <v>1.2336722419779473</v>
      </c>
      <c r="F571" s="101">
        <f t="shared" si="220"/>
        <v>33022.320854776961</v>
      </c>
      <c r="G571" s="104">
        <f t="shared" si="221"/>
        <v>1.5707660442473872</v>
      </c>
      <c r="H571" s="113">
        <f t="shared" si="222"/>
        <v>4127.7902260846495</v>
      </c>
      <c r="I571" s="114">
        <f t="shared" si="223"/>
        <v>1.5705540664194875</v>
      </c>
      <c r="J571" s="101">
        <f t="shared" si="224"/>
        <v>97.129620954402952</v>
      </c>
      <c r="K571" s="104">
        <f t="shared" si="225"/>
        <v>1.5605006244405919</v>
      </c>
      <c r="L571" s="102">
        <f t="shared" si="226"/>
        <v>1</v>
      </c>
      <c r="M571" s="103">
        <f t="shared" si="227"/>
        <v>3.1868967722074879E-9</v>
      </c>
      <c r="N571" s="101">
        <f t="shared" si="228"/>
        <v>1</v>
      </c>
      <c r="O571" s="104">
        <f t="shared" si="229"/>
        <v>5.0990348355319802E-10</v>
      </c>
      <c r="P571" s="105">
        <f t="shared" ca="1" si="230"/>
        <v>5.5541629428517068</v>
      </c>
      <c r="Q571" s="106">
        <f t="shared" ca="1" si="231"/>
        <v>1.5588011071484731</v>
      </c>
      <c r="R571" s="107">
        <f t="shared" ca="1" si="232"/>
        <v>-64.795359914441363</v>
      </c>
      <c r="S571" s="108">
        <f t="shared" ca="1" si="233"/>
        <v>-198.03919215458586</v>
      </c>
      <c r="T571" s="116">
        <f t="shared" ca="1" si="234"/>
        <v>-18.039192154585862</v>
      </c>
      <c r="V571" s="72">
        <f t="shared" ca="1" si="235"/>
        <v>96611.5</v>
      </c>
      <c r="W571" s="72">
        <f t="shared" si="236"/>
        <v>9333781932.25</v>
      </c>
      <c r="Y571" s="110">
        <f t="shared" si="237"/>
        <v>6.2735662858413175</v>
      </c>
      <c r="Z571" s="111">
        <f t="shared" si="238"/>
        <v>-89.422245091663825</v>
      </c>
      <c r="AA571" s="72">
        <f t="shared" si="239"/>
        <v>90.577754908336175</v>
      </c>
      <c r="AB571" s="110">
        <f t="shared" ca="1" si="240"/>
        <v>-55.151325853401183</v>
      </c>
      <c r="AC571" s="111">
        <f t="shared" ca="1" si="241"/>
        <v>-108.61694706292201</v>
      </c>
      <c r="AD571" s="72">
        <f t="shared" ca="1" si="242"/>
        <v>71.383052937077991</v>
      </c>
    </row>
    <row r="572" spans="1:30">
      <c r="A572" s="118">
        <v>97724</v>
      </c>
      <c r="B572" s="101">
        <f t="shared" ca="1" si="216"/>
        <v>5011.3607428936648</v>
      </c>
      <c r="C572" s="102">
        <f t="shared" ca="1" si="217"/>
        <v>1.5705967801930969</v>
      </c>
      <c r="D572" s="102">
        <f t="shared" si="218"/>
        <v>3.0542314796842605</v>
      </c>
      <c r="E572" s="103">
        <f t="shared" si="219"/>
        <v>1.237230264133524</v>
      </c>
      <c r="F572" s="101">
        <f t="shared" si="220"/>
        <v>33402.579228960582</v>
      </c>
      <c r="G572" s="104">
        <f t="shared" si="221"/>
        <v>1.5707663889870018</v>
      </c>
      <c r="H572" s="113">
        <f t="shared" si="222"/>
        <v>4175.3225215001903</v>
      </c>
      <c r="I572" s="114">
        <f t="shared" si="223"/>
        <v>1.5705568243362455</v>
      </c>
      <c r="J572" s="101">
        <f t="shared" si="224"/>
        <v>98.247969336674757</v>
      </c>
      <c r="K572" s="104">
        <f t="shared" si="225"/>
        <v>1.5606178236263513</v>
      </c>
      <c r="L572" s="102">
        <f t="shared" si="226"/>
        <v>1</v>
      </c>
      <c r="M572" s="103">
        <f t="shared" si="227"/>
        <v>3.2235945013503002E-9</v>
      </c>
      <c r="N572" s="101">
        <f t="shared" si="228"/>
        <v>1</v>
      </c>
      <c r="O572" s="104">
        <f t="shared" si="229"/>
        <v>5.1577512021604802E-10</v>
      </c>
      <c r="P572" s="105">
        <f t="shared" ca="1" si="230"/>
        <v>5.6178962659381328</v>
      </c>
      <c r="Q572" s="106">
        <f t="shared" ca="1" si="231"/>
        <v>1.5627857723877205</v>
      </c>
      <c r="R572" s="107">
        <f t="shared" ca="1" si="232"/>
        <v>-65.004670188424527</v>
      </c>
      <c r="S572" s="108">
        <f t="shared" ca="1" si="233"/>
        <v>-198.07034540998964</v>
      </c>
      <c r="T572" s="116">
        <f t="shared" ca="1" si="234"/>
        <v>-18.070345409989642</v>
      </c>
      <c r="V572" s="72">
        <f t="shared" ca="1" si="235"/>
        <v>97724</v>
      </c>
      <c r="W572" s="72">
        <f t="shared" si="236"/>
        <v>9549980176</v>
      </c>
      <c r="Y572" s="110">
        <f t="shared" si="237"/>
        <v>6.1741285022354253</v>
      </c>
      <c r="Z572" s="111">
        <f t="shared" si="238"/>
        <v>-89.428821843745993</v>
      </c>
      <c r="AA572" s="72">
        <f t="shared" si="239"/>
        <v>90.571178156254007</v>
      </c>
      <c r="AB572" s="110">
        <f t="shared" ca="1" si="240"/>
        <v>-55.261198343778446</v>
      </c>
      <c r="AC572" s="111">
        <f t="shared" ca="1" si="241"/>
        <v>-108.64152356624365</v>
      </c>
      <c r="AD572" s="72">
        <f t="shared" ca="1" si="242"/>
        <v>71.358476433756351</v>
      </c>
    </row>
    <row r="573" spans="1:30">
      <c r="A573" s="118">
        <v>98862</v>
      </c>
      <c r="B573" s="101">
        <f t="shared" ca="1" si="216"/>
        <v>5069.7182425829524</v>
      </c>
      <c r="C573" s="102">
        <f t="shared" ca="1" si="217"/>
        <v>1.5705990771729974</v>
      </c>
      <c r="D573" s="102">
        <f t="shared" si="218"/>
        <v>3.0860049903536293</v>
      </c>
      <c r="E573" s="103">
        <f t="shared" si="219"/>
        <v>1.2407957796844351</v>
      </c>
      <c r="F573" s="101">
        <f t="shared" si="220"/>
        <v>33791.553637792444</v>
      </c>
      <c r="G573" s="104">
        <f t="shared" si="221"/>
        <v>1.5707667336009623</v>
      </c>
      <c r="H573" s="113">
        <f t="shared" si="222"/>
        <v>4223.9443212472543</v>
      </c>
      <c r="I573" s="114">
        <f t="shared" si="223"/>
        <v>1.5705595812477757</v>
      </c>
      <c r="J573" s="101">
        <f t="shared" si="224"/>
        <v>99.391953136225226</v>
      </c>
      <c r="K573" s="104">
        <f t="shared" si="225"/>
        <v>1.5607349803737167</v>
      </c>
      <c r="L573" s="102">
        <f t="shared" si="226"/>
        <v>1</v>
      </c>
      <c r="M573" s="103">
        <f t="shared" si="227"/>
        <v>3.2611333919251503E-9</v>
      </c>
      <c r="N573" s="101">
        <f t="shared" si="228"/>
        <v>1</v>
      </c>
      <c r="O573" s="104">
        <f t="shared" si="229"/>
        <v>5.21781342708024E-10</v>
      </c>
      <c r="P573" s="105">
        <f t="shared" ca="1" si="230"/>
        <v>5.6831796113431272</v>
      </c>
      <c r="Q573" s="106">
        <f t="shared" ca="1" si="231"/>
        <v>1.5668143031823172</v>
      </c>
      <c r="R573" s="107">
        <f t="shared" ca="1" si="232"/>
        <v>-65.2162459945244</v>
      </c>
      <c r="S573" s="108">
        <f t="shared" ca="1" si="233"/>
        <v>-198.10358020748407</v>
      </c>
      <c r="T573" s="116">
        <f t="shared" ca="1" si="234"/>
        <v>-18.103580207484072</v>
      </c>
      <c r="V573" s="72">
        <f t="shared" ca="1" si="235"/>
        <v>98862</v>
      </c>
      <c r="W573" s="72">
        <f t="shared" si="236"/>
        <v>9773695044</v>
      </c>
      <c r="Y573" s="110">
        <f t="shared" si="237"/>
        <v>6.0735756540796624</v>
      </c>
      <c r="Z573" s="111">
        <f t="shared" si="238"/>
        <v>-89.435396214642651</v>
      </c>
      <c r="AA573" s="72">
        <f t="shared" si="239"/>
        <v>90.564603785357349</v>
      </c>
      <c r="AB573" s="110">
        <f t="shared" ca="1" si="240"/>
        <v>-55.372221301722561</v>
      </c>
      <c r="AC573" s="111">
        <f t="shared" ca="1" si="241"/>
        <v>-108.66818399284143</v>
      </c>
      <c r="AD573" s="72">
        <f t="shared" ca="1" si="242"/>
        <v>71.331816007158565</v>
      </c>
    </row>
    <row r="574" spans="1:30">
      <c r="A574" s="118">
        <v>100000</v>
      </c>
      <c r="B574" s="101">
        <f t="shared" ca="1" si="216"/>
        <v>5128.0757422983797</v>
      </c>
      <c r="C574" s="102">
        <f t="shared" ca="1" si="217"/>
        <v>1.5706013218736374</v>
      </c>
      <c r="D574" s="102">
        <f t="shared" si="218"/>
        <v>3.1178169331878136</v>
      </c>
      <c r="E574" s="103">
        <f t="shared" si="219"/>
        <v>1.2442885790176574</v>
      </c>
      <c r="F574" s="101">
        <f t="shared" si="220"/>
        <v>34180.528046628213</v>
      </c>
      <c r="G574" s="104">
        <f t="shared" si="221"/>
        <v>1.5707670703715091</v>
      </c>
      <c r="H574" s="113">
        <f t="shared" si="222"/>
        <v>4272.5661210256922</v>
      </c>
      <c r="I574" s="114">
        <f t="shared" si="223"/>
        <v>1.5705622754120032</v>
      </c>
      <c r="J574" s="101">
        <f t="shared" si="224"/>
        <v>100.53593826895356</v>
      </c>
      <c r="K574" s="104">
        <f t="shared" si="225"/>
        <v>1.5608494709003859</v>
      </c>
      <c r="L574" s="102">
        <f t="shared" si="226"/>
        <v>1</v>
      </c>
      <c r="M574" s="103">
        <f t="shared" si="227"/>
        <v>3.2986722825000003E-9</v>
      </c>
      <c r="N574" s="101">
        <f t="shared" si="228"/>
        <v>1</v>
      </c>
      <c r="O574" s="104">
        <f t="shared" si="229"/>
        <v>5.2778756520000007E-10</v>
      </c>
      <c r="P574" s="105">
        <f t="shared" ca="1" si="230"/>
        <v>5.7485530878392783</v>
      </c>
      <c r="Q574" s="106" t="e">
        <f t="shared" ca="1" si="231"/>
        <v>#DIV/0!</v>
      </c>
      <c r="R574" s="107">
        <f t="shared" ca="1" si="232"/>
        <v>-65.42532390995558</v>
      </c>
      <c r="S574" s="108" t="e">
        <f t="shared" ca="1" si="233"/>
        <v>#DIV/0!</v>
      </c>
      <c r="T574" s="116" t="e">
        <f t="shared" ca="1" si="234"/>
        <v>#DIV/0!</v>
      </c>
      <c r="V574" s="72">
        <f t="shared" ca="1" si="235"/>
        <v>100000</v>
      </c>
      <c r="W574" s="72">
        <f t="shared" si="236"/>
        <v>10000000000</v>
      </c>
      <c r="Y574" s="110">
        <f t="shared" si="237"/>
        <v>5.9741734393182497</v>
      </c>
      <c r="Z574" s="111">
        <f t="shared" si="238"/>
        <v>-89.441820968107137</v>
      </c>
      <c r="AA574" s="72">
        <f t="shared" si="239"/>
        <v>90.558179031892863</v>
      </c>
      <c r="AB574" s="110">
        <f t="shared" ca="1" si="240"/>
        <v>-55.48189700239233</v>
      </c>
      <c r="AC574" s="111" t="e">
        <f t="shared" ca="1" si="241"/>
        <v>#DIV/0!</v>
      </c>
      <c r="AD574" s="72" t="e">
        <f t="shared" ca="1" si="242"/>
        <v>#DIV/0!</v>
      </c>
    </row>
    <row r="575" spans="1:30">
      <c r="A575" s="118">
        <v>101165</v>
      </c>
      <c r="B575" s="101">
        <f t="shared" ca="1" si="216"/>
        <v>5187.8178224374296</v>
      </c>
      <c r="C575" s="102">
        <f t="shared" ca="1" si="217"/>
        <v>1.5706035675191434</v>
      </c>
      <c r="D575" s="102">
        <f t="shared" si="218"/>
        <v>3.1504222361230561</v>
      </c>
      <c r="E575" s="103">
        <f t="shared" si="219"/>
        <v>1.2477911356302109</v>
      </c>
      <c r="F575" s="101">
        <f t="shared" si="220"/>
        <v>34578.731198032561</v>
      </c>
      <c r="G575" s="104">
        <f t="shared" si="221"/>
        <v>1.5707674072838129</v>
      </c>
      <c r="H575" s="113">
        <f t="shared" si="222"/>
        <v>4322.3415136246431</v>
      </c>
      <c r="I575" s="114">
        <f t="shared" si="223"/>
        <v>1.5705649707102909</v>
      </c>
      <c r="J575" s="101">
        <f t="shared" si="224"/>
        <v>101.7070667379831</v>
      </c>
      <c r="K575" s="104">
        <f t="shared" si="225"/>
        <v>1.5609640098806032</v>
      </c>
      <c r="L575" s="102">
        <f t="shared" si="226"/>
        <v>1</v>
      </c>
      <c r="M575" s="103">
        <f t="shared" si="227"/>
        <v>3.3371018145911254E-9</v>
      </c>
      <c r="N575" s="101">
        <f t="shared" si="228"/>
        <v>1</v>
      </c>
      <c r="O575" s="104">
        <f t="shared" si="229"/>
        <v>5.3393629033458001E-10</v>
      </c>
      <c r="P575" s="105">
        <f t="shared" ca="1" si="230"/>
        <v>5.8155709524129433</v>
      </c>
      <c r="Q575" s="106">
        <f t="shared" ca="1" si="231"/>
        <v>1.5748261608598351</v>
      </c>
      <c r="R575" s="107">
        <f t="shared" ca="1" si="232"/>
        <v>-65.636838697881657</v>
      </c>
      <c r="S575" s="108">
        <f t="shared" ca="1" si="233"/>
        <v>-198.17493097074532</v>
      </c>
      <c r="T575" s="116">
        <f t="shared" ca="1" si="234"/>
        <v>-18.174930970745322</v>
      </c>
      <c r="V575" s="72">
        <f t="shared" ca="1" si="235"/>
        <v>101165</v>
      </c>
      <c r="W575" s="72">
        <f t="shared" si="236"/>
        <v>10234357225</v>
      </c>
      <c r="Y575" s="110">
        <f t="shared" si="237"/>
        <v>5.8735775558858618</v>
      </c>
      <c r="Z575" s="111">
        <f t="shared" si="238"/>
        <v>-89.448248440857782</v>
      </c>
      <c r="AA575" s="72">
        <f t="shared" si="239"/>
        <v>90.551751559142218</v>
      </c>
      <c r="AB575" s="110">
        <f t="shared" ca="1" si="240"/>
        <v>-55.592815906886024</v>
      </c>
      <c r="AC575" s="111">
        <f t="shared" ca="1" si="241"/>
        <v>-108.72668252988754</v>
      </c>
      <c r="AD575" s="72">
        <f t="shared" ca="1" si="242"/>
        <v>71.27331747011246</v>
      </c>
    </row>
    <row r="576" spans="1:30">
      <c r="A576" s="118">
        <v>102330</v>
      </c>
      <c r="B576" s="101">
        <f t="shared" ca="1" si="216"/>
        <v>5247.5599026020445</v>
      </c>
      <c r="C576" s="102">
        <f t="shared" ca="1" si="217"/>
        <v>1.5706057620324902</v>
      </c>
      <c r="D576" s="102">
        <f t="shared" si="218"/>
        <v>3.1830653960657074</v>
      </c>
      <c r="E576" s="103">
        <f t="shared" si="219"/>
        <v>1.2512218943647144</v>
      </c>
      <c r="F576" s="101">
        <f t="shared" si="220"/>
        <v>34976.934349440737</v>
      </c>
      <c r="G576" s="104">
        <f t="shared" si="221"/>
        <v>1.5707677365248018</v>
      </c>
      <c r="H576" s="113">
        <f t="shared" si="222"/>
        <v>4372.1169062542795</v>
      </c>
      <c r="I576" s="114">
        <f t="shared" si="223"/>
        <v>1.5705676046380648</v>
      </c>
      <c r="J576" s="101">
        <f t="shared" si="224"/>
        <v>102.87819651094708</v>
      </c>
      <c r="K576" s="104">
        <f t="shared" si="225"/>
        <v>1.5610759411180657</v>
      </c>
      <c r="L576" s="102">
        <f t="shared" si="226"/>
        <v>1</v>
      </c>
      <c r="M576" s="103">
        <f t="shared" si="227"/>
        <v>3.3755313466822504E-9</v>
      </c>
      <c r="N576" s="101">
        <f t="shared" si="228"/>
        <v>1</v>
      </c>
      <c r="O576" s="104">
        <f t="shared" si="229"/>
        <v>5.4008501546916006E-10</v>
      </c>
      <c r="P576" s="105">
        <f t="shared" ca="1" si="230"/>
        <v>5.8826832756375467</v>
      </c>
      <c r="Q576" s="106">
        <f t="shared" ca="1" si="231"/>
        <v>1.578810253842247</v>
      </c>
      <c r="R576" s="107">
        <f t="shared" ca="1" si="232"/>
        <v>-65.845862938963336</v>
      </c>
      <c r="S576" s="108">
        <f t="shared" ca="1" si="233"/>
        <v>-198.21304156103375</v>
      </c>
      <c r="T576" s="116">
        <f t="shared" ca="1" si="234"/>
        <v>-18.213041561033748</v>
      </c>
      <c r="V576" s="72">
        <f t="shared" ca="1" si="235"/>
        <v>102330</v>
      </c>
      <c r="W576" s="72">
        <f t="shared" si="236"/>
        <v>10471428900</v>
      </c>
      <c r="Y576" s="110">
        <f t="shared" si="237"/>
        <v>5.7741332905267519</v>
      </c>
      <c r="Z576" s="111">
        <f t="shared" si="238"/>
        <v>-89.454529577691773</v>
      </c>
      <c r="AA576" s="72">
        <f t="shared" si="239"/>
        <v>90.545470422308227</v>
      </c>
      <c r="AB576" s="110">
        <f t="shared" ca="1" si="240"/>
        <v>-55.70239588260857</v>
      </c>
      <c r="AC576" s="111">
        <f t="shared" ca="1" si="241"/>
        <v>-108.75851198334199</v>
      </c>
      <c r="AD576" s="72">
        <f t="shared" ca="1" si="242"/>
        <v>71.24148801665801</v>
      </c>
    </row>
    <row r="577" spans="1:30">
      <c r="A577" s="118">
        <v>103520</v>
      </c>
      <c r="B577" s="101">
        <f t="shared" ca="1" si="216"/>
        <v>5308.5840016798102</v>
      </c>
      <c r="C577" s="102">
        <f t="shared" ca="1" si="217"/>
        <v>1.5706079526435979</v>
      </c>
      <c r="D577" s="102">
        <f t="shared" si="218"/>
        <v>3.2164469388015666</v>
      </c>
      <c r="E577" s="103">
        <f t="shared" si="219"/>
        <v>1.2546543393675267</v>
      </c>
      <c r="F577" s="101">
        <f t="shared" si="220"/>
        <v>35383.682632857206</v>
      </c>
      <c r="G577" s="104">
        <f t="shared" si="221"/>
        <v>1.5707680651803408</v>
      </c>
      <c r="H577" s="113">
        <f t="shared" si="222"/>
        <v>4422.9604403872572</v>
      </c>
      <c r="I577" s="114">
        <f t="shared" si="223"/>
        <v>1.5705702338822429</v>
      </c>
      <c r="J577" s="101">
        <f t="shared" si="224"/>
        <v>104.07445912453932</v>
      </c>
      <c r="K577" s="104">
        <f t="shared" si="225"/>
        <v>1.5611876735645021</v>
      </c>
      <c r="L577" s="102">
        <f t="shared" si="226"/>
        <v>1</v>
      </c>
      <c r="M577" s="103">
        <f t="shared" si="227"/>
        <v>3.4147855468440005E-9</v>
      </c>
      <c r="N577" s="101">
        <f t="shared" si="228"/>
        <v>1</v>
      </c>
      <c r="O577" s="104">
        <f t="shared" si="229"/>
        <v>5.4636568749504004E-10</v>
      </c>
      <c r="P577" s="105">
        <f t="shared" ca="1" si="230"/>
        <v>5.9513333488101683</v>
      </c>
      <c r="Q577" s="106">
        <f t="shared" ca="1" si="231"/>
        <v>1.5828340948053576</v>
      </c>
      <c r="R577" s="107">
        <f t="shared" ca="1" si="232"/>
        <v>-66.056864734254916</v>
      </c>
      <c r="S577" s="108">
        <f t="shared" ca="1" si="233"/>
        <v>-198.2533215481038</v>
      </c>
      <c r="T577" s="116">
        <f t="shared" ca="1" si="234"/>
        <v>-18.253321548103798</v>
      </c>
      <c r="V577" s="72">
        <f t="shared" ca="1" si="235"/>
        <v>103520</v>
      </c>
      <c r="W577" s="72">
        <f t="shared" si="236"/>
        <v>10716390400</v>
      </c>
      <c r="Y577" s="110">
        <f t="shared" si="237"/>
        <v>5.6737168811298089</v>
      </c>
      <c r="Z577" s="111">
        <f t="shared" si="238"/>
        <v>-89.460799559405743</v>
      </c>
      <c r="AA577" s="72">
        <f t="shared" si="239"/>
        <v>90.539200440594257</v>
      </c>
      <c r="AB577" s="110">
        <f t="shared" ca="1" si="240"/>
        <v>-55.812981268503215</v>
      </c>
      <c r="AC577" s="111">
        <f t="shared" ca="1" si="241"/>
        <v>-108.79252198869804</v>
      </c>
      <c r="AD577" s="72">
        <f t="shared" ca="1" si="242"/>
        <v>71.207478011301959</v>
      </c>
    </row>
    <row r="578" spans="1:30">
      <c r="A578" s="118">
        <v>104710</v>
      </c>
      <c r="B578" s="101">
        <f t="shared" ca="1" si="216"/>
        <v>5369.6081007824723</v>
      </c>
      <c r="C578" s="102">
        <f t="shared" ca="1" si="217"/>
        <v>1.5706100934633367</v>
      </c>
      <c r="D578" s="102">
        <f t="shared" si="218"/>
        <v>3.249865597931783</v>
      </c>
      <c r="E578" s="103">
        <f t="shared" si="219"/>
        <v>1.2580162310243408</v>
      </c>
      <c r="F578" s="101">
        <f t="shared" si="220"/>
        <v>35790.430916277423</v>
      </c>
      <c r="G578" s="104">
        <f t="shared" si="221"/>
        <v>1.5707683863657225</v>
      </c>
      <c r="H578" s="113">
        <f t="shared" si="222"/>
        <v>4473.8039745501155</v>
      </c>
      <c r="I578" s="114">
        <f t="shared" si="223"/>
        <v>1.5705728033651676</v>
      </c>
      <c r="J578" s="101">
        <f t="shared" si="224"/>
        <v>105.27072300788241</v>
      </c>
      <c r="K578" s="104">
        <f t="shared" si="225"/>
        <v>1.5612968666264631</v>
      </c>
      <c r="L578" s="102">
        <f t="shared" si="226"/>
        <v>1</v>
      </c>
      <c r="M578" s="103">
        <f t="shared" si="227"/>
        <v>3.4540397470057502E-9</v>
      </c>
      <c r="N578" s="101">
        <f t="shared" si="228"/>
        <v>1</v>
      </c>
      <c r="O578" s="104">
        <f t="shared" si="229"/>
        <v>5.5264635952092001E-10</v>
      </c>
      <c r="P578" s="105">
        <f t="shared" ca="1" si="230"/>
        <v>6.0200821126311288</v>
      </c>
      <c r="Q578" s="106">
        <f t="shared" ca="1" si="231"/>
        <v>1.5868131403237065</v>
      </c>
      <c r="R578" s="107">
        <f t="shared" ca="1" si="232"/>
        <v>-66.26539410188235</v>
      </c>
      <c r="S578" s="108">
        <f t="shared" ca="1" si="233"/>
        <v>-198.29493200141616</v>
      </c>
      <c r="T578" s="116">
        <f t="shared" ca="1" si="234"/>
        <v>-18.294932001416157</v>
      </c>
      <c r="V578" s="72">
        <f t="shared" ca="1" si="235"/>
        <v>104710</v>
      </c>
      <c r="W578" s="72">
        <f t="shared" si="236"/>
        <v>10964184100</v>
      </c>
      <c r="Y578" s="110">
        <f t="shared" si="237"/>
        <v>5.5744480125722928</v>
      </c>
      <c r="Z578" s="111">
        <f t="shared" si="238"/>
        <v>-89.466927041165675</v>
      </c>
      <c r="AA578" s="72">
        <f t="shared" si="239"/>
        <v>90.533072958834325</v>
      </c>
      <c r="AB578" s="110">
        <f t="shared" ca="1" si="240"/>
        <v>-55.922241767573126</v>
      </c>
      <c r="AC578" s="111">
        <f t="shared" ca="1" si="241"/>
        <v>-108.82800496025045</v>
      </c>
      <c r="AD578" s="72">
        <f t="shared" ca="1" si="242"/>
        <v>71.171995039749547</v>
      </c>
    </row>
    <row r="579" spans="1:30">
      <c r="A579" s="118">
        <v>105930</v>
      </c>
      <c r="B579" s="101">
        <f t="shared" ca="1" si="216"/>
        <v>5432.1706225765547</v>
      </c>
      <c r="C579" s="102">
        <f t="shared" ca="1" si="217"/>
        <v>1.5706122383199337</v>
      </c>
      <c r="D579" s="102">
        <f t="shared" si="218"/>
        <v>3.2841640898621778</v>
      </c>
      <c r="E579" s="103">
        <f t="shared" si="219"/>
        <v>1.2613918089064908</v>
      </c>
      <c r="F579" s="101">
        <f t="shared" si="220"/>
        <v>36207.433358106922</v>
      </c>
      <c r="G579" s="104">
        <f t="shared" si="221"/>
        <v>1.5707687081567503</v>
      </c>
      <c r="H579" s="113">
        <f t="shared" si="222"/>
        <v>4525.9292785117523</v>
      </c>
      <c r="I579" s="114">
        <f t="shared" si="223"/>
        <v>1.5705753776932647</v>
      </c>
      <c r="J579" s="101">
        <f t="shared" si="224"/>
        <v>106.49714607762751</v>
      </c>
      <c r="K579" s="104">
        <f t="shared" si="225"/>
        <v>1.5614062658165198</v>
      </c>
      <c r="L579" s="102">
        <f t="shared" si="226"/>
        <v>1</v>
      </c>
      <c r="M579" s="103">
        <f t="shared" si="227"/>
        <v>3.4942835488522505E-9</v>
      </c>
      <c r="N579" s="101">
        <f t="shared" si="228"/>
        <v>1</v>
      </c>
      <c r="O579" s="104">
        <f t="shared" si="229"/>
        <v>5.5908536781636006E-10</v>
      </c>
      <c r="P579" s="105">
        <f t="shared" ca="1" si="230"/>
        <v>6.0906666130254852</v>
      </c>
      <c r="Q579" s="106">
        <f t="shared" ca="1" si="231"/>
        <v>1.5908474444985981</v>
      </c>
      <c r="R579" s="107">
        <f t="shared" ca="1" si="232"/>
        <v>-66.4766769472091</v>
      </c>
      <c r="S579" s="108">
        <f t="shared" ca="1" si="233"/>
        <v>-198.33893617819371</v>
      </c>
      <c r="T579" s="116">
        <f t="shared" ca="1" si="234"/>
        <v>-18.338936178193705</v>
      </c>
      <c r="V579" s="72">
        <f t="shared" ca="1" si="235"/>
        <v>105930</v>
      </c>
      <c r="W579" s="72">
        <f t="shared" si="236"/>
        <v>11221164900</v>
      </c>
      <c r="Y579" s="110">
        <f t="shared" si="237"/>
        <v>5.4738407288062003</v>
      </c>
      <c r="Z579" s="111">
        <f t="shared" si="238"/>
        <v>-89.473066090240962</v>
      </c>
      <c r="AA579" s="72">
        <f t="shared" si="239"/>
        <v>90.526933909759038</v>
      </c>
      <c r="AB579" s="110">
        <f t="shared" ca="1" si="240"/>
        <v>-56.032917329133802</v>
      </c>
      <c r="AC579" s="111">
        <f t="shared" ca="1" si="241"/>
        <v>-108.86587008795279</v>
      </c>
      <c r="AD579" s="72">
        <f t="shared" ca="1" si="242"/>
        <v>71.134129912047214</v>
      </c>
    </row>
    <row r="580" spans="1:30">
      <c r="A580" s="118">
        <v>107150</v>
      </c>
      <c r="B580" s="101">
        <f t="shared" ca="1" si="216"/>
        <v>5494.7331443950579</v>
      </c>
      <c r="C580" s="102">
        <f t="shared" ca="1" si="217"/>
        <v>1.5706143343342545</v>
      </c>
      <c r="D580" s="102">
        <f t="shared" si="218"/>
        <v>3.3184992294971924</v>
      </c>
      <c r="E580" s="103">
        <f t="shared" si="219"/>
        <v>1.2646975723919789</v>
      </c>
      <c r="F580" s="101">
        <f t="shared" si="220"/>
        <v>36624.435799940096</v>
      </c>
      <c r="G580" s="104">
        <f t="shared" si="221"/>
        <v>1.5707690226200122</v>
      </c>
      <c r="H580" s="113">
        <f t="shared" si="222"/>
        <v>4578.0545825026993</v>
      </c>
      <c r="I580" s="114">
        <f t="shared" si="223"/>
        <v>1.5705778933992411</v>
      </c>
      <c r="J580" s="101">
        <f t="shared" si="224"/>
        <v>107.723570392928</v>
      </c>
      <c r="K580" s="104">
        <f t="shared" si="225"/>
        <v>1.561513174005607</v>
      </c>
      <c r="L580" s="102">
        <f t="shared" si="226"/>
        <v>1</v>
      </c>
      <c r="M580" s="103">
        <f t="shared" si="227"/>
        <v>3.5345273506987503E-9</v>
      </c>
      <c r="N580" s="101">
        <f t="shared" si="228"/>
        <v>1</v>
      </c>
      <c r="O580" s="104">
        <f t="shared" si="229"/>
        <v>5.6552437611179999E-10</v>
      </c>
      <c r="P580" s="105">
        <f t="shared" ca="1" si="230"/>
        <v>6.1613551192681948</v>
      </c>
      <c r="Q580" s="106">
        <f t="shared" ca="1" si="231"/>
        <v>1.5948375508047103</v>
      </c>
      <c r="R580" s="107">
        <f t="shared" ca="1" si="232"/>
        <v>-66.685487195301704</v>
      </c>
      <c r="S580" s="108">
        <f t="shared" ca="1" si="233"/>
        <v>-198.38426549055777</v>
      </c>
      <c r="T580" s="116">
        <f t="shared" ca="1" si="234"/>
        <v>-18.384265490557766</v>
      </c>
      <c r="V580" s="72">
        <f t="shared" ca="1" si="235"/>
        <v>107150</v>
      </c>
      <c r="W580" s="72">
        <f t="shared" si="236"/>
        <v>11481122500</v>
      </c>
      <c r="Y580" s="110">
        <f t="shared" si="237"/>
        <v>5.3743853323361765</v>
      </c>
      <c r="Z580" s="111">
        <f t="shared" si="238"/>
        <v>-89.479065354423795</v>
      </c>
      <c r="AA580" s="72">
        <f t="shared" si="239"/>
        <v>90.520934645576205</v>
      </c>
      <c r="AB580" s="110">
        <f t="shared" ca="1" si="240"/>
        <v>-56.142272180756372</v>
      </c>
      <c r="AC580" s="111">
        <f t="shared" ca="1" si="241"/>
        <v>-108.90520013613396</v>
      </c>
      <c r="AD580" s="72">
        <f t="shared" ca="1" si="242"/>
        <v>71.094799863866044</v>
      </c>
    </row>
    <row r="581" spans="1:30">
      <c r="A581" s="118">
        <v>108400</v>
      </c>
      <c r="B581" s="101">
        <f t="shared" ca="1" si="216"/>
        <v>5558.8340889056954</v>
      </c>
      <c r="C581" s="102">
        <f t="shared" ca="1" si="217"/>
        <v>1.570616432955757</v>
      </c>
      <c r="D581" s="102">
        <f t="shared" si="218"/>
        <v>3.353715509362921</v>
      </c>
      <c r="E581" s="103">
        <f t="shared" si="219"/>
        <v>1.2680143823961663</v>
      </c>
      <c r="F581" s="101">
        <f t="shared" si="220"/>
        <v>37051.692400182663</v>
      </c>
      <c r="G581" s="104">
        <f t="shared" si="221"/>
        <v>1.5707693374744272</v>
      </c>
      <c r="H581" s="113">
        <f t="shared" si="222"/>
        <v>4631.4616562932806</v>
      </c>
      <c r="I581" s="114">
        <f t="shared" si="223"/>
        <v>1.5705804122344444</v>
      </c>
      <c r="J581" s="101">
        <f t="shared" si="224"/>
        <v>108.98015393109711</v>
      </c>
      <c r="K581" s="104">
        <f t="shared" si="225"/>
        <v>1.5616202153877359</v>
      </c>
      <c r="L581" s="102">
        <f t="shared" si="226"/>
        <v>1</v>
      </c>
      <c r="M581" s="103">
        <f t="shared" si="227"/>
        <v>3.5757607542300005E-9</v>
      </c>
      <c r="N581" s="101">
        <f t="shared" si="228"/>
        <v>1</v>
      </c>
      <c r="O581" s="104">
        <f t="shared" si="229"/>
        <v>5.721217206768E-10</v>
      </c>
      <c r="P581" s="105">
        <f t="shared" ca="1" si="230"/>
        <v>6.233889935730093</v>
      </c>
      <c r="Q581" s="106">
        <f t="shared" ca="1" si="231"/>
        <v>1.5988813615087563</v>
      </c>
      <c r="R581" s="107">
        <f t="shared" ca="1" si="232"/>
        <v>-66.896930714166302</v>
      </c>
      <c r="S581" s="108">
        <f t="shared" ca="1" si="233"/>
        <v>-198.43204654321966</v>
      </c>
      <c r="T581" s="116">
        <f t="shared" ca="1" si="234"/>
        <v>-18.432046543219656</v>
      </c>
      <c r="V581" s="72">
        <f t="shared" ca="1" si="235"/>
        <v>108400</v>
      </c>
      <c r="W581" s="72">
        <f t="shared" si="236"/>
        <v>11750560000</v>
      </c>
      <c r="Y581" s="110">
        <f t="shared" si="237"/>
        <v>5.2736517726593313</v>
      </c>
      <c r="Z581" s="111">
        <f t="shared" si="238"/>
        <v>-89.485072093078116</v>
      </c>
      <c r="AA581" s="72">
        <f t="shared" si="239"/>
        <v>90.514927906921884</v>
      </c>
      <c r="AB581" s="110">
        <f t="shared" ca="1" si="240"/>
        <v>-56.25298213994413</v>
      </c>
      <c r="AC581" s="111">
        <f t="shared" ca="1" si="241"/>
        <v>-108.94697445014154</v>
      </c>
      <c r="AD581" s="72">
        <f t="shared" ca="1" si="242"/>
        <v>71.053025549858461</v>
      </c>
    </row>
    <row r="582" spans="1:30">
      <c r="A582" s="118">
        <v>109650</v>
      </c>
      <c r="B582" s="101">
        <f t="shared" ca="1" si="216"/>
        <v>5622.9350334402579</v>
      </c>
      <c r="C582" s="102">
        <f t="shared" ca="1" si="217"/>
        <v>1.5706184837290735</v>
      </c>
      <c r="D582" s="102">
        <f t="shared" si="218"/>
        <v>3.3889679172010991</v>
      </c>
      <c r="E582" s="103">
        <f t="shared" si="219"/>
        <v>1.2712622238870381</v>
      </c>
      <c r="F582" s="101">
        <f t="shared" si="220"/>
        <v>37478.949000428831</v>
      </c>
      <c r="G582" s="104">
        <f t="shared" si="221"/>
        <v>1.5707696451502191</v>
      </c>
      <c r="H582" s="113">
        <f t="shared" si="222"/>
        <v>4684.8687301125783</v>
      </c>
      <c r="I582" s="114">
        <f t="shared" si="223"/>
        <v>1.5705828736406671</v>
      </c>
      <c r="J582" s="101">
        <f t="shared" si="224"/>
        <v>110.236738689478</v>
      </c>
      <c r="K582" s="104">
        <f t="shared" si="225"/>
        <v>1.5617248164490407</v>
      </c>
      <c r="L582" s="102">
        <f t="shared" si="226"/>
        <v>1</v>
      </c>
      <c r="M582" s="103">
        <f t="shared" si="227"/>
        <v>3.6169941577612504E-9</v>
      </c>
      <c r="N582" s="101">
        <f t="shared" si="228"/>
        <v>1</v>
      </c>
      <c r="O582" s="104">
        <f t="shared" si="229"/>
        <v>5.787190652418E-10</v>
      </c>
      <c r="P582" s="105">
        <f t="shared" ca="1" si="230"/>
        <v>6.3065343626078247</v>
      </c>
      <c r="Q582" s="106">
        <f t="shared" ca="1" si="231"/>
        <v>1.6028816140203952</v>
      </c>
      <c r="R582" s="107">
        <f t="shared" ca="1" si="232"/>
        <v>-67.105904539354938</v>
      </c>
      <c r="S582" s="108">
        <f t="shared" ca="1" si="233"/>
        <v>-198.48114381757756</v>
      </c>
      <c r="T582" s="116">
        <f t="shared" ca="1" si="234"/>
        <v>-18.481143817577561</v>
      </c>
      <c r="V582" s="72">
        <f t="shared" ca="1" si="235"/>
        <v>109650</v>
      </c>
      <c r="W582" s="72">
        <f t="shared" si="236"/>
        <v>12023122500</v>
      </c>
      <c r="Y582" s="110">
        <f t="shared" si="237"/>
        <v>5.1740729816160203</v>
      </c>
      <c r="Z582" s="111">
        <f t="shared" si="238"/>
        <v>-89.490941890781755</v>
      </c>
      <c r="AA582" s="72">
        <f t="shared" si="239"/>
        <v>90.509058109218245</v>
      </c>
      <c r="AB582" s="110">
        <f t="shared" ca="1" si="240"/>
        <v>-56.36237717408946</v>
      </c>
      <c r="AC582" s="111">
        <f t="shared" ca="1" si="241"/>
        <v>-108.99020192679578</v>
      </c>
      <c r="AD582" s="72">
        <f t="shared" ca="1" si="242"/>
        <v>71.009798073204223</v>
      </c>
    </row>
    <row r="583" spans="1:30">
      <c r="A583" s="118">
        <v>110925</v>
      </c>
      <c r="B583" s="101">
        <f t="shared" ca="1" si="216"/>
        <v>5688.3179968893191</v>
      </c>
      <c r="C583" s="102">
        <f t="shared" ca="1" si="217"/>
        <v>1.5706205279022014</v>
      </c>
      <c r="D583" s="102">
        <f t="shared" si="218"/>
        <v>3.4249614353026008</v>
      </c>
      <c r="E583" s="103">
        <f t="shared" si="219"/>
        <v>1.2745061094810237</v>
      </c>
      <c r="F583" s="101">
        <f t="shared" si="220"/>
        <v>37914.750732683482</v>
      </c>
      <c r="G583" s="104">
        <f t="shared" si="221"/>
        <v>1.5707699518357898</v>
      </c>
      <c r="H583" s="113">
        <f t="shared" si="222"/>
        <v>4739.3439454368363</v>
      </c>
      <c r="I583" s="114">
        <f t="shared" si="223"/>
        <v>1.5705853271251253</v>
      </c>
      <c r="J583" s="101">
        <f t="shared" si="224"/>
        <v>111.51845635731185</v>
      </c>
      <c r="K583" s="104">
        <f t="shared" si="225"/>
        <v>1.5618290810608126</v>
      </c>
      <c r="L583" s="102">
        <f t="shared" si="226"/>
        <v>1</v>
      </c>
      <c r="M583" s="103">
        <f t="shared" si="227"/>
        <v>3.6590522293631254E-9</v>
      </c>
      <c r="N583" s="101">
        <f t="shared" si="228"/>
        <v>1</v>
      </c>
      <c r="O583" s="104">
        <f t="shared" si="229"/>
        <v>5.8544835669810005E-10</v>
      </c>
      <c r="P583" s="105">
        <f t="shared" ca="1" si="230"/>
        <v>6.3807448694924336</v>
      </c>
      <c r="Q583" s="106">
        <f t="shared" ca="1" si="231"/>
        <v>1.6069183920138388</v>
      </c>
      <c r="R583" s="107">
        <f t="shared" ca="1" si="232"/>
        <v>-67.316576131947386</v>
      </c>
      <c r="S583" s="108">
        <f t="shared" ca="1" si="233"/>
        <v>-198.53254124589321</v>
      </c>
      <c r="T583" s="116">
        <f t="shared" ca="1" si="234"/>
        <v>-18.532541245893213</v>
      </c>
      <c r="V583" s="72">
        <f t="shared" ca="1" si="235"/>
        <v>110925</v>
      </c>
      <c r="W583" s="72">
        <f t="shared" si="236"/>
        <v>12304355625</v>
      </c>
      <c r="Y583" s="110">
        <f t="shared" si="237"/>
        <v>5.073665118112042</v>
      </c>
      <c r="Z583" s="111">
        <f t="shared" si="238"/>
        <v>-89.49679280845568</v>
      </c>
      <c r="AA583" s="72">
        <f t="shared" si="239"/>
        <v>90.50320719154432</v>
      </c>
      <c r="AB583" s="110">
        <f t="shared" ca="1" si="240"/>
        <v>-56.472640903177918</v>
      </c>
      <c r="AC583" s="111">
        <f t="shared" ca="1" si="241"/>
        <v>-109.0357484374376</v>
      </c>
      <c r="AD583" s="72">
        <f t="shared" ca="1" si="242"/>
        <v>70.964251562562396</v>
      </c>
    </row>
    <row r="584" spans="1:30">
      <c r="A584" s="118">
        <v>112200</v>
      </c>
      <c r="B584" s="101">
        <f t="shared" ca="1" si="216"/>
        <v>5753.7009603616098</v>
      </c>
      <c r="C584" s="102">
        <f t="shared" ca="1" si="217"/>
        <v>1.5706225256168507</v>
      </c>
      <c r="D584" s="102">
        <f t="shared" si="218"/>
        <v>3.4609902437292326</v>
      </c>
      <c r="E584" s="103">
        <f t="shared" si="219"/>
        <v>1.2776824904115733</v>
      </c>
      <c r="F584" s="101">
        <f t="shared" si="220"/>
        <v>38350.552464941626</v>
      </c>
      <c r="G584" s="104">
        <f t="shared" si="221"/>
        <v>1.5707702515512341</v>
      </c>
      <c r="H584" s="113">
        <f t="shared" si="222"/>
        <v>4793.8191607889739</v>
      </c>
      <c r="I584" s="114">
        <f t="shared" si="223"/>
        <v>1.5705877248485753</v>
      </c>
      <c r="J584" s="101">
        <f t="shared" si="224"/>
        <v>112.80017520992429</v>
      </c>
      <c r="K584" s="104">
        <f t="shared" si="225"/>
        <v>1.5619309762107105</v>
      </c>
      <c r="L584" s="102">
        <f t="shared" si="226"/>
        <v>1</v>
      </c>
      <c r="M584" s="103">
        <f t="shared" si="227"/>
        <v>3.7011103009650004E-9</v>
      </c>
      <c r="N584" s="101">
        <f t="shared" si="228"/>
        <v>1</v>
      </c>
      <c r="O584" s="104">
        <f t="shared" si="229"/>
        <v>5.9217764815439999E-10</v>
      </c>
      <c r="P584" s="105">
        <f t="shared" ca="1" si="230"/>
        <v>6.4550699936918159</v>
      </c>
      <c r="Q584" s="106">
        <f t="shared" ca="1" si="231"/>
        <v>1.6109126153886204</v>
      </c>
      <c r="R584" s="107">
        <f t="shared" ca="1" si="232"/>
        <v>-67.524802753325815</v>
      </c>
      <c r="S584" s="108">
        <f t="shared" ca="1" si="233"/>
        <v>-198.58523257994642</v>
      </c>
      <c r="T584" s="116">
        <f t="shared" ca="1" si="234"/>
        <v>-18.585232579946421</v>
      </c>
      <c r="V584" s="72">
        <f t="shared" ca="1" si="235"/>
        <v>112200</v>
      </c>
      <c r="W584" s="72">
        <f t="shared" si="236"/>
        <v>12588840000</v>
      </c>
      <c r="Y584" s="110">
        <f t="shared" si="237"/>
        <v>4.9744046147589813</v>
      </c>
      <c r="Z584" s="111">
        <f t="shared" si="238"/>
        <v>-89.502510761475889</v>
      </c>
      <c r="AA584" s="72">
        <f t="shared" si="239"/>
        <v>90.497489238524111</v>
      </c>
      <c r="AB584" s="110">
        <f t="shared" ca="1" si="240"/>
        <v>-56.581607021203297</v>
      </c>
      <c r="AC584" s="111">
        <f t="shared" ca="1" si="241"/>
        <v>-109.0827218184705</v>
      </c>
      <c r="AD584" s="72">
        <f t="shared" ca="1" si="242"/>
        <v>70.917278181529497</v>
      </c>
    </row>
    <row r="585" spans="1:30">
      <c r="A585" s="118">
        <v>113510</v>
      </c>
      <c r="B585" s="101">
        <f t="shared" ca="1" si="216"/>
        <v>5820.878750305531</v>
      </c>
      <c r="C585" s="102">
        <f t="shared" ca="1" si="217"/>
        <v>1.5706245314272529</v>
      </c>
      <c r="D585" s="102">
        <f t="shared" si="218"/>
        <v>3.4980436888714901</v>
      </c>
      <c r="E585" s="103">
        <f t="shared" si="219"/>
        <v>1.2808778825043021</v>
      </c>
      <c r="F585" s="101">
        <f t="shared" si="220"/>
        <v>38798.317382010362</v>
      </c>
      <c r="G585" s="104">
        <f t="shared" si="221"/>
        <v>1.5707705524812772</v>
      </c>
      <c r="H585" s="113">
        <f t="shared" si="222"/>
        <v>4849.7897742376535</v>
      </c>
      <c r="I585" s="114">
        <f t="shared" si="223"/>
        <v>1.5705901322888176</v>
      </c>
      <c r="J585" s="101">
        <f t="shared" si="224"/>
        <v>114.11707969367781</v>
      </c>
      <c r="K585" s="104">
        <f t="shared" si="225"/>
        <v>1.5620332844765681</v>
      </c>
      <c r="L585" s="102">
        <f t="shared" si="226"/>
        <v>1</v>
      </c>
      <c r="M585" s="103">
        <f t="shared" si="227"/>
        <v>3.7443229078657504E-9</v>
      </c>
      <c r="N585" s="101">
        <f t="shared" si="228"/>
        <v>1</v>
      </c>
      <c r="O585" s="104">
        <f t="shared" si="229"/>
        <v>5.9909166525852002E-10</v>
      </c>
      <c r="P585" s="105">
        <f t="shared" ca="1" si="230"/>
        <v>6.5315551483549852</v>
      </c>
      <c r="Q585" s="106">
        <f t="shared" ca="1" si="231"/>
        <v>1.6149735326615029</v>
      </c>
      <c r="R585" s="107">
        <f t="shared" ca="1" si="232"/>
        <v>-67.73626135360783</v>
      </c>
      <c r="S585" s="108">
        <f t="shared" ca="1" si="233"/>
        <v>-198.64067957998463</v>
      </c>
      <c r="T585" s="116">
        <f t="shared" ca="1" si="234"/>
        <v>-18.640679579984635</v>
      </c>
      <c r="V585" s="72">
        <f t="shared" ca="1" si="235"/>
        <v>113510</v>
      </c>
      <c r="W585" s="72">
        <f t="shared" si="236"/>
        <v>12884520100</v>
      </c>
      <c r="Y585" s="110">
        <f t="shared" si="237"/>
        <v>4.8735871082359177</v>
      </c>
      <c r="Z585" s="111">
        <f t="shared" si="238"/>
        <v>-89.508251897101715</v>
      </c>
      <c r="AA585" s="72">
        <f t="shared" si="239"/>
        <v>90.491748102898285</v>
      </c>
      <c r="AB585" s="110">
        <f t="shared" ca="1" si="240"/>
        <v>-56.69224811496224</v>
      </c>
      <c r="AC585" s="111">
        <f t="shared" ca="1" si="241"/>
        <v>-109.13242768288295</v>
      </c>
      <c r="AD585" s="72">
        <f t="shared" ca="1" si="242"/>
        <v>70.867572317117052</v>
      </c>
    </row>
    <row r="586" spans="1:30">
      <c r="A586" s="118">
        <v>114820</v>
      </c>
      <c r="B586" s="101">
        <f t="shared" ca="1" si="216"/>
        <v>5888.0565402723378</v>
      </c>
      <c r="C586" s="102">
        <f t="shared" ca="1" si="217"/>
        <v>1.5706264914684238</v>
      </c>
      <c r="D586" s="102">
        <f t="shared" si="218"/>
        <v>3.5351321019537068</v>
      </c>
      <c r="E586" s="103">
        <f t="shared" si="219"/>
        <v>1.284006257840139</v>
      </c>
      <c r="F586" s="101">
        <f t="shared" si="220"/>
        <v>39246.082299082533</v>
      </c>
      <c r="G586" s="104">
        <f t="shared" si="221"/>
        <v>1.5707708465446009</v>
      </c>
      <c r="H586" s="113">
        <f t="shared" si="222"/>
        <v>4905.7603877138008</v>
      </c>
      <c r="I586" s="114">
        <f t="shared" si="223"/>
        <v>1.5705924847953099</v>
      </c>
      <c r="J586" s="101">
        <f t="shared" si="224"/>
        <v>115.43398534463911</v>
      </c>
      <c r="K586" s="104">
        <f t="shared" si="225"/>
        <v>1.562133258416468</v>
      </c>
      <c r="L586" s="102">
        <f t="shared" si="226"/>
        <v>1</v>
      </c>
      <c r="M586" s="103">
        <f t="shared" si="227"/>
        <v>3.7875355147665005E-9</v>
      </c>
      <c r="N586" s="101">
        <f t="shared" si="228"/>
        <v>1</v>
      </c>
      <c r="O586" s="104">
        <f t="shared" si="229"/>
        <v>6.0600568236264005E-10</v>
      </c>
      <c r="P586" s="105">
        <f t="shared" ca="1" si="230"/>
        <v>6.608162047301855</v>
      </c>
      <c r="Q586" s="106">
        <f t="shared" ca="1" si="231"/>
        <v>1.6189922582336922</v>
      </c>
      <c r="R586" s="107">
        <f t="shared" ca="1" si="232"/>
        <v>-67.945263907655573</v>
      </c>
      <c r="S586" s="108">
        <f t="shared" ca="1" si="233"/>
        <v>-198.69741533559963</v>
      </c>
      <c r="T586" s="116">
        <f t="shared" ca="1" si="234"/>
        <v>-18.697415335599629</v>
      </c>
      <c r="V586" s="72">
        <f t="shared" ca="1" si="235"/>
        <v>114820</v>
      </c>
      <c r="W586" s="72">
        <f t="shared" si="236"/>
        <v>13183632400</v>
      </c>
      <c r="Y586" s="110">
        <f t="shared" si="237"/>
        <v>4.7739262932553315</v>
      </c>
      <c r="Z586" s="111">
        <f t="shared" si="238"/>
        <v>-89.513862039740005</v>
      </c>
      <c r="AA586" s="72">
        <f t="shared" si="239"/>
        <v>90.486137960259995</v>
      </c>
      <c r="AB586" s="110">
        <f t="shared" ca="1" si="240"/>
        <v>-56.801589854029402</v>
      </c>
      <c r="AC586" s="111">
        <f t="shared" ca="1" si="241"/>
        <v>-109.1835532958596</v>
      </c>
      <c r="AD586" s="72">
        <f t="shared" ca="1" si="242"/>
        <v>70.816446704140404</v>
      </c>
    </row>
    <row r="587" spans="1:30">
      <c r="A587" s="118">
        <v>116155</v>
      </c>
      <c r="B587" s="101">
        <f t="shared" ca="1" si="216"/>
        <v>5956.5163491543817</v>
      </c>
      <c r="C587" s="102">
        <f t="shared" ca="1" si="217"/>
        <v>1.5706284434305138</v>
      </c>
      <c r="D587" s="102">
        <f t="shared" si="218"/>
        <v>3.5729631570427745</v>
      </c>
      <c r="E587" s="103">
        <f t="shared" si="219"/>
        <v>1.2871274859634851</v>
      </c>
      <c r="F587" s="101">
        <f t="shared" si="220"/>
        <v>39702.392348163303</v>
      </c>
      <c r="G587" s="104">
        <f t="shared" si="221"/>
        <v>1.5707711393958266</v>
      </c>
      <c r="H587" s="113">
        <f t="shared" si="222"/>
        <v>4962.799142695796</v>
      </c>
      <c r="I587" s="114">
        <f t="shared" si="223"/>
        <v>1.5705948276050212</v>
      </c>
      <c r="J587" s="101">
        <f t="shared" si="224"/>
        <v>116.7760239427808</v>
      </c>
      <c r="K587" s="104">
        <f t="shared" si="225"/>
        <v>1.5622328204464697</v>
      </c>
      <c r="L587" s="102">
        <f t="shared" si="226"/>
        <v>1</v>
      </c>
      <c r="M587" s="103">
        <f t="shared" si="227"/>
        <v>3.8315727897378752E-9</v>
      </c>
      <c r="N587" s="101">
        <f t="shared" si="228"/>
        <v>1</v>
      </c>
      <c r="O587" s="104">
        <f t="shared" si="229"/>
        <v>6.1305164635806002E-10</v>
      </c>
      <c r="P587" s="105">
        <f t="shared" ca="1" si="230"/>
        <v>6.686356598212801</v>
      </c>
      <c r="Q587" s="106">
        <f t="shared" ca="1" si="231"/>
        <v>1.623045609724552</v>
      </c>
      <c r="R587" s="107">
        <f t="shared" ca="1" si="232"/>
        <v>-68.155790319845778</v>
      </c>
      <c r="S587" s="108">
        <f t="shared" ca="1" si="233"/>
        <v>-198.75652093783077</v>
      </c>
      <c r="T587" s="116">
        <f t="shared" ca="1" si="234"/>
        <v>-18.756520937830771</v>
      </c>
      <c r="V587" s="72">
        <f t="shared" ca="1" si="235"/>
        <v>116155</v>
      </c>
      <c r="W587" s="72">
        <f t="shared" si="236"/>
        <v>13491984025</v>
      </c>
      <c r="Y587" s="110">
        <f t="shared" si="237"/>
        <v>4.6735264056818098</v>
      </c>
      <c r="Z587" s="111">
        <f t="shared" si="238"/>
        <v>-89.519449067776407</v>
      </c>
      <c r="AA587" s="72">
        <f t="shared" si="239"/>
        <v>90.480550932223593</v>
      </c>
      <c r="AB587" s="110">
        <f t="shared" ca="1" si="240"/>
        <v>-56.911716378646076</v>
      </c>
      <c r="AC587" s="111">
        <f t="shared" ca="1" si="241"/>
        <v>-109.23707187005434</v>
      </c>
      <c r="AD587" s="72">
        <f t="shared" ca="1" si="242"/>
        <v>70.762928129945664</v>
      </c>
    </row>
    <row r="588" spans="1:30">
      <c r="A588" s="118">
        <v>117490</v>
      </c>
      <c r="B588" s="101">
        <f t="shared" ca="1" si="216"/>
        <v>6024.9761580586055</v>
      </c>
      <c r="C588" s="102">
        <f t="shared" ca="1" si="217"/>
        <v>1.5706303510336062</v>
      </c>
      <c r="D588" s="102">
        <f t="shared" si="218"/>
        <v>3.6108282906002831</v>
      </c>
      <c r="E588" s="103">
        <f t="shared" si="219"/>
        <v>1.2901832815054119</v>
      </c>
      <c r="F588" s="101">
        <f t="shared" si="220"/>
        <v>40158.702397247405</v>
      </c>
      <c r="G588" s="104">
        <f t="shared" si="221"/>
        <v>1.5707714255919092</v>
      </c>
      <c r="H588" s="113">
        <f t="shared" si="222"/>
        <v>5019.8378977044113</v>
      </c>
      <c r="I588" s="114">
        <f t="shared" si="223"/>
        <v>1.5705971171735917</v>
      </c>
      <c r="J588" s="101">
        <f t="shared" si="224"/>
        <v>118.11806367217234</v>
      </c>
      <c r="K588" s="104">
        <f t="shared" si="225"/>
        <v>1.5623301200597035</v>
      </c>
      <c r="L588" s="102">
        <f t="shared" si="226"/>
        <v>1</v>
      </c>
      <c r="M588" s="103">
        <f t="shared" si="227"/>
        <v>3.8756100647092508E-9</v>
      </c>
      <c r="N588" s="101">
        <f t="shared" si="228"/>
        <v>1</v>
      </c>
      <c r="O588" s="104">
        <f t="shared" si="229"/>
        <v>6.2009761035347998E-10</v>
      </c>
      <c r="P588" s="105">
        <f t="shared" ca="1" si="230"/>
        <v>6.7646784971421114</v>
      </c>
      <c r="Q588" s="106">
        <f t="shared" ca="1" si="231"/>
        <v>1.6270577976705254</v>
      </c>
      <c r="R588" s="107">
        <f t="shared" ca="1" si="232"/>
        <v>-68.363889462084856</v>
      </c>
      <c r="S588" s="108">
        <f t="shared" ca="1" si="233"/>
        <v>-198.81688755409488</v>
      </c>
      <c r="T588" s="116">
        <f t="shared" ca="1" si="234"/>
        <v>-18.816887554094876</v>
      </c>
      <c r="V588" s="72">
        <f t="shared" ca="1" si="235"/>
        <v>117490</v>
      </c>
      <c r="W588" s="72">
        <f t="shared" si="236"/>
        <v>13803900100</v>
      </c>
      <c r="Y588" s="110">
        <f t="shared" si="237"/>
        <v>4.5742737050488849</v>
      </c>
      <c r="Z588" s="111">
        <f t="shared" si="238"/>
        <v>-89.524909138061403</v>
      </c>
      <c r="AA588" s="72">
        <f t="shared" si="239"/>
        <v>90.475090861938597</v>
      </c>
      <c r="AB588" s="110">
        <f t="shared" ca="1" si="240"/>
        <v>-57.020562820252245</v>
      </c>
      <c r="AC588" s="111">
        <f t="shared" ca="1" si="241"/>
        <v>-109.2919784160335</v>
      </c>
      <c r="AD588" s="72">
        <f t="shared" ca="1" si="242"/>
        <v>70.708021583966499</v>
      </c>
    </row>
    <row r="589" spans="1:30">
      <c r="A589" s="118">
        <v>118860</v>
      </c>
      <c r="B589" s="101">
        <f t="shared" ca="1" si="216"/>
        <v>6095.2307934357777</v>
      </c>
      <c r="C589" s="102">
        <f t="shared" ca="1" si="217"/>
        <v>1.5706322640976214</v>
      </c>
      <c r="D589" s="102">
        <f t="shared" si="218"/>
        <v>3.6497204609678171</v>
      </c>
      <c r="E589" s="103">
        <f t="shared" si="219"/>
        <v>1.2932532402294381</v>
      </c>
      <c r="F589" s="101">
        <f t="shared" si="220"/>
        <v>40626.975631142297</v>
      </c>
      <c r="G589" s="104">
        <f t="shared" si="221"/>
        <v>1.5707717126072893</v>
      </c>
      <c r="H589" s="113">
        <f t="shared" si="222"/>
        <v>5078.3720508111501</v>
      </c>
      <c r="I589" s="114">
        <f t="shared" si="223"/>
        <v>1.5705994132965437</v>
      </c>
      <c r="J589" s="101">
        <f t="shared" si="224"/>
        <v>119.49528909991051</v>
      </c>
      <c r="K589" s="104">
        <f t="shared" si="225"/>
        <v>1.5624276983748853</v>
      </c>
      <c r="L589" s="102">
        <f t="shared" si="226"/>
        <v>1</v>
      </c>
      <c r="M589" s="103">
        <f t="shared" si="227"/>
        <v>3.9208018749795001E-9</v>
      </c>
      <c r="N589" s="101">
        <f t="shared" si="228"/>
        <v>1</v>
      </c>
      <c r="O589" s="104">
        <f t="shared" si="229"/>
        <v>6.2732829999672004E-10</v>
      </c>
      <c r="P589" s="105">
        <f t="shared" ca="1" si="230"/>
        <v>6.8451867051733757</v>
      </c>
      <c r="Q589" s="106">
        <f t="shared" ca="1" si="231"/>
        <v>1.6311336907101361</v>
      </c>
      <c r="R589" s="107">
        <f t="shared" ca="1" si="232"/>
        <v>-68.574982644139453</v>
      </c>
      <c r="S589" s="108">
        <f t="shared" ca="1" si="233"/>
        <v>-198.88010866548396</v>
      </c>
      <c r="T589" s="116">
        <f t="shared" ca="1" si="234"/>
        <v>-18.880108665483959</v>
      </c>
      <c r="V589" s="72">
        <f t="shared" ca="1" si="235"/>
        <v>118860</v>
      </c>
      <c r="W589" s="72">
        <f t="shared" si="236"/>
        <v>14127699600</v>
      </c>
      <c r="Y589" s="110">
        <f t="shared" si="237"/>
        <v>4.4735843931520343</v>
      </c>
      <c r="Z589" s="111">
        <f t="shared" si="238"/>
        <v>-89.530384848140102</v>
      </c>
      <c r="AA589" s="72">
        <f t="shared" si="239"/>
        <v>90.469615151859898</v>
      </c>
      <c r="AB589" s="110">
        <f t="shared" ca="1" si="240"/>
        <v>-57.13096669040997</v>
      </c>
      <c r="AC589" s="111">
        <f t="shared" ca="1" si="241"/>
        <v>-109.34972381734386</v>
      </c>
      <c r="AD589" s="72">
        <f t="shared" ca="1" si="242"/>
        <v>70.650276182656143</v>
      </c>
    </row>
    <row r="590" spans="1:30">
      <c r="A590" s="118">
        <v>120230</v>
      </c>
      <c r="B590" s="101">
        <f t="shared" ref="B590:B614" ca="1" si="243">SQRT(1+(A590/Pole1)^2)</f>
        <v>6165.4854288347487</v>
      </c>
      <c r="C590" s="102">
        <f t="shared" ref="C590:C614" ca="1" si="244">ATAN(A590/Pole1)</f>
        <v>1.5706341335635725</v>
      </c>
      <c r="D590" s="102">
        <f t="shared" ref="D590:D614" si="245">SQRT(1+(A590/Zero1)^2)</f>
        <v>3.6886463031203007</v>
      </c>
      <c r="E590" s="103">
        <f t="shared" ref="E590:E614" si="246">ATAN(A590/Zero1)</f>
        <v>1.2962584329678639</v>
      </c>
      <c r="F590" s="101">
        <f t="shared" ref="F590:F614" si="247">SQRT(1+(A590/Pole2)^2)</f>
        <v>41095.248865040463</v>
      </c>
      <c r="G590" s="104">
        <f t="shared" ref="G590:G614" si="248">ATAN(A590/Pole2)</f>
        <v>1.5707719930816886</v>
      </c>
      <c r="H590" s="113">
        <f t="shared" ref="H590:H614" si="249">SQRT(1+(A590/Zero2)^2)</f>
        <v>5136.9062039440523</v>
      </c>
      <c r="I590" s="114">
        <f t="shared" ref="I590:I614" si="250">ATAN(A590/Zero2)</f>
        <v>1.5706016570916523</v>
      </c>
      <c r="J590" s="101">
        <f t="shared" ref="J590:J614" si="251">SQRT(1+(A590/pole4)^2)</f>
        <v>120.87251563949862</v>
      </c>
      <c r="K590" s="104">
        <f t="shared" ref="K590:K614" si="252">ATAN(A590/pole4)</f>
        <v>1.5625230530680831</v>
      </c>
      <c r="L590" s="102">
        <f t="shared" ref="L590:L614" si="253">SQRT(1+(A590/Zerofeed)^2)</f>
        <v>1</v>
      </c>
      <c r="M590" s="103">
        <f t="shared" ref="M590:M614" si="254">ATAN(A590/Zerofeed)</f>
        <v>3.9659936852497503E-9</v>
      </c>
      <c r="N590" s="101">
        <f t="shared" ref="N590:N614" si="255">SQRT(1+(A590/Polefeed)^2)</f>
        <v>1</v>
      </c>
      <c r="O590" s="104">
        <f t="shared" ref="O590:O614" si="256">ATAN(A590/Polefeed)</f>
        <v>6.3455898963996E-10</v>
      </c>
      <c r="P590" s="105">
        <f t="shared" ref="P590:P614" ca="1" si="257">SQRT((1-(W590/pterm2))^2+(A590/pterm1)^2)</f>
        <v>6.9258301240755662</v>
      </c>
      <c r="Q590" s="106">
        <f t="shared" ref="Q590:Q614" ca="1" si="258">IF((ATAN((A590/pterm1)/(1-A590^2/pterm2))&gt;0),ATAN((A590/pterm1)/(1-A590^2/pterm2)),PI()+ATAN((A590/pterm1)/(1-A590^2/pterm2)))</f>
        <v>1.6351688463381258</v>
      </c>
      <c r="R590" s="107">
        <f t="shared" ref="R590:R614" ca="1" si="259">20*LOG10(((D590*H590*L590)/(B590*F590*P590*J590*N590))*Adc)</f>
        <v>-68.783643111325574</v>
      </c>
      <c r="S590" s="108">
        <f t="shared" ref="S590:S614" ca="1" si="260">((E590+I590+M590)-(C590+G590+Q590+K590+O590))*radconv</f>
        <v>-198.9445792340052</v>
      </c>
      <c r="T590" s="116">
        <f t="shared" ref="T590:T614" ca="1" si="261">IF(S590&gt;0,S590,S590+180)</f>
        <v>-18.944579234005204</v>
      </c>
      <c r="V590" s="72">
        <f t="shared" ref="V590:V614" ca="1" si="262">IF(R590&lt;0,A590,1000000000)</f>
        <v>120230</v>
      </c>
      <c r="W590" s="72">
        <f t="shared" ref="W590:W614" si="263">A590^2</f>
        <v>14455252900</v>
      </c>
      <c r="Y590" s="110">
        <f t="shared" ref="Y590:Y614" si="264">20*LOG10(((H590*L590)/(F590*J590*N590))*Aea)</f>
        <v>4.3740488575874865</v>
      </c>
      <c r="Z590" s="111">
        <f t="shared" ref="Z590:Z614" si="265">(I590+M590-(G590+K590+O590))*radconv</f>
        <v>-89.535735777457703</v>
      </c>
      <c r="AA590" s="72">
        <f t="shared" ref="AA590:AA614" si="266">IF(Z590&gt;0,Z590,Z590+180)</f>
        <v>90.464264222542297</v>
      </c>
      <c r="AB590" s="110">
        <f t="shared" ref="AB590:AB614" ca="1" si="267">20*LOG10((D590/(B590*P590))*Acs*Am)</f>
        <v>-57.240091622031557</v>
      </c>
      <c r="AC590" s="111">
        <f t="shared" ref="AC590:AC614" ca="1" si="268">(E590-(C590+Q590))*radconv</f>
        <v>-109.40884345654747</v>
      </c>
      <c r="AD590" s="72">
        <f t="shared" ref="AD590:AD614" ca="1" si="269">IF(AC590&gt;0,AC590,AC590+180)</f>
        <v>70.591156543452527</v>
      </c>
    </row>
    <row r="591" spans="1:30">
      <c r="A591" s="118">
        <v>126030</v>
      </c>
      <c r="B591" s="101">
        <f t="shared" ca="1" si="243"/>
        <v>6462.9138125007821</v>
      </c>
      <c r="C591" s="102">
        <f t="shared" ca="1" si="244"/>
        <v>1.5706415978238779</v>
      </c>
      <c r="D591" s="102">
        <f t="shared" si="245"/>
        <v>3.8537913644182771</v>
      </c>
      <c r="E591" s="103">
        <f t="shared" si="246"/>
        <v>1.3083077107161136</v>
      </c>
      <c r="F591" s="101">
        <f t="shared" si="247"/>
        <v>43077.719490336531</v>
      </c>
      <c r="G591" s="104">
        <f t="shared" si="248"/>
        <v>1.570773112938362</v>
      </c>
      <c r="H591" s="113">
        <f t="shared" si="249"/>
        <v>5384.7150276966258</v>
      </c>
      <c r="I591" s="114">
        <f t="shared" si="250"/>
        <v>1.5706106159447208</v>
      </c>
      <c r="J591" s="101">
        <f t="shared" si="251"/>
        <v>126.70312123159408</v>
      </c>
      <c r="K591" s="104">
        <f t="shared" si="252"/>
        <v>1.562903779457423</v>
      </c>
      <c r="L591" s="102">
        <f t="shared" si="253"/>
        <v>1</v>
      </c>
      <c r="M591" s="103">
        <f t="shared" si="254"/>
        <v>4.1573166776347506E-9</v>
      </c>
      <c r="N591" s="101">
        <f t="shared" si="255"/>
        <v>1</v>
      </c>
      <c r="O591" s="104">
        <f t="shared" si="256"/>
        <v>6.6517066842156008E-10</v>
      </c>
      <c r="P591" s="105">
        <f t="shared" ca="1" si="257"/>
        <v>7.2687523003979546</v>
      </c>
      <c r="Q591" s="106">
        <f t="shared" ca="1" si="258"/>
        <v>1.6518281783018962</v>
      </c>
      <c r="R591" s="107">
        <f t="shared" ca="1" si="259"/>
        <v>-69.641396928522965</v>
      </c>
      <c r="S591" s="108">
        <f t="shared" ca="1" si="260"/>
        <v>-199.23050841946173</v>
      </c>
      <c r="T591" s="116">
        <f t="shared" ca="1" si="261"/>
        <v>-19.230508419461728</v>
      </c>
      <c r="V591" s="72">
        <f t="shared" ca="1" si="262"/>
        <v>126030</v>
      </c>
      <c r="W591" s="72">
        <f t="shared" si="263"/>
        <v>15883560900</v>
      </c>
      <c r="Y591" s="110">
        <f t="shared" si="264"/>
        <v>3.9648537903668508</v>
      </c>
      <c r="Z591" s="111">
        <f t="shared" si="265"/>
        <v>-89.55710064212343</v>
      </c>
      <c r="AA591" s="72">
        <f t="shared" si="266"/>
        <v>90.44289935787657</v>
      </c>
      <c r="AB591" s="110">
        <f t="shared" ca="1" si="267"/>
        <v>-57.688650372008318</v>
      </c>
      <c r="AC591" s="111">
        <f t="shared" ca="1" si="268"/>
        <v>-109.6734077773383</v>
      </c>
      <c r="AD591" s="72">
        <f t="shared" ca="1" si="269"/>
        <v>70.326592222661702</v>
      </c>
    </row>
    <row r="592" spans="1:30">
      <c r="A592" s="118">
        <v>131830</v>
      </c>
      <c r="B592" s="101">
        <f t="shared" ca="1" si="243"/>
        <v>6760.3421964952131</v>
      </c>
      <c r="C592" s="102">
        <f t="shared" ca="1" si="244"/>
        <v>1.5706484052881768</v>
      </c>
      <c r="D592" s="102">
        <f t="shared" si="245"/>
        <v>4.0194499170394158</v>
      </c>
      <c r="E592" s="103">
        <f t="shared" si="246"/>
        <v>1.3193652820234016</v>
      </c>
      <c r="F592" s="101">
        <f t="shared" si="247"/>
        <v>45060.190115681879</v>
      </c>
      <c r="G592" s="104">
        <f t="shared" si="248"/>
        <v>1.5707741342564827</v>
      </c>
      <c r="H592" s="113">
        <f t="shared" si="249"/>
        <v>5632.5238518433544</v>
      </c>
      <c r="I592" s="114">
        <f t="shared" si="250"/>
        <v>1.5706187864894212</v>
      </c>
      <c r="J592" s="101">
        <f t="shared" si="251"/>
        <v>132.53374357367332</v>
      </c>
      <c r="K592" s="104">
        <f t="shared" si="252"/>
        <v>1.5632510069258543</v>
      </c>
      <c r="L592" s="102">
        <f t="shared" si="253"/>
        <v>1</v>
      </c>
      <c r="M592" s="103">
        <f t="shared" si="254"/>
        <v>4.3486396700197501E-9</v>
      </c>
      <c r="N592" s="101">
        <f t="shared" si="255"/>
        <v>1</v>
      </c>
      <c r="O592" s="104">
        <f t="shared" si="256"/>
        <v>6.9578234720316005E-10</v>
      </c>
      <c r="P592" s="105">
        <f t="shared" ca="1" si="257"/>
        <v>7.6141588541847094</v>
      </c>
      <c r="Q592" s="106">
        <f t="shared" ca="1" si="258"/>
        <v>1.6678621911488392</v>
      </c>
      <c r="R592" s="107">
        <f t="shared" ca="1" si="259"/>
        <v>-70.460659110784377</v>
      </c>
      <c r="S592" s="108">
        <f t="shared" ca="1" si="260"/>
        <v>-199.53551259475381</v>
      </c>
      <c r="T592" s="116">
        <f t="shared" ca="1" si="261"/>
        <v>-19.535512594753811</v>
      </c>
      <c r="V592" s="72">
        <f t="shared" ca="1" si="262"/>
        <v>131830</v>
      </c>
      <c r="W592" s="72">
        <f t="shared" si="263"/>
        <v>17379148900</v>
      </c>
      <c r="Y592" s="110">
        <f t="shared" si="264"/>
        <v>3.5740707418781961</v>
      </c>
      <c r="Z592" s="111">
        <f t="shared" si="265"/>
        <v>-89.576585680899967</v>
      </c>
      <c r="AA592" s="72">
        <f t="shared" si="266"/>
        <v>90.423414319100033</v>
      </c>
      <c r="AB592" s="110">
        <f t="shared" ca="1" si="267"/>
        <v>-58.117129505781065</v>
      </c>
      <c r="AC592" s="111">
        <f t="shared" ca="1" si="268"/>
        <v>-109.95892691385389</v>
      </c>
      <c r="AD592" s="72">
        <f t="shared" ca="1" si="269"/>
        <v>70.041073086146113</v>
      </c>
    </row>
    <row r="593" spans="1:30">
      <c r="A593" s="118">
        <v>144540</v>
      </c>
      <c r="B593" s="101">
        <f t="shared" ca="1" si="243"/>
        <v>7412.1206044450992</v>
      </c>
      <c r="C593" s="102">
        <f t="shared" ca="1" si="244"/>
        <v>1.5706614126378828</v>
      </c>
      <c r="D593" s="102">
        <f t="shared" si="245"/>
        <v>4.3839815636998072</v>
      </c>
      <c r="E593" s="103">
        <f t="shared" si="246"/>
        <v>1.3406673016992252</v>
      </c>
      <c r="F593" s="101">
        <f t="shared" si="247"/>
        <v>49404.535227573331</v>
      </c>
      <c r="G593" s="104">
        <f t="shared" si="248"/>
        <v>1.5707760857381705</v>
      </c>
      <c r="H593" s="113">
        <f t="shared" si="249"/>
        <v>6175.5669831458263</v>
      </c>
      <c r="I593" s="114">
        <f t="shared" si="250"/>
        <v>1.5706343983424809</v>
      </c>
      <c r="J593" s="101">
        <f t="shared" si="251"/>
        <v>145.31089746082253</v>
      </c>
      <c r="K593" s="104">
        <f t="shared" si="252"/>
        <v>1.5639144761503185</v>
      </c>
      <c r="L593" s="102">
        <f t="shared" si="253"/>
        <v>1</v>
      </c>
      <c r="M593" s="103">
        <f t="shared" si="254"/>
        <v>4.7679009171255006E-9</v>
      </c>
      <c r="N593" s="101">
        <f t="shared" si="255"/>
        <v>1</v>
      </c>
      <c r="O593" s="104">
        <f t="shared" si="256"/>
        <v>7.6286414674008004E-10</v>
      </c>
      <c r="P593" s="105">
        <f t="shared" ca="1" si="257"/>
        <v>8.3800423129546981</v>
      </c>
      <c r="Q593" s="106">
        <f t="shared" ca="1" si="258"/>
        <v>1.7011383065945587</v>
      </c>
      <c r="R593" s="107">
        <f t="shared" ca="1" si="259"/>
        <v>-72.138013094088208</v>
      </c>
      <c r="S593" s="108">
        <f t="shared" ca="1" si="260"/>
        <v>-200.2595542975165</v>
      </c>
      <c r="T593" s="116">
        <f t="shared" ca="1" si="261"/>
        <v>-20.259554297516502</v>
      </c>
      <c r="V593" s="72">
        <f t="shared" ca="1" si="262"/>
        <v>144540</v>
      </c>
      <c r="W593" s="72">
        <f t="shared" si="263"/>
        <v>20891811600</v>
      </c>
      <c r="Y593" s="110">
        <f t="shared" si="264"/>
        <v>2.7746363244622807</v>
      </c>
      <c r="Z593" s="111">
        <f t="shared" si="265"/>
        <v>-89.6138169655365</v>
      </c>
      <c r="AA593" s="72">
        <f t="shared" si="266"/>
        <v>90.3861830344635</v>
      </c>
      <c r="AB593" s="110">
        <f t="shared" ca="1" si="267"/>
        <v>-58.995049071668987</v>
      </c>
      <c r="AC593" s="111">
        <f t="shared" ca="1" si="268"/>
        <v>-110.64573733197996</v>
      </c>
      <c r="AD593" s="72">
        <f t="shared" ca="1" si="269"/>
        <v>69.354262668020041</v>
      </c>
    </row>
    <row r="594" spans="1:30">
      <c r="A594" s="118">
        <v>158490</v>
      </c>
      <c r="B594" s="101">
        <f t="shared" ca="1" si="243"/>
        <v>8127.4871509566819</v>
      </c>
      <c r="C594" s="102">
        <f t="shared" ca="1" si="244"/>
        <v>1.5706732875351661</v>
      </c>
      <c r="D594" s="102">
        <f t="shared" si="245"/>
        <v>4.7860007560125286</v>
      </c>
      <c r="E594" s="103">
        <f t="shared" si="246"/>
        <v>1.3603026386595869</v>
      </c>
      <c r="F594" s="101">
        <f t="shared" si="247"/>
        <v>54172.718887146548</v>
      </c>
      <c r="G594" s="104">
        <f t="shared" si="248"/>
        <v>1.5707778673189723</v>
      </c>
      <c r="H594" s="113">
        <f t="shared" si="249"/>
        <v>6771.5899335775039</v>
      </c>
      <c r="I594" s="114">
        <f t="shared" si="250"/>
        <v>1.5706486509885582</v>
      </c>
      <c r="J594" s="101">
        <f t="shared" si="251"/>
        <v>159.33466419152481</v>
      </c>
      <c r="K594" s="104">
        <f t="shared" si="252"/>
        <v>1.56452018738674</v>
      </c>
      <c r="L594" s="102">
        <f t="shared" si="253"/>
        <v>1</v>
      </c>
      <c r="M594" s="103">
        <f t="shared" si="254"/>
        <v>5.2280657005342503E-9</v>
      </c>
      <c r="N594" s="101">
        <f t="shared" si="255"/>
        <v>1</v>
      </c>
      <c r="O594" s="104">
        <f t="shared" si="256"/>
        <v>8.3649051208548008E-10</v>
      </c>
      <c r="P594" s="105">
        <f t="shared" ca="1" si="257"/>
        <v>9.2354768584146214</v>
      </c>
      <c r="Q594" s="106">
        <f t="shared" ca="1" si="258"/>
        <v>1.7352430517568975</v>
      </c>
      <c r="R594" s="107">
        <f t="shared" ca="1" si="259"/>
        <v>-73.820712470195232</v>
      </c>
      <c r="S594" s="108">
        <f t="shared" ca="1" si="260"/>
        <v>-201.12326083792249</v>
      </c>
      <c r="T594" s="116">
        <f t="shared" ca="1" si="261"/>
        <v>-21.123260837922487</v>
      </c>
      <c r="V594" s="72">
        <f t="shared" ca="1" si="262"/>
        <v>158490</v>
      </c>
      <c r="W594" s="72">
        <f t="shared" si="263"/>
        <v>25119080100</v>
      </c>
      <c r="Y594" s="110">
        <f t="shared" si="264"/>
        <v>1.9743946186260102</v>
      </c>
      <c r="Z594" s="111">
        <f t="shared" si="265"/>
        <v>-89.647807101472623</v>
      </c>
      <c r="AA594" s="72">
        <f t="shared" si="266"/>
        <v>90.352192898527377</v>
      </c>
      <c r="AB594" s="110">
        <f t="shared" ca="1" si="267"/>
        <v>-59.87750674193974</v>
      </c>
      <c r="AC594" s="111">
        <f t="shared" ca="1" si="268"/>
        <v>-111.47545373644981</v>
      </c>
      <c r="AD594" s="72">
        <f t="shared" ca="1" si="269"/>
        <v>68.524546263550192</v>
      </c>
    </row>
    <row r="595" spans="1:30">
      <c r="A595" s="118">
        <v>173780</v>
      </c>
      <c r="B595" s="101">
        <f t="shared" ca="1" si="243"/>
        <v>8911.5699116331853</v>
      </c>
      <c r="C595" s="102">
        <f t="shared" ca="1" si="244"/>
        <v>1.5706841131207612</v>
      </c>
      <c r="D595" s="102">
        <f t="shared" si="245"/>
        <v>5.2284143657486046</v>
      </c>
      <c r="E595" s="103">
        <f t="shared" si="246"/>
        <v>1.3783480181503884</v>
      </c>
      <c r="F595" s="101">
        <f t="shared" si="247"/>
        <v>59398.92162242726</v>
      </c>
      <c r="G595" s="104">
        <f t="shared" si="248"/>
        <v>1.5707794914724238</v>
      </c>
      <c r="H595" s="113">
        <f t="shared" si="249"/>
        <v>7424.8652690924901</v>
      </c>
      <c r="I595" s="114">
        <f t="shared" si="250"/>
        <v>1.5706616442159163</v>
      </c>
      <c r="J595" s="101">
        <f t="shared" si="251"/>
        <v>174.70557261081817</v>
      </c>
      <c r="K595" s="104">
        <f t="shared" si="252"/>
        <v>1.5650723796667552</v>
      </c>
      <c r="L595" s="102">
        <f t="shared" si="253"/>
        <v>1</v>
      </c>
      <c r="M595" s="103">
        <f t="shared" si="254"/>
        <v>5.7324326925285005E-9</v>
      </c>
      <c r="N595" s="101">
        <f t="shared" si="255"/>
        <v>1</v>
      </c>
      <c r="O595" s="104">
        <f t="shared" si="256"/>
        <v>9.1718923080456001E-10</v>
      </c>
      <c r="P595" s="105">
        <f t="shared" ca="1" si="257"/>
        <v>10.192007052248353</v>
      </c>
      <c r="Q595" s="106">
        <f t="shared" ca="1" si="258"/>
        <v>1.7703067669061396</v>
      </c>
      <c r="R595" s="107">
        <f t="shared" ca="1" si="259"/>
        <v>-75.508663889510942</v>
      </c>
      <c r="S595" s="108">
        <f t="shared" ca="1" si="260"/>
        <v>-202.12994676990206</v>
      </c>
      <c r="T595" s="116">
        <f t="shared" ca="1" si="261"/>
        <v>-22.129946769902062</v>
      </c>
      <c r="V595" s="72">
        <f t="shared" ca="1" si="262"/>
        <v>173780</v>
      </c>
      <c r="W595" s="72">
        <f t="shared" si="263"/>
        <v>30199488400</v>
      </c>
      <c r="Y595" s="110">
        <f t="shared" si="264"/>
        <v>1.1744648315772301</v>
      </c>
      <c r="Z595" s="111">
        <f t="shared" si="265"/>
        <v>-89.678793964406395</v>
      </c>
      <c r="AA595" s="72">
        <f t="shared" si="266"/>
        <v>90.321206035593605</v>
      </c>
      <c r="AB595" s="110">
        <f t="shared" ca="1" si="267"/>
        <v>-60.765528374206667</v>
      </c>
      <c r="AC595" s="111">
        <f t="shared" ca="1" si="268"/>
        <v>-112.45115280549571</v>
      </c>
      <c r="AD595" s="72">
        <f t="shared" ca="1" si="269"/>
        <v>67.54884719450429</v>
      </c>
    </row>
    <row r="596" spans="1:30">
      <c r="A596" s="118">
        <v>190550</v>
      </c>
      <c r="B596" s="101">
        <f t="shared" ca="1" si="243"/>
        <v>9771.5481923275875</v>
      </c>
      <c r="C596" s="102">
        <f t="shared" ca="1" si="244"/>
        <v>1.5706939888662426</v>
      </c>
      <c r="D596" s="102">
        <f t="shared" si="245"/>
        <v>5.7152911321001154</v>
      </c>
      <c r="E596" s="103">
        <f t="shared" si="246"/>
        <v>1.3949218265627215</v>
      </c>
      <c r="F596" s="101">
        <f t="shared" si="247"/>
        <v>65130.996172652842</v>
      </c>
      <c r="G596" s="104">
        <f t="shared" si="248"/>
        <v>1.5707809731221631</v>
      </c>
      <c r="H596" s="113">
        <f t="shared" si="249"/>
        <v>8141.3745820366921</v>
      </c>
      <c r="I596" s="114">
        <f t="shared" si="250"/>
        <v>1.5706734974136369</v>
      </c>
      <c r="J596" s="101">
        <f t="shared" si="251"/>
        <v>191.56436353298301</v>
      </c>
      <c r="K596" s="104">
        <f t="shared" si="252"/>
        <v>1.5655761254833278</v>
      </c>
      <c r="L596" s="102">
        <f t="shared" si="253"/>
        <v>1</v>
      </c>
      <c r="M596" s="103">
        <f t="shared" si="254"/>
        <v>6.2856200343037504E-9</v>
      </c>
      <c r="N596" s="101">
        <f t="shared" si="255"/>
        <v>1</v>
      </c>
      <c r="O596" s="104">
        <f t="shared" si="256"/>
        <v>1.0056992054886001E-9</v>
      </c>
      <c r="P596" s="105">
        <f t="shared" ca="1" si="257"/>
        <v>11.265390190557394</v>
      </c>
      <c r="Q596" s="106">
        <f t="shared" ca="1" si="258"/>
        <v>1.806514108684089</v>
      </c>
      <c r="R596" s="107">
        <f t="shared" ca="1" si="259"/>
        <v>-77.205369649431674</v>
      </c>
      <c r="S596" s="108">
        <f t="shared" ca="1" si="260"/>
        <v>-203.2836994452218</v>
      </c>
      <c r="T596" s="116">
        <f t="shared" ca="1" si="261"/>
        <v>-23.283699445221799</v>
      </c>
      <c r="V596" s="72">
        <f t="shared" ca="1" si="262"/>
        <v>190550</v>
      </c>
      <c r="W596" s="72">
        <f t="shared" si="263"/>
        <v>36309302500</v>
      </c>
      <c r="Y596" s="110">
        <f t="shared" si="264"/>
        <v>0.37430555729582843</v>
      </c>
      <c r="Z596" s="111">
        <f t="shared" si="265"/>
        <v>-89.707062201125268</v>
      </c>
      <c r="AA596" s="72">
        <f t="shared" si="266"/>
        <v>90.292937798874732</v>
      </c>
      <c r="AB596" s="110">
        <f t="shared" ca="1" si="267"/>
        <v>-61.662074859845994</v>
      </c>
      <c r="AC596" s="111">
        <f t="shared" ca="1" si="268"/>
        <v>-113.5766372440965</v>
      </c>
      <c r="AD596" s="72">
        <f t="shared" ca="1" si="269"/>
        <v>66.423362755903497</v>
      </c>
    </row>
    <row r="597" spans="1:30">
      <c r="A597" s="118">
        <v>208930</v>
      </c>
      <c r="B597" s="101">
        <f t="shared" ca="1" si="243"/>
        <v>10714.088491339638</v>
      </c>
      <c r="C597" s="102">
        <f t="shared" ca="1" si="244"/>
        <v>1.5707029917433653</v>
      </c>
      <c r="D597" s="102">
        <f t="shared" si="245"/>
        <v>6.2504189452672039</v>
      </c>
      <c r="E597" s="103">
        <f t="shared" si="246"/>
        <v>1.4101165380772971</v>
      </c>
      <c r="F597" s="101">
        <f t="shared" si="247"/>
        <v>71413.377224259108</v>
      </c>
      <c r="G597" s="104">
        <f t="shared" si="248"/>
        <v>1.5707823238161984</v>
      </c>
      <c r="H597" s="113">
        <f t="shared" si="249"/>
        <v>8926.6722081691169</v>
      </c>
      <c r="I597" s="114">
        <f t="shared" si="250"/>
        <v>1.5706843029657729</v>
      </c>
      <c r="J597" s="101">
        <f t="shared" si="251"/>
        <v>210.04172524952912</v>
      </c>
      <c r="K597" s="104">
        <f t="shared" si="252"/>
        <v>1.5660353500097428</v>
      </c>
      <c r="L597" s="102">
        <f t="shared" si="253"/>
        <v>1</v>
      </c>
      <c r="M597" s="103">
        <f t="shared" si="254"/>
        <v>6.8919159998272511E-9</v>
      </c>
      <c r="N597" s="101">
        <f t="shared" si="255"/>
        <v>1</v>
      </c>
      <c r="O597" s="104">
        <f t="shared" si="256"/>
        <v>1.10270655997236E-9</v>
      </c>
      <c r="P597" s="105">
        <f t="shared" ca="1" si="257"/>
        <v>12.472985039111181</v>
      </c>
      <c r="Q597" s="106">
        <f t="shared" ca="1" si="258"/>
        <v>1.8439785797388695</v>
      </c>
      <c r="R597" s="107">
        <f t="shared" ca="1" si="259"/>
        <v>-78.912091652487419</v>
      </c>
      <c r="S597" s="108">
        <f t="shared" ca="1" si="260"/>
        <v>-204.58594838056459</v>
      </c>
      <c r="T597" s="116">
        <f t="shared" ca="1" si="261"/>
        <v>-24.585948380564588</v>
      </c>
      <c r="V597" s="72">
        <f t="shared" ca="1" si="262"/>
        <v>208930</v>
      </c>
      <c r="W597" s="72">
        <f t="shared" si="263"/>
        <v>43651744900</v>
      </c>
      <c r="Y597" s="110">
        <f t="shared" si="264"/>
        <v>-0.4255115701887438</v>
      </c>
      <c r="Z597" s="111">
        <f t="shared" si="265"/>
        <v>-89.73283207572203</v>
      </c>
      <c r="AA597" s="72">
        <f t="shared" si="266"/>
        <v>90.26716792427797</v>
      </c>
      <c r="AB597" s="110">
        <f t="shared" ca="1" si="267"/>
        <v>-62.568979735417173</v>
      </c>
      <c r="AC597" s="111">
        <f t="shared" ca="1" si="268"/>
        <v>-114.85311630484263</v>
      </c>
      <c r="AD597" s="72">
        <f t="shared" ca="1" si="269"/>
        <v>65.146883695157371</v>
      </c>
    </row>
    <row r="598" spans="1:30">
      <c r="A598" s="118">
        <v>229090</v>
      </c>
      <c r="B598" s="101">
        <f t="shared" ca="1" si="243"/>
        <v>11747.908537223739</v>
      </c>
      <c r="C598" s="102">
        <f t="shared" ca="1" si="244"/>
        <v>1.5707112052604517</v>
      </c>
      <c r="D598" s="102">
        <f t="shared" si="245"/>
        <v>6.8387578743699295</v>
      </c>
      <c r="E598" s="103">
        <f t="shared" si="246"/>
        <v>1.4240447684059132</v>
      </c>
      <c r="F598" s="101">
        <f t="shared" si="247"/>
        <v>78304.171674894154</v>
      </c>
      <c r="G598" s="104">
        <f t="shared" si="248"/>
        <v>1.5707835560832137</v>
      </c>
      <c r="H598" s="113">
        <f t="shared" si="249"/>
        <v>9788.0215096464472</v>
      </c>
      <c r="I598" s="114">
        <f t="shared" si="250"/>
        <v>1.5706941611017835</v>
      </c>
      <c r="J598" s="101">
        <f t="shared" si="251"/>
        <v>230.30855827107357</v>
      </c>
      <c r="K598" s="104">
        <f t="shared" si="252"/>
        <v>1.5664543121094856</v>
      </c>
      <c r="L598" s="102">
        <f t="shared" si="253"/>
        <v>1</v>
      </c>
      <c r="M598" s="103">
        <f t="shared" si="254"/>
        <v>7.5569283319792506E-9</v>
      </c>
      <c r="N598" s="101">
        <f t="shared" si="255"/>
        <v>1</v>
      </c>
      <c r="O598" s="104">
        <f t="shared" si="256"/>
        <v>1.2091085331166801E-9</v>
      </c>
      <c r="P598" s="105">
        <f t="shared" ca="1" si="257"/>
        <v>13.83760987079426</v>
      </c>
      <c r="Q598" s="106">
        <f t="shared" ca="1" si="258"/>
        <v>1.8828413423599473</v>
      </c>
      <c r="R598" s="107">
        <f t="shared" ca="1" si="259"/>
        <v>-80.632739822467627</v>
      </c>
      <c r="S598" s="108">
        <f t="shared" ca="1" si="260"/>
        <v>-206.03857294877633</v>
      </c>
      <c r="T598" s="116">
        <f t="shared" ca="1" si="261"/>
        <v>-26.038572948776334</v>
      </c>
      <c r="V598" s="72">
        <f t="shared" ca="1" si="262"/>
        <v>229090</v>
      </c>
      <c r="W598" s="72">
        <f t="shared" si="263"/>
        <v>52482228100</v>
      </c>
      <c r="Y598" s="110">
        <f t="shared" si="264"/>
        <v>-1.225601575228896</v>
      </c>
      <c r="Z598" s="111">
        <f t="shared" si="265"/>
        <v>-89.756342577946</v>
      </c>
      <c r="AA598" s="72">
        <f t="shared" si="266"/>
        <v>90.243657422054</v>
      </c>
      <c r="AB598" s="110">
        <f t="shared" ca="1" si="267"/>
        <v>-63.48953790035722</v>
      </c>
      <c r="AC598" s="111">
        <f t="shared" ca="1" si="268"/>
        <v>-116.28223037083033</v>
      </c>
      <c r="AD598" s="72">
        <f t="shared" ca="1" si="269"/>
        <v>63.717769629169666</v>
      </c>
    </row>
    <row r="599" spans="1:30">
      <c r="A599" s="118">
        <v>251190</v>
      </c>
      <c r="B599" s="101">
        <f t="shared" ca="1" si="243"/>
        <v>12881.213250979088</v>
      </c>
      <c r="C599" s="102">
        <f t="shared" ca="1" si="244"/>
        <v>1.5707186943559703</v>
      </c>
      <c r="D599" s="102">
        <f t="shared" si="245"/>
        <v>7.4849857504855555</v>
      </c>
      <c r="E599" s="103">
        <f t="shared" si="246"/>
        <v>1.4367948675154096</v>
      </c>
      <c r="F599" s="101">
        <f t="shared" si="247"/>
        <v>85858.068369404369</v>
      </c>
      <c r="G599" s="104">
        <f t="shared" si="248"/>
        <v>1.5707846796658729</v>
      </c>
      <c r="H599" s="113">
        <f t="shared" si="249"/>
        <v>10732.258592036116</v>
      </c>
      <c r="I599" s="114">
        <f t="shared" si="250"/>
        <v>1.5707031497629727</v>
      </c>
      <c r="J599" s="101">
        <f t="shared" si="251"/>
        <v>252.52571048529163</v>
      </c>
      <c r="K599" s="104">
        <f t="shared" si="252"/>
        <v>1.566836323626557</v>
      </c>
      <c r="L599" s="102">
        <f t="shared" si="253"/>
        <v>1</v>
      </c>
      <c r="M599" s="103">
        <f t="shared" si="254"/>
        <v>8.2859349064117512E-9</v>
      </c>
      <c r="N599" s="101">
        <f t="shared" si="255"/>
        <v>1</v>
      </c>
      <c r="O599" s="104">
        <f t="shared" si="256"/>
        <v>1.32574958502588E-9</v>
      </c>
      <c r="P599" s="105">
        <f t="shared" ca="1" si="257"/>
        <v>15.385052607948174</v>
      </c>
      <c r="Q599" s="106">
        <f t="shared" ca="1" si="258"/>
        <v>1.9231596579566372</v>
      </c>
      <c r="R599" s="107">
        <f t="shared" ca="1" si="259"/>
        <v>-82.369057666459156</v>
      </c>
      <c r="S599" s="108">
        <f t="shared" ca="1" si="260"/>
        <v>-207.63998147435325</v>
      </c>
      <c r="T599" s="116">
        <f t="shared" ca="1" si="261"/>
        <v>-27.639981474353249</v>
      </c>
      <c r="V599" s="72">
        <f t="shared" ca="1" si="262"/>
        <v>251190</v>
      </c>
      <c r="W599" s="72">
        <f t="shared" si="263"/>
        <v>63096416100</v>
      </c>
      <c r="Y599" s="110">
        <f t="shared" si="264"/>
        <v>-2.025512083129541</v>
      </c>
      <c r="Z599" s="111">
        <f t="shared" si="265"/>
        <v>-89.777779554732817</v>
      </c>
      <c r="AA599" s="72">
        <f t="shared" si="266"/>
        <v>90.222220445267183</v>
      </c>
      <c r="AB599" s="110">
        <f t="shared" ca="1" si="267"/>
        <v>-64.425945236448101</v>
      </c>
      <c r="AC599" s="111">
        <f t="shared" ca="1" si="268"/>
        <v>-117.86220191962047</v>
      </c>
      <c r="AD599" s="72">
        <f t="shared" ca="1" si="269"/>
        <v>62.137798080379525</v>
      </c>
    </row>
    <row r="600" spans="1:30">
      <c r="A600" s="118">
        <v>275420</v>
      </c>
      <c r="B600" s="101">
        <f t="shared" ca="1" si="243"/>
        <v>14123.745976298293</v>
      </c>
      <c r="C600" s="102">
        <f t="shared" ca="1" si="244"/>
        <v>1.5707255240487616</v>
      </c>
      <c r="D600" s="102">
        <f t="shared" si="245"/>
        <v>8.194664180249152</v>
      </c>
      <c r="E600" s="103">
        <f t="shared" si="246"/>
        <v>1.4484607837069483</v>
      </c>
      <c r="F600" s="101">
        <f t="shared" si="247"/>
        <v>94140.010311045655</v>
      </c>
      <c r="G600" s="104">
        <f t="shared" si="248"/>
        <v>1.5707857043188982</v>
      </c>
      <c r="H600" s="113">
        <f t="shared" si="249"/>
        <v>11767.501330706706</v>
      </c>
      <c r="I600" s="114">
        <f t="shared" si="250"/>
        <v>1.5707113469871108</v>
      </c>
      <c r="J600" s="101">
        <f t="shared" si="251"/>
        <v>276.88418906719107</v>
      </c>
      <c r="K600" s="104">
        <f t="shared" si="252"/>
        <v>1.5671847006585464</v>
      </c>
      <c r="L600" s="102">
        <f t="shared" si="253"/>
        <v>1</v>
      </c>
      <c r="M600" s="103">
        <f t="shared" si="254"/>
        <v>9.0852032004615008E-9</v>
      </c>
      <c r="N600" s="101">
        <f t="shared" si="255"/>
        <v>1</v>
      </c>
      <c r="O600" s="104">
        <f t="shared" si="256"/>
        <v>1.4536325120738401E-9</v>
      </c>
      <c r="P600" s="105">
        <f t="shared" ca="1" si="257"/>
        <v>17.147700662070456</v>
      </c>
      <c r="Q600" s="106">
        <f t="shared" ca="1" si="258"/>
        <v>1.9649777531749102</v>
      </c>
      <c r="R600" s="107">
        <f t="shared" ca="1" si="259"/>
        <v>-84.124105837197774</v>
      </c>
      <c r="S600" s="108">
        <f t="shared" ca="1" si="260"/>
        <v>-209.38751492736895</v>
      </c>
      <c r="T600" s="116">
        <f t="shared" ca="1" si="261"/>
        <v>-29.387514927368954</v>
      </c>
      <c r="V600" s="72">
        <f t="shared" ca="1" si="262"/>
        <v>275420</v>
      </c>
      <c r="W600" s="72">
        <f t="shared" si="263"/>
        <v>75856176400</v>
      </c>
      <c r="Y600" s="110">
        <f t="shared" si="264"/>
        <v>-2.8253631940944777</v>
      </c>
      <c r="Z600" s="111">
        <f t="shared" si="265"/>
        <v>-89.797329091846862</v>
      </c>
      <c r="AA600" s="72">
        <f t="shared" si="266"/>
        <v>90.202670908153138</v>
      </c>
      <c r="AB600" s="110">
        <f t="shared" ca="1" si="267"/>
        <v>-65.381142296221796</v>
      </c>
      <c r="AC600" s="111">
        <f t="shared" ca="1" si="268"/>
        <v>-119.59018583552204</v>
      </c>
      <c r="AD600" s="72">
        <f t="shared" ca="1" si="269"/>
        <v>60.409814164477964</v>
      </c>
    </row>
    <row r="601" spans="1:30">
      <c r="A601" s="118">
        <v>302000</v>
      </c>
      <c r="B601" s="101">
        <f t="shared" ca="1" si="243"/>
        <v>15486.788479569257</v>
      </c>
      <c r="C601" s="102">
        <f t="shared" ca="1" si="244"/>
        <v>1.5707317556281881</v>
      </c>
      <c r="D601" s="102">
        <f t="shared" si="245"/>
        <v>8.9742422557166481</v>
      </c>
      <c r="E601" s="103">
        <f t="shared" si="246"/>
        <v>1.4591344101440471</v>
      </c>
      <c r="F601" s="101">
        <f t="shared" si="247"/>
        <v>103225.19466148379</v>
      </c>
      <c r="G601" s="104">
        <f t="shared" si="248"/>
        <v>1.570786639237481</v>
      </c>
      <c r="H601" s="113">
        <f t="shared" si="249"/>
        <v>12903.149370830231</v>
      </c>
      <c r="I601" s="114">
        <f t="shared" si="250"/>
        <v>1.5707188263357248</v>
      </c>
      <c r="J601" s="101">
        <f t="shared" si="251"/>
        <v>303.605160576294</v>
      </c>
      <c r="K601" s="104">
        <f t="shared" si="252"/>
        <v>1.5675025691847033</v>
      </c>
      <c r="L601" s="102">
        <f t="shared" si="253"/>
        <v>1</v>
      </c>
      <c r="M601" s="103">
        <f t="shared" si="254"/>
        <v>9.9619902931500002E-9</v>
      </c>
      <c r="N601" s="101">
        <f t="shared" si="255"/>
        <v>1</v>
      </c>
      <c r="O601" s="104">
        <f t="shared" si="256"/>
        <v>1.593918446904E-9</v>
      </c>
      <c r="P601" s="105">
        <f t="shared" ca="1" si="257"/>
        <v>19.165917182614685</v>
      </c>
      <c r="Q601" s="106">
        <f t="shared" ca="1" si="258"/>
        <v>2.0083110694224349</v>
      </c>
      <c r="R601" s="107">
        <f t="shared" ca="1" si="259"/>
        <v>-85.901696772895306</v>
      </c>
      <c r="S601" s="108">
        <f t="shared" ca="1" si="260"/>
        <v>-211.27697187364291</v>
      </c>
      <c r="T601" s="116">
        <f t="shared" ca="1" si="261"/>
        <v>-31.276971873642907</v>
      </c>
      <c r="V601" s="72">
        <f t="shared" ca="1" si="262"/>
        <v>302000</v>
      </c>
      <c r="W601" s="72">
        <f t="shared" si="263"/>
        <v>91204000000</v>
      </c>
      <c r="Y601" s="110">
        <f t="shared" si="264"/>
        <v>-3.6255830465367329</v>
      </c>
      <c r="Z601" s="111">
        <f t="shared" si="265"/>
        <v>-89.815166606437572</v>
      </c>
      <c r="AA601" s="72">
        <f t="shared" si="266"/>
        <v>90.184833393562428</v>
      </c>
      <c r="AB601" s="110">
        <f t="shared" ca="1" si="267"/>
        <v>-66.35851337947706</v>
      </c>
      <c r="AC601" s="111">
        <f t="shared" ca="1" si="268"/>
        <v>-121.46180526720532</v>
      </c>
      <c r="AD601" s="72">
        <f t="shared" ca="1" si="269"/>
        <v>58.538194732794679</v>
      </c>
    </row>
    <row r="602" spans="1:30">
      <c r="A602" s="118">
        <v>331130</v>
      </c>
      <c r="B602" s="101">
        <f t="shared" ca="1" si="243"/>
        <v>16980.596912058096</v>
      </c>
      <c r="C602" s="102">
        <f t="shared" ca="1" si="244"/>
        <v>1.5707374360500213</v>
      </c>
      <c r="D602" s="102">
        <f t="shared" si="245"/>
        <v>9.829589521474281</v>
      </c>
      <c r="E602" s="103">
        <f t="shared" si="246"/>
        <v>1.4688863704039086</v>
      </c>
      <c r="F602" s="101">
        <f t="shared" si="247"/>
        <v>113181.98247677927</v>
      </c>
      <c r="G602" s="104">
        <f t="shared" si="248"/>
        <v>1.5707874914663564</v>
      </c>
      <c r="H602" s="113">
        <f t="shared" si="249"/>
        <v>14147.747844386515</v>
      </c>
      <c r="I602" s="114">
        <f t="shared" si="250"/>
        <v>1.570725644166691</v>
      </c>
      <c r="J602" s="101">
        <f t="shared" si="251"/>
        <v>332.88968574470334</v>
      </c>
      <c r="K602" s="104">
        <f t="shared" si="252"/>
        <v>1.5677923241272567</v>
      </c>
      <c r="L602" s="102">
        <f t="shared" si="253"/>
        <v>1</v>
      </c>
      <c r="M602" s="103">
        <f t="shared" si="254"/>
        <v>1.092289352904225E-8</v>
      </c>
      <c r="N602" s="101">
        <f t="shared" si="255"/>
        <v>1</v>
      </c>
      <c r="O602" s="104">
        <f t="shared" si="256"/>
        <v>1.7476629646467602E-9</v>
      </c>
      <c r="P602" s="105">
        <f t="shared" ca="1" si="257"/>
        <v>21.485660873258919</v>
      </c>
      <c r="Q602" s="106">
        <f t="shared" ca="1" si="258"/>
        <v>2.0530580058709109</v>
      </c>
      <c r="R602" s="107">
        <f t="shared" ca="1" si="259"/>
        <v>-87.702982616603094</v>
      </c>
      <c r="S602" s="108">
        <f t="shared" ca="1" si="260"/>
        <v>-213.29862166515085</v>
      </c>
      <c r="T602" s="116">
        <f t="shared" ca="1" si="261"/>
        <v>-33.298621665150847</v>
      </c>
      <c r="V602" s="72">
        <f t="shared" ca="1" si="262"/>
        <v>331130</v>
      </c>
      <c r="W602" s="72">
        <f t="shared" si="263"/>
        <v>109647076900</v>
      </c>
      <c r="Y602" s="110">
        <f t="shared" si="264"/>
        <v>-4.4254068490266496</v>
      </c>
      <c r="Z602" s="111">
        <f t="shared" si="265"/>
        <v>-89.831426491688674</v>
      </c>
      <c r="AA602" s="72">
        <f t="shared" si="266"/>
        <v>90.168573508311326</v>
      </c>
      <c r="AB602" s="110">
        <f t="shared" ca="1" si="267"/>
        <v>-67.359975420694937</v>
      </c>
      <c r="AC602" s="111">
        <f t="shared" ca="1" si="268"/>
        <v>-123.46719517346214</v>
      </c>
      <c r="AD602" s="72">
        <f t="shared" ca="1" si="269"/>
        <v>56.532804826537856</v>
      </c>
    </row>
    <row r="603" spans="1:30">
      <c r="A603" s="118">
        <v>363080</v>
      </c>
      <c r="B603" s="101">
        <f t="shared" ca="1" si="243"/>
        <v>18619.017077979286</v>
      </c>
      <c r="C603" s="102">
        <f t="shared" ca="1" si="244"/>
        <v>1.5707426182668742</v>
      </c>
      <c r="D603" s="102">
        <f t="shared" si="245"/>
        <v>10.768636583739831</v>
      </c>
      <c r="E603" s="103">
        <f t="shared" si="246"/>
        <v>1.4778000749797691</v>
      </c>
      <c r="F603" s="101">
        <f t="shared" si="247"/>
        <v>124102.66118261452</v>
      </c>
      <c r="G603" s="104">
        <f t="shared" si="248"/>
        <v>1.5707882689499602</v>
      </c>
      <c r="H603" s="113">
        <f t="shared" si="249"/>
        <v>15512.83267955458</v>
      </c>
      <c r="I603" s="114">
        <f t="shared" si="250"/>
        <v>1.5707318640354928</v>
      </c>
      <c r="J603" s="101">
        <f t="shared" si="251"/>
        <v>365.00919682690881</v>
      </c>
      <c r="K603" s="104">
        <f t="shared" si="252"/>
        <v>1.5680566663708557</v>
      </c>
      <c r="L603" s="102">
        <f t="shared" si="253"/>
        <v>1</v>
      </c>
      <c r="M603" s="103">
        <f t="shared" si="254"/>
        <v>1.1976819323301002E-8</v>
      </c>
      <c r="N603" s="101">
        <f t="shared" si="255"/>
        <v>1</v>
      </c>
      <c r="O603" s="104">
        <f t="shared" si="256"/>
        <v>1.9162910917281601E-9</v>
      </c>
      <c r="P603" s="105">
        <f t="shared" ca="1" si="257"/>
        <v>24.167175430100748</v>
      </c>
      <c r="Q603" s="106">
        <f t="shared" ca="1" si="258"/>
        <v>2.0991375814403685</v>
      </c>
      <c r="R603" s="107">
        <f t="shared" ca="1" si="259"/>
        <v>-89.532164721007007</v>
      </c>
      <c r="S603" s="108">
        <f t="shared" ca="1" si="260"/>
        <v>-215.44319995509548</v>
      </c>
      <c r="T603" s="116">
        <f t="shared" ca="1" si="261"/>
        <v>-35.44319995509548</v>
      </c>
      <c r="V603" s="72">
        <f t="shared" ca="1" si="262"/>
        <v>363080</v>
      </c>
      <c r="W603" s="72">
        <f t="shared" si="263"/>
        <v>131827086400</v>
      </c>
      <c r="Y603" s="110">
        <f t="shared" si="264"/>
        <v>-5.2254762118306566</v>
      </c>
      <c r="Z603" s="111">
        <f t="shared" si="265"/>
        <v>-89.846260310184732</v>
      </c>
      <c r="AA603" s="72">
        <f t="shared" si="266"/>
        <v>90.153739689815268</v>
      </c>
      <c r="AB603" s="110">
        <f t="shared" ca="1" si="267"/>
        <v>-68.38908816229484</v>
      </c>
      <c r="AC603" s="111">
        <f t="shared" ca="1" si="268"/>
        <v>-125.59693964491073</v>
      </c>
      <c r="AD603" s="72">
        <f t="shared" ca="1" si="269"/>
        <v>54.403060355089266</v>
      </c>
    </row>
    <row r="604" spans="1:30">
      <c r="A604" s="118">
        <v>398110</v>
      </c>
      <c r="B604" s="101">
        <f t="shared" ca="1" si="243"/>
        <v>20415.381973988369</v>
      </c>
      <c r="C604" s="102">
        <f t="shared" ca="1" si="244"/>
        <v>1.5707473441208681</v>
      </c>
      <c r="D604" s="102">
        <f t="shared" si="245"/>
        <v>11.799027574737186</v>
      </c>
      <c r="E604" s="103">
        <f t="shared" si="246"/>
        <v>1.4859417867632296</v>
      </c>
      <c r="F604" s="101">
        <f t="shared" si="247"/>
        <v>136076.10015186964</v>
      </c>
      <c r="G604" s="104">
        <f t="shared" si="248"/>
        <v>1.5707889779658304</v>
      </c>
      <c r="H604" s="113">
        <f t="shared" si="249"/>
        <v>17009.51254791972</v>
      </c>
      <c r="I604" s="114">
        <f t="shared" si="250"/>
        <v>1.5707375361624338</v>
      </c>
      <c r="J604" s="101">
        <f t="shared" si="251"/>
        <v>400.22507326427143</v>
      </c>
      <c r="K604" s="104">
        <f t="shared" si="252"/>
        <v>1.5682977301119296</v>
      </c>
      <c r="L604" s="102">
        <f t="shared" si="253"/>
        <v>1</v>
      </c>
      <c r="M604" s="103">
        <f t="shared" si="254"/>
        <v>1.3132344223860751E-8</v>
      </c>
      <c r="N604" s="101">
        <f t="shared" si="255"/>
        <v>1</v>
      </c>
      <c r="O604" s="104">
        <f t="shared" si="256"/>
        <v>2.1011750758177202E-9</v>
      </c>
      <c r="P604" s="105">
        <f t="shared" ca="1" si="257"/>
        <v>27.280882342649758</v>
      </c>
      <c r="Q604" s="106">
        <f t="shared" ca="1" si="258"/>
        <v>2.1463583372705322</v>
      </c>
      <c r="R604" s="107">
        <f t="shared" ca="1" si="259"/>
        <v>-91.391130084031943</v>
      </c>
      <c r="S604" s="108">
        <f t="shared" ca="1" si="260"/>
        <v>-217.69606253446605</v>
      </c>
      <c r="T604" s="116">
        <f t="shared" ca="1" si="261"/>
        <v>-37.696062534466051</v>
      </c>
      <c r="V604" s="72">
        <f t="shared" ca="1" si="262"/>
        <v>398110</v>
      </c>
      <c r="W604" s="72">
        <f t="shared" si="263"/>
        <v>158491572100</v>
      </c>
      <c r="Y604" s="110">
        <f t="shared" si="264"/>
        <v>-6.0254859278239978</v>
      </c>
      <c r="Z604" s="111">
        <f t="shared" si="265"/>
        <v>-89.859787824226103</v>
      </c>
      <c r="AA604" s="72">
        <f t="shared" si="266"/>
        <v>90.140212175773897</v>
      </c>
      <c r="AB604" s="110">
        <f t="shared" ca="1" si="267"/>
        <v>-69.448043809326435</v>
      </c>
      <c r="AC604" s="111">
        <f t="shared" ca="1" si="268"/>
        <v>-127.83627471023993</v>
      </c>
      <c r="AD604" s="72">
        <f t="shared" ca="1" si="269"/>
        <v>52.163725289760066</v>
      </c>
    </row>
    <row r="605" spans="1:30">
      <c r="A605" s="118">
        <v>436520</v>
      </c>
      <c r="B605" s="101">
        <f t="shared" ca="1" si="243"/>
        <v>22385.075826999451</v>
      </c>
      <c r="C605" s="102">
        <f t="shared" ca="1" si="244"/>
        <v>1.5707516541742603</v>
      </c>
      <c r="D605" s="102">
        <f t="shared" si="245"/>
        <v>12.929588416817817</v>
      </c>
      <c r="E605" s="103">
        <f t="shared" si="246"/>
        <v>1.4933770289285679</v>
      </c>
      <c r="F605" s="101">
        <f t="shared" si="247"/>
        <v>149204.84096863752</v>
      </c>
      <c r="G605" s="104">
        <f t="shared" si="248"/>
        <v>1.5707896245994886</v>
      </c>
      <c r="H605" s="113">
        <f t="shared" si="249"/>
        <v>18650.605147469585</v>
      </c>
      <c r="I605" s="114">
        <f t="shared" si="250"/>
        <v>1.5707427092316824</v>
      </c>
      <c r="J605" s="101">
        <f t="shared" si="251"/>
        <v>438.8389069167003</v>
      </c>
      <c r="K605" s="104">
        <f t="shared" si="252"/>
        <v>1.5685175843003645</v>
      </c>
      <c r="L605" s="102">
        <f t="shared" si="253"/>
        <v>1</v>
      </c>
      <c r="M605" s="103">
        <f t="shared" si="254"/>
        <v>1.4399364247569E-8</v>
      </c>
      <c r="N605" s="101">
        <f t="shared" si="255"/>
        <v>1</v>
      </c>
      <c r="O605" s="104">
        <f t="shared" si="256"/>
        <v>2.3038982796110403E-9</v>
      </c>
      <c r="P605" s="105">
        <f t="shared" ca="1" si="257"/>
        <v>30.9139116606211</v>
      </c>
      <c r="Q605" s="106">
        <f t="shared" ca="1" si="258"/>
        <v>2.1944936153913535</v>
      </c>
      <c r="R605" s="107">
        <f t="shared" ca="1" si="259"/>
        <v>-93.282309214269361</v>
      </c>
      <c r="S605" s="108">
        <f t="shared" ca="1" si="260"/>
        <v>-220.04058708176413</v>
      </c>
      <c r="T605" s="116">
        <f t="shared" ca="1" si="261"/>
        <v>-40.04058708176413</v>
      </c>
      <c r="V605" s="72">
        <f t="shared" ca="1" si="262"/>
        <v>436520</v>
      </c>
      <c r="W605" s="72">
        <f t="shared" si="263"/>
        <v>190549710400</v>
      </c>
      <c r="Y605" s="110">
        <f t="shared" si="264"/>
        <v>-6.8255025668944214</v>
      </c>
      <c r="Z605" s="111">
        <f t="shared" si="265"/>
        <v>-89.872125134710529</v>
      </c>
      <c r="AA605" s="72">
        <f t="shared" si="266"/>
        <v>90.127874865289471</v>
      </c>
      <c r="AB605" s="110">
        <f t="shared" ca="1" si="267"/>
        <v>-70.539206300493433</v>
      </c>
      <c r="AC605" s="111">
        <f t="shared" ca="1" si="268"/>
        <v>-130.16846194705357</v>
      </c>
      <c r="AD605" s="72">
        <f t="shared" ca="1" si="269"/>
        <v>49.831538052946428</v>
      </c>
    </row>
    <row r="606" spans="1:30">
      <c r="A606" s="118">
        <v>478630</v>
      </c>
      <c r="B606" s="101">
        <f t="shared" ca="1" si="243"/>
        <v>24544.508479057858</v>
      </c>
      <c r="C606" s="102">
        <f t="shared" ca="1" si="244"/>
        <v>1.5707555844837955</v>
      </c>
      <c r="D606" s="102">
        <f t="shared" si="245"/>
        <v>14.169739117564406</v>
      </c>
      <c r="E606" s="103">
        <f t="shared" si="246"/>
        <v>1.5001646837284499</v>
      </c>
      <c r="F606" s="101">
        <f t="shared" si="247"/>
        <v>163598.26132261788</v>
      </c>
      <c r="G606" s="104">
        <f t="shared" si="248"/>
        <v>1.5707902142604973</v>
      </c>
      <c r="H606" s="113">
        <f t="shared" si="249"/>
        <v>20449.782689395339</v>
      </c>
      <c r="I606" s="114">
        <f t="shared" si="250"/>
        <v>1.5707474265197403</v>
      </c>
      <c r="J606" s="101">
        <f t="shared" si="251"/>
        <v>481.17239595196588</v>
      </c>
      <c r="K606" s="104">
        <f t="shared" si="252"/>
        <v>1.5687180680912114</v>
      </c>
      <c r="L606" s="102">
        <f t="shared" si="253"/>
        <v>1</v>
      </c>
      <c r="M606" s="103">
        <f t="shared" si="254"/>
        <v>1.5788435145729751E-8</v>
      </c>
      <c r="N606" s="101">
        <f t="shared" si="255"/>
        <v>1</v>
      </c>
      <c r="O606" s="104">
        <f t="shared" si="256"/>
        <v>2.5261496233167601E-9</v>
      </c>
      <c r="P606" s="105">
        <f t="shared" ca="1" si="257"/>
        <v>35.171386166435923</v>
      </c>
      <c r="Q606" s="106">
        <f t="shared" ca="1" si="258"/>
        <v>2.243255540956306</v>
      </c>
      <c r="R606" s="107">
        <f t="shared" ca="1" si="259"/>
        <v>-95.207303596048519</v>
      </c>
      <c r="S606" s="108">
        <f t="shared" ca="1" si="260"/>
        <v>-222.45701115026489</v>
      </c>
      <c r="T606" s="116">
        <f t="shared" ca="1" si="261"/>
        <v>-42.45701115026489</v>
      </c>
      <c r="V606" s="72">
        <f t="shared" ca="1" si="262"/>
        <v>478630</v>
      </c>
      <c r="W606" s="72">
        <f t="shared" si="263"/>
        <v>229086676900</v>
      </c>
      <c r="Y606" s="110">
        <f t="shared" si="264"/>
        <v>-7.625414169321493</v>
      </c>
      <c r="Z606" s="111">
        <f t="shared" si="265"/>
        <v>-89.883375447336491</v>
      </c>
      <c r="AA606" s="72">
        <f t="shared" si="266"/>
        <v>90.116624552663509</v>
      </c>
      <c r="AB606" s="110">
        <f t="shared" ca="1" si="267"/>
        <v>-71.664289079845517</v>
      </c>
      <c r="AC606" s="111">
        <f t="shared" ca="1" si="268"/>
        <v>-132.57363570292836</v>
      </c>
      <c r="AD606" s="72">
        <f t="shared" ca="1" si="269"/>
        <v>47.426364297071643</v>
      </c>
    </row>
    <row r="607" spans="1:30">
      <c r="A607" s="118">
        <v>524810</v>
      </c>
      <c r="B607" s="101">
        <f t="shared" ca="1" si="243"/>
        <v>26912.653810032083</v>
      </c>
      <c r="C607" s="102">
        <f t="shared" ca="1" si="244"/>
        <v>1.5707591695525345</v>
      </c>
      <c r="D607" s="102">
        <f t="shared" si="245"/>
        <v>15.530377251321724</v>
      </c>
      <c r="E607" s="103">
        <f t="shared" si="246"/>
        <v>1.5063618132681398</v>
      </c>
      <c r="F607" s="101">
        <f t="shared" si="247"/>
        <v>179382.82916752654</v>
      </c>
      <c r="G607" s="104">
        <f t="shared" si="248"/>
        <v>1.5707907521253217</v>
      </c>
      <c r="H607" s="113">
        <f t="shared" si="249"/>
        <v>22422.853667891079</v>
      </c>
      <c r="I607" s="114">
        <f t="shared" si="250"/>
        <v>1.5707517294383271</v>
      </c>
      <c r="J607" s="101">
        <f t="shared" si="251"/>
        <v>527.59750405985653</v>
      </c>
      <c r="K607" s="104">
        <f t="shared" si="252"/>
        <v>1.5689009414091568</v>
      </c>
      <c r="L607" s="102">
        <f t="shared" si="253"/>
        <v>1</v>
      </c>
      <c r="M607" s="103">
        <f t="shared" si="254"/>
        <v>1.7311762005788249E-8</v>
      </c>
      <c r="N607" s="101">
        <f t="shared" si="255"/>
        <v>1</v>
      </c>
      <c r="O607" s="104">
        <f t="shared" si="256"/>
        <v>2.7698819209261203E-9</v>
      </c>
      <c r="P607" s="105">
        <f t="shared" ca="1" si="257"/>
        <v>40.183013755702852</v>
      </c>
      <c r="Q607" s="106">
        <f t="shared" ca="1" si="258"/>
        <v>2.2923362797450362</v>
      </c>
      <c r="R607" s="107">
        <f t="shared" ca="1" si="259"/>
        <v>-97.168045262369986</v>
      </c>
      <c r="S607" s="108">
        <f t="shared" ca="1" si="260"/>
        <v>-224.92452845694885</v>
      </c>
      <c r="T607" s="116">
        <f t="shared" ca="1" si="261"/>
        <v>-44.924528456948849</v>
      </c>
      <c r="V607" s="72">
        <f t="shared" ca="1" si="262"/>
        <v>524810</v>
      </c>
      <c r="W607" s="72">
        <f t="shared" si="263"/>
        <v>275425536100</v>
      </c>
      <c r="Y607" s="110">
        <f t="shared" si="264"/>
        <v>-8.4254547248930596</v>
      </c>
      <c r="Z607" s="111">
        <f t="shared" si="265"/>
        <v>-89.893637521646511</v>
      </c>
      <c r="AA607" s="72">
        <f t="shared" si="266"/>
        <v>90.106362478353489</v>
      </c>
      <c r="AB607" s="110">
        <f t="shared" ca="1" si="267"/>
        <v>-72.824990190595429</v>
      </c>
      <c r="AC607" s="111">
        <f t="shared" ca="1" si="268"/>
        <v>-135.03089093530238</v>
      </c>
      <c r="AD607" s="72">
        <f t="shared" ca="1" si="269"/>
        <v>44.969109064697619</v>
      </c>
    </row>
    <row r="608" spans="1:30">
      <c r="A608" s="118">
        <v>575440</v>
      </c>
      <c r="B608" s="101">
        <f t="shared" ca="1" si="243"/>
        <v>29508.998507357617</v>
      </c>
      <c r="C608" s="102">
        <f t="shared" ca="1" si="244"/>
        <v>1.5707624388267929</v>
      </c>
      <c r="D608" s="102">
        <f t="shared" si="245"/>
        <v>17.02269982934115</v>
      </c>
      <c r="E608" s="103">
        <f t="shared" si="246"/>
        <v>1.5120173981116856</v>
      </c>
      <c r="F608" s="101">
        <f t="shared" si="247"/>
        <v>196688.43050988292</v>
      </c>
      <c r="G608" s="104">
        <f t="shared" si="248"/>
        <v>1.5707912426117678</v>
      </c>
      <c r="H608" s="113">
        <f t="shared" si="249"/>
        <v>24586.053833754337</v>
      </c>
      <c r="I608" s="114">
        <f t="shared" si="250"/>
        <v>1.5707556533298892</v>
      </c>
      <c r="J608" s="101">
        <f t="shared" si="251"/>
        <v>578.49624815560628</v>
      </c>
      <c r="K608" s="104">
        <f t="shared" si="252"/>
        <v>1.5690677062529139</v>
      </c>
      <c r="L608" s="102">
        <f t="shared" si="253"/>
        <v>1.0000000000000002</v>
      </c>
      <c r="M608" s="103">
        <f t="shared" si="254"/>
        <v>1.8981879782417997E-8</v>
      </c>
      <c r="N608" s="101">
        <f t="shared" si="255"/>
        <v>1</v>
      </c>
      <c r="O608" s="104">
        <f t="shared" si="256"/>
        <v>3.0371007651868801E-9</v>
      </c>
      <c r="P608" s="105">
        <f t="shared" ca="1" si="257"/>
        <v>46.103188911183793</v>
      </c>
      <c r="Q608" s="106">
        <f t="shared" ca="1" si="258"/>
        <v>2.3413725033236679</v>
      </c>
      <c r="R608" s="107">
        <f t="shared" ca="1" si="259"/>
        <v>-99.164800949649134</v>
      </c>
      <c r="S608" s="108">
        <f t="shared" ca="1" si="260"/>
        <v>-227.41960140923482</v>
      </c>
      <c r="T608" s="116">
        <f t="shared" ca="1" si="261"/>
        <v>-47.419601409234815</v>
      </c>
      <c r="V608" s="72">
        <f t="shared" ca="1" si="262"/>
        <v>575440</v>
      </c>
      <c r="W608" s="72">
        <f t="shared" si="263"/>
        <v>331131193600</v>
      </c>
      <c r="Y608" s="110">
        <f t="shared" si="264"/>
        <v>-9.2254110131440115</v>
      </c>
      <c r="Z608" s="111">
        <f t="shared" si="265"/>
        <v>-89.902995643372918</v>
      </c>
      <c r="AA608" s="72">
        <f t="shared" si="266"/>
        <v>90.097004356627082</v>
      </c>
      <c r="AB608" s="110">
        <f t="shared" ca="1" si="267"/>
        <v>-74.021789589623637</v>
      </c>
      <c r="AC608" s="111">
        <f t="shared" ca="1" si="268"/>
        <v>-137.51660576586193</v>
      </c>
      <c r="AD608" s="72">
        <f t="shared" ca="1" si="269"/>
        <v>42.483394234138075</v>
      </c>
    </row>
    <row r="609" spans="1:30">
      <c r="A609" s="118">
        <v>630960</v>
      </c>
      <c r="B609" s="101">
        <f t="shared" ca="1" si="243"/>
        <v>32356.106103857361</v>
      </c>
      <c r="C609" s="102">
        <f t="shared" ca="1" si="244"/>
        <v>1.5707654207273696</v>
      </c>
      <c r="D609" s="102">
        <f t="shared" si="245"/>
        <v>18.659676421413664</v>
      </c>
      <c r="E609" s="103">
        <f t="shared" si="246"/>
        <v>1.5171791433089885</v>
      </c>
      <c r="F609" s="101">
        <f t="shared" si="247"/>
        <v>215665.45967302565</v>
      </c>
      <c r="G609" s="104">
        <f t="shared" si="248"/>
        <v>1.5707916899837842</v>
      </c>
      <c r="H609" s="113">
        <f t="shared" si="249"/>
        <v>26958.18247738565</v>
      </c>
      <c r="I609" s="114">
        <f t="shared" si="250"/>
        <v>1.5707592323060131</v>
      </c>
      <c r="J609" s="101">
        <f t="shared" si="251"/>
        <v>634.31096375947936</v>
      </c>
      <c r="K609" s="104">
        <f t="shared" si="252"/>
        <v>1.5692198123227106</v>
      </c>
      <c r="L609" s="102">
        <f t="shared" si="253"/>
        <v>1.0000000000000002</v>
      </c>
      <c r="M609" s="103">
        <f t="shared" si="254"/>
        <v>2.0813302633661999E-8</v>
      </c>
      <c r="N609" s="101">
        <f t="shared" si="255"/>
        <v>1</v>
      </c>
      <c r="O609" s="104">
        <f t="shared" si="256"/>
        <v>3.33012842138592E-9</v>
      </c>
      <c r="P609" s="105">
        <f t="shared" ca="1" si="257"/>
        <v>53.121448865355639</v>
      </c>
      <c r="Q609" s="106">
        <f t="shared" ca="1" si="258"/>
        <v>2.3900109731124983</v>
      </c>
      <c r="R609" s="107">
        <f t="shared" ca="1" si="259"/>
        <v>-101.19813555352566</v>
      </c>
      <c r="S609" s="108">
        <f t="shared" ca="1" si="260"/>
        <v>-229.91934060855203</v>
      </c>
      <c r="T609" s="116">
        <f t="shared" ca="1" si="261"/>
        <v>-49.919340608552034</v>
      </c>
      <c r="V609" s="72">
        <f t="shared" ca="1" si="262"/>
        <v>630960</v>
      </c>
      <c r="W609" s="72">
        <f t="shared" si="263"/>
        <v>398110521600</v>
      </c>
      <c r="Y609" s="110">
        <f t="shared" si="264"/>
        <v>-10.025444441503266</v>
      </c>
      <c r="Z609" s="111">
        <f t="shared" si="265"/>
        <v>-89.911531163378328</v>
      </c>
      <c r="AA609" s="72">
        <f t="shared" si="266"/>
        <v>90.088468836621672</v>
      </c>
      <c r="AB609" s="110">
        <f t="shared" ca="1" si="267"/>
        <v>-75.255090765140892</v>
      </c>
      <c r="AC609" s="111">
        <f t="shared" ca="1" si="268"/>
        <v>-140.00780944517368</v>
      </c>
      <c r="AD609" s="72">
        <f t="shared" ca="1" si="269"/>
        <v>39.992190554826323</v>
      </c>
    </row>
    <row r="610" spans="1:30">
      <c r="A610" s="118">
        <v>691830</v>
      </c>
      <c r="B610" s="101">
        <f t="shared" ca="1" si="243"/>
        <v>35477.565747485016</v>
      </c>
      <c r="C610" s="102">
        <f t="shared" ca="1" si="244"/>
        <v>1.5707681399681213</v>
      </c>
      <c r="D610" s="102">
        <f t="shared" si="245"/>
        <v>20.454870284018977</v>
      </c>
      <c r="E610" s="103">
        <f t="shared" si="246"/>
        <v>1.5218887191492869</v>
      </c>
      <c r="F610" s="101">
        <f t="shared" si="247"/>
        <v>236471.14708590004</v>
      </c>
      <c r="G610" s="104">
        <f t="shared" si="248"/>
        <v>1.5707920979491692</v>
      </c>
      <c r="H610" s="113">
        <f t="shared" si="249"/>
        <v>29558.893402388585</v>
      </c>
      <c r="I610" s="114">
        <f t="shared" si="250"/>
        <v>1.5707624960290902</v>
      </c>
      <c r="J610" s="101">
        <f t="shared" si="251"/>
        <v>695.50409267924215</v>
      </c>
      <c r="K610" s="104">
        <f t="shared" si="252"/>
        <v>1.5693585202383662</v>
      </c>
      <c r="L610" s="102">
        <f t="shared" si="253"/>
        <v>1.0000000000000002</v>
      </c>
      <c r="M610" s="103">
        <f t="shared" si="254"/>
        <v>2.282120445201975E-8</v>
      </c>
      <c r="N610" s="101">
        <f t="shared" si="255"/>
        <v>1</v>
      </c>
      <c r="O610" s="104">
        <f t="shared" si="256"/>
        <v>3.6513927123231603E-9</v>
      </c>
      <c r="P610" s="105">
        <f t="shared" ca="1" si="257"/>
        <v>61.46380260274438</v>
      </c>
      <c r="Q610" s="106">
        <f t="shared" ca="1" si="258"/>
        <v>2.4378824089885498</v>
      </c>
      <c r="R610" s="107">
        <f t="shared" ca="1" si="259"/>
        <v>-103.26717409147651</v>
      </c>
      <c r="S610" s="108">
        <f t="shared" ca="1" si="260"/>
        <v>-232.40027248704033</v>
      </c>
      <c r="T610" s="116">
        <f t="shared" ca="1" si="261"/>
        <v>-52.400272487040326</v>
      </c>
      <c r="V610" s="72">
        <f t="shared" ca="1" si="262"/>
        <v>691830</v>
      </c>
      <c r="W610" s="72">
        <f t="shared" si="263"/>
        <v>478628748900</v>
      </c>
      <c r="Y610" s="110">
        <f t="shared" si="264"/>
        <v>-10.825393880474488</v>
      </c>
      <c r="Z610" s="111">
        <f t="shared" si="265"/>
        <v>-89.919314822039041</v>
      </c>
      <c r="AA610" s="72">
        <f t="shared" si="266"/>
        <v>90.080685177960959</v>
      </c>
      <c r="AB610" s="110">
        <f t="shared" ca="1" si="267"/>
        <v>-76.524179864120526</v>
      </c>
      <c r="AC610" s="111">
        <f t="shared" ca="1" si="268"/>
        <v>-142.48095766500128</v>
      </c>
      <c r="AD610" s="72">
        <f t="shared" ca="1" si="269"/>
        <v>37.519042334998716</v>
      </c>
    </row>
    <row r="611" spans="1:30">
      <c r="A611" s="118">
        <v>758580</v>
      </c>
      <c r="B611" s="101">
        <f t="shared" ca="1" si="243"/>
        <v>38900.556239146164</v>
      </c>
      <c r="C611" s="102">
        <f t="shared" ca="1" si="244"/>
        <v>1.5707706202216034</v>
      </c>
      <c r="D611" s="102">
        <f t="shared" si="245"/>
        <v>22.423912635193844</v>
      </c>
      <c r="E611" s="103">
        <f t="shared" si="246"/>
        <v>1.5261862817364589</v>
      </c>
      <c r="F611" s="101">
        <f t="shared" si="247"/>
        <v>259286.64954707399</v>
      </c>
      <c r="G611" s="104">
        <f t="shared" si="248"/>
        <v>1.5707924700594968</v>
      </c>
      <c r="H611" s="113">
        <f t="shared" si="249"/>
        <v>32410.831208570144</v>
      </c>
      <c r="I611" s="114">
        <f t="shared" si="250"/>
        <v>1.570765472911708</v>
      </c>
      <c r="J611" s="101">
        <f t="shared" si="251"/>
        <v>762.60844842457607</v>
      </c>
      <c r="K611" s="104">
        <f t="shared" si="252"/>
        <v>1.5694850375105387</v>
      </c>
      <c r="L611" s="102">
        <f t="shared" si="253"/>
        <v>1.0000000000000004</v>
      </c>
      <c r="M611" s="103">
        <f t="shared" si="254"/>
        <v>2.5023068200588496E-8</v>
      </c>
      <c r="N611" s="101">
        <f t="shared" si="255"/>
        <v>1</v>
      </c>
      <c r="O611" s="104">
        <f t="shared" si="256"/>
        <v>4.0036909120941603E-9</v>
      </c>
      <c r="P611" s="105">
        <f t="shared" ca="1" si="257"/>
        <v>71.406357571637429</v>
      </c>
      <c r="Q611" s="106">
        <f t="shared" ca="1" si="258"/>
        <v>2.484657011563133</v>
      </c>
      <c r="R611" s="107">
        <f t="shared" ca="1" si="259"/>
        <v>-105.37130833276709</v>
      </c>
      <c r="S611" s="108">
        <f t="shared" ca="1" si="260"/>
        <v>-234.8412692726732</v>
      </c>
      <c r="T611" s="116">
        <f t="shared" ca="1" si="261"/>
        <v>-54.841269272673202</v>
      </c>
      <c r="V611" s="72">
        <f t="shared" ca="1" si="262"/>
        <v>758580</v>
      </c>
      <c r="W611" s="72">
        <f t="shared" si="263"/>
        <v>575443616400</v>
      </c>
      <c r="Y611" s="110">
        <f t="shared" si="264"/>
        <v>-11.625432327048857</v>
      </c>
      <c r="Z611" s="111">
        <f t="shared" si="265"/>
        <v>-89.926414379347037</v>
      </c>
      <c r="AA611" s="72">
        <f t="shared" si="266"/>
        <v>90.073585620652963</v>
      </c>
      <c r="AB611" s="110">
        <f t="shared" ca="1" si="267"/>
        <v>-77.828275658836731</v>
      </c>
      <c r="AC611" s="111">
        <f t="shared" ca="1" si="268"/>
        <v>-144.91485489332612</v>
      </c>
      <c r="AD611" s="72">
        <f t="shared" ca="1" si="269"/>
        <v>35.085145106673878</v>
      </c>
    </row>
    <row r="612" spans="1:30">
      <c r="A612" s="118">
        <v>831760</v>
      </c>
      <c r="B612" s="101">
        <f t="shared" ca="1" si="243"/>
        <v>42653.281994876961</v>
      </c>
      <c r="C612" s="102">
        <f t="shared" ca="1" si="244"/>
        <v>1.5707728819401674</v>
      </c>
      <c r="D612" s="102">
        <f t="shared" si="245"/>
        <v>24.58302802075087</v>
      </c>
      <c r="E612" s="103">
        <f t="shared" si="246"/>
        <v>1.5301066284228604</v>
      </c>
      <c r="F612" s="101">
        <f t="shared" si="247"/>
        <v>284299.9599607219</v>
      </c>
      <c r="G612" s="104">
        <f t="shared" si="248"/>
        <v>1.570792809383216</v>
      </c>
      <c r="H612" s="113">
        <f t="shared" si="249"/>
        <v>35537.495008940052</v>
      </c>
      <c r="I612" s="114">
        <f t="shared" si="250"/>
        <v>1.5707681875014579</v>
      </c>
      <c r="J612" s="101">
        <f t="shared" si="251"/>
        <v>836.1769507802519</v>
      </c>
      <c r="K612" s="104">
        <f t="shared" si="252"/>
        <v>1.5696004073935816</v>
      </c>
      <c r="L612" s="102">
        <f t="shared" si="253"/>
        <v>1.0000000000000004</v>
      </c>
      <c r="M612" s="103">
        <f t="shared" si="254"/>
        <v>2.7437036576921996E-8</v>
      </c>
      <c r="N612" s="101">
        <f t="shared" si="255"/>
        <v>1</v>
      </c>
      <c r="O612" s="104">
        <f t="shared" si="256"/>
        <v>4.3899258523075199E-9</v>
      </c>
      <c r="P612" s="105">
        <f t="shared" ca="1" si="257"/>
        <v>83.276909001519471</v>
      </c>
      <c r="Q612" s="106">
        <f t="shared" ca="1" si="258"/>
        <v>2.5300163765368771</v>
      </c>
      <c r="R612" s="107">
        <f t="shared" ca="1" si="259"/>
        <v>-107.50844744736568</v>
      </c>
      <c r="S612" s="108">
        <f t="shared" ca="1" si="260"/>
        <v>-237.22215371583397</v>
      </c>
      <c r="T612" s="116">
        <f t="shared" ca="1" si="261"/>
        <v>-57.222153715833969</v>
      </c>
      <c r="V612" s="72">
        <f t="shared" ca="1" si="262"/>
        <v>831760</v>
      </c>
      <c r="W612" s="72">
        <f t="shared" si="263"/>
        <v>691824697600</v>
      </c>
      <c r="Y612" s="110">
        <f t="shared" si="264"/>
        <v>-12.425363924353341</v>
      </c>
      <c r="Z612" s="111">
        <f t="shared" si="265"/>
        <v>-89.932888377836377</v>
      </c>
      <c r="AA612" s="72">
        <f t="shared" si="266"/>
        <v>90.067111622163623</v>
      </c>
      <c r="AB612" s="110">
        <f t="shared" ca="1" si="267"/>
        <v>-79.165483176130834</v>
      </c>
      <c r="AC612" s="111">
        <f t="shared" ca="1" si="268"/>
        <v>-147.28926533799765</v>
      </c>
      <c r="AD612" s="72">
        <f t="shared" ca="1" si="269"/>
        <v>32.710734662002352</v>
      </c>
    </row>
    <row r="613" spans="1:30">
      <c r="A613" s="118">
        <v>912010</v>
      </c>
      <c r="B613" s="101">
        <f t="shared" ca="1" si="243"/>
        <v>46768.562698794201</v>
      </c>
      <c r="C613" s="102">
        <f t="shared" ca="1" si="244"/>
        <v>1.5707749449105202</v>
      </c>
      <c r="D613" s="102">
        <f t="shared" si="245"/>
        <v>26.95109928827365</v>
      </c>
      <c r="E613" s="103">
        <f t="shared" si="246"/>
        <v>1.5336835698847144</v>
      </c>
      <c r="F613" s="101">
        <f t="shared" si="247"/>
        <v>311729.83370624721</v>
      </c>
      <c r="G613" s="104">
        <f t="shared" si="248"/>
        <v>1.5707931188889093</v>
      </c>
      <c r="H613" s="113">
        <f t="shared" si="249"/>
        <v>38966.22922591203</v>
      </c>
      <c r="I613" s="114">
        <f t="shared" si="250"/>
        <v>1.5707706635470029</v>
      </c>
      <c r="J613" s="101">
        <f t="shared" si="251"/>
        <v>916.85299741633571</v>
      </c>
      <c r="K613" s="104">
        <f t="shared" si="252"/>
        <v>1.5697056391916662</v>
      </c>
      <c r="L613" s="102">
        <f t="shared" si="253"/>
        <v>1.0000000000000004</v>
      </c>
      <c r="M613" s="103">
        <f t="shared" si="254"/>
        <v>3.0084221083628245E-8</v>
      </c>
      <c r="N613" s="101">
        <f t="shared" si="255"/>
        <v>1</v>
      </c>
      <c r="O613" s="104">
        <f t="shared" si="256"/>
        <v>4.8134753733805205E-9</v>
      </c>
      <c r="P613" s="105">
        <f t="shared" ca="1" si="257"/>
        <v>97.475955307302698</v>
      </c>
      <c r="Q613" s="106">
        <f t="shared" ca="1" si="258"/>
        <v>2.5737086908617903</v>
      </c>
      <c r="R613" s="107">
        <f t="shared" ca="1" si="259"/>
        <v>-109.67714508199467</v>
      </c>
      <c r="S613" s="108">
        <f t="shared" ca="1" si="260"/>
        <v>-239.52661855351491</v>
      </c>
      <c r="T613" s="116">
        <f t="shared" ca="1" si="261"/>
        <v>-59.526618553514908</v>
      </c>
      <c r="V613" s="72">
        <f t="shared" ca="1" si="262"/>
        <v>912010</v>
      </c>
      <c r="W613" s="72">
        <f t="shared" si="263"/>
        <v>831762240100</v>
      </c>
      <c r="Y613" s="110">
        <f t="shared" si="264"/>
        <v>-13.225394266690436</v>
      </c>
      <c r="Z613" s="111">
        <f t="shared" si="265"/>
        <v>-89.938793454749373</v>
      </c>
      <c r="AA613" s="72">
        <f t="shared" si="266"/>
        <v>90.061206545250627</v>
      </c>
      <c r="AB613" s="110">
        <f t="shared" ca="1" si="267"/>
        <v>-80.534150468422737</v>
      </c>
      <c r="AC613" s="111">
        <f t="shared" ca="1" si="268"/>
        <v>-149.58782509876551</v>
      </c>
      <c r="AD613" s="72">
        <f t="shared" ca="1" si="269"/>
        <v>30.412174901234494</v>
      </c>
    </row>
    <row r="614" spans="1:30">
      <c r="A614" s="118">
        <v>1000000</v>
      </c>
      <c r="B614" s="101">
        <f t="shared" ca="1" si="243"/>
        <v>51280.756457709424</v>
      </c>
      <c r="C614" s="102">
        <f t="shared" ca="1" si="244"/>
        <v>1.5707768263025259</v>
      </c>
      <c r="D614" s="102">
        <f t="shared" si="245"/>
        <v>29.547897435981231</v>
      </c>
      <c r="E614" s="103">
        <f t="shared" si="246"/>
        <v>1.5369465073254052</v>
      </c>
      <c r="F614" s="101">
        <f t="shared" si="247"/>
        <v>341805.28032146284</v>
      </c>
      <c r="G614" s="104">
        <f t="shared" si="248"/>
        <v>1.5707934011525571</v>
      </c>
      <c r="H614" s="113">
        <f t="shared" si="249"/>
        <v>42725.660051702573</v>
      </c>
      <c r="I614" s="114">
        <f t="shared" si="250"/>
        <v>1.5707729216561841</v>
      </c>
      <c r="J614" s="101">
        <f t="shared" si="251"/>
        <v>1005.3101453590748</v>
      </c>
      <c r="K614" s="104">
        <f t="shared" si="252"/>
        <v>1.5698016087275151</v>
      </c>
      <c r="L614" s="102">
        <f t="shared" si="253"/>
        <v>1.0000000000000004</v>
      </c>
      <c r="M614" s="103">
        <f t="shared" si="254"/>
        <v>3.2986722824999993E-8</v>
      </c>
      <c r="N614" s="101">
        <f t="shared" si="255"/>
        <v>1</v>
      </c>
      <c r="O614" s="104">
        <f t="shared" si="256"/>
        <v>5.2778756520000005E-9</v>
      </c>
      <c r="P614" s="105">
        <f t="shared" ca="1" si="257"/>
        <v>114.47963251325822</v>
      </c>
      <c r="Q614" s="106">
        <f t="shared" ca="1" si="258"/>
        <v>2.6155136954858387</v>
      </c>
      <c r="R614" s="107">
        <f t="shared" ca="1" si="259"/>
        <v>-111.87477275310155</v>
      </c>
      <c r="S614" s="108">
        <f t="shared" ca="1" si="260"/>
        <v>-241.74040943724512</v>
      </c>
      <c r="T614" s="116">
        <f t="shared" ca="1" si="261"/>
        <v>-61.74040943724512</v>
      </c>
      <c r="V614" s="72">
        <f t="shared" ca="1" si="262"/>
        <v>1000000</v>
      </c>
      <c r="W614" s="72">
        <f t="shared" si="263"/>
        <v>1000000000000</v>
      </c>
      <c r="Y614" s="110">
        <f t="shared" si="264"/>
        <v>-14.025401391922605</v>
      </c>
      <c r="Z614" s="111">
        <f t="shared" si="265"/>
        <v>-89.944178756818545</v>
      </c>
      <c r="AA614" s="72">
        <f t="shared" si="266"/>
        <v>90.055821243181455</v>
      </c>
      <c r="AB614" s="110">
        <f t="shared" ca="1" si="267"/>
        <v>-81.931771014297425</v>
      </c>
      <c r="AC614" s="111">
        <f t="shared" ca="1" si="268"/>
        <v>-151.79623068042659</v>
      </c>
      <c r="AD614" s="72">
        <f t="shared" ca="1" si="269"/>
        <v>28.203769319573411</v>
      </c>
    </row>
    <row r="615" spans="1:30">
      <c r="A615" s="120"/>
      <c r="B615" s="101"/>
      <c r="C615" s="102"/>
      <c r="D615" s="102"/>
      <c r="E615" s="103"/>
      <c r="F615" s="101"/>
      <c r="G615" s="104"/>
      <c r="H615" s="113"/>
      <c r="I615" s="114"/>
      <c r="J615" s="101"/>
      <c r="K615" s="104"/>
      <c r="L615" s="102"/>
      <c r="M615" s="103"/>
      <c r="N615" s="101"/>
      <c r="O615" s="104"/>
      <c r="P615" s="105"/>
      <c r="Q615" s="106"/>
      <c r="R615" s="107"/>
      <c r="S615" s="108"/>
      <c r="T615" s="116"/>
      <c r="Y615" s="110"/>
      <c r="Z615" s="111"/>
      <c r="AB615" s="110"/>
      <c r="AC615" s="111"/>
    </row>
    <row r="616" spans="1:30">
      <c r="A616" s="121"/>
      <c r="B616" s="101"/>
      <c r="C616" s="102"/>
      <c r="D616" s="102"/>
      <c r="E616" s="103"/>
      <c r="F616" s="101"/>
      <c r="G616" s="104"/>
      <c r="H616" s="113"/>
      <c r="I616" s="114"/>
      <c r="J616" s="101"/>
      <c r="K616" s="104"/>
      <c r="L616" s="102"/>
      <c r="M616" s="103"/>
      <c r="N616" s="101"/>
      <c r="O616" s="104"/>
      <c r="P616" s="105"/>
      <c r="Q616" s="106"/>
      <c r="R616" s="107"/>
      <c r="S616" s="108"/>
      <c r="T616" s="116"/>
      <c r="Y616" s="110"/>
      <c r="Z616" s="111"/>
      <c r="AB616" s="110"/>
      <c r="AC616" s="111"/>
    </row>
    <row r="617" spans="1:30">
      <c r="A617" s="122" t="s">
        <v>133</v>
      </c>
      <c r="B617" s="101"/>
      <c r="C617" s="102"/>
      <c r="D617" s="102"/>
      <c r="E617" s="103"/>
      <c r="F617" s="101"/>
      <c r="G617" s="104"/>
      <c r="H617" s="113"/>
      <c r="I617" s="114"/>
      <c r="J617" s="101"/>
      <c r="K617" s="104"/>
      <c r="L617" s="102"/>
      <c r="M617" s="103"/>
      <c r="N617" s="101"/>
      <c r="O617" s="104"/>
      <c r="P617" s="105"/>
      <c r="Q617" s="106"/>
      <c r="R617" s="107"/>
      <c r="S617" s="108"/>
      <c r="T617" s="116"/>
      <c r="Y617" s="110"/>
      <c r="Z617" s="111"/>
      <c r="AB617" s="110"/>
      <c r="AC617" s="111"/>
    </row>
    <row r="618" spans="1:30">
      <c r="A618" s="123">
        <f ca="1">R4*1000</f>
        <v>3311.3</v>
      </c>
      <c r="B618" s="101">
        <f t="shared" ref="B618:B623" ca="1" si="270">SQRT(1+(A618/Pole1)^2)</f>
        <v>169.80891333784487</v>
      </c>
      <c r="C618" s="102">
        <f t="shared" ref="C618:C623" ca="1" si="271">ATAN(A618/Pole1)</f>
        <v>1.5649073203791974</v>
      </c>
      <c r="D618" s="102">
        <f t="shared" ref="D618:D623" ca="1" si="272">SQRT(1+(A618/Zero1)^2)</f>
        <v>1.004769666648067</v>
      </c>
      <c r="E618" s="103">
        <f t="shared" ref="E618:E623" ca="1" si="273">ATAN(A618/Zero1)</f>
        <v>9.7476001053986142E-2</v>
      </c>
      <c r="F618" s="101">
        <f t="shared" ref="F618:F623" ca="1" si="274">SQRT(1+(A618/Pole2)^2)</f>
        <v>1131.820266489957</v>
      </c>
      <c r="G618" s="104">
        <f t="shared" ref="G618:G623" ca="1" si="275">ATAN(A618/Pole2)</f>
        <v>1.5699127941707582</v>
      </c>
      <c r="H618" s="113">
        <f t="shared" ref="H618:H623" ca="1" si="276">SQRT(1+(A618/Zero2)^2)</f>
        <v>141.48101217772771</v>
      </c>
      <c r="I618" s="114">
        <f t="shared" ref="I618:I623" ca="1" si="277">ATAN(A618/Zero2)</f>
        <v>1.5637281816699646</v>
      </c>
      <c r="J618" s="101">
        <f t="shared" ref="J618:J623" ca="1" si="278">SQRT(1+(A618/pole4)^2)</f>
        <v>3.4758386452079066</v>
      </c>
      <c r="K618" s="104">
        <f t="shared" ref="K618:K623" ca="1" si="279">ATAN(A618/pole4)</f>
        <v>1.2789715267514521</v>
      </c>
      <c r="L618" s="102">
        <f t="shared" ref="L618:L623" ca="1" si="280">SQRT(1+(A618/Zerofeed)^2)</f>
        <v>1</v>
      </c>
      <c r="M618" s="103">
        <f t="shared" ref="M618:M623" ca="1" si="281">ATAN(A618/Zerofeed)</f>
        <v>1.0922893529042251E-10</v>
      </c>
      <c r="N618" s="101">
        <f t="shared" ref="N618:N623" ca="1" si="282">SQRT(1+(A618/Polefeed)^2)</f>
        <v>1</v>
      </c>
      <c r="O618" s="104">
        <f t="shared" ref="O618:O623" ca="1" si="283">ATAN(A618/Polefeed)</f>
        <v>1.7476629646467601E-11</v>
      </c>
      <c r="P618" s="105">
        <f t="shared" ref="P618:P623" ca="1" si="284">SQRT((1-(W618/pterm2))^2+(A618/pterm1)^2)</f>
        <v>1.0168785980103532</v>
      </c>
      <c r="Q618" s="106">
        <f t="shared" ref="Q618:Q623" ca="1" si="285">IF((ATAN((A618/pterm1)/(1-A618^2/pterm2))&gt;0),ATAN((A618/pterm1)/(1-A618^2/pterm2)),PI()+ATAN((A618/pterm1)/(1-A618^2/pterm2)))</f>
        <v>0.18830313463052251</v>
      </c>
      <c r="R618" s="107">
        <f t="shared" ref="R618:R623" ca="1" si="286">20*LOG10(((D618*H618*L618)/(B618*F618*P618*J618*N618))*Adc)</f>
        <v>-1.38989016818865</v>
      </c>
      <c r="S618" s="108">
        <f t="shared" ref="S618:S623" ca="1" si="287">((E618+I618+M618)-(C618+G618+Q618+K618+O618))*radconv</f>
        <v>-168.50061918782529</v>
      </c>
      <c r="T618" s="116">
        <f t="shared" ref="T618:T623" ca="1" si="288">IF(S618&gt;0,S618,S618+180)</f>
        <v>11.499380812174707</v>
      </c>
      <c r="U618" s="72" t="s">
        <v>134</v>
      </c>
      <c r="W618" s="72">
        <f ca="1">A618^2</f>
        <v>10964707.690000001</v>
      </c>
      <c r="Y618" s="110">
        <f t="shared" ref="Y618:Y623" ca="1" si="289">20*LOG10(((H618*L618)/(F618*J618*N618))*Aea)</f>
        <v>35.199621342628561</v>
      </c>
      <c r="Z618" s="111">
        <f t="shared" ref="Z618:Z623" ca="1" si="290">(I618+M618-(G618+K618+O618))*radconv</f>
        <v>-73.634022873362923</v>
      </c>
      <c r="AA618" s="72">
        <f t="shared" ref="AA618:AA623" ca="1" si="291">IF(Z618&gt;0,Z618,Z618+180)</f>
        <v>106.36597712663708</v>
      </c>
      <c r="AB618" s="110">
        <f t="shared" ref="AB618:AB623" ca="1" si="292">20*LOG10((D618/(B618*P618))*Acs*Am)</f>
        <v>-20.671911163935704</v>
      </c>
      <c r="AC618" s="111">
        <f t="shared" ref="AC618:AC623" ca="1" si="293">(E618-(C618+Q618))*radconv</f>
        <v>-94.866596314462356</v>
      </c>
      <c r="AD618" s="72">
        <f t="shared" ref="AD618:AD623" ca="1" si="294">IF(AC618&gt;0,AC618,AC618+180)</f>
        <v>85.133403685537644</v>
      </c>
    </row>
    <row r="619" spans="1:30">
      <c r="A619" s="122">
        <f ca="1">Pole1</f>
        <v>19.500492373095579</v>
      </c>
      <c r="B619" s="101">
        <f t="shared" ca="1" si="270"/>
        <v>1.4142135623730951</v>
      </c>
      <c r="C619" s="102">
        <f t="shared" ca="1" si="271"/>
        <v>0.78539816339744828</v>
      </c>
      <c r="D619" s="102">
        <f t="shared" ca="1" si="272"/>
        <v>1.0000001658122355</v>
      </c>
      <c r="E619" s="103">
        <f t="shared" ca="1" si="273"/>
        <v>5.7586840934321069E-4</v>
      </c>
      <c r="F619" s="101">
        <f t="shared" ca="1" si="274"/>
        <v>6.7399684019893584</v>
      </c>
      <c r="G619" s="104">
        <f t="shared" ca="1" si="275"/>
        <v>1.42187786852943</v>
      </c>
      <c r="H619" s="113">
        <f t="shared" ca="1" si="276"/>
        <v>1.3016046230267504</v>
      </c>
      <c r="I619" s="114">
        <f t="shared" ca="1" si="277"/>
        <v>0.69464270594420274</v>
      </c>
      <c r="J619" s="101">
        <f t="shared" ca="1" si="278"/>
        <v>1.0001921405983474</v>
      </c>
      <c r="K619" s="104">
        <f t="shared" ca="1" si="279"/>
        <v>1.9601522307352372E-2</v>
      </c>
      <c r="L619" s="102">
        <f t="shared" ca="1" si="280"/>
        <v>1</v>
      </c>
      <c r="M619" s="103">
        <f t="shared" ca="1" si="281"/>
        <v>6.4325733686233039E-13</v>
      </c>
      <c r="N619" s="101">
        <f t="shared" ca="1" si="282"/>
        <v>1</v>
      </c>
      <c r="O619" s="104">
        <f t="shared" ca="1" si="283"/>
        <v>1.0292117389797287E-13</v>
      </c>
      <c r="P619" s="105">
        <f t="shared" ca="1" si="284"/>
        <v>1.0000006283159941</v>
      </c>
      <c r="Q619" s="106">
        <f t="shared" ca="1" si="285"/>
        <v>1.1209957295257587E-3</v>
      </c>
      <c r="R619" s="107">
        <f t="shared" ca="1" si="286"/>
        <v>54.900601340192104</v>
      </c>
      <c r="S619" s="108">
        <f t="shared" ca="1" si="287"/>
        <v>-87.821823624950412</v>
      </c>
      <c r="T619" s="116">
        <f t="shared" ca="1" si="288"/>
        <v>92.178176375049588</v>
      </c>
      <c r="U619" s="72" t="s">
        <v>107</v>
      </c>
      <c r="Y619" s="110">
        <f t="shared" ca="1" si="289"/>
        <v>49.79715534047596</v>
      </c>
      <c r="Z619" s="111">
        <f t="shared" ca="1" si="290"/>
        <v>-42.790590078751009</v>
      </c>
      <c r="AA619" s="72">
        <f t="shared" ca="1" si="291"/>
        <v>137.20940992124901</v>
      </c>
      <c r="AB619" s="110">
        <f t="shared" ca="1" si="292"/>
        <v>21.02104634659765</v>
      </c>
      <c r="AC619" s="111">
        <f t="shared" ca="1" si="293"/>
        <v>-45.031233546199417</v>
      </c>
      <c r="AD619" s="72">
        <f t="shared" ca="1" si="294"/>
        <v>134.96876645380058</v>
      </c>
    </row>
    <row r="620" spans="1:30">
      <c r="A620" s="122">
        <f>Zero1</f>
        <v>33862.753888033272</v>
      </c>
      <c r="B620" s="101">
        <f t="shared" ca="1" si="270"/>
        <v>1736.5079227236297</v>
      </c>
      <c r="C620" s="102">
        <f t="shared" ca="1" si="271"/>
        <v>1.5702204583855535</v>
      </c>
      <c r="D620" s="102">
        <f t="shared" si="272"/>
        <v>1.4142135623730951</v>
      </c>
      <c r="E620" s="103">
        <f t="shared" si="273"/>
        <v>0.78539816339744828</v>
      </c>
      <c r="F620" s="101">
        <f t="shared" si="274"/>
        <v>11574.468128304914</v>
      </c>
      <c r="G620" s="104">
        <f t="shared" si="275"/>
        <v>1.5707099297362881</v>
      </c>
      <c r="H620" s="113">
        <f t="shared" si="276"/>
        <v>1446.808856226492</v>
      </c>
      <c r="I620" s="114">
        <f t="shared" si="277"/>
        <v>1.5701051504343724</v>
      </c>
      <c r="J620" s="101">
        <f t="shared" si="278"/>
        <v>34.057237524429112</v>
      </c>
      <c r="K620" s="104">
        <f t="shared" si="279"/>
        <v>1.5414297715605518</v>
      </c>
      <c r="L620" s="102">
        <f t="shared" si="280"/>
        <v>1</v>
      </c>
      <c r="M620" s="103">
        <f t="shared" si="281"/>
        <v>1.1170212765957447E-9</v>
      </c>
      <c r="N620" s="101">
        <f t="shared" si="282"/>
        <v>1</v>
      </c>
      <c r="O620" s="104">
        <f t="shared" si="283"/>
        <v>1.7872340425531915E-10</v>
      </c>
      <c r="P620" s="105">
        <f t="shared" ca="1" si="284"/>
        <v>2.1884522233603914</v>
      </c>
      <c r="Q620" s="106">
        <f t="shared" ca="1" si="285"/>
        <v>1.1439539155609053</v>
      </c>
      <c r="R620" s="107">
        <f t="shared" ca="1" si="286"/>
        <v>-45.095813258206839</v>
      </c>
      <c r="S620" s="108">
        <f t="shared" ca="1" si="287"/>
        <v>-198.86280829093877</v>
      </c>
      <c r="T620" s="116">
        <f t="shared" ca="1" si="288"/>
        <v>-18.862808290938773</v>
      </c>
      <c r="U620" s="72" t="s">
        <v>101</v>
      </c>
      <c r="Y620" s="110">
        <f t="shared" si="289"/>
        <v>15.376413590726909</v>
      </c>
      <c r="Z620" s="111">
        <f t="shared" si="290"/>
        <v>-88.35207167496732</v>
      </c>
      <c r="AA620" s="72">
        <f t="shared" si="291"/>
        <v>91.64792832503268</v>
      </c>
      <c r="AB620" s="110">
        <f t="shared" ca="1" si="292"/>
        <v>-44.554626502052244</v>
      </c>
      <c r="AC620" s="111">
        <f t="shared" ca="1" si="293"/>
        <v>-110.51073661597145</v>
      </c>
      <c r="AD620" s="72">
        <f t="shared" ca="1" si="294"/>
        <v>69.489263384028547</v>
      </c>
    </row>
    <row r="621" spans="1:30">
      <c r="A621" s="122">
        <f>Pole2</f>
        <v>2.9256423395911098</v>
      </c>
      <c r="B621" s="101">
        <f t="shared" ca="1" si="270"/>
        <v>1.0111917456798081</v>
      </c>
      <c r="C621" s="102">
        <f t="shared" ca="1" si="271"/>
        <v>0.14891845826546668</v>
      </c>
      <c r="D621" s="102">
        <f t="shared" si="272"/>
        <v>1.0000000037322259</v>
      </c>
      <c r="E621" s="103">
        <f t="shared" si="273"/>
        <v>8.6397058608560503E-5</v>
      </c>
      <c r="F621" s="101">
        <f t="shared" si="274"/>
        <v>1.4142135623730951</v>
      </c>
      <c r="G621" s="104">
        <f t="shared" si="275"/>
        <v>0.78539816339744828</v>
      </c>
      <c r="H621" s="113">
        <f t="shared" si="276"/>
        <v>1.0077822185373186</v>
      </c>
      <c r="I621" s="114">
        <f t="shared" si="277"/>
        <v>0.12435499454676144</v>
      </c>
      <c r="J621" s="101">
        <f t="shared" si="278"/>
        <v>1.0000043252501616</v>
      </c>
      <c r="K621" s="104">
        <f t="shared" si="279"/>
        <v>2.9411679897312424E-3</v>
      </c>
      <c r="L621" s="102">
        <f t="shared" si="280"/>
        <v>1</v>
      </c>
      <c r="M621" s="103">
        <f t="shared" si="281"/>
        <v>9.6507352941176473E-14</v>
      </c>
      <c r="N621" s="101">
        <f t="shared" si="282"/>
        <v>1</v>
      </c>
      <c r="O621" s="104">
        <f t="shared" si="283"/>
        <v>1.5441176470588234E-14</v>
      </c>
      <c r="P621" s="105">
        <f t="shared" ca="1" si="284"/>
        <v>1.0000000141426097</v>
      </c>
      <c r="Q621" s="106">
        <f t="shared" ca="1" si="285"/>
        <v>1.6818210160996232E-4</v>
      </c>
      <c r="R621" s="107">
        <f t="shared" ca="1" si="286"/>
        <v>69.156475521226454</v>
      </c>
      <c r="S621" s="108">
        <f t="shared" ca="1" si="287"/>
        <v>-46.580585304967812</v>
      </c>
      <c r="T621" s="116">
        <f t="shared" ca="1" si="288"/>
        <v>133.41941469503217</v>
      </c>
      <c r="U621" s="72" t="s">
        <v>111</v>
      </c>
      <c r="X621" s="72">
        <f>Pole2</f>
        <v>2.9256423395911098</v>
      </c>
      <c r="Y621" s="110">
        <f t="shared" si="289"/>
        <v>61.139395954504046</v>
      </c>
      <c r="Z621" s="111">
        <f t="shared" si="290"/>
        <v>-38.043500207215168</v>
      </c>
      <c r="AA621" s="72">
        <f t="shared" si="291"/>
        <v>141.95649979278483</v>
      </c>
      <c r="AB621" s="110">
        <f t="shared" ca="1" si="292"/>
        <v>23.934679913603908</v>
      </c>
      <c r="AC621" s="111">
        <f t="shared" ca="1" si="293"/>
        <v>-8.537085097752648</v>
      </c>
      <c r="AD621" s="72">
        <f t="shared" ca="1" si="294"/>
        <v>171.46291490224735</v>
      </c>
    </row>
    <row r="622" spans="1:30">
      <c r="A622" s="122">
        <f>Zero2</f>
        <v>23.405138716728878</v>
      </c>
      <c r="B622" s="101">
        <f t="shared" ca="1" si="270"/>
        <v>1.5622291054715913</v>
      </c>
      <c r="C622" s="102">
        <f t="shared" ca="1" si="271"/>
        <v>0.87615362085069382</v>
      </c>
      <c r="D622" s="102">
        <f t="shared" si="272"/>
        <v>1.0000002388624283</v>
      </c>
      <c r="E622" s="103">
        <f t="shared" si="273"/>
        <v>6.9117636052419356E-4</v>
      </c>
      <c r="F622" s="101">
        <f t="shared" si="274"/>
        <v>8.0622577482985491</v>
      </c>
      <c r="G622" s="104">
        <f t="shared" si="275"/>
        <v>1.4464413322481351</v>
      </c>
      <c r="H622" s="113">
        <f t="shared" si="276"/>
        <v>1.4142135623730951</v>
      </c>
      <c r="I622" s="114">
        <f t="shared" si="277"/>
        <v>0.78539816339744828</v>
      </c>
      <c r="J622" s="101">
        <f t="shared" si="278"/>
        <v>1.0002767783058812</v>
      </c>
      <c r="K622" s="104">
        <f t="shared" si="279"/>
        <v>2.352507098521691E-2</v>
      </c>
      <c r="L622" s="102">
        <f t="shared" si="280"/>
        <v>1</v>
      </c>
      <c r="M622" s="103">
        <f t="shared" si="281"/>
        <v>7.7205882352941178E-13</v>
      </c>
      <c r="N622" s="101">
        <f t="shared" si="282"/>
        <v>1</v>
      </c>
      <c r="O622" s="104">
        <f t="shared" si="283"/>
        <v>1.2352941176470587E-13</v>
      </c>
      <c r="P622" s="105">
        <f t="shared" ca="1" si="284"/>
        <v>1.0000009051266237</v>
      </c>
      <c r="Q622" s="106">
        <f t="shared" ca="1" si="285"/>
        <v>1.3454560862456355E-3</v>
      </c>
      <c r="R622" s="107">
        <f t="shared" ca="1" si="286"/>
        <v>53.200012001281571</v>
      </c>
      <c r="S622" s="108">
        <f t="shared" ca="1" si="287"/>
        <v>-89.460263180237789</v>
      </c>
      <c r="T622" s="116">
        <f t="shared" ca="1" si="288"/>
        <v>90.539736819762211</v>
      </c>
      <c r="U622" s="72" t="s">
        <v>105</v>
      </c>
      <c r="X622" s="72">
        <f>Zero2</f>
        <v>23.405138716728878</v>
      </c>
      <c r="Y622" s="110">
        <f t="shared" si="289"/>
        <v>48.961162310145916</v>
      </c>
      <c r="Z622" s="111">
        <f t="shared" si="290"/>
        <v>-39.222870976078298</v>
      </c>
      <c r="AA622" s="72">
        <f t="shared" si="291"/>
        <v>140.7771290239217</v>
      </c>
      <c r="AB622" s="110">
        <f t="shared" ca="1" si="292"/>
        <v>20.156450038017159</v>
      </c>
      <c r="AC622" s="111">
        <f t="shared" ca="1" si="293"/>
        <v>-50.237392204159477</v>
      </c>
      <c r="AD622" s="72">
        <f t="shared" ca="1" si="294"/>
        <v>129.76260779584052</v>
      </c>
    </row>
    <row r="623" spans="1:30">
      <c r="A623" s="122">
        <f>Pole3</f>
        <v>100000</v>
      </c>
      <c r="B623" s="101">
        <f t="shared" ca="1" si="270"/>
        <v>5128.0757422983797</v>
      </c>
      <c r="C623" s="102">
        <f t="shared" ca="1" si="271"/>
        <v>1.5706013218736374</v>
      </c>
      <c r="D623" s="102">
        <f t="shared" si="272"/>
        <v>3.1178169331878136</v>
      </c>
      <c r="E623" s="103">
        <f t="shared" si="273"/>
        <v>1.2442885790176574</v>
      </c>
      <c r="F623" s="101">
        <f t="shared" si="274"/>
        <v>34180.528046628213</v>
      </c>
      <c r="G623" s="104">
        <f t="shared" si="275"/>
        <v>1.5707670703715091</v>
      </c>
      <c r="H623" s="113">
        <f t="shared" si="276"/>
        <v>4272.5661210256922</v>
      </c>
      <c r="I623" s="114">
        <f t="shared" si="277"/>
        <v>1.5705622754120032</v>
      </c>
      <c r="J623" s="101">
        <f t="shared" si="278"/>
        <v>100.53593826895356</v>
      </c>
      <c r="K623" s="104">
        <f t="shared" si="279"/>
        <v>1.5608494709003859</v>
      </c>
      <c r="L623" s="102">
        <f t="shared" si="280"/>
        <v>1</v>
      </c>
      <c r="M623" s="103">
        <f t="shared" si="281"/>
        <v>3.2986722825000003E-9</v>
      </c>
      <c r="N623" s="101">
        <f t="shared" si="282"/>
        <v>1</v>
      </c>
      <c r="O623" s="104">
        <f t="shared" si="283"/>
        <v>5.2778756520000007E-10</v>
      </c>
      <c r="P623" s="105">
        <f t="shared" ca="1" si="284"/>
        <v>5.834883255362227</v>
      </c>
      <c r="Q623" s="106" t="e">
        <f t="shared" ca="1" si="285"/>
        <v>#DIV/0!</v>
      </c>
      <c r="R623" s="107">
        <f t="shared" ca="1" si="286"/>
        <v>-65.554796403179381</v>
      </c>
      <c r="S623" s="108" t="e">
        <f t="shared" ca="1" si="287"/>
        <v>#DIV/0!</v>
      </c>
      <c r="T623" s="116" t="e">
        <f t="shared" ca="1" si="288"/>
        <v>#DIV/0!</v>
      </c>
      <c r="U623" s="72" t="s">
        <v>102</v>
      </c>
      <c r="Y623" s="110">
        <f t="shared" si="289"/>
        <v>5.9741734393182497</v>
      </c>
      <c r="Z623" s="111">
        <f t="shared" si="290"/>
        <v>-89.441820968107137</v>
      </c>
      <c r="AA623" s="72">
        <f t="shared" si="291"/>
        <v>90.558179031892863</v>
      </c>
      <c r="AB623" s="110">
        <f t="shared" ca="1" si="292"/>
        <v>-55.611369495616117</v>
      </c>
      <c r="AC623" s="111" t="e">
        <f t="shared" ca="1" si="293"/>
        <v>#DIV/0!</v>
      </c>
      <c r="AD623" s="72" t="e">
        <f t="shared" ca="1" si="294"/>
        <v>#DIV/0!</v>
      </c>
    </row>
    <row r="624" spans="1:30" ht="13.8" thickBot="1">
      <c r="A624" s="122"/>
      <c r="M624" s="103"/>
      <c r="Y624" s="124"/>
      <c r="Z624" s="125"/>
    </row>
    <row r="625" spans="1:13">
      <c r="A625" s="122"/>
      <c r="M625" s="103"/>
    </row>
    <row r="626" spans="1:13">
      <c r="A626" s="122"/>
      <c r="C626" s="126"/>
      <c r="D626" s="126"/>
      <c r="M626" s="103"/>
    </row>
    <row r="627" spans="1:13">
      <c r="A627" s="122"/>
      <c r="C627" s="126"/>
      <c r="D627" s="126"/>
      <c r="M627" s="103"/>
    </row>
    <row r="628" spans="1:13">
      <c r="A628" s="122"/>
      <c r="C628" s="126"/>
      <c r="D628" s="126"/>
      <c r="M628" s="103"/>
    </row>
    <row r="629" spans="1:13">
      <c r="A629" s="122"/>
      <c r="C629" s="126"/>
      <c r="D629" s="126"/>
      <c r="M629" s="103"/>
    </row>
    <row r="630" spans="1:13">
      <c r="A630" s="122"/>
      <c r="C630" s="126"/>
      <c r="D630" s="126"/>
      <c r="M630" s="103"/>
    </row>
    <row r="631" spans="1:13">
      <c r="A631" s="122"/>
      <c r="M631" s="103"/>
    </row>
    <row r="632" spans="1:13">
      <c r="M632" s="103"/>
    </row>
    <row r="633" spans="1:13">
      <c r="M633" s="103"/>
    </row>
    <row r="634" spans="1:13">
      <c r="M634" s="103"/>
    </row>
  </sheetData>
  <mergeCells count="19">
    <mergeCell ref="N12:O12"/>
    <mergeCell ref="AB11:AC11"/>
    <mergeCell ref="Y11:Z11"/>
    <mergeCell ref="A2:C2"/>
    <mergeCell ref="G2:I2"/>
    <mergeCell ref="D2:F2"/>
    <mergeCell ref="A11:A13"/>
    <mergeCell ref="R11:T11"/>
    <mergeCell ref="H12:I12"/>
    <mergeCell ref="F11:I11"/>
    <mergeCell ref="B12:C12"/>
    <mergeCell ref="D12:E12"/>
    <mergeCell ref="B11:E11"/>
    <mergeCell ref="F12:G12"/>
    <mergeCell ref="J2:P2"/>
    <mergeCell ref="J12:K12"/>
    <mergeCell ref="P12:Q12"/>
    <mergeCell ref="P11:Q11"/>
    <mergeCell ref="L12:M12"/>
  </mergeCells>
  <phoneticPr fontId="20" type="noConversion"/>
  <pageMargins left="0.75" right="0.75" top="1" bottom="1" header="0.5" footer="0.5"/>
  <pageSetup orientation="portrait" horizontalDpi="300" verticalDpi="300"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P17"/>
  <sheetViews>
    <sheetView workbookViewId="0">
      <selection activeCell="C13" sqref="C13"/>
    </sheetView>
  </sheetViews>
  <sheetFormatPr defaultRowHeight="15.6"/>
  <cols>
    <col min="1" max="1" width="10.59765625" customWidth="1"/>
    <col min="2" max="2" width="11.69921875" customWidth="1"/>
    <col min="3" max="3" width="9.69921875" customWidth="1"/>
    <col min="4" max="4" width="11.09765625" customWidth="1"/>
    <col min="5" max="5" width="17.3984375" customWidth="1"/>
    <col min="6" max="6" width="16.59765625" customWidth="1"/>
    <col min="7" max="7" width="8.69921875" customWidth="1"/>
    <col min="9" max="9" width="10" customWidth="1"/>
    <col min="15" max="15" width="10.09765625" customWidth="1"/>
    <col min="16" max="16" width="10" customWidth="1"/>
    <col min="20" max="20" width="13.5" customWidth="1"/>
    <col min="21" max="21" width="13.69921875" customWidth="1"/>
    <col min="22" max="22" width="8" customWidth="1"/>
    <col min="23" max="23" width="7.59765625" customWidth="1"/>
    <col min="24" max="27" width="8.09765625" customWidth="1"/>
    <col min="37" max="37" width="9.5" customWidth="1"/>
    <col min="38" max="39" width="9.59765625" customWidth="1"/>
  </cols>
  <sheetData>
    <row r="1" spans="1:42" ht="71.25" customHeight="1">
      <c r="A1" s="31" t="s">
        <v>31</v>
      </c>
      <c r="B1" s="67" t="s">
        <v>68</v>
      </c>
      <c r="C1" s="65" t="s">
        <v>69</v>
      </c>
      <c r="D1" s="65" t="s">
        <v>34</v>
      </c>
      <c r="E1" s="65" t="s">
        <v>61</v>
      </c>
      <c r="F1" s="65" t="s">
        <v>70</v>
      </c>
      <c r="G1" s="66" t="s">
        <v>62</v>
      </c>
      <c r="H1" s="66" t="s">
        <v>63</v>
      </c>
      <c r="I1" s="65" t="s">
        <v>153</v>
      </c>
      <c r="J1" s="65" t="s">
        <v>139</v>
      </c>
      <c r="K1" s="66" t="s">
        <v>66</v>
      </c>
      <c r="L1" s="66" t="s">
        <v>67</v>
      </c>
      <c r="M1" s="66" t="s">
        <v>64</v>
      </c>
      <c r="N1" s="66" t="s">
        <v>65</v>
      </c>
      <c r="O1" s="66" t="s">
        <v>71</v>
      </c>
      <c r="P1" s="66" t="s">
        <v>72</v>
      </c>
      <c r="Q1" s="65" t="s">
        <v>73</v>
      </c>
      <c r="R1" s="65" t="s">
        <v>86</v>
      </c>
      <c r="S1" s="65" t="s">
        <v>87</v>
      </c>
      <c r="T1" s="65" t="s">
        <v>88</v>
      </c>
      <c r="U1" s="65" t="s">
        <v>89</v>
      </c>
      <c r="V1" s="65" t="s">
        <v>90</v>
      </c>
      <c r="W1" s="65" t="s">
        <v>91</v>
      </c>
      <c r="X1" s="66" t="s">
        <v>151</v>
      </c>
      <c r="Y1" s="66" t="s">
        <v>152</v>
      </c>
      <c r="Z1" s="65" t="s">
        <v>93</v>
      </c>
      <c r="AA1" s="65" t="s">
        <v>94</v>
      </c>
      <c r="AB1" s="66" t="s">
        <v>92</v>
      </c>
      <c r="AC1" s="65" t="s">
        <v>32</v>
      </c>
      <c r="AD1" s="149" t="s">
        <v>141</v>
      </c>
      <c r="AE1" s="150" t="s">
        <v>144</v>
      </c>
      <c r="AF1" s="150" t="s">
        <v>142</v>
      </c>
      <c r="AG1" s="152" t="s">
        <v>140</v>
      </c>
      <c r="AH1" s="149" t="s">
        <v>143</v>
      </c>
      <c r="AI1" s="150" t="s">
        <v>145</v>
      </c>
      <c r="AJ1" s="150" t="s">
        <v>146</v>
      </c>
      <c r="AK1" s="150" t="s">
        <v>147</v>
      </c>
      <c r="AL1" s="150" t="s">
        <v>148</v>
      </c>
      <c r="AM1" s="149" t="s">
        <v>157</v>
      </c>
      <c r="AN1" s="149" t="s">
        <v>155</v>
      </c>
      <c r="AO1" s="150" t="s">
        <v>163</v>
      </c>
      <c r="AP1" s="168" t="s">
        <v>164</v>
      </c>
    </row>
    <row r="2" spans="1:42">
      <c r="A2" s="31" t="s">
        <v>243</v>
      </c>
      <c r="B2" s="68"/>
      <c r="C2" s="31">
        <v>0.52</v>
      </c>
      <c r="D2" s="31">
        <v>2</v>
      </c>
      <c r="E2" s="32">
        <v>200</v>
      </c>
      <c r="F2" s="32">
        <v>8</v>
      </c>
      <c r="G2" s="32">
        <v>36</v>
      </c>
      <c r="H2" s="32">
        <v>6.3</v>
      </c>
      <c r="I2" s="32">
        <v>5</v>
      </c>
      <c r="J2" s="32">
        <v>6</v>
      </c>
      <c r="K2" s="32"/>
      <c r="L2" s="32"/>
      <c r="M2" s="32"/>
      <c r="N2" s="32"/>
      <c r="O2" s="32">
        <v>80</v>
      </c>
      <c r="P2" s="32"/>
      <c r="Q2" s="32">
        <v>0.8</v>
      </c>
      <c r="R2" s="32">
        <v>0.9</v>
      </c>
      <c r="S2" s="32"/>
      <c r="T2" s="32">
        <v>14</v>
      </c>
      <c r="U2" s="32"/>
      <c r="V2" s="32">
        <f>R2+('EZBuck design calculator'!N17/T2)</f>
        <v>0.95714285714285718</v>
      </c>
      <c r="W2" s="32" t="e">
        <f>S2+('EZBuck design calculator'!N17/U2)</f>
        <v>#DIV/0!</v>
      </c>
      <c r="X2" s="32">
        <f ca="1">((O2/1000)/POWER((5-R2),0.433))*(1+(2*'EZBuck design calculator'!N80)*0.0048)</f>
        <v>5.4585737880211448E-2</v>
      </c>
      <c r="Y2" s="32">
        <f ca="1">((P2/1000)/POWER(('EZBuck design calculator'!N15-S2),0.433))*(1+(2*'EZBuck design calculator'!N81)*0.0048)</f>
        <v>0</v>
      </c>
      <c r="Z2" s="32">
        <v>1.6</v>
      </c>
      <c r="AA2" s="32"/>
      <c r="AB2" s="31">
        <v>1</v>
      </c>
      <c r="AC2" s="245" t="s">
        <v>237</v>
      </c>
      <c r="AD2" s="31">
        <v>3</v>
      </c>
      <c r="AE2" s="31">
        <v>0.5</v>
      </c>
      <c r="AF2" s="31">
        <v>0.4</v>
      </c>
      <c r="AG2" s="31">
        <v>62</v>
      </c>
      <c r="AH2" s="31"/>
      <c r="AI2" s="31"/>
      <c r="AJ2" s="31"/>
      <c r="AK2" s="31" t="e">
        <f ca="1">1*dieTemp('EZBuck design calculator'!$N$17,AG2,O2,'EZBuck design calculator'!$N$19,'EZBuck design calculator'!$N$16/'EZBuck design calculator'!$N$15,0.0048,'Efficiency calculations'!$K$301)</f>
        <v>#NAME?</v>
      </c>
      <c r="AL2" s="31" t="e">
        <f ca="1">1*dieTemp('EZBuck design calculator'!$N$17,AG2,P2,'EZBuck design calculator'!$N$19,'EZBuck design calculator'!$N$16/'EZBuck design calculator'!$N$15,0.0048,'Efficiency calculations'!$K$301)</f>
        <v>#NAME?</v>
      </c>
      <c r="AM2" s="245">
        <v>0</v>
      </c>
      <c r="AN2" s="31"/>
      <c r="AO2" s="31">
        <v>4</v>
      </c>
      <c r="AP2" s="31">
        <v>36</v>
      </c>
    </row>
    <row r="5" spans="1:42">
      <c r="A5" s="243"/>
    </row>
    <row r="17" spans="18:18">
      <c r="R17">
        <f>((O2/1000)/POWER(('EZBuck design calculator'!N15-R2),0.433))*(1+(2*25)*0.0048)</f>
        <v>3.498539827819435E-2</v>
      </c>
    </row>
  </sheetData>
  <phoneticPr fontId="2" type="noConversion"/>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22</vt:i4>
      </vt:variant>
    </vt:vector>
  </HeadingPairs>
  <TitlesOfParts>
    <vt:vector size="30" baseType="lpstr">
      <vt:lpstr>User Guide</vt:lpstr>
      <vt:lpstr>EZBuck design calculator</vt:lpstr>
      <vt:lpstr>Sheet3</vt:lpstr>
      <vt:lpstr>Sheet2</vt:lpstr>
      <vt:lpstr>Sheet1 select</vt:lpstr>
      <vt:lpstr>Efficiency calculations</vt:lpstr>
      <vt:lpstr>Bode Plot Calculations</vt:lpstr>
      <vt:lpstr>Controller parameters</vt:lpstr>
      <vt:lpstr>Acs</vt:lpstr>
      <vt:lpstr>Adc</vt:lpstr>
      <vt:lpstr>Aea</vt:lpstr>
      <vt:lpstr>Afb</vt:lpstr>
      <vt:lpstr>Am</vt:lpstr>
      <vt:lpstr>CColHead</vt:lpstr>
      <vt:lpstr>CData</vt:lpstr>
      <vt:lpstr>ControllerList</vt:lpstr>
      <vt:lpstr>'Bode Plot Calculations'!Fcross</vt:lpstr>
      <vt:lpstr>N</vt:lpstr>
      <vt:lpstr>'Bode Plot Calculations'!PM</vt:lpstr>
      <vt:lpstr>Pole1</vt:lpstr>
      <vt:lpstr>Pole2</vt:lpstr>
      <vt:lpstr>Pole3</vt:lpstr>
      <vt:lpstr>pole4</vt:lpstr>
      <vt:lpstr>Polefeed</vt:lpstr>
      <vt:lpstr>pterm1</vt:lpstr>
      <vt:lpstr>pterm2</vt:lpstr>
      <vt:lpstr>radconv</vt:lpstr>
      <vt:lpstr>Zero1</vt:lpstr>
      <vt:lpstr>Zero2</vt:lpstr>
      <vt:lpstr>Zerofeed</vt:lpstr>
    </vt:vector>
  </TitlesOfParts>
  <Company>HOME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Zhang Jie</dc:creator>
  <cp:lastModifiedBy>Windows User</cp:lastModifiedBy>
  <dcterms:created xsi:type="dcterms:W3CDTF">2008-04-24T14:54:09Z</dcterms:created>
  <dcterms:modified xsi:type="dcterms:W3CDTF">2026-08-25T12:36:32Z</dcterms:modified>
</cp:coreProperties>
</file>