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2Lab\Desktop\servo\hardware\compensation\"/>
    </mc:Choice>
  </mc:AlternateContent>
  <workbookProtection workbookPassword="E072" lockStructure="1"/>
  <bookViews>
    <workbookView xWindow="480" yWindow="36"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52511" iterate="1" iterateCount="1000" iterateDelta="1E-4"/>
</workbook>
</file>

<file path=xl/calcChain.xml><?xml version="1.0" encoding="utf-8"?>
<calcChain xmlns="http://schemas.openxmlformats.org/spreadsheetml/2006/main">
  <c r="N23" i="1" l="1"/>
  <c r="N28" i="1"/>
  <c r="N37" i="1"/>
  <c r="N38" i="1"/>
  <c r="N39" i="1"/>
  <c r="N44" i="1"/>
  <c r="N49" i="1"/>
  <c r="B8" i="7" s="1"/>
  <c r="F86" i="1"/>
  <c r="F89" i="1"/>
  <c r="B2" i="4"/>
  <c r="B6" i="4" s="1"/>
  <c r="B41" i="4"/>
  <c r="B1" i="5"/>
  <c r="B2" i="5" s="1"/>
  <c r="B3" i="5"/>
  <c r="B8" i="5"/>
  <c r="B10" i="5"/>
  <c r="B11" i="5"/>
  <c r="B12" i="5"/>
  <c r="F64" i="5" s="1"/>
  <c r="B13" i="5"/>
  <c r="B14" i="5"/>
  <c r="B15" i="5"/>
  <c r="B16" i="5"/>
  <c r="F20" i="5"/>
  <c r="F35" i="5"/>
  <c r="I35" i="5" s="1"/>
  <c r="F69" i="5"/>
  <c r="F79" i="5"/>
  <c r="G79" i="5" s="1"/>
  <c r="F87" i="5"/>
  <c r="F89" i="5"/>
  <c r="I89" i="5" s="1"/>
  <c r="F93" i="5"/>
  <c r="F96" i="5"/>
  <c r="F102" i="5"/>
  <c r="F103" i="5"/>
  <c r="F105" i="5"/>
  <c r="F111" i="5"/>
  <c r="F112" i="5"/>
  <c r="F116" i="5"/>
  <c r="F118" i="5"/>
  <c r="F121" i="5"/>
  <c r="F122" i="5"/>
  <c r="F126" i="5"/>
  <c r="F127" i="5"/>
  <c r="F128" i="5"/>
  <c r="F132" i="5"/>
  <c r="F133" i="5"/>
  <c r="F136" i="5"/>
  <c r="F139" i="5"/>
  <c r="F141" i="5"/>
  <c r="F143" i="5"/>
  <c r="F147" i="5"/>
  <c r="F148" i="5"/>
  <c r="F150" i="5"/>
  <c r="F153" i="5"/>
  <c r="F154" i="5"/>
  <c r="F157" i="5"/>
  <c r="F160" i="5"/>
  <c r="F163" i="5"/>
  <c r="F164" i="5"/>
  <c r="F168" i="5"/>
  <c r="F170" i="5"/>
  <c r="F171" i="5"/>
  <c r="F175" i="5"/>
  <c r="F176" i="5"/>
  <c r="F179" i="5"/>
  <c r="F182" i="5"/>
  <c r="F184" i="5"/>
  <c r="F186" i="5"/>
  <c r="F190" i="5"/>
  <c r="F191" i="5"/>
  <c r="F193" i="5"/>
  <c r="F197" i="5"/>
  <c r="F198" i="5"/>
  <c r="F201" i="5"/>
  <c r="F203" i="5"/>
  <c r="F205" i="5"/>
  <c r="F207" i="5"/>
  <c r="F211" i="5"/>
  <c r="F212" i="5"/>
  <c r="F213" i="5"/>
  <c r="F217" i="5"/>
  <c r="F219" i="5"/>
  <c r="F222" i="5"/>
  <c r="F225" i="5"/>
  <c r="F227" i="5"/>
  <c r="F228" i="5"/>
  <c r="F232" i="5"/>
  <c r="F233" i="5"/>
  <c r="F234" i="5"/>
  <c r="F239" i="5"/>
  <c r="F240" i="5"/>
  <c r="F243" i="5"/>
  <c r="F246" i="5"/>
  <c r="F248" i="5"/>
  <c r="F250" i="5"/>
  <c r="F254" i="5"/>
  <c r="F255" i="5"/>
  <c r="F256" i="5"/>
  <c r="F260" i="5"/>
  <c r="F261" i="5"/>
  <c r="F264" i="5"/>
  <c r="F266" i="5"/>
  <c r="F269" i="5"/>
  <c r="F271" i="5"/>
  <c r="F275" i="5"/>
  <c r="F276" i="5"/>
  <c r="F278" i="5"/>
  <c r="F282" i="5"/>
  <c r="F283" i="5"/>
  <c r="F286" i="5"/>
  <c r="F288" i="5"/>
  <c r="F291" i="5"/>
  <c r="F292" i="5"/>
  <c r="F296" i="5"/>
  <c r="F298" i="5"/>
  <c r="F299" i="5"/>
  <c r="H3" i="7"/>
  <c r="K3" i="7"/>
  <c r="K5" i="7" s="1"/>
  <c r="B4" i="7"/>
  <c r="I115" i="7" s="1"/>
  <c r="R6" i="7"/>
  <c r="G7" i="7"/>
  <c r="B7" i="7" s="1"/>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I94" i="7"/>
  <c r="W94" i="7"/>
  <c r="W95" i="7"/>
  <c r="W96" i="7"/>
  <c r="H97" i="7"/>
  <c r="W97" i="7"/>
  <c r="W98" i="7"/>
  <c r="W99" i="7"/>
  <c r="W100" i="7"/>
  <c r="W101" i="7"/>
  <c r="W102" i="7"/>
  <c r="W103" i="7"/>
  <c r="W104" i="7"/>
  <c r="H105" i="7"/>
  <c r="W105" i="7"/>
  <c r="W106" i="7"/>
  <c r="W107" i="7"/>
  <c r="H108" i="7"/>
  <c r="W108" i="7"/>
  <c r="W109" i="7"/>
  <c r="W110" i="7"/>
  <c r="W111" i="7"/>
  <c r="W112" i="7"/>
  <c r="D113" i="7"/>
  <c r="I113" i="7"/>
  <c r="W113" i="7"/>
  <c r="W114" i="7"/>
  <c r="W115" i="7"/>
  <c r="W116" i="7"/>
  <c r="W117" i="7"/>
  <c r="W118" i="7"/>
  <c r="E119" i="7"/>
  <c r="W119" i="7"/>
  <c r="W120" i="7"/>
  <c r="W121" i="7"/>
  <c r="W122" i="7"/>
  <c r="H123" i="7"/>
  <c r="W123" i="7"/>
  <c r="W124" i="7"/>
  <c r="D125" i="7"/>
  <c r="W125" i="7"/>
  <c r="W126" i="7"/>
  <c r="W127" i="7"/>
  <c r="W128" i="7"/>
  <c r="W129" i="7"/>
  <c r="W130" i="7"/>
  <c r="W131" i="7"/>
  <c r="I132" i="7"/>
  <c r="W132" i="7"/>
  <c r="W133" i="7"/>
  <c r="W134" i="7"/>
  <c r="D135" i="7"/>
  <c r="W135" i="7"/>
  <c r="W136" i="7"/>
  <c r="W137" i="7"/>
  <c r="W138" i="7"/>
  <c r="W139" i="7"/>
  <c r="W140" i="7"/>
  <c r="W141" i="7"/>
  <c r="J142" i="7"/>
  <c r="W142" i="7"/>
  <c r="J143" i="7"/>
  <c r="K143" i="7"/>
  <c r="W143" i="7"/>
  <c r="W144" i="7"/>
  <c r="E145" i="7"/>
  <c r="K145" i="7"/>
  <c r="W145" i="7"/>
  <c r="J146" i="7"/>
  <c r="W146" i="7"/>
  <c r="E147" i="7"/>
  <c r="J147" i="7"/>
  <c r="K147" i="7"/>
  <c r="W147" i="7"/>
  <c r="W148" i="7"/>
  <c r="K149" i="7"/>
  <c r="W149" i="7"/>
  <c r="J150" i="7"/>
  <c r="K150" i="7"/>
  <c r="W150" i="7"/>
  <c r="J151" i="7"/>
  <c r="K151" i="7"/>
  <c r="W151" i="7"/>
  <c r="W152" i="7"/>
  <c r="K153" i="7"/>
  <c r="W153" i="7"/>
  <c r="J154" i="7"/>
  <c r="K154" i="7"/>
  <c r="W154" i="7"/>
  <c r="J155" i="7"/>
  <c r="K155" i="7"/>
  <c r="W155" i="7"/>
  <c r="K156" i="7"/>
  <c r="W156" i="7"/>
  <c r="I157" i="7"/>
  <c r="K157" i="7"/>
  <c r="W157" i="7"/>
  <c r="E158" i="7"/>
  <c r="H158" i="7"/>
  <c r="J158" i="7"/>
  <c r="W158" i="7"/>
  <c r="E159" i="7"/>
  <c r="I159" i="7"/>
  <c r="K159" i="7"/>
  <c r="W159" i="7"/>
  <c r="K160" i="7"/>
  <c r="W160" i="7"/>
  <c r="K161" i="7"/>
  <c r="W161" i="7"/>
  <c r="E162" i="7"/>
  <c r="J162" i="7"/>
  <c r="K162" i="7"/>
  <c r="W162" i="7"/>
  <c r="K163" i="7"/>
  <c r="W163" i="7"/>
  <c r="E164" i="7"/>
  <c r="K164" i="7"/>
  <c r="W164" i="7"/>
  <c r="E165" i="7"/>
  <c r="J165" i="7"/>
  <c r="K165" i="7"/>
  <c r="W165" i="7"/>
  <c r="E166" i="7"/>
  <c r="J166" i="7"/>
  <c r="K166" i="7"/>
  <c r="W166" i="7"/>
  <c r="D167" i="7"/>
  <c r="J167" i="7"/>
  <c r="K167" i="7"/>
  <c r="W167" i="7"/>
  <c r="D168" i="7"/>
  <c r="J168" i="7"/>
  <c r="K168" i="7"/>
  <c r="W168" i="7"/>
  <c r="D169" i="7"/>
  <c r="I169" i="7"/>
  <c r="J169" i="7"/>
  <c r="K169" i="7"/>
  <c r="W169" i="7"/>
  <c r="D170" i="7"/>
  <c r="J170" i="7"/>
  <c r="K170" i="7"/>
  <c r="W170" i="7"/>
  <c r="E171" i="7"/>
  <c r="J171" i="7"/>
  <c r="K171" i="7"/>
  <c r="W171" i="7"/>
  <c r="D172" i="7"/>
  <c r="E172" i="7"/>
  <c r="J172" i="7"/>
  <c r="K172" i="7"/>
  <c r="W172" i="7"/>
  <c r="J173" i="7"/>
  <c r="K173" i="7"/>
  <c r="W173" i="7"/>
  <c r="E174" i="7"/>
  <c r="J174" i="7"/>
  <c r="K174" i="7"/>
  <c r="W174" i="7"/>
  <c r="D175" i="7"/>
  <c r="J175" i="7"/>
  <c r="K175" i="7"/>
  <c r="W175" i="7"/>
  <c r="E176" i="7"/>
  <c r="J176" i="7"/>
  <c r="K176" i="7"/>
  <c r="W176" i="7"/>
  <c r="D177" i="7"/>
  <c r="J177" i="7"/>
  <c r="K177" i="7"/>
  <c r="L177" i="7"/>
  <c r="W177" i="7"/>
  <c r="D178" i="7"/>
  <c r="J178" i="7"/>
  <c r="K178" i="7"/>
  <c r="W178" i="7"/>
  <c r="E179" i="7"/>
  <c r="J179" i="7"/>
  <c r="K179" i="7"/>
  <c r="W179" i="7"/>
  <c r="E180" i="7"/>
  <c r="J180" i="7"/>
  <c r="K180" i="7"/>
  <c r="W180" i="7"/>
  <c r="E181" i="7"/>
  <c r="H181" i="7"/>
  <c r="J181" i="7"/>
  <c r="K181" i="7"/>
  <c r="W181" i="7"/>
  <c r="I182" i="7"/>
  <c r="J182" i="7"/>
  <c r="K182" i="7"/>
  <c r="W182" i="7"/>
  <c r="D183" i="7"/>
  <c r="J183" i="7"/>
  <c r="K183" i="7"/>
  <c r="W183" i="7"/>
  <c r="J184" i="7"/>
  <c r="K184" i="7"/>
  <c r="W184" i="7"/>
  <c r="D185" i="7"/>
  <c r="H185" i="7"/>
  <c r="J185" i="7"/>
  <c r="K185" i="7"/>
  <c r="W185" i="7"/>
  <c r="D186" i="7"/>
  <c r="J186" i="7"/>
  <c r="K186" i="7"/>
  <c r="W186" i="7"/>
  <c r="E187" i="7"/>
  <c r="J187" i="7"/>
  <c r="K187" i="7"/>
  <c r="W187" i="7"/>
  <c r="E188" i="7"/>
  <c r="J188" i="7"/>
  <c r="K188" i="7"/>
  <c r="W188" i="7"/>
  <c r="J189" i="7"/>
  <c r="K189" i="7"/>
  <c r="W189" i="7"/>
  <c r="D190" i="7"/>
  <c r="J190" i="7"/>
  <c r="K190" i="7"/>
  <c r="W190" i="7"/>
  <c r="E191" i="7"/>
  <c r="H191" i="7"/>
  <c r="J191" i="7"/>
  <c r="K191" i="7"/>
  <c r="W191" i="7"/>
  <c r="E192" i="7"/>
  <c r="J192" i="7"/>
  <c r="K192" i="7"/>
  <c r="W192" i="7"/>
  <c r="E193" i="7"/>
  <c r="J193" i="7"/>
  <c r="K193" i="7"/>
  <c r="W193" i="7"/>
  <c r="D194" i="7"/>
  <c r="J194" i="7"/>
  <c r="K194" i="7"/>
  <c r="W194" i="7"/>
  <c r="E195" i="7"/>
  <c r="J195" i="7"/>
  <c r="K195" i="7"/>
  <c r="W195" i="7"/>
  <c r="J196" i="7"/>
  <c r="K196" i="7"/>
  <c r="W196" i="7"/>
  <c r="E197" i="7"/>
  <c r="J197" i="7"/>
  <c r="K197" i="7"/>
  <c r="W197" i="7"/>
  <c r="J198" i="7"/>
  <c r="K198" i="7"/>
  <c r="W198" i="7"/>
  <c r="D199" i="7"/>
  <c r="J199" i="7"/>
  <c r="K199" i="7"/>
  <c r="W199" i="7"/>
  <c r="E200" i="7"/>
  <c r="J200" i="7"/>
  <c r="K200" i="7"/>
  <c r="W200" i="7"/>
  <c r="E201" i="7"/>
  <c r="J201" i="7"/>
  <c r="K201" i="7"/>
  <c r="W201" i="7"/>
  <c r="E202" i="7"/>
  <c r="J202" i="7"/>
  <c r="K202" i="7"/>
  <c r="W202" i="7"/>
  <c r="D203" i="7"/>
  <c r="J203" i="7"/>
  <c r="K203" i="7"/>
  <c r="W203" i="7"/>
  <c r="E204" i="7"/>
  <c r="J204" i="7"/>
  <c r="K204" i="7"/>
  <c r="W204" i="7"/>
  <c r="D205" i="7"/>
  <c r="E205" i="7"/>
  <c r="J205" i="7"/>
  <c r="K205" i="7"/>
  <c r="W205" i="7"/>
  <c r="J206" i="7"/>
  <c r="K206" i="7"/>
  <c r="W206" i="7"/>
  <c r="J207" i="7"/>
  <c r="K207" i="7"/>
  <c r="W207" i="7"/>
  <c r="J208" i="7"/>
  <c r="K208" i="7"/>
  <c r="W208" i="7"/>
  <c r="D209" i="7"/>
  <c r="J209" i="7"/>
  <c r="K209" i="7"/>
  <c r="W209" i="7"/>
  <c r="D210" i="7"/>
  <c r="J210" i="7"/>
  <c r="K210" i="7"/>
  <c r="W210" i="7"/>
  <c r="D211" i="7"/>
  <c r="J211" i="7"/>
  <c r="K211" i="7"/>
  <c r="W211" i="7"/>
  <c r="E212" i="7"/>
  <c r="J212" i="7"/>
  <c r="K212" i="7"/>
  <c r="W212" i="7"/>
  <c r="J213" i="7"/>
  <c r="K213" i="7"/>
  <c r="W213" i="7"/>
  <c r="E214" i="7"/>
  <c r="J214" i="7"/>
  <c r="K214" i="7"/>
  <c r="W214" i="7"/>
  <c r="D215" i="7"/>
  <c r="J215" i="7"/>
  <c r="K215" i="7"/>
  <c r="W215" i="7"/>
  <c r="E216" i="7"/>
  <c r="J216" i="7"/>
  <c r="K216" i="7"/>
  <c r="W216" i="7"/>
  <c r="D217" i="7"/>
  <c r="E217" i="7"/>
  <c r="J217" i="7"/>
  <c r="K217" i="7"/>
  <c r="W217" i="7"/>
  <c r="E218" i="7"/>
  <c r="J218" i="7"/>
  <c r="K218" i="7"/>
  <c r="W218" i="7"/>
  <c r="J219" i="7"/>
  <c r="K219" i="7"/>
  <c r="W219" i="7"/>
  <c r="E220" i="7"/>
  <c r="J220" i="7"/>
  <c r="K220" i="7"/>
  <c r="W220" i="7"/>
  <c r="D221" i="7"/>
  <c r="J221" i="7"/>
  <c r="K221" i="7"/>
  <c r="W221" i="7"/>
  <c r="D222" i="7"/>
  <c r="E222" i="7"/>
  <c r="J222" i="7"/>
  <c r="K222" i="7"/>
  <c r="W222" i="7"/>
  <c r="D223" i="7"/>
  <c r="J223" i="7"/>
  <c r="K223" i="7"/>
  <c r="W223" i="7"/>
  <c r="E224" i="7"/>
  <c r="J224" i="7"/>
  <c r="K224" i="7"/>
  <c r="W224" i="7"/>
  <c r="E225" i="7"/>
  <c r="J225" i="7"/>
  <c r="K225" i="7"/>
  <c r="W225" i="7"/>
  <c r="E226" i="7"/>
  <c r="J226" i="7"/>
  <c r="K226" i="7"/>
  <c r="W226" i="7"/>
  <c r="D227" i="7"/>
  <c r="J227" i="7"/>
  <c r="K227" i="7"/>
  <c r="W227" i="7"/>
  <c r="E228" i="7"/>
  <c r="J228" i="7"/>
  <c r="K228" i="7"/>
  <c r="W228" i="7"/>
  <c r="D229" i="7"/>
  <c r="E229" i="7"/>
  <c r="J229" i="7"/>
  <c r="K229" i="7"/>
  <c r="W229" i="7"/>
  <c r="J230" i="7"/>
  <c r="K230" i="7"/>
  <c r="W230" i="7"/>
  <c r="J231" i="7"/>
  <c r="K231" i="7"/>
  <c r="W231" i="7"/>
  <c r="J232" i="7"/>
  <c r="K232" i="7"/>
  <c r="W232" i="7"/>
  <c r="D233" i="7"/>
  <c r="J233" i="7"/>
  <c r="K233" i="7"/>
  <c r="W233" i="7"/>
  <c r="D234" i="7"/>
  <c r="J234" i="7"/>
  <c r="K234" i="7"/>
  <c r="W234" i="7"/>
  <c r="D235" i="7"/>
  <c r="J235" i="7"/>
  <c r="K235" i="7"/>
  <c r="W235" i="7"/>
  <c r="E236" i="7"/>
  <c r="J236" i="7"/>
  <c r="K236" i="7"/>
  <c r="W236" i="7"/>
  <c r="J237" i="7"/>
  <c r="K237" i="7"/>
  <c r="W237" i="7"/>
  <c r="E238" i="7"/>
  <c r="J238" i="7"/>
  <c r="K238" i="7"/>
  <c r="W238" i="7"/>
  <c r="D239" i="7"/>
  <c r="J239" i="7"/>
  <c r="K239" i="7"/>
  <c r="W239" i="7"/>
  <c r="E240" i="7"/>
  <c r="J240" i="7"/>
  <c r="K240" i="7"/>
  <c r="W240" i="7"/>
  <c r="D241" i="7"/>
  <c r="E241" i="7"/>
  <c r="J241" i="7"/>
  <c r="K241" i="7"/>
  <c r="W241" i="7"/>
  <c r="D242" i="7"/>
  <c r="E242" i="7"/>
  <c r="J242" i="7"/>
  <c r="K242" i="7"/>
  <c r="W242" i="7"/>
  <c r="D243" i="7"/>
  <c r="J243" i="7"/>
  <c r="K243" i="7"/>
  <c r="W243" i="7"/>
  <c r="E244" i="7"/>
  <c r="J244" i="7"/>
  <c r="K244" i="7"/>
  <c r="W244" i="7"/>
  <c r="D245" i="7"/>
  <c r="E245" i="7"/>
  <c r="J245" i="7"/>
  <c r="K245" i="7"/>
  <c r="W245" i="7"/>
  <c r="D246" i="7"/>
  <c r="E246" i="7"/>
  <c r="J246" i="7"/>
  <c r="K246" i="7"/>
  <c r="W246" i="7"/>
  <c r="D247" i="7"/>
  <c r="J247" i="7"/>
  <c r="K247" i="7"/>
  <c r="W247" i="7"/>
  <c r="E248" i="7"/>
  <c r="J248" i="7"/>
  <c r="K248" i="7"/>
  <c r="W248" i="7"/>
  <c r="D249" i="7"/>
  <c r="E249" i="7"/>
  <c r="J249" i="7"/>
  <c r="K249" i="7"/>
  <c r="W249" i="7"/>
  <c r="D250" i="7"/>
  <c r="E250" i="7"/>
  <c r="J250" i="7"/>
  <c r="K250" i="7"/>
  <c r="W250" i="7"/>
  <c r="D251" i="7"/>
  <c r="J251" i="7"/>
  <c r="K251" i="7"/>
  <c r="W251" i="7"/>
  <c r="E252" i="7"/>
  <c r="J252" i="7"/>
  <c r="K252" i="7"/>
  <c r="W252" i="7"/>
  <c r="D253" i="7"/>
  <c r="E253" i="7"/>
  <c r="J253" i="7"/>
  <c r="K253" i="7"/>
  <c r="W253" i="7"/>
  <c r="D254" i="7"/>
  <c r="E254" i="7"/>
  <c r="J254" i="7"/>
  <c r="K254" i="7"/>
  <c r="W254" i="7"/>
  <c r="D255" i="7"/>
  <c r="J255" i="7"/>
  <c r="K255" i="7"/>
  <c r="W255" i="7"/>
  <c r="E256" i="7"/>
  <c r="J256" i="7"/>
  <c r="K256" i="7"/>
  <c r="W256" i="7"/>
  <c r="D257" i="7"/>
  <c r="E257" i="7"/>
  <c r="J257" i="7"/>
  <c r="K257" i="7"/>
  <c r="W257" i="7"/>
  <c r="D258" i="7"/>
  <c r="E258" i="7"/>
  <c r="J258" i="7"/>
  <c r="K258" i="7"/>
  <c r="W258" i="7"/>
  <c r="D259" i="7"/>
  <c r="J259" i="7"/>
  <c r="K259" i="7"/>
  <c r="W259" i="7"/>
  <c r="E260" i="7"/>
  <c r="J260" i="7"/>
  <c r="K260" i="7"/>
  <c r="W260" i="7"/>
  <c r="D261" i="7"/>
  <c r="E261" i="7"/>
  <c r="J261" i="7"/>
  <c r="K261" i="7"/>
  <c r="W261" i="7"/>
  <c r="D262" i="7"/>
  <c r="E262" i="7"/>
  <c r="J262" i="7"/>
  <c r="K262" i="7"/>
  <c r="W262" i="7"/>
  <c r="D263" i="7"/>
  <c r="J263" i="7"/>
  <c r="K263" i="7"/>
  <c r="W263" i="7"/>
  <c r="E264" i="7"/>
  <c r="J264" i="7"/>
  <c r="K264" i="7"/>
  <c r="W264" i="7"/>
  <c r="D265" i="7"/>
  <c r="E265" i="7"/>
  <c r="J265" i="7"/>
  <c r="K265" i="7"/>
  <c r="W265" i="7"/>
  <c r="D266" i="7"/>
  <c r="E266" i="7"/>
  <c r="J266" i="7"/>
  <c r="K266" i="7"/>
  <c r="W266" i="7"/>
  <c r="D267" i="7"/>
  <c r="J267" i="7"/>
  <c r="K267" i="7"/>
  <c r="W267" i="7"/>
  <c r="E268" i="7"/>
  <c r="J268" i="7"/>
  <c r="K268" i="7"/>
  <c r="W268" i="7"/>
  <c r="D269" i="7"/>
  <c r="E269" i="7"/>
  <c r="J269" i="7"/>
  <c r="K269" i="7"/>
  <c r="W269" i="7"/>
  <c r="D270" i="7"/>
  <c r="E270" i="7"/>
  <c r="J270" i="7"/>
  <c r="K270" i="7"/>
  <c r="W270" i="7"/>
  <c r="D271" i="7"/>
  <c r="J271" i="7"/>
  <c r="K271" i="7"/>
  <c r="W271" i="7"/>
  <c r="E272" i="7"/>
  <c r="J272" i="7"/>
  <c r="K272" i="7"/>
  <c r="W272" i="7"/>
  <c r="D273" i="7"/>
  <c r="E273" i="7"/>
  <c r="J273" i="7"/>
  <c r="K273" i="7"/>
  <c r="W273" i="7"/>
  <c r="D274" i="7"/>
  <c r="E274" i="7"/>
  <c r="J274" i="7"/>
  <c r="K274" i="7"/>
  <c r="W274" i="7"/>
  <c r="D275" i="7"/>
  <c r="J275" i="7"/>
  <c r="K275" i="7"/>
  <c r="W275" i="7"/>
  <c r="E276" i="7"/>
  <c r="J276" i="7"/>
  <c r="K276" i="7"/>
  <c r="W276" i="7"/>
  <c r="D277" i="7"/>
  <c r="E277" i="7"/>
  <c r="J277" i="7"/>
  <c r="K277" i="7"/>
  <c r="W277" i="7"/>
  <c r="D278" i="7"/>
  <c r="E278" i="7"/>
  <c r="J278" i="7"/>
  <c r="K278" i="7"/>
  <c r="W278" i="7"/>
  <c r="D279" i="7"/>
  <c r="J279" i="7"/>
  <c r="K279" i="7"/>
  <c r="W279" i="7"/>
  <c r="E280" i="7"/>
  <c r="J280" i="7"/>
  <c r="K280" i="7"/>
  <c r="W280" i="7"/>
  <c r="D281" i="7"/>
  <c r="E281" i="7"/>
  <c r="J281" i="7"/>
  <c r="K281" i="7"/>
  <c r="W281" i="7"/>
  <c r="D282" i="7"/>
  <c r="E282" i="7"/>
  <c r="J282" i="7"/>
  <c r="K282" i="7"/>
  <c r="W282" i="7"/>
  <c r="D283" i="7"/>
  <c r="J283" i="7"/>
  <c r="K283" i="7"/>
  <c r="W283" i="7"/>
  <c r="E284" i="7"/>
  <c r="J284" i="7"/>
  <c r="K284" i="7"/>
  <c r="W284" i="7"/>
  <c r="D285" i="7"/>
  <c r="E285" i="7"/>
  <c r="J285" i="7"/>
  <c r="K285" i="7"/>
  <c r="W285" i="7"/>
  <c r="D286" i="7"/>
  <c r="E286" i="7"/>
  <c r="J286" i="7"/>
  <c r="K286" i="7"/>
  <c r="W286" i="7"/>
  <c r="D287" i="7"/>
  <c r="J287" i="7"/>
  <c r="K287" i="7"/>
  <c r="W287" i="7"/>
  <c r="E288" i="7"/>
  <c r="J288" i="7"/>
  <c r="K288" i="7"/>
  <c r="W288" i="7"/>
  <c r="D289" i="7"/>
  <c r="E289" i="7"/>
  <c r="J289" i="7"/>
  <c r="K289" i="7"/>
  <c r="W289" i="7"/>
  <c r="D290" i="7"/>
  <c r="E290" i="7"/>
  <c r="J290" i="7"/>
  <c r="K290" i="7"/>
  <c r="W290" i="7"/>
  <c r="D291" i="7"/>
  <c r="J291" i="7"/>
  <c r="K291" i="7"/>
  <c r="W291" i="7"/>
  <c r="E292" i="7"/>
  <c r="J292" i="7"/>
  <c r="K292" i="7"/>
  <c r="W292" i="7"/>
  <c r="D293" i="7"/>
  <c r="E293" i="7"/>
  <c r="J293" i="7"/>
  <c r="K293" i="7"/>
  <c r="W293" i="7"/>
  <c r="D294" i="7"/>
  <c r="E294" i="7"/>
  <c r="J294" i="7"/>
  <c r="K294" i="7"/>
  <c r="W294" i="7"/>
  <c r="D295" i="7"/>
  <c r="J295" i="7"/>
  <c r="K295" i="7"/>
  <c r="W295" i="7"/>
  <c r="E296" i="7"/>
  <c r="J296" i="7"/>
  <c r="K296" i="7"/>
  <c r="W296" i="7"/>
  <c r="D297" i="7"/>
  <c r="E297" i="7"/>
  <c r="J297" i="7"/>
  <c r="K297" i="7"/>
  <c r="W297" i="7"/>
  <c r="D298" i="7"/>
  <c r="E298" i="7"/>
  <c r="J298" i="7"/>
  <c r="K298" i="7"/>
  <c r="W298" i="7"/>
  <c r="D299" i="7"/>
  <c r="J299" i="7"/>
  <c r="K299" i="7"/>
  <c r="W299" i="7"/>
  <c r="E300" i="7"/>
  <c r="J300" i="7"/>
  <c r="K300" i="7"/>
  <c r="W300" i="7"/>
  <c r="D301" i="7"/>
  <c r="E301" i="7"/>
  <c r="J301" i="7"/>
  <c r="K301" i="7"/>
  <c r="W301" i="7"/>
  <c r="D302" i="7"/>
  <c r="E302" i="7"/>
  <c r="J302" i="7"/>
  <c r="K302" i="7"/>
  <c r="W302" i="7"/>
  <c r="D303" i="7"/>
  <c r="J303" i="7"/>
  <c r="K303" i="7"/>
  <c r="W303" i="7"/>
  <c r="E304" i="7"/>
  <c r="J304" i="7"/>
  <c r="K304" i="7"/>
  <c r="W304" i="7"/>
  <c r="D305" i="7"/>
  <c r="E305" i="7"/>
  <c r="J305" i="7"/>
  <c r="K305" i="7"/>
  <c r="W305" i="7"/>
  <c r="D306" i="7"/>
  <c r="E306" i="7"/>
  <c r="J306" i="7"/>
  <c r="K306" i="7"/>
  <c r="W306" i="7"/>
  <c r="D307" i="7"/>
  <c r="J307" i="7"/>
  <c r="K307" i="7"/>
  <c r="W307" i="7"/>
  <c r="E308" i="7"/>
  <c r="J308" i="7"/>
  <c r="K308" i="7"/>
  <c r="W308" i="7"/>
  <c r="D309" i="7"/>
  <c r="E309" i="7"/>
  <c r="J309" i="7"/>
  <c r="K309" i="7"/>
  <c r="W309" i="7"/>
  <c r="D310" i="7"/>
  <c r="E310" i="7"/>
  <c r="J310" i="7"/>
  <c r="K310" i="7"/>
  <c r="W310" i="7"/>
  <c r="D311" i="7"/>
  <c r="J311" i="7"/>
  <c r="K311" i="7"/>
  <c r="W311" i="7"/>
  <c r="E312" i="7"/>
  <c r="J312" i="7"/>
  <c r="K312" i="7"/>
  <c r="W312" i="7"/>
  <c r="D313" i="7"/>
  <c r="E313" i="7"/>
  <c r="J313" i="7"/>
  <c r="K313" i="7"/>
  <c r="W313" i="7"/>
  <c r="D314" i="7"/>
  <c r="E314" i="7"/>
  <c r="J314" i="7"/>
  <c r="K314" i="7"/>
  <c r="W314" i="7"/>
  <c r="D315" i="7"/>
  <c r="J315" i="7"/>
  <c r="K315" i="7"/>
  <c r="W315" i="7"/>
  <c r="E316" i="7"/>
  <c r="J316" i="7"/>
  <c r="K316" i="7"/>
  <c r="W316" i="7"/>
  <c r="D317" i="7"/>
  <c r="E317" i="7"/>
  <c r="J317" i="7"/>
  <c r="K317" i="7"/>
  <c r="W317" i="7"/>
  <c r="D318" i="7"/>
  <c r="E318" i="7"/>
  <c r="J318" i="7"/>
  <c r="K318" i="7"/>
  <c r="W318" i="7"/>
  <c r="D319" i="7"/>
  <c r="J319" i="7"/>
  <c r="K319" i="7"/>
  <c r="W319" i="7"/>
  <c r="E320" i="7"/>
  <c r="J320" i="7"/>
  <c r="K320" i="7"/>
  <c r="W320" i="7"/>
  <c r="D321" i="7"/>
  <c r="E321" i="7"/>
  <c r="J321" i="7"/>
  <c r="K321" i="7"/>
  <c r="W321" i="7"/>
  <c r="D322" i="7"/>
  <c r="E322" i="7"/>
  <c r="J322" i="7"/>
  <c r="K322" i="7"/>
  <c r="W322" i="7"/>
  <c r="D323" i="7"/>
  <c r="J323" i="7"/>
  <c r="K323" i="7"/>
  <c r="W323" i="7"/>
  <c r="E324" i="7"/>
  <c r="J324" i="7"/>
  <c r="K324" i="7"/>
  <c r="W324" i="7"/>
  <c r="D325" i="7"/>
  <c r="E325" i="7"/>
  <c r="J325" i="7"/>
  <c r="K325" i="7"/>
  <c r="W325" i="7"/>
  <c r="D326" i="7"/>
  <c r="E326" i="7"/>
  <c r="J326" i="7"/>
  <c r="K326" i="7"/>
  <c r="W326" i="7"/>
  <c r="D327" i="7"/>
  <c r="J327" i="7"/>
  <c r="K327" i="7"/>
  <c r="W327" i="7"/>
  <c r="E328" i="7"/>
  <c r="J328" i="7"/>
  <c r="K328" i="7"/>
  <c r="W328" i="7"/>
  <c r="D329" i="7"/>
  <c r="E329" i="7"/>
  <c r="J329" i="7"/>
  <c r="K329" i="7"/>
  <c r="W329" i="7"/>
  <c r="D330" i="7"/>
  <c r="E330" i="7"/>
  <c r="J330" i="7"/>
  <c r="K330" i="7"/>
  <c r="W330" i="7"/>
  <c r="D331" i="7"/>
  <c r="J331" i="7"/>
  <c r="K331" i="7"/>
  <c r="W331" i="7"/>
  <c r="E332" i="7"/>
  <c r="J332" i="7"/>
  <c r="K332" i="7"/>
  <c r="W332" i="7"/>
  <c r="D333" i="7"/>
  <c r="E333" i="7"/>
  <c r="J333" i="7"/>
  <c r="K333" i="7"/>
  <c r="W333" i="7"/>
  <c r="D334" i="7"/>
  <c r="E334" i="7"/>
  <c r="J334" i="7"/>
  <c r="K334" i="7"/>
  <c r="W334" i="7"/>
  <c r="D335" i="7"/>
  <c r="J335" i="7"/>
  <c r="K335" i="7"/>
  <c r="W335" i="7"/>
  <c r="E336" i="7"/>
  <c r="J336" i="7"/>
  <c r="K336" i="7"/>
  <c r="W336" i="7"/>
  <c r="D337" i="7"/>
  <c r="E337" i="7"/>
  <c r="J337" i="7"/>
  <c r="K337" i="7"/>
  <c r="W337" i="7"/>
  <c r="D338" i="7"/>
  <c r="E338" i="7"/>
  <c r="J338" i="7"/>
  <c r="K338" i="7"/>
  <c r="W338" i="7"/>
  <c r="D339" i="7"/>
  <c r="J339" i="7"/>
  <c r="K339" i="7"/>
  <c r="W339" i="7"/>
  <c r="E340" i="7"/>
  <c r="J340" i="7"/>
  <c r="K340" i="7"/>
  <c r="W340" i="7"/>
  <c r="D341" i="7"/>
  <c r="E341" i="7"/>
  <c r="J341" i="7"/>
  <c r="K341" i="7"/>
  <c r="W341" i="7"/>
  <c r="D342" i="7"/>
  <c r="E342" i="7"/>
  <c r="J342" i="7"/>
  <c r="K342" i="7"/>
  <c r="W342" i="7"/>
  <c r="D343" i="7"/>
  <c r="J343" i="7"/>
  <c r="K343" i="7"/>
  <c r="W343" i="7"/>
  <c r="E344" i="7"/>
  <c r="J344" i="7"/>
  <c r="K344" i="7"/>
  <c r="W344" i="7"/>
  <c r="D345" i="7"/>
  <c r="E345" i="7"/>
  <c r="J345" i="7"/>
  <c r="K345" i="7"/>
  <c r="W345" i="7"/>
  <c r="D346" i="7"/>
  <c r="E346" i="7"/>
  <c r="J346" i="7"/>
  <c r="K346" i="7"/>
  <c r="W346" i="7"/>
  <c r="D347" i="7"/>
  <c r="J347" i="7"/>
  <c r="K347" i="7"/>
  <c r="W347" i="7"/>
  <c r="E348" i="7"/>
  <c r="J348" i="7"/>
  <c r="K348" i="7"/>
  <c r="W348" i="7"/>
  <c r="D349" i="7"/>
  <c r="E349" i="7"/>
  <c r="J349" i="7"/>
  <c r="K349" i="7"/>
  <c r="W349" i="7"/>
  <c r="D350" i="7"/>
  <c r="E350" i="7"/>
  <c r="J350" i="7"/>
  <c r="K350" i="7"/>
  <c r="W350" i="7"/>
  <c r="D351" i="7"/>
  <c r="J351" i="7"/>
  <c r="K351" i="7"/>
  <c r="W351" i="7"/>
  <c r="E352" i="7"/>
  <c r="I352" i="7"/>
  <c r="J352" i="7"/>
  <c r="K352" i="7"/>
  <c r="W352" i="7"/>
  <c r="D353" i="7"/>
  <c r="E353" i="7"/>
  <c r="J353" i="7"/>
  <c r="K353" i="7"/>
  <c r="W353" i="7"/>
  <c r="D354" i="7"/>
  <c r="E354" i="7"/>
  <c r="J354" i="7"/>
  <c r="K354" i="7"/>
  <c r="W354" i="7"/>
  <c r="D355" i="7"/>
  <c r="J355" i="7"/>
  <c r="K355" i="7"/>
  <c r="W355" i="7"/>
  <c r="E356" i="7"/>
  <c r="J356" i="7"/>
  <c r="K356" i="7"/>
  <c r="W356" i="7"/>
  <c r="D357" i="7"/>
  <c r="E357" i="7"/>
  <c r="J357" i="7"/>
  <c r="K357" i="7"/>
  <c r="W357" i="7"/>
  <c r="D358" i="7"/>
  <c r="E358" i="7"/>
  <c r="J358" i="7"/>
  <c r="K358" i="7"/>
  <c r="W358" i="7"/>
  <c r="D359" i="7"/>
  <c r="J359" i="7"/>
  <c r="K359" i="7"/>
  <c r="W359" i="7"/>
  <c r="E360" i="7"/>
  <c r="J360" i="7"/>
  <c r="K360" i="7"/>
  <c r="W360" i="7"/>
  <c r="D361" i="7"/>
  <c r="E361" i="7"/>
  <c r="H361" i="7"/>
  <c r="J361" i="7"/>
  <c r="K361" i="7"/>
  <c r="W361" i="7"/>
  <c r="D362" i="7"/>
  <c r="E362" i="7"/>
  <c r="J362" i="7"/>
  <c r="K362" i="7"/>
  <c r="W362" i="7"/>
  <c r="D363" i="7"/>
  <c r="J363" i="7"/>
  <c r="K363" i="7"/>
  <c r="W363" i="7"/>
  <c r="E364" i="7"/>
  <c r="J364" i="7"/>
  <c r="K364" i="7"/>
  <c r="W364" i="7"/>
  <c r="D365" i="7"/>
  <c r="E365" i="7"/>
  <c r="J365" i="7"/>
  <c r="K365" i="7"/>
  <c r="W365" i="7"/>
  <c r="D366" i="7"/>
  <c r="E366" i="7"/>
  <c r="J366" i="7"/>
  <c r="K366" i="7"/>
  <c r="W366" i="7"/>
  <c r="D367" i="7"/>
  <c r="J367" i="7"/>
  <c r="K367" i="7"/>
  <c r="W367" i="7"/>
  <c r="E368" i="7"/>
  <c r="J368" i="7"/>
  <c r="K368" i="7"/>
  <c r="W368" i="7"/>
  <c r="D369" i="7"/>
  <c r="E369" i="7"/>
  <c r="H369" i="7"/>
  <c r="J369" i="7"/>
  <c r="K369" i="7"/>
  <c r="W369" i="7"/>
  <c r="D370" i="7"/>
  <c r="E370" i="7"/>
  <c r="J370" i="7"/>
  <c r="K370" i="7"/>
  <c r="W370" i="7"/>
  <c r="D371" i="7"/>
  <c r="J371" i="7"/>
  <c r="K371" i="7"/>
  <c r="W371" i="7"/>
  <c r="E372" i="7"/>
  <c r="J372" i="7"/>
  <c r="K372" i="7"/>
  <c r="W372" i="7"/>
  <c r="D373" i="7"/>
  <c r="E373" i="7"/>
  <c r="J373" i="7"/>
  <c r="K373" i="7"/>
  <c r="W373" i="7"/>
  <c r="D374" i="7"/>
  <c r="E374" i="7"/>
  <c r="J374" i="7"/>
  <c r="K374" i="7"/>
  <c r="W374" i="7"/>
  <c r="D375" i="7"/>
  <c r="J375" i="7"/>
  <c r="K375" i="7"/>
  <c r="W375" i="7"/>
  <c r="E376" i="7"/>
  <c r="J376" i="7"/>
  <c r="K376" i="7"/>
  <c r="W376" i="7"/>
  <c r="D377" i="7"/>
  <c r="E377" i="7"/>
  <c r="J377" i="7"/>
  <c r="K377" i="7"/>
  <c r="W377" i="7"/>
  <c r="D378" i="7"/>
  <c r="E378" i="7"/>
  <c r="J378" i="7"/>
  <c r="K378" i="7"/>
  <c r="W378" i="7"/>
  <c r="D379" i="7"/>
  <c r="J379" i="7"/>
  <c r="K379" i="7"/>
  <c r="W379" i="7"/>
  <c r="E380" i="7"/>
  <c r="J380" i="7"/>
  <c r="K380" i="7"/>
  <c r="W380" i="7"/>
  <c r="D381" i="7"/>
  <c r="E381" i="7"/>
  <c r="J381" i="7"/>
  <c r="K381" i="7"/>
  <c r="W381" i="7"/>
  <c r="D382" i="7"/>
  <c r="E382" i="7"/>
  <c r="J382" i="7"/>
  <c r="K382" i="7"/>
  <c r="W382" i="7"/>
  <c r="D383" i="7"/>
  <c r="J383" i="7"/>
  <c r="K383" i="7"/>
  <c r="W383" i="7"/>
  <c r="E384" i="7"/>
  <c r="J384" i="7"/>
  <c r="K384" i="7"/>
  <c r="W384" i="7"/>
  <c r="D385" i="7"/>
  <c r="E385" i="7"/>
  <c r="H385" i="7"/>
  <c r="J385" i="7"/>
  <c r="K385" i="7"/>
  <c r="W385" i="7"/>
  <c r="D386" i="7"/>
  <c r="E386" i="7"/>
  <c r="J386" i="7"/>
  <c r="K386" i="7"/>
  <c r="W386" i="7"/>
  <c r="D387" i="7"/>
  <c r="J387" i="7"/>
  <c r="K387" i="7"/>
  <c r="W387" i="7"/>
  <c r="E388" i="7"/>
  <c r="J388" i="7"/>
  <c r="K388" i="7"/>
  <c r="W388" i="7"/>
  <c r="D389" i="7"/>
  <c r="E389" i="7"/>
  <c r="J389" i="7"/>
  <c r="K389" i="7"/>
  <c r="W389" i="7"/>
  <c r="D390" i="7"/>
  <c r="E390" i="7"/>
  <c r="J390" i="7"/>
  <c r="K390" i="7"/>
  <c r="W390" i="7"/>
  <c r="D391" i="7"/>
  <c r="J391" i="7"/>
  <c r="K391" i="7"/>
  <c r="W391" i="7"/>
  <c r="E392" i="7"/>
  <c r="I392" i="7"/>
  <c r="J392" i="7"/>
  <c r="K392" i="7"/>
  <c r="W392" i="7"/>
  <c r="D393" i="7"/>
  <c r="E393" i="7"/>
  <c r="J393" i="7"/>
  <c r="K393" i="7"/>
  <c r="W393" i="7"/>
  <c r="D394" i="7"/>
  <c r="E394" i="7"/>
  <c r="J394" i="7"/>
  <c r="K394" i="7"/>
  <c r="W394" i="7"/>
  <c r="D395" i="7"/>
  <c r="J395" i="7"/>
  <c r="K395" i="7"/>
  <c r="W395" i="7"/>
  <c r="E396" i="7"/>
  <c r="J396" i="7"/>
  <c r="K396" i="7"/>
  <c r="W396" i="7"/>
  <c r="D397" i="7"/>
  <c r="E397" i="7"/>
  <c r="J397" i="7"/>
  <c r="K397" i="7"/>
  <c r="W397" i="7"/>
  <c r="D398" i="7"/>
  <c r="E398" i="7"/>
  <c r="J398" i="7"/>
  <c r="K398" i="7"/>
  <c r="W398" i="7"/>
  <c r="D399" i="7"/>
  <c r="J399" i="7"/>
  <c r="K399" i="7"/>
  <c r="W399" i="7"/>
  <c r="E400" i="7"/>
  <c r="I400" i="7"/>
  <c r="J400" i="7"/>
  <c r="K400" i="7"/>
  <c r="W400" i="7"/>
  <c r="D401" i="7"/>
  <c r="E401" i="7"/>
  <c r="J401" i="7"/>
  <c r="K401" i="7"/>
  <c r="W401" i="7"/>
  <c r="D402" i="7"/>
  <c r="E402" i="7"/>
  <c r="J402" i="7"/>
  <c r="K402" i="7"/>
  <c r="W402" i="7"/>
  <c r="D403" i="7"/>
  <c r="J403" i="7"/>
  <c r="K403" i="7"/>
  <c r="W403" i="7"/>
  <c r="E404" i="7"/>
  <c r="J404" i="7"/>
  <c r="K404" i="7"/>
  <c r="W404" i="7"/>
  <c r="D405" i="7"/>
  <c r="E405" i="7"/>
  <c r="J405" i="7"/>
  <c r="K405" i="7"/>
  <c r="W405" i="7"/>
  <c r="D406" i="7"/>
  <c r="E406" i="7"/>
  <c r="J406" i="7"/>
  <c r="K406" i="7"/>
  <c r="W406" i="7"/>
  <c r="D407" i="7"/>
  <c r="J407" i="7"/>
  <c r="K407" i="7"/>
  <c r="W407" i="7"/>
  <c r="E408" i="7"/>
  <c r="I408" i="7"/>
  <c r="J408" i="7"/>
  <c r="K408" i="7"/>
  <c r="M408" i="7"/>
  <c r="W408" i="7"/>
  <c r="D409" i="7"/>
  <c r="E409" i="7"/>
  <c r="H409" i="7"/>
  <c r="J409" i="7"/>
  <c r="K409" i="7"/>
  <c r="W409" i="7"/>
  <c r="D410" i="7"/>
  <c r="E410" i="7"/>
  <c r="J410" i="7"/>
  <c r="K410" i="7"/>
  <c r="W410" i="7"/>
  <c r="D411" i="7"/>
  <c r="J411" i="7"/>
  <c r="K411" i="7"/>
  <c r="W411" i="7"/>
  <c r="E412" i="7"/>
  <c r="J412" i="7"/>
  <c r="K412" i="7"/>
  <c r="W412" i="7"/>
  <c r="D413" i="7"/>
  <c r="E413" i="7"/>
  <c r="J413" i="7"/>
  <c r="K413" i="7"/>
  <c r="W413" i="7"/>
  <c r="D414" i="7"/>
  <c r="E414" i="7"/>
  <c r="J414" i="7"/>
  <c r="K414" i="7"/>
  <c r="W414" i="7"/>
  <c r="D415" i="7"/>
  <c r="J415" i="7"/>
  <c r="K415" i="7"/>
  <c r="W415" i="7"/>
  <c r="E416" i="7"/>
  <c r="I416" i="7"/>
  <c r="J416" i="7"/>
  <c r="K416" i="7"/>
  <c r="W416" i="7"/>
  <c r="D417" i="7"/>
  <c r="E417" i="7"/>
  <c r="J417" i="7"/>
  <c r="K417" i="7"/>
  <c r="W417" i="7"/>
  <c r="D418" i="7"/>
  <c r="E418" i="7"/>
  <c r="J418" i="7"/>
  <c r="K418" i="7"/>
  <c r="W418" i="7"/>
  <c r="D419" i="7"/>
  <c r="J419" i="7"/>
  <c r="K419" i="7"/>
  <c r="W419" i="7"/>
  <c r="E420" i="7"/>
  <c r="J420" i="7"/>
  <c r="K420" i="7"/>
  <c r="W420" i="7"/>
  <c r="D421" i="7"/>
  <c r="E421" i="7"/>
  <c r="J421" i="7"/>
  <c r="K421" i="7"/>
  <c r="W421" i="7"/>
  <c r="D422" i="7"/>
  <c r="E422" i="7"/>
  <c r="J422" i="7"/>
  <c r="K422" i="7"/>
  <c r="W422" i="7"/>
  <c r="D423" i="7"/>
  <c r="J423" i="7"/>
  <c r="K423" i="7"/>
  <c r="W423" i="7"/>
  <c r="E424" i="7"/>
  <c r="J424" i="7"/>
  <c r="K424" i="7"/>
  <c r="W424" i="7"/>
  <c r="D425" i="7"/>
  <c r="E425" i="7"/>
  <c r="H425" i="7"/>
  <c r="J425" i="7"/>
  <c r="K425" i="7"/>
  <c r="W425" i="7"/>
  <c r="D426" i="7"/>
  <c r="E426" i="7"/>
  <c r="J426" i="7"/>
  <c r="K426" i="7"/>
  <c r="W426" i="7"/>
  <c r="D427" i="7"/>
  <c r="J427" i="7"/>
  <c r="K427" i="7"/>
  <c r="W427" i="7"/>
  <c r="E428" i="7"/>
  <c r="J428" i="7"/>
  <c r="K428" i="7"/>
  <c r="W428" i="7"/>
  <c r="D429" i="7"/>
  <c r="E429" i="7"/>
  <c r="J429" i="7"/>
  <c r="K429" i="7"/>
  <c r="W429" i="7"/>
  <c r="D430" i="7"/>
  <c r="E430" i="7"/>
  <c r="J430" i="7"/>
  <c r="K430" i="7"/>
  <c r="W430" i="7"/>
  <c r="D431" i="7"/>
  <c r="J431" i="7"/>
  <c r="K431" i="7"/>
  <c r="W431" i="7"/>
  <c r="E432" i="7"/>
  <c r="J432" i="7"/>
  <c r="K432" i="7"/>
  <c r="W432" i="7"/>
  <c r="D433" i="7"/>
  <c r="E433" i="7"/>
  <c r="H433" i="7"/>
  <c r="J433" i="7"/>
  <c r="K433" i="7"/>
  <c r="W433" i="7"/>
  <c r="D434" i="7"/>
  <c r="E434" i="7"/>
  <c r="J434" i="7"/>
  <c r="K434" i="7"/>
  <c r="W434" i="7"/>
  <c r="D435" i="7"/>
  <c r="J435" i="7"/>
  <c r="K435" i="7"/>
  <c r="W435" i="7"/>
  <c r="E436" i="7"/>
  <c r="J436" i="7"/>
  <c r="K436" i="7"/>
  <c r="W436" i="7"/>
  <c r="D437" i="7"/>
  <c r="E437" i="7"/>
  <c r="J437" i="7"/>
  <c r="K437" i="7"/>
  <c r="W437" i="7"/>
  <c r="D438" i="7"/>
  <c r="E438" i="7"/>
  <c r="J438" i="7"/>
  <c r="K438" i="7"/>
  <c r="W438" i="7"/>
  <c r="D439" i="7"/>
  <c r="J439" i="7"/>
  <c r="K439" i="7"/>
  <c r="W439" i="7"/>
  <c r="E440" i="7"/>
  <c r="J440" i="7"/>
  <c r="K440" i="7"/>
  <c r="W440" i="7"/>
  <c r="D441" i="7"/>
  <c r="E441" i="7"/>
  <c r="J441" i="7"/>
  <c r="K441" i="7"/>
  <c r="W441" i="7"/>
  <c r="D442" i="7"/>
  <c r="E442" i="7"/>
  <c r="J442" i="7"/>
  <c r="K442" i="7"/>
  <c r="W442" i="7"/>
  <c r="D443" i="7"/>
  <c r="J443" i="7"/>
  <c r="K443" i="7"/>
  <c r="W443" i="7"/>
  <c r="E444" i="7"/>
  <c r="J444" i="7"/>
  <c r="K444" i="7"/>
  <c r="W444" i="7"/>
  <c r="D445" i="7"/>
  <c r="E445" i="7"/>
  <c r="J445" i="7"/>
  <c r="K445" i="7"/>
  <c r="W445" i="7"/>
  <c r="D446" i="7"/>
  <c r="E446" i="7"/>
  <c r="J446" i="7"/>
  <c r="K446" i="7"/>
  <c r="W446" i="7"/>
  <c r="D447" i="7"/>
  <c r="J447" i="7"/>
  <c r="K447" i="7"/>
  <c r="W447" i="7"/>
  <c r="E448" i="7"/>
  <c r="J448" i="7"/>
  <c r="K448" i="7"/>
  <c r="W448" i="7"/>
  <c r="D449" i="7"/>
  <c r="E449" i="7"/>
  <c r="H449" i="7"/>
  <c r="J449" i="7"/>
  <c r="K449" i="7"/>
  <c r="W449" i="7"/>
  <c r="D450" i="7"/>
  <c r="E450" i="7"/>
  <c r="J450" i="7"/>
  <c r="K450" i="7"/>
  <c r="W450" i="7"/>
  <c r="D451" i="7"/>
  <c r="J451" i="7"/>
  <c r="K451" i="7"/>
  <c r="W451" i="7"/>
  <c r="E452" i="7"/>
  <c r="J452" i="7"/>
  <c r="K452" i="7"/>
  <c r="W452" i="7"/>
  <c r="D453" i="7"/>
  <c r="E453" i="7"/>
  <c r="J453" i="7"/>
  <c r="K453" i="7"/>
  <c r="W453" i="7"/>
  <c r="D454" i="7"/>
  <c r="E454" i="7"/>
  <c r="J454" i="7"/>
  <c r="K454" i="7"/>
  <c r="W454" i="7"/>
  <c r="D455" i="7"/>
  <c r="J455" i="7"/>
  <c r="K455" i="7"/>
  <c r="W455" i="7"/>
  <c r="E456" i="7"/>
  <c r="J456" i="7"/>
  <c r="K456" i="7"/>
  <c r="W456" i="7"/>
  <c r="D457" i="7"/>
  <c r="E457" i="7"/>
  <c r="H457" i="7"/>
  <c r="J457" i="7"/>
  <c r="K457" i="7"/>
  <c r="W457" i="7"/>
  <c r="D458" i="7"/>
  <c r="E458" i="7"/>
  <c r="J458" i="7"/>
  <c r="K458" i="7"/>
  <c r="W458" i="7"/>
  <c r="D459" i="7"/>
  <c r="J459" i="7"/>
  <c r="K459" i="7"/>
  <c r="W459" i="7"/>
  <c r="E460" i="7"/>
  <c r="J460" i="7"/>
  <c r="K460" i="7"/>
  <c r="W460" i="7"/>
  <c r="D461" i="7"/>
  <c r="E461" i="7"/>
  <c r="J461" i="7"/>
  <c r="K461" i="7"/>
  <c r="W461" i="7"/>
  <c r="D462" i="7"/>
  <c r="E462" i="7"/>
  <c r="J462" i="7"/>
  <c r="K462" i="7"/>
  <c r="W462" i="7"/>
  <c r="D463" i="7"/>
  <c r="J463" i="7"/>
  <c r="K463" i="7"/>
  <c r="W463" i="7"/>
  <c r="E464" i="7"/>
  <c r="I464" i="7"/>
  <c r="J464" i="7"/>
  <c r="K464" i="7"/>
  <c r="W464" i="7"/>
  <c r="D465" i="7"/>
  <c r="E465" i="7"/>
  <c r="H465" i="7"/>
  <c r="J465" i="7"/>
  <c r="K465" i="7"/>
  <c r="W465" i="7"/>
  <c r="D466" i="7"/>
  <c r="E466" i="7"/>
  <c r="J466" i="7"/>
  <c r="K466" i="7"/>
  <c r="W466" i="7"/>
  <c r="D467" i="7"/>
  <c r="J467" i="7"/>
  <c r="K467" i="7"/>
  <c r="W467" i="7"/>
  <c r="E468" i="7"/>
  <c r="J468" i="7"/>
  <c r="K468" i="7"/>
  <c r="W468" i="7"/>
  <c r="D469" i="7"/>
  <c r="E469" i="7"/>
  <c r="J469" i="7"/>
  <c r="K469" i="7"/>
  <c r="M469" i="7"/>
  <c r="W469" i="7"/>
  <c r="D470" i="7"/>
  <c r="E470" i="7"/>
  <c r="J470" i="7"/>
  <c r="K470" i="7"/>
  <c r="W470" i="7"/>
  <c r="D471" i="7"/>
  <c r="J471" i="7"/>
  <c r="K471" i="7"/>
  <c r="W471" i="7"/>
  <c r="E472" i="7"/>
  <c r="I472" i="7"/>
  <c r="J472" i="7"/>
  <c r="K472" i="7"/>
  <c r="W472" i="7"/>
  <c r="D473" i="7"/>
  <c r="E473" i="7"/>
  <c r="H473" i="7"/>
  <c r="J473" i="7"/>
  <c r="K473" i="7"/>
  <c r="W473" i="7"/>
  <c r="D474" i="7"/>
  <c r="E474" i="7"/>
  <c r="J474" i="7"/>
  <c r="K474" i="7"/>
  <c r="W474" i="7"/>
  <c r="D475" i="7"/>
  <c r="J475" i="7"/>
  <c r="K475" i="7"/>
  <c r="W475" i="7"/>
  <c r="E476" i="7"/>
  <c r="J476" i="7"/>
  <c r="K476" i="7"/>
  <c r="W476" i="7"/>
  <c r="D477" i="7"/>
  <c r="E477" i="7"/>
  <c r="J477" i="7"/>
  <c r="K477" i="7"/>
  <c r="W477" i="7"/>
  <c r="D478" i="7"/>
  <c r="E478" i="7"/>
  <c r="J478" i="7"/>
  <c r="K478" i="7"/>
  <c r="W478" i="7"/>
  <c r="D479" i="7"/>
  <c r="J479" i="7"/>
  <c r="K479" i="7"/>
  <c r="W479" i="7"/>
  <c r="E480" i="7"/>
  <c r="J480" i="7"/>
  <c r="K480" i="7"/>
  <c r="W480" i="7"/>
  <c r="D481" i="7"/>
  <c r="E481" i="7"/>
  <c r="H481" i="7"/>
  <c r="J481" i="7"/>
  <c r="K481" i="7"/>
  <c r="W481" i="7"/>
  <c r="D482" i="7"/>
  <c r="E482" i="7"/>
  <c r="J482" i="7"/>
  <c r="K482" i="7"/>
  <c r="W482" i="7"/>
  <c r="D483" i="7"/>
  <c r="J483" i="7"/>
  <c r="K483" i="7"/>
  <c r="W483" i="7"/>
  <c r="E484" i="7"/>
  <c r="J484" i="7"/>
  <c r="K484" i="7"/>
  <c r="W484" i="7"/>
  <c r="D485" i="7"/>
  <c r="E485" i="7"/>
  <c r="J485" i="7"/>
  <c r="K485" i="7"/>
  <c r="M485" i="7"/>
  <c r="W485" i="7"/>
  <c r="D486" i="7"/>
  <c r="E486" i="7"/>
  <c r="J486" i="7"/>
  <c r="K486" i="7"/>
  <c r="W486" i="7"/>
  <c r="D487" i="7"/>
  <c r="J487" i="7"/>
  <c r="K487" i="7"/>
  <c r="W487" i="7"/>
  <c r="E488" i="7"/>
  <c r="I488" i="7"/>
  <c r="J488" i="7"/>
  <c r="K488" i="7"/>
  <c r="W488" i="7"/>
  <c r="D489" i="7"/>
  <c r="E489" i="7"/>
  <c r="H489" i="7"/>
  <c r="J489" i="7"/>
  <c r="K489" i="7"/>
  <c r="W489" i="7"/>
  <c r="D490" i="7"/>
  <c r="E490" i="7"/>
  <c r="J490" i="7"/>
  <c r="K490" i="7"/>
  <c r="W490" i="7"/>
  <c r="D491" i="7"/>
  <c r="J491" i="7"/>
  <c r="K491" i="7"/>
  <c r="W491" i="7"/>
  <c r="E492" i="7"/>
  <c r="J492" i="7"/>
  <c r="K492" i="7"/>
  <c r="W492" i="7"/>
  <c r="D493" i="7"/>
  <c r="E493" i="7"/>
  <c r="J493" i="7"/>
  <c r="K493" i="7"/>
  <c r="W493" i="7"/>
  <c r="D494" i="7"/>
  <c r="E494" i="7"/>
  <c r="J494" i="7"/>
  <c r="K494" i="7"/>
  <c r="W494" i="7"/>
  <c r="D495" i="7"/>
  <c r="J495" i="7"/>
  <c r="K495" i="7"/>
  <c r="W495" i="7"/>
  <c r="E496" i="7"/>
  <c r="I496" i="7"/>
  <c r="J496" i="7"/>
  <c r="K496" i="7"/>
  <c r="W496" i="7"/>
  <c r="D497" i="7"/>
  <c r="E497" i="7"/>
  <c r="H497" i="7"/>
  <c r="J497" i="7"/>
  <c r="K497" i="7"/>
  <c r="W497" i="7"/>
  <c r="D498" i="7"/>
  <c r="E498" i="7"/>
  <c r="J498" i="7"/>
  <c r="K498" i="7"/>
  <c r="W498" i="7"/>
  <c r="D499" i="7"/>
  <c r="J499" i="7"/>
  <c r="K499" i="7"/>
  <c r="M499" i="7"/>
  <c r="W499" i="7"/>
  <c r="E500" i="7"/>
  <c r="J500" i="7"/>
  <c r="K500" i="7"/>
  <c r="W500" i="7"/>
  <c r="D501" i="7"/>
  <c r="E501" i="7"/>
  <c r="J501" i="7"/>
  <c r="K501" i="7"/>
  <c r="W501" i="7"/>
  <c r="D502" i="7"/>
  <c r="E502" i="7"/>
  <c r="J502" i="7"/>
  <c r="K502" i="7"/>
  <c r="W502" i="7"/>
  <c r="D503" i="7"/>
  <c r="J503" i="7"/>
  <c r="K503" i="7"/>
  <c r="W503" i="7"/>
  <c r="E504" i="7"/>
  <c r="I504" i="7"/>
  <c r="J504" i="7"/>
  <c r="K504" i="7"/>
  <c r="W504" i="7"/>
  <c r="D505" i="7"/>
  <c r="E505" i="7"/>
  <c r="H505" i="7"/>
  <c r="J505" i="7"/>
  <c r="K505" i="7"/>
  <c r="W505" i="7"/>
  <c r="D506" i="7"/>
  <c r="E506" i="7"/>
  <c r="J506" i="7"/>
  <c r="K506" i="7"/>
  <c r="W506" i="7"/>
  <c r="D507" i="7"/>
  <c r="J507" i="7"/>
  <c r="K507" i="7"/>
  <c r="W507" i="7"/>
  <c r="E508" i="7"/>
  <c r="J508" i="7"/>
  <c r="K508" i="7"/>
  <c r="L508" i="7"/>
  <c r="W508" i="7"/>
  <c r="D509" i="7"/>
  <c r="E509" i="7"/>
  <c r="J509" i="7"/>
  <c r="K509" i="7"/>
  <c r="W509" i="7"/>
  <c r="D510" i="7"/>
  <c r="E510" i="7"/>
  <c r="J510" i="7"/>
  <c r="K510" i="7"/>
  <c r="W510" i="7"/>
  <c r="D511" i="7"/>
  <c r="J511" i="7"/>
  <c r="K511" i="7"/>
  <c r="W511" i="7"/>
  <c r="E512" i="7"/>
  <c r="I512" i="7"/>
  <c r="J512" i="7"/>
  <c r="K512" i="7"/>
  <c r="L512" i="7"/>
  <c r="W512" i="7"/>
  <c r="D513" i="7"/>
  <c r="E513" i="7"/>
  <c r="H513" i="7"/>
  <c r="J513" i="7"/>
  <c r="K513" i="7"/>
  <c r="L513" i="7"/>
  <c r="W513" i="7"/>
  <c r="D514" i="7"/>
  <c r="E514" i="7"/>
  <c r="J514" i="7"/>
  <c r="K514" i="7"/>
  <c r="M514" i="7"/>
  <c r="W514" i="7"/>
  <c r="D515" i="7"/>
  <c r="J515" i="7"/>
  <c r="K515" i="7"/>
  <c r="L515" i="7"/>
  <c r="W515" i="7"/>
  <c r="E516" i="7"/>
  <c r="J516" i="7"/>
  <c r="K516" i="7"/>
  <c r="W516" i="7"/>
  <c r="D517" i="7"/>
  <c r="E517" i="7"/>
  <c r="J517" i="7"/>
  <c r="K517" i="7"/>
  <c r="W517" i="7"/>
  <c r="D518" i="7"/>
  <c r="E518" i="7"/>
  <c r="J518" i="7"/>
  <c r="K518" i="7"/>
  <c r="L518" i="7"/>
  <c r="W518" i="7"/>
  <c r="D519" i="7"/>
  <c r="J519" i="7"/>
  <c r="K519" i="7"/>
  <c r="W519" i="7"/>
  <c r="E520" i="7"/>
  <c r="I520" i="7"/>
  <c r="J520" i="7"/>
  <c r="K520" i="7"/>
  <c r="W520" i="7"/>
  <c r="D521" i="7"/>
  <c r="E521" i="7"/>
  <c r="H521" i="7"/>
  <c r="J521" i="7"/>
  <c r="K521" i="7"/>
  <c r="W521" i="7"/>
  <c r="D522" i="7"/>
  <c r="E522" i="7"/>
  <c r="J522" i="7"/>
  <c r="K522" i="7"/>
  <c r="W522" i="7"/>
  <c r="D523" i="7"/>
  <c r="J523" i="7"/>
  <c r="K523" i="7"/>
  <c r="M523" i="7"/>
  <c r="W523" i="7"/>
  <c r="E524" i="7"/>
  <c r="J524" i="7"/>
  <c r="K524" i="7"/>
  <c r="L524" i="7"/>
  <c r="W524" i="7"/>
  <c r="D525" i="7"/>
  <c r="E525" i="7"/>
  <c r="J525" i="7"/>
  <c r="K525" i="7"/>
  <c r="M525" i="7"/>
  <c r="W525" i="7"/>
  <c r="D526" i="7"/>
  <c r="E526" i="7"/>
  <c r="J526" i="7"/>
  <c r="K526" i="7"/>
  <c r="W526" i="7"/>
  <c r="D527" i="7"/>
  <c r="J527" i="7"/>
  <c r="K527" i="7"/>
  <c r="W527" i="7"/>
  <c r="D528" i="7"/>
  <c r="E528" i="7"/>
  <c r="I528" i="7"/>
  <c r="J528" i="7"/>
  <c r="K528" i="7"/>
  <c r="W528" i="7"/>
  <c r="D529" i="7"/>
  <c r="E529" i="7"/>
  <c r="H529" i="7"/>
  <c r="J529" i="7"/>
  <c r="K529" i="7"/>
  <c r="L529" i="7"/>
  <c r="W529" i="7"/>
  <c r="D530" i="7"/>
  <c r="J530" i="7"/>
  <c r="K530" i="7"/>
  <c r="W530" i="7"/>
  <c r="E531" i="7"/>
  <c r="J531" i="7"/>
  <c r="K531" i="7"/>
  <c r="W531" i="7"/>
  <c r="D532" i="7"/>
  <c r="E532" i="7"/>
  <c r="J532" i="7"/>
  <c r="K532" i="7"/>
  <c r="L532" i="7"/>
  <c r="W532" i="7"/>
  <c r="D533" i="7"/>
  <c r="E533" i="7"/>
  <c r="J533" i="7"/>
  <c r="K533" i="7"/>
  <c r="M533" i="7"/>
  <c r="W533" i="7"/>
  <c r="D534" i="7"/>
  <c r="J534" i="7"/>
  <c r="K534" i="7"/>
  <c r="L534" i="7"/>
  <c r="W534" i="7"/>
  <c r="E535" i="7"/>
  <c r="J535" i="7"/>
  <c r="K535" i="7"/>
  <c r="W535" i="7"/>
  <c r="D536" i="7"/>
  <c r="E536" i="7"/>
  <c r="I536" i="7"/>
  <c r="J536" i="7"/>
  <c r="K536" i="7"/>
  <c r="M536" i="7"/>
  <c r="W536" i="7"/>
  <c r="D537" i="7"/>
  <c r="E537" i="7"/>
  <c r="H537" i="7"/>
  <c r="J537" i="7"/>
  <c r="K537" i="7"/>
  <c r="M537" i="7"/>
  <c r="W537" i="7"/>
  <c r="D538" i="7"/>
  <c r="J538" i="7"/>
  <c r="K538" i="7"/>
  <c r="L538" i="7"/>
  <c r="W538" i="7"/>
  <c r="E539" i="7"/>
  <c r="J539" i="7"/>
  <c r="K539" i="7"/>
  <c r="W539" i="7"/>
  <c r="D540" i="7"/>
  <c r="E540" i="7"/>
  <c r="J540" i="7"/>
  <c r="K540" i="7"/>
  <c r="W540" i="7"/>
  <c r="D541" i="7"/>
  <c r="J541" i="7"/>
  <c r="K541" i="7"/>
  <c r="L541" i="7"/>
  <c r="M541" i="7"/>
  <c r="W541" i="7"/>
  <c r="E542" i="7"/>
  <c r="J542" i="7"/>
  <c r="K542" i="7"/>
  <c r="W542" i="7"/>
  <c r="D543" i="7"/>
  <c r="E543" i="7"/>
  <c r="I543" i="7"/>
  <c r="J543" i="7"/>
  <c r="K543" i="7"/>
  <c r="W543" i="7"/>
  <c r="D544" i="7"/>
  <c r="E544" i="7"/>
  <c r="H544" i="7"/>
  <c r="J544" i="7"/>
  <c r="K544" i="7"/>
  <c r="W544" i="7"/>
  <c r="D545" i="7"/>
  <c r="J545" i="7"/>
  <c r="K545" i="7"/>
  <c r="W545" i="7"/>
  <c r="E546" i="7"/>
  <c r="J546" i="7"/>
  <c r="K546" i="7"/>
  <c r="W546" i="7"/>
  <c r="D547" i="7"/>
  <c r="E547" i="7"/>
  <c r="J547" i="7"/>
  <c r="K547" i="7"/>
  <c r="L547" i="7"/>
  <c r="W547" i="7"/>
  <c r="D548" i="7"/>
  <c r="E548" i="7"/>
  <c r="J548" i="7"/>
  <c r="K548" i="7"/>
  <c r="M548" i="7"/>
  <c r="W548" i="7"/>
  <c r="D549" i="7"/>
  <c r="J549" i="7"/>
  <c r="K549" i="7"/>
  <c r="W549" i="7"/>
  <c r="E550" i="7"/>
  <c r="J550" i="7"/>
  <c r="K550" i="7"/>
  <c r="L550" i="7"/>
  <c r="W550" i="7"/>
  <c r="D551" i="7"/>
  <c r="E551" i="7"/>
  <c r="I551" i="7"/>
  <c r="J551" i="7"/>
  <c r="K551" i="7"/>
  <c r="L551" i="7"/>
  <c r="W551" i="7"/>
  <c r="D552" i="7"/>
  <c r="E552" i="7"/>
  <c r="H552" i="7"/>
  <c r="J552" i="7"/>
  <c r="K552" i="7"/>
  <c r="L552" i="7"/>
  <c r="W552" i="7"/>
  <c r="D553" i="7"/>
  <c r="J553" i="7"/>
  <c r="K553" i="7"/>
  <c r="W553" i="7"/>
  <c r="E554" i="7"/>
  <c r="J554" i="7"/>
  <c r="K554" i="7"/>
  <c r="M554" i="7"/>
  <c r="W554" i="7"/>
  <c r="D555" i="7"/>
  <c r="E555" i="7"/>
  <c r="J555" i="7"/>
  <c r="K555" i="7"/>
  <c r="W555" i="7"/>
  <c r="D556" i="7"/>
  <c r="E556" i="7"/>
  <c r="J556" i="7"/>
  <c r="K556" i="7"/>
  <c r="W556" i="7"/>
  <c r="D557" i="7"/>
  <c r="J557" i="7"/>
  <c r="K557" i="7"/>
  <c r="L557" i="7"/>
  <c r="M557" i="7"/>
  <c r="W557" i="7"/>
  <c r="E558" i="7"/>
  <c r="J558" i="7"/>
  <c r="K558" i="7"/>
  <c r="W558" i="7"/>
  <c r="D559" i="7"/>
  <c r="E559" i="7"/>
  <c r="I559" i="7"/>
  <c r="J559" i="7"/>
  <c r="K559" i="7"/>
  <c r="W559" i="7"/>
  <c r="D560" i="7"/>
  <c r="E560" i="7"/>
  <c r="H560" i="7"/>
  <c r="J560" i="7"/>
  <c r="K560" i="7"/>
  <c r="W560" i="7"/>
  <c r="D561" i="7"/>
  <c r="J561" i="7"/>
  <c r="K561" i="7"/>
  <c r="W561" i="7"/>
  <c r="E562" i="7"/>
  <c r="J562" i="7"/>
  <c r="K562" i="7"/>
  <c r="W562" i="7"/>
  <c r="D563" i="7"/>
  <c r="E563" i="7"/>
  <c r="J563" i="7"/>
  <c r="K563" i="7"/>
  <c r="L563" i="7"/>
  <c r="W563" i="7"/>
  <c r="D564" i="7"/>
  <c r="E564" i="7"/>
  <c r="J564" i="7"/>
  <c r="K564" i="7"/>
  <c r="M564" i="7"/>
  <c r="W564" i="7"/>
  <c r="D565" i="7"/>
  <c r="J565" i="7"/>
  <c r="K565" i="7"/>
  <c r="W565" i="7"/>
  <c r="E566" i="7"/>
  <c r="J566" i="7"/>
  <c r="K566" i="7"/>
  <c r="L566" i="7"/>
  <c r="W566" i="7"/>
  <c r="D567" i="7"/>
  <c r="E567" i="7"/>
  <c r="I567" i="7"/>
  <c r="J567" i="7"/>
  <c r="K567" i="7"/>
  <c r="L567" i="7"/>
  <c r="W567" i="7"/>
  <c r="D568" i="7"/>
  <c r="E568" i="7"/>
  <c r="H568" i="7"/>
  <c r="J568" i="7"/>
  <c r="K568" i="7"/>
  <c r="L568" i="7"/>
  <c r="W568" i="7"/>
  <c r="D569" i="7"/>
  <c r="J569" i="7"/>
  <c r="K569" i="7"/>
  <c r="W569" i="7"/>
  <c r="E570" i="7"/>
  <c r="J570" i="7"/>
  <c r="K570" i="7"/>
  <c r="M570" i="7"/>
  <c r="W570" i="7"/>
  <c r="D571" i="7"/>
  <c r="E571" i="7"/>
  <c r="J571" i="7"/>
  <c r="K571" i="7"/>
  <c r="W571" i="7"/>
  <c r="D572" i="7"/>
  <c r="E572" i="7"/>
  <c r="J572" i="7"/>
  <c r="K572" i="7"/>
  <c r="W572" i="7"/>
  <c r="D573" i="7"/>
  <c r="J573" i="7"/>
  <c r="K573" i="7"/>
  <c r="L573" i="7"/>
  <c r="M573" i="7"/>
  <c r="W573" i="7"/>
  <c r="E574" i="7"/>
  <c r="J574" i="7"/>
  <c r="K574" i="7"/>
  <c r="W574" i="7"/>
  <c r="D575" i="7"/>
  <c r="E575" i="7"/>
  <c r="I575" i="7"/>
  <c r="J575" i="7"/>
  <c r="K575" i="7"/>
  <c r="W575" i="7"/>
  <c r="D576" i="7"/>
  <c r="E576" i="7"/>
  <c r="H576" i="7"/>
  <c r="I576" i="7"/>
  <c r="J576" i="7"/>
  <c r="K576" i="7"/>
  <c r="W576" i="7"/>
  <c r="D577" i="7"/>
  <c r="H577" i="7"/>
  <c r="I577" i="7"/>
  <c r="J577" i="7"/>
  <c r="K577" i="7"/>
  <c r="W577" i="7"/>
  <c r="E578" i="7"/>
  <c r="H578" i="7"/>
  <c r="I578" i="7"/>
  <c r="J578" i="7"/>
  <c r="K578" i="7"/>
  <c r="M578" i="7"/>
  <c r="W578" i="7"/>
  <c r="D579" i="7"/>
  <c r="E579" i="7"/>
  <c r="H579" i="7"/>
  <c r="J579" i="7"/>
  <c r="K579" i="7"/>
  <c r="M579" i="7"/>
  <c r="W579" i="7"/>
  <c r="D580" i="7"/>
  <c r="E580" i="7"/>
  <c r="J580" i="7"/>
  <c r="K580" i="7"/>
  <c r="W580" i="7"/>
  <c r="D581" i="7"/>
  <c r="J581" i="7"/>
  <c r="K581" i="7"/>
  <c r="W581" i="7"/>
  <c r="E582" i="7"/>
  <c r="J582" i="7"/>
  <c r="K582" i="7"/>
  <c r="W582" i="7"/>
  <c r="D583" i="7"/>
  <c r="E583" i="7"/>
  <c r="I583" i="7"/>
  <c r="J583" i="7"/>
  <c r="K583" i="7"/>
  <c r="W583" i="7"/>
  <c r="D584" i="7"/>
  <c r="E584" i="7"/>
  <c r="H584" i="7"/>
  <c r="I584" i="7"/>
  <c r="J584" i="7"/>
  <c r="K584" i="7"/>
  <c r="L584" i="7"/>
  <c r="W584" i="7"/>
  <c r="D585" i="7"/>
  <c r="H585" i="7"/>
  <c r="I585" i="7"/>
  <c r="J585" i="7"/>
  <c r="K585" i="7"/>
  <c r="L585" i="7"/>
  <c r="W585" i="7"/>
  <c r="E586" i="7"/>
  <c r="H586" i="7"/>
  <c r="I586" i="7"/>
  <c r="J586" i="7"/>
  <c r="K586" i="7"/>
  <c r="L586" i="7"/>
  <c r="W586" i="7"/>
  <c r="D587" i="7"/>
  <c r="E587" i="7"/>
  <c r="H587" i="7"/>
  <c r="J587" i="7"/>
  <c r="K587" i="7"/>
  <c r="L587" i="7"/>
  <c r="W587" i="7"/>
  <c r="D588" i="7"/>
  <c r="E588" i="7"/>
  <c r="J588" i="7"/>
  <c r="K588" i="7"/>
  <c r="M588" i="7"/>
  <c r="W588" i="7"/>
  <c r="D589" i="7"/>
  <c r="J589" i="7"/>
  <c r="K589" i="7"/>
  <c r="L589" i="7"/>
  <c r="W589" i="7"/>
  <c r="E590" i="7"/>
  <c r="J590" i="7"/>
  <c r="K590" i="7"/>
  <c r="W590" i="7"/>
  <c r="D591" i="7"/>
  <c r="E591" i="7"/>
  <c r="I591" i="7"/>
  <c r="J591" i="7"/>
  <c r="K591" i="7"/>
  <c r="W591" i="7"/>
  <c r="D592" i="7"/>
  <c r="E592" i="7"/>
  <c r="H592" i="7"/>
  <c r="I592" i="7"/>
  <c r="J592" i="7"/>
  <c r="K592" i="7"/>
  <c r="W592" i="7"/>
  <c r="D593" i="7"/>
  <c r="H593" i="7"/>
  <c r="I593" i="7"/>
  <c r="J593" i="7"/>
  <c r="K593" i="7"/>
  <c r="W593" i="7"/>
  <c r="E594" i="7"/>
  <c r="H594" i="7"/>
  <c r="I594" i="7"/>
  <c r="J594" i="7"/>
  <c r="K594" i="7"/>
  <c r="W594" i="7"/>
  <c r="D595" i="7"/>
  <c r="E595" i="7"/>
  <c r="H595" i="7"/>
  <c r="J595" i="7"/>
  <c r="K595" i="7"/>
  <c r="W595" i="7"/>
  <c r="D596" i="7"/>
  <c r="E596" i="7"/>
  <c r="J596" i="7"/>
  <c r="K596" i="7"/>
  <c r="M596" i="7"/>
  <c r="W596" i="7"/>
  <c r="D597" i="7"/>
  <c r="J597" i="7"/>
  <c r="K597" i="7"/>
  <c r="W597" i="7"/>
  <c r="E598" i="7"/>
  <c r="J598" i="7"/>
  <c r="K598" i="7"/>
  <c r="M598" i="7"/>
  <c r="W598" i="7"/>
  <c r="D599" i="7"/>
  <c r="E599" i="7"/>
  <c r="I599" i="7"/>
  <c r="J599" i="7"/>
  <c r="K599" i="7"/>
  <c r="W599" i="7"/>
  <c r="D600" i="7"/>
  <c r="H600" i="7"/>
  <c r="I600" i="7"/>
  <c r="J600" i="7"/>
  <c r="K600" i="7"/>
  <c r="W600" i="7"/>
  <c r="E601" i="7"/>
  <c r="H601" i="7"/>
  <c r="I601" i="7"/>
  <c r="J601" i="7"/>
  <c r="K601" i="7"/>
  <c r="M601" i="7"/>
  <c r="W601" i="7"/>
  <c r="D602" i="7"/>
  <c r="E602" i="7"/>
  <c r="H602" i="7"/>
  <c r="J602" i="7"/>
  <c r="K602" i="7"/>
  <c r="M602" i="7"/>
  <c r="W602" i="7"/>
  <c r="D603" i="7"/>
  <c r="E603" i="7"/>
  <c r="J603" i="7"/>
  <c r="K603" i="7"/>
  <c r="W603" i="7"/>
  <c r="D604" i="7"/>
  <c r="J604" i="7"/>
  <c r="K604" i="7"/>
  <c r="M604" i="7"/>
  <c r="W604" i="7"/>
  <c r="E605" i="7"/>
  <c r="J605" i="7"/>
  <c r="K605" i="7"/>
  <c r="L605" i="7"/>
  <c r="W605" i="7"/>
  <c r="D606" i="7"/>
  <c r="E606" i="7"/>
  <c r="I606" i="7"/>
  <c r="J606" i="7"/>
  <c r="K606" i="7"/>
  <c r="L606" i="7"/>
  <c r="M606" i="7"/>
  <c r="W606" i="7"/>
  <c r="D607" i="7"/>
  <c r="E607" i="7"/>
  <c r="H607" i="7"/>
  <c r="I607" i="7"/>
  <c r="J607" i="7"/>
  <c r="K607" i="7"/>
  <c r="L607" i="7"/>
  <c r="W607" i="7"/>
  <c r="D608" i="7"/>
  <c r="H608" i="7"/>
  <c r="I608" i="7"/>
  <c r="J608" i="7"/>
  <c r="K608" i="7"/>
  <c r="L608" i="7"/>
  <c r="W608" i="7"/>
  <c r="E609" i="7"/>
  <c r="H609" i="7"/>
  <c r="I609" i="7"/>
  <c r="J609" i="7"/>
  <c r="K609" i="7"/>
  <c r="L609" i="7"/>
  <c r="W609" i="7"/>
  <c r="D610" i="7"/>
  <c r="E610" i="7"/>
  <c r="H610" i="7"/>
  <c r="J610" i="7"/>
  <c r="K610" i="7"/>
  <c r="L610" i="7"/>
  <c r="W610" i="7"/>
  <c r="D611" i="7"/>
  <c r="E611" i="7"/>
  <c r="J611" i="7"/>
  <c r="K611" i="7"/>
  <c r="L611" i="7"/>
  <c r="M611" i="7"/>
  <c r="W611" i="7"/>
  <c r="D612" i="7"/>
  <c r="J612" i="7"/>
  <c r="K612" i="7"/>
  <c r="W612" i="7"/>
  <c r="D613" i="7"/>
  <c r="E613" i="7"/>
  <c r="H613" i="7"/>
  <c r="I613" i="7"/>
  <c r="J613" i="7"/>
  <c r="K613" i="7"/>
  <c r="M613" i="7"/>
  <c r="W613" i="7"/>
  <c r="D614" i="7"/>
  <c r="E614" i="7"/>
  <c r="H614" i="7"/>
  <c r="J614" i="7"/>
  <c r="K614" i="7"/>
  <c r="M614" i="7"/>
  <c r="W614" i="7"/>
  <c r="A620" i="7"/>
  <c r="A622" i="7"/>
  <c r="H622" i="7" s="1"/>
  <c r="A623" i="7"/>
  <c r="V2" i="3"/>
  <c r="W2" i="3"/>
  <c r="R17" i="3"/>
  <c r="AK2" i="3"/>
  <c r="AL2" i="3"/>
  <c r="F294" i="5" l="1"/>
  <c r="G294" i="5" s="1"/>
  <c r="F287" i="5"/>
  <c r="G287" i="5" s="1"/>
  <c r="F280" i="5"/>
  <c r="F272" i="5"/>
  <c r="I272" i="5" s="1"/>
  <c r="F265" i="5"/>
  <c r="I265" i="5" s="1"/>
  <c r="F258" i="5"/>
  <c r="I258" i="5" s="1"/>
  <c r="F251" i="5"/>
  <c r="F244" i="5"/>
  <c r="G244" i="5" s="1"/>
  <c r="F237" i="5"/>
  <c r="I237" i="5" s="1"/>
  <c r="F229" i="5"/>
  <c r="I229" i="5" s="1"/>
  <c r="F223" i="5"/>
  <c r="F216" i="5"/>
  <c r="G216" i="5" s="1"/>
  <c r="F208" i="5"/>
  <c r="F202" i="5"/>
  <c r="G202" i="5" s="1"/>
  <c r="F195" i="5"/>
  <c r="F187" i="5"/>
  <c r="I187" i="5" s="1"/>
  <c r="F180" i="5"/>
  <c r="G180" i="5" s="1"/>
  <c r="F174" i="5"/>
  <c r="F166" i="5"/>
  <c r="F159" i="5"/>
  <c r="G159" i="5" s="1"/>
  <c r="F152" i="5"/>
  <c r="I152" i="5" s="1"/>
  <c r="F144" i="5"/>
  <c r="I144" i="5" s="1"/>
  <c r="F137" i="5"/>
  <c r="F131" i="5"/>
  <c r="G131" i="5" s="1"/>
  <c r="F124" i="5"/>
  <c r="F117" i="5"/>
  <c r="G117" i="5" s="1"/>
  <c r="F109" i="5"/>
  <c r="F97" i="5"/>
  <c r="I97" i="5" s="1"/>
  <c r="F88" i="5"/>
  <c r="G88" i="5" s="1"/>
  <c r="F65" i="5"/>
  <c r="I65" i="5" s="1"/>
  <c r="F300" i="5"/>
  <c r="F295" i="5"/>
  <c r="G295" i="5" s="1"/>
  <c r="F290" i="5"/>
  <c r="I290" i="5" s="1"/>
  <c r="F284" i="5"/>
  <c r="I284" i="5" s="1"/>
  <c r="F279" i="5"/>
  <c r="F273" i="5"/>
  <c r="I273" i="5" s="1"/>
  <c r="F268" i="5"/>
  <c r="G268" i="5" s="1"/>
  <c r="F262" i="5"/>
  <c r="F257" i="5"/>
  <c r="I257" i="5" s="1"/>
  <c r="F253" i="5"/>
  <c r="I253" i="5" s="1"/>
  <c r="F247" i="5"/>
  <c r="I247" i="5" s="1"/>
  <c r="F241" i="5"/>
  <c r="F236" i="5"/>
  <c r="G236" i="5" s="1"/>
  <c r="F230" i="5"/>
  <c r="G230" i="5" s="1"/>
  <c r="F226" i="5"/>
  <c r="G226" i="5" s="1"/>
  <c r="F220" i="5"/>
  <c r="I220" i="5" s="1"/>
  <c r="F215" i="5"/>
  <c r="F209" i="5"/>
  <c r="G209" i="5" s="1"/>
  <c r="F204" i="5"/>
  <c r="G204" i="5" s="1"/>
  <c r="F199" i="5"/>
  <c r="F194" i="5"/>
  <c r="F188" i="5"/>
  <c r="I188" i="5" s="1"/>
  <c r="F183" i="5"/>
  <c r="I183" i="5" s="1"/>
  <c r="F178" i="5"/>
  <c r="G178" i="5" s="1"/>
  <c r="F172" i="5"/>
  <c r="G172" i="5" s="1"/>
  <c r="F167" i="5"/>
  <c r="I167" i="5" s="1"/>
  <c r="F161" i="5"/>
  <c r="I161" i="5" s="1"/>
  <c r="F156" i="5"/>
  <c r="G156" i="5" s="1"/>
  <c r="F151" i="5"/>
  <c r="F145" i="5"/>
  <c r="I145" i="5" s="1"/>
  <c r="F140" i="5"/>
  <c r="I140" i="5" s="1"/>
  <c r="F135" i="5"/>
  <c r="I135" i="5" s="1"/>
  <c r="F129" i="5"/>
  <c r="G129" i="5" s="1"/>
  <c r="F125" i="5"/>
  <c r="I125" i="5" s="1"/>
  <c r="F120" i="5"/>
  <c r="G120" i="5" s="1"/>
  <c r="F114" i="5"/>
  <c r="I114" i="5" s="1"/>
  <c r="F107" i="5"/>
  <c r="F99" i="5"/>
  <c r="I99" i="5" s="1"/>
  <c r="F91" i="5"/>
  <c r="G91" i="5" s="1"/>
  <c r="F83" i="5"/>
  <c r="I83" i="5" s="1"/>
  <c r="I154" i="5"/>
  <c r="M283" i="7"/>
  <c r="M289" i="7"/>
  <c r="L296" i="7"/>
  <c r="L398" i="7"/>
  <c r="M453" i="7"/>
  <c r="L503" i="7"/>
  <c r="M510" i="7"/>
  <c r="M512" i="7"/>
  <c r="M513" i="7"/>
  <c r="M516" i="7"/>
  <c r="M519" i="7"/>
  <c r="M526" i="7"/>
  <c r="L528" i="7"/>
  <c r="M530" i="7"/>
  <c r="M532" i="7"/>
  <c r="M535" i="7"/>
  <c r="M539" i="7"/>
  <c r="L545" i="7"/>
  <c r="M550" i="7"/>
  <c r="M551" i="7"/>
  <c r="M552" i="7"/>
  <c r="M555" i="7"/>
  <c r="L561" i="7"/>
  <c r="M566" i="7"/>
  <c r="M567" i="7"/>
  <c r="M568" i="7"/>
  <c r="M571" i="7"/>
  <c r="M577" i="7"/>
  <c r="L581" i="7"/>
  <c r="M584" i="7"/>
  <c r="M585" i="7"/>
  <c r="M586" i="7"/>
  <c r="M587" i="7"/>
  <c r="M589" i="7"/>
  <c r="M591" i="7"/>
  <c r="L592" i="7"/>
  <c r="L593" i="7"/>
  <c r="L594" i="7"/>
  <c r="L595" i="7"/>
  <c r="L597" i="7"/>
  <c r="M600" i="7"/>
  <c r="L603" i="7"/>
  <c r="M607" i="7"/>
  <c r="M608" i="7"/>
  <c r="M609" i="7"/>
  <c r="M610" i="7"/>
  <c r="L612" i="7"/>
  <c r="L522" i="7"/>
  <c r="L525" i="7"/>
  <c r="L527" i="7"/>
  <c r="L531" i="7"/>
  <c r="M545" i="7"/>
  <c r="L548" i="7"/>
  <c r="L554" i="7"/>
  <c r="M561" i="7"/>
  <c r="L564" i="7"/>
  <c r="L570" i="7"/>
  <c r="M576" i="7"/>
  <c r="M581" i="7"/>
  <c r="M590" i="7"/>
  <c r="M592" i="7"/>
  <c r="M593" i="7"/>
  <c r="M594" i="7"/>
  <c r="M595" i="7"/>
  <c r="M597" i="7"/>
  <c r="M599" i="7"/>
  <c r="L604" i="7"/>
  <c r="M612" i="7"/>
  <c r="L613" i="7"/>
  <c r="L614" i="7"/>
  <c r="M224" i="7"/>
  <c r="M329" i="7"/>
  <c r="M357" i="7"/>
  <c r="M424" i="7"/>
  <c r="L446" i="7"/>
  <c r="M456" i="7"/>
  <c r="M472" i="7"/>
  <c r="L475" i="7"/>
  <c r="M488" i="7"/>
  <c r="L491" i="7"/>
  <c r="L498" i="7"/>
  <c r="M501" i="7"/>
  <c r="M507" i="7"/>
  <c r="M509" i="7"/>
  <c r="L211" i="7"/>
  <c r="L232" i="7"/>
  <c r="M272" i="7"/>
  <c r="L439" i="7"/>
  <c r="L449" i="7"/>
  <c r="M464" i="7"/>
  <c r="L466" i="7"/>
  <c r="M480" i="7"/>
  <c r="L482" i="7"/>
  <c r="L494" i="7"/>
  <c r="L501" i="7"/>
  <c r="L506" i="7"/>
  <c r="L509" i="7"/>
  <c r="L511" i="7"/>
  <c r="M620" i="7"/>
  <c r="G243" i="5"/>
  <c r="G163" i="5"/>
  <c r="G102" i="5"/>
  <c r="G269" i="5"/>
  <c r="G157" i="5"/>
  <c r="L71" i="7"/>
  <c r="L65" i="7"/>
  <c r="L159" i="7"/>
  <c r="M188" i="7"/>
  <c r="M200" i="7"/>
  <c r="L208" i="7"/>
  <c r="M222" i="7"/>
  <c r="L235" i="7"/>
  <c r="L246" i="7"/>
  <c r="L254" i="7"/>
  <c r="L261" i="7"/>
  <c r="L270" i="7"/>
  <c r="L278" i="7"/>
  <c r="L285" i="7"/>
  <c r="L294" i="7"/>
  <c r="L302" i="7"/>
  <c r="L309" i="7"/>
  <c r="L318" i="7"/>
  <c r="L326" i="7"/>
  <c r="L333" i="7"/>
  <c r="L342" i="7"/>
  <c r="L350" i="7"/>
  <c r="L353" i="7"/>
  <c r="M373" i="7"/>
  <c r="M376" i="7"/>
  <c r="L407" i="7"/>
  <c r="L414" i="7"/>
  <c r="L417" i="7"/>
  <c r="M437" i="7"/>
  <c r="M440" i="7"/>
  <c r="M98" i="7"/>
  <c r="L140" i="7"/>
  <c r="L175" i="7"/>
  <c r="L183" i="7"/>
  <c r="M192" i="7"/>
  <c r="L206" i="7"/>
  <c r="M209" i="7"/>
  <c r="M217" i="7"/>
  <c r="L219" i="7"/>
  <c r="L224" i="7"/>
  <c r="M235" i="7"/>
  <c r="L237" i="7"/>
  <c r="L243" i="7"/>
  <c r="M246" i="7"/>
  <c r="L256" i="7"/>
  <c r="L259" i="7"/>
  <c r="L267" i="7"/>
  <c r="M270" i="7"/>
  <c r="L280" i="7"/>
  <c r="L283" i="7"/>
  <c r="L291" i="7"/>
  <c r="M294" i="7"/>
  <c r="L304" i="7"/>
  <c r="L307" i="7"/>
  <c r="L315" i="7"/>
  <c r="M318" i="7"/>
  <c r="L328" i="7"/>
  <c r="L331" i="7"/>
  <c r="L339" i="7"/>
  <c r="M342" i="7"/>
  <c r="L359" i="7"/>
  <c r="L366" i="7"/>
  <c r="L369" i="7"/>
  <c r="M389" i="7"/>
  <c r="M392" i="7"/>
  <c r="L423" i="7"/>
  <c r="L430" i="7"/>
  <c r="L433" i="7"/>
  <c r="L450" i="7"/>
  <c r="L459" i="7"/>
  <c r="L465" i="7"/>
  <c r="M473" i="7"/>
  <c r="L173" i="7"/>
  <c r="L185" i="7"/>
  <c r="M241" i="7"/>
  <c r="L248" i="7"/>
  <c r="M281" i="7"/>
  <c r="M320" i="7"/>
  <c r="M331" i="7"/>
  <c r="M337" i="7"/>
  <c r="L344" i="7"/>
  <c r="M360" i="7"/>
  <c r="L382" i="7"/>
  <c r="L401" i="7"/>
  <c r="M421" i="7"/>
  <c r="L452" i="7"/>
  <c r="L455" i="7"/>
  <c r="M457" i="7"/>
  <c r="L462" i="7"/>
  <c r="L478" i="7"/>
  <c r="L481" i="7"/>
  <c r="M489" i="7"/>
  <c r="M496" i="7"/>
  <c r="M502" i="7"/>
  <c r="M504" i="7"/>
  <c r="M505" i="7"/>
  <c r="L507" i="7"/>
  <c r="L510" i="7"/>
  <c r="L514" i="7"/>
  <c r="L516" i="7"/>
  <c r="M517" i="7"/>
  <c r="L519" i="7"/>
  <c r="M520" i="7"/>
  <c r="M521" i="7"/>
  <c r="L523" i="7"/>
  <c r="L526" i="7"/>
  <c r="L530" i="7"/>
  <c r="L533" i="7"/>
  <c r="L535" i="7"/>
  <c r="L536" i="7"/>
  <c r="L537" i="7"/>
  <c r="L539" i="7"/>
  <c r="M540" i="7"/>
  <c r="M542" i="7"/>
  <c r="M543" i="7"/>
  <c r="M544" i="7"/>
  <c r="M546" i="7"/>
  <c r="M549" i="7"/>
  <c r="M553" i="7"/>
  <c r="L555" i="7"/>
  <c r="M556" i="7"/>
  <c r="M558" i="7"/>
  <c r="M559" i="7"/>
  <c r="M560" i="7"/>
  <c r="M562" i="7"/>
  <c r="M565" i="7"/>
  <c r="M569" i="7"/>
  <c r="L571" i="7"/>
  <c r="M572" i="7"/>
  <c r="M574" i="7"/>
  <c r="M575" i="7"/>
  <c r="L576" i="7"/>
  <c r="L577" i="7"/>
  <c r="L578" i="7"/>
  <c r="L579" i="7"/>
  <c r="M580" i="7"/>
  <c r="M582" i="7"/>
  <c r="M583" i="7"/>
  <c r="L135" i="7"/>
  <c r="L222" i="7"/>
  <c r="M248" i="7"/>
  <c r="M259" i="7"/>
  <c r="M265" i="7"/>
  <c r="L272" i="7"/>
  <c r="M305" i="7"/>
  <c r="M344" i="7"/>
  <c r="L171" i="7"/>
  <c r="L200" i="7"/>
  <c r="M211" i="7"/>
  <c r="L213" i="7"/>
  <c r="L230" i="7"/>
  <c r="M233" i="7"/>
  <c r="M257" i="7"/>
  <c r="M296" i="7"/>
  <c r="M307" i="7"/>
  <c r="M313" i="7"/>
  <c r="L320" i="7"/>
  <c r="L375" i="7"/>
  <c r="L385" i="7"/>
  <c r="L391" i="7"/>
  <c r="M405" i="7"/>
  <c r="M448" i="7"/>
  <c r="L468" i="7"/>
  <c r="L471" i="7"/>
  <c r="L484" i="7"/>
  <c r="L487" i="7"/>
  <c r="M492" i="7"/>
  <c r="L497" i="7"/>
  <c r="L500" i="7"/>
  <c r="L504" i="7"/>
  <c r="L505" i="7"/>
  <c r="M506" i="7"/>
  <c r="M508" i="7"/>
  <c r="M511" i="7"/>
  <c r="M515" i="7"/>
  <c r="L517" i="7"/>
  <c r="M518" i="7"/>
  <c r="L520" i="7"/>
  <c r="L521" i="7"/>
  <c r="M522" i="7"/>
  <c r="M524" i="7"/>
  <c r="M527" i="7"/>
  <c r="M528" i="7"/>
  <c r="M529" i="7"/>
  <c r="M531" i="7"/>
  <c r="M534" i="7"/>
  <c r="M538" i="7"/>
  <c r="L540" i="7"/>
  <c r="L542" i="7"/>
  <c r="L543" i="7"/>
  <c r="L544" i="7"/>
  <c r="L546" i="7"/>
  <c r="M547" i="7"/>
  <c r="L549" i="7"/>
  <c r="L553" i="7"/>
  <c r="L556" i="7"/>
  <c r="L558" i="7"/>
  <c r="L559" i="7"/>
  <c r="L560" i="7"/>
  <c r="L562" i="7"/>
  <c r="M563" i="7"/>
  <c r="L565" i="7"/>
  <c r="L569" i="7"/>
  <c r="L572" i="7"/>
  <c r="L574" i="7"/>
  <c r="L575" i="7"/>
  <c r="L580" i="7"/>
  <c r="L582" i="7"/>
  <c r="L583" i="7"/>
  <c r="L588" i="7"/>
  <c r="L590" i="7"/>
  <c r="L591" i="7"/>
  <c r="L596" i="7"/>
  <c r="L598" i="7"/>
  <c r="L599" i="7"/>
  <c r="L600" i="7"/>
  <c r="L601" i="7"/>
  <c r="L602" i="7"/>
  <c r="M603" i="7"/>
  <c r="M605" i="7"/>
  <c r="L85" i="7"/>
  <c r="G227" i="5"/>
  <c r="G222" i="5"/>
  <c r="I217" i="5"/>
  <c r="G212" i="5"/>
  <c r="H175" i="7"/>
  <c r="H169" i="7"/>
  <c r="I156" i="7"/>
  <c r="H143" i="7"/>
  <c r="I219" i="5"/>
  <c r="G203" i="5"/>
  <c r="G154" i="5"/>
  <c r="G150" i="5"/>
  <c r="G300" i="5"/>
  <c r="G255" i="5"/>
  <c r="G246" i="5"/>
  <c r="I240" i="5"/>
  <c r="G147" i="5"/>
  <c r="G126" i="5"/>
  <c r="G109" i="5"/>
  <c r="I20" i="5"/>
  <c r="H99" i="7"/>
  <c r="H107" i="7"/>
  <c r="I109" i="7"/>
  <c r="I114" i="7"/>
  <c r="H117" i="7"/>
  <c r="I119" i="7"/>
  <c r="I147" i="7"/>
  <c r="H148" i="7"/>
  <c r="H155" i="7"/>
  <c r="H162" i="7"/>
  <c r="H165" i="7"/>
  <c r="I84" i="7"/>
  <c r="H90" i="7"/>
  <c r="I93" i="7"/>
  <c r="H98" i="7"/>
  <c r="I100" i="7"/>
  <c r="H116" i="7"/>
  <c r="I142" i="7"/>
  <c r="I161" i="7"/>
  <c r="I185" i="7"/>
  <c r="H194" i="7"/>
  <c r="H197" i="7"/>
  <c r="I198" i="7"/>
  <c r="I360" i="7"/>
  <c r="I368" i="7"/>
  <c r="H377" i="7"/>
  <c r="H401" i="7"/>
  <c r="I424" i="7"/>
  <c r="I432" i="7"/>
  <c r="H441" i="7"/>
  <c r="H104" i="7"/>
  <c r="H115" i="7"/>
  <c r="I116" i="7"/>
  <c r="H132" i="7"/>
  <c r="I148" i="7"/>
  <c r="I150" i="7"/>
  <c r="H153" i="7"/>
  <c r="H157" i="7"/>
  <c r="I166" i="7"/>
  <c r="H178" i="7"/>
  <c r="H353" i="7"/>
  <c r="I376" i="7"/>
  <c r="I384" i="7"/>
  <c r="H393" i="7"/>
  <c r="H417" i="7"/>
  <c r="I440" i="7"/>
  <c r="I448" i="7"/>
  <c r="I456" i="7"/>
  <c r="I480" i="7"/>
  <c r="G278" i="5"/>
  <c r="G264" i="5"/>
  <c r="I199" i="5"/>
  <c r="G184" i="5"/>
  <c r="G107" i="5"/>
  <c r="I93" i="5"/>
  <c r="I292" i="5"/>
  <c r="G282" i="5"/>
  <c r="G262" i="5"/>
  <c r="G239" i="5"/>
  <c r="G211" i="5"/>
  <c r="G205" i="5"/>
  <c r="G201" i="5"/>
  <c r="I191" i="5"/>
  <c r="I153" i="5"/>
  <c r="G148" i="5"/>
  <c r="G144" i="5"/>
  <c r="G139" i="5"/>
  <c r="G128" i="5"/>
  <c r="G118" i="5"/>
  <c r="G105" i="5"/>
  <c r="G64" i="5"/>
  <c r="F53" i="5"/>
  <c r="G53" i="5" s="1"/>
  <c r="F51" i="5"/>
  <c r="I51" i="5" s="1"/>
  <c r="F66" i="5"/>
  <c r="G66" i="5" s="1"/>
  <c r="F75" i="5"/>
  <c r="I75" i="5" s="1"/>
  <c r="F86" i="5"/>
  <c r="G86" i="5" s="1"/>
  <c r="F90" i="5"/>
  <c r="F95" i="5"/>
  <c r="G95" i="5" s="1"/>
  <c r="F100" i="5"/>
  <c r="G100" i="5" s="1"/>
  <c r="F104" i="5"/>
  <c r="G104" i="5" s="1"/>
  <c r="F110" i="5"/>
  <c r="I110" i="5" s="1"/>
  <c r="F115" i="5"/>
  <c r="G115" i="5" s="1"/>
  <c r="F119" i="5"/>
  <c r="G119" i="5" s="1"/>
  <c r="F123" i="5"/>
  <c r="I123" i="5" s="1"/>
  <c r="F130" i="5"/>
  <c r="I130" i="5" s="1"/>
  <c r="F134" i="5"/>
  <c r="G134" i="5" s="1"/>
  <c r="F138" i="5"/>
  <c r="I138" i="5" s="1"/>
  <c r="F142" i="5"/>
  <c r="I142" i="5" s="1"/>
  <c r="F146" i="5"/>
  <c r="I146" i="5" s="1"/>
  <c r="F149" i="5"/>
  <c r="I149" i="5" s="1"/>
  <c r="F155" i="5"/>
  <c r="I155" i="5" s="1"/>
  <c r="F158" i="5"/>
  <c r="G158" i="5" s="1"/>
  <c r="F162" i="5"/>
  <c r="I162" i="5" s="1"/>
  <c r="F165" i="5"/>
  <c r="G165" i="5" s="1"/>
  <c r="F169" i="5"/>
  <c r="I169" i="5" s="1"/>
  <c r="F173" i="5"/>
  <c r="G173" i="5" s="1"/>
  <c r="F177" i="5"/>
  <c r="G177" i="5" s="1"/>
  <c r="F181" i="5"/>
  <c r="G181" i="5" s="1"/>
  <c r="F185" i="5"/>
  <c r="G185" i="5" s="1"/>
  <c r="F189" i="5"/>
  <c r="G189" i="5" s="1"/>
  <c r="F192" i="5"/>
  <c r="G192" i="5" s="1"/>
  <c r="F196" i="5"/>
  <c r="G196" i="5" s="1"/>
  <c r="F200" i="5"/>
  <c r="I200" i="5" s="1"/>
  <c r="F206" i="5"/>
  <c r="G206" i="5" s="1"/>
  <c r="F210" i="5"/>
  <c r="G210" i="5" s="1"/>
  <c r="F214" i="5"/>
  <c r="G214" i="5" s="1"/>
  <c r="F218" i="5"/>
  <c r="I218" i="5" s="1"/>
  <c r="F221" i="5"/>
  <c r="G221" i="5" s="1"/>
  <c r="F224" i="5"/>
  <c r="I224" i="5" s="1"/>
  <c r="F231" i="5"/>
  <c r="I231" i="5" s="1"/>
  <c r="F235" i="5"/>
  <c r="I235" i="5" s="1"/>
  <c r="F238" i="5"/>
  <c r="I238" i="5" s="1"/>
  <c r="F242" i="5"/>
  <c r="G242" i="5" s="1"/>
  <c r="F245" i="5"/>
  <c r="I245" i="5" s="1"/>
  <c r="F249" i="5"/>
  <c r="I249" i="5" s="1"/>
  <c r="F252" i="5"/>
  <c r="G252" i="5" s="1"/>
  <c r="F259" i="5"/>
  <c r="G259" i="5" s="1"/>
  <c r="F263" i="5"/>
  <c r="I263" i="5" s="1"/>
  <c r="F267" i="5"/>
  <c r="G267" i="5" s="1"/>
  <c r="F270" i="5"/>
  <c r="G270" i="5" s="1"/>
  <c r="F274" i="5"/>
  <c r="I274" i="5" s="1"/>
  <c r="F277" i="5"/>
  <c r="G277" i="5" s="1"/>
  <c r="F281" i="5"/>
  <c r="G281" i="5" s="1"/>
  <c r="F285" i="5"/>
  <c r="I285" i="5" s="1"/>
  <c r="F289" i="5"/>
  <c r="G289" i="5" s="1"/>
  <c r="F293" i="5"/>
  <c r="G293" i="5" s="1"/>
  <c r="F297" i="5"/>
  <c r="I297" i="5" s="1"/>
  <c r="F301" i="5"/>
  <c r="G301" i="5" s="1"/>
  <c r="F6" i="5"/>
  <c r="G6" i="5" s="1"/>
  <c r="K96" i="7"/>
  <c r="K141" i="7"/>
  <c r="K152" i="7"/>
  <c r="K158" i="7"/>
  <c r="J159" i="7"/>
  <c r="J160" i="7"/>
  <c r="J161" i="7"/>
  <c r="J163" i="7"/>
  <c r="J164" i="7"/>
  <c r="D18" i="7"/>
  <c r="E122" i="7"/>
  <c r="D139" i="7"/>
  <c r="D156" i="7"/>
  <c r="E157" i="7"/>
  <c r="I291" i="5"/>
  <c r="G286" i="5"/>
  <c r="G280" i="5"/>
  <c r="I275" i="5"/>
  <c r="G256" i="5"/>
  <c r="G237" i="5"/>
  <c r="I233" i="5"/>
  <c r="I228" i="5"/>
  <c r="G223" i="5"/>
  <c r="G195" i="5"/>
  <c r="G190" i="5"/>
  <c r="I186" i="5"/>
  <c r="G175" i="5"/>
  <c r="G143" i="5"/>
  <c r="I137" i="5"/>
  <c r="G127" i="5"/>
  <c r="G122" i="5"/>
  <c r="I111" i="5"/>
  <c r="G103" i="5"/>
  <c r="F85" i="5"/>
  <c r="G85" i="5" s="1"/>
  <c r="F73" i="5"/>
  <c r="I73" i="5" s="1"/>
  <c r="F59" i="5"/>
  <c r="G59" i="5" s="1"/>
  <c r="I116" i="5"/>
  <c r="D152" i="7"/>
  <c r="D143" i="7"/>
  <c r="D129" i="7"/>
  <c r="E152" i="7"/>
  <c r="D124" i="7"/>
  <c r="E233" i="7"/>
  <c r="E221" i="7"/>
  <c r="E209" i="7"/>
  <c r="E194" i="7"/>
  <c r="D192" i="7"/>
  <c r="E142" i="7"/>
  <c r="D122" i="7"/>
  <c r="E237" i="7"/>
  <c r="E230" i="7"/>
  <c r="D225" i="7"/>
  <c r="D218" i="7"/>
  <c r="E213" i="7"/>
  <c r="E206" i="7"/>
  <c r="D201" i="7"/>
  <c r="E196" i="7"/>
  <c r="E189" i="7"/>
  <c r="D187" i="7"/>
  <c r="E173" i="7"/>
  <c r="D171" i="7"/>
  <c r="E163" i="7"/>
  <c r="D144" i="7"/>
  <c r="E141" i="7"/>
  <c r="E126" i="7"/>
  <c r="D115" i="7"/>
  <c r="D237" i="7"/>
  <c r="D230" i="7"/>
  <c r="D213" i="7"/>
  <c r="D206" i="7"/>
  <c r="D189" i="7"/>
  <c r="E182" i="7"/>
  <c r="E177" i="7"/>
  <c r="E175" i="7"/>
  <c r="D173" i="7"/>
  <c r="D155" i="7"/>
  <c r="E234" i="7"/>
  <c r="E232" i="7"/>
  <c r="E210" i="7"/>
  <c r="E208" i="7"/>
  <c r="E198" i="7"/>
  <c r="D193" i="7"/>
  <c r="D191" i="7"/>
  <c r="D184" i="7"/>
  <c r="D238" i="7"/>
  <c r="D231" i="7"/>
  <c r="D226" i="7"/>
  <c r="D219" i="7"/>
  <c r="D214" i="7"/>
  <c r="D207" i="7"/>
  <c r="D202" i="7"/>
  <c r="E190" i="7"/>
  <c r="D188" i="7"/>
  <c r="E178" i="7"/>
  <c r="D176" i="7"/>
  <c r="D174" i="7"/>
  <c r="E150" i="7"/>
  <c r="D137" i="7"/>
  <c r="D118" i="7"/>
  <c r="E114" i="7"/>
  <c r="E117" i="7"/>
  <c r="D127" i="7"/>
  <c r="M251" i="5"/>
  <c r="M233" i="5"/>
  <c r="M209" i="5"/>
  <c r="M186" i="5"/>
  <c r="G179" i="5"/>
  <c r="I179" i="5"/>
  <c r="L16" i="7"/>
  <c r="L155" i="7"/>
  <c r="M199" i="7"/>
  <c r="L201" i="7"/>
  <c r="M210" i="7"/>
  <c r="M212" i="7"/>
  <c r="M223" i="7"/>
  <c r="L225" i="7"/>
  <c r="M234" i="7"/>
  <c r="M236" i="7"/>
  <c r="M247" i="7"/>
  <c r="L249" i="7"/>
  <c r="M258" i="7"/>
  <c r="M260" i="7"/>
  <c r="M271" i="7"/>
  <c r="L273" i="7"/>
  <c r="M282" i="7"/>
  <c r="M284" i="7"/>
  <c r="M295" i="7"/>
  <c r="L297" i="7"/>
  <c r="M306" i="7"/>
  <c r="M308" i="7"/>
  <c r="M319" i="7"/>
  <c r="L321" i="7"/>
  <c r="M330" i="7"/>
  <c r="M332" i="7"/>
  <c r="M343" i="7"/>
  <c r="L345" i="7"/>
  <c r="L361" i="7"/>
  <c r="L377" i="7"/>
  <c r="L393" i="7"/>
  <c r="L409" i="7"/>
  <c r="L425" i="7"/>
  <c r="L441" i="7"/>
  <c r="L457" i="7"/>
  <c r="L473" i="7"/>
  <c r="L489" i="7"/>
  <c r="L68" i="7"/>
  <c r="L165" i="7"/>
  <c r="M180" i="7"/>
  <c r="L197" i="7"/>
  <c r="M201" i="7"/>
  <c r="L203" i="7"/>
  <c r="L214" i="7"/>
  <c r="L216" i="7"/>
  <c r="M225" i="7"/>
  <c r="L227" i="7"/>
  <c r="L238" i="7"/>
  <c r="L240" i="7"/>
  <c r="M249" i="7"/>
  <c r="L251" i="7"/>
  <c r="L262" i="7"/>
  <c r="L264" i="7"/>
  <c r="M273" i="7"/>
  <c r="L275" i="7"/>
  <c r="L286" i="7"/>
  <c r="L288" i="7"/>
  <c r="M297" i="7"/>
  <c r="L299" i="7"/>
  <c r="L310" i="7"/>
  <c r="L312" i="7"/>
  <c r="M321" i="7"/>
  <c r="L323" i="7"/>
  <c r="L334" i="7"/>
  <c r="L336" i="7"/>
  <c r="M345" i="7"/>
  <c r="L347" i="7"/>
  <c r="L354" i="7"/>
  <c r="L356" i="7"/>
  <c r="M361" i="7"/>
  <c r="L363" i="7"/>
  <c r="L370" i="7"/>
  <c r="L372" i="7"/>
  <c r="M377" i="7"/>
  <c r="L379" i="7"/>
  <c r="L386" i="7"/>
  <c r="L388" i="7"/>
  <c r="M393" i="7"/>
  <c r="L395" i="7"/>
  <c r="L402" i="7"/>
  <c r="L404" i="7"/>
  <c r="M409" i="7"/>
  <c r="L411" i="7"/>
  <c r="L418" i="7"/>
  <c r="L420" i="7"/>
  <c r="M425" i="7"/>
  <c r="L427" i="7"/>
  <c r="L434" i="7"/>
  <c r="L436" i="7"/>
  <c r="M441" i="7"/>
  <c r="L443" i="7"/>
  <c r="L163" i="7"/>
  <c r="L195" i="7"/>
  <c r="M203" i="7"/>
  <c r="L205" i="7"/>
  <c r="M214" i="7"/>
  <c r="M216" i="7"/>
  <c r="M227" i="7"/>
  <c r="L229" i="7"/>
  <c r="M238" i="7"/>
  <c r="M240" i="7"/>
  <c r="M251" i="7"/>
  <c r="L253" i="7"/>
  <c r="M262" i="7"/>
  <c r="M264" i="7"/>
  <c r="M275" i="7"/>
  <c r="L277" i="7"/>
  <c r="M286" i="7"/>
  <c r="M288" i="7"/>
  <c r="M299" i="7"/>
  <c r="L301" i="7"/>
  <c r="M310" i="7"/>
  <c r="M312" i="7"/>
  <c r="M323" i="7"/>
  <c r="L325" i="7"/>
  <c r="M334" i="7"/>
  <c r="M336" i="7"/>
  <c r="M347" i="7"/>
  <c r="L349" i="7"/>
  <c r="M354" i="7"/>
  <c r="M356" i="7"/>
  <c r="M363" i="7"/>
  <c r="L365" i="7"/>
  <c r="M370" i="7"/>
  <c r="M372" i="7"/>
  <c r="M379" i="7"/>
  <c r="L381" i="7"/>
  <c r="M386" i="7"/>
  <c r="M388" i="7"/>
  <c r="M395" i="7"/>
  <c r="L397" i="7"/>
  <c r="M402" i="7"/>
  <c r="M404" i="7"/>
  <c r="M411" i="7"/>
  <c r="L413" i="7"/>
  <c r="M418" i="7"/>
  <c r="M420" i="7"/>
  <c r="M427" i="7"/>
  <c r="L429" i="7"/>
  <c r="M434" i="7"/>
  <c r="M436" i="7"/>
  <c r="M443" i="7"/>
  <c r="L445" i="7"/>
  <c r="M450" i="7"/>
  <c r="M452" i="7"/>
  <c r="M459" i="7"/>
  <c r="L461" i="7"/>
  <c r="M466" i="7"/>
  <c r="M468" i="7"/>
  <c r="M475" i="7"/>
  <c r="L477" i="7"/>
  <c r="M482" i="7"/>
  <c r="M484" i="7"/>
  <c r="M491" i="7"/>
  <c r="L493" i="7"/>
  <c r="M498" i="7"/>
  <c r="M500" i="7"/>
  <c r="M104" i="7"/>
  <c r="M119" i="7"/>
  <c r="M153" i="7"/>
  <c r="L158" i="7"/>
  <c r="M172" i="7"/>
  <c r="M176" i="7"/>
  <c r="L187" i="7"/>
  <c r="L189" i="7"/>
  <c r="L191" i="7"/>
  <c r="L193" i="7"/>
  <c r="M205" i="7"/>
  <c r="L207" i="7"/>
  <c r="L218" i="7"/>
  <c r="L220" i="7"/>
  <c r="M229" i="7"/>
  <c r="L231" i="7"/>
  <c r="L242" i="7"/>
  <c r="L244" i="7"/>
  <c r="M253" i="7"/>
  <c r="L255" i="7"/>
  <c r="L266" i="7"/>
  <c r="L268" i="7"/>
  <c r="M277" i="7"/>
  <c r="L279" i="7"/>
  <c r="L290" i="7"/>
  <c r="L292" i="7"/>
  <c r="M301" i="7"/>
  <c r="L303" i="7"/>
  <c r="L314" i="7"/>
  <c r="L316" i="7"/>
  <c r="M325" i="7"/>
  <c r="L327" i="7"/>
  <c r="L338" i="7"/>
  <c r="L340" i="7"/>
  <c r="M349" i="7"/>
  <c r="L351" i="7"/>
  <c r="L358" i="7"/>
  <c r="M365" i="7"/>
  <c r="L367" i="7"/>
  <c r="L374" i="7"/>
  <c r="M381" i="7"/>
  <c r="L383" i="7"/>
  <c r="L390" i="7"/>
  <c r="M397" i="7"/>
  <c r="L399" i="7"/>
  <c r="L406" i="7"/>
  <c r="M413" i="7"/>
  <c r="L415" i="7"/>
  <c r="L422" i="7"/>
  <c r="M429" i="7"/>
  <c r="L431" i="7"/>
  <c r="L438" i="7"/>
  <c r="M445" i="7"/>
  <c r="L447" i="7"/>
  <c r="L454" i="7"/>
  <c r="M461" i="7"/>
  <c r="L463" i="7"/>
  <c r="L470" i="7"/>
  <c r="M477" i="7"/>
  <c r="L479" i="7"/>
  <c r="L486" i="7"/>
  <c r="M493" i="7"/>
  <c r="L495" i="7"/>
  <c r="L502" i="7"/>
  <c r="M150" i="7"/>
  <c r="M168" i="7"/>
  <c r="M207" i="7"/>
  <c r="L209" i="7"/>
  <c r="M218" i="7"/>
  <c r="M220" i="7"/>
  <c r="M231" i="7"/>
  <c r="L233" i="7"/>
  <c r="M242" i="7"/>
  <c r="M244" i="7"/>
  <c r="M255" i="7"/>
  <c r="L257" i="7"/>
  <c r="M266" i="7"/>
  <c r="M268" i="7"/>
  <c r="M279" i="7"/>
  <c r="L281" i="7"/>
  <c r="M290" i="7"/>
  <c r="M292" i="7"/>
  <c r="M303" i="7"/>
  <c r="L305" i="7"/>
  <c r="M314" i="7"/>
  <c r="M316" i="7"/>
  <c r="M327" i="7"/>
  <c r="L329" i="7"/>
  <c r="M338" i="7"/>
  <c r="M340" i="7"/>
  <c r="M351" i="7"/>
  <c r="M358" i="7"/>
  <c r="L360" i="7"/>
  <c r="M367" i="7"/>
  <c r="M374" i="7"/>
  <c r="L376" i="7"/>
  <c r="M383" i="7"/>
  <c r="M390" i="7"/>
  <c r="L392" i="7"/>
  <c r="M399" i="7"/>
  <c r="M406" i="7"/>
  <c r="L408" i="7"/>
  <c r="M415" i="7"/>
  <c r="M422" i="7"/>
  <c r="L424" i="7"/>
  <c r="M431" i="7"/>
  <c r="M438" i="7"/>
  <c r="L440" i="7"/>
  <c r="M447" i="7"/>
  <c r="M454" i="7"/>
  <c r="L456" i="7"/>
  <c r="M463" i="7"/>
  <c r="M470" i="7"/>
  <c r="L472" i="7"/>
  <c r="M479" i="7"/>
  <c r="M486" i="7"/>
  <c r="L488" i="7"/>
  <c r="M495" i="7"/>
  <c r="L51" i="7"/>
  <c r="M92" i="7"/>
  <c r="M121" i="7"/>
  <c r="M164" i="7"/>
  <c r="L181" i="7"/>
  <c r="M196" i="7"/>
  <c r="L202" i="7"/>
  <c r="L204" i="7"/>
  <c r="M213" i="7"/>
  <c r="L215" i="7"/>
  <c r="L226" i="7"/>
  <c r="L228" i="7"/>
  <c r="M237" i="7"/>
  <c r="L239" i="7"/>
  <c r="L250" i="7"/>
  <c r="L252" i="7"/>
  <c r="M261" i="7"/>
  <c r="L263" i="7"/>
  <c r="L274" i="7"/>
  <c r="L276" i="7"/>
  <c r="M285" i="7"/>
  <c r="L287" i="7"/>
  <c r="L298" i="7"/>
  <c r="L300" i="7"/>
  <c r="M309" i="7"/>
  <c r="L311" i="7"/>
  <c r="L322" i="7"/>
  <c r="L324" i="7"/>
  <c r="M333" i="7"/>
  <c r="L335" i="7"/>
  <c r="L346" i="7"/>
  <c r="L348" i="7"/>
  <c r="M353" i="7"/>
  <c r="L355" i="7"/>
  <c r="L362" i="7"/>
  <c r="L364" i="7"/>
  <c r="M369" i="7"/>
  <c r="L371" i="7"/>
  <c r="L378" i="7"/>
  <c r="L380" i="7"/>
  <c r="M385" i="7"/>
  <c r="L387" i="7"/>
  <c r="L394" i="7"/>
  <c r="L396" i="7"/>
  <c r="M401" i="7"/>
  <c r="L403" i="7"/>
  <c r="L410" i="7"/>
  <c r="L412" i="7"/>
  <c r="M417" i="7"/>
  <c r="L419" i="7"/>
  <c r="L426" i="7"/>
  <c r="L428" i="7"/>
  <c r="M433" i="7"/>
  <c r="L435" i="7"/>
  <c r="L442" i="7"/>
  <c r="L444" i="7"/>
  <c r="M449" i="7"/>
  <c r="L451" i="7"/>
  <c r="L458" i="7"/>
  <c r="L460" i="7"/>
  <c r="M465" i="7"/>
  <c r="L467" i="7"/>
  <c r="L474" i="7"/>
  <c r="L476" i="7"/>
  <c r="M481" i="7"/>
  <c r="L483" i="7"/>
  <c r="L490" i="7"/>
  <c r="L492" i="7"/>
  <c r="M497" i="7"/>
  <c r="L499" i="7"/>
  <c r="L179" i="7"/>
  <c r="M202" i="7"/>
  <c r="M204" i="7"/>
  <c r="M215" i="7"/>
  <c r="L217" i="7"/>
  <c r="M226" i="7"/>
  <c r="M228" i="7"/>
  <c r="M239" i="7"/>
  <c r="L241" i="7"/>
  <c r="M250" i="7"/>
  <c r="M252" i="7"/>
  <c r="M263" i="7"/>
  <c r="L265" i="7"/>
  <c r="M274" i="7"/>
  <c r="M276" i="7"/>
  <c r="M287" i="7"/>
  <c r="L289" i="7"/>
  <c r="M298" i="7"/>
  <c r="M300" i="7"/>
  <c r="M311" i="7"/>
  <c r="L313" i="7"/>
  <c r="M322" i="7"/>
  <c r="M324" i="7"/>
  <c r="M335" i="7"/>
  <c r="L337" i="7"/>
  <c r="M346" i="7"/>
  <c r="M348" i="7"/>
  <c r="M355" i="7"/>
  <c r="L357" i="7"/>
  <c r="M362" i="7"/>
  <c r="M364" i="7"/>
  <c r="M371" i="7"/>
  <c r="L373" i="7"/>
  <c r="M378" i="7"/>
  <c r="M380" i="7"/>
  <c r="M387" i="7"/>
  <c r="L389" i="7"/>
  <c r="M394" i="7"/>
  <c r="M396" i="7"/>
  <c r="M403" i="7"/>
  <c r="L405" i="7"/>
  <c r="M410" i="7"/>
  <c r="M412" i="7"/>
  <c r="M419" i="7"/>
  <c r="L421" i="7"/>
  <c r="M426" i="7"/>
  <c r="M428" i="7"/>
  <c r="M435" i="7"/>
  <c r="L437" i="7"/>
  <c r="M442" i="7"/>
  <c r="M444" i="7"/>
  <c r="M451" i="7"/>
  <c r="L453" i="7"/>
  <c r="M458" i="7"/>
  <c r="M460" i="7"/>
  <c r="M467" i="7"/>
  <c r="L469" i="7"/>
  <c r="M474" i="7"/>
  <c r="M476" i="7"/>
  <c r="M483" i="7"/>
  <c r="L485" i="7"/>
  <c r="M490" i="7"/>
  <c r="M114" i="7"/>
  <c r="M184" i="7"/>
  <c r="M206" i="7"/>
  <c r="M208" i="7"/>
  <c r="M219" i="7"/>
  <c r="L221" i="7"/>
  <c r="M230" i="7"/>
  <c r="M232" i="7"/>
  <c r="M243" i="7"/>
  <c r="L245" i="7"/>
  <c r="M254" i="7"/>
  <c r="M256" i="7"/>
  <c r="M267" i="7"/>
  <c r="L269" i="7"/>
  <c r="M278" i="7"/>
  <c r="M280" i="7"/>
  <c r="M291" i="7"/>
  <c r="L293" i="7"/>
  <c r="M302" i="7"/>
  <c r="M304" i="7"/>
  <c r="M315" i="7"/>
  <c r="L317" i="7"/>
  <c r="M326" i="7"/>
  <c r="M328" i="7"/>
  <c r="M339" i="7"/>
  <c r="L341" i="7"/>
  <c r="M350" i="7"/>
  <c r="L352" i="7"/>
  <c r="M359" i="7"/>
  <c r="M366" i="7"/>
  <c r="L368" i="7"/>
  <c r="M375" i="7"/>
  <c r="M382" i="7"/>
  <c r="L384" i="7"/>
  <c r="M391" i="7"/>
  <c r="M398" i="7"/>
  <c r="L400" i="7"/>
  <c r="M407" i="7"/>
  <c r="M414" i="7"/>
  <c r="L416" i="7"/>
  <c r="M423" i="7"/>
  <c r="M430" i="7"/>
  <c r="L432" i="7"/>
  <c r="M439" i="7"/>
  <c r="M446" i="7"/>
  <c r="L448" i="7"/>
  <c r="M455" i="7"/>
  <c r="M462" i="7"/>
  <c r="L464" i="7"/>
  <c r="M471" i="7"/>
  <c r="M478" i="7"/>
  <c r="L480" i="7"/>
  <c r="M487" i="7"/>
  <c r="M494" i="7"/>
  <c r="L496" i="7"/>
  <c r="M503" i="7"/>
  <c r="M118" i="7"/>
  <c r="L129" i="7"/>
  <c r="L167" i="7"/>
  <c r="L169" i="7"/>
  <c r="L199" i="7"/>
  <c r="L210" i="7"/>
  <c r="L212" i="7"/>
  <c r="M221" i="7"/>
  <c r="L223" i="7"/>
  <c r="L234" i="7"/>
  <c r="L236" i="7"/>
  <c r="M245" i="7"/>
  <c r="L247" i="7"/>
  <c r="L258" i="7"/>
  <c r="L260" i="7"/>
  <c r="M269" i="7"/>
  <c r="L271" i="7"/>
  <c r="L282" i="7"/>
  <c r="L284" i="7"/>
  <c r="M293" i="7"/>
  <c r="L295" i="7"/>
  <c r="L306" i="7"/>
  <c r="L308" i="7"/>
  <c r="M317" i="7"/>
  <c r="L319" i="7"/>
  <c r="L330" i="7"/>
  <c r="L332" i="7"/>
  <c r="M341" i="7"/>
  <c r="L343" i="7"/>
  <c r="M352" i="7"/>
  <c r="M368" i="7"/>
  <c r="M384" i="7"/>
  <c r="M400" i="7"/>
  <c r="M416" i="7"/>
  <c r="M432" i="7"/>
  <c r="M292" i="5"/>
  <c r="G248" i="5"/>
  <c r="I248" i="5"/>
  <c r="M194" i="5"/>
  <c r="I129" i="5"/>
  <c r="G225" i="5"/>
  <c r="I225" i="5"/>
  <c r="G298" i="5"/>
  <c r="I298" i="5"/>
  <c r="I251" i="5"/>
  <c r="I236" i="5"/>
  <c r="G228" i="5"/>
  <c r="I203" i="5"/>
  <c r="I171" i="5"/>
  <c r="G132" i="5"/>
  <c r="G116" i="5"/>
  <c r="F108" i="5"/>
  <c r="I108" i="5" s="1"/>
  <c r="F101" i="5"/>
  <c r="I101" i="5" s="1"/>
  <c r="F92" i="5"/>
  <c r="I92" i="5" s="1"/>
  <c r="F81" i="5"/>
  <c r="G81" i="5" s="1"/>
  <c r="B8" i="4"/>
  <c r="I212" i="5"/>
  <c r="I124" i="5"/>
  <c r="B7" i="4"/>
  <c r="B5" i="7" s="1"/>
  <c r="F14" i="7" s="1"/>
  <c r="G265" i="5"/>
  <c r="I243" i="5"/>
  <c r="I227" i="5"/>
  <c r="I168" i="5"/>
  <c r="G160" i="5"/>
  <c r="I147" i="5"/>
  <c r="F113" i="5"/>
  <c r="I113" i="5" s="1"/>
  <c r="F106" i="5"/>
  <c r="G106" i="5" s="1"/>
  <c r="F98" i="5"/>
  <c r="G98" i="5" s="1"/>
  <c r="F77" i="5"/>
  <c r="I77" i="5" s="1"/>
  <c r="F55" i="5"/>
  <c r="G55" i="5" s="1"/>
  <c r="F7" i="5"/>
  <c r="G7" i="5" s="1"/>
  <c r="I299" i="5"/>
  <c r="I264" i="5"/>
  <c r="I234" i="5"/>
  <c r="I201" i="5"/>
  <c r="I159" i="5"/>
  <c r="I122" i="5"/>
  <c r="B9" i="7"/>
  <c r="N540" i="7" s="1"/>
  <c r="I279" i="5"/>
  <c r="I262" i="5"/>
  <c r="I255" i="5"/>
  <c r="I175" i="5"/>
  <c r="I166" i="5"/>
  <c r="I157" i="5"/>
  <c r="I143" i="5"/>
  <c r="I128" i="5"/>
  <c r="I103" i="5"/>
  <c r="M132" i="5"/>
  <c r="B43" i="4"/>
  <c r="I278" i="5"/>
  <c r="I109" i="5"/>
  <c r="I269" i="5"/>
  <c r="B40" i="4"/>
  <c r="I205" i="5"/>
  <c r="I150" i="5"/>
  <c r="I133" i="5"/>
  <c r="B27" i="4"/>
  <c r="I294" i="5"/>
  <c r="I260" i="5"/>
  <c r="G197" i="5"/>
  <c r="I181" i="5"/>
  <c r="I163" i="5"/>
  <c r="I141" i="5"/>
  <c r="G133" i="5"/>
  <c r="I126" i="5"/>
  <c r="I102" i="5"/>
  <c r="B22" i="4"/>
  <c r="L143" i="7"/>
  <c r="L137" i="7"/>
  <c r="L134" i="7"/>
  <c r="L128" i="7"/>
  <c r="L124" i="7"/>
  <c r="M117" i="7"/>
  <c r="L116" i="7"/>
  <c r="M115" i="7"/>
  <c r="L112" i="7"/>
  <c r="L110" i="7"/>
  <c r="L103" i="7"/>
  <c r="M100" i="7"/>
  <c r="L97" i="7"/>
  <c r="M88" i="7"/>
  <c r="L77" i="7"/>
  <c r="M55" i="7"/>
  <c r="M49" i="7"/>
  <c r="L146" i="7"/>
  <c r="L139" i="7"/>
  <c r="L136" i="7"/>
  <c r="L123" i="7"/>
  <c r="L120" i="7"/>
  <c r="L91" i="7"/>
  <c r="M86" i="7"/>
  <c r="L81" i="7"/>
  <c r="M145" i="7"/>
  <c r="M138" i="7"/>
  <c r="L133" i="7"/>
  <c r="M111" i="7"/>
  <c r="M107" i="7"/>
  <c r="L105" i="7"/>
  <c r="M76" i="7"/>
  <c r="L73" i="7"/>
  <c r="L93" i="7"/>
  <c r="M79" i="7"/>
  <c r="L74" i="7"/>
  <c r="L70" i="7"/>
  <c r="L62" i="7"/>
  <c r="L56" i="7"/>
  <c r="H14" i="7"/>
  <c r="I59" i="7"/>
  <c r="I65" i="7"/>
  <c r="I73" i="7"/>
  <c r="H77" i="7"/>
  <c r="H78" i="7"/>
  <c r="H82" i="7"/>
  <c r="H84" i="7"/>
  <c r="I85" i="7"/>
  <c r="I86" i="7"/>
  <c r="I87" i="7"/>
  <c r="H91" i="7"/>
  <c r="H92" i="7"/>
  <c r="H93" i="7"/>
  <c r="H94" i="7"/>
  <c r="I95" i="7"/>
  <c r="H100" i="7"/>
  <c r="H101" i="7"/>
  <c r="I102" i="7"/>
  <c r="H109" i="7"/>
  <c r="I110" i="7"/>
  <c r="I111" i="7"/>
  <c r="I112" i="7"/>
  <c r="H113" i="7"/>
  <c r="H114" i="7"/>
  <c r="I118" i="7"/>
  <c r="H119" i="7"/>
  <c r="H120" i="7"/>
  <c r="H121" i="7"/>
  <c r="I125" i="7"/>
  <c r="I126" i="7"/>
  <c r="I127" i="7"/>
  <c r="I129" i="7"/>
  <c r="I130" i="7"/>
  <c r="H133" i="7"/>
  <c r="H134" i="7"/>
  <c r="I139" i="7"/>
  <c r="I140" i="7"/>
  <c r="H141" i="7"/>
  <c r="H147" i="7"/>
  <c r="H149" i="7"/>
  <c r="I151" i="7"/>
  <c r="I154" i="7"/>
  <c r="H156" i="7"/>
  <c r="I160" i="7"/>
  <c r="H161" i="7"/>
  <c r="H163" i="7"/>
  <c r="I164" i="7"/>
  <c r="I167" i="7"/>
  <c r="H170" i="7"/>
  <c r="I171" i="7"/>
  <c r="I172" i="7"/>
  <c r="I173" i="7"/>
  <c r="I174" i="7"/>
  <c r="H179" i="7"/>
  <c r="I180" i="7"/>
  <c r="I183" i="7"/>
  <c r="H186" i="7"/>
  <c r="I187" i="7"/>
  <c r="I188" i="7"/>
  <c r="I189" i="7"/>
  <c r="I190" i="7"/>
  <c r="H195" i="7"/>
  <c r="I196" i="7"/>
  <c r="I199" i="7"/>
  <c r="I200" i="7"/>
  <c r="H201" i="7"/>
  <c r="I206" i="7"/>
  <c r="I207" i="7"/>
  <c r="I208" i="7"/>
  <c r="H209" i="7"/>
  <c r="I214" i="7"/>
  <c r="I215" i="7"/>
  <c r="I216" i="7"/>
  <c r="H217" i="7"/>
  <c r="I222" i="7"/>
  <c r="I223" i="7"/>
  <c r="I224" i="7"/>
  <c r="H225" i="7"/>
  <c r="I230" i="7"/>
  <c r="I231" i="7"/>
  <c r="I232" i="7"/>
  <c r="H233" i="7"/>
  <c r="I238" i="7"/>
  <c r="I239" i="7"/>
  <c r="I240" i="7"/>
  <c r="H241" i="7"/>
  <c r="I246" i="7"/>
  <c r="I247" i="7"/>
  <c r="I248" i="7"/>
  <c r="H249" i="7"/>
  <c r="I254" i="7"/>
  <c r="I255" i="7"/>
  <c r="I256" i="7"/>
  <c r="H257" i="7"/>
  <c r="I262" i="7"/>
  <c r="I263" i="7"/>
  <c r="I264" i="7"/>
  <c r="H265" i="7"/>
  <c r="I270" i="7"/>
  <c r="I271" i="7"/>
  <c r="I272" i="7"/>
  <c r="H273" i="7"/>
  <c r="I278" i="7"/>
  <c r="I279" i="7"/>
  <c r="I280" i="7"/>
  <c r="H281" i="7"/>
  <c r="I286" i="7"/>
  <c r="I287" i="7"/>
  <c r="I288" i="7"/>
  <c r="H289" i="7"/>
  <c r="I294" i="7"/>
  <c r="I295" i="7"/>
  <c r="I296" i="7"/>
  <c r="H297" i="7"/>
  <c r="I302" i="7"/>
  <c r="I303" i="7"/>
  <c r="I304" i="7"/>
  <c r="H305" i="7"/>
  <c r="I310" i="7"/>
  <c r="I311" i="7"/>
  <c r="I312" i="7"/>
  <c r="H313" i="7"/>
  <c r="I318" i="7"/>
  <c r="I319" i="7"/>
  <c r="I320" i="7"/>
  <c r="H321" i="7"/>
  <c r="I326" i="7"/>
  <c r="I327" i="7"/>
  <c r="I328" i="7"/>
  <c r="H329" i="7"/>
  <c r="I334" i="7"/>
  <c r="I335" i="7"/>
  <c r="I336" i="7"/>
  <c r="H337" i="7"/>
  <c r="I342" i="7"/>
  <c r="I343" i="7"/>
  <c r="I344" i="7"/>
  <c r="H345" i="7"/>
  <c r="I53" i="7"/>
  <c r="I69" i="7"/>
  <c r="H85" i="7"/>
  <c r="H86" i="7"/>
  <c r="H87" i="7"/>
  <c r="I88" i="7"/>
  <c r="I89" i="7"/>
  <c r="H95" i="7"/>
  <c r="I96" i="7"/>
  <c r="H102" i="7"/>
  <c r="I103" i="7"/>
  <c r="I104" i="7"/>
  <c r="I105" i="7"/>
  <c r="I106" i="7"/>
  <c r="H110" i="7"/>
  <c r="H111" i="7"/>
  <c r="H112" i="7"/>
  <c r="I117" i="7"/>
  <c r="H118" i="7"/>
  <c r="I122" i="7"/>
  <c r="I124" i="7"/>
  <c r="H125" i="7"/>
  <c r="H126" i="7"/>
  <c r="H127" i="7"/>
  <c r="I128" i="7"/>
  <c r="H129" i="7"/>
  <c r="H130" i="7"/>
  <c r="I131" i="7"/>
  <c r="I137" i="7"/>
  <c r="I138" i="7"/>
  <c r="H139" i="7"/>
  <c r="H140" i="7"/>
  <c r="I143" i="7"/>
  <c r="I146" i="7"/>
  <c r="H151" i="7"/>
  <c r="I152" i="7"/>
  <c r="I153" i="7"/>
  <c r="H154" i="7"/>
  <c r="I158" i="7"/>
  <c r="H160" i="7"/>
  <c r="I162" i="7"/>
  <c r="H164" i="7"/>
  <c r="I165" i="7"/>
  <c r="H167" i="7"/>
  <c r="I168" i="7"/>
  <c r="H171" i="7"/>
  <c r="H172" i="7"/>
  <c r="H173" i="7"/>
  <c r="H174" i="7"/>
  <c r="I175" i="7"/>
  <c r="I176" i="7"/>
  <c r="I177" i="7"/>
  <c r="I178" i="7"/>
  <c r="H180" i="7"/>
  <c r="I181" i="7"/>
  <c r="H183" i="7"/>
  <c r="I184" i="7"/>
  <c r="H187" i="7"/>
  <c r="H188" i="7"/>
  <c r="H189" i="7"/>
  <c r="H190" i="7"/>
  <c r="I191" i="7"/>
  <c r="I192" i="7"/>
  <c r="I193" i="7"/>
  <c r="I194" i="7"/>
  <c r="H196" i="7"/>
  <c r="I197" i="7"/>
  <c r="H199" i="7"/>
  <c r="H200" i="7"/>
  <c r="I205" i="7"/>
  <c r="H206" i="7"/>
  <c r="H207" i="7"/>
  <c r="H208" i="7"/>
  <c r="I213" i="7"/>
  <c r="H214" i="7"/>
  <c r="H215" i="7"/>
  <c r="H216" i="7"/>
  <c r="I221" i="7"/>
  <c r="H222" i="7"/>
  <c r="H223" i="7"/>
  <c r="H224" i="7"/>
  <c r="I229" i="7"/>
  <c r="H230" i="7"/>
  <c r="H231" i="7"/>
  <c r="H232" i="7"/>
  <c r="I237" i="7"/>
  <c r="H238" i="7"/>
  <c r="H239" i="7"/>
  <c r="H240" i="7"/>
  <c r="I245" i="7"/>
  <c r="H246" i="7"/>
  <c r="H247" i="7"/>
  <c r="H248" i="7"/>
  <c r="I253" i="7"/>
  <c r="H254" i="7"/>
  <c r="H255" i="7"/>
  <c r="H256" i="7"/>
  <c r="I261" i="7"/>
  <c r="H262" i="7"/>
  <c r="H263" i="7"/>
  <c r="H264" i="7"/>
  <c r="I269" i="7"/>
  <c r="H270" i="7"/>
  <c r="H271" i="7"/>
  <c r="H272" i="7"/>
  <c r="I277" i="7"/>
  <c r="H278" i="7"/>
  <c r="H279" i="7"/>
  <c r="H280" i="7"/>
  <c r="I285" i="7"/>
  <c r="H286" i="7"/>
  <c r="H287" i="7"/>
  <c r="H288" i="7"/>
  <c r="I293" i="7"/>
  <c r="H294" i="7"/>
  <c r="H295" i="7"/>
  <c r="H296" i="7"/>
  <c r="I301" i="7"/>
  <c r="H302" i="7"/>
  <c r="H303" i="7"/>
  <c r="H304" i="7"/>
  <c r="I309" i="7"/>
  <c r="H310" i="7"/>
  <c r="H311" i="7"/>
  <c r="H312" i="7"/>
  <c r="I317" i="7"/>
  <c r="H318" i="7"/>
  <c r="H319" i="7"/>
  <c r="H320" i="7"/>
  <c r="I325" i="7"/>
  <c r="H326" i="7"/>
  <c r="H327" i="7"/>
  <c r="H328" i="7"/>
  <c r="I333" i="7"/>
  <c r="H334" i="7"/>
  <c r="H335" i="7"/>
  <c r="H336" i="7"/>
  <c r="I341" i="7"/>
  <c r="H342" i="7"/>
  <c r="H343" i="7"/>
  <c r="H344" i="7"/>
  <c r="I349" i="7"/>
  <c r="H350" i="7"/>
  <c r="H351" i="7"/>
  <c r="H352" i="7"/>
  <c r="I357" i="7"/>
  <c r="H358" i="7"/>
  <c r="H359" i="7"/>
  <c r="H360" i="7"/>
  <c r="I365" i="7"/>
  <c r="H366" i="7"/>
  <c r="H367" i="7"/>
  <c r="H368" i="7"/>
  <c r="I373" i="7"/>
  <c r="H374" i="7"/>
  <c r="H375" i="7"/>
  <c r="H376" i="7"/>
  <c r="I381" i="7"/>
  <c r="H382" i="7"/>
  <c r="H383" i="7"/>
  <c r="H384" i="7"/>
  <c r="I389" i="7"/>
  <c r="H390" i="7"/>
  <c r="H391" i="7"/>
  <c r="H392" i="7"/>
  <c r="I397" i="7"/>
  <c r="H398" i="7"/>
  <c r="H399" i="7"/>
  <c r="H400" i="7"/>
  <c r="I405" i="7"/>
  <c r="H406" i="7"/>
  <c r="H407" i="7"/>
  <c r="H408" i="7"/>
  <c r="I413" i="7"/>
  <c r="H414" i="7"/>
  <c r="H415" i="7"/>
  <c r="H416" i="7"/>
  <c r="I421" i="7"/>
  <c r="H422" i="7"/>
  <c r="H423" i="7"/>
  <c r="H424" i="7"/>
  <c r="I429" i="7"/>
  <c r="H430" i="7"/>
  <c r="H431" i="7"/>
  <c r="H432" i="7"/>
  <c r="I437" i="7"/>
  <c r="H438" i="7"/>
  <c r="H439" i="7"/>
  <c r="H440" i="7"/>
  <c r="I445" i="7"/>
  <c r="H446" i="7"/>
  <c r="H447" i="7"/>
  <c r="H448" i="7"/>
  <c r="I453" i="7"/>
  <c r="H454" i="7"/>
  <c r="H455" i="7"/>
  <c r="H456" i="7"/>
  <c r="I461" i="7"/>
  <c r="H462" i="7"/>
  <c r="H463" i="7"/>
  <c r="H464" i="7"/>
  <c r="I469" i="7"/>
  <c r="H470" i="7"/>
  <c r="H471" i="7"/>
  <c r="H472" i="7"/>
  <c r="I477" i="7"/>
  <c r="H478" i="7"/>
  <c r="H479" i="7"/>
  <c r="H480" i="7"/>
  <c r="I485" i="7"/>
  <c r="H486" i="7"/>
  <c r="H487" i="7"/>
  <c r="H488" i="7"/>
  <c r="I493" i="7"/>
  <c r="H494" i="7"/>
  <c r="H495" i="7"/>
  <c r="H496" i="7"/>
  <c r="I501" i="7"/>
  <c r="H502" i="7"/>
  <c r="H503" i="7"/>
  <c r="H504" i="7"/>
  <c r="I509" i="7"/>
  <c r="H510" i="7"/>
  <c r="H511" i="7"/>
  <c r="H512" i="7"/>
  <c r="I517" i="7"/>
  <c r="H518" i="7"/>
  <c r="H519" i="7"/>
  <c r="H520" i="7"/>
  <c r="I525" i="7"/>
  <c r="H526" i="7"/>
  <c r="H527" i="7"/>
  <c r="I529" i="7"/>
  <c r="I530" i="7"/>
  <c r="I531" i="7"/>
  <c r="H532" i="7"/>
  <c r="I537" i="7"/>
  <c r="I538" i="7"/>
  <c r="I539" i="7"/>
  <c r="H540" i="7"/>
  <c r="I544" i="7"/>
  <c r="I545" i="7"/>
  <c r="I546" i="7"/>
  <c r="H547" i="7"/>
  <c r="I552" i="7"/>
  <c r="I553" i="7"/>
  <c r="I554" i="7"/>
  <c r="H555" i="7"/>
  <c r="I560" i="7"/>
  <c r="I561" i="7"/>
  <c r="I562" i="7"/>
  <c r="H563" i="7"/>
  <c r="I568" i="7"/>
  <c r="I569" i="7"/>
  <c r="I570" i="7"/>
  <c r="H571" i="7"/>
  <c r="I614" i="7"/>
  <c r="I610" i="7"/>
  <c r="H604" i="7"/>
  <c r="H598" i="7"/>
  <c r="H596" i="7"/>
  <c r="H589" i="7"/>
  <c r="H582" i="7"/>
  <c r="H580" i="7"/>
  <c r="H572" i="7"/>
  <c r="H570" i="7"/>
  <c r="I563" i="7"/>
  <c r="H558" i="7"/>
  <c r="H556" i="7"/>
  <c r="H550" i="7"/>
  <c r="I547" i="7"/>
  <c r="H542" i="7"/>
  <c r="H539" i="7"/>
  <c r="H535" i="7"/>
  <c r="I532" i="7"/>
  <c r="H524" i="7"/>
  <c r="I521" i="7"/>
  <c r="H516" i="7"/>
  <c r="H514" i="7"/>
  <c r="H508" i="7"/>
  <c r="H506" i="7"/>
  <c r="H498" i="7"/>
  <c r="H490" i="7"/>
  <c r="H484" i="7"/>
  <c r="I481" i="7"/>
  <c r="H475" i="7"/>
  <c r="I471" i="7"/>
  <c r="H468" i="7"/>
  <c r="I465" i="7"/>
  <c r="H460" i="7"/>
  <c r="I455" i="7"/>
  <c r="H450" i="7"/>
  <c r="I447" i="7"/>
  <c r="H444" i="7"/>
  <c r="H442" i="7"/>
  <c r="H436" i="7"/>
  <c r="H435" i="7"/>
  <c r="H434" i="7"/>
  <c r="I433" i="7"/>
  <c r="I431" i="7"/>
  <c r="H428" i="7"/>
  <c r="H427" i="7"/>
  <c r="H426" i="7"/>
  <c r="I425" i="7"/>
  <c r="I423" i="7"/>
  <c r="H420" i="7"/>
  <c r="H419" i="7"/>
  <c r="I417" i="7"/>
  <c r="I415" i="7"/>
  <c r="H412" i="7"/>
  <c r="H411" i="7"/>
  <c r="H410" i="7"/>
  <c r="I409" i="7"/>
  <c r="I407" i="7"/>
  <c r="H404" i="7"/>
  <c r="H403" i="7"/>
  <c r="H402" i="7"/>
  <c r="I401" i="7"/>
  <c r="I399" i="7"/>
  <c r="H396" i="7"/>
  <c r="H395" i="7"/>
  <c r="H394" i="7"/>
  <c r="I393" i="7"/>
  <c r="I391" i="7"/>
  <c r="H388" i="7"/>
  <c r="H387" i="7"/>
  <c r="H386" i="7"/>
  <c r="I385" i="7"/>
  <c r="I383" i="7"/>
  <c r="H380" i="7"/>
  <c r="H379" i="7"/>
  <c r="H378" i="7"/>
  <c r="I377" i="7"/>
  <c r="I375" i="7"/>
  <c r="H372" i="7"/>
  <c r="H371" i="7"/>
  <c r="H370" i="7"/>
  <c r="I369" i="7"/>
  <c r="I367" i="7"/>
  <c r="H364" i="7"/>
  <c r="H363" i="7"/>
  <c r="H362" i="7"/>
  <c r="I361" i="7"/>
  <c r="I359" i="7"/>
  <c r="H356" i="7"/>
  <c r="H355" i="7"/>
  <c r="H354" i="7"/>
  <c r="I353" i="7"/>
  <c r="I351" i="7"/>
  <c r="H348" i="7"/>
  <c r="H347" i="7"/>
  <c r="H346" i="7"/>
  <c r="I345" i="7"/>
  <c r="H340" i="7"/>
  <c r="H339" i="7"/>
  <c r="H338" i="7"/>
  <c r="I337" i="7"/>
  <c r="H332" i="7"/>
  <c r="H331" i="7"/>
  <c r="H330" i="7"/>
  <c r="I329" i="7"/>
  <c r="H324" i="7"/>
  <c r="H323" i="7"/>
  <c r="H322" i="7"/>
  <c r="I321" i="7"/>
  <c r="H316" i="7"/>
  <c r="H315" i="7"/>
  <c r="H314" i="7"/>
  <c r="I313" i="7"/>
  <c r="H308" i="7"/>
  <c r="H307" i="7"/>
  <c r="H306" i="7"/>
  <c r="I305" i="7"/>
  <c r="H300" i="7"/>
  <c r="H299" i="7"/>
  <c r="H298" i="7"/>
  <c r="I297" i="7"/>
  <c r="H292" i="7"/>
  <c r="H291" i="7"/>
  <c r="H290" i="7"/>
  <c r="I289" i="7"/>
  <c r="H284" i="7"/>
  <c r="H283" i="7"/>
  <c r="H282" i="7"/>
  <c r="I281" i="7"/>
  <c r="H276" i="7"/>
  <c r="H275" i="7"/>
  <c r="H274" i="7"/>
  <c r="I273" i="7"/>
  <c r="H268" i="7"/>
  <c r="H267" i="7"/>
  <c r="H266" i="7"/>
  <c r="I265" i="7"/>
  <c r="H260" i="7"/>
  <c r="H259" i="7"/>
  <c r="H258" i="7"/>
  <c r="I257" i="7"/>
  <c r="H252" i="7"/>
  <c r="H251" i="7"/>
  <c r="H250" i="7"/>
  <c r="I249" i="7"/>
  <c r="H244" i="7"/>
  <c r="H243" i="7"/>
  <c r="H242" i="7"/>
  <c r="I241" i="7"/>
  <c r="H236" i="7"/>
  <c r="H235" i="7"/>
  <c r="H234" i="7"/>
  <c r="I233" i="7"/>
  <c r="H228" i="7"/>
  <c r="H227" i="7"/>
  <c r="H226" i="7"/>
  <c r="I225" i="7"/>
  <c r="H220" i="7"/>
  <c r="H219" i="7"/>
  <c r="H218" i="7"/>
  <c r="I217" i="7"/>
  <c r="H212" i="7"/>
  <c r="H211" i="7"/>
  <c r="H210" i="7"/>
  <c r="I209" i="7"/>
  <c r="H204" i="7"/>
  <c r="H203" i="7"/>
  <c r="H202" i="7"/>
  <c r="I201" i="7"/>
  <c r="I195" i="7"/>
  <c r="H193" i="7"/>
  <c r="H184" i="7"/>
  <c r="I179" i="7"/>
  <c r="H177" i="7"/>
  <c r="H168" i="7"/>
  <c r="I163" i="7"/>
  <c r="I155" i="7"/>
  <c r="H152" i="7"/>
  <c r="H145" i="7"/>
  <c r="H144" i="7"/>
  <c r="H138" i="7"/>
  <c r="H136" i="7"/>
  <c r="H135" i="7"/>
  <c r="I134" i="7"/>
  <c r="H131" i="7"/>
  <c r="H124" i="7"/>
  <c r="I123" i="7"/>
  <c r="I121" i="7"/>
  <c r="I108" i="7"/>
  <c r="I107" i="7"/>
  <c r="H103" i="7"/>
  <c r="I99" i="7"/>
  <c r="I98" i="7"/>
  <c r="I97" i="7"/>
  <c r="I92" i="7"/>
  <c r="H89" i="7"/>
  <c r="I83" i="7"/>
  <c r="I81" i="7"/>
  <c r="I72" i="7"/>
  <c r="I90" i="7"/>
  <c r="H70" i="7"/>
  <c r="X622" i="7"/>
  <c r="H612" i="7"/>
  <c r="H611" i="7"/>
  <c r="H605" i="7"/>
  <c r="H603" i="7"/>
  <c r="I602" i="7"/>
  <c r="H597" i="7"/>
  <c r="I595" i="7"/>
  <c r="H590" i="7"/>
  <c r="H588" i="7"/>
  <c r="I587" i="7"/>
  <c r="H581" i="7"/>
  <c r="I579" i="7"/>
  <c r="H574" i="7"/>
  <c r="H573" i="7"/>
  <c r="I571" i="7"/>
  <c r="H566" i="7"/>
  <c r="H565" i="7"/>
  <c r="H564" i="7"/>
  <c r="H562" i="7"/>
  <c r="H557" i="7"/>
  <c r="I555" i="7"/>
  <c r="H554" i="7"/>
  <c r="H549" i="7"/>
  <c r="H548" i="7"/>
  <c r="H546" i="7"/>
  <c r="H541" i="7"/>
  <c r="I540" i="7"/>
  <c r="H534" i="7"/>
  <c r="H533" i="7"/>
  <c r="H531" i="7"/>
  <c r="I527" i="7"/>
  <c r="H523" i="7"/>
  <c r="H522" i="7"/>
  <c r="I519" i="7"/>
  <c r="H515" i="7"/>
  <c r="I513" i="7"/>
  <c r="I511" i="7"/>
  <c r="H507" i="7"/>
  <c r="I505" i="7"/>
  <c r="I503" i="7"/>
  <c r="H500" i="7"/>
  <c r="H499" i="7"/>
  <c r="I497" i="7"/>
  <c r="I495" i="7"/>
  <c r="H492" i="7"/>
  <c r="H491" i="7"/>
  <c r="I489" i="7"/>
  <c r="I487" i="7"/>
  <c r="H483" i="7"/>
  <c r="H482" i="7"/>
  <c r="I479" i="7"/>
  <c r="H476" i="7"/>
  <c r="H474" i="7"/>
  <c r="I473" i="7"/>
  <c r="H467" i="7"/>
  <c r="H466" i="7"/>
  <c r="I463" i="7"/>
  <c r="H459" i="7"/>
  <c r="H458" i="7"/>
  <c r="I457" i="7"/>
  <c r="H452" i="7"/>
  <c r="H451" i="7"/>
  <c r="I449" i="7"/>
  <c r="H443" i="7"/>
  <c r="I441" i="7"/>
  <c r="I439" i="7"/>
  <c r="H418" i="7"/>
  <c r="I612" i="7"/>
  <c r="I611" i="7"/>
  <c r="H606" i="7"/>
  <c r="I605" i="7"/>
  <c r="I604" i="7"/>
  <c r="I603" i="7"/>
  <c r="H599" i="7"/>
  <c r="I598" i="7"/>
  <c r="I597" i="7"/>
  <c r="I596" i="7"/>
  <c r="H591" i="7"/>
  <c r="I590" i="7"/>
  <c r="I589" i="7"/>
  <c r="I588" i="7"/>
  <c r="H583" i="7"/>
  <c r="I582" i="7"/>
  <c r="I581" i="7"/>
  <c r="I580" i="7"/>
  <c r="H575" i="7"/>
  <c r="I574" i="7"/>
  <c r="I573" i="7"/>
  <c r="I572" i="7"/>
  <c r="H569" i="7"/>
  <c r="H567" i="7"/>
  <c r="I566" i="7"/>
  <c r="I565" i="7"/>
  <c r="I564" i="7"/>
  <c r="H561" i="7"/>
  <c r="H559" i="7"/>
  <c r="I558" i="7"/>
  <c r="I557" i="7"/>
  <c r="I556" i="7"/>
  <c r="H553" i="7"/>
  <c r="H551" i="7"/>
  <c r="I550" i="7"/>
  <c r="I549" i="7"/>
  <c r="I548" i="7"/>
  <c r="H545" i="7"/>
  <c r="H543" i="7"/>
  <c r="I542" i="7"/>
  <c r="I541" i="7"/>
  <c r="H538" i="7"/>
  <c r="H536" i="7"/>
  <c r="I535" i="7"/>
  <c r="I534" i="7"/>
  <c r="I533" i="7"/>
  <c r="H530" i="7"/>
  <c r="H528" i="7"/>
  <c r="I526" i="7"/>
  <c r="H525" i="7"/>
  <c r="I524" i="7"/>
  <c r="I523" i="7"/>
  <c r="I522" i="7"/>
  <c r="I518" i="7"/>
  <c r="H517" i="7"/>
  <c r="I516" i="7"/>
  <c r="I515" i="7"/>
  <c r="I514" i="7"/>
  <c r="I510" i="7"/>
  <c r="H509" i="7"/>
  <c r="I508" i="7"/>
  <c r="I507" i="7"/>
  <c r="I506" i="7"/>
  <c r="I502" i="7"/>
  <c r="H501" i="7"/>
  <c r="I500" i="7"/>
  <c r="I499" i="7"/>
  <c r="I498" i="7"/>
  <c r="I494" i="7"/>
  <c r="H493" i="7"/>
  <c r="I492" i="7"/>
  <c r="I491" i="7"/>
  <c r="I490" i="7"/>
  <c r="I486" i="7"/>
  <c r="H485" i="7"/>
  <c r="I484" i="7"/>
  <c r="I483" i="7"/>
  <c r="I482" i="7"/>
  <c r="I478" i="7"/>
  <c r="H477" i="7"/>
  <c r="I476" i="7"/>
  <c r="I475" i="7"/>
  <c r="I474" i="7"/>
  <c r="I470" i="7"/>
  <c r="H469" i="7"/>
  <c r="I468" i="7"/>
  <c r="I467" i="7"/>
  <c r="I466" i="7"/>
  <c r="I462" i="7"/>
  <c r="H461" i="7"/>
  <c r="I460" i="7"/>
  <c r="I459" i="7"/>
  <c r="I458" i="7"/>
  <c r="I454" i="7"/>
  <c r="H453" i="7"/>
  <c r="I452" i="7"/>
  <c r="I451" i="7"/>
  <c r="I450" i="7"/>
  <c r="I446" i="7"/>
  <c r="H445" i="7"/>
  <c r="I444" i="7"/>
  <c r="I443" i="7"/>
  <c r="I442" i="7"/>
  <c r="I438" i="7"/>
  <c r="H437" i="7"/>
  <c r="I436" i="7"/>
  <c r="I435" i="7"/>
  <c r="I434" i="7"/>
  <c r="I430" i="7"/>
  <c r="H429" i="7"/>
  <c r="I428" i="7"/>
  <c r="I427" i="7"/>
  <c r="I426" i="7"/>
  <c r="I422" i="7"/>
  <c r="H421" i="7"/>
  <c r="I420" i="7"/>
  <c r="I419" i="7"/>
  <c r="I418" i="7"/>
  <c r="I414" i="7"/>
  <c r="H413" i="7"/>
  <c r="I412" i="7"/>
  <c r="I411" i="7"/>
  <c r="I410" i="7"/>
  <c r="I406" i="7"/>
  <c r="H405" i="7"/>
  <c r="I404" i="7"/>
  <c r="I403" i="7"/>
  <c r="I402" i="7"/>
  <c r="I398" i="7"/>
  <c r="H397" i="7"/>
  <c r="I396" i="7"/>
  <c r="I395" i="7"/>
  <c r="I394" i="7"/>
  <c r="I390" i="7"/>
  <c r="H389" i="7"/>
  <c r="I388" i="7"/>
  <c r="I387" i="7"/>
  <c r="I386" i="7"/>
  <c r="I382" i="7"/>
  <c r="H381" i="7"/>
  <c r="I380" i="7"/>
  <c r="I379" i="7"/>
  <c r="I378" i="7"/>
  <c r="I374" i="7"/>
  <c r="H373" i="7"/>
  <c r="I372" i="7"/>
  <c r="I371" i="7"/>
  <c r="I370" i="7"/>
  <c r="I366" i="7"/>
  <c r="H365" i="7"/>
  <c r="I364" i="7"/>
  <c r="I363" i="7"/>
  <c r="I362" i="7"/>
  <c r="I358" i="7"/>
  <c r="H357" i="7"/>
  <c r="I356" i="7"/>
  <c r="I355" i="7"/>
  <c r="I354" i="7"/>
  <c r="I350" i="7"/>
  <c r="H349" i="7"/>
  <c r="I348" i="7"/>
  <c r="I347" i="7"/>
  <c r="I346" i="7"/>
  <c r="H341" i="7"/>
  <c r="I340" i="7"/>
  <c r="I339" i="7"/>
  <c r="I338" i="7"/>
  <c r="H333" i="7"/>
  <c r="I332" i="7"/>
  <c r="I331" i="7"/>
  <c r="I330" i="7"/>
  <c r="H325" i="7"/>
  <c r="I324" i="7"/>
  <c r="I323" i="7"/>
  <c r="I322" i="7"/>
  <c r="H317" i="7"/>
  <c r="I316" i="7"/>
  <c r="I315" i="7"/>
  <c r="I314" i="7"/>
  <c r="H309" i="7"/>
  <c r="I308" i="7"/>
  <c r="I307" i="7"/>
  <c r="I306" i="7"/>
  <c r="H301" i="7"/>
  <c r="I300" i="7"/>
  <c r="I299" i="7"/>
  <c r="I298" i="7"/>
  <c r="H293" i="7"/>
  <c r="I292" i="7"/>
  <c r="I291" i="7"/>
  <c r="I290" i="7"/>
  <c r="H285" i="7"/>
  <c r="I284" i="7"/>
  <c r="I283" i="7"/>
  <c r="I282" i="7"/>
  <c r="H277" i="7"/>
  <c r="I276" i="7"/>
  <c r="I275" i="7"/>
  <c r="I274" i="7"/>
  <c r="H269" i="7"/>
  <c r="I268" i="7"/>
  <c r="I267" i="7"/>
  <c r="I266" i="7"/>
  <c r="H261" i="7"/>
  <c r="I260" i="7"/>
  <c r="I259" i="7"/>
  <c r="I258" i="7"/>
  <c r="H253" i="7"/>
  <c r="I252" i="7"/>
  <c r="I251" i="7"/>
  <c r="I250" i="7"/>
  <c r="H245" i="7"/>
  <c r="I244" i="7"/>
  <c r="I243" i="7"/>
  <c r="I242" i="7"/>
  <c r="H237" i="7"/>
  <c r="I236" i="7"/>
  <c r="I235" i="7"/>
  <c r="I234" i="7"/>
  <c r="H229" i="7"/>
  <c r="I228" i="7"/>
  <c r="I227" i="7"/>
  <c r="I226" i="7"/>
  <c r="H221" i="7"/>
  <c r="I220" i="7"/>
  <c r="I219" i="7"/>
  <c r="I218" i="7"/>
  <c r="H213" i="7"/>
  <c r="I212" i="7"/>
  <c r="I211" i="7"/>
  <c r="I210" i="7"/>
  <c r="H205" i="7"/>
  <c r="I204" i="7"/>
  <c r="I203" i="7"/>
  <c r="I202" i="7"/>
  <c r="H198" i="7"/>
  <c r="H192" i="7"/>
  <c r="I186" i="7"/>
  <c r="H182" i="7"/>
  <c r="H176" i="7"/>
  <c r="I170" i="7"/>
  <c r="H166" i="7"/>
  <c r="H159" i="7"/>
  <c r="H150" i="7"/>
  <c r="I149" i="7"/>
  <c r="H146" i="7"/>
  <c r="I145" i="7"/>
  <c r="I144" i="7"/>
  <c r="H142" i="7"/>
  <c r="I141" i="7"/>
  <c r="H137" i="7"/>
  <c r="I136" i="7"/>
  <c r="I135" i="7"/>
  <c r="I133" i="7"/>
  <c r="H128" i="7"/>
  <c r="H122" i="7"/>
  <c r="I120" i="7"/>
  <c r="H106" i="7"/>
  <c r="I101" i="7"/>
  <c r="H96" i="7"/>
  <c r="I91" i="7"/>
  <c r="H88" i="7"/>
  <c r="I77" i="7"/>
  <c r="E612" i="7"/>
  <c r="D609" i="7"/>
  <c r="E608" i="7"/>
  <c r="D605" i="7"/>
  <c r="E604" i="7"/>
  <c r="D601" i="7"/>
  <c r="E600" i="7"/>
  <c r="D598" i="7"/>
  <c r="E597" i="7"/>
  <c r="D594" i="7"/>
  <c r="E593" i="7"/>
  <c r="D590" i="7"/>
  <c r="E589" i="7"/>
  <c r="D586" i="7"/>
  <c r="E585" i="7"/>
  <c r="D582" i="7"/>
  <c r="E581" i="7"/>
  <c r="D578" i="7"/>
  <c r="E577" i="7"/>
  <c r="D574" i="7"/>
  <c r="E573" i="7"/>
  <c r="D570" i="7"/>
  <c r="E569" i="7"/>
  <c r="D566" i="7"/>
  <c r="E565" i="7"/>
  <c r="D562" i="7"/>
  <c r="E561" i="7"/>
  <c r="D558" i="7"/>
  <c r="E557" i="7"/>
  <c r="D554" i="7"/>
  <c r="E553" i="7"/>
  <c r="D550" i="7"/>
  <c r="E549" i="7"/>
  <c r="D546" i="7"/>
  <c r="E545" i="7"/>
  <c r="D542" i="7"/>
  <c r="E541" i="7"/>
  <c r="D539" i="7"/>
  <c r="E538" i="7"/>
  <c r="D535" i="7"/>
  <c r="E534" i="7"/>
  <c r="D531" i="7"/>
  <c r="E530" i="7"/>
  <c r="E527" i="7"/>
  <c r="D524" i="7"/>
  <c r="E523" i="7"/>
  <c r="D520" i="7"/>
  <c r="E519" i="7"/>
  <c r="D516" i="7"/>
  <c r="E515" i="7"/>
  <c r="D512" i="7"/>
  <c r="E511" i="7"/>
  <c r="D508" i="7"/>
  <c r="E507" i="7"/>
  <c r="D504" i="7"/>
  <c r="E503" i="7"/>
  <c r="D500" i="7"/>
  <c r="E499" i="7"/>
  <c r="D496" i="7"/>
  <c r="E495" i="7"/>
  <c r="D492" i="7"/>
  <c r="E491" i="7"/>
  <c r="D488" i="7"/>
  <c r="E487" i="7"/>
  <c r="D484" i="7"/>
  <c r="E483" i="7"/>
  <c r="D480" i="7"/>
  <c r="E479" i="7"/>
  <c r="D476" i="7"/>
  <c r="E475" i="7"/>
  <c r="D472" i="7"/>
  <c r="E471" i="7"/>
  <c r="D468" i="7"/>
  <c r="E467" i="7"/>
  <c r="D464" i="7"/>
  <c r="E463" i="7"/>
  <c r="D460" i="7"/>
  <c r="E459" i="7"/>
  <c r="D456" i="7"/>
  <c r="E455" i="7"/>
  <c r="D452" i="7"/>
  <c r="E451" i="7"/>
  <c r="D448" i="7"/>
  <c r="E447" i="7"/>
  <c r="D444" i="7"/>
  <c r="E443" i="7"/>
  <c r="D440" i="7"/>
  <c r="E439" i="7"/>
  <c r="D436" i="7"/>
  <c r="E435" i="7"/>
  <c r="D432" i="7"/>
  <c r="E431" i="7"/>
  <c r="D428" i="7"/>
  <c r="E427" i="7"/>
  <c r="D424" i="7"/>
  <c r="E423" i="7"/>
  <c r="D420" i="7"/>
  <c r="E419" i="7"/>
  <c r="D416" i="7"/>
  <c r="E415" i="7"/>
  <c r="D412" i="7"/>
  <c r="E411" i="7"/>
  <c r="D408" i="7"/>
  <c r="E407" i="7"/>
  <c r="D404" i="7"/>
  <c r="E403" i="7"/>
  <c r="D400" i="7"/>
  <c r="E399" i="7"/>
  <c r="D396" i="7"/>
  <c r="E395" i="7"/>
  <c r="D392" i="7"/>
  <c r="E391" i="7"/>
  <c r="D388" i="7"/>
  <c r="E387" i="7"/>
  <c r="D384" i="7"/>
  <c r="E383" i="7"/>
  <c r="D380" i="7"/>
  <c r="E379" i="7"/>
  <c r="D376" i="7"/>
  <c r="E375" i="7"/>
  <c r="D372" i="7"/>
  <c r="E371" i="7"/>
  <c r="D368" i="7"/>
  <c r="E367" i="7"/>
  <c r="D364" i="7"/>
  <c r="E363" i="7"/>
  <c r="D360" i="7"/>
  <c r="E359" i="7"/>
  <c r="D356" i="7"/>
  <c r="E355" i="7"/>
  <c r="D352" i="7"/>
  <c r="E351" i="7"/>
  <c r="D348" i="7"/>
  <c r="E347" i="7"/>
  <c r="D344" i="7"/>
  <c r="E343" i="7"/>
  <c r="D340" i="7"/>
  <c r="E339" i="7"/>
  <c r="D336" i="7"/>
  <c r="E335" i="7"/>
  <c r="D332" i="7"/>
  <c r="E331" i="7"/>
  <c r="D328" i="7"/>
  <c r="E327" i="7"/>
  <c r="D324" i="7"/>
  <c r="E323" i="7"/>
  <c r="D320" i="7"/>
  <c r="E319" i="7"/>
  <c r="D316" i="7"/>
  <c r="E315" i="7"/>
  <c r="D312" i="7"/>
  <c r="E311" i="7"/>
  <c r="D308" i="7"/>
  <c r="E307" i="7"/>
  <c r="D304" i="7"/>
  <c r="E303" i="7"/>
  <c r="D300" i="7"/>
  <c r="E299" i="7"/>
  <c r="D296" i="7"/>
  <c r="E295" i="7"/>
  <c r="D292" i="7"/>
  <c r="E291" i="7"/>
  <c r="D288" i="7"/>
  <c r="E287" i="7"/>
  <c r="D284" i="7"/>
  <c r="E283" i="7"/>
  <c r="D280" i="7"/>
  <c r="E279" i="7"/>
  <c r="D276" i="7"/>
  <c r="E275" i="7"/>
  <c r="D272" i="7"/>
  <c r="E271" i="7"/>
  <c r="D268" i="7"/>
  <c r="E267" i="7"/>
  <c r="D264" i="7"/>
  <c r="E263" i="7"/>
  <c r="D260" i="7"/>
  <c r="E259" i="7"/>
  <c r="D256" i="7"/>
  <c r="E255" i="7"/>
  <c r="D252" i="7"/>
  <c r="E251" i="7"/>
  <c r="D248" i="7"/>
  <c r="E247" i="7"/>
  <c r="D244" i="7"/>
  <c r="E243" i="7"/>
  <c r="D240" i="7"/>
  <c r="E239" i="7"/>
  <c r="D236" i="7"/>
  <c r="E235" i="7"/>
  <c r="D232" i="7"/>
  <c r="E231" i="7"/>
  <c r="D228" i="7"/>
  <c r="E227" i="7"/>
  <c r="D224" i="7"/>
  <c r="E223" i="7"/>
  <c r="D220" i="7"/>
  <c r="E219" i="7"/>
  <c r="D216" i="7"/>
  <c r="E215" i="7"/>
  <c r="D212" i="7"/>
  <c r="E211" i="7"/>
  <c r="D208" i="7"/>
  <c r="E207" i="7"/>
  <c r="D204" i="7"/>
  <c r="E203" i="7"/>
  <c r="D200" i="7"/>
  <c r="E199" i="7"/>
  <c r="D198" i="7"/>
  <c r="D197" i="7"/>
  <c r="D196" i="7"/>
  <c r="D195" i="7"/>
  <c r="E186" i="7"/>
  <c r="E185" i="7"/>
  <c r="E184" i="7"/>
  <c r="E183" i="7"/>
  <c r="D182" i="7"/>
  <c r="D181" i="7"/>
  <c r="D180" i="7"/>
  <c r="D179" i="7"/>
  <c r="E170" i="7"/>
  <c r="E169" i="7"/>
  <c r="E168" i="7"/>
  <c r="E167" i="7"/>
  <c r="D166" i="7"/>
  <c r="D165" i="7"/>
  <c r="D164" i="7"/>
  <c r="D151" i="7"/>
  <c r="D149" i="7"/>
  <c r="D148" i="7"/>
  <c r="D146" i="7"/>
  <c r="E140" i="7"/>
  <c r="D134" i="7"/>
  <c r="D132" i="7"/>
  <c r="E131" i="7"/>
  <c r="D130" i="7"/>
  <c r="E120" i="7"/>
  <c r="D117" i="7"/>
  <c r="L42" i="7"/>
  <c r="L39" i="7"/>
  <c r="L54" i="7"/>
  <c r="L52" i="7"/>
  <c r="M30" i="7"/>
  <c r="L59" i="7"/>
  <c r="L41" i="7"/>
  <c r="H66" i="7"/>
  <c r="H65" i="7"/>
  <c r="I61" i="7"/>
  <c r="H30" i="7"/>
  <c r="H76" i="7"/>
  <c r="H74" i="7"/>
  <c r="I71" i="7"/>
  <c r="H64" i="7"/>
  <c r="H62" i="7"/>
  <c r="I60" i="7"/>
  <c r="I37" i="7"/>
  <c r="I28" i="7"/>
  <c r="I35" i="7"/>
  <c r="J114" i="7"/>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L26" i="7"/>
  <c r="M23" i="7"/>
  <c r="L23" i="7"/>
  <c r="L25" i="7"/>
  <c r="M22" i="7"/>
  <c r="L19"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N541" i="7"/>
  <c r="O559" i="7"/>
  <c r="O463" i="7"/>
  <c r="O185" i="7"/>
  <c r="N207" i="7"/>
  <c r="N266" i="7"/>
  <c r="N229" i="7"/>
  <c r="N156" i="7"/>
  <c r="N203" i="7"/>
  <c r="N166" i="7"/>
  <c r="O30" i="7"/>
  <c r="N213" i="7"/>
  <c r="N417" i="7"/>
  <c r="N164" i="7"/>
  <c r="N308" i="7"/>
  <c r="N452" i="7"/>
  <c r="N500" i="7"/>
  <c r="O550" i="7"/>
  <c r="N586" i="7"/>
  <c r="N307" i="7"/>
  <c r="L22" i="7"/>
  <c r="M18" i="7"/>
  <c r="L15" i="7"/>
  <c r="L14" i="7"/>
  <c r="H16" i="7"/>
  <c r="H18" i="7"/>
  <c r="K88" i="7"/>
  <c r="I15" i="7"/>
  <c r="I21" i="7"/>
  <c r="I14" i="7"/>
  <c r="L620" i="7"/>
  <c r="K620" i="7"/>
  <c r="J620" i="7"/>
  <c r="I620" i="7"/>
  <c r="H620" i="7"/>
  <c r="E620" i="7"/>
  <c r="D620" i="7"/>
  <c r="M147" i="5"/>
  <c r="M72" i="5"/>
  <c r="M84" i="5"/>
  <c r="M158" i="5"/>
  <c r="M130" i="5"/>
  <c r="M98" i="5"/>
  <c r="G292" i="5"/>
  <c r="G275" i="5"/>
  <c r="G260" i="5"/>
  <c r="G166" i="5"/>
  <c r="G138" i="5"/>
  <c r="G224" i="5"/>
  <c r="G215" i="5"/>
  <c r="G164" i="5"/>
  <c r="G93" i="5"/>
  <c r="G271" i="5"/>
  <c r="G199" i="5"/>
  <c r="G191" i="5"/>
  <c r="G69" i="5"/>
  <c r="M64" i="5"/>
  <c r="G250" i="5"/>
  <c r="I250" i="5"/>
  <c r="G121" i="5"/>
  <c r="I121" i="5"/>
  <c r="G296" i="5"/>
  <c r="I296" i="5"/>
  <c r="G213" i="5"/>
  <c r="I213" i="5"/>
  <c r="G261" i="5"/>
  <c r="I261" i="5"/>
  <c r="G65" i="5"/>
  <c r="I239" i="5"/>
  <c r="I195" i="5"/>
  <c r="F50" i="5"/>
  <c r="I50" i="5" s="1"/>
  <c r="I282" i="5"/>
  <c r="G234" i="5"/>
  <c r="I223" i="5"/>
  <c r="I271" i="5"/>
  <c r="I259" i="5"/>
  <c r="I215" i="5"/>
  <c r="I211" i="5"/>
  <c r="F84" i="5"/>
  <c r="I84" i="5" s="1"/>
  <c r="F78" i="5"/>
  <c r="F63" i="5"/>
  <c r="G63" i="5" s="1"/>
  <c r="F19" i="5"/>
  <c r="G19" i="5" s="1"/>
  <c r="I66" i="5"/>
  <c r="I177" i="5"/>
  <c r="G153" i="5"/>
  <c r="F94" i="5"/>
  <c r="G94" i="5" s="1"/>
  <c r="G89" i="5"/>
  <c r="F71" i="5"/>
  <c r="F62" i="5"/>
  <c r="I62" i="5" s="1"/>
  <c r="F17" i="5"/>
  <c r="I17" i="5" s="1"/>
  <c r="I286" i="5"/>
  <c r="I280" i="5"/>
  <c r="I117" i="5"/>
  <c r="F82" i="5"/>
  <c r="G82" i="5" s="1"/>
  <c r="F76" i="5"/>
  <c r="I76" i="5" s="1"/>
  <c r="F70" i="5"/>
  <c r="I70" i="5" s="1"/>
  <c r="F61" i="5"/>
  <c r="I61" i="5" s="1"/>
  <c r="G291" i="5"/>
  <c r="G279" i="5"/>
  <c r="F80" i="5"/>
  <c r="F74" i="5"/>
  <c r="G74" i="5" s="1"/>
  <c r="M100" i="5"/>
  <c r="M40" i="5"/>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D15" i="7"/>
  <c r="D19" i="7"/>
  <c r="D23" i="7"/>
  <c r="E15" i="7"/>
  <c r="D16" i="7"/>
  <c r="D20" i="7"/>
  <c r="I283" i="5"/>
  <c r="G283" i="5"/>
  <c r="O21" i="7"/>
  <c r="E18" i="7"/>
  <c r="D17" i="7"/>
  <c r="I288" i="5"/>
  <c r="G288" i="5"/>
  <c r="E14" i="7"/>
  <c r="E16" i="7"/>
  <c r="D14" i="7"/>
  <c r="G299" i="5"/>
  <c r="I300" i="5"/>
  <c r="G276" i="5"/>
  <c r="I241" i="5"/>
  <c r="G266" i="5"/>
  <c r="I242" i="5"/>
  <c r="G254" i="5"/>
  <c r="I254" i="5"/>
  <c r="M17" i="7"/>
  <c r="G257" i="5"/>
  <c r="I246" i="5"/>
  <c r="G207" i="5"/>
  <c r="I207" i="5"/>
  <c r="G182" i="5"/>
  <c r="I182" i="5"/>
  <c r="I151" i="5"/>
  <c r="G151" i="5"/>
  <c r="I134" i="5"/>
  <c r="M20" i="7"/>
  <c r="M16" i="7"/>
  <c r="I276" i="5"/>
  <c r="G251" i="5"/>
  <c r="G240" i="5"/>
  <c r="I266" i="5"/>
  <c r="G241" i="5"/>
  <c r="I232" i="5"/>
  <c r="G232" i="5"/>
  <c r="I226" i="5"/>
  <c r="G217" i="5"/>
  <c r="I208" i="5"/>
  <c r="G208" i="5"/>
  <c r="I222" i="5"/>
  <c r="G194" i="5"/>
  <c r="I194" i="5"/>
  <c r="G193" i="5"/>
  <c r="I193" i="5"/>
  <c r="I256" i="5"/>
  <c r="G218" i="5"/>
  <c r="G198" i="5"/>
  <c r="I198" i="5"/>
  <c r="I210" i="5"/>
  <c r="G233" i="5"/>
  <c r="G219" i="5"/>
  <c r="G170" i="5"/>
  <c r="I170" i="5"/>
  <c r="I190" i="5"/>
  <c r="G188" i="5"/>
  <c r="I184" i="5"/>
  <c r="G174" i="5"/>
  <c r="G137" i="5"/>
  <c r="G186" i="5"/>
  <c r="G176" i="5"/>
  <c r="I176" i="5"/>
  <c r="I160" i="5"/>
  <c r="G171" i="5"/>
  <c r="G141" i="5"/>
  <c r="G146" i="5"/>
  <c r="I136" i="5"/>
  <c r="I209" i="5"/>
  <c r="I197" i="5"/>
  <c r="I172" i="5"/>
  <c r="G168" i="5"/>
  <c r="G136" i="5"/>
  <c r="I180" i="5"/>
  <c r="I174" i="5"/>
  <c r="I165" i="5"/>
  <c r="I164" i="5"/>
  <c r="I139" i="5"/>
  <c r="G149" i="5"/>
  <c r="I148" i="5"/>
  <c r="I112" i="5"/>
  <c r="G112" i="5"/>
  <c r="I132" i="5"/>
  <c r="I105" i="5"/>
  <c r="I127" i="5"/>
  <c r="G111" i="5"/>
  <c r="G110" i="5"/>
  <c r="G124" i="5"/>
  <c r="I59" i="5"/>
  <c r="I118" i="5"/>
  <c r="I81" i="5"/>
  <c r="I96" i="5"/>
  <c r="I107" i="5"/>
  <c r="G87" i="5"/>
  <c r="I87" i="5"/>
  <c r="G96" i="5"/>
  <c r="G35"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64" i="5"/>
  <c r="M57" i="5"/>
  <c r="M24" i="5"/>
  <c r="F9" i="5"/>
  <c r="F11" i="5"/>
  <c r="F13" i="5"/>
  <c r="F15" i="5"/>
  <c r="F22" i="5"/>
  <c r="F34" i="5"/>
  <c r="F46" i="5"/>
  <c r="F5" i="5"/>
  <c r="F25" i="5"/>
  <c r="F37" i="5"/>
  <c r="F49" i="5"/>
  <c r="F10" i="5"/>
  <c r="F12" i="5"/>
  <c r="F14" i="5"/>
  <c r="F16" i="5"/>
  <c r="F28" i="5"/>
  <c r="F40" i="5"/>
  <c r="F52" i="5"/>
  <c r="F8" i="5"/>
  <c r="F21" i="5"/>
  <c r="F33" i="5"/>
  <c r="F45" i="5"/>
  <c r="F57" i="5"/>
  <c r="F29" i="5"/>
  <c r="F47" i="5"/>
  <c r="F56" i="5"/>
  <c r="F67" i="5"/>
  <c r="F26" i="5"/>
  <c r="F27" i="5"/>
  <c r="F60" i="5"/>
  <c r="F72" i="5"/>
  <c r="F43" i="5"/>
  <c r="F44" i="5"/>
  <c r="F24" i="5"/>
  <c r="F42" i="5"/>
  <c r="F23" i="5"/>
  <c r="F41" i="5"/>
  <c r="F58" i="5"/>
  <c r="F38" i="5"/>
  <c r="F39" i="5"/>
  <c r="F68" i="5"/>
  <c r="F18" i="5"/>
  <c r="F36" i="5"/>
  <c r="F54" i="5"/>
  <c r="F4" i="5"/>
  <c r="F31" i="5"/>
  <c r="F32" i="5"/>
  <c r="F2" i="5"/>
  <c r="F3" i="5"/>
  <c r="F30" i="5"/>
  <c r="F48" i="5"/>
  <c r="M45" i="5"/>
  <c r="G20" i="5"/>
  <c r="B31" i="4"/>
  <c r="B12" i="4"/>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B15" i="4"/>
  <c r="B32" i="4"/>
  <c r="B13" i="4"/>
  <c r="I216" i="5" l="1"/>
  <c r="I295" i="5"/>
  <c r="G97" i="5"/>
  <c r="I214" i="5"/>
  <c r="I196" i="5"/>
  <c r="G245" i="5"/>
  <c r="G272" i="5"/>
  <c r="I244" i="5"/>
  <c r="I277" i="5"/>
  <c r="I115" i="5"/>
  <c r="G187" i="5"/>
  <c r="I131" i="5"/>
  <c r="G99" i="5"/>
  <c r="G145" i="5"/>
  <c r="I95" i="5"/>
  <c r="I6" i="5"/>
  <c r="G51" i="5"/>
  <c r="G114" i="5"/>
  <c r="I289" i="5"/>
  <c r="I287" i="5"/>
  <c r="G130" i="5"/>
  <c r="G258" i="5"/>
  <c r="I178" i="5"/>
  <c r="G284" i="5"/>
  <c r="I202" i="5"/>
  <c r="I120" i="5"/>
  <c r="G220" i="5"/>
  <c r="G229" i="5"/>
  <c r="G77" i="5"/>
  <c r="G135" i="5"/>
  <c r="G83" i="5"/>
  <c r="G290" i="5"/>
  <c r="I85" i="5"/>
  <c r="G274" i="5"/>
  <c r="I192" i="5"/>
  <c r="G152" i="5"/>
  <c r="I88" i="5"/>
  <c r="G162" i="5"/>
  <c r="G253" i="5"/>
  <c r="G247" i="5"/>
  <c r="I156" i="5"/>
  <c r="G161" i="5"/>
  <c r="I55" i="5"/>
  <c r="I7" i="5"/>
  <c r="G125" i="5"/>
  <c r="I204" i="5"/>
  <c r="I268" i="5"/>
  <c r="I293" i="5"/>
  <c r="I106" i="5"/>
  <c r="G183" i="5"/>
  <c r="G263" i="5"/>
  <c r="I230" i="5"/>
  <c r="I91" i="5"/>
  <c r="G167" i="5"/>
  <c r="G273" i="5"/>
  <c r="G84" i="5"/>
  <c r="G140" i="5"/>
  <c r="I267" i="5"/>
  <c r="G75" i="5"/>
  <c r="I100" i="5"/>
  <c r="G231" i="5"/>
  <c r="I281" i="5"/>
  <c r="G113" i="5"/>
  <c r="G73" i="5"/>
  <c r="G200" i="5"/>
  <c r="G235" i="5"/>
  <c r="G108" i="5"/>
  <c r="G76" i="5"/>
  <c r="G62" i="5"/>
  <c r="I98" i="5"/>
  <c r="G70" i="5"/>
  <c r="I206" i="5"/>
  <c r="I158" i="5"/>
  <c r="I301" i="5"/>
  <c r="G238" i="5"/>
  <c r="I104" i="5"/>
  <c r="L61" i="5"/>
  <c r="I63" i="5"/>
  <c r="I185" i="5"/>
  <c r="I221" i="5"/>
  <c r="G142" i="5"/>
  <c r="G101" i="5"/>
  <c r="I53" i="5"/>
  <c r="I119" i="5"/>
  <c r="G155" i="5"/>
  <c r="I252" i="5"/>
  <c r="G297" i="5"/>
  <c r="G169" i="5"/>
  <c r="G249" i="5"/>
  <c r="I19" i="5"/>
  <c r="I82" i="5"/>
  <c r="I74" i="5"/>
  <c r="I94" i="5"/>
  <c r="I86" i="5"/>
  <c r="I189" i="5"/>
  <c r="G285" i="5"/>
  <c r="N16" i="7"/>
  <c r="O16" i="7"/>
  <c r="N620" i="7"/>
  <c r="O479" i="7"/>
  <c r="N37" i="7"/>
  <c r="N597" i="7"/>
  <c r="O537" i="7"/>
  <c r="O405" i="7"/>
  <c r="O261" i="7"/>
  <c r="O128" i="7"/>
  <c r="N369" i="7"/>
  <c r="N153" i="7"/>
  <c r="N394" i="7"/>
  <c r="N42" i="7"/>
  <c r="O445" i="7"/>
  <c r="O51" i="7"/>
  <c r="N79" i="7"/>
  <c r="N120" i="7"/>
  <c r="O80" i="7"/>
  <c r="N28" i="7"/>
  <c r="N294" i="7"/>
  <c r="O140" i="7"/>
  <c r="O541" i="7"/>
  <c r="I173" i="5"/>
  <c r="I270" i="5"/>
  <c r="N15" i="7"/>
  <c r="G123" i="5"/>
  <c r="B6" i="7"/>
  <c r="N514" i="7"/>
  <c r="O478" i="7"/>
  <c r="O188" i="7"/>
  <c r="N572" i="7"/>
  <c r="N380" i="7"/>
  <c r="N236" i="7"/>
  <c r="O94" i="7"/>
  <c r="N321" i="7"/>
  <c r="N107" i="7"/>
  <c r="N346" i="7"/>
  <c r="N419" i="7"/>
  <c r="N372" i="7"/>
  <c r="N445" i="7"/>
  <c r="N27" i="7"/>
  <c r="N423" i="7"/>
  <c r="O28" i="7"/>
  <c r="N365" i="7"/>
  <c r="O106" i="7"/>
  <c r="O472" i="7"/>
  <c r="N65" i="7"/>
  <c r="O551" i="7"/>
  <c r="N525" i="7"/>
  <c r="N463" i="7"/>
  <c r="O609" i="7"/>
  <c r="O333" i="7"/>
  <c r="O189" i="7"/>
  <c r="O442" i="7"/>
  <c r="O250" i="7"/>
  <c r="O62" i="7"/>
  <c r="O239" i="7"/>
  <c r="O276" i="7"/>
  <c r="O229" i="7"/>
  <c r="O302" i="7"/>
  <c r="O339" i="7"/>
  <c r="O280" i="7"/>
  <c r="N304" i="7"/>
  <c r="O186" i="7"/>
  <c r="O548" i="7"/>
  <c r="O471" i="7"/>
  <c r="G90" i="5"/>
  <c r="I90" i="5"/>
  <c r="N163" i="7"/>
  <c r="N490" i="7"/>
  <c r="N562" i="7"/>
  <c r="N85" i="7"/>
  <c r="O526" i="7"/>
  <c r="O598" i="7"/>
  <c r="N476" i="7"/>
  <c r="N548" i="7"/>
  <c r="O596" i="7"/>
  <c r="N404" i="7"/>
  <c r="N332" i="7"/>
  <c r="N260" i="7"/>
  <c r="N188" i="7"/>
  <c r="N123" i="7"/>
  <c r="N441" i="7"/>
  <c r="N357" i="7"/>
  <c r="N249" i="7"/>
  <c r="N141" i="7"/>
  <c r="O58" i="7"/>
  <c r="O383" i="7"/>
  <c r="N238" i="7"/>
  <c r="N38" i="7"/>
  <c r="N275" i="7"/>
  <c r="N444" i="7"/>
  <c r="N228" i="7"/>
  <c r="O47" i="7"/>
  <c r="N301" i="7"/>
  <c r="N75" i="7"/>
  <c r="N338" i="7"/>
  <c r="O114" i="7"/>
  <c r="N279" i="7"/>
  <c r="O76" i="7"/>
  <c r="N268" i="7"/>
  <c r="O438" i="7"/>
  <c r="O150" i="7"/>
  <c r="N258" i="7"/>
  <c r="N102" i="7"/>
  <c r="N484" i="7"/>
  <c r="N542" i="7"/>
  <c r="N612" i="7"/>
  <c r="N575" i="7"/>
  <c r="N14" i="7"/>
  <c r="O176" i="7"/>
  <c r="O491" i="7"/>
  <c r="O563" i="7"/>
  <c r="O123" i="7"/>
  <c r="N537" i="7"/>
  <c r="N609" i="7"/>
  <c r="O477" i="7"/>
  <c r="O549" i="7"/>
  <c r="O465" i="7"/>
  <c r="O393" i="7"/>
  <c r="O321" i="7"/>
  <c r="O249" i="7"/>
  <c r="O177" i="7"/>
  <c r="N111" i="7"/>
  <c r="O430" i="7"/>
  <c r="O346" i="7"/>
  <c r="O238" i="7"/>
  <c r="N134" i="7"/>
  <c r="O54" i="7"/>
  <c r="N382" i="7"/>
  <c r="O203" i="7"/>
  <c r="O456" i="7"/>
  <c r="O240" i="7"/>
  <c r="O409" i="7"/>
  <c r="O193" i="7"/>
  <c r="O27" i="7"/>
  <c r="O266" i="7"/>
  <c r="N55" i="7"/>
  <c r="O303" i="7"/>
  <c r="O460" i="7"/>
  <c r="O244" i="7"/>
  <c r="O56" i="7"/>
  <c r="O257" i="7"/>
  <c r="N437" i="7"/>
  <c r="N149" i="7"/>
  <c r="O247" i="7"/>
  <c r="N187" i="7"/>
  <c r="O485" i="7"/>
  <c r="O543" i="7"/>
  <c r="O613" i="7"/>
  <c r="O588" i="7"/>
  <c r="N18" i="7"/>
  <c r="O19" i="7"/>
  <c r="N19" i="7"/>
  <c r="N235" i="7"/>
  <c r="N502" i="7"/>
  <c r="N574" i="7"/>
  <c r="O468" i="7"/>
  <c r="O538" i="7"/>
  <c r="N57" i="7"/>
  <c r="N488" i="7"/>
  <c r="N560" i="7"/>
  <c r="N464" i="7"/>
  <c r="N392" i="7"/>
  <c r="N320" i="7"/>
  <c r="N248" i="7"/>
  <c r="N176" i="7"/>
  <c r="O107" i="7"/>
  <c r="N429" i="7"/>
  <c r="O334" i="7"/>
  <c r="N237" i="7"/>
  <c r="O124" i="7"/>
  <c r="O50" i="7"/>
  <c r="O371" i="7"/>
  <c r="N202" i="7"/>
  <c r="N455" i="7"/>
  <c r="N239" i="7"/>
  <c r="N408" i="7"/>
  <c r="N192" i="7"/>
  <c r="O23" i="7"/>
  <c r="N265" i="7"/>
  <c r="N51" i="7"/>
  <c r="N302" i="7"/>
  <c r="N459" i="7"/>
  <c r="N243" i="7"/>
  <c r="O52" i="7"/>
  <c r="N232" i="7"/>
  <c r="O402" i="7"/>
  <c r="N115" i="7"/>
  <c r="N186" i="7"/>
  <c r="O487" i="7"/>
  <c r="N556" i="7"/>
  <c r="N106" i="7"/>
  <c r="N20" i="7"/>
  <c r="O15" i="7"/>
  <c r="O14" i="7"/>
  <c r="O248" i="7"/>
  <c r="O503" i="7"/>
  <c r="O575" i="7"/>
  <c r="N477" i="7"/>
  <c r="N549" i="7"/>
  <c r="N175" i="7"/>
  <c r="O489" i="7"/>
  <c r="O561" i="7"/>
  <c r="O453" i="7"/>
  <c r="O381" i="7"/>
  <c r="O309" i="7"/>
  <c r="O237" i="7"/>
  <c r="O165" i="7"/>
  <c r="O98" i="7"/>
  <c r="O418" i="7"/>
  <c r="O322" i="7"/>
  <c r="N225" i="7"/>
  <c r="O112" i="7"/>
  <c r="O34" i="7"/>
  <c r="O347" i="7"/>
  <c r="O167" i="7"/>
  <c r="O420" i="7"/>
  <c r="O204" i="7"/>
  <c r="O373" i="7"/>
  <c r="O157" i="7"/>
  <c r="O446" i="7"/>
  <c r="O230" i="7"/>
  <c r="N31" i="7"/>
  <c r="O267" i="7"/>
  <c r="O424" i="7"/>
  <c r="O208" i="7"/>
  <c r="O32" i="7"/>
  <c r="N196" i="7"/>
  <c r="O366" i="7"/>
  <c r="O17" i="7"/>
  <c r="O175" i="7"/>
  <c r="N498" i="7"/>
  <c r="O557" i="7"/>
  <c r="O470" i="7"/>
  <c r="O620" i="7"/>
  <c r="O320" i="7"/>
  <c r="O515" i="7"/>
  <c r="O587" i="7"/>
  <c r="N489" i="7"/>
  <c r="N561" i="7"/>
  <c r="N247" i="7"/>
  <c r="O501" i="7"/>
  <c r="O573" i="7"/>
  <c r="O441" i="7"/>
  <c r="O369" i="7"/>
  <c r="O297" i="7"/>
  <c r="O225" i="7"/>
  <c r="O153" i="7"/>
  <c r="O90" i="7"/>
  <c r="O406" i="7"/>
  <c r="O310" i="7"/>
  <c r="O202" i="7"/>
  <c r="O103" i="7"/>
  <c r="N466" i="7"/>
  <c r="N322" i="7"/>
  <c r="O135" i="7"/>
  <c r="O384" i="7"/>
  <c r="O168" i="7"/>
  <c r="O337" i="7"/>
  <c r="N129" i="7"/>
  <c r="O410" i="7"/>
  <c r="O194" i="7"/>
  <c r="O447" i="7"/>
  <c r="O231" i="7"/>
  <c r="O388" i="7"/>
  <c r="O172" i="7"/>
  <c r="N448" i="7"/>
  <c r="N160" i="7"/>
  <c r="O330" i="7"/>
  <c r="N438" i="7"/>
  <c r="O102" i="7"/>
  <c r="N570" i="7"/>
  <c r="N483" i="7"/>
  <c r="O542" i="7"/>
  <c r="O18" i="7"/>
  <c r="O623" i="7"/>
  <c r="N379" i="7"/>
  <c r="N526" i="7"/>
  <c r="N598" i="7"/>
  <c r="O490" i="7"/>
  <c r="O562" i="7"/>
  <c r="O260" i="7"/>
  <c r="N512" i="7"/>
  <c r="N584" i="7"/>
  <c r="N440" i="7"/>
  <c r="N368" i="7"/>
  <c r="N296" i="7"/>
  <c r="N224" i="7"/>
  <c r="N152" i="7"/>
  <c r="O22" i="7"/>
  <c r="N405" i="7"/>
  <c r="N309" i="7"/>
  <c r="O190" i="7"/>
  <c r="N98" i="7"/>
  <c r="O455" i="7"/>
  <c r="O311" i="7"/>
  <c r="N124" i="7"/>
  <c r="N383" i="7"/>
  <c r="N167" i="7"/>
  <c r="N336" i="7"/>
  <c r="N125" i="7"/>
  <c r="N409" i="7"/>
  <c r="N193" i="7"/>
  <c r="N446" i="7"/>
  <c r="N230" i="7"/>
  <c r="N387" i="7"/>
  <c r="N171" i="7"/>
  <c r="N412" i="7"/>
  <c r="N121" i="7"/>
  <c r="O294" i="7"/>
  <c r="N402" i="7"/>
  <c r="O57" i="7"/>
  <c r="N473" i="7"/>
  <c r="O544" i="7"/>
  <c r="N613" i="7"/>
  <c r="N551" i="7"/>
  <c r="N623" i="7"/>
  <c r="O392" i="7"/>
  <c r="O527" i="7"/>
  <c r="O599" i="7"/>
  <c r="N501" i="7"/>
  <c r="N573" i="7"/>
  <c r="N319" i="7"/>
  <c r="O513" i="7"/>
  <c r="O585" i="7"/>
  <c r="O429" i="7"/>
  <c r="O357" i="7"/>
  <c r="O285" i="7"/>
  <c r="O213" i="7"/>
  <c r="O141" i="7"/>
  <c r="O466" i="7"/>
  <c r="O394" i="7"/>
  <c r="N297" i="7"/>
  <c r="O178" i="7"/>
  <c r="N90" i="7"/>
  <c r="N454" i="7"/>
  <c r="N310" i="7"/>
  <c r="O99" i="7"/>
  <c r="O348" i="7"/>
  <c r="N135" i="7"/>
  <c r="O301" i="7"/>
  <c r="O100" i="7"/>
  <c r="O374" i="7"/>
  <c r="O158" i="7"/>
  <c r="O411" i="7"/>
  <c r="O195" i="7"/>
  <c r="O352" i="7"/>
  <c r="O137" i="7"/>
  <c r="O401" i="7"/>
  <c r="O115" i="7"/>
  <c r="N293" i="7"/>
  <c r="O391" i="7"/>
  <c r="O53" i="7"/>
  <c r="O474" i="7"/>
  <c r="N555" i="7"/>
  <c r="O614" i="7"/>
  <c r="O564" i="7"/>
  <c r="N451" i="7"/>
  <c r="N538" i="7"/>
  <c r="N610" i="7"/>
  <c r="O502" i="7"/>
  <c r="O574" i="7"/>
  <c r="O332" i="7"/>
  <c r="N524" i="7"/>
  <c r="N596" i="7"/>
  <c r="N428" i="7"/>
  <c r="N356" i="7"/>
  <c r="N284" i="7"/>
  <c r="N212" i="7"/>
  <c r="N140" i="7"/>
  <c r="N465" i="7"/>
  <c r="N393" i="7"/>
  <c r="N285" i="7"/>
  <c r="N177" i="7"/>
  <c r="O82" i="7"/>
  <c r="O443" i="7"/>
  <c r="O299" i="7"/>
  <c r="N86" i="7"/>
  <c r="N347" i="7"/>
  <c r="O129" i="7"/>
  <c r="N300" i="7"/>
  <c r="N95" i="7"/>
  <c r="N373" i="7"/>
  <c r="N157" i="7"/>
  <c r="N410" i="7"/>
  <c r="N194" i="7"/>
  <c r="N351" i="7"/>
  <c r="N131" i="7"/>
  <c r="N376" i="7"/>
  <c r="N76" i="7"/>
  <c r="O258" i="7"/>
  <c r="N366" i="7"/>
  <c r="N475" i="7"/>
  <c r="N545" i="7"/>
  <c r="O579" i="7"/>
  <c r="N439" i="7"/>
  <c r="O464" i="7"/>
  <c r="O539" i="7"/>
  <c r="O611" i="7"/>
  <c r="N513" i="7"/>
  <c r="N585" i="7"/>
  <c r="N391" i="7"/>
  <c r="O525" i="7"/>
  <c r="O597" i="7"/>
  <c r="O417" i="7"/>
  <c r="O345" i="7"/>
  <c r="O273" i="7"/>
  <c r="O201" i="7"/>
  <c r="O134" i="7"/>
  <c r="O454" i="7"/>
  <c r="O382" i="7"/>
  <c r="O274" i="7"/>
  <c r="O166" i="7"/>
  <c r="O78" i="7"/>
  <c r="O419" i="7"/>
  <c r="O275" i="7"/>
  <c r="N66" i="7"/>
  <c r="O312" i="7"/>
  <c r="O95" i="7"/>
  <c r="O265" i="7"/>
  <c r="O75" i="7"/>
  <c r="O338" i="7"/>
  <c r="O120" i="7"/>
  <c r="O375" i="7"/>
  <c r="O159" i="7"/>
  <c r="O316" i="7"/>
  <c r="O105" i="7"/>
  <c r="N340" i="7"/>
  <c r="N52" i="7"/>
  <c r="O222" i="7"/>
  <c r="N330" i="7"/>
  <c r="O476" i="7"/>
  <c r="O546" i="7"/>
  <c r="N33" i="7"/>
  <c r="O452" i="7"/>
  <c r="N478" i="7"/>
  <c r="N550" i="7"/>
  <c r="O610" i="7"/>
  <c r="O514" i="7"/>
  <c r="O586" i="7"/>
  <c r="O404" i="7"/>
  <c r="N536" i="7"/>
  <c r="N608" i="7"/>
  <c r="N416" i="7"/>
  <c r="N344" i="7"/>
  <c r="N272" i="7"/>
  <c r="N200" i="7"/>
  <c r="N133" i="7"/>
  <c r="N453" i="7"/>
  <c r="N381" i="7"/>
  <c r="O262" i="7"/>
  <c r="N165" i="7"/>
  <c r="O70" i="7"/>
  <c r="N418" i="7"/>
  <c r="N274" i="7"/>
  <c r="N62" i="7"/>
  <c r="N311" i="7"/>
  <c r="O91" i="7"/>
  <c r="N264" i="7"/>
  <c r="O71" i="7"/>
  <c r="N337" i="7"/>
  <c r="N119" i="7"/>
  <c r="N374" i="7"/>
  <c r="N158" i="7"/>
  <c r="N315" i="7"/>
  <c r="O101" i="7"/>
  <c r="O329" i="7"/>
  <c r="N48" i="7"/>
  <c r="N221" i="7"/>
  <c r="O319" i="7"/>
  <c r="N547" i="7"/>
  <c r="O133" i="7"/>
  <c r="O440" i="7"/>
  <c r="N599" i="7"/>
  <c r="O528" i="7"/>
  <c r="N563" i="7"/>
  <c r="N539" i="7"/>
  <c r="O577" i="7"/>
  <c r="O505" i="7"/>
  <c r="O236" i="7"/>
  <c r="O578" i="7"/>
  <c r="O506" i="7"/>
  <c r="N590" i="7"/>
  <c r="O507" i="7"/>
  <c r="N283" i="7"/>
  <c r="N591" i="7"/>
  <c r="N519" i="7"/>
  <c r="O593" i="7"/>
  <c r="O521" i="7"/>
  <c r="O356" i="7"/>
  <c r="O582" i="7"/>
  <c r="O510" i="7"/>
  <c r="N606" i="7"/>
  <c r="N534" i="7"/>
  <c r="N403" i="7"/>
  <c r="O584" i="7"/>
  <c r="O512" i="7"/>
  <c r="O29" i="7"/>
  <c r="O77" i="7"/>
  <c r="O139" i="7"/>
  <c r="O211" i="7"/>
  <c r="O283" i="7"/>
  <c r="O355" i="7"/>
  <c r="O427" i="7"/>
  <c r="O110" i="7"/>
  <c r="N185" i="7"/>
  <c r="N257" i="7"/>
  <c r="N329" i="7"/>
  <c r="N401" i="7"/>
  <c r="N24" i="7"/>
  <c r="N72" i="7"/>
  <c r="O149" i="7"/>
  <c r="O221" i="7"/>
  <c r="O293" i="7"/>
  <c r="O365" i="7"/>
  <c r="O437" i="7"/>
  <c r="N515" i="7"/>
  <c r="O504" i="7"/>
  <c r="O480" i="7"/>
  <c r="N576" i="7"/>
  <c r="N504" i="7"/>
  <c r="N223" i="7"/>
  <c r="N577" i="7"/>
  <c r="N505" i="7"/>
  <c r="N578" i="7"/>
  <c r="N506" i="7"/>
  <c r="O224" i="7"/>
  <c r="O580" i="7"/>
  <c r="O508" i="7"/>
  <c r="N592" i="7"/>
  <c r="N520" i="7"/>
  <c r="N343" i="7"/>
  <c r="N581" i="7"/>
  <c r="N509" i="7"/>
  <c r="O595" i="7"/>
  <c r="O523" i="7"/>
  <c r="O344" i="7"/>
  <c r="N583" i="7"/>
  <c r="N511" i="7"/>
  <c r="O33" i="7"/>
  <c r="O81" i="7"/>
  <c r="N150" i="7"/>
  <c r="N222" i="7"/>
  <c r="O469" i="7"/>
  <c r="N491" i="7"/>
  <c r="O565" i="7"/>
  <c r="O493" i="7"/>
  <c r="O164" i="7"/>
  <c r="O566" i="7"/>
  <c r="O494" i="7"/>
  <c r="O567" i="7"/>
  <c r="O495" i="7"/>
  <c r="N211" i="7"/>
  <c r="N579" i="7"/>
  <c r="N507" i="7"/>
  <c r="O581" i="7"/>
  <c r="O509" i="7"/>
  <c r="O284" i="7"/>
  <c r="O570" i="7"/>
  <c r="O498" i="7"/>
  <c r="N594" i="7"/>
  <c r="N522" i="7"/>
  <c r="N331" i="7"/>
  <c r="O572" i="7"/>
  <c r="O500" i="7"/>
  <c r="O37" i="7"/>
  <c r="O85" i="7"/>
  <c r="O151" i="7"/>
  <c r="O223" i="7"/>
  <c r="O295" i="7"/>
  <c r="O367" i="7"/>
  <c r="O439" i="7"/>
  <c r="O122" i="7"/>
  <c r="N197" i="7"/>
  <c r="N269" i="7"/>
  <c r="N341" i="7"/>
  <c r="N413" i="7"/>
  <c r="N32" i="7"/>
  <c r="N80" i="7"/>
  <c r="O161" i="7"/>
  <c r="O233" i="7"/>
  <c r="O305" i="7"/>
  <c r="O377" i="7"/>
  <c r="O449" i="7"/>
  <c r="O60" i="7"/>
  <c r="N109" i="7"/>
  <c r="N183" i="7"/>
  <c r="N255" i="7"/>
  <c r="N327" i="7"/>
  <c r="N399" i="7"/>
  <c r="O88" i="7"/>
  <c r="N170" i="7"/>
  <c r="N242" i="7"/>
  <c r="N314" i="7"/>
  <c r="N386" i="7"/>
  <c r="N458" i="7"/>
  <c r="N59" i="7"/>
  <c r="N130" i="7"/>
  <c r="N205" i="7"/>
  <c r="N277" i="7"/>
  <c r="N349" i="7"/>
  <c r="N421" i="7"/>
  <c r="O31" i="7"/>
  <c r="O79" i="7"/>
  <c r="O130" i="7"/>
  <c r="N204" i="7"/>
  <c r="N276" i="7"/>
  <c r="N348" i="7"/>
  <c r="N420" i="7"/>
  <c r="N99" i="7"/>
  <c r="N179" i="7"/>
  <c r="N251" i="7"/>
  <c r="N323" i="7"/>
  <c r="N395" i="7"/>
  <c r="N467" i="7"/>
  <c r="N70" i="7"/>
  <c r="N142" i="7"/>
  <c r="N214" i="7"/>
  <c r="N286" i="7"/>
  <c r="N358" i="7"/>
  <c r="N430" i="7"/>
  <c r="O38" i="7"/>
  <c r="O86" i="7"/>
  <c r="O142" i="7"/>
  <c r="O214" i="7"/>
  <c r="O286" i="7"/>
  <c r="O358" i="7"/>
  <c r="N45" i="7"/>
  <c r="N564" i="7"/>
  <c r="N492" i="7"/>
  <c r="N151" i="7"/>
  <c r="N565" i="7"/>
  <c r="N493" i="7"/>
  <c r="N566" i="7"/>
  <c r="N494" i="7"/>
  <c r="O152" i="7"/>
  <c r="O568" i="7"/>
  <c r="O496" i="7"/>
  <c r="N580" i="7"/>
  <c r="N508" i="7"/>
  <c r="N271" i="7"/>
  <c r="N569" i="7"/>
  <c r="N497" i="7"/>
  <c r="O583" i="7"/>
  <c r="O511" i="7"/>
  <c r="O272" i="7"/>
  <c r="N571" i="7"/>
  <c r="N499" i="7"/>
  <c r="O41" i="7"/>
  <c r="N89" i="7"/>
  <c r="N162" i="7"/>
  <c r="N234" i="7"/>
  <c r="N306" i="7"/>
  <c r="N378" i="7"/>
  <c r="N450" i="7"/>
  <c r="O127" i="7"/>
  <c r="O198" i="7"/>
  <c r="O270" i="7"/>
  <c r="O342" i="7"/>
  <c r="O414" i="7"/>
  <c r="N36" i="7"/>
  <c r="N84" i="7"/>
  <c r="N172" i="7"/>
  <c r="N244" i="7"/>
  <c r="N316" i="7"/>
  <c r="N388" i="7"/>
  <c r="N460" i="7"/>
  <c r="O64" i="7"/>
  <c r="N114" i="7"/>
  <c r="O184" i="7"/>
  <c r="O256" i="7"/>
  <c r="O328" i="7"/>
  <c r="O400" i="7"/>
  <c r="O92" i="7"/>
  <c r="O171" i="7"/>
  <c r="O243" i="7"/>
  <c r="O315" i="7"/>
  <c r="O387" i="7"/>
  <c r="O459" i="7"/>
  <c r="N63" i="7"/>
  <c r="N136" i="7"/>
  <c r="O206" i="7"/>
  <c r="O278" i="7"/>
  <c r="O350" i="7"/>
  <c r="O422" i="7"/>
  <c r="O35" i="7"/>
  <c r="O83" i="7"/>
  <c r="O136" i="7"/>
  <c r="O205" i="7"/>
  <c r="O277" i="7"/>
  <c r="O349" i="7"/>
  <c r="O421" i="7"/>
  <c r="O108" i="7"/>
  <c r="O180" i="7"/>
  <c r="O252" i="7"/>
  <c r="O324" i="7"/>
  <c r="O396" i="7"/>
  <c r="N26" i="7"/>
  <c r="N74" i="7"/>
  <c r="O143" i="7"/>
  <c r="O215" i="7"/>
  <c r="O287" i="7"/>
  <c r="O359" i="7"/>
  <c r="O431" i="7"/>
  <c r="O42" i="7"/>
  <c r="O553" i="7"/>
  <c r="O481" i="7"/>
  <c r="N73" i="7"/>
  <c r="O554" i="7"/>
  <c r="O482" i="7"/>
  <c r="O555" i="7"/>
  <c r="O483" i="7"/>
  <c r="N139" i="7"/>
  <c r="N567" i="7"/>
  <c r="N495" i="7"/>
  <c r="O569" i="7"/>
  <c r="O497" i="7"/>
  <c r="O212" i="7"/>
  <c r="O558" i="7"/>
  <c r="O486" i="7"/>
  <c r="N582" i="7"/>
  <c r="N510" i="7"/>
  <c r="N259" i="7"/>
  <c r="O560" i="7"/>
  <c r="O488" i="7"/>
  <c r="O45" i="7"/>
  <c r="N93" i="7"/>
  <c r="O163" i="7"/>
  <c r="O235" i="7"/>
  <c r="O307" i="7"/>
  <c r="O379" i="7"/>
  <c r="O451" i="7"/>
  <c r="N132" i="7"/>
  <c r="N209" i="7"/>
  <c r="N281" i="7"/>
  <c r="N353" i="7"/>
  <c r="N425" i="7"/>
  <c r="N40" i="7"/>
  <c r="N101" i="7"/>
  <c r="O173" i="7"/>
  <c r="O245" i="7"/>
  <c r="O317" i="7"/>
  <c r="O389" i="7"/>
  <c r="O461" i="7"/>
  <c r="O68" i="7"/>
  <c r="O121" i="7"/>
  <c r="N195" i="7"/>
  <c r="N267" i="7"/>
  <c r="N339" i="7"/>
  <c r="N411" i="7"/>
  <c r="O96" i="7"/>
  <c r="N182" i="7"/>
  <c r="N254" i="7"/>
  <c r="N326" i="7"/>
  <c r="N398" i="7"/>
  <c r="N470" i="7"/>
  <c r="N67" i="7"/>
  <c r="N145" i="7"/>
  <c r="N217" i="7"/>
  <c r="N289" i="7"/>
  <c r="N361" i="7"/>
  <c r="N433" i="7"/>
  <c r="O39" i="7"/>
  <c r="N87" i="7"/>
  <c r="N144" i="7"/>
  <c r="N216" i="7"/>
  <c r="N288" i="7"/>
  <c r="N360" i="7"/>
  <c r="N432" i="7"/>
  <c r="N118" i="7"/>
  <c r="N191" i="7"/>
  <c r="N263" i="7"/>
  <c r="N335" i="7"/>
  <c r="N407" i="7"/>
  <c r="N30" i="7"/>
  <c r="N78" i="7"/>
  <c r="N154" i="7"/>
  <c r="N226" i="7"/>
  <c r="N298" i="7"/>
  <c r="N370" i="7"/>
  <c r="N442" i="7"/>
  <c r="O46" i="7"/>
  <c r="N94" i="7"/>
  <c r="O154" i="7"/>
  <c r="O226" i="7"/>
  <c r="O298" i="7"/>
  <c r="O370" i="7"/>
  <c r="N552" i="7"/>
  <c r="N480" i="7"/>
  <c r="N25" i="7"/>
  <c r="N553" i="7"/>
  <c r="N481" i="7"/>
  <c r="N554" i="7"/>
  <c r="N482" i="7"/>
  <c r="N81" i="7"/>
  <c r="O556" i="7"/>
  <c r="O484" i="7"/>
  <c r="N568" i="7"/>
  <c r="N496" i="7"/>
  <c r="N199" i="7"/>
  <c r="N557" i="7"/>
  <c r="N485" i="7"/>
  <c r="O571" i="7"/>
  <c r="O499" i="7"/>
  <c r="O200" i="7"/>
  <c r="N559" i="7"/>
  <c r="N487" i="7"/>
  <c r="O49" i="7"/>
  <c r="N97" i="7"/>
  <c r="N174" i="7"/>
  <c r="N246" i="7"/>
  <c r="N318" i="7"/>
  <c r="N390" i="7"/>
  <c r="N462" i="7"/>
  <c r="N138" i="7"/>
  <c r="O210" i="7"/>
  <c r="O282" i="7"/>
  <c r="O354" i="7"/>
  <c r="O426" i="7"/>
  <c r="N44" i="7"/>
  <c r="N105" i="7"/>
  <c r="N184" i="7"/>
  <c r="N256" i="7"/>
  <c r="N328" i="7"/>
  <c r="N400" i="7"/>
  <c r="O24" i="7"/>
  <c r="O72" i="7"/>
  <c r="N126" i="7"/>
  <c r="O196" i="7"/>
  <c r="O268" i="7"/>
  <c r="O340" i="7"/>
  <c r="O412" i="7"/>
  <c r="O109" i="7"/>
  <c r="O183" i="7"/>
  <c r="O255" i="7"/>
  <c r="O327" i="7"/>
  <c r="O399" i="7"/>
  <c r="N23" i="7"/>
  <c r="N71" i="7"/>
  <c r="O146" i="7"/>
  <c r="O218" i="7"/>
  <c r="O290" i="7"/>
  <c r="O362" i="7"/>
  <c r="O434" i="7"/>
  <c r="O43" i="7"/>
  <c r="N91" i="7"/>
  <c r="O145" i="7"/>
  <c r="O217" i="7"/>
  <c r="O289" i="7"/>
  <c r="O361" i="7"/>
  <c r="O433" i="7"/>
  <c r="O125" i="7"/>
  <c r="O192" i="7"/>
  <c r="O264" i="7"/>
  <c r="O336" i="7"/>
  <c r="O408" i="7"/>
  <c r="N34" i="7"/>
  <c r="N82" i="7"/>
  <c r="O155" i="7"/>
  <c r="O227" i="7"/>
  <c r="N527" i="7"/>
  <c r="O516" i="7"/>
  <c r="O492" i="7"/>
  <c r="O601" i="7"/>
  <c r="O529" i="7"/>
  <c r="O380" i="7"/>
  <c r="O602" i="7"/>
  <c r="O530" i="7"/>
  <c r="N53" i="7"/>
  <c r="O531" i="7"/>
  <c r="N427" i="7"/>
  <c r="N622" i="7"/>
  <c r="N543" i="7"/>
  <c r="N471" i="7"/>
  <c r="O545" i="7"/>
  <c r="O473" i="7"/>
  <c r="N41" i="7"/>
  <c r="O534" i="7"/>
  <c r="N69" i="7"/>
  <c r="N558" i="7"/>
  <c r="N486" i="7"/>
  <c r="N49" i="7"/>
  <c r="O536" i="7"/>
  <c r="N116" i="7"/>
  <c r="O61" i="7"/>
  <c r="N110" i="7"/>
  <c r="O187" i="7"/>
  <c r="O259" i="7"/>
  <c r="O331" i="7"/>
  <c r="O403" i="7"/>
  <c r="N21" i="7"/>
  <c r="N161" i="7"/>
  <c r="N233" i="7"/>
  <c r="N305" i="7"/>
  <c r="N377" i="7"/>
  <c r="N449" i="7"/>
  <c r="N56" i="7"/>
  <c r="O132" i="7"/>
  <c r="O197" i="7"/>
  <c r="O269" i="7"/>
  <c r="O341" i="7"/>
  <c r="O413" i="7"/>
  <c r="O36" i="7"/>
  <c r="O84" i="7"/>
  <c r="N147" i="7"/>
  <c r="N219" i="7"/>
  <c r="N291" i="7"/>
  <c r="N363" i="7"/>
  <c r="N435" i="7"/>
  <c r="O126" i="7"/>
  <c r="N206" i="7"/>
  <c r="N278" i="7"/>
  <c r="N350" i="7"/>
  <c r="N422" i="7"/>
  <c r="N35" i="7"/>
  <c r="N83" i="7"/>
  <c r="N169" i="7"/>
  <c r="N241" i="7"/>
  <c r="N313" i="7"/>
  <c r="N385" i="7"/>
  <c r="N457" i="7"/>
  <c r="O55" i="7"/>
  <c r="O104" i="7"/>
  <c r="N168" i="7"/>
  <c r="N240" i="7"/>
  <c r="N312" i="7"/>
  <c r="N384" i="7"/>
  <c r="N456" i="7"/>
  <c r="N143" i="7"/>
  <c r="N215" i="7"/>
  <c r="N287" i="7"/>
  <c r="N359" i="7"/>
  <c r="N431" i="7"/>
  <c r="N46" i="7"/>
  <c r="N103" i="7"/>
  <c r="N178" i="7"/>
  <c r="N250" i="7"/>
  <c r="O111" i="7"/>
  <c r="N503" i="7"/>
  <c r="N479" i="7"/>
  <c r="N600" i="7"/>
  <c r="N528" i="7"/>
  <c r="N367" i="7"/>
  <c r="N601" i="7"/>
  <c r="N529" i="7"/>
  <c r="O603" i="7"/>
  <c r="N530" i="7"/>
  <c r="O368" i="7"/>
  <c r="O604" i="7"/>
  <c r="O532" i="7"/>
  <c r="N61" i="7"/>
  <c r="N544" i="7"/>
  <c r="N472" i="7"/>
  <c r="N605" i="7"/>
  <c r="N533" i="7"/>
  <c r="N614" i="7"/>
  <c r="O547" i="7"/>
  <c r="O475" i="7"/>
  <c r="O608" i="7"/>
  <c r="N535" i="7"/>
  <c r="N77" i="7"/>
  <c r="O65" i="7"/>
  <c r="O116" i="7"/>
  <c r="N198" i="7"/>
  <c r="N270" i="7"/>
  <c r="N342" i="7"/>
  <c r="N414" i="7"/>
  <c r="O89" i="7"/>
  <c r="O162" i="7"/>
  <c r="O234" i="7"/>
  <c r="O306" i="7"/>
  <c r="O378" i="7"/>
  <c r="O450" i="7"/>
  <c r="N60" i="7"/>
  <c r="N137" i="7"/>
  <c r="N208" i="7"/>
  <c r="N280" i="7"/>
  <c r="N352" i="7"/>
  <c r="N424" i="7"/>
  <c r="O40" i="7"/>
  <c r="N88" i="7"/>
  <c r="O148" i="7"/>
  <c r="O220" i="7"/>
  <c r="O292" i="7"/>
  <c r="O364" i="7"/>
  <c r="O436" i="7"/>
  <c r="O131" i="7"/>
  <c r="O207" i="7"/>
  <c r="O279" i="7"/>
  <c r="O351" i="7"/>
  <c r="O423" i="7"/>
  <c r="N39" i="7"/>
  <c r="N100" i="7"/>
  <c r="O170" i="7"/>
  <c r="O242" i="7"/>
  <c r="O314" i="7"/>
  <c r="O386" i="7"/>
  <c r="O458" i="7"/>
  <c r="O59" i="7"/>
  <c r="N108" i="7"/>
  <c r="O169" i="7"/>
  <c r="O241" i="7"/>
  <c r="O313" i="7"/>
  <c r="O385" i="7"/>
  <c r="O457" i="7"/>
  <c r="O144" i="7"/>
  <c r="O216" i="7"/>
  <c r="O288" i="7"/>
  <c r="O360" i="7"/>
  <c r="O432" i="7"/>
  <c r="N50" i="7"/>
  <c r="N112" i="7"/>
  <c r="O179" i="7"/>
  <c r="O251" i="7"/>
  <c r="O323" i="7"/>
  <c r="O395" i="7"/>
  <c r="O467" i="7"/>
  <c r="O66" i="7"/>
  <c r="O117" i="7"/>
  <c r="N189" i="7"/>
  <c r="N261" i="7"/>
  <c r="N333" i="7"/>
  <c r="O612" i="7"/>
  <c r="O600" i="7"/>
  <c r="N611" i="7"/>
  <c r="O589" i="7"/>
  <c r="O517" i="7"/>
  <c r="O308" i="7"/>
  <c r="O590" i="7"/>
  <c r="O518" i="7"/>
  <c r="N602" i="7"/>
  <c r="O519" i="7"/>
  <c r="N355" i="7"/>
  <c r="N603" i="7"/>
  <c r="N531" i="7"/>
  <c r="O605" i="7"/>
  <c r="O533" i="7"/>
  <c r="O428" i="7"/>
  <c r="O594" i="7"/>
  <c r="O522" i="7"/>
  <c r="O606" i="7"/>
  <c r="N546" i="7"/>
  <c r="N474" i="7"/>
  <c r="N607" i="7"/>
  <c r="O524" i="7"/>
  <c r="N17" i="7"/>
  <c r="O69" i="7"/>
  <c r="N122" i="7"/>
  <c r="O199" i="7"/>
  <c r="O271" i="7"/>
  <c r="O343" i="7"/>
  <c r="O415" i="7"/>
  <c r="O93" i="7"/>
  <c r="N173" i="7"/>
  <c r="N245" i="7"/>
  <c r="N317" i="7"/>
  <c r="N389" i="7"/>
  <c r="N461" i="7"/>
  <c r="N64" i="7"/>
  <c r="O138" i="7"/>
  <c r="O209" i="7"/>
  <c r="O281" i="7"/>
  <c r="O353" i="7"/>
  <c r="O425" i="7"/>
  <c r="O44" i="7"/>
  <c r="N92" i="7"/>
  <c r="N159" i="7"/>
  <c r="N231" i="7"/>
  <c r="N303" i="7"/>
  <c r="N375" i="7"/>
  <c r="N447" i="7"/>
  <c r="N146" i="7"/>
  <c r="N218" i="7"/>
  <c r="N290" i="7"/>
  <c r="N362" i="7"/>
  <c r="N434" i="7"/>
  <c r="N43" i="7"/>
  <c r="N104" i="7"/>
  <c r="N181" i="7"/>
  <c r="N253" i="7"/>
  <c r="N325" i="7"/>
  <c r="N397" i="7"/>
  <c r="N469" i="7"/>
  <c r="O63" i="7"/>
  <c r="O113" i="7"/>
  <c r="N180" i="7"/>
  <c r="N252" i="7"/>
  <c r="N324" i="7"/>
  <c r="N396" i="7"/>
  <c r="N468" i="7"/>
  <c r="N155" i="7"/>
  <c r="N227" i="7"/>
  <c r="N299" i="7"/>
  <c r="N371" i="7"/>
  <c r="N443" i="7"/>
  <c r="N54" i="7"/>
  <c r="N117" i="7"/>
  <c r="N190" i="7"/>
  <c r="N262" i="7"/>
  <c r="N334" i="7"/>
  <c r="N406" i="7"/>
  <c r="N22" i="7"/>
  <c r="N587" i="7"/>
  <c r="O576" i="7"/>
  <c r="O552" i="7"/>
  <c r="N588" i="7"/>
  <c r="N516" i="7"/>
  <c r="N295" i="7"/>
  <c r="N589" i="7"/>
  <c r="N517" i="7"/>
  <c r="O591" i="7"/>
  <c r="N518" i="7"/>
  <c r="O296" i="7"/>
  <c r="O592" i="7"/>
  <c r="O520" i="7"/>
  <c r="N604" i="7"/>
  <c r="N532" i="7"/>
  <c r="N415" i="7"/>
  <c r="N593" i="7"/>
  <c r="N521" i="7"/>
  <c r="O607" i="7"/>
  <c r="O535" i="7"/>
  <c r="O416" i="7"/>
  <c r="N595" i="7"/>
  <c r="N523" i="7"/>
  <c r="O25" i="7"/>
  <c r="O73" i="7"/>
  <c r="N127" i="7"/>
  <c r="N210" i="7"/>
  <c r="N282" i="7"/>
  <c r="N354" i="7"/>
  <c r="N426" i="7"/>
  <c r="O97" i="7"/>
  <c r="O174" i="7"/>
  <c r="O246" i="7"/>
  <c r="O318" i="7"/>
  <c r="O390" i="7"/>
  <c r="O462" i="7"/>
  <c r="N68" i="7"/>
  <c r="N148" i="7"/>
  <c r="N220" i="7"/>
  <c r="N292" i="7"/>
  <c r="N364" i="7"/>
  <c r="N436" i="7"/>
  <c r="O48" i="7"/>
  <c r="N96" i="7"/>
  <c r="O160" i="7"/>
  <c r="O232" i="7"/>
  <c r="O304" i="7"/>
  <c r="O376" i="7"/>
  <c r="O448" i="7"/>
  <c r="O147" i="7"/>
  <c r="O219" i="7"/>
  <c r="O291" i="7"/>
  <c r="O363" i="7"/>
  <c r="O435" i="7"/>
  <c r="N47" i="7"/>
  <c r="N113" i="7"/>
  <c r="O182" i="7"/>
  <c r="O254" i="7"/>
  <c r="O326" i="7"/>
  <c r="O398" i="7"/>
  <c r="O20" i="7"/>
  <c r="O67" i="7"/>
  <c r="O119" i="7"/>
  <c r="O181" i="7"/>
  <c r="O253" i="7"/>
  <c r="O325" i="7"/>
  <c r="O397" i="7"/>
  <c r="O87" i="7"/>
  <c r="O156" i="7"/>
  <c r="O228" i="7"/>
  <c r="O300" i="7"/>
  <c r="O372" i="7"/>
  <c r="O444" i="7"/>
  <c r="N58" i="7"/>
  <c r="O118" i="7"/>
  <c r="O191" i="7"/>
  <c r="O263" i="7"/>
  <c r="O335" i="7"/>
  <c r="O407" i="7"/>
  <c r="O26" i="7"/>
  <c r="O74" i="7"/>
  <c r="N128" i="7"/>
  <c r="N201" i="7"/>
  <c r="N273" i="7"/>
  <c r="N345" i="7"/>
  <c r="K29" i="5"/>
  <c r="K10" i="5"/>
  <c r="G92" i="5"/>
  <c r="N29" i="7"/>
  <c r="O540" i="7"/>
  <c r="G61" i="5"/>
  <c r="G50" i="5"/>
  <c r="N7" i="5"/>
  <c r="L215" i="5"/>
  <c r="K240" i="5"/>
  <c r="G623" i="7"/>
  <c r="Z623" i="7" s="1"/>
  <c r="AA623" i="7" s="1"/>
  <c r="G19" i="7"/>
  <c r="Z19" i="7" s="1"/>
  <c r="AA19" i="7" s="1"/>
  <c r="F623" i="7"/>
  <c r="G15" i="7"/>
  <c r="Z15" i="7" s="1"/>
  <c r="AA15" i="7" s="1"/>
  <c r="G22" i="7"/>
  <c r="Z22" i="7" s="1"/>
  <c r="AA22" i="7" s="1"/>
  <c r="G18" i="7"/>
  <c r="Z18" i="7" s="1"/>
  <c r="AA18" i="7" s="1"/>
  <c r="G14" i="7"/>
  <c r="F18" i="7"/>
  <c r="Y14"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G26" i="7"/>
  <c r="F37" i="7"/>
  <c r="G38" i="7"/>
  <c r="Z38" i="7" s="1"/>
  <c r="AA38" i="7" s="1"/>
  <c r="F49" i="7"/>
  <c r="G50" i="7"/>
  <c r="Z50" i="7" s="1"/>
  <c r="AA50" i="7" s="1"/>
  <c r="F61" i="7"/>
  <c r="G62" i="7"/>
  <c r="F73" i="7"/>
  <c r="G74" i="7"/>
  <c r="F85" i="7"/>
  <c r="G86" i="7"/>
  <c r="F99" i="7"/>
  <c r="F100" i="7"/>
  <c r="F101" i="7"/>
  <c r="G102" i="7"/>
  <c r="F129" i="7"/>
  <c r="G130" i="7"/>
  <c r="F134" i="7"/>
  <c r="F138" i="7"/>
  <c r="G149" i="7"/>
  <c r="Z149" i="7" s="1"/>
  <c r="AA149" i="7" s="1"/>
  <c r="F150" i="7"/>
  <c r="G161" i="7"/>
  <c r="F162" i="7"/>
  <c r="G171" i="7"/>
  <c r="Z171" i="7" s="1"/>
  <c r="AA171" i="7" s="1"/>
  <c r="F172" i="7"/>
  <c r="F181" i="7"/>
  <c r="G190" i="7"/>
  <c r="Z190" i="7" s="1"/>
  <c r="AA190" i="7" s="1"/>
  <c r="G199" i="7"/>
  <c r="F200" i="7"/>
  <c r="G208" i="7"/>
  <c r="Z208" i="7" s="1"/>
  <c r="AA208" i="7" s="1"/>
  <c r="F209" i="7"/>
  <c r="Y209" i="7" s="1"/>
  <c r="G217" i="7"/>
  <c r="Z217" i="7" s="1"/>
  <c r="AA217" i="7" s="1"/>
  <c r="F218" i="7"/>
  <c r="G226" i="7"/>
  <c r="F227" i="7"/>
  <c r="G237" i="7"/>
  <c r="Z237" i="7" s="1"/>
  <c r="AA237" i="7" s="1"/>
  <c r="F238" i="7"/>
  <c r="F247" i="7"/>
  <c r="G256" i="7"/>
  <c r="F257" i="7"/>
  <c r="G267" i="7"/>
  <c r="Z267" i="7" s="1"/>
  <c r="AA267" i="7" s="1"/>
  <c r="F268" i="7"/>
  <c r="G279" i="7"/>
  <c r="G290" i="7"/>
  <c r="Z290" i="7" s="1"/>
  <c r="AA290" i="7" s="1"/>
  <c r="F291" i="7"/>
  <c r="G301" i="7"/>
  <c r="Z301" i="7" s="1"/>
  <c r="AA301" i="7" s="1"/>
  <c r="F302" i="7"/>
  <c r="Y302" i="7" s="1"/>
  <c r="G313" i="7"/>
  <c r="F15" i="7"/>
  <c r="F17" i="7"/>
  <c r="F24" i="7"/>
  <c r="Y24" i="7" s="1"/>
  <c r="G25" i="7"/>
  <c r="F36" i="7"/>
  <c r="G37" i="7"/>
  <c r="Z37" i="7" s="1"/>
  <c r="AA37" i="7" s="1"/>
  <c r="F48" i="7"/>
  <c r="Y48" i="7" s="1"/>
  <c r="G49" i="7"/>
  <c r="Z49" i="7" s="1"/>
  <c r="AA49" i="7" s="1"/>
  <c r="F60" i="7"/>
  <c r="G61" i="7"/>
  <c r="Z61" i="7" s="1"/>
  <c r="AA61" i="7" s="1"/>
  <c r="F72" i="7"/>
  <c r="G73" i="7"/>
  <c r="Z73" i="7" s="1"/>
  <c r="AA73" i="7" s="1"/>
  <c r="F84" i="7"/>
  <c r="G85" i="7"/>
  <c r="F98" i="7"/>
  <c r="Y98" i="7" s="1"/>
  <c r="G99" i="7"/>
  <c r="Z99" i="7" s="1"/>
  <c r="AA99" i="7" s="1"/>
  <c r="G100" i="7"/>
  <c r="Z100" i="7" s="1"/>
  <c r="AA100" i="7" s="1"/>
  <c r="G101" i="7"/>
  <c r="Z101" i="7" s="1"/>
  <c r="AA101" i="7" s="1"/>
  <c r="F118" i="7"/>
  <c r="Y118" i="7" s="1"/>
  <c r="F128" i="7"/>
  <c r="G129" i="7"/>
  <c r="Z129" i="7" s="1"/>
  <c r="AA129" i="7" s="1"/>
  <c r="F131" i="7"/>
  <c r="F132" i="7"/>
  <c r="Y132" i="7" s="1"/>
  <c r="F133" i="7"/>
  <c r="G134" i="7"/>
  <c r="Z134" i="7" s="1"/>
  <c r="AA134" i="7" s="1"/>
  <c r="F135" i="7"/>
  <c r="F136" i="7"/>
  <c r="Y136" i="7" s="1"/>
  <c r="F137" i="7"/>
  <c r="G138" i="7"/>
  <c r="Z138" i="7" s="1"/>
  <c r="AA138" i="7" s="1"/>
  <c r="F139" i="7"/>
  <c r="F140" i="7"/>
  <c r="Y140" i="7" s="1"/>
  <c r="G150" i="7"/>
  <c r="Z150" i="7" s="1"/>
  <c r="AA150" i="7" s="1"/>
  <c r="F151" i="7"/>
  <c r="G162" i="7"/>
  <c r="Z162" i="7" s="1"/>
  <c r="AA162" i="7" s="1"/>
  <c r="F163" i="7"/>
  <c r="Y163" i="7" s="1"/>
  <c r="G172" i="7"/>
  <c r="Z172" i="7" s="1"/>
  <c r="AA172" i="7" s="1"/>
  <c r="G181" i="7"/>
  <c r="F182" i="7"/>
  <c r="F191" i="7"/>
  <c r="G200" i="7"/>
  <c r="F201" i="7"/>
  <c r="G209" i="7"/>
  <c r="Z209" i="7" s="1"/>
  <c r="AA209" i="7" s="1"/>
  <c r="F210" i="7"/>
  <c r="G218" i="7"/>
  <c r="Z218" i="7" s="1"/>
  <c r="AA218" i="7" s="1"/>
  <c r="G227" i="7"/>
  <c r="Z227" i="7" s="1"/>
  <c r="AA227" i="7" s="1"/>
  <c r="F228" i="7"/>
  <c r="G238" i="7"/>
  <c r="Z238" i="7" s="1"/>
  <c r="AA238" i="7" s="1"/>
  <c r="F239" i="7"/>
  <c r="G247" i="7"/>
  <c r="Z247" i="7" s="1"/>
  <c r="AA247" i="7" s="1"/>
  <c r="F248" i="7"/>
  <c r="G257" i="7"/>
  <c r="Z257" i="7" s="1"/>
  <c r="AA257" i="7" s="1"/>
  <c r="F258" i="7"/>
  <c r="G268" i="7"/>
  <c r="F269" i="7"/>
  <c r="F280" i="7"/>
  <c r="G291" i="7"/>
  <c r="Z291" i="7" s="1"/>
  <c r="AA291" i="7" s="1"/>
  <c r="F292" i="7"/>
  <c r="G302" i="7"/>
  <c r="F303" i="7"/>
  <c r="F314" i="7"/>
  <c r="G17" i="7"/>
  <c r="Z17" i="7" s="1"/>
  <c r="AA17" i="7" s="1"/>
  <c r="F23" i="7"/>
  <c r="G24" i="7"/>
  <c r="Z24" i="7" s="1"/>
  <c r="AA24" i="7" s="1"/>
  <c r="F35" i="7"/>
  <c r="G36" i="7"/>
  <c r="F47" i="7"/>
  <c r="G48" i="7"/>
  <c r="F59" i="7"/>
  <c r="G60" i="7"/>
  <c r="Z60" i="7" s="1"/>
  <c r="AA60" i="7" s="1"/>
  <c r="F71" i="7"/>
  <c r="G72" i="7"/>
  <c r="F83" i="7"/>
  <c r="G84" i="7"/>
  <c r="Z84" i="7" s="1"/>
  <c r="AA84" i="7" s="1"/>
  <c r="F97" i="7"/>
  <c r="G98" i="7"/>
  <c r="Z98" i="7" s="1"/>
  <c r="AA98" i="7" s="1"/>
  <c r="F114" i="7"/>
  <c r="F115" i="7"/>
  <c r="F116" i="7"/>
  <c r="F117" i="7"/>
  <c r="G118" i="7"/>
  <c r="Z118" i="7" s="1"/>
  <c r="AA118" i="7" s="1"/>
  <c r="F119" i="7"/>
  <c r="F120" i="7"/>
  <c r="F127" i="7"/>
  <c r="G128" i="7"/>
  <c r="Z128" i="7" s="1"/>
  <c r="AA128" i="7" s="1"/>
  <c r="G131" i="7"/>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G151" i="7"/>
  <c r="F152" i="7"/>
  <c r="Y152" i="7" s="1"/>
  <c r="G163" i="7"/>
  <c r="Z163" i="7" s="1"/>
  <c r="AA163" i="7" s="1"/>
  <c r="F164" i="7"/>
  <c r="F173" i="7"/>
  <c r="G182" i="7"/>
  <c r="G191" i="7"/>
  <c r="F192" i="7"/>
  <c r="G201" i="7"/>
  <c r="Z201" i="7" s="1"/>
  <c r="AA201" i="7" s="1"/>
  <c r="F202" i="7"/>
  <c r="Y202" i="7" s="1"/>
  <c r="G210" i="7"/>
  <c r="Z210" i="7" s="1"/>
  <c r="AA210" i="7" s="1"/>
  <c r="F219" i="7"/>
  <c r="G228" i="7"/>
  <c r="F229" i="7"/>
  <c r="Y229" i="7" s="1"/>
  <c r="G239" i="7"/>
  <c r="Z239" i="7" s="1"/>
  <c r="AA239" i="7" s="1"/>
  <c r="F240" i="7"/>
  <c r="G248" i="7"/>
  <c r="Z248" i="7" s="1"/>
  <c r="AA248" i="7" s="1"/>
  <c r="G258" i="7"/>
  <c r="F259" i="7"/>
  <c r="G269" i="7"/>
  <c r="Z269" i="7" s="1"/>
  <c r="AA269" i="7" s="1"/>
  <c r="F270" i="7"/>
  <c r="G280" i="7"/>
  <c r="Z280" i="7" s="1"/>
  <c r="AA280" i="7" s="1"/>
  <c r="F281" i="7"/>
  <c r="G292" i="7"/>
  <c r="Z292" i="7" s="1"/>
  <c r="AA292" i="7" s="1"/>
  <c r="F293" i="7"/>
  <c r="G303" i="7"/>
  <c r="Z303" i="7" s="1"/>
  <c r="AA303" i="7" s="1"/>
  <c r="F304" i="7"/>
  <c r="G314" i="7"/>
  <c r="Z314" i="7" s="1"/>
  <c r="AA314" i="7" s="1"/>
  <c r="F315" i="7"/>
  <c r="F19" i="7"/>
  <c r="Y19" i="7" s="1"/>
  <c r="G23" i="7"/>
  <c r="Z23" i="7" s="1"/>
  <c r="AA23" i="7" s="1"/>
  <c r="F34" i="7"/>
  <c r="G35" i="7"/>
  <c r="Z35" i="7" s="1"/>
  <c r="AA35" i="7" s="1"/>
  <c r="F46" i="7"/>
  <c r="G47" i="7"/>
  <c r="Z47" i="7" s="1"/>
  <c r="AA47" i="7" s="1"/>
  <c r="F58" i="7"/>
  <c r="G59" i="7"/>
  <c r="F70" i="7"/>
  <c r="Y70" i="7" s="1"/>
  <c r="G71" i="7"/>
  <c r="Z71" i="7" s="1"/>
  <c r="AA71" i="7" s="1"/>
  <c r="F82" i="7"/>
  <c r="G83" i="7"/>
  <c r="F96" i="7"/>
  <c r="Y96" i="7" s="1"/>
  <c r="G97" i="7"/>
  <c r="F111" i="7"/>
  <c r="F112" i="7"/>
  <c r="F113" i="7"/>
  <c r="Y113" i="7" s="1"/>
  <c r="G114" i="7"/>
  <c r="Z114" i="7" s="1"/>
  <c r="AA114" i="7" s="1"/>
  <c r="G115" i="7"/>
  <c r="Z115" i="7" s="1"/>
  <c r="AA115" i="7" s="1"/>
  <c r="G116" i="7"/>
  <c r="G117" i="7"/>
  <c r="G119" i="7"/>
  <c r="G120" i="7"/>
  <c r="F121" i="7"/>
  <c r="F122" i="7"/>
  <c r="Y122" i="7" s="1"/>
  <c r="F123" i="7"/>
  <c r="F124" i="7"/>
  <c r="F125" i="7"/>
  <c r="F126" i="7"/>
  <c r="Y126" i="7" s="1"/>
  <c r="G127" i="7"/>
  <c r="Z127" i="7" s="1"/>
  <c r="AA127" i="7" s="1"/>
  <c r="G141" i="7"/>
  <c r="Z141" i="7" s="1"/>
  <c r="AA141" i="7" s="1"/>
  <c r="F142" i="7"/>
  <c r="G152" i="7"/>
  <c r="Z152" i="7" s="1"/>
  <c r="AA152" i="7" s="1"/>
  <c r="F153" i="7"/>
  <c r="G164" i="7"/>
  <c r="Z164" i="7" s="1"/>
  <c r="AA164" i="7" s="1"/>
  <c r="G173" i="7"/>
  <c r="Z173" i="7" s="1"/>
  <c r="AA173" i="7" s="1"/>
  <c r="F174" i="7"/>
  <c r="Y174" i="7" s="1"/>
  <c r="F183" i="7"/>
  <c r="G192" i="7"/>
  <c r="Z192" i="7" s="1"/>
  <c r="AA192" i="7" s="1"/>
  <c r="F193" i="7"/>
  <c r="G202" i="7"/>
  <c r="Z202" i="7" s="1"/>
  <c r="AA202" i="7" s="1"/>
  <c r="F211" i="7"/>
  <c r="G219" i="7"/>
  <c r="F220" i="7"/>
  <c r="G229" i="7"/>
  <c r="Z229" i="7" s="1"/>
  <c r="AA229" i="7" s="1"/>
  <c r="F230" i="7"/>
  <c r="G240" i="7"/>
  <c r="Z240" i="7" s="1"/>
  <c r="AA240" i="7" s="1"/>
  <c r="F241" i="7"/>
  <c r="F249" i="7"/>
  <c r="Y249" i="7" s="1"/>
  <c r="G259" i="7"/>
  <c r="F260" i="7"/>
  <c r="G270" i="7"/>
  <c r="F271" i="7"/>
  <c r="G281" i="7"/>
  <c r="Z281" i="7" s="1"/>
  <c r="AA281" i="7" s="1"/>
  <c r="F282" i="7"/>
  <c r="G293" i="7"/>
  <c r="F294" i="7"/>
  <c r="G304" i="7"/>
  <c r="Z304" i="7" s="1"/>
  <c r="AA304" i="7" s="1"/>
  <c r="F305" i="7"/>
  <c r="G315" i="7"/>
  <c r="F33" i="7"/>
  <c r="Y33" i="7" s="1"/>
  <c r="G34" i="7"/>
  <c r="Z34" i="7" s="1"/>
  <c r="AA34" i="7" s="1"/>
  <c r="F45" i="7"/>
  <c r="G46" i="7"/>
  <c r="Z46" i="7" s="1"/>
  <c r="AA46" i="7" s="1"/>
  <c r="F57" i="7"/>
  <c r="G58" i="7"/>
  <c r="Z58" i="7" s="1"/>
  <c r="AA58" i="7" s="1"/>
  <c r="F69" i="7"/>
  <c r="G70" i="7"/>
  <c r="Z70" i="7" s="1"/>
  <c r="AA70" i="7" s="1"/>
  <c r="F81" i="7"/>
  <c r="G82" i="7"/>
  <c r="Z82" i="7" s="1"/>
  <c r="AA82" i="7" s="1"/>
  <c r="F95" i="7"/>
  <c r="G96" i="7"/>
  <c r="F110" i="7"/>
  <c r="Y110" i="7" s="1"/>
  <c r="G111" i="7"/>
  <c r="G112" i="7"/>
  <c r="Z112" i="7" s="1"/>
  <c r="AA112" i="7" s="1"/>
  <c r="G113" i="7"/>
  <c r="Z113" i="7" s="1"/>
  <c r="AA113" i="7" s="1"/>
  <c r="G121" i="7"/>
  <c r="Z121" i="7" s="1"/>
  <c r="AA121" i="7" s="1"/>
  <c r="G122" i="7"/>
  <c r="Z122" i="7" s="1"/>
  <c r="AA122" i="7" s="1"/>
  <c r="G123" i="7"/>
  <c r="Z123" i="7" s="1"/>
  <c r="AA123" i="7" s="1"/>
  <c r="G124" i="7"/>
  <c r="G125" i="7"/>
  <c r="Z125" i="7" s="1"/>
  <c r="AA125" i="7" s="1"/>
  <c r="G126" i="7"/>
  <c r="G142" i="7"/>
  <c r="Z142" i="7" s="1"/>
  <c r="AA142" i="7" s="1"/>
  <c r="F143" i="7"/>
  <c r="G153" i="7"/>
  <c r="Z153" i="7" s="1"/>
  <c r="AA153" i="7" s="1"/>
  <c r="F154" i="7"/>
  <c r="F165" i="7"/>
  <c r="G174" i="7"/>
  <c r="Z174" i="7" s="1"/>
  <c r="AA174" i="7" s="1"/>
  <c r="G183" i="7"/>
  <c r="Z183" i="7" s="1"/>
  <c r="AA183" i="7" s="1"/>
  <c r="F184" i="7"/>
  <c r="G193" i="7"/>
  <c r="Z193" i="7" s="1"/>
  <c r="AA193" i="7" s="1"/>
  <c r="F194" i="7"/>
  <c r="F203" i="7"/>
  <c r="Y203" i="7" s="1"/>
  <c r="G211" i="7"/>
  <c r="Z211" i="7" s="1"/>
  <c r="AA211" i="7" s="1"/>
  <c r="F212" i="7"/>
  <c r="G220" i="7"/>
  <c r="G230" i="7"/>
  <c r="Z230" i="7" s="1"/>
  <c r="AA230" i="7" s="1"/>
  <c r="F231" i="7"/>
  <c r="G241" i="7"/>
  <c r="Z241" i="7" s="1"/>
  <c r="AA241" i="7" s="1"/>
  <c r="F242" i="7"/>
  <c r="G249" i="7"/>
  <c r="Z249" i="7" s="1"/>
  <c r="AA249" i="7" s="1"/>
  <c r="F250" i="7"/>
  <c r="G260" i="7"/>
  <c r="Z260" i="7" s="1"/>
  <c r="AA260" i="7" s="1"/>
  <c r="G271" i="7"/>
  <c r="F272" i="7"/>
  <c r="Y272" i="7" s="1"/>
  <c r="G282" i="7"/>
  <c r="F283" i="7"/>
  <c r="G294" i="7"/>
  <c r="Z294" i="7" s="1"/>
  <c r="AA294" i="7" s="1"/>
  <c r="F295" i="7"/>
  <c r="Y295" i="7" s="1"/>
  <c r="G305" i="7"/>
  <c r="Z305" i="7" s="1"/>
  <c r="AA305" i="7" s="1"/>
  <c r="F306" i="7"/>
  <c r="F22" i="7"/>
  <c r="F32" i="7"/>
  <c r="Y32" i="7" s="1"/>
  <c r="G33" i="7"/>
  <c r="Z33" i="7" s="1"/>
  <c r="AA33" i="7" s="1"/>
  <c r="F44" i="7"/>
  <c r="G45" i="7"/>
  <c r="F56" i="7"/>
  <c r="G57" i="7"/>
  <c r="Z57" i="7" s="1"/>
  <c r="AA57" i="7" s="1"/>
  <c r="F68" i="7"/>
  <c r="G69" i="7"/>
  <c r="F80" i="7"/>
  <c r="G81" i="7"/>
  <c r="F94" i="7"/>
  <c r="G95" i="7"/>
  <c r="F109" i="7"/>
  <c r="Y109" i="7" s="1"/>
  <c r="G110" i="7"/>
  <c r="Z110" i="7" s="1"/>
  <c r="AA110" i="7" s="1"/>
  <c r="G143" i="7"/>
  <c r="Z143" i="7" s="1"/>
  <c r="AA143" i="7" s="1"/>
  <c r="F144" i="7"/>
  <c r="G154" i="7"/>
  <c r="Z154" i="7" s="1"/>
  <c r="AA154" i="7" s="1"/>
  <c r="F155" i="7"/>
  <c r="G165" i="7"/>
  <c r="Z165" i="7" s="1"/>
  <c r="AA165" i="7" s="1"/>
  <c r="F166" i="7"/>
  <c r="F175" i="7"/>
  <c r="Y175" i="7" s="1"/>
  <c r="G184" i="7"/>
  <c r="F185" i="7"/>
  <c r="G194" i="7"/>
  <c r="Z194" i="7" s="1"/>
  <c r="AA194" i="7" s="1"/>
  <c r="F195" i="7"/>
  <c r="G203" i="7"/>
  <c r="Z203" i="7" s="1"/>
  <c r="AA203" i="7" s="1"/>
  <c r="F204" i="7"/>
  <c r="G212" i="7"/>
  <c r="F221" i="7"/>
  <c r="Y221" i="7" s="1"/>
  <c r="G231" i="7"/>
  <c r="Z231" i="7" s="1"/>
  <c r="AA231" i="7" s="1"/>
  <c r="F232" i="7"/>
  <c r="G242" i="7"/>
  <c r="F243" i="7"/>
  <c r="Y243" i="7" s="1"/>
  <c r="G250" i="7"/>
  <c r="Z250" i="7" s="1"/>
  <c r="AA250" i="7" s="1"/>
  <c r="F251" i="7"/>
  <c r="F261" i="7"/>
  <c r="G272" i="7"/>
  <c r="Z272" i="7" s="1"/>
  <c r="AA272" i="7" s="1"/>
  <c r="F273" i="7"/>
  <c r="G283" i="7"/>
  <c r="Z283" i="7" s="1"/>
  <c r="AA283" i="7" s="1"/>
  <c r="F284" i="7"/>
  <c r="G295" i="7"/>
  <c r="Z295" i="7" s="1"/>
  <c r="AA295" i="7" s="1"/>
  <c r="G306" i="7"/>
  <c r="Z306" i="7" s="1"/>
  <c r="AA306" i="7" s="1"/>
  <c r="F307" i="7"/>
  <c r="F31" i="7"/>
  <c r="G32" i="7"/>
  <c r="F43" i="7"/>
  <c r="G44" i="7"/>
  <c r="F55" i="7"/>
  <c r="G56" i="7"/>
  <c r="Z56" i="7" s="1"/>
  <c r="AA56" i="7" s="1"/>
  <c r="F16" i="7"/>
  <c r="F21" i="7"/>
  <c r="F30" i="7"/>
  <c r="G31" i="7"/>
  <c r="F42" i="7"/>
  <c r="G43" i="7"/>
  <c r="F54" i="7"/>
  <c r="G55" i="7"/>
  <c r="Z55" i="7" s="1"/>
  <c r="AA55" i="7" s="1"/>
  <c r="F66" i="7"/>
  <c r="G67" i="7"/>
  <c r="F78" i="7"/>
  <c r="G79" i="7"/>
  <c r="Z79" i="7" s="1"/>
  <c r="AA79" i="7" s="1"/>
  <c r="F92" i="7"/>
  <c r="G93" i="7"/>
  <c r="Z93" i="7" s="1"/>
  <c r="AA93" i="7" s="1"/>
  <c r="F106" i="7"/>
  <c r="G107" i="7"/>
  <c r="G108" i="7"/>
  <c r="Z108" i="7" s="1"/>
  <c r="AA108" i="7" s="1"/>
  <c r="G145" i="7"/>
  <c r="F146" i="7"/>
  <c r="G156" i="7"/>
  <c r="F157" i="7"/>
  <c r="F167" i="7"/>
  <c r="G176" i="7"/>
  <c r="Z176" i="7" s="1"/>
  <c r="AA176" i="7" s="1"/>
  <c r="F177" i="7"/>
  <c r="Y177" i="7" s="1"/>
  <c r="G186" i="7"/>
  <c r="Z186" i="7" s="1"/>
  <c r="AA186" i="7" s="1"/>
  <c r="F187" i="7"/>
  <c r="G196" i="7"/>
  <c r="F205" i="7"/>
  <c r="G213" i="7"/>
  <c r="Z213" i="7" s="1"/>
  <c r="AA213" i="7" s="1"/>
  <c r="F214" i="7"/>
  <c r="G222" i="7"/>
  <c r="Z222" i="7" s="1"/>
  <c r="AA222" i="7" s="1"/>
  <c r="G233" i="7"/>
  <c r="F234" i="7"/>
  <c r="F244" i="7"/>
  <c r="G252" i="7"/>
  <c r="G262" i="7"/>
  <c r="F263" i="7"/>
  <c r="G274" i="7"/>
  <c r="Z274" i="7" s="1"/>
  <c r="AA274" i="7" s="1"/>
  <c r="F275" i="7"/>
  <c r="G285" i="7"/>
  <c r="Z285" i="7" s="1"/>
  <c r="AA285" i="7" s="1"/>
  <c r="F286" i="7"/>
  <c r="G296" i="7"/>
  <c r="Z296" i="7" s="1"/>
  <c r="AA296" i="7" s="1"/>
  <c r="F297" i="7"/>
  <c r="G308" i="7"/>
  <c r="Z308" i="7" s="1"/>
  <c r="AA308" i="7" s="1"/>
  <c r="F309" i="7"/>
  <c r="G16" i="7"/>
  <c r="Z16" i="7" s="1"/>
  <c r="AA16" i="7" s="1"/>
  <c r="G21" i="7"/>
  <c r="Z21" i="7" s="1"/>
  <c r="AA21" i="7" s="1"/>
  <c r="F29" i="7"/>
  <c r="G30" i="7"/>
  <c r="Z30" i="7" s="1"/>
  <c r="AA30" i="7" s="1"/>
  <c r="F41" i="7"/>
  <c r="G42" i="7"/>
  <c r="Z42" i="7" s="1"/>
  <c r="AA42" i="7" s="1"/>
  <c r="F53" i="7"/>
  <c r="G54" i="7"/>
  <c r="Z54" i="7" s="1"/>
  <c r="AA54" i="7" s="1"/>
  <c r="F65" i="7"/>
  <c r="G66" i="7"/>
  <c r="Z66" i="7" s="1"/>
  <c r="AA66" i="7" s="1"/>
  <c r="F77" i="7"/>
  <c r="Y77" i="7" s="1"/>
  <c r="G78" i="7"/>
  <c r="Z78" i="7" s="1"/>
  <c r="AA78" i="7" s="1"/>
  <c r="F91" i="7"/>
  <c r="G92" i="7"/>
  <c r="Z92" i="7" s="1"/>
  <c r="AA92" i="7" s="1"/>
  <c r="F105" i="7"/>
  <c r="G106" i="7"/>
  <c r="Z106" i="7" s="1"/>
  <c r="AA106" i="7" s="1"/>
  <c r="G146" i="7"/>
  <c r="Z146" i="7" s="1"/>
  <c r="AA146" i="7" s="1"/>
  <c r="F147" i="7"/>
  <c r="G157" i="7"/>
  <c r="Z157" i="7" s="1"/>
  <c r="AA157" i="7" s="1"/>
  <c r="F158" i="7"/>
  <c r="G167" i="7"/>
  <c r="Z167" i="7" s="1"/>
  <c r="AA167" i="7" s="1"/>
  <c r="F168" i="7"/>
  <c r="G177" i="7"/>
  <c r="Z177" i="7" s="1"/>
  <c r="AA177" i="7" s="1"/>
  <c r="F178" i="7"/>
  <c r="G187" i="7"/>
  <c r="F188" i="7"/>
  <c r="F197" i="7"/>
  <c r="Y197" i="7" s="1"/>
  <c r="G205" i="7"/>
  <c r="F206" i="7"/>
  <c r="G214" i="7"/>
  <c r="F223" i="7"/>
  <c r="Y223" i="7" s="1"/>
  <c r="G234" i="7"/>
  <c r="F235" i="7"/>
  <c r="G244" i="7"/>
  <c r="Z244" i="7" s="1"/>
  <c r="AA244" i="7" s="1"/>
  <c r="F253" i="7"/>
  <c r="Y253" i="7" s="1"/>
  <c r="G263" i="7"/>
  <c r="Z263" i="7" s="1"/>
  <c r="AA263" i="7" s="1"/>
  <c r="F264" i="7"/>
  <c r="G275" i="7"/>
  <c r="Z275" i="7" s="1"/>
  <c r="AA275" i="7" s="1"/>
  <c r="F276" i="7"/>
  <c r="G286" i="7"/>
  <c r="Z286" i="7" s="1"/>
  <c r="AA286" i="7" s="1"/>
  <c r="F287" i="7"/>
  <c r="G297" i="7"/>
  <c r="Z297" i="7" s="1"/>
  <c r="AA297" i="7" s="1"/>
  <c r="F298" i="7"/>
  <c r="G309" i="7"/>
  <c r="Z309" i="7" s="1"/>
  <c r="AA309" i="7" s="1"/>
  <c r="F310" i="7"/>
  <c r="F28" i="7"/>
  <c r="G29" i="7"/>
  <c r="Z29" i="7" s="1"/>
  <c r="AA29" i="7" s="1"/>
  <c r="F40" i="7"/>
  <c r="G41" i="7"/>
  <c r="Z41" i="7" s="1"/>
  <c r="AA41" i="7" s="1"/>
  <c r="F52" i="7"/>
  <c r="G53" i="7"/>
  <c r="Z53" i="7" s="1"/>
  <c r="AA53" i="7" s="1"/>
  <c r="F64" i="7"/>
  <c r="G65" i="7"/>
  <c r="Z65" i="7" s="1"/>
  <c r="AA65" i="7" s="1"/>
  <c r="F76" i="7"/>
  <c r="G77" i="7"/>
  <c r="F90" i="7"/>
  <c r="G91" i="7"/>
  <c r="Z91" i="7" s="1"/>
  <c r="AA91" i="7" s="1"/>
  <c r="F104" i="7"/>
  <c r="G105" i="7"/>
  <c r="G147" i="7"/>
  <c r="F148" i="7"/>
  <c r="G158" i="7"/>
  <c r="Z158" i="7" s="1"/>
  <c r="AA158" i="7" s="1"/>
  <c r="F159" i="7"/>
  <c r="G168" i="7"/>
  <c r="Z168" i="7" s="1"/>
  <c r="AA168" i="7" s="1"/>
  <c r="F169" i="7"/>
  <c r="G178" i="7"/>
  <c r="Z178" i="7" s="1"/>
  <c r="AA178" i="7" s="1"/>
  <c r="F179" i="7"/>
  <c r="G188" i="7"/>
  <c r="Z188" i="7" s="1"/>
  <c r="AA188" i="7" s="1"/>
  <c r="G197" i="7"/>
  <c r="F198" i="7"/>
  <c r="G206" i="7"/>
  <c r="Z206" i="7" s="1"/>
  <c r="AA206" i="7" s="1"/>
  <c r="F215" i="7"/>
  <c r="G223" i="7"/>
  <c r="F224" i="7"/>
  <c r="G235" i="7"/>
  <c r="Z235" i="7" s="1"/>
  <c r="AA235" i="7" s="1"/>
  <c r="F236" i="7"/>
  <c r="F245" i="7"/>
  <c r="G253" i="7"/>
  <c r="F254" i="7"/>
  <c r="Y254" i="7" s="1"/>
  <c r="G264" i="7"/>
  <c r="Z264" i="7" s="1"/>
  <c r="AA264" i="7" s="1"/>
  <c r="F265" i="7"/>
  <c r="G276" i="7"/>
  <c r="Z276" i="7" s="1"/>
  <c r="AA276" i="7" s="1"/>
  <c r="F277" i="7"/>
  <c r="Y277" i="7" s="1"/>
  <c r="G287" i="7"/>
  <c r="Z287" i="7" s="1"/>
  <c r="AA287" i="7" s="1"/>
  <c r="F288" i="7"/>
  <c r="G298" i="7"/>
  <c r="Z298" i="7" s="1"/>
  <c r="AA298" i="7" s="1"/>
  <c r="F299" i="7"/>
  <c r="G310" i="7"/>
  <c r="Z310" i="7" s="1"/>
  <c r="AA310" i="7" s="1"/>
  <c r="F311" i="7"/>
  <c r="F20" i="7"/>
  <c r="F27" i="7"/>
  <c r="Y27" i="7" s="1"/>
  <c r="G28" i="7"/>
  <c r="Z28" i="7" s="1"/>
  <c r="AA28" i="7" s="1"/>
  <c r="F39" i="7"/>
  <c r="G40" i="7"/>
  <c r="Z40" i="7" s="1"/>
  <c r="AA40" i="7" s="1"/>
  <c r="F51" i="7"/>
  <c r="Y51" i="7" s="1"/>
  <c r="G52" i="7"/>
  <c r="Z52" i="7" s="1"/>
  <c r="AA52" i="7" s="1"/>
  <c r="F63" i="7"/>
  <c r="G64" i="7"/>
  <c r="Z64" i="7" s="1"/>
  <c r="AA64" i="7" s="1"/>
  <c r="F75" i="7"/>
  <c r="G76" i="7"/>
  <c r="Z76" i="7" s="1"/>
  <c r="AA76" i="7" s="1"/>
  <c r="F87" i="7"/>
  <c r="F88" i="7"/>
  <c r="F89" i="7"/>
  <c r="Y89" i="7" s="1"/>
  <c r="G90" i="7"/>
  <c r="Z90" i="7" s="1"/>
  <c r="AA90" i="7" s="1"/>
  <c r="F103" i="7"/>
  <c r="G104" i="7"/>
  <c r="G148" i="7"/>
  <c r="Z148" i="7" s="1"/>
  <c r="AA148" i="7" s="1"/>
  <c r="G159" i="7"/>
  <c r="Z159" i="7" s="1"/>
  <c r="AA159" i="7" s="1"/>
  <c r="F160" i="7"/>
  <c r="G169" i="7"/>
  <c r="Z169" i="7" s="1"/>
  <c r="AA169" i="7" s="1"/>
  <c r="F170" i="7"/>
  <c r="Y170" i="7" s="1"/>
  <c r="G179" i="7"/>
  <c r="F180" i="7"/>
  <c r="F189" i="7"/>
  <c r="G198" i="7"/>
  <c r="Z198" i="7" s="1"/>
  <c r="AA198" i="7" s="1"/>
  <c r="F207" i="7"/>
  <c r="G215" i="7"/>
  <c r="F216" i="7"/>
  <c r="G224" i="7"/>
  <c r="F225" i="7"/>
  <c r="G236" i="7"/>
  <c r="Z236" i="7" s="1"/>
  <c r="AA236" i="7" s="1"/>
  <c r="G245" i="7"/>
  <c r="Z245" i="7" s="1"/>
  <c r="AA245" i="7" s="1"/>
  <c r="F246" i="7"/>
  <c r="G254" i="7"/>
  <c r="Z254" i="7" s="1"/>
  <c r="AA254" i="7" s="1"/>
  <c r="F255" i="7"/>
  <c r="G265" i="7"/>
  <c r="Z265" i="7" s="1"/>
  <c r="AA265" i="7" s="1"/>
  <c r="F266" i="7"/>
  <c r="Y266" i="7" s="1"/>
  <c r="G277" i="7"/>
  <c r="Z277" i="7" s="1"/>
  <c r="AA277" i="7" s="1"/>
  <c r="F278" i="7"/>
  <c r="G288" i="7"/>
  <c r="Z288" i="7" s="1"/>
  <c r="AA288" i="7" s="1"/>
  <c r="F289" i="7"/>
  <c r="Y289" i="7" s="1"/>
  <c r="G299" i="7"/>
  <c r="Z299" i="7" s="1"/>
  <c r="AA299" i="7" s="1"/>
  <c r="F300" i="7"/>
  <c r="G311" i="7"/>
  <c r="Z311" i="7" s="1"/>
  <c r="AA311" i="7" s="1"/>
  <c r="F312" i="7"/>
  <c r="Y312" i="7" s="1"/>
  <c r="G68" i="7"/>
  <c r="Z68" i="7" s="1"/>
  <c r="AA68" i="7" s="1"/>
  <c r="G155" i="7"/>
  <c r="F156" i="7"/>
  <c r="G175" i="7"/>
  <c r="F176" i="7"/>
  <c r="G251" i="7"/>
  <c r="Z251" i="7" s="1"/>
  <c r="AA251" i="7" s="1"/>
  <c r="F252" i="7"/>
  <c r="G289" i="7"/>
  <c r="Z289" i="7" s="1"/>
  <c r="AA289" i="7" s="1"/>
  <c r="F290" i="7"/>
  <c r="G321" i="7"/>
  <c r="Z321" i="7" s="1"/>
  <c r="AA321" i="7" s="1"/>
  <c r="F322" i="7"/>
  <c r="F332" i="7"/>
  <c r="Y332" i="7" s="1"/>
  <c r="G342" i="7"/>
  <c r="Z342" i="7" s="1"/>
  <c r="AA342" i="7" s="1"/>
  <c r="F343" i="7"/>
  <c r="G353" i="7"/>
  <c r="F354" i="7"/>
  <c r="G365" i="7"/>
  <c r="Z365" i="7" s="1"/>
  <c r="AA365" i="7" s="1"/>
  <c r="F366" i="7"/>
  <c r="G377" i="7"/>
  <c r="F378" i="7"/>
  <c r="Y378" i="7" s="1"/>
  <c r="G388" i="7"/>
  <c r="Z388" i="7" s="1"/>
  <c r="AA388" i="7" s="1"/>
  <c r="G398" i="7"/>
  <c r="Z398" i="7" s="1"/>
  <c r="AA398" i="7" s="1"/>
  <c r="F399" i="7"/>
  <c r="G409" i="7"/>
  <c r="Z409" i="7" s="1"/>
  <c r="AA409" i="7" s="1"/>
  <c r="F410" i="7"/>
  <c r="G420" i="7"/>
  <c r="Z420" i="7" s="1"/>
  <c r="AA420" i="7" s="1"/>
  <c r="F421" i="7"/>
  <c r="G430" i="7"/>
  <c r="Z430" i="7" s="1"/>
  <c r="AA430" i="7" s="1"/>
  <c r="F431" i="7"/>
  <c r="G441" i="7"/>
  <c r="Z441" i="7" s="1"/>
  <c r="AA441" i="7" s="1"/>
  <c r="G452" i="7"/>
  <c r="F453" i="7"/>
  <c r="Y453" i="7" s="1"/>
  <c r="G462" i="7"/>
  <c r="F463" i="7"/>
  <c r="G473" i="7"/>
  <c r="Z473" i="7" s="1"/>
  <c r="AA473" i="7" s="1"/>
  <c r="F474" i="7"/>
  <c r="G483" i="7"/>
  <c r="Z483" i="7" s="1"/>
  <c r="AA483" i="7" s="1"/>
  <c r="F484" i="7"/>
  <c r="G494" i="7"/>
  <c r="Z494" i="7" s="1"/>
  <c r="AA494" i="7" s="1"/>
  <c r="F495" i="7"/>
  <c r="G506" i="7"/>
  <c r="Z506" i="7" s="1"/>
  <c r="AA506" i="7" s="1"/>
  <c r="F507" i="7"/>
  <c r="G517" i="7"/>
  <c r="F518" i="7"/>
  <c r="Y518" i="7" s="1"/>
  <c r="G529" i="7"/>
  <c r="F530" i="7"/>
  <c r="G540" i="7"/>
  <c r="Z540" i="7" s="1"/>
  <c r="AA540" i="7" s="1"/>
  <c r="F541" i="7"/>
  <c r="Y541" i="7" s="1"/>
  <c r="G551" i="7"/>
  <c r="Z551" i="7" s="1"/>
  <c r="AA551" i="7" s="1"/>
  <c r="F552" i="7"/>
  <c r="G563" i="7"/>
  <c r="Z563" i="7" s="1"/>
  <c r="AA563" i="7" s="1"/>
  <c r="F564" i="7"/>
  <c r="G575" i="7"/>
  <c r="Z575" i="7" s="1"/>
  <c r="AA575" i="7" s="1"/>
  <c r="F576" i="7"/>
  <c r="G586" i="7"/>
  <c r="Z586" i="7" s="1"/>
  <c r="AA586" i="7" s="1"/>
  <c r="F587" i="7"/>
  <c r="G597" i="7"/>
  <c r="Z597" i="7" s="1"/>
  <c r="AA597" i="7" s="1"/>
  <c r="F50" i="7"/>
  <c r="G63" i="7"/>
  <c r="Z63" i="7" s="1"/>
  <c r="AA63" i="7" s="1"/>
  <c r="G232" i="7"/>
  <c r="Z232" i="7" s="1"/>
  <c r="AA232" i="7" s="1"/>
  <c r="F233" i="7"/>
  <c r="G322" i="7"/>
  <c r="F323" i="7"/>
  <c r="G332" i="7"/>
  <c r="F333" i="7"/>
  <c r="G343" i="7"/>
  <c r="F344" i="7"/>
  <c r="G354" i="7"/>
  <c r="Z354" i="7" s="1"/>
  <c r="AA354" i="7" s="1"/>
  <c r="F355" i="7"/>
  <c r="G366" i="7"/>
  <c r="Z366" i="7" s="1"/>
  <c r="AA366" i="7" s="1"/>
  <c r="F367" i="7"/>
  <c r="G378" i="7"/>
  <c r="Z378" i="7" s="1"/>
  <c r="AA378" i="7" s="1"/>
  <c r="F379" i="7"/>
  <c r="F389" i="7"/>
  <c r="G399" i="7"/>
  <c r="Z399" i="7" s="1"/>
  <c r="AA399" i="7" s="1"/>
  <c r="F400" i="7"/>
  <c r="Y400" i="7" s="1"/>
  <c r="G410" i="7"/>
  <c r="Z410" i="7" s="1"/>
  <c r="AA410" i="7" s="1"/>
  <c r="F411" i="7"/>
  <c r="G421" i="7"/>
  <c r="Z421" i="7" s="1"/>
  <c r="AA421" i="7" s="1"/>
  <c r="F422" i="7"/>
  <c r="Y422" i="7" s="1"/>
  <c r="G431" i="7"/>
  <c r="Z431" i="7" s="1"/>
  <c r="AA431" i="7" s="1"/>
  <c r="F432" i="7"/>
  <c r="F442" i="7"/>
  <c r="G453" i="7"/>
  <c r="Z453" i="7" s="1"/>
  <c r="AA453" i="7" s="1"/>
  <c r="F454" i="7"/>
  <c r="G463" i="7"/>
  <c r="Z463" i="7" s="1"/>
  <c r="AA463" i="7" s="1"/>
  <c r="F464" i="7"/>
  <c r="G474" i="7"/>
  <c r="Z474" i="7" s="1"/>
  <c r="AA474" i="7" s="1"/>
  <c r="F475" i="7"/>
  <c r="G484" i="7"/>
  <c r="F485" i="7"/>
  <c r="G495" i="7"/>
  <c r="Z495" i="7" s="1"/>
  <c r="AA495" i="7" s="1"/>
  <c r="F496" i="7"/>
  <c r="G507" i="7"/>
  <c r="Z507" i="7" s="1"/>
  <c r="AA507" i="7" s="1"/>
  <c r="F508" i="7"/>
  <c r="G518" i="7"/>
  <c r="F519" i="7"/>
  <c r="G530" i="7"/>
  <c r="Z530" i="7" s="1"/>
  <c r="AA530" i="7" s="1"/>
  <c r="F531" i="7"/>
  <c r="G541" i="7"/>
  <c r="Z541" i="7" s="1"/>
  <c r="AA541" i="7" s="1"/>
  <c r="F542" i="7"/>
  <c r="G552" i="7"/>
  <c r="F553" i="7"/>
  <c r="G564" i="7"/>
  <c r="Z564" i="7" s="1"/>
  <c r="AA564" i="7" s="1"/>
  <c r="F565" i="7"/>
  <c r="G576" i="7"/>
  <c r="Z576" i="7" s="1"/>
  <c r="AA576" i="7" s="1"/>
  <c r="G587" i="7"/>
  <c r="Z587" i="7" s="1"/>
  <c r="AA587" i="7" s="1"/>
  <c r="F588" i="7"/>
  <c r="Y588" i="7" s="1"/>
  <c r="F67" i="7"/>
  <c r="G170" i="7"/>
  <c r="Z170" i="7" s="1"/>
  <c r="AA170" i="7" s="1"/>
  <c r="F171" i="7"/>
  <c r="G323" i="7"/>
  <c r="F324" i="7"/>
  <c r="G333" i="7"/>
  <c r="F334" i="7"/>
  <c r="G344" i="7"/>
  <c r="Z344" i="7" s="1"/>
  <c r="AA344" i="7" s="1"/>
  <c r="F345" i="7"/>
  <c r="G355" i="7"/>
  <c r="F356" i="7"/>
  <c r="G367" i="7"/>
  <c r="F368" i="7"/>
  <c r="G379" i="7"/>
  <c r="F380" i="7"/>
  <c r="G389" i="7"/>
  <c r="F390" i="7"/>
  <c r="G400" i="7"/>
  <c r="Z400" i="7" s="1"/>
  <c r="AA400" i="7" s="1"/>
  <c r="F401" i="7"/>
  <c r="G411" i="7"/>
  <c r="Z411" i="7" s="1"/>
  <c r="AA411" i="7" s="1"/>
  <c r="F412" i="7"/>
  <c r="G422" i="7"/>
  <c r="Z422" i="7" s="1"/>
  <c r="AA422" i="7" s="1"/>
  <c r="G432" i="7"/>
  <c r="Z432" i="7" s="1"/>
  <c r="AA432" i="7" s="1"/>
  <c r="F433" i="7"/>
  <c r="Y433" i="7" s="1"/>
  <c r="G442" i="7"/>
  <c r="Z442" i="7" s="1"/>
  <c r="AA442" i="7" s="1"/>
  <c r="F443" i="7"/>
  <c r="G454" i="7"/>
  <c r="Z454" i="7" s="1"/>
  <c r="AA454" i="7" s="1"/>
  <c r="F455" i="7"/>
  <c r="G464" i="7"/>
  <c r="Z464" i="7" s="1"/>
  <c r="AA464" i="7" s="1"/>
  <c r="G475" i="7"/>
  <c r="Z475" i="7" s="1"/>
  <c r="AA475" i="7" s="1"/>
  <c r="F476" i="7"/>
  <c r="G485" i="7"/>
  <c r="F486" i="7"/>
  <c r="G496" i="7"/>
  <c r="Z496" i="7" s="1"/>
  <c r="AA496" i="7" s="1"/>
  <c r="F497" i="7"/>
  <c r="G508" i="7"/>
  <c r="Z508" i="7" s="1"/>
  <c r="AA508" i="7" s="1"/>
  <c r="F509" i="7"/>
  <c r="G519" i="7"/>
  <c r="Z519" i="7" s="1"/>
  <c r="AA519" i="7" s="1"/>
  <c r="F520" i="7"/>
  <c r="G531" i="7"/>
  <c r="Z531" i="7" s="1"/>
  <c r="AA531" i="7" s="1"/>
  <c r="F532" i="7"/>
  <c r="G542" i="7"/>
  <c r="Z542" i="7" s="1"/>
  <c r="AA542" i="7" s="1"/>
  <c r="F543" i="7"/>
  <c r="G553" i="7"/>
  <c r="Z553" i="7" s="1"/>
  <c r="AA553" i="7" s="1"/>
  <c r="F554" i="7"/>
  <c r="G565" i="7"/>
  <c r="Z565" i="7" s="1"/>
  <c r="AA565" i="7" s="1"/>
  <c r="F566" i="7"/>
  <c r="F62" i="7"/>
  <c r="Y62" i="7" s="1"/>
  <c r="G189" i="7"/>
  <c r="Z189" i="7" s="1"/>
  <c r="AA189" i="7" s="1"/>
  <c r="F190" i="7"/>
  <c r="G207" i="7"/>
  <c r="Z207" i="7" s="1"/>
  <c r="AA207" i="7" s="1"/>
  <c r="F208" i="7"/>
  <c r="Y208" i="7" s="1"/>
  <c r="G266" i="7"/>
  <c r="Z266" i="7" s="1"/>
  <c r="AA266" i="7" s="1"/>
  <c r="F267" i="7"/>
  <c r="G284" i="7"/>
  <c r="Z284" i="7" s="1"/>
  <c r="AA284" i="7" s="1"/>
  <c r="F285" i="7"/>
  <c r="Y285" i="7" s="1"/>
  <c r="G324" i="7"/>
  <c r="Z324" i="7" s="1"/>
  <c r="AA324" i="7" s="1"/>
  <c r="F325" i="7"/>
  <c r="G334" i="7"/>
  <c r="Z334" i="7" s="1"/>
  <c r="AA334" i="7" s="1"/>
  <c r="F335" i="7"/>
  <c r="G345" i="7"/>
  <c r="Z345" i="7" s="1"/>
  <c r="AA345" i="7" s="1"/>
  <c r="G356" i="7"/>
  <c r="Z356" i="7" s="1"/>
  <c r="AA356" i="7" s="1"/>
  <c r="F357" i="7"/>
  <c r="G368" i="7"/>
  <c r="Z368" i="7" s="1"/>
  <c r="AA368" i="7" s="1"/>
  <c r="F369" i="7"/>
  <c r="G380" i="7"/>
  <c r="Z380" i="7" s="1"/>
  <c r="AA380" i="7" s="1"/>
  <c r="G390" i="7"/>
  <c r="Z390" i="7" s="1"/>
  <c r="AA390" i="7" s="1"/>
  <c r="F391" i="7"/>
  <c r="Y391" i="7" s="1"/>
  <c r="G401" i="7"/>
  <c r="Z401" i="7" s="1"/>
  <c r="AA401" i="7" s="1"/>
  <c r="F402" i="7"/>
  <c r="G412" i="7"/>
  <c r="Z412" i="7" s="1"/>
  <c r="AA412" i="7" s="1"/>
  <c r="F423" i="7"/>
  <c r="Y423" i="7" s="1"/>
  <c r="G433" i="7"/>
  <c r="Z433" i="7" s="1"/>
  <c r="AA433" i="7" s="1"/>
  <c r="F434" i="7"/>
  <c r="G443" i="7"/>
  <c r="Z443" i="7" s="1"/>
  <c r="AA443" i="7" s="1"/>
  <c r="F444" i="7"/>
  <c r="G455" i="7"/>
  <c r="F465" i="7"/>
  <c r="G476" i="7"/>
  <c r="Z476" i="7" s="1"/>
  <c r="AA476" i="7" s="1"/>
  <c r="G486" i="7"/>
  <c r="Z486" i="7" s="1"/>
  <c r="AA486" i="7" s="1"/>
  <c r="F487" i="7"/>
  <c r="G497" i="7"/>
  <c r="Z497" i="7" s="1"/>
  <c r="AA497" i="7" s="1"/>
  <c r="F498" i="7"/>
  <c r="G509" i="7"/>
  <c r="F510" i="7"/>
  <c r="G520" i="7"/>
  <c r="F521" i="7"/>
  <c r="G532" i="7"/>
  <c r="Z532" i="7" s="1"/>
  <c r="AA532" i="7" s="1"/>
  <c r="F533" i="7"/>
  <c r="G543" i="7"/>
  <c r="Z543" i="7" s="1"/>
  <c r="AA543" i="7" s="1"/>
  <c r="F544" i="7"/>
  <c r="G554" i="7"/>
  <c r="Z554" i="7" s="1"/>
  <c r="AA554" i="7" s="1"/>
  <c r="F555" i="7"/>
  <c r="G566" i="7"/>
  <c r="Z566" i="7" s="1"/>
  <c r="AA566" i="7" s="1"/>
  <c r="F567" i="7"/>
  <c r="G577" i="7"/>
  <c r="Z577" i="7" s="1"/>
  <c r="AA577" i="7" s="1"/>
  <c r="F578" i="7"/>
  <c r="G589" i="7"/>
  <c r="Z589" i="7" s="1"/>
  <c r="AA589" i="7" s="1"/>
  <c r="F590" i="7"/>
  <c r="G80" i="7"/>
  <c r="Z80" i="7" s="1"/>
  <c r="AA80" i="7" s="1"/>
  <c r="G246" i="7"/>
  <c r="G300" i="7"/>
  <c r="Z300" i="7" s="1"/>
  <c r="AA300" i="7" s="1"/>
  <c r="F301" i="7"/>
  <c r="G325" i="7"/>
  <c r="Z325" i="7" s="1"/>
  <c r="AA325" i="7" s="1"/>
  <c r="F326" i="7"/>
  <c r="G335" i="7"/>
  <c r="Z335" i="7" s="1"/>
  <c r="AA335" i="7" s="1"/>
  <c r="F336" i="7"/>
  <c r="F346" i="7"/>
  <c r="Y346" i="7" s="1"/>
  <c r="G357" i="7"/>
  <c r="Z357" i="7" s="1"/>
  <c r="AA357" i="7" s="1"/>
  <c r="F358" i="7"/>
  <c r="G369" i="7"/>
  <c r="Z369" i="7" s="1"/>
  <c r="AA369" i="7" s="1"/>
  <c r="F370" i="7"/>
  <c r="Y370" i="7" s="1"/>
  <c r="F381" i="7"/>
  <c r="G391" i="7"/>
  <c r="Z391" i="7" s="1"/>
  <c r="AA391" i="7" s="1"/>
  <c r="F392" i="7"/>
  <c r="G402" i="7"/>
  <c r="F403" i="7"/>
  <c r="F413" i="7"/>
  <c r="G423" i="7"/>
  <c r="F424" i="7"/>
  <c r="G434" i="7"/>
  <c r="Z434" i="7" s="1"/>
  <c r="AA434" i="7" s="1"/>
  <c r="F435" i="7"/>
  <c r="G444" i="7"/>
  <c r="F445" i="7"/>
  <c r="Y445" i="7" s="1"/>
  <c r="F456" i="7"/>
  <c r="G465" i="7"/>
  <c r="Z465" i="7" s="1"/>
  <c r="AA465" i="7" s="1"/>
  <c r="F466" i="7"/>
  <c r="F477" i="7"/>
  <c r="G487" i="7"/>
  <c r="Z487" i="7" s="1"/>
  <c r="AA487" i="7" s="1"/>
  <c r="F488" i="7"/>
  <c r="G498" i="7"/>
  <c r="Z498" i="7" s="1"/>
  <c r="AA498" i="7" s="1"/>
  <c r="F499" i="7"/>
  <c r="Y499" i="7" s="1"/>
  <c r="G510" i="7"/>
  <c r="Z510" i="7" s="1"/>
  <c r="AA510" i="7" s="1"/>
  <c r="F511" i="7"/>
  <c r="G521" i="7"/>
  <c r="Z521" i="7" s="1"/>
  <c r="AA521" i="7" s="1"/>
  <c r="F522" i="7"/>
  <c r="Y522" i="7" s="1"/>
  <c r="G533" i="7"/>
  <c r="F534" i="7"/>
  <c r="G544" i="7"/>
  <c r="Z544" i="7" s="1"/>
  <c r="AA544" i="7" s="1"/>
  <c r="F545" i="7"/>
  <c r="Y545" i="7" s="1"/>
  <c r="G555" i="7"/>
  <c r="Z555" i="7" s="1"/>
  <c r="AA555" i="7" s="1"/>
  <c r="F556" i="7"/>
  <c r="G567" i="7"/>
  <c r="Z567" i="7" s="1"/>
  <c r="AA567" i="7" s="1"/>
  <c r="F568" i="7"/>
  <c r="Y568" i="7" s="1"/>
  <c r="G578" i="7"/>
  <c r="Z578" i="7" s="1"/>
  <c r="AA578" i="7" s="1"/>
  <c r="F579" i="7"/>
  <c r="G590" i="7"/>
  <c r="Z590" i="7" s="1"/>
  <c r="AA590" i="7" s="1"/>
  <c r="F591" i="7"/>
  <c r="Y591" i="7" s="1"/>
  <c r="G75" i="7"/>
  <c r="Z75" i="7" s="1"/>
  <c r="AA75" i="7" s="1"/>
  <c r="G109" i="7"/>
  <c r="F149" i="7"/>
  <c r="G166" i="7"/>
  <c r="Z166" i="7" s="1"/>
  <c r="AA166" i="7" s="1"/>
  <c r="G185" i="7"/>
  <c r="Z185" i="7" s="1"/>
  <c r="AA185" i="7" s="1"/>
  <c r="F186" i="7"/>
  <c r="G204" i="7"/>
  <c r="Z204" i="7" s="1"/>
  <c r="AA204" i="7" s="1"/>
  <c r="G243" i="7"/>
  <c r="Z243" i="7" s="1"/>
  <c r="AA243" i="7" s="1"/>
  <c r="G326" i="7"/>
  <c r="Z326" i="7" s="1"/>
  <c r="AA326" i="7" s="1"/>
  <c r="F327" i="7"/>
  <c r="G336" i="7"/>
  <c r="F337" i="7"/>
  <c r="Y337" i="7" s="1"/>
  <c r="G346" i="7"/>
  <c r="Z346" i="7" s="1"/>
  <c r="AA346" i="7" s="1"/>
  <c r="F347" i="7"/>
  <c r="G358" i="7"/>
  <c r="F359" i="7"/>
  <c r="Y359" i="7" s="1"/>
  <c r="G370" i="7"/>
  <c r="F371" i="7"/>
  <c r="G381" i="7"/>
  <c r="Z381" i="7" s="1"/>
  <c r="AA381" i="7" s="1"/>
  <c r="F382" i="7"/>
  <c r="Y382" i="7" s="1"/>
  <c r="G392" i="7"/>
  <c r="Z392" i="7" s="1"/>
  <c r="AA392" i="7" s="1"/>
  <c r="F393" i="7"/>
  <c r="G403" i="7"/>
  <c r="Z403" i="7" s="1"/>
  <c r="AA403" i="7" s="1"/>
  <c r="F404" i="7"/>
  <c r="Y404" i="7" s="1"/>
  <c r="G413" i="7"/>
  <c r="Z413" i="7" s="1"/>
  <c r="AA413" i="7" s="1"/>
  <c r="F414" i="7"/>
  <c r="G424" i="7"/>
  <c r="Z424" i="7" s="1"/>
  <c r="AA424" i="7" s="1"/>
  <c r="F425" i="7"/>
  <c r="G435" i="7"/>
  <c r="Z435" i="7" s="1"/>
  <c r="AA435" i="7" s="1"/>
  <c r="F436" i="7"/>
  <c r="G445" i="7"/>
  <c r="Z445" i="7" s="1"/>
  <c r="AA445" i="7" s="1"/>
  <c r="F446" i="7"/>
  <c r="Y446" i="7" s="1"/>
  <c r="G456" i="7"/>
  <c r="Z456" i="7" s="1"/>
  <c r="AA456" i="7" s="1"/>
  <c r="G466" i="7"/>
  <c r="F467" i="7"/>
  <c r="G477" i="7"/>
  <c r="Z477" i="7" s="1"/>
  <c r="AA477" i="7" s="1"/>
  <c r="F478" i="7"/>
  <c r="G488" i="7"/>
  <c r="F489" i="7"/>
  <c r="G499" i="7"/>
  <c r="Z499" i="7" s="1"/>
  <c r="AA499" i="7" s="1"/>
  <c r="F500" i="7"/>
  <c r="G511" i="7"/>
  <c r="Z511" i="7" s="1"/>
  <c r="AA511" i="7" s="1"/>
  <c r="F512" i="7"/>
  <c r="G522" i="7"/>
  <c r="Z522" i="7" s="1"/>
  <c r="AA522" i="7" s="1"/>
  <c r="F523" i="7"/>
  <c r="G534" i="7"/>
  <c r="Z534" i="7" s="1"/>
  <c r="AA534" i="7" s="1"/>
  <c r="F535" i="7"/>
  <c r="G545" i="7"/>
  <c r="G556" i="7"/>
  <c r="Z556" i="7" s="1"/>
  <c r="AA556" i="7" s="1"/>
  <c r="F557" i="7"/>
  <c r="G568" i="7"/>
  <c r="Z568" i="7" s="1"/>
  <c r="AA568" i="7" s="1"/>
  <c r="F569" i="7"/>
  <c r="Y569" i="7" s="1"/>
  <c r="G579" i="7"/>
  <c r="Z579" i="7" s="1"/>
  <c r="AA579" i="7" s="1"/>
  <c r="F580" i="7"/>
  <c r="G591" i="7"/>
  <c r="F592" i="7"/>
  <c r="Y592" i="7" s="1"/>
  <c r="G20" i="7"/>
  <c r="Z20" i="7" s="1"/>
  <c r="AA20" i="7" s="1"/>
  <c r="F79" i="7"/>
  <c r="G94" i="7"/>
  <c r="Z94" i="7" s="1"/>
  <c r="AA94" i="7" s="1"/>
  <c r="F130" i="7"/>
  <c r="Y130" i="7" s="1"/>
  <c r="G225" i="7"/>
  <c r="F226" i="7"/>
  <c r="G261" i="7"/>
  <c r="Z261" i="7" s="1"/>
  <c r="AA261" i="7" s="1"/>
  <c r="F262" i="7"/>
  <c r="F316" i="7"/>
  <c r="G327" i="7"/>
  <c r="Z327" i="7" s="1"/>
  <c r="AA327" i="7" s="1"/>
  <c r="G337" i="7"/>
  <c r="F338" i="7"/>
  <c r="Y338" i="7" s="1"/>
  <c r="G347" i="7"/>
  <c r="Z347" i="7" s="1"/>
  <c r="AA347" i="7" s="1"/>
  <c r="F348" i="7"/>
  <c r="G359" i="7"/>
  <c r="F360" i="7"/>
  <c r="Y360" i="7" s="1"/>
  <c r="G371" i="7"/>
  <c r="Z371" i="7" s="1"/>
  <c r="AA371" i="7" s="1"/>
  <c r="F372" i="7"/>
  <c r="G382" i="7"/>
  <c r="Z382" i="7" s="1"/>
  <c r="AA382" i="7" s="1"/>
  <c r="F383" i="7"/>
  <c r="Y383" i="7" s="1"/>
  <c r="G393" i="7"/>
  <c r="Z393" i="7" s="1"/>
  <c r="AA393" i="7" s="1"/>
  <c r="F394" i="7"/>
  <c r="G404" i="7"/>
  <c r="Z404" i="7" s="1"/>
  <c r="AA404" i="7" s="1"/>
  <c r="G414" i="7"/>
  <c r="Z414" i="7" s="1"/>
  <c r="AA414" i="7" s="1"/>
  <c r="F415" i="7"/>
  <c r="G425" i="7"/>
  <c r="Z425" i="7" s="1"/>
  <c r="AA425" i="7" s="1"/>
  <c r="F426" i="7"/>
  <c r="G436" i="7"/>
  <c r="Z436" i="7" s="1"/>
  <c r="AA436" i="7" s="1"/>
  <c r="F437" i="7"/>
  <c r="G446" i="7"/>
  <c r="Z446" i="7" s="1"/>
  <c r="AA446" i="7" s="1"/>
  <c r="F447" i="7"/>
  <c r="F457" i="7"/>
  <c r="Y457" i="7" s="1"/>
  <c r="G467" i="7"/>
  <c r="Z467" i="7" s="1"/>
  <c r="AA467" i="7" s="1"/>
  <c r="F468" i="7"/>
  <c r="G478" i="7"/>
  <c r="Z478" i="7" s="1"/>
  <c r="AA478" i="7" s="1"/>
  <c r="F479" i="7"/>
  <c r="Y479" i="7" s="1"/>
  <c r="G489" i="7"/>
  <c r="Z489" i="7" s="1"/>
  <c r="AA489" i="7" s="1"/>
  <c r="F490" i="7"/>
  <c r="G500" i="7"/>
  <c r="Z500" i="7" s="1"/>
  <c r="AA500" i="7" s="1"/>
  <c r="F501" i="7"/>
  <c r="Y501" i="7" s="1"/>
  <c r="G512" i="7"/>
  <c r="G523" i="7"/>
  <c r="Z523" i="7" s="1"/>
  <c r="AA523" i="7" s="1"/>
  <c r="F524" i="7"/>
  <c r="G535" i="7"/>
  <c r="Z535" i="7" s="1"/>
  <c r="AA535" i="7" s="1"/>
  <c r="F536" i="7"/>
  <c r="F546" i="7"/>
  <c r="G557" i="7"/>
  <c r="Z557" i="7" s="1"/>
  <c r="AA557" i="7" s="1"/>
  <c r="F558" i="7"/>
  <c r="Y558" i="7" s="1"/>
  <c r="G569" i="7"/>
  <c r="Z569" i="7" s="1"/>
  <c r="AA569" i="7" s="1"/>
  <c r="F570" i="7"/>
  <c r="G580" i="7"/>
  <c r="Z580" i="7" s="1"/>
  <c r="AA580" i="7" s="1"/>
  <c r="F581" i="7"/>
  <c r="G592" i="7"/>
  <c r="Z592" i="7" s="1"/>
  <c r="AA592" i="7" s="1"/>
  <c r="F593" i="7"/>
  <c r="G27" i="7"/>
  <c r="Z27" i="7" s="1"/>
  <c r="AA27" i="7" s="1"/>
  <c r="F74" i="7"/>
  <c r="G89" i="7"/>
  <c r="Z89" i="7" s="1"/>
  <c r="AA89" i="7" s="1"/>
  <c r="G103" i="7"/>
  <c r="Z103" i="7" s="1"/>
  <c r="AA103" i="7" s="1"/>
  <c r="F108" i="7"/>
  <c r="G278" i="7"/>
  <c r="F279" i="7"/>
  <c r="F296" i="7"/>
  <c r="G316" i="7"/>
  <c r="Z316" i="7" s="1"/>
  <c r="AA316" i="7" s="1"/>
  <c r="F317" i="7"/>
  <c r="Y317" i="7" s="1"/>
  <c r="F328" i="7"/>
  <c r="G338" i="7"/>
  <c r="Z338" i="7" s="1"/>
  <c r="AA338" i="7" s="1"/>
  <c r="F339" i="7"/>
  <c r="G348" i="7"/>
  <c r="Z348" i="7" s="1"/>
  <c r="AA348" i="7" s="1"/>
  <c r="F349" i="7"/>
  <c r="G360" i="7"/>
  <c r="Z360" i="7" s="1"/>
  <c r="AA360" i="7" s="1"/>
  <c r="F361" i="7"/>
  <c r="G372" i="7"/>
  <c r="Z372" i="7" s="1"/>
  <c r="AA372" i="7" s="1"/>
  <c r="F373" i="7"/>
  <c r="G383" i="7"/>
  <c r="F384" i="7"/>
  <c r="G394" i="7"/>
  <c r="Z394" i="7" s="1"/>
  <c r="AA394" i="7" s="1"/>
  <c r="F395" i="7"/>
  <c r="F405" i="7"/>
  <c r="G415" i="7"/>
  <c r="Z415" i="7" s="1"/>
  <c r="AA415" i="7" s="1"/>
  <c r="F416" i="7"/>
  <c r="Y416" i="7" s="1"/>
  <c r="G426" i="7"/>
  <c r="Z426" i="7" s="1"/>
  <c r="AA426" i="7" s="1"/>
  <c r="F427" i="7"/>
  <c r="G437" i="7"/>
  <c r="Z437" i="7" s="1"/>
  <c r="AA437" i="7" s="1"/>
  <c r="F438" i="7"/>
  <c r="Y438" i="7" s="1"/>
  <c r="G447" i="7"/>
  <c r="Z447" i="7" s="1"/>
  <c r="AA447" i="7" s="1"/>
  <c r="F448" i="7"/>
  <c r="G457" i="7"/>
  <c r="Z457" i="7" s="1"/>
  <c r="AA457" i="7" s="1"/>
  <c r="F458" i="7"/>
  <c r="Y458" i="7" s="1"/>
  <c r="G468" i="7"/>
  <c r="Z468" i="7" s="1"/>
  <c r="AA468" i="7" s="1"/>
  <c r="F469" i="7"/>
  <c r="G479" i="7"/>
  <c r="Z479" i="7" s="1"/>
  <c r="AA479" i="7" s="1"/>
  <c r="F480" i="7"/>
  <c r="Y480" i="7" s="1"/>
  <c r="G490" i="7"/>
  <c r="Z490" i="7" s="1"/>
  <c r="AA490" i="7" s="1"/>
  <c r="F491" i="7"/>
  <c r="G501" i="7"/>
  <c r="Z501" i="7" s="1"/>
  <c r="AA501" i="7" s="1"/>
  <c r="F502" i="7"/>
  <c r="Y502" i="7" s="1"/>
  <c r="F513" i="7"/>
  <c r="G524" i="7"/>
  <c r="Z524" i="7" s="1"/>
  <c r="AA524" i="7" s="1"/>
  <c r="F525" i="7"/>
  <c r="G536" i="7"/>
  <c r="F537" i="7"/>
  <c r="G546" i="7"/>
  <c r="Z546" i="7" s="1"/>
  <c r="AA546" i="7" s="1"/>
  <c r="F547" i="7"/>
  <c r="G558" i="7"/>
  <c r="F559" i="7"/>
  <c r="G570" i="7"/>
  <c r="F571" i="7"/>
  <c r="G581" i="7"/>
  <c r="Z581" i="7" s="1"/>
  <c r="AA581" i="7" s="1"/>
  <c r="F582" i="7"/>
  <c r="G593" i="7"/>
  <c r="Z593" i="7" s="1"/>
  <c r="AA593" i="7" s="1"/>
  <c r="F594" i="7"/>
  <c r="G88" i="7"/>
  <c r="F93" i="7"/>
  <c r="F107" i="7"/>
  <c r="G144" i="7"/>
  <c r="Z144" i="7" s="1"/>
  <c r="AA144" i="7" s="1"/>
  <c r="F145" i="7"/>
  <c r="Y145" i="7" s="1"/>
  <c r="G221" i="7"/>
  <c r="Z221" i="7" s="1"/>
  <c r="AA221" i="7" s="1"/>
  <c r="F222" i="7"/>
  <c r="G312" i="7"/>
  <c r="Z312" i="7" s="1"/>
  <c r="AA312" i="7" s="1"/>
  <c r="F313" i="7"/>
  <c r="G317" i="7"/>
  <c r="Z317" i="7" s="1"/>
  <c r="AA317" i="7" s="1"/>
  <c r="F318" i="7"/>
  <c r="G328" i="7"/>
  <c r="Z328" i="7" s="1"/>
  <c r="AA328" i="7" s="1"/>
  <c r="F329" i="7"/>
  <c r="Y329" i="7" s="1"/>
  <c r="G339" i="7"/>
  <c r="Z339" i="7" s="1"/>
  <c r="AA339" i="7" s="1"/>
  <c r="F340" i="7"/>
  <c r="G349" i="7"/>
  <c r="F350" i="7"/>
  <c r="Y350" i="7" s="1"/>
  <c r="G361" i="7"/>
  <c r="Z361" i="7" s="1"/>
  <c r="AA361" i="7" s="1"/>
  <c r="F362" i="7"/>
  <c r="G373" i="7"/>
  <c r="Z373" i="7" s="1"/>
  <c r="AA373" i="7" s="1"/>
  <c r="F374" i="7"/>
  <c r="G384" i="7"/>
  <c r="Z384" i="7" s="1"/>
  <c r="AA384" i="7" s="1"/>
  <c r="F385" i="7"/>
  <c r="G395" i="7"/>
  <c r="Z395" i="7" s="1"/>
  <c r="AA395" i="7" s="1"/>
  <c r="F396" i="7"/>
  <c r="Y396" i="7" s="1"/>
  <c r="G405" i="7"/>
  <c r="Z405" i="7" s="1"/>
  <c r="AA405" i="7" s="1"/>
  <c r="F406" i="7"/>
  <c r="G416" i="7"/>
  <c r="F417" i="7"/>
  <c r="Y417" i="7" s="1"/>
  <c r="G427" i="7"/>
  <c r="Z427" i="7" s="1"/>
  <c r="AA427" i="7" s="1"/>
  <c r="F428" i="7"/>
  <c r="G438" i="7"/>
  <c r="Z438" i="7" s="1"/>
  <c r="AA438" i="7" s="1"/>
  <c r="G448" i="7"/>
  <c r="F449" i="7"/>
  <c r="G458" i="7"/>
  <c r="Z458" i="7" s="1"/>
  <c r="AA458" i="7" s="1"/>
  <c r="F459" i="7"/>
  <c r="G469" i="7"/>
  <c r="Z469" i="7" s="1"/>
  <c r="AA469" i="7" s="1"/>
  <c r="F470" i="7"/>
  <c r="G480" i="7"/>
  <c r="F481" i="7"/>
  <c r="G491" i="7"/>
  <c r="Z491" i="7" s="1"/>
  <c r="AA491" i="7" s="1"/>
  <c r="F492" i="7"/>
  <c r="G502" i="7"/>
  <c r="Z502" i="7" s="1"/>
  <c r="AA502" i="7" s="1"/>
  <c r="F503" i="7"/>
  <c r="G513" i="7"/>
  <c r="Z513" i="7" s="1"/>
  <c r="AA513" i="7" s="1"/>
  <c r="F514" i="7"/>
  <c r="G525" i="7"/>
  <c r="F526" i="7"/>
  <c r="G537" i="7"/>
  <c r="Z537" i="7" s="1"/>
  <c r="AA537" i="7" s="1"/>
  <c r="F538" i="7"/>
  <c r="G547" i="7"/>
  <c r="Z547" i="7" s="1"/>
  <c r="AA547" i="7" s="1"/>
  <c r="F548" i="7"/>
  <c r="G559" i="7"/>
  <c r="Z559" i="7" s="1"/>
  <c r="AA559" i="7" s="1"/>
  <c r="F560" i="7"/>
  <c r="G571" i="7"/>
  <c r="F572" i="7"/>
  <c r="G582" i="7"/>
  <c r="Z582" i="7" s="1"/>
  <c r="AA582" i="7" s="1"/>
  <c r="F583" i="7"/>
  <c r="G594" i="7"/>
  <c r="F595" i="7"/>
  <c r="F26" i="7"/>
  <c r="Y26" i="7" s="1"/>
  <c r="G39" i="7"/>
  <c r="G87" i="7"/>
  <c r="Z87" i="7" s="1"/>
  <c r="AA87" i="7" s="1"/>
  <c r="F102" i="7"/>
  <c r="G160" i="7"/>
  <c r="F161" i="7"/>
  <c r="G180" i="7"/>
  <c r="Z180" i="7" s="1"/>
  <c r="AA180" i="7" s="1"/>
  <c r="F199" i="7"/>
  <c r="G318" i="7"/>
  <c r="Z318" i="7" s="1"/>
  <c r="AA318" i="7" s="1"/>
  <c r="F319" i="7"/>
  <c r="G329" i="7"/>
  <c r="F330" i="7"/>
  <c r="G340" i="7"/>
  <c r="G350" i="7"/>
  <c r="Z350" i="7" s="1"/>
  <c r="AA350" i="7" s="1"/>
  <c r="F351" i="7"/>
  <c r="G362" i="7"/>
  <c r="F363" i="7"/>
  <c r="Y363" i="7" s="1"/>
  <c r="G374" i="7"/>
  <c r="F375" i="7"/>
  <c r="G385" i="7"/>
  <c r="Z385" i="7" s="1"/>
  <c r="AA385" i="7" s="1"/>
  <c r="F386" i="7"/>
  <c r="G396" i="7"/>
  <c r="Z396" i="7" s="1"/>
  <c r="AA396" i="7" s="1"/>
  <c r="G406" i="7"/>
  <c r="Z406" i="7" s="1"/>
  <c r="AA406" i="7" s="1"/>
  <c r="F407" i="7"/>
  <c r="G417" i="7"/>
  <c r="Z417" i="7" s="1"/>
  <c r="AA417" i="7" s="1"/>
  <c r="F418" i="7"/>
  <c r="G428" i="7"/>
  <c r="Z428" i="7" s="1"/>
  <c r="AA428" i="7" s="1"/>
  <c r="F439" i="7"/>
  <c r="G449" i="7"/>
  <c r="Z449" i="7" s="1"/>
  <c r="AA449" i="7" s="1"/>
  <c r="F450" i="7"/>
  <c r="G459" i="7"/>
  <c r="F460" i="7"/>
  <c r="G470" i="7"/>
  <c r="Z470" i="7" s="1"/>
  <c r="AA470" i="7" s="1"/>
  <c r="F471" i="7"/>
  <c r="G481" i="7"/>
  <c r="G492" i="7"/>
  <c r="G503" i="7"/>
  <c r="Z503" i="7" s="1"/>
  <c r="AA503" i="7" s="1"/>
  <c r="F504" i="7"/>
  <c r="G514" i="7"/>
  <c r="F515" i="7"/>
  <c r="G526" i="7"/>
  <c r="Z526" i="7" s="1"/>
  <c r="AA526" i="7" s="1"/>
  <c r="F527" i="7"/>
  <c r="G538" i="7"/>
  <c r="Z538" i="7" s="1"/>
  <c r="AA538" i="7" s="1"/>
  <c r="F539" i="7"/>
  <c r="G548" i="7"/>
  <c r="Z548" i="7" s="1"/>
  <c r="AA548" i="7" s="1"/>
  <c r="F549" i="7"/>
  <c r="G560" i="7"/>
  <c r="Z560" i="7" s="1"/>
  <c r="AA560" i="7" s="1"/>
  <c r="F561" i="7"/>
  <c r="G572" i="7"/>
  <c r="Z572" i="7" s="1"/>
  <c r="AA572" i="7" s="1"/>
  <c r="F573" i="7"/>
  <c r="G583" i="7"/>
  <c r="Z583" i="7" s="1"/>
  <c r="AA583" i="7" s="1"/>
  <c r="F584" i="7"/>
  <c r="G595" i="7"/>
  <c r="F596" i="7"/>
  <c r="G216" i="7"/>
  <c r="F217" i="7"/>
  <c r="F237" i="7"/>
  <c r="Y237" i="7" s="1"/>
  <c r="G255" i="7"/>
  <c r="Z255" i="7" s="1"/>
  <c r="AA255" i="7" s="1"/>
  <c r="F256" i="7"/>
  <c r="G273" i="7"/>
  <c r="Z273" i="7" s="1"/>
  <c r="AA273" i="7" s="1"/>
  <c r="F274" i="7"/>
  <c r="Y274" i="7" s="1"/>
  <c r="G319" i="7"/>
  <c r="Z319" i="7" s="1"/>
  <c r="AA319" i="7" s="1"/>
  <c r="F320" i="7"/>
  <c r="G330" i="7"/>
  <c r="Z330" i="7" s="1"/>
  <c r="AA330" i="7" s="1"/>
  <c r="F331" i="7"/>
  <c r="Y331" i="7" s="1"/>
  <c r="F341" i="7"/>
  <c r="G351" i="7"/>
  <c r="Z351" i="7" s="1"/>
  <c r="AA351" i="7" s="1"/>
  <c r="F352" i="7"/>
  <c r="G363" i="7"/>
  <c r="F364" i="7"/>
  <c r="G375" i="7"/>
  <c r="Z375" i="7" s="1"/>
  <c r="AA375" i="7" s="1"/>
  <c r="F376" i="7"/>
  <c r="G386" i="7"/>
  <c r="Z386" i="7" s="1"/>
  <c r="AA386" i="7" s="1"/>
  <c r="F387" i="7"/>
  <c r="F397" i="7"/>
  <c r="G407" i="7"/>
  <c r="F408" i="7"/>
  <c r="Y408" i="7" s="1"/>
  <c r="G418" i="7"/>
  <c r="Z418" i="7" s="1"/>
  <c r="AA418" i="7" s="1"/>
  <c r="F419" i="7"/>
  <c r="F429" i="7"/>
  <c r="G439" i="7"/>
  <c r="Z439" i="7" s="1"/>
  <c r="AA439" i="7" s="1"/>
  <c r="F440" i="7"/>
  <c r="G450" i="7"/>
  <c r="Z450" i="7" s="1"/>
  <c r="AA450" i="7" s="1"/>
  <c r="F451" i="7"/>
  <c r="G460" i="7"/>
  <c r="F461" i="7"/>
  <c r="G471" i="7"/>
  <c r="Z471" i="7" s="1"/>
  <c r="AA471" i="7" s="1"/>
  <c r="F472" i="7"/>
  <c r="F482" i="7"/>
  <c r="Y482" i="7" s="1"/>
  <c r="F493" i="7"/>
  <c r="G504" i="7"/>
  <c r="Z504" i="7" s="1"/>
  <c r="AA504" i="7" s="1"/>
  <c r="F505" i="7"/>
  <c r="G515" i="7"/>
  <c r="Z515" i="7" s="1"/>
  <c r="AA515" i="7" s="1"/>
  <c r="F516" i="7"/>
  <c r="G527" i="7"/>
  <c r="F528" i="7"/>
  <c r="G539" i="7"/>
  <c r="Z539" i="7" s="1"/>
  <c r="AA539" i="7" s="1"/>
  <c r="G549" i="7"/>
  <c r="Z549" i="7" s="1"/>
  <c r="AA549" i="7" s="1"/>
  <c r="F550" i="7"/>
  <c r="G561" i="7"/>
  <c r="Z561" i="7" s="1"/>
  <c r="AA561" i="7" s="1"/>
  <c r="F562" i="7"/>
  <c r="Y562" i="7" s="1"/>
  <c r="G573" i="7"/>
  <c r="Z573" i="7" s="1"/>
  <c r="AA573" i="7" s="1"/>
  <c r="F574" i="7"/>
  <c r="G584" i="7"/>
  <c r="Z584" i="7" s="1"/>
  <c r="AA584" i="7" s="1"/>
  <c r="F585" i="7"/>
  <c r="Y585" i="7" s="1"/>
  <c r="G596" i="7"/>
  <c r="Z596" i="7" s="1"/>
  <c r="AA596" i="7" s="1"/>
  <c r="G341" i="7"/>
  <c r="Z341" i="7" s="1"/>
  <c r="AA341" i="7" s="1"/>
  <c r="F342" i="7"/>
  <c r="G429" i="7"/>
  <c r="Z429" i="7" s="1"/>
  <c r="AA429" i="7" s="1"/>
  <c r="F430" i="7"/>
  <c r="G574" i="7"/>
  <c r="Z574" i="7" s="1"/>
  <c r="AA574" i="7" s="1"/>
  <c r="F575" i="7"/>
  <c r="F577" i="7"/>
  <c r="G600" i="7"/>
  <c r="Z600" i="7" s="1"/>
  <c r="AA600" i="7" s="1"/>
  <c r="G609" i="7"/>
  <c r="Z609" i="7" s="1"/>
  <c r="AA609" i="7" s="1"/>
  <c r="F610" i="7"/>
  <c r="F612" i="7"/>
  <c r="Y612" i="7" s="1"/>
  <c r="G472" i="7"/>
  <c r="Z472" i="7" s="1"/>
  <c r="AA472" i="7" s="1"/>
  <c r="F473" i="7"/>
  <c r="G516" i="7"/>
  <c r="Z516" i="7" s="1"/>
  <c r="AA516" i="7" s="1"/>
  <c r="F517" i="7"/>
  <c r="Y517" i="7" s="1"/>
  <c r="F601" i="7"/>
  <c r="G610" i="7"/>
  <c r="Z610" i="7" s="1"/>
  <c r="AA610" i="7" s="1"/>
  <c r="F611" i="7"/>
  <c r="F602" i="7"/>
  <c r="G611" i="7"/>
  <c r="Z611" i="7" s="1"/>
  <c r="AA611" i="7" s="1"/>
  <c r="F213" i="7"/>
  <c r="G397" i="7"/>
  <c r="Z397" i="7" s="1"/>
  <c r="AA397" i="7" s="1"/>
  <c r="F398" i="7"/>
  <c r="G601" i="7"/>
  <c r="Z601" i="7" s="1"/>
  <c r="AA601" i="7" s="1"/>
  <c r="G352" i="7"/>
  <c r="Z352" i="7" s="1"/>
  <c r="AA352" i="7" s="1"/>
  <c r="F353" i="7"/>
  <c r="G440" i="7"/>
  <c r="Z440" i="7" s="1"/>
  <c r="AA440" i="7" s="1"/>
  <c r="F441" i="7"/>
  <c r="G528" i="7"/>
  <c r="F529" i="7"/>
  <c r="G602" i="7"/>
  <c r="F603" i="7"/>
  <c r="G612" i="7"/>
  <c r="F604" i="7"/>
  <c r="G585" i="7"/>
  <c r="Z585" i="7" s="1"/>
  <c r="AA585" i="7" s="1"/>
  <c r="G604" i="7"/>
  <c r="Z604" i="7" s="1"/>
  <c r="AA604" i="7" s="1"/>
  <c r="G613" i="7"/>
  <c r="Z613" i="7" s="1"/>
  <c r="AA613" i="7" s="1"/>
  <c r="G588" i="7"/>
  <c r="Z588" i="7" s="1"/>
  <c r="AA588" i="7" s="1"/>
  <c r="F589" i="7"/>
  <c r="G603" i="7"/>
  <c r="Z603" i="7" s="1"/>
  <c r="AA603" i="7" s="1"/>
  <c r="F613" i="7"/>
  <c r="A621" i="7"/>
  <c r="G307" i="7"/>
  <c r="Z307" i="7" s="1"/>
  <c r="AA307" i="7" s="1"/>
  <c r="F308" i="7"/>
  <c r="G364" i="7"/>
  <c r="Z364" i="7" s="1"/>
  <c r="AA364" i="7" s="1"/>
  <c r="F365" i="7"/>
  <c r="G408" i="7"/>
  <c r="Z408" i="7" s="1"/>
  <c r="AA408" i="7" s="1"/>
  <c r="F409" i="7"/>
  <c r="G482" i="7"/>
  <c r="Z482" i="7" s="1"/>
  <c r="AA482" i="7" s="1"/>
  <c r="F483" i="7"/>
  <c r="F540" i="7"/>
  <c r="Y540" i="7" s="1"/>
  <c r="F586" i="7"/>
  <c r="F614" i="7"/>
  <c r="G608" i="7"/>
  <c r="G51" i="7"/>
  <c r="Z51" i="7" s="1"/>
  <c r="AA51" i="7" s="1"/>
  <c r="G195" i="7"/>
  <c r="Z195" i="7" s="1"/>
  <c r="AA195" i="7" s="1"/>
  <c r="F196" i="7"/>
  <c r="G320" i="7"/>
  <c r="Z320" i="7" s="1"/>
  <c r="AA320" i="7" s="1"/>
  <c r="F321" i="7"/>
  <c r="Y321" i="7" s="1"/>
  <c r="G451" i="7"/>
  <c r="Z451" i="7" s="1"/>
  <c r="AA451" i="7" s="1"/>
  <c r="F452" i="7"/>
  <c r="F605" i="7"/>
  <c r="G614" i="7"/>
  <c r="Z614" i="7" s="1"/>
  <c r="AA614" i="7" s="1"/>
  <c r="X621" i="7"/>
  <c r="G605" i="7"/>
  <c r="Z605" i="7" s="1"/>
  <c r="AA605" i="7" s="1"/>
  <c r="F620" i="7"/>
  <c r="G376" i="7"/>
  <c r="Z376" i="7" s="1"/>
  <c r="AA376" i="7" s="1"/>
  <c r="F377" i="7"/>
  <c r="F606" i="7"/>
  <c r="F38" i="7"/>
  <c r="G419" i="7"/>
  <c r="F420" i="7"/>
  <c r="G493" i="7"/>
  <c r="F494" i="7"/>
  <c r="G550" i="7"/>
  <c r="Z550" i="7" s="1"/>
  <c r="AA550" i="7" s="1"/>
  <c r="F551" i="7"/>
  <c r="G606" i="7"/>
  <c r="Z606" i="7" s="1"/>
  <c r="AA606" i="7" s="1"/>
  <c r="F607" i="7"/>
  <c r="G620" i="7"/>
  <c r="F388" i="7"/>
  <c r="G461" i="7"/>
  <c r="Z461" i="7" s="1"/>
  <c r="AA461" i="7" s="1"/>
  <c r="G505" i="7"/>
  <c r="Z505" i="7" s="1"/>
  <c r="AA505" i="7" s="1"/>
  <c r="G562" i="7"/>
  <c r="Z562" i="7" s="1"/>
  <c r="AA562" i="7" s="1"/>
  <c r="G598" i="7"/>
  <c r="Z598" i="7" s="1"/>
  <c r="AA598" i="7" s="1"/>
  <c r="G599" i="7"/>
  <c r="Z599" i="7" s="1"/>
  <c r="AA599" i="7" s="1"/>
  <c r="F609" i="7"/>
  <c r="G622" i="7"/>
  <c r="Z622" i="7" s="1"/>
  <c r="AA622" i="7" s="1"/>
  <c r="G331" i="7"/>
  <c r="Z331" i="7" s="1"/>
  <c r="AA331" i="7" s="1"/>
  <c r="F597" i="7"/>
  <c r="F598" i="7"/>
  <c r="G607" i="7"/>
  <c r="F608" i="7"/>
  <c r="F86" i="7"/>
  <c r="G387" i="7"/>
  <c r="Z387" i="7" s="1"/>
  <c r="AA387" i="7" s="1"/>
  <c r="F462" i="7"/>
  <c r="Y462" i="7" s="1"/>
  <c r="F506" i="7"/>
  <c r="F563" i="7"/>
  <c r="F599" i="7"/>
  <c r="F622" i="7"/>
  <c r="Y622" i="7" s="1"/>
  <c r="F600" i="7"/>
  <c r="G78" i="5"/>
  <c r="I78" i="5"/>
  <c r="G71" i="5"/>
  <c r="I71" i="5"/>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Y54" i="7" l="1"/>
  <c r="Y17" i="7"/>
  <c r="Y79" i="7"/>
  <c r="Y15" i="7"/>
  <c r="Y38" i="7"/>
  <c r="Y605" i="7"/>
  <c r="Y365" i="7"/>
  <c r="Y604" i="7"/>
  <c r="Y610" i="7"/>
  <c r="Y528" i="7"/>
  <c r="Y451" i="7"/>
  <c r="Y376" i="7"/>
  <c r="Y584" i="7"/>
  <c r="Y539" i="7"/>
  <c r="Y407" i="7"/>
  <c r="Y199" i="7"/>
  <c r="Y595" i="7"/>
  <c r="Y548" i="7"/>
  <c r="Y459" i="7"/>
  <c r="Y525" i="7"/>
  <c r="Y301" i="7"/>
  <c r="Y567" i="7"/>
  <c r="Y498" i="7"/>
  <c r="Y357" i="7"/>
  <c r="Y566" i="7"/>
  <c r="Y334" i="7"/>
  <c r="Y485" i="7"/>
  <c r="Y442" i="7"/>
  <c r="Y344" i="7"/>
  <c r="Y421" i="7"/>
  <c r="Y198" i="7"/>
  <c r="Y76" i="7"/>
  <c r="Y28" i="7"/>
  <c r="Y188" i="7"/>
  <c r="Y297" i="7"/>
  <c r="Y78" i="7"/>
  <c r="Y284" i="7"/>
  <c r="Y166" i="7"/>
  <c r="Y194" i="7"/>
  <c r="Y121" i="7"/>
  <c r="Y315" i="7"/>
  <c r="Y173" i="7"/>
  <c r="Y116" i="7"/>
  <c r="Y47" i="7"/>
  <c r="Y228" i="7"/>
  <c r="Y182" i="7"/>
  <c r="Y135" i="7"/>
  <c r="Y247" i="7"/>
  <c r="Y563" i="7"/>
  <c r="Y86" i="7"/>
  <c r="Y597" i="7"/>
  <c r="Y606" i="7"/>
  <c r="Y452" i="7"/>
  <c r="Y196" i="7"/>
  <c r="Y614" i="7"/>
  <c r="Y613" i="7"/>
  <c r="Y213" i="7"/>
  <c r="Y473" i="7"/>
  <c r="Y574" i="7"/>
  <c r="Y550" i="7"/>
  <c r="Y419" i="7"/>
  <c r="Y397" i="7"/>
  <c r="Y320" i="7"/>
  <c r="Y375" i="7"/>
  <c r="Y599" i="7"/>
  <c r="Y598" i="7"/>
  <c r="Y607" i="7"/>
  <c r="Y620" i="7"/>
  <c r="Y483" i="7"/>
  <c r="Y529" i="7"/>
  <c r="Y353" i="7"/>
  <c r="Y575" i="7"/>
  <c r="Y342" i="7"/>
  <c r="Y505" i="7"/>
  <c r="Y429" i="7"/>
  <c r="Y352" i="7"/>
  <c r="Y561" i="7"/>
  <c r="Y515" i="7"/>
  <c r="Y439" i="7"/>
  <c r="Y330" i="7"/>
  <c r="Y102" i="7"/>
  <c r="Y572" i="7"/>
  <c r="Y526" i="7"/>
  <c r="Y481" i="7"/>
  <c r="Y594" i="7"/>
  <c r="Y547" i="7"/>
  <c r="Y361" i="7"/>
  <c r="Y108" i="7"/>
  <c r="Y524" i="7"/>
  <c r="Y426" i="7"/>
  <c r="Y535" i="7"/>
  <c r="Y489" i="7"/>
  <c r="Y149" i="7"/>
  <c r="Y466" i="7"/>
  <c r="Y336" i="7"/>
  <c r="Y590" i="7"/>
  <c r="Y544" i="7"/>
  <c r="Y543" i="7"/>
  <c r="Y476" i="7"/>
  <c r="Y380" i="7"/>
  <c r="Y508" i="7"/>
  <c r="Y464" i="7"/>
  <c r="Y323" i="7"/>
  <c r="Y399" i="7"/>
  <c r="Y156" i="7"/>
  <c r="Y216" i="7"/>
  <c r="Y88" i="7"/>
  <c r="Y20" i="7"/>
  <c r="Y224" i="7"/>
  <c r="Y104" i="7"/>
  <c r="Y52" i="7"/>
  <c r="Y168" i="7"/>
  <c r="Y275" i="7"/>
  <c r="Y146" i="7"/>
  <c r="Y106" i="7"/>
  <c r="Y55" i="7"/>
  <c r="Y144" i="7"/>
  <c r="Y242" i="7"/>
  <c r="Y241" i="7"/>
  <c r="Y125" i="7"/>
  <c r="Y112" i="7"/>
  <c r="Y270" i="7"/>
  <c r="Y120" i="7"/>
  <c r="Y23" i="7"/>
  <c r="Y248" i="7"/>
  <c r="Y131" i="7"/>
  <c r="Y268" i="7"/>
  <c r="Y623" i="7"/>
  <c r="Y506" i="7"/>
  <c r="Y608" i="7"/>
  <c r="Y388" i="7"/>
  <c r="Y551" i="7"/>
  <c r="Y420" i="7"/>
  <c r="Y586" i="7"/>
  <c r="Y409" i="7"/>
  <c r="Y308" i="7"/>
  <c r="Y603" i="7"/>
  <c r="Y441" i="7"/>
  <c r="Y601" i="7"/>
  <c r="Y430" i="7"/>
  <c r="Y516" i="7"/>
  <c r="Y493" i="7"/>
  <c r="Y461" i="7"/>
  <c r="Y440" i="7"/>
  <c r="Y387" i="7"/>
  <c r="Y364" i="7"/>
  <c r="Y341" i="7"/>
  <c r="Y596" i="7"/>
  <c r="Y573" i="7"/>
  <c r="Y549" i="7"/>
  <c r="Y527" i="7"/>
  <c r="Y471" i="7"/>
  <c r="Y418" i="7"/>
  <c r="Y319" i="7"/>
  <c r="Y161" i="7"/>
  <c r="Y583" i="7"/>
  <c r="Y560" i="7"/>
  <c r="Y538" i="7"/>
  <c r="Y514" i="7"/>
  <c r="Y428" i="7"/>
  <c r="Y406" i="7"/>
  <c r="Y385" i="7"/>
  <c r="Y340" i="7"/>
  <c r="Y318" i="7"/>
  <c r="Y570" i="7"/>
  <c r="Y546" i="7"/>
  <c r="Y490" i="7"/>
  <c r="Y468" i="7"/>
  <c r="Y372" i="7"/>
  <c r="Y348" i="7"/>
  <c r="Y226" i="7"/>
  <c r="Y557" i="7"/>
  <c r="Y436" i="7"/>
  <c r="Y393" i="7"/>
  <c r="Y371" i="7"/>
  <c r="Y327" i="7"/>
  <c r="Y186" i="7"/>
  <c r="Y579" i="7"/>
  <c r="Y534" i="7"/>
  <c r="Y488" i="7"/>
  <c r="Y435" i="7"/>
  <c r="Y413" i="7"/>
  <c r="Y358" i="7"/>
  <c r="Y434" i="7"/>
  <c r="Y325" i="7"/>
  <c r="Y267" i="7"/>
  <c r="Y190" i="7"/>
  <c r="Y432" i="7"/>
  <c r="Y411" i="7"/>
  <c r="Y389" i="7"/>
  <c r="Y576" i="7"/>
  <c r="Y552" i="7"/>
  <c r="Y484" i="7"/>
  <c r="Y463" i="7"/>
  <c r="Y366" i="7"/>
  <c r="Y343" i="7"/>
  <c r="Y300" i="7"/>
  <c r="Y278" i="7"/>
  <c r="Y255" i="7"/>
  <c r="Y180" i="7"/>
  <c r="Y160" i="7"/>
  <c r="Y87" i="7"/>
  <c r="Y63" i="7"/>
  <c r="Y39" i="7"/>
  <c r="Y311" i="7"/>
  <c r="Y265" i="7"/>
  <c r="Y148" i="7"/>
  <c r="Y310" i="7"/>
  <c r="Y235" i="7"/>
  <c r="Y91" i="7"/>
  <c r="Y65" i="7"/>
  <c r="Y41" i="7"/>
  <c r="Y244" i="7"/>
  <c r="Y214" i="7"/>
  <c r="Y187" i="7"/>
  <c r="Y307" i="7"/>
  <c r="Y251" i="7"/>
  <c r="Y232" i="7"/>
  <c r="Y204" i="7"/>
  <c r="Y185" i="7"/>
  <c r="Y44" i="7"/>
  <c r="Y212" i="7"/>
  <c r="Y165" i="7"/>
  <c r="Y95" i="7"/>
  <c r="Y45" i="7"/>
  <c r="Y305" i="7"/>
  <c r="Y124" i="7"/>
  <c r="Y82" i="7"/>
  <c r="Y58" i="7"/>
  <c r="Y192" i="7"/>
  <c r="Y164" i="7"/>
  <c r="Y141" i="7"/>
  <c r="Y119" i="7"/>
  <c r="Y115" i="7"/>
  <c r="Y36" i="7"/>
  <c r="Y238" i="7"/>
  <c r="Y492" i="7"/>
  <c r="Y470" i="7"/>
  <c r="Y449" i="7"/>
  <c r="Y582" i="7"/>
  <c r="Y559" i="7"/>
  <c r="Y537" i="7"/>
  <c r="Y513" i="7"/>
  <c r="Y395" i="7"/>
  <c r="Y373" i="7"/>
  <c r="Y349" i="7"/>
  <c r="Y328" i="7"/>
  <c r="Y279" i="7"/>
  <c r="Y536" i="7"/>
  <c r="Y437" i="7"/>
  <c r="Y415" i="7"/>
  <c r="Y523" i="7"/>
  <c r="Y500" i="7"/>
  <c r="Y478" i="7"/>
  <c r="Y456" i="7"/>
  <c r="Y403" i="7"/>
  <c r="Y381" i="7"/>
  <c r="Y326" i="7"/>
  <c r="Y578" i="7"/>
  <c r="Y510" i="7"/>
  <c r="Y487" i="7"/>
  <c r="Y369" i="7"/>
  <c r="Y532" i="7"/>
  <c r="Y509" i="7"/>
  <c r="Y412" i="7"/>
  <c r="Y390" i="7"/>
  <c r="Y368" i="7"/>
  <c r="Y324" i="7"/>
  <c r="Y67" i="7"/>
  <c r="Y565" i="7"/>
  <c r="Y542" i="7"/>
  <c r="Y519" i="7"/>
  <c r="Y475" i="7"/>
  <c r="Y454" i="7"/>
  <c r="Y379" i="7"/>
  <c r="Y333" i="7"/>
  <c r="Y431" i="7"/>
  <c r="Y410" i="7"/>
  <c r="Y176" i="7"/>
  <c r="Y225" i="7"/>
  <c r="Y207" i="7"/>
  <c r="Y236" i="7"/>
  <c r="Y90" i="7"/>
  <c r="Y64" i="7"/>
  <c r="Y40" i="7"/>
  <c r="Y178" i="7"/>
  <c r="Y158" i="7"/>
  <c r="Y309" i="7"/>
  <c r="Y263" i="7"/>
  <c r="Y234" i="7"/>
  <c r="Y157" i="7"/>
  <c r="Y92" i="7"/>
  <c r="Y66" i="7"/>
  <c r="Y42" i="7"/>
  <c r="Y16" i="7"/>
  <c r="Y43" i="7"/>
  <c r="Y273" i="7"/>
  <c r="Y155" i="7"/>
  <c r="Y250" i="7"/>
  <c r="Y184" i="7"/>
  <c r="Y154" i="7"/>
  <c r="Y230" i="7"/>
  <c r="Y211" i="7"/>
  <c r="Y183" i="7"/>
  <c r="Y153" i="7"/>
  <c r="Y123" i="7"/>
  <c r="Y304" i="7"/>
  <c r="Y281" i="7"/>
  <c r="Y259" i="7"/>
  <c r="Y114" i="7"/>
  <c r="Y83" i="7"/>
  <c r="Y59" i="7"/>
  <c r="Y35" i="7"/>
  <c r="Y314" i="7"/>
  <c r="Y239" i="7"/>
  <c r="Y137" i="7"/>
  <c r="Y133" i="7"/>
  <c r="Y128" i="7"/>
  <c r="Y257" i="7"/>
  <c r="Y129" i="7"/>
  <c r="Y73" i="7"/>
  <c r="Z602" i="7"/>
  <c r="AA602" i="7" s="1"/>
  <c r="Y398" i="7"/>
  <c r="Y494" i="7"/>
  <c r="Z608" i="7"/>
  <c r="AA608" i="7" s="1"/>
  <c r="Y217" i="7"/>
  <c r="Z362" i="7"/>
  <c r="AA362" i="7" s="1"/>
  <c r="Y503" i="7"/>
  <c r="Y571" i="7"/>
  <c r="Y384" i="7"/>
  <c r="Y467" i="7"/>
  <c r="Z358" i="7"/>
  <c r="AA358" i="7" s="1"/>
  <c r="Z363" i="7"/>
  <c r="AA363" i="7" s="1"/>
  <c r="Z340" i="7"/>
  <c r="AA340" i="7" s="1"/>
  <c r="Z448" i="7"/>
  <c r="AA448" i="7" s="1"/>
  <c r="Z88" i="7"/>
  <c r="AA88" i="7" s="1"/>
  <c r="Z558" i="7"/>
  <c r="AA558" i="7" s="1"/>
  <c r="Z278" i="7"/>
  <c r="AA278" i="7" s="1"/>
  <c r="Y74" i="7"/>
  <c r="Z485" i="7"/>
  <c r="AA485" i="7" s="1"/>
  <c r="Z389" i="7"/>
  <c r="AA389" i="7" s="1"/>
  <c r="Z332" i="7"/>
  <c r="AA332" i="7" s="1"/>
  <c r="Z175" i="7"/>
  <c r="AA175" i="7" s="1"/>
  <c r="Z224" i="7"/>
  <c r="AA224" i="7" s="1"/>
  <c r="Y75" i="7"/>
  <c r="Y179" i="7"/>
  <c r="Y29" i="7"/>
  <c r="Y205" i="7"/>
  <c r="Z107" i="7"/>
  <c r="AA107" i="7" s="1"/>
  <c r="Z31" i="7"/>
  <c r="AA31" i="7" s="1"/>
  <c r="Z32" i="7"/>
  <c r="AA32" i="7" s="1"/>
  <c r="Y195" i="7"/>
  <c r="Y80" i="7"/>
  <c r="Y57" i="7"/>
  <c r="Y294" i="7"/>
  <c r="Y191" i="7"/>
  <c r="Z256" i="7"/>
  <c r="AA256" i="7" s="1"/>
  <c r="Z62" i="7"/>
  <c r="AA62" i="7" s="1"/>
  <c r="Y447" i="7"/>
  <c r="Z336" i="7"/>
  <c r="AA336" i="7" s="1"/>
  <c r="Y520" i="7"/>
  <c r="Y553" i="7"/>
  <c r="Y531" i="7"/>
  <c r="Z452" i="7"/>
  <c r="AA452" i="7" s="1"/>
  <c r="Y322" i="7"/>
  <c r="Z253" i="7"/>
  <c r="AA253" i="7" s="1"/>
  <c r="Z252" i="7"/>
  <c r="AA252" i="7" s="1"/>
  <c r="Z95" i="7"/>
  <c r="AA95" i="7" s="1"/>
  <c r="Z69" i="7"/>
  <c r="AA69" i="7" s="1"/>
  <c r="Z124" i="7"/>
  <c r="AA124" i="7" s="1"/>
  <c r="Y193" i="7"/>
  <c r="Z116" i="7"/>
  <c r="AA116" i="7" s="1"/>
  <c r="Z83" i="7"/>
  <c r="AA83" i="7" s="1"/>
  <c r="Z59" i="7"/>
  <c r="AA59" i="7" s="1"/>
  <c r="Y293" i="7"/>
  <c r="Z302" i="7"/>
  <c r="AA302" i="7" s="1"/>
  <c r="Y269" i="7"/>
  <c r="Z85" i="7"/>
  <c r="AA85" i="7" s="1"/>
  <c r="Y85" i="7"/>
  <c r="Y61" i="7"/>
  <c r="Y37" i="7"/>
  <c r="Z612" i="7"/>
  <c r="AA612" i="7" s="1"/>
  <c r="Z481" i="7"/>
  <c r="AA481" i="7" s="1"/>
  <c r="Y351" i="7"/>
  <c r="Z329" i="7"/>
  <c r="AA329" i="7" s="1"/>
  <c r="Z571" i="7"/>
  <c r="AA571" i="7" s="1"/>
  <c r="Z480" i="7"/>
  <c r="AA480" i="7" s="1"/>
  <c r="Y222" i="7"/>
  <c r="Y107" i="7"/>
  <c r="Y469" i="7"/>
  <c r="Y448" i="7"/>
  <c r="Y405" i="7"/>
  <c r="Z383" i="7"/>
  <c r="AA383" i="7" s="1"/>
  <c r="Y296" i="7"/>
  <c r="Y593" i="7"/>
  <c r="Y394" i="7"/>
  <c r="Y580" i="7"/>
  <c r="Y556" i="7"/>
  <c r="Y511" i="7"/>
  <c r="Y465" i="7"/>
  <c r="Y402" i="7"/>
  <c r="Y443" i="7"/>
  <c r="Z379" i="7"/>
  <c r="AA379" i="7" s="1"/>
  <c r="Z355" i="7"/>
  <c r="AA355" i="7" s="1"/>
  <c r="Z333" i="7"/>
  <c r="AA333" i="7" s="1"/>
  <c r="Y507" i="7"/>
  <c r="Y264" i="7"/>
  <c r="Y167" i="7"/>
  <c r="Y21" i="7"/>
  <c r="Y69" i="7"/>
  <c r="Y282" i="7"/>
  <c r="Z120" i="7"/>
  <c r="AA120" i="7" s="1"/>
  <c r="Y111" i="7"/>
  <c r="Y219" i="7"/>
  <c r="Y292" i="7"/>
  <c r="Y84" i="7"/>
  <c r="Y60" i="7"/>
  <c r="Y200" i="7"/>
  <c r="Y172" i="7"/>
  <c r="Y150" i="7"/>
  <c r="Z14" i="7"/>
  <c r="AA14" i="7" s="1"/>
  <c r="Z419" i="7"/>
  <c r="AA419" i="7" s="1"/>
  <c r="Y374" i="7"/>
  <c r="Z518" i="7"/>
  <c r="AA518" i="7" s="1"/>
  <c r="Y299" i="7"/>
  <c r="Z262" i="7"/>
  <c r="AA262" i="7" s="1"/>
  <c r="Y46" i="7"/>
  <c r="Y210" i="7"/>
  <c r="Z337" i="7"/>
  <c r="AA337" i="7" s="1"/>
  <c r="Y512" i="7"/>
  <c r="Y356" i="7"/>
  <c r="Y261" i="7"/>
  <c r="Y22" i="7"/>
  <c r="Z270" i="7"/>
  <c r="AA270" i="7" s="1"/>
  <c r="Y134" i="7"/>
  <c r="Y18" i="7"/>
  <c r="Y260" i="7"/>
  <c r="Z374" i="7"/>
  <c r="AA374" i="7" s="1"/>
  <c r="Y555" i="7"/>
  <c r="Z184" i="7"/>
  <c r="AA184" i="7" s="1"/>
  <c r="Y258" i="7"/>
  <c r="Z620" i="7"/>
  <c r="AA620" i="7" s="1"/>
  <c r="Y477" i="7"/>
  <c r="Z402" i="7"/>
  <c r="AA402" i="7" s="1"/>
  <c r="Z105" i="7"/>
  <c r="AA105" i="7" s="1"/>
  <c r="Z258" i="7"/>
  <c r="AA258" i="7" s="1"/>
  <c r="Z102" i="7"/>
  <c r="AA102" i="7" s="1"/>
  <c r="Y392" i="7"/>
  <c r="Y31" i="7"/>
  <c r="Z514" i="7"/>
  <c r="AA514" i="7" s="1"/>
  <c r="Y347" i="7"/>
  <c r="Z552" i="7"/>
  <c r="AA552" i="7" s="1"/>
  <c r="Y240" i="7"/>
  <c r="Z225" i="7"/>
  <c r="AA225" i="7" s="1"/>
  <c r="Z455" i="7"/>
  <c r="AA455" i="7" s="1"/>
  <c r="Z234" i="7"/>
  <c r="AA234" i="7" s="1"/>
  <c r="Z282" i="7"/>
  <c r="AA282" i="7" s="1"/>
  <c r="Z126" i="7"/>
  <c r="AA126" i="7" s="1"/>
  <c r="Z119" i="7"/>
  <c r="AA119" i="7" s="1"/>
  <c r="Y99" i="7"/>
  <c r="Y25" i="7"/>
  <c r="Z460" i="7"/>
  <c r="AA460" i="7" s="1"/>
  <c r="Y444" i="7"/>
  <c r="Y455" i="7"/>
  <c r="Y609" i="7"/>
  <c r="Y171" i="7"/>
  <c r="Z212" i="7"/>
  <c r="AA212" i="7" s="1"/>
  <c r="Z293" i="7"/>
  <c r="AA293" i="7" s="1"/>
  <c r="Z527" i="7"/>
  <c r="AA527" i="7" s="1"/>
  <c r="Z525" i="7"/>
  <c r="AA525" i="7" s="1"/>
  <c r="Z466" i="7"/>
  <c r="AA466" i="7" s="1"/>
  <c r="Z322" i="7"/>
  <c r="AA322" i="7" s="1"/>
  <c r="Z219" i="7"/>
  <c r="AA219" i="7" s="1"/>
  <c r="Y139" i="7"/>
  <c r="Y491" i="7"/>
  <c r="Y50" i="7"/>
  <c r="Z223" i="7"/>
  <c r="AA223" i="7" s="1"/>
  <c r="Z67" i="7"/>
  <c r="AA67" i="7" s="1"/>
  <c r="Z44" i="7"/>
  <c r="AA44" i="7" s="1"/>
  <c r="Y94" i="7"/>
  <c r="Z36" i="7"/>
  <c r="AA36" i="7" s="1"/>
  <c r="Z268" i="7"/>
  <c r="AA268" i="7" s="1"/>
  <c r="Y201" i="7"/>
  <c r="Z607" i="7"/>
  <c r="AA607" i="7" s="1"/>
  <c r="Y425" i="7"/>
  <c r="Z233" i="7"/>
  <c r="AA233" i="7" s="1"/>
  <c r="Y611" i="7"/>
  <c r="Y472" i="7"/>
  <c r="Z407" i="7"/>
  <c r="AA407" i="7" s="1"/>
  <c r="Y339" i="7"/>
  <c r="Y401" i="7"/>
  <c r="Z315" i="7"/>
  <c r="AA315" i="7" s="1"/>
  <c r="Z488" i="7"/>
  <c r="AA488" i="7" s="1"/>
  <c r="Z109" i="7"/>
  <c r="AA109" i="7" s="1"/>
  <c r="Z484" i="7"/>
  <c r="AA484" i="7" s="1"/>
  <c r="Z215" i="7"/>
  <c r="AA215" i="7" s="1"/>
  <c r="Z43" i="7"/>
  <c r="AA43" i="7" s="1"/>
  <c r="Y283" i="7"/>
  <c r="Z131" i="7"/>
  <c r="AA131" i="7" s="1"/>
  <c r="Z181" i="7"/>
  <c r="AA181" i="7" s="1"/>
  <c r="Y100" i="7"/>
  <c r="Y600" i="7"/>
  <c r="Z512" i="7"/>
  <c r="AA512" i="7" s="1"/>
  <c r="Z533" i="7"/>
  <c r="AA533" i="7" s="1"/>
  <c r="Y504" i="7"/>
  <c r="Y589" i="7"/>
  <c r="Y581" i="7"/>
  <c r="Y564" i="7"/>
  <c r="Y354" i="7"/>
  <c r="Y56" i="7"/>
  <c r="Y81" i="7"/>
  <c r="Y127" i="7"/>
  <c r="Y227" i="7"/>
  <c r="Y162" i="7"/>
  <c r="Z86" i="7"/>
  <c r="AA86" i="7" s="1"/>
  <c r="Y233" i="7"/>
  <c r="Z179" i="7"/>
  <c r="AA179" i="7" s="1"/>
  <c r="Z205" i="7"/>
  <c r="AA205" i="7" s="1"/>
  <c r="Z509" i="7"/>
  <c r="AA509" i="7" s="1"/>
  <c r="Y335" i="7"/>
  <c r="Y105" i="7"/>
  <c r="Y271" i="7"/>
  <c r="Z591" i="7"/>
  <c r="AA591" i="7" s="1"/>
  <c r="Z423" i="7"/>
  <c r="AA423" i="7" s="1"/>
  <c r="Y497" i="7"/>
  <c r="Y367" i="7"/>
  <c r="Z216" i="7"/>
  <c r="AA216" i="7" s="1"/>
  <c r="Z459" i="7"/>
  <c r="AA459" i="7" s="1"/>
  <c r="Y362" i="7"/>
  <c r="Z570" i="7"/>
  <c r="AA570" i="7" s="1"/>
  <c r="Y427" i="7"/>
  <c r="Y530" i="7"/>
  <c r="Y288" i="7"/>
  <c r="Z187" i="7"/>
  <c r="AA187" i="7" s="1"/>
  <c r="Y306" i="7"/>
  <c r="Y34" i="7"/>
  <c r="Z130" i="7"/>
  <c r="AA130" i="7" s="1"/>
  <c r="Y460" i="7"/>
  <c r="Y377" i="7"/>
  <c r="Y450" i="7"/>
  <c r="Y316" i="7"/>
  <c r="Z370" i="7"/>
  <c r="AA370" i="7" s="1"/>
  <c r="Y554" i="7"/>
  <c r="Y486" i="7"/>
  <c r="Y345" i="7"/>
  <c r="Y496" i="7"/>
  <c r="Y355" i="7"/>
  <c r="Z529" i="7"/>
  <c r="AA529" i="7" s="1"/>
  <c r="Z462" i="7"/>
  <c r="AA462" i="7" s="1"/>
  <c r="Y290" i="7"/>
  <c r="Y215" i="7"/>
  <c r="Z147" i="7"/>
  <c r="AA147" i="7" s="1"/>
  <c r="Z81" i="7"/>
  <c r="AA81" i="7" s="1"/>
  <c r="Y231" i="7"/>
  <c r="Z111" i="7"/>
  <c r="AA111" i="7" s="1"/>
  <c r="Z259" i="7"/>
  <c r="AA259" i="7" s="1"/>
  <c r="Z97" i="7"/>
  <c r="AA97" i="7" s="1"/>
  <c r="Z191" i="7"/>
  <c r="AA191" i="7" s="1"/>
  <c r="Z200" i="7"/>
  <c r="AA200" i="7" s="1"/>
  <c r="Z25" i="7"/>
  <c r="AA25" i="7" s="1"/>
  <c r="Z199" i="7"/>
  <c r="AA199" i="7" s="1"/>
  <c r="Y49" i="7"/>
  <c r="Y602" i="7"/>
  <c r="Y577" i="7"/>
  <c r="Z595" i="7"/>
  <c r="AA595" i="7" s="1"/>
  <c r="Z160" i="7"/>
  <c r="AA160" i="7" s="1"/>
  <c r="Y262" i="7"/>
  <c r="Y587" i="7"/>
  <c r="Z156" i="7"/>
  <c r="AA156" i="7" s="1"/>
  <c r="Z182" i="7"/>
  <c r="AA182" i="7" s="1"/>
  <c r="Z416" i="7"/>
  <c r="AA416" i="7" s="1"/>
  <c r="Z349" i="7"/>
  <c r="AA349" i="7" s="1"/>
  <c r="Z517" i="7"/>
  <c r="AA517" i="7" s="1"/>
  <c r="Z377" i="7"/>
  <c r="AA377" i="7" s="1"/>
  <c r="Y252" i="7"/>
  <c r="Z104" i="7"/>
  <c r="AA104" i="7" s="1"/>
  <c r="Z242" i="7"/>
  <c r="AA242" i="7" s="1"/>
  <c r="Z220" i="7"/>
  <c r="AA220" i="7" s="1"/>
  <c r="Y143" i="7"/>
  <c r="Z96" i="7"/>
  <c r="AA96" i="7" s="1"/>
  <c r="Y97" i="7"/>
  <c r="Y181" i="7"/>
  <c r="Y101" i="7"/>
  <c r="Z528" i="7"/>
  <c r="AA528" i="7" s="1"/>
  <c r="Y414" i="7"/>
  <c r="Z343" i="7"/>
  <c r="AA343" i="7" s="1"/>
  <c r="Y103" i="7"/>
  <c r="Z197" i="7"/>
  <c r="AA197" i="7" s="1"/>
  <c r="Z145" i="7"/>
  <c r="AA145" i="7" s="1"/>
  <c r="Y68" i="7"/>
  <c r="Z26" i="7"/>
  <c r="AA26" i="7" s="1"/>
  <c r="Y93" i="7"/>
  <c r="Y533" i="7"/>
  <c r="Y286" i="7"/>
  <c r="Z313" i="7"/>
  <c r="AA313" i="7" s="1"/>
  <c r="Z536" i="7"/>
  <c r="AA536" i="7" s="1"/>
  <c r="Z545" i="7"/>
  <c r="AA545" i="7" s="1"/>
  <c r="Z323" i="7"/>
  <c r="AA323" i="7" s="1"/>
  <c r="Y495" i="7"/>
  <c r="Z77" i="7"/>
  <c r="AA77" i="7" s="1"/>
  <c r="Y298" i="7"/>
  <c r="Y53" i="7"/>
  <c r="Z117" i="7"/>
  <c r="AA117" i="7" s="1"/>
  <c r="Z72" i="7"/>
  <c r="AA72" i="7" s="1"/>
  <c r="Y303" i="7"/>
  <c r="Y72" i="7"/>
  <c r="Z39" i="7"/>
  <c r="AA39" i="7" s="1"/>
  <c r="Z492" i="7"/>
  <c r="AA492" i="7" s="1"/>
  <c r="Z359" i="7"/>
  <c r="AA359" i="7" s="1"/>
  <c r="Z444" i="7"/>
  <c r="AA444" i="7" s="1"/>
  <c r="Y521" i="7"/>
  <c r="Z353" i="7"/>
  <c r="AA353" i="7" s="1"/>
  <c r="Y189" i="7"/>
  <c r="Z214" i="7"/>
  <c r="AA214" i="7" s="1"/>
  <c r="Y147" i="7"/>
  <c r="Z196" i="7"/>
  <c r="AA196" i="7" s="1"/>
  <c r="Y30" i="7"/>
  <c r="Z45" i="7"/>
  <c r="AA45" i="7" s="1"/>
  <c r="Z271" i="7"/>
  <c r="AA271" i="7" s="1"/>
  <c r="Y220" i="7"/>
  <c r="Y142" i="7"/>
  <c r="Z228" i="7"/>
  <c r="AA228" i="7" s="1"/>
  <c r="Z151" i="7"/>
  <c r="AA151" i="7" s="1"/>
  <c r="Y71" i="7"/>
  <c r="Z226" i="7"/>
  <c r="AA226" i="7" s="1"/>
  <c r="Z161" i="7"/>
  <c r="AA161" i="7" s="1"/>
  <c r="Z246" i="7"/>
  <c r="AA246" i="7" s="1"/>
  <c r="Z493" i="7"/>
  <c r="AA493" i="7" s="1"/>
  <c r="Y256" i="7"/>
  <c r="Z594" i="7"/>
  <c r="AA594" i="7" s="1"/>
  <c r="Z520" i="7"/>
  <c r="AA520" i="7" s="1"/>
  <c r="Z155" i="7"/>
  <c r="AA155" i="7" s="1"/>
  <c r="Y245" i="7"/>
  <c r="Y169" i="7"/>
  <c r="Y287" i="7"/>
  <c r="Y206" i="7"/>
  <c r="Y151" i="7"/>
  <c r="Y291" i="7"/>
  <c r="Y218" i="7"/>
  <c r="Z74" i="7"/>
  <c r="AA74" i="7" s="1"/>
  <c r="Y386" i="7"/>
  <c r="Y313" i="7"/>
  <c r="Y424" i="7"/>
  <c r="Z367" i="7"/>
  <c r="AA367" i="7" s="1"/>
  <c r="Y474" i="7"/>
  <c r="Y246" i="7"/>
  <c r="Y159" i="7"/>
  <c r="Y276" i="7"/>
  <c r="Y117" i="7"/>
  <c r="Z48" i="7"/>
  <c r="AA48" i="7" s="1"/>
  <c r="Y280" i="7"/>
  <c r="Z279" i="7"/>
  <c r="AA279" i="7" s="1"/>
  <c r="Y138" i="7"/>
  <c r="J621" i="7"/>
  <c r="K621" i="7"/>
  <c r="L621" i="7"/>
  <c r="M621" i="7"/>
  <c r="O621" i="7"/>
  <c r="N621" i="7"/>
  <c r="D621" i="7"/>
  <c r="E621" i="7"/>
  <c r="F621" i="7"/>
  <c r="H621" i="7"/>
  <c r="G621" i="7"/>
  <c r="I621" i="7"/>
  <c r="Z621" i="7" l="1"/>
  <c r="AA621" i="7" s="1"/>
  <c r="Y621" i="7"/>
  <c r="N55" i="1" l="1"/>
  <c r="E3" i="7"/>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shapeId="0">
      <text>
        <r>
          <rPr>
            <b/>
            <sz val="9"/>
            <color indexed="81"/>
            <rFont val="宋体"/>
            <charset val="134"/>
          </rPr>
          <t>ALPHA &amp; OMEGA Semiconductor:</t>
        </r>
        <r>
          <rPr>
            <sz val="9"/>
            <color indexed="81"/>
            <rFont val="宋体"/>
            <charset val="134"/>
          </rPr>
          <t xml:space="preserve">
</t>
        </r>
      </text>
    </comment>
    <comment ref="N29" authorId="0" shape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shapeId="0">
      <text>
        <r>
          <rPr>
            <sz val="9"/>
            <color indexed="81"/>
            <rFont val="宋体"/>
            <charset val="134"/>
          </rPr>
          <t xml:space="preserve">For reliable operation and best performance,the input capacitors must have current rating higher than the value shown in this cell.
</t>
        </r>
      </text>
    </comment>
    <comment ref="N44" authorId="0" shapeId="0">
      <text>
        <r>
          <rPr>
            <sz val="9"/>
            <color indexed="81"/>
            <rFont val="宋体"/>
            <charset val="134"/>
          </rPr>
          <t xml:space="preserve">In reality,due to PCB layout effects,the output voltage ripple may be slightly higher.
</t>
        </r>
      </text>
    </comment>
    <comment ref="N49" authorId="0" shape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shapeId="0">
      <text>
        <r>
          <rPr>
            <sz val="9"/>
            <color indexed="81"/>
            <rFont val="宋体"/>
            <charset val="134"/>
          </rPr>
          <t xml:space="preserve">It is recommended to set the crossover frequency to be
equal or less than 1/10 of switching frequency.
</t>
        </r>
      </text>
    </comment>
    <comment ref="N55" authorId="0" shapeId="0">
      <text>
        <r>
          <rPr>
            <sz val="9"/>
            <color indexed="81"/>
            <rFont val="宋体"/>
            <charset val="134"/>
          </rPr>
          <t xml:space="preserve">Cc2 is typically required for large value,non-ceramic output capacitors.
</t>
        </r>
      </text>
    </comment>
    <comment ref="N63" authorId="0" shapeId="0">
      <text>
        <r>
          <rPr>
            <sz val="9"/>
            <color indexed="81"/>
            <rFont val="宋体"/>
            <charset val="134"/>
          </rPr>
          <t xml:space="preserve">The crossover frequency and phase margin should always be verified on the bench.
</t>
        </r>
      </text>
    </comment>
    <comment ref="N64" authorId="0" shape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shape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<sst xmlns="http://schemas.openxmlformats.org/spreadsheetml/2006/main" count="332" uniqueCount="244">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</sst>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10" fillId="10" borderId="0" xfId="0" applyFont="1" applyFill="1" applyAlignment="1">
      <alignment vertical="center" wrapText="1"/>
    </xf>
    <xf numFmtId="0" fontId="0" fillId="10" borderId="0" xfId="0" applyFill="1" applyAlignment="1">
      <alignment vertical="center"/>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11" fillId="2" borderId="4" xfId="0" applyFont="1" applyFill="1" applyBorder="1" applyAlignment="1">
      <alignment horizontal="lef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6" xfId="0" applyFont="1" applyFill="1" applyBorder="1" applyAlignment="1">
      <alignment horizontal="right"/>
    </xf>
    <xf numFmtId="0" fontId="31" fillId="2" borderId="4" xfId="0" applyFont="1" applyFill="1" applyBorder="1" applyAlignment="1">
      <alignment horizontal="right"/>
    </xf>
    <xf numFmtId="0" fontId="0" fillId="0" borderId="0" xfId="0" applyBorder="1" applyAlignment="1">
      <alignment vertical="center"/>
    </xf>
    <xf numFmtId="0" fontId="31" fillId="2" borderId="38" xfId="0" applyFont="1" applyFill="1" applyBorder="1" applyAlignment="1">
      <alignment horizontal="right"/>
    </xf>
    <xf numFmtId="0" fontId="31" fillId="2" borderId="0" xfId="0" applyFont="1" applyFill="1" applyBorder="1" applyAlignment="1">
      <alignment horizontal="right"/>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1" fillId="2" borderId="8" xfId="0" applyFont="1" applyFill="1" applyBorder="1" applyAlignment="1">
      <alignment horizontal="right"/>
    </xf>
    <xf numFmtId="0" fontId="31" fillId="2" borderId="5"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0" fillId="0" borderId="0" xfId="0" applyBorder="1" applyAlignment="1">
      <alignment horizontal="right"/>
    </xf>
    <xf numFmtId="0" fontId="33" fillId="2" borderId="6" xfId="0" applyFont="1" applyFill="1" applyBorder="1" applyAlignment="1">
      <alignment horizontal="right"/>
    </xf>
    <xf numFmtId="0" fontId="33" fillId="2" borderId="4" xfId="0" applyFont="1" applyFill="1"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22" fillId="0" borderId="42" xfId="2" applyFont="1" applyFill="1" applyBorder="1" applyAlignment="1">
      <alignment horizontal="center"/>
    </xf>
    <xf numFmtId="0" fontId="6" fillId="0" borderId="52" xfId="2" applyFill="1" applyBorder="1" applyAlignment="1">
      <alignment horizontal="center"/>
    </xf>
    <xf numFmtId="0" fontId="6" fillId="0" borderId="50" xfId="2"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22" fillId="0" borderId="52" xfId="2" applyFont="1" applyFill="1" applyBorder="1" applyAlignment="1">
      <alignment horizontal="center"/>
    </xf>
    <xf numFmtId="0" fontId="22" fillId="0" borderId="50" xfId="2" applyFont="1" applyFill="1" applyBorder="1" applyAlignment="1">
      <alignment horizontal="center"/>
    </xf>
    <xf numFmtId="0" fontId="10" fillId="0" borderId="29" xfId="2" applyFont="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xf numFmtId="0" fontId="10" fillId="4" borderId="42" xfId="2" applyFont="1" applyFill="1" applyBorder="1" applyAlignment="1"/>
    <xf numFmtId="0" fontId="10" fillId="4" borderId="50" xfId="2" applyFont="1" applyFill="1" applyBorder="1" applyAlignment="1"/>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5"/>
          <c:y val="2.2727272727272742E-2"/>
        </c:manualLayout>
      </c:layout>
      <c:overlay val="0"/>
      <c:spPr>
        <a:noFill/>
        <a:ln w="25400">
          <a:noFill/>
        </a:ln>
      </c:spPr>
    </c:title>
    <c:autoTitleDeleted val="0"/>
    <c:plotArea>
      <c:layout>
        <c:manualLayout>
          <c:layoutTarget val="inner"/>
          <c:xMode val="edge"/>
          <c:yMode val="edge"/>
          <c:x val="0.13739130434782612"/>
          <c:y val="0.13409090909090909"/>
          <c:w val="0.74260869565217413"/>
          <c:h val="0.64090909090909109"/>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70.840708431708549</c:v>
                </c:pt>
                <c:pt idx="1">
                  <c:v>70.748633858375513</c:v>
                </c:pt>
                <c:pt idx="2">
                  <c:v>70.640409348315757</c:v>
                </c:pt>
                <c:pt idx="3">
                  <c:v>70.513691864372447</c:v>
                </c:pt>
                <c:pt idx="4">
                  <c:v>70.36607596671081</c:v>
                </c:pt>
                <c:pt idx="5">
                  <c:v>70.194675811965013</c:v>
                </c:pt>
                <c:pt idx="6">
                  <c:v>69.997032002888062</c:v>
                </c:pt>
                <c:pt idx="7">
                  <c:v>69.770370439359041</c:v>
                </c:pt>
                <c:pt idx="8">
                  <c:v>69.512352135780986</c:v>
                </c:pt>
                <c:pt idx="9">
                  <c:v>69.220521304380412</c:v>
                </c:pt>
                <c:pt idx="10">
                  <c:v>68.893133339920624</c:v>
                </c:pt>
                <c:pt idx="11">
                  <c:v>68.528707874396673</c:v>
                </c:pt>
                <c:pt idx="12">
                  <c:v>68.126112233561869</c:v>
                </c:pt>
                <c:pt idx="13">
                  <c:v>67.685391152053597</c:v>
                </c:pt>
                <c:pt idx="14">
                  <c:v>67.206435776396006</c:v>
                </c:pt>
                <c:pt idx="15">
                  <c:v>66.690187148909359</c:v>
                </c:pt>
                <c:pt idx="16">
                  <c:v>66.137841951878301</c:v>
                </c:pt>
                <c:pt idx="17">
                  <c:v>65.551085047924445</c:v>
                </c:pt>
                <c:pt idx="18">
                  <c:v>64.931597955714281</c:v>
                </c:pt>
                <c:pt idx="19">
                  <c:v>64.281539145811223</c:v>
                </c:pt>
                <c:pt idx="20">
                  <c:v>63.602815526095213</c:v>
                </c:pt>
                <c:pt idx="21">
                  <c:v>62.897562791045836</c:v>
                </c:pt>
                <c:pt idx="22">
                  <c:v>62.167534246464442</c:v>
                </c:pt>
                <c:pt idx="23">
                  <c:v>61.4146964855004</c:v>
                </c:pt>
                <c:pt idx="24">
                  <c:v>60.640526955438567</c:v>
                </c:pt>
                <c:pt idx="25">
                  <c:v>59.846721260513689</c:v>
                </c:pt>
                <c:pt idx="26">
                  <c:v>59.034624896419892</c:v>
                </c:pt>
                <c:pt idx="27">
                  <c:v>58.206043781599625</c:v>
                </c:pt>
                <c:pt idx="28">
                  <c:v>57.362574853987326</c:v>
                </c:pt>
                <c:pt idx="29">
                  <c:v>56.506508530860778</c:v>
                </c:pt>
                <c:pt idx="30">
                  <c:v>55.638302973135822</c:v>
                </c:pt>
                <c:pt idx="31">
                  <c:v>54.761238157996743</c:v>
                </c:pt>
                <c:pt idx="32">
                  <c:v>53.876936317498078</c:v>
                </c:pt>
                <c:pt idx="33">
                  <c:v>52.988320335253015</c:v>
                </c:pt>
                <c:pt idx="34">
                  <c:v>52.096989018203352</c:v>
                </c:pt>
                <c:pt idx="35">
                  <c:v>51.205618878511139</c:v>
                </c:pt>
                <c:pt idx="36">
                  <c:v>50.316043658348732</c:v>
                </c:pt>
                <c:pt idx="37">
                  <c:v>49.429470633996083</c:v>
                </c:pt>
                <c:pt idx="38">
                  <c:v>48.54808767273493</c:v>
                </c:pt>
                <c:pt idx="39">
                  <c:v>47.672163576563079</c:v>
                </c:pt>
                <c:pt idx="40">
                  <c:v>46.802655240398053</c:v>
                </c:pt>
                <c:pt idx="41">
                  <c:v>45.939786696663504</c:v>
                </c:pt>
                <c:pt idx="42">
                  <c:v>45.083700178344834</c:v>
                </c:pt>
                <c:pt idx="43">
                  <c:v>44.23395170751607</c:v>
                </c:pt>
                <c:pt idx="44">
                  <c:v>43.390416405867079</c:v>
                </c:pt>
                <c:pt idx="45">
                  <c:v>42.552467746061012</c:v>
                </c:pt>
                <c:pt idx="46">
                  <c:v>41.719759722237001</c:v>
                </c:pt>
                <c:pt idx="47">
                  <c:v>40.891575429473818</c:v>
                </c:pt>
                <c:pt idx="48">
                  <c:v>40.067585748494935</c:v>
                </c:pt>
                <c:pt idx="49">
                  <c:v>39.24707094901207</c:v>
                </c:pt>
                <c:pt idx="50">
                  <c:v>38.42968455482611</c:v>
                </c:pt>
                <c:pt idx="51">
                  <c:v>37.614805310451381</c:v>
                </c:pt>
                <c:pt idx="52">
                  <c:v>36.802306458604839</c:v>
                </c:pt>
                <c:pt idx="53">
                  <c:v>35.99181405187413</c:v>
                </c:pt>
                <c:pt idx="54">
                  <c:v>35.183530664429043</c:v>
                </c:pt>
                <c:pt idx="55">
                  <c:v>34.375830692172997</c:v>
                </c:pt>
                <c:pt idx="56">
                  <c:v>33.569620090699395</c:v>
                </c:pt>
                <c:pt idx="57">
                  <c:v>32.764159313149548</c:v>
                </c:pt>
                <c:pt idx="58">
                  <c:v>31.959857322537854</c:v>
                </c:pt>
                <c:pt idx="59">
                  <c:v>31.155952703590518</c:v>
                </c:pt>
                <c:pt idx="60">
                  <c:v>30.35277718878644</c:v>
                </c:pt>
                <c:pt idx="61">
                  <c:v>29.550103640199332</c:v>
                </c:pt>
                <c:pt idx="62">
                  <c:v>28.747409900826248</c:v>
                </c:pt>
                <c:pt idx="63">
                  <c:v>27.945381285317794</c:v>
                </c:pt>
                <c:pt idx="64">
                  <c:v>27.143300909481219</c:v>
                </c:pt>
                <c:pt idx="65">
                  <c:v>26.341407526008563</c:v>
                </c:pt>
                <c:pt idx="66">
                  <c:v>25.539571102675893</c:v>
                </c:pt>
                <c:pt idx="67">
                  <c:v>24.737842520879489</c:v>
                </c:pt>
                <c:pt idx="68">
                  <c:v>23.935925875383472</c:v>
                </c:pt>
                <c:pt idx="69">
                  <c:v>23.133971425666203</c:v>
                </c:pt>
                <c:pt idx="70">
                  <c:v>22.331749710559421</c:v>
                </c:pt>
                <c:pt idx="71">
                  <c:v>21.529348219866495</c:v>
                </c:pt>
                <c:pt idx="72">
                  <c:v>20.72651041765717</c:v>
                </c:pt>
                <c:pt idx="73">
                  <c:v>19.923338192948705</c:v>
                </c:pt>
                <c:pt idx="74">
                  <c:v>19.119515626858497</c:v>
                </c:pt>
                <c:pt idx="75">
                  <c:v>18.315037243974828</c:v>
                </c:pt>
                <c:pt idx="76">
                  <c:v>17.509563082841311</c:v>
                </c:pt>
                <c:pt idx="77">
                  <c:v>16.703169751563255</c:v>
                </c:pt>
                <c:pt idx="78">
                  <c:v>15.895613418933603</c:v>
                </c:pt>
                <c:pt idx="79">
                  <c:v>15.087144945347559</c:v>
                </c:pt>
                <c:pt idx="80">
                  <c:v>14.276096442181794</c:v>
                </c:pt>
                <c:pt idx="81">
                  <c:v>13.463242668702623</c:v>
                </c:pt>
                <c:pt idx="82">
                  <c:v>12.647607709808625</c:v>
                </c:pt>
                <c:pt idx="83">
                  <c:v>11.829268408397722</c:v>
                </c:pt>
                <c:pt idx="84">
                  <c:v>11.006994106533107</c:v>
                </c:pt>
                <c:pt idx="85">
                  <c:v>10.180535535587845</c:v>
                </c:pt>
                <c:pt idx="86">
                  <c:v>9.3489263205556163</c:v>
                </c:pt>
                <c:pt idx="87">
                  <c:v>8.5107212663268683</c:v>
                </c:pt>
                <c:pt idx="88">
                  <c:v>7.6655498804858322</c:v>
                </c:pt>
                <c:pt idx="89">
                  <c:v>6.8113634586606615</c:v>
                </c:pt>
                <c:pt idx="90">
                  <c:v>5.94688546410692</c:v>
                </c:pt>
                <c:pt idx="91">
                  <c:v>5.070193089908873</c:v>
                </c:pt>
                <c:pt idx="92">
                  <c:v>4.1792835638988866</c:v>
                </c:pt>
                <c:pt idx="93">
                  <c:v>3.271471841997343</c:v>
                </c:pt>
                <c:pt idx="94">
                  <c:v>3.0416813485543432</c:v>
                </c:pt>
                <c:pt idx="95">
                  <c:v>2.925600759395353</c:v>
                </c:pt>
                <c:pt idx="96">
                  <c:v>2.8105294379871744</c:v>
                </c:pt>
                <c:pt idx="97">
                  <c:v>2.6938092105606044</c:v>
                </c:pt>
                <c:pt idx="98">
                  <c:v>2.5780936953534761</c:v>
                </c:pt>
                <c:pt idx="99">
                  <c:v>2.4606804781387552</c:v>
                </c:pt>
                <c:pt idx="100">
                  <c:v>2.34426790281834</c:v>
                </c:pt>
                <c:pt idx="101">
                  <c:v>2.2261988514122519</c:v>
                </c:pt>
                <c:pt idx="102">
                  <c:v>2.1091253259760361</c:v>
                </c:pt>
                <c:pt idx="103">
                  <c:v>1.9902617582782884</c:v>
                </c:pt>
                <c:pt idx="104">
                  <c:v>1.8723905103587115</c:v>
                </c:pt>
                <c:pt idx="105">
                  <c:v>1.7527717527131894</c:v>
                </c:pt>
                <c:pt idx="106">
                  <c:v>1.6341410332243369</c:v>
                </c:pt>
                <c:pt idx="107">
                  <c:v>1.5138030639363591</c:v>
                </c:pt>
                <c:pt idx="108">
                  <c:v>1.3944478806063461</c:v>
                </c:pt>
                <c:pt idx="109">
                  <c:v>1.2733414450517508</c:v>
                </c:pt>
                <c:pt idx="110">
                  <c:v>1.1532129897351513</c:v>
                </c:pt>
                <c:pt idx="111">
                  <c:v>1.0312103824127044</c:v>
                </c:pt>
                <c:pt idx="112">
                  <c:v>0.91018263449713399</c:v>
                </c:pt>
                <c:pt idx="113">
                  <c:v>0.78732248589774012</c:v>
                </c:pt>
                <c:pt idx="114">
                  <c:v>0.66543310066834216</c:v>
                </c:pt>
                <c:pt idx="115">
                  <c:v>0.54167265868912284</c:v>
                </c:pt>
                <c:pt idx="116">
                  <c:v>0.4188792292673823</c:v>
                </c:pt>
                <c:pt idx="117">
                  <c:v>0.29417770054663167</c:v>
                </c:pt>
                <c:pt idx="118">
                  <c:v>0.17043975652412255</c:v>
                </c:pt>
                <c:pt idx="119">
                  <c:v>4.4834085508718438E-2</c:v>
                </c:pt>
                <c:pt idx="120">
                  <c:v>-7.9812271611893817E-2</c:v>
                </c:pt>
                <c:pt idx="121">
                  <c:v>-0.20636268535598354</c:v>
                </c:pt>
                <c:pt idx="122">
                  <c:v>-0.33195767207584181</c:v>
                </c:pt>
                <c:pt idx="123">
                  <c:v>-0.45956515374234819</c:v>
                </c:pt>
                <c:pt idx="124">
                  <c:v>-0.58621963287785328</c:v>
                </c:pt>
                <c:pt idx="125">
                  <c:v>-0.71484528704326633</c:v>
                </c:pt>
                <c:pt idx="126">
                  <c:v>-0.84252114107912979</c:v>
                </c:pt>
                <c:pt idx="127">
                  <c:v>-0.97220017733905761</c:v>
                </c:pt>
                <c:pt idx="128">
                  <c:v>-1.100932247879435</c:v>
                </c:pt>
                <c:pt idx="129">
                  <c:v>-1.2316981439891792</c:v>
                </c:pt>
                <c:pt idx="130">
                  <c:v>-1.3615195374069808</c:v>
                </c:pt>
                <c:pt idx="131">
                  <c:v>-1.4934040668391082</c:v>
                </c:pt>
                <c:pt idx="132">
                  <c:v>-1.5589915189461769</c:v>
                </c:pt>
                <c:pt idx="133">
                  <c:v>-1.6243461775064818</c:v>
                </c:pt>
                <c:pt idx="134">
                  <c:v>-1.6910161361671714</c:v>
                </c:pt>
                <c:pt idx="135">
                  <c:v>-1.7574478603373167</c:v>
                </c:pt>
                <c:pt idx="136">
                  <c:v>-1.8236441770764131</c:v>
                </c:pt>
                <c:pt idx="137">
                  <c:v>-1.8896078574248942</c:v>
                </c:pt>
                <c:pt idx="138">
                  <c:v>-1.956831376746645</c:v>
                </c:pt>
                <c:pt idx="139">
                  <c:v>-2.0238172650297721</c:v>
                </c:pt>
                <c:pt idx="140">
                  <c:v>-2.0905683131250141</c:v>
                </c:pt>
                <c:pt idx="141">
                  <c:v>-2.1570872562474857</c:v>
                </c:pt>
                <c:pt idx="142">
                  <c:v>-2.2249459634658448</c:v>
                </c:pt>
                <c:pt idx="143">
                  <c:v>-2.2925670551806343</c:v>
                </c:pt>
                <c:pt idx="144">
                  <c:v>-2.359953293230709</c:v>
                </c:pt>
                <c:pt idx="145">
                  <c:v>-2.4271073840124937</c:v>
                </c:pt>
                <c:pt idx="146">
                  <c:v>-2.4955795304785267</c:v>
                </c:pt>
                <c:pt idx="147">
                  <c:v>-2.563814210200936</c:v>
                </c:pt>
                <c:pt idx="148">
                  <c:v>-2.631814150405023</c:v>
                </c:pt>
                <c:pt idx="149">
                  <c:v>-2.699582023219194</c:v>
                </c:pt>
                <c:pt idx="150">
                  <c:v>-2.7686793357071089</c:v>
                </c:pt>
                <c:pt idx="151">
                  <c:v>-2.8375392133238679</c:v>
                </c:pt>
                <c:pt idx="152">
                  <c:v>-2.9061643473800416</c:v>
                </c:pt>
                <c:pt idx="153">
                  <c:v>-2.9745573744774041</c:v>
                </c:pt>
                <c:pt idx="154">
                  <c:v>-3.0443227356102929</c:v>
                </c:pt>
                <c:pt idx="155">
                  <c:v>-3.1138503528975834</c:v>
                </c:pt>
                <c:pt idx="156">
                  <c:v>-3.1831428840900826</c:v>
                </c:pt>
                <c:pt idx="157">
                  <c:v>-3.252202932565246</c:v>
                </c:pt>
                <c:pt idx="158">
                  <c:v>-3.3226449986619238</c:v>
                </c:pt>
                <c:pt idx="159">
                  <c:v>-3.3928488955966971</c:v>
                </c:pt>
                <c:pt idx="160">
                  <c:v>-3.4628172459792603</c:v>
                </c:pt>
                <c:pt idx="161">
                  <c:v>-3.5325526184392952</c:v>
                </c:pt>
                <c:pt idx="162">
                  <c:v>-3.6036479930169216</c:v>
                </c:pt>
                <c:pt idx="163">
                  <c:v>-3.6745048567899463</c:v>
                </c:pt>
                <c:pt idx="164">
                  <c:v>-3.7451257923713843</c:v>
                </c:pt>
                <c:pt idx="165">
                  <c:v>-3.8155133289409369</c:v>
                </c:pt>
                <c:pt idx="166">
                  <c:v>-3.8873316834012934</c:v>
                </c:pt>
                <c:pt idx="167">
                  <c:v>-3.9589106305660282</c:v>
                </c:pt>
                <c:pt idx="168">
                  <c:v>-4.0302527185196375</c:v>
                </c:pt>
                <c:pt idx="169">
                  <c:v>-4.1013604423350394</c:v>
                </c:pt>
                <c:pt idx="170">
                  <c:v>-4.173754661331234</c:v>
                </c:pt>
                <c:pt idx="171">
                  <c:v>-4.2459094487586508</c:v>
                </c:pt>
                <c:pt idx="172">
                  <c:v>-4.3178273010151624</c:v>
                </c:pt>
                <c:pt idx="173">
                  <c:v>-4.3895106624152431</c:v>
                </c:pt>
                <c:pt idx="174">
                  <c:v>-4.4627602400860162</c:v>
                </c:pt>
                <c:pt idx="175">
                  <c:v>-4.5357683955484482</c:v>
                </c:pt>
                <c:pt idx="176">
                  <c:v>-4.6085376007666206</c:v>
                </c:pt>
                <c:pt idx="177">
                  <c:v>-4.6810702758298168</c:v>
                </c:pt>
                <c:pt idx="178">
                  <c:v>-4.7551436926143138</c:v>
                </c:pt>
                <c:pt idx="179">
                  <c:v>-4.828973785965486</c:v>
                </c:pt>
                <c:pt idx="180">
                  <c:v>-4.9025629981034156</c:v>
                </c:pt>
                <c:pt idx="181">
                  <c:v>-4.9759137197692302</c:v>
                </c:pt>
                <c:pt idx="182">
                  <c:v>-5.0504881900903182</c:v>
                </c:pt>
                <c:pt idx="183">
                  <c:v>-5.1248194014386437</c:v>
                </c:pt>
                <c:pt idx="184">
                  <c:v>-5.1989097338627559</c:v>
                </c:pt>
                <c:pt idx="185">
                  <c:v>-5.2727615172855593</c:v>
                </c:pt>
                <c:pt idx="186">
                  <c:v>-5.3483945403722268</c:v>
                </c:pt>
                <c:pt idx="187">
                  <c:v>-5.4237805676403452</c:v>
                </c:pt>
                <c:pt idx="188">
                  <c:v>-5.4989219694453144</c:v>
                </c:pt>
                <c:pt idx="189">
                  <c:v>-5.5738210659545633</c:v>
                </c:pt>
                <c:pt idx="190">
                  <c:v>-5.6499026002691997</c:v>
                </c:pt>
                <c:pt idx="191">
                  <c:v>-5.7257372044668697</c:v>
                </c:pt>
                <c:pt idx="192">
                  <c:v>-5.8013271816799596</c:v>
                </c:pt>
                <c:pt idx="193">
                  <c:v>-5.8766747864674809</c:v>
                </c:pt>
                <c:pt idx="194">
                  <c:v>-5.9537481239873635</c:v>
                </c:pt>
                <c:pt idx="195">
                  <c:v>-6.0305708732751366</c:v>
                </c:pt>
                <c:pt idx="196">
                  <c:v>-6.1071453198227168</c:v>
                </c:pt>
                <c:pt idx="197">
                  <c:v>-6.1834737008406009</c:v>
                </c:pt>
                <c:pt idx="198">
                  <c:v>-6.2612215782534175</c:v>
                </c:pt>
                <c:pt idx="199">
                  <c:v>-6.3387170706069096</c:v>
                </c:pt>
                <c:pt idx="200">
                  <c:v>-6.4159624174615937</c:v>
                </c:pt>
                <c:pt idx="201">
                  <c:v>-6.4929598112571014</c:v>
                </c:pt>
                <c:pt idx="202">
                  <c:v>-6.5713534009828027</c:v>
                </c:pt>
                <c:pt idx="203">
                  <c:v>-6.6494927762590397</c:v>
                </c:pt>
                <c:pt idx="204">
                  <c:v>-6.7273801295211264</c:v>
                </c:pt>
                <c:pt idx="205">
                  <c:v>-6.8050176073564694</c:v>
                </c:pt>
                <c:pt idx="206">
                  <c:v>-6.8842983764813255</c:v>
                </c:pt>
                <c:pt idx="207">
                  <c:v>-6.9633213078172274</c:v>
                </c:pt>
                <c:pt idx="208">
                  <c:v>-7.0420885679841341</c:v>
                </c:pt>
                <c:pt idx="209">
                  <c:v>-7.1206022785213365</c:v>
                </c:pt>
                <c:pt idx="210">
                  <c:v>-7.2009978626742344</c:v>
                </c:pt>
                <c:pt idx="211">
                  <c:v>-7.2811302608228878</c:v>
                </c:pt>
                <c:pt idx="212">
                  <c:v>-7.3610016327362962</c:v>
                </c:pt>
                <c:pt idx="213">
                  <c:v>-7.4406140934447151</c:v>
                </c:pt>
                <c:pt idx="214">
                  <c:v>-7.5215489572122474</c:v>
                </c:pt>
                <c:pt idx="215">
                  <c:v>-7.6022187924059139</c:v>
                </c:pt>
                <c:pt idx="216">
                  <c:v>-7.6826257073818951</c:v>
                </c:pt>
                <c:pt idx="217">
                  <c:v>-7.7627717674236685</c:v>
                </c:pt>
                <c:pt idx="218">
                  <c:v>-7.8444775264215805</c:v>
                </c:pt>
                <c:pt idx="219">
                  <c:v>-7.9259146369241451</c:v>
                </c:pt>
                <c:pt idx="220">
                  <c:v>-8.0070851768856528</c:v>
                </c:pt>
                <c:pt idx="221">
                  <c:v>-8.0879911823776336</c:v>
                </c:pt>
                <c:pt idx="222">
                  <c:v>-8.1704294565661701</c:v>
                </c:pt>
                <c:pt idx="223">
                  <c:v>-8.2525954447419565</c:v>
                </c:pt>
                <c:pt idx="224">
                  <c:v>-8.3344911943137738</c:v>
                </c:pt>
                <c:pt idx="225">
                  <c:v>-8.416118712103728</c:v>
                </c:pt>
                <c:pt idx="226">
                  <c:v>-8.4995042764222521</c:v>
                </c:pt>
                <c:pt idx="227">
                  <c:v>-8.582612215684831</c:v>
                </c:pt>
                <c:pt idx="228">
                  <c:v>-8.665444565566446</c:v>
                </c:pt>
                <c:pt idx="229">
                  <c:v>-8.7480033220664097</c:v>
                </c:pt>
                <c:pt idx="230">
                  <c:v>-8.9162896915939633</c:v>
                </c:pt>
                <c:pt idx="231">
                  <c:v>-9.0000104842085662</c:v>
                </c:pt>
                <c:pt idx="232">
                  <c:v>-9.0834523412535333</c:v>
                </c:pt>
                <c:pt idx="233">
                  <c:v>-9.1685881002138778</c:v>
                </c:pt>
                <c:pt idx="234">
                  <c:v>-9.2534356137236653</c:v>
                </c:pt>
                <c:pt idx="235">
                  <c:v>-9.3379968929797919</c:v>
                </c:pt>
                <c:pt idx="236">
                  <c:v>-9.4222739117071317</c:v>
                </c:pt>
                <c:pt idx="237">
                  <c:v>-9.5079699385678325</c:v>
                </c:pt>
                <c:pt idx="238">
                  <c:v>-9.5933740893406334</c:v>
                </c:pt>
                <c:pt idx="239">
                  <c:v>-9.678488347038078</c:v>
                </c:pt>
                <c:pt idx="240">
                  <c:v>-9.7633146588536963</c:v>
                </c:pt>
                <c:pt idx="241">
                  <c:v>-9.8500127450114476</c:v>
                </c:pt>
                <c:pt idx="242">
                  <c:v>-9.936412010144565</c:v>
                </c:pt>
                <c:pt idx="243">
                  <c:v>-10.022514444433806</c:v>
                </c:pt>
                <c:pt idx="244">
                  <c:v>-10.108322003147613</c:v>
                </c:pt>
                <c:pt idx="245">
                  <c:v>-10.195728364738731</c:v>
                </c:pt>
                <c:pt idx="246">
                  <c:v>-10.282830660761761</c:v>
                </c:pt>
                <c:pt idx="247">
                  <c:v>-10.369630873253598</c:v>
                </c:pt>
                <c:pt idx="248">
                  <c:v>-10.456130950710115</c:v>
                </c:pt>
                <c:pt idx="249">
                  <c:v>-10.544431583923263</c:v>
                </c:pt>
                <c:pt idx="250">
                  <c:v>-10.632421298727051</c:v>
                </c:pt>
                <c:pt idx="251">
                  <c:v>-10.720102087003216</c:v>
                </c:pt>
                <c:pt idx="252">
                  <c:v>-10.807475908155343</c:v>
                </c:pt>
                <c:pt idx="253">
                  <c:v>-10.896384133305679</c:v>
                </c:pt>
                <c:pt idx="254">
                  <c:v>-10.984976291036784</c:v>
                </c:pt>
                <c:pt idx="255">
                  <c:v>-11.07325436949591</c:v>
                </c:pt>
                <c:pt idx="256">
                  <c:v>-11.161220325792174</c:v>
                </c:pt>
                <c:pt idx="257">
                  <c:v>-11.251142856550951</c:v>
                </c:pt>
                <c:pt idx="258">
                  <c:v>-11.340740960510182</c:v>
                </c:pt>
                <c:pt idx="259">
                  <c:v>-11.430016655382659</c:v>
                </c:pt>
                <c:pt idx="260">
                  <c:v>-11.518971928674073</c:v>
                </c:pt>
                <c:pt idx="261">
                  <c:v>-11.609619525624357</c:v>
                </c:pt>
                <c:pt idx="262">
                  <c:v>-11.699936083241687</c:v>
                </c:pt>
                <c:pt idx="263">
                  <c:v>-11.789923635738404</c:v>
                </c:pt>
                <c:pt idx="264">
                  <c:v>-11.879584188292663</c:v>
                </c:pt>
                <c:pt idx="265">
                  <c:v>-11.97090127532185</c:v>
                </c:pt>
                <c:pt idx="266">
                  <c:v>-12.061880815821528</c:v>
                </c:pt>
                <c:pt idx="267">
                  <c:v>-12.152524863431676</c:v>
                </c:pt>
                <c:pt idx="268">
                  <c:v>-12.242835443923239</c:v>
                </c:pt>
                <c:pt idx="269">
                  <c:v>-12.334983881158726</c:v>
                </c:pt>
                <c:pt idx="270">
                  <c:v>-12.426786762311954</c:v>
                </c:pt>
                <c:pt idx="271">
                  <c:v>-12.518246178251633</c:v>
                </c:pt>
                <c:pt idx="272">
                  <c:v>-12.609364192865218</c:v>
                </c:pt>
                <c:pt idx="273">
                  <c:v>-12.70227976994061</c:v>
                </c:pt>
                <c:pt idx="274">
                  <c:v>-12.794841944721099</c:v>
                </c:pt>
                <c:pt idx="275">
                  <c:v>-12.887052848144124</c:v>
                </c:pt>
                <c:pt idx="276">
                  <c:v>-12.97891458504381</c:v>
                </c:pt>
                <c:pt idx="277">
                  <c:v>-13.072323345423655</c:v>
                </c:pt>
                <c:pt idx="278">
                  <c:v>-13.165372659401296</c:v>
                </c:pt>
                <c:pt idx="279">
                  <c:v>-13.258064686412185</c:v>
                </c:pt>
                <c:pt idx="280">
                  <c:v>-13.350401560858751</c:v>
                </c:pt>
                <c:pt idx="281">
                  <c:v>-13.444872162752311</c:v>
                </c:pt>
                <c:pt idx="282">
                  <c:v>-13.538972597004273</c:v>
                </c:pt>
                <c:pt idx="283">
                  <c:v>-13.632705098599233</c:v>
                </c:pt>
                <c:pt idx="284">
                  <c:v>-13.726071877842516</c:v>
                </c:pt>
                <c:pt idx="285">
                  <c:v>-13.820911093871507</c:v>
                </c:pt>
                <c:pt idx="286">
                  <c:v>-13.915374543698839</c:v>
                </c:pt>
                <c:pt idx="287">
                  <c:v>-14.009464496656477</c:v>
                </c:pt>
                <c:pt idx="288">
                  <c:v>-14.10318319834569</c:v>
                </c:pt>
                <c:pt idx="289">
                  <c:v>-14.198942211408083</c:v>
                </c:pt>
                <c:pt idx="290">
                  <c:v>-14.294315236088648</c:v>
                </c:pt>
                <c:pt idx="291">
                  <c:v>-14.389304623217596</c:v>
                </c:pt>
                <c:pt idx="292">
                  <c:v>-14.483912700154679</c:v>
                </c:pt>
                <c:pt idx="293">
                  <c:v>-14.580314871765665</c:v>
                </c:pt>
                <c:pt idx="294">
                  <c:v>-14.676322762091772</c:v>
                </c:pt>
                <c:pt idx="295">
                  <c:v>-14.771938791376032</c:v>
                </c:pt>
                <c:pt idx="296">
                  <c:v>-14.86716535678366</c:v>
                </c:pt>
                <c:pt idx="297">
                  <c:v>-14.964142545730244</c:v>
                </c:pt>
                <c:pt idx="298">
                  <c:v>-15.060717476899477</c:v>
                </c:pt>
                <c:pt idx="299">
                  <c:v>-15.156892642502884</c:v>
                </c:pt>
                <c:pt idx="300">
                  <c:v>-15.252670511976802</c:v>
                </c:pt>
                <c:pt idx="301">
                  <c:v>-15.350155947794562</c:v>
                </c:pt>
                <c:pt idx="302">
                  <c:v>-15.447231488419488</c:v>
                </c:pt>
                <c:pt idx="303">
                  <c:v>-15.543899700316306</c:v>
                </c:pt>
                <c:pt idx="304">
                  <c:v>-15.640163127375764</c:v>
                </c:pt>
                <c:pt idx="305">
                  <c:v>-15.738467365924595</c:v>
                </c:pt>
                <c:pt idx="306">
                  <c:v>-15.836351227626837</c:v>
                </c:pt>
                <c:pt idx="307">
                  <c:v>-15.933817385623691</c:v>
                </c:pt>
                <c:pt idx="308">
                  <c:v>-16.030868490229498</c:v>
                </c:pt>
                <c:pt idx="309">
                  <c:v>-16.129539198553143</c:v>
                </c:pt>
                <c:pt idx="310">
                  <c:v>-16.227782690409796</c:v>
                </c:pt>
                <c:pt idx="311">
                  <c:v>-16.325601716589997</c:v>
                </c:pt>
                <c:pt idx="312">
                  <c:v>-16.422999005046528</c:v>
                </c:pt>
                <c:pt idx="313">
                  <c:v>-16.522337372542559</c:v>
                </c:pt>
                <c:pt idx="314">
                  <c:v>-16.621238902400464</c:v>
                </c:pt>
                <c:pt idx="315">
                  <c:v>-16.719706455370936</c:v>
                </c:pt>
                <c:pt idx="316">
                  <c:v>-16.817742868897806</c:v>
                </c:pt>
                <c:pt idx="317">
                  <c:v>-16.917669762130661</c:v>
                </c:pt>
                <c:pt idx="318">
                  <c:v>-17.01715068712706</c:v>
                </c:pt>
                <c:pt idx="319">
                  <c:v>-17.116188615581663</c:v>
                </c:pt>
                <c:pt idx="320">
                  <c:v>-17.214786495299524</c:v>
                </c:pt>
                <c:pt idx="321">
                  <c:v>-17.31522488112207</c:v>
                </c:pt>
                <c:pt idx="322">
                  <c:v>-17.41520868266872</c:v>
                </c:pt>
                <c:pt idx="323">
                  <c:v>-17.51474098300649</c:v>
                </c:pt>
                <c:pt idx="324">
                  <c:v>-17.613824840612672</c:v>
                </c:pt>
                <c:pt idx="325">
                  <c:v>-17.714699919811537</c:v>
                </c:pt>
                <c:pt idx="326">
                  <c:v>-17.81511233455565</c:v>
                </c:pt>
                <c:pt idx="327">
                  <c:v>-17.915065279114629</c:v>
                </c:pt>
                <c:pt idx="328">
                  <c:v>-18.014561922350346</c:v>
                </c:pt>
                <c:pt idx="329">
                  <c:v>-18.115970153174345</c:v>
                </c:pt>
                <c:pt idx="330">
                  <c:v>-18.216906625303984</c:v>
                </c:pt>
                <c:pt idx="331">
                  <c:v>-18.31737465995387</c:v>
                </c:pt>
                <c:pt idx="332">
                  <c:v>-18.417377551821982</c:v>
                </c:pt>
                <c:pt idx="333">
                  <c:v>-18.519073795504795</c:v>
                </c:pt>
                <c:pt idx="334">
                  <c:v>-18.620291357352404</c:v>
                </c:pt>
                <c:pt idx="335">
                  <c:v>-18.721033667543491</c:v>
                </c:pt>
                <c:pt idx="336">
                  <c:v>-18.821304128695836</c:v>
                </c:pt>
                <c:pt idx="337">
                  <c:v>-18.923546389928983</c:v>
                </c:pt>
                <c:pt idx="338">
                  <c:v>-19.02530053188508</c:v>
                </c:pt>
                <c:pt idx="339">
                  <c:v>-19.126570125519251</c:v>
                </c:pt>
                <c:pt idx="340">
                  <c:v>-19.227358712711467</c:v>
                </c:pt>
                <c:pt idx="341">
                  <c:v>-19.33006377406398</c:v>
                </c:pt>
                <c:pt idx="342">
                  <c:v>-19.432271962475177</c:v>
                </c:pt>
                <c:pt idx="343">
                  <c:v>-19.533986987317697</c:v>
                </c:pt>
                <c:pt idx="344">
                  <c:v>-19.63521252726645</c:v>
                </c:pt>
                <c:pt idx="345">
                  <c:v>-19.738143660973822</c:v>
                </c:pt>
                <c:pt idx="346">
                  <c:v>-19.840571397480371</c:v>
                </c:pt>
                <c:pt idx="347">
                  <c:v>-19.94249956397034</c:v>
                </c:pt>
                <c:pt idx="348">
                  <c:v>-20.043931955405299</c:v>
                </c:pt>
                <c:pt idx="349">
                  <c:v>-20.147328180318471</c:v>
                </c:pt>
                <c:pt idx="350">
                  <c:v>-20.250212110511509</c:v>
                </c:pt>
                <c:pt idx="351">
                  <c:v>-20.352587722167552</c:v>
                </c:pt>
                <c:pt idx="352">
                  <c:v>-20.454458957242426</c:v>
                </c:pt>
                <c:pt idx="353">
                  <c:v>-20.558237245551226</c:v>
                </c:pt>
                <c:pt idx="354">
                  <c:v>-20.661495106967912</c:v>
                </c:pt>
                <c:pt idx="355">
                  <c:v>-20.764236662211765</c:v>
                </c:pt>
                <c:pt idx="356">
                  <c:v>-20.86646599568704</c:v>
                </c:pt>
                <c:pt idx="357">
                  <c:v>-20.970399283374128</c:v>
                </c:pt>
                <c:pt idx="358">
                  <c:v>-21.073806277788801</c:v>
                </c:pt>
                <c:pt idx="359">
                  <c:v>-21.176691220861091</c:v>
                </c:pt>
                <c:pt idx="360">
                  <c:v>-21.27905831626855</c:v>
                </c:pt>
                <c:pt idx="361">
                  <c:v>-21.383368430256358</c:v>
                </c:pt>
                <c:pt idx="362">
                  <c:v>-21.48714415242636</c:v>
                </c:pt>
                <c:pt idx="363">
                  <c:v>-21.590389876189931</c:v>
                </c:pt>
                <c:pt idx="364">
                  <c:v>-21.693109954283226</c:v>
                </c:pt>
                <c:pt idx="365">
                  <c:v>-21.797573893800713</c:v>
                </c:pt>
                <c:pt idx="366">
                  <c:v>-21.901497635237988</c:v>
                </c:pt>
                <c:pt idx="367">
                  <c:v>-22.004885698467149</c:v>
                </c:pt>
                <c:pt idx="368">
                  <c:v>-22.107742560451662</c:v>
                </c:pt>
                <c:pt idx="369">
                  <c:v>-22.212568732053825</c:v>
                </c:pt>
                <c:pt idx="370">
                  <c:v>-22.31684677772385</c:v>
                </c:pt>
                <c:pt idx="371">
                  <c:v>-22.420581373330943</c:v>
                </c:pt>
                <c:pt idx="372">
                  <c:v>-22.523777149112384</c:v>
                </c:pt>
                <c:pt idx="373">
                  <c:v>-22.628747217246598</c:v>
                </c:pt>
                <c:pt idx="374">
                  <c:v>-22.733163542366452</c:v>
                </c:pt>
                <c:pt idx="375">
                  <c:v>-22.837030929626238</c:v>
                </c:pt>
                <c:pt idx="376">
                  <c:v>-22.94035413605879</c:v>
                </c:pt>
                <c:pt idx="377">
                  <c:v>-23.045664032351642</c:v>
                </c:pt>
                <c:pt idx="378">
                  <c:v>-23.150412555323314</c:v>
                </c:pt>
                <c:pt idx="379">
                  <c:v>-23.254604668100669</c:v>
                </c:pt>
                <c:pt idx="380">
                  <c:v>-23.358245282707522</c:v>
                </c:pt>
                <c:pt idx="381">
                  <c:v>-23.463551766176167</c:v>
                </c:pt>
                <c:pt idx="382">
                  <c:v>-23.568292961447955</c:v>
                </c:pt>
                <c:pt idx="383">
                  <c:v>-23.672473942485645</c:v>
                </c:pt>
                <c:pt idx="384">
                  <c:v>-23.776099729715085</c:v>
                </c:pt>
                <c:pt idx="385">
                  <c:v>-23.8817228824606</c:v>
                </c:pt>
                <c:pt idx="386">
                  <c:v>-23.986773486730417</c:v>
                </c:pt>
                <c:pt idx="387">
                  <c:v>-24.091256774005533</c:v>
                </c:pt>
                <c:pt idx="388">
                  <c:v>-24.195177919046806</c:v>
                </c:pt>
                <c:pt idx="389">
                  <c:v>-24.300910285064145</c:v>
                </c:pt>
                <c:pt idx="390">
                  <c:v>-24.406065157854734</c:v>
                </c:pt>
                <c:pt idx="391">
                  <c:v>-24.510647896635582</c:v>
                </c:pt>
                <c:pt idx="392">
                  <c:v>-24.614663801054345</c:v>
                </c:pt>
                <c:pt idx="393">
                  <c:v>-24.720435146070947</c:v>
                </c:pt>
                <c:pt idx="394">
                  <c:v>-24.825624927482288</c:v>
                </c:pt>
                <c:pt idx="395">
                  <c:v>-24.930238621049551</c:v>
                </c:pt>
                <c:pt idx="396">
                  <c:v>-25.034281640205748</c:v>
                </c:pt>
                <c:pt idx="397">
                  <c:v>-25.140264527652615</c:v>
                </c:pt>
                <c:pt idx="398">
                  <c:v>-25.245659994664663</c:v>
                </c:pt>
                <c:pt idx="399">
                  <c:v>-25.35047365975079</c:v>
                </c:pt>
                <c:pt idx="400">
                  <c:v>-25.454711075858842</c:v>
                </c:pt>
                <c:pt idx="401">
                  <c:v>-25.560711291130392</c:v>
                </c:pt>
                <c:pt idx="402">
                  <c:v>-25.666120485493128</c:v>
                </c:pt>
                <c:pt idx="403">
                  <c:v>-25.770944388743295</c:v>
                </c:pt>
                <c:pt idx="404">
                  <c:v>-25.875188662300555</c:v>
                </c:pt>
                <c:pt idx="405">
                  <c:v>-25.981255089952008</c:v>
                </c:pt>
                <c:pt idx="406">
                  <c:v>-26.086726481777532</c:v>
                </c:pt>
                <c:pt idx="407">
                  <c:v>-26.191608685145699</c:v>
                </c:pt>
                <c:pt idx="408">
                  <c:v>-26.295907476075708</c:v>
                </c:pt>
                <c:pt idx="409">
                  <c:v>-26.402083146102608</c:v>
                </c:pt>
                <c:pt idx="410">
                  <c:v>-26.507659408722255</c:v>
                </c:pt>
                <c:pt idx="411">
                  <c:v>-26.612642234460488</c:v>
                </c:pt>
                <c:pt idx="412">
                  <c:v>-26.717037519371779</c:v>
                </c:pt>
                <c:pt idx="413">
                  <c:v>-26.823250869986019</c:v>
                </c:pt>
                <c:pt idx="414">
                  <c:v>-26.928861376600164</c:v>
                </c:pt>
                <c:pt idx="415">
                  <c:v>-27.033875119087444</c:v>
                </c:pt>
                <c:pt idx="416">
                  <c:v>-27.13829809990478</c:v>
                </c:pt>
                <c:pt idx="417">
                  <c:v>-27.244588808495195</c:v>
                </c:pt>
                <c:pt idx="418">
                  <c:v>-27.350272922594723</c:v>
                </c:pt>
                <c:pt idx="419">
                  <c:v>-27.45535663605116</c:v>
                </c:pt>
                <c:pt idx="420">
                  <c:v>-27.559846062227216</c:v>
                </c:pt>
                <c:pt idx="421">
                  <c:v>-27.666040250286649</c:v>
                </c:pt>
                <c:pt idx="422">
                  <c:v>-27.771626216288769</c:v>
                </c:pt>
                <c:pt idx="423">
                  <c:v>-27.876610235095857</c:v>
                </c:pt>
                <c:pt idx="424">
                  <c:v>-27.980998498553731</c:v>
                </c:pt>
                <c:pt idx="425">
                  <c:v>-28.087343834991387</c:v>
                </c:pt>
                <c:pt idx="426">
                  <c:v>-28.193076635177356</c:v>
                </c:pt>
                <c:pt idx="427">
                  <c:v>-28.298203295946607</c:v>
                </c:pt>
                <c:pt idx="428">
                  <c:v>-28.402730127832605</c:v>
                </c:pt>
                <c:pt idx="429">
                  <c:v>-28.509052560021789</c:v>
                </c:pt>
                <c:pt idx="430">
                  <c:v>-28.614760277586836</c:v>
                </c:pt>
                <c:pt idx="431">
                  <c:v>-28.719859765515537</c:v>
                </c:pt>
                <c:pt idx="432">
                  <c:v>-28.8243574197835</c:v>
                </c:pt>
                <c:pt idx="433">
                  <c:v>-28.9305941922639</c:v>
                </c:pt>
                <c:pt idx="434">
                  <c:v>-29.036214947198818</c:v>
                </c:pt>
                <c:pt idx="435">
                  <c:v>-29.141226242829479</c:v>
                </c:pt>
                <c:pt idx="436">
                  <c:v>-29.245634545932791</c:v>
                </c:pt>
                <c:pt idx="437">
                  <c:v>-29.351917509046615</c:v>
                </c:pt>
                <c:pt idx="438">
                  <c:v>-29.457581775585119</c:v>
                </c:pt>
                <c:pt idx="439">
                  <c:v>-29.562633997910723</c:v>
                </c:pt>
                <c:pt idx="440">
                  <c:v>-29.667080734068918</c:v>
                </c:pt>
                <c:pt idx="441">
                  <c:v>-29.773342914879237</c:v>
                </c:pt>
                <c:pt idx="442">
                  <c:v>-29.878984641427827</c:v>
                </c:pt>
                <c:pt idx="443">
                  <c:v>-29.984012644376339</c:v>
                </c:pt>
                <c:pt idx="444">
                  <c:v>-30.088433557502093</c:v>
                </c:pt>
                <c:pt idx="445">
                  <c:v>-30.194612729382527</c:v>
                </c:pt>
                <c:pt idx="446">
                  <c:v>-30.30017056246297</c:v>
                </c:pt>
                <c:pt idx="447">
                  <c:v>-30.405113850207847</c:v>
                </c:pt>
                <c:pt idx="448">
                  <c:v>-30.509449286925022</c:v>
                </c:pt>
                <c:pt idx="449">
                  <c:v>-30.615665046712333</c:v>
                </c:pt>
                <c:pt idx="450">
                  <c:v>-30.721257332796434</c:v>
                </c:pt>
                <c:pt idx="451">
                  <c:v>-30.826233020595105</c:v>
                </c:pt>
                <c:pt idx="452">
                  <c:v>-30.930598883724358</c:v>
                </c:pt>
                <c:pt idx="453">
                  <c:v>-31.036699108826106</c:v>
                </c:pt>
                <c:pt idx="454">
                  <c:v>-31.142175649049367</c:v>
                </c:pt>
                <c:pt idx="455">
                  <c:v>-31.247035428640899</c:v>
                </c:pt>
                <c:pt idx="456">
                  <c:v>-31.35128526805682</c:v>
                </c:pt>
                <c:pt idx="457">
                  <c:v>-31.457384311428349</c:v>
                </c:pt>
                <c:pt idx="458">
                  <c:v>-31.562858261647992</c:v>
                </c:pt>
                <c:pt idx="459">
                  <c:v>-31.667714110149674</c:v>
                </c:pt>
                <c:pt idx="460">
                  <c:v>-31.771958742231359</c:v>
                </c:pt>
                <c:pt idx="461">
                  <c:v>-31.877994354854348</c:v>
                </c:pt>
                <c:pt idx="462">
                  <c:v>-31.983404336254964</c:v>
                </c:pt>
                <c:pt idx="463">
                  <c:v>-32.088195729026928</c:v>
                </c:pt>
                <c:pt idx="464">
                  <c:v>-32.192375467616088</c:v>
                </c:pt>
                <c:pt idx="465">
                  <c:v>-32.298370717978152</c:v>
                </c:pt>
                <c:pt idx="466">
                  <c:v>-32.403739665223966</c:v>
                </c:pt>
                <c:pt idx="467">
                  <c:v>-32.508489403796588</c:v>
                </c:pt>
                <c:pt idx="468">
                  <c:v>-32.612626917979952</c:v>
                </c:pt>
                <c:pt idx="469">
                  <c:v>-32.718523013040759</c:v>
                </c:pt>
                <c:pt idx="470">
                  <c:v>-32.823792960732661</c:v>
                </c:pt>
                <c:pt idx="471">
                  <c:v>-32.928443891702834</c:v>
                </c:pt>
                <c:pt idx="472">
                  <c:v>-33.032482824770192</c:v>
                </c:pt>
                <c:pt idx="473">
                  <c:v>-33.138379389817857</c:v>
                </c:pt>
                <c:pt idx="474">
                  <c:v>-33.243648919852987</c:v>
                </c:pt>
                <c:pt idx="475">
                  <c:v>-33.348298597916539</c:v>
                </c:pt>
                <c:pt idx="476">
                  <c:v>-33.452335493233733</c:v>
                </c:pt>
                <c:pt idx="477">
                  <c:v>-33.558171775401917</c:v>
                </c:pt>
                <c:pt idx="478">
                  <c:v>-33.66338097950586</c:v>
                </c:pt>
                <c:pt idx="479">
                  <c:v>-33.7679703249798</c:v>
                </c:pt>
                <c:pt idx="480">
                  <c:v>-33.871946915811662</c:v>
                </c:pt>
                <c:pt idx="481">
                  <c:v>-33.977666766678226</c:v>
                </c:pt>
                <c:pt idx="482">
                  <c:v>-34.082760285059656</c:v>
                </c:pt>
                <c:pt idx="483">
                  <c:v>-34.187234711544612</c:v>
                </c:pt>
                <c:pt idx="484">
                  <c:v>-34.291097169995517</c:v>
                </c:pt>
                <c:pt idx="485">
                  <c:v>-34.396720522983934</c:v>
                </c:pt>
                <c:pt idx="486">
                  <c:v>-34.50171817535491</c:v>
                </c:pt>
                <c:pt idx="487">
                  <c:v>-34.606097389139507</c:v>
                </c:pt>
                <c:pt idx="488">
                  <c:v>-34.70986530838583</c:v>
                </c:pt>
                <c:pt idx="489">
                  <c:v>-34.815479598112454</c:v>
                </c:pt>
                <c:pt idx="490">
                  <c:v>-34.920467903865806</c:v>
                </c:pt>
                <c:pt idx="491">
                  <c:v>-35.024837523462033</c:v>
                </c:pt>
                <c:pt idx="492">
                  <c:v>-35.128595635194337</c:v>
                </c:pt>
                <c:pt idx="493">
                  <c:v>-35.234142676927853</c:v>
                </c:pt>
                <c:pt idx="494">
                  <c:v>-35.339064253043311</c:v>
                </c:pt>
                <c:pt idx="495">
                  <c:v>-35.443367681679881</c:v>
                </c:pt>
                <c:pt idx="496">
                  <c:v>-35.547060160276978</c:v>
                </c:pt>
                <c:pt idx="497">
                  <c:v>-35.652553025873694</c:v>
                </c:pt>
                <c:pt idx="498">
                  <c:v>-35.757420900603861</c:v>
                </c:pt>
                <c:pt idx="499">
                  <c:v>-35.861671122195467</c:v>
                </c:pt>
                <c:pt idx="500">
                  <c:v>-35.96531090654517</c:v>
                </c:pt>
                <c:pt idx="501">
                  <c:v>-36.07076069239384</c:v>
                </c:pt>
                <c:pt idx="502">
                  <c:v>-36.175585938526453</c:v>
                </c:pt>
                <c:pt idx="503">
                  <c:v>-36.279794001236624</c:v>
                </c:pt>
                <c:pt idx="504">
                  <c:v>-36.383392113906538</c:v>
                </c:pt>
                <c:pt idx="505">
                  <c:v>-36.488744403444997</c:v>
                </c:pt>
                <c:pt idx="506">
                  <c:v>-36.593473350842302</c:v>
                </c:pt>
                <c:pt idx="507">
                  <c:v>-36.69758631638696</c:v>
                </c:pt>
                <c:pt idx="508">
                  <c:v>-36.80109053673042</c:v>
                </c:pt>
                <c:pt idx="509">
                  <c:v>-36.906357406544842</c:v>
                </c:pt>
                <c:pt idx="510">
                  <c:v>-37.011002089234651</c:v>
                </c:pt>
                <c:pt idx="511">
                  <c:v>-37.115031948433376</c:v>
                </c:pt>
                <c:pt idx="512">
                  <c:v>-37.218454223458316</c:v>
                </c:pt>
                <c:pt idx="513">
                  <c:v>-37.323706781988982</c:v>
                </c:pt>
                <c:pt idx="514">
                  <c:v>-37.4283375676847</c:v>
                </c:pt>
                <c:pt idx="515">
                  <c:v>-37.532353959339389</c:v>
                </c:pt>
                <c:pt idx="516">
                  <c:v>-37.635763210516153</c:v>
                </c:pt>
                <c:pt idx="517">
                  <c:v>-37.740946620550261</c:v>
                </c:pt>
                <c:pt idx="518">
                  <c:v>-37.845509412611037</c:v>
                </c:pt>
                <c:pt idx="519">
                  <c:v>-37.949458966280659</c:v>
                </c:pt>
                <c:pt idx="520">
                  <c:v>-38.052802535349308</c:v>
                </c:pt>
                <c:pt idx="521">
                  <c:v>-38.157924201035101</c:v>
                </c:pt>
                <c:pt idx="522">
                  <c:v>-38.262426407519733</c:v>
                </c:pt>
                <c:pt idx="523">
                  <c:v>-38.36631653390257</c:v>
                </c:pt>
                <c:pt idx="524">
                  <c:v>-38.469601832988729</c:v>
                </c:pt>
                <c:pt idx="525">
                  <c:v>-38.574667828942324</c:v>
                </c:pt>
                <c:pt idx="526">
                  <c:v>-38.679115541423307</c:v>
                </c:pt>
                <c:pt idx="527">
                  <c:v>-38.782952347610909</c:v>
                </c:pt>
                <c:pt idx="528">
                  <c:v>-38.886185497949882</c:v>
                </c:pt>
                <c:pt idx="529">
                  <c:v>-38.991200689510627</c:v>
                </c:pt>
                <c:pt idx="530">
                  <c:v>-39.095598802039888</c:v>
                </c:pt>
                <c:pt idx="531">
                  <c:v>-39.199387209214109</c:v>
                </c:pt>
                <c:pt idx="532">
                  <c:v>-39.302573157599632</c:v>
                </c:pt>
                <c:pt idx="533">
                  <c:v>-39.407595345401873</c:v>
                </c:pt>
                <c:pt idx="534">
                  <c:v>-39.512001065672436</c:v>
                </c:pt>
                <c:pt idx="535">
                  <c:v>-39.615797698195493</c:v>
                </c:pt>
                <c:pt idx="536">
                  <c:v>-39.718992495075852</c:v>
                </c:pt>
                <c:pt idx="537">
                  <c:v>-39.823915148053871</c:v>
                </c:pt>
                <c:pt idx="538">
                  <c:v>-39.928223273052474</c:v>
                </c:pt>
                <c:pt idx="539">
                  <c:v>-40.031924231251253</c:v>
                </c:pt>
                <c:pt idx="540">
                  <c:v>-40.135025256176185</c:v>
                </c:pt>
                <c:pt idx="541">
                  <c:v>-40.239957138446449</c:v>
                </c:pt>
                <c:pt idx="542">
                  <c:v>-40.34427524054685</c:v>
                </c:pt>
                <c:pt idx="543">
                  <c:v>-40.447986925519324</c:v>
                </c:pt>
                <c:pt idx="544">
                  <c:v>-40.551099428331824</c:v>
                </c:pt>
                <c:pt idx="545">
                  <c:v>-40.655987694134353</c:v>
                </c:pt>
                <c:pt idx="546">
                  <c:v>-40.760263622425086</c:v>
                </c:pt>
                <c:pt idx="547">
                  <c:v>-40.863934564835716</c:v>
                </c:pt>
                <c:pt idx="548">
                  <c:v>-40.967007744834582</c:v>
                </c:pt>
                <c:pt idx="549">
                  <c:v>-41.071852868047401</c:v>
                </c:pt>
                <c:pt idx="550">
                  <c:v>-41.17608716616899</c:v>
                </c:pt>
                <c:pt idx="551">
                  <c:v>-41.279717977402129</c:v>
                </c:pt>
                <c:pt idx="552">
                  <c:v>-41.382752511767308</c:v>
                </c:pt>
                <c:pt idx="553">
                  <c:v>-41.487602426139304</c:v>
                </c:pt>
                <c:pt idx="554">
                  <c:v>-41.591842545706321</c:v>
                </c:pt>
                <c:pt idx="555">
                  <c:v>-41.695480203205307</c:v>
                </c:pt>
                <c:pt idx="556">
                  <c:v>-41.798522603009225</c:v>
                </c:pt>
                <c:pt idx="557">
                  <c:v>-42.007615352839558</c:v>
                </c:pt>
                <c:pt idx="558">
                  <c:v>-42.214302698809092</c:v>
                </c:pt>
                <c:pt idx="559">
                  <c:v>-42.423298347148588</c:v>
                </c:pt>
                <c:pt idx="560">
                  <c:v>-42.629895729259715</c:v>
                </c:pt>
                <c:pt idx="561">
                  <c:v>-42.838969918551506</c:v>
                </c:pt>
                <c:pt idx="562">
                  <c:v>-43.045649252686658</c:v>
                </c:pt>
                <c:pt idx="563">
                  <c:v>-43.254350398692253</c:v>
                </c:pt>
                <c:pt idx="564">
                  <c:v>-43.460670639480242</c:v>
                </c:pt>
                <c:pt idx="565">
                  <c:v>-43.669779630583193</c:v>
                </c:pt>
                <c:pt idx="566">
                  <c:v>-43.87650421338067</c:v>
                </c:pt>
                <c:pt idx="567">
                  <c:v>-44.08589835132392</c:v>
                </c:pt>
                <c:pt idx="568">
                  <c:v>-44.29290766960635</c:v>
                </c:pt>
                <c:pt idx="569">
                  <c:v>-44.501659183983342</c:v>
                </c:pt>
                <c:pt idx="570">
                  <c:v>-44.708046699823917</c:v>
                </c:pt>
                <c:pt idx="571">
                  <c:v>-44.917696469477136</c:v>
                </c:pt>
                <c:pt idx="572">
                  <c:v>-45.124968586550942</c:v>
                </c:pt>
                <c:pt idx="573">
                  <c:v>-45.333808771854585</c:v>
                </c:pt>
                <c:pt idx="574">
                  <c:v>-45.540296366885144</c:v>
                </c:pt>
                <c:pt idx="575">
                  <c:v>-45.749810115858821</c:v>
                </c:pt>
                <c:pt idx="576">
                  <c:v>-45.956963309259663</c:v>
                </c:pt>
                <c:pt idx="577">
                  <c:v>-46.809068740655647</c:v>
                </c:pt>
                <c:pt idx="578">
                  <c:v>-47.623725566956068</c:v>
                </c:pt>
                <c:pt idx="579">
                  <c:v>-49.293896495450547</c:v>
                </c:pt>
                <c:pt idx="580">
                  <c:v>-50.972192005727017</c:v>
                </c:pt>
                <c:pt idx="581">
                  <c:v>-52.658314875964734</c:v>
                </c:pt>
                <c:pt idx="582">
                  <c:v>-54.355608967825916</c:v>
                </c:pt>
                <c:pt idx="583">
                  <c:v>-56.065221851385651</c:v>
                </c:pt>
                <c:pt idx="584">
                  <c:v>-57.790981999017454</c:v>
                </c:pt>
                <c:pt idx="585">
                  <c:v>-59.534563068009739</c:v>
                </c:pt>
                <c:pt idx="586">
                  <c:v>-61.29895969701635</c:v>
                </c:pt>
                <c:pt idx="587">
                  <c:v>-63.087910414321072</c:v>
                </c:pt>
                <c:pt idx="588">
                  <c:v>-64.902447865749707</c:v>
                </c:pt>
                <c:pt idx="589">
                  <c:v>-66.746633883783929</c:v>
                </c:pt>
                <c:pt idx="590">
                  <c:v>-68.622150767839514</c:v>
                </c:pt>
                <c:pt idx="591">
                  <c:v>-70.531177102863111</c:v>
                </c:pt>
                <c:pt idx="592">
                  <c:v>-72.475008089442824</c:v>
                </c:pt>
                <c:pt idx="593">
                  <c:v>-74.455237382339163</c:v>
                </c:pt>
                <c:pt idx="594">
                  <c:v>-76.471758788020765</c:v>
                </c:pt>
                <c:pt idx="595">
                  <c:v>-78.52477013990071</c:v>
                </c:pt>
                <c:pt idx="596">
                  <c:v>-80.613040323396703</c:v>
                </c:pt>
                <c:pt idx="597">
                  <c:v>-82.735652039018021</c:v>
                </c:pt>
                <c:pt idx="598">
                  <c:v>-84.890251376720286</c:v>
                </c:pt>
                <c:pt idx="599">
                  <c:v>-87.07520178385289</c:v>
                </c:pt>
                <c:pt idx="600">
                  <c:v>-89.287743993437587</c:v>
                </c:pt>
              </c:numCache>
            </c:numRef>
          </c:yVal>
          <c:smooth val="0"/>
        </c:ser>
        <c:dLbls>
          <c:showLegendKey val="0"/>
          <c:showVal val="0"/>
          <c:showCatName val="0"/>
          <c:showSerName val="0"/>
          <c:showPercent val="0"/>
          <c:showBubbleSize val="0"/>
        </c:dLbls>
        <c:axId val="-1650384224"/>
        <c:axId val="-1650391296"/>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160.37987672217676</c:v>
                </c:pt>
                <c:pt idx="1">
                  <c:v>158.63318758582199</c:v>
                </c:pt>
                <c:pt idx="2">
                  <c:v>156.7596024797696</c:v>
                </c:pt>
                <c:pt idx="3">
                  <c:v>154.75737427469323</c:v>
                </c:pt>
                <c:pt idx="4">
                  <c:v>152.62816413946089</c:v>
                </c:pt>
                <c:pt idx="5">
                  <c:v>150.37095005288026</c:v>
                </c:pt>
                <c:pt idx="6">
                  <c:v>147.99411907530839</c:v>
                </c:pt>
                <c:pt idx="7">
                  <c:v>145.50439069944875</c:v>
                </c:pt>
                <c:pt idx="8">
                  <c:v>142.91493887577838</c:v>
                </c:pt>
                <c:pt idx="9">
                  <c:v>140.23815436760796</c:v>
                </c:pt>
                <c:pt idx="10">
                  <c:v>137.49260244600293</c:v>
                </c:pt>
                <c:pt idx="11">
                  <c:v>134.69715661513948</c:v>
                </c:pt>
                <c:pt idx="12">
                  <c:v>131.87104940320597</c:v>
                </c:pt>
                <c:pt idx="13">
                  <c:v>129.03838107010057</c:v>
                </c:pt>
                <c:pt idx="14">
                  <c:v>126.21804867832353</c:v>
                </c:pt>
                <c:pt idx="15">
                  <c:v>123.43121711454509</c:v>
                </c:pt>
                <c:pt idx="16">
                  <c:v>120.69594310641799</c:v>
                </c:pt>
                <c:pt idx="17">
                  <c:v>118.02858279791016</c:v>
                </c:pt>
                <c:pt idx="18">
                  <c:v>115.44176580897249</c:v>
                </c:pt>
                <c:pt idx="19">
                  <c:v>112.94698092165902</c:v>
                </c:pt>
                <c:pt idx="20">
                  <c:v>110.55208402525791</c:v>
                </c:pt>
                <c:pt idx="21">
                  <c:v>108.26382830793889</c:v>
                </c:pt>
                <c:pt idx="22">
                  <c:v>106.08635927333269</c:v>
                </c:pt>
                <c:pt idx="23">
                  <c:v>104.02370929880689</c:v>
                </c:pt>
                <c:pt idx="24">
                  <c:v>102.07819491869978</c:v>
                </c:pt>
                <c:pt idx="25">
                  <c:v>100.25272862705609</c:v>
                </c:pt>
                <c:pt idx="26">
                  <c:v>98.549546673187848</c:v>
                </c:pt>
                <c:pt idx="27">
                  <c:v>96.971993224093879</c:v>
                </c:pt>
                <c:pt idx="28">
                  <c:v>95.522849181459648</c:v>
                </c:pt>
                <c:pt idx="29">
                  <c:v>94.205588251240044</c:v>
                </c:pt>
                <c:pt idx="30">
                  <c:v>93.020215155937521</c:v>
                </c:pt>
                <c:pt idx="31">
                  <c:v>91.969629918038166</c:v>
                </c:pt>
                <c:pt idx="32">
                  <c:v>91.052660563130587</c:v>
                </c:pt>
                <c:pt idx="33">
                  <c:v>90.267502852858613</c:v>
                </c:pt>
                <c:pt idx="34">
                  <c:v>89.60884302017071</c:v>
                </c:pt>
                <c:pt idx="35">
                  <c:v>89.070076693364697</c:v>
                </c:pt>
                <c:pt idx="36">
                  <c:v>88.64195740630214</c:v>
                </c:pt>
                <c:pt idx="37">
                  <c:v>88.313489155147138</c:v>
                </c:pt>
                <c:pt idx="38">
                  <c:v>88.072994086483973</c:v>
                </c:pt>
                <c:pt idx="39">
                  <c:v>87.907715501393582</c:v>
                </c:pt>
                <c:pt idx="40">
                  <c:v>87.805249408789749</c:v>
                </c:pt>
                <c:pt idx="41">
                  <c:v>87.753640998465428</c:v>
                </c:pt>
                <c:pt idx="42">
                  <c:v>87.741888890720674</c:v>
                </c:pt>
                <c:pt idx="43">
                  <c:v>87.760174441048505</c:v>
                </c:pt>
                <c:pt idx="44">
                  <c:v>87.79998085319896</c:v>
                </c:pt>
                <c:pt idx="45">
                  <c:v>87.854112562838651</c:v>
                </c:pt>
                <c:pt idx="46">
                  <c:v>87.91660038325908</c:v>
                </c:pt>
                <c:pt idx="47">
                  <c:v>87.982624500278874</c:v>
                </c:pt>
                <c:pt idx="48">
                  <c:v>88.04831603222803</c:v>
                </c:pt>
                <c:pt idx="49">
                  <c:v>88.110664917858784</c:v>
                </c:pt>
                <c:pt idx="50">
                  <c:v>88.16731103808327</c:v>
                </c:pt>
                <c:pt idx="51">
                  <c:v>88.216454913674184</c:v>
                </c:pt>
                <c:pt idx="52">
                  <c:v>88.256687257046067</c:v>
                </c:pt>
                <c:pt idx="53">
                  <c:v>88.286934251357778</c:v>
                </c:pt>
                <c:pt idx="54">
                  <c:v>88.306339275108726</c:v>
                </c:pt>
                <c:pt idx="55">
                  <c:v>88.314235411206255</c:v>
                </c:pt>
                <c:pt idx="56">
                  <c:v>88.310003572437623</c:v>
                </c:pt>
                <c:pt idx="57">
                  <c:v>88.293094616572176</c:v>
                </c:pt>
                <c:pt idx="58">
                  <c:v>88.262986598399721</c:v>
                </c:pt>
                <c:pt idx="59">
                  <c:v>88.219101073644723</c:v>
                </c:pt>
                <c:pt idx="60">
                  <c:v>88.160857910255331</c:v>
                </c:pt>
                <c:pt idx="61">
                  <c:v>88.087585413060111</c:v>
                </c:pt>
                <c:pt idx="62">
                  <c:v>87.998480534542267</c:v>
                </c:pt>
                <c:pt idx="63">
                  <c:v>87.892773360930533</c:v>
                </c:pt>
                <c:pt idx="64">
                  <c:v>87.769411861431848</c:v>
                </c:pt>
                <c:pt idx="65">
                  <c:v>87.627335555724443</c:v>
                </c:pt>
                <c:pt idx="66">
                  <c:v>87.465290138545726</c:v>
                </c:pt>
                <c:pt idx="67">
                  <c:v>87.281901710383792</c:v>
                </c:pt>
                <c:pt idx="68">
                  <c:v>87.075545141727005</c:v>
                </c:pt>
                <c:pt idx="69">
                  <c:v>86.844518813853753</c:v>
                </c:pt>
                <c:pt idx="70">
                  <c:v>86.586822020003382</c:v>
                </c:pt>
                <c:pt idx="71">
                  <c:v>86.300337369361813</c:v>
                </c:pt>
                <c:pt idx="72">
                  <c:v>85.982600077020066</c:v>
                </c:pt>
                <c:pt idx="73">
                  <c:v>85.631036176744971</c:v>
                </c:pt>
                <c:pt idx="74">
                  <c:v>85.242632722186343</c:v>
                </c:pt>
                <c:pt idx="75">
                  <c:v>84.81423054141473</c:v>
                </c:pt>
                <c:pt idx="76">
                  <c:v>84.342192725575615</c:v>
                </c:pt>
                <c:pt idx="77">
                  <c:v>83.822804449395619</c:v>
                </c:pt>
                <c:pt idx="78">
                  <c:v>83.251846140508349</c:v>
                </c:pt>
                <c:pt idx="79">
                  <c:v>82.625150579661081</c:v>
                </c:pt>
                <c:pt idx="80">
                  <c:v>81.93665140026684</c:v>
                </c:pt>
                <c:pt idx="81">
                  <c:v>81.181864635552373</c:v>
                </c:pt>
                <c:pt idx="82">
                  <c:v>80.354472802680846</c:v>
                </c:pt>
                <c:pt idx="83">
                  <c:v>79.44883930384097</c:v>
                </c:pt>
                <c:pt idx="84">
                  <c:v>78.457605381291685</c:v>
                </c:pt>
                <c:pt idx="85">
                  <c:v>77.374233942952813</c:v>
                </c:pt>
                <c:pt idx="86">
                  <c:v>76.191143248602017</c:v>
                </c:pt>
                <c:pt idx="87">
                  <c:v>74.899851649828264</c:v>
                </c:pt>
                <c:pt idx="88">
                  <c:v>73.493572080420648</c:v>
                </c:pt>
                <c:pt idx="89">
                  <c:v>71.963060399118461</c:v>
                </c:pt>
                <c:pt idx="90">
                  <c:v>70.300756469671555</c:v>
                </c:pt>
                <c:pt idx="91">
                  <c:v>68.498703838068764</c:v>
                </c:pt>
                <c:pt idx="92">
                  <c:v>66.549909338929425</c:v>
                </c:pt>
                <c:pt idx="93">
                  <c:v>64.447444359642574</c:v>
                </c:pt>
                <c:pt idx="94">
                  <c:v>63.897469874532263</c:v>
                </c:pt>
                <c:pt idx="95">
                  <c:v>63.617017809872166</c:v>
                </c:pt>
                <c:pt idx="96">
                  <c:v>63.337291362667344</c:v>
                </c:pt>
                <c:pt idx="97">
                  <c:v>63.051837008094552</c:v>
                </c:pt>
                <c:pt idx="98">
                  <c:v>62.767153390115155</c:v>
                </c:pt>
                <c:pt idx="99">
                  <c:v>62.476601219352446</c:v>
                </c:pt>
                <c:pt idx="100">
                  <c:v>62.18686774206931</c:v>
                </c:pt>
                <c:pt idx="101">
                  <c:v>61.891352001344657</c:v>
                </c:pt>
                <c:pt idx="102">
                  <c:v>61.596704572952191</c:v>
                </c:pt>
                <c:pt idx="103">
                  <c:v>61.295926419456649</c:v>
                </c:pt>
                <c:pt idx="104">
                  <c:v>60.996070527420969</c:v>
                </c:pt>
                <c:pt idx="105">
                  <c:v>60.69018179033074</c:v>
                </c:pt>
                <c:pt idx="106">
                  <c:v>60.385271072813126</c:v>
                </c:pt>
                <c:pt idx="107">
                  <c:v>60.074428741194723</c:v>
                </c:pt>
                <c:pt idx="108">
                  <c:v>59.764621956178203</c:v>
                </c:pt>
                <c:pt idx="109">
                  <c:v>59.448773466985699</c:v>
                </c:pt>
                <c:pt idx="110">
                  <c:v>59.134021268240588</c:v>
                </c:pt>
                <c:pt idx="111">
                  <c:v>58.812912020971183</c:v>
                </c:pt>
                <c:pt idx="112">
                  <c:v>58.492964676123535</c:v>
                </c:pt>
                <c:pt idx="113">
                  <c:v>58.166780945955495</c:v>
                </c:pt>
                <c:pt idx="114">
                  <c:v>57.841826658330064</c:v>
                </c:pt>
                <c:pt idx="115">
                  <c:v>57.510550459456709</c:v>
                </c:pt>
                <c:pt idx="116">
                  <c:v>57.180574749653232</c:v>
                </c:pt>
                <c:pt idx="117">
                  <c:v>56.844200333175564</c:v>
                </c:pt>
                <c:pt idx="118">
                  <c:v>56.509201039665399</c:v>
                </c:pt>
                <c:pt idx="119">
                  <c:v>56.167941759034292</c:v>
                </c:pt>
                <c:pt idx="120">
                  <c:v>55.828134128877082</c:v>
                </c:pt>
                <c:pt idx="121">
                  <c:v>55.482004365699609</c:v>
                </c:pt>
                <c:pt idx="122">
                  <c:v>55.137406380253552</c:v>
                </c:pt>
                <c:pt idx="123">
                  <c:v>54.786230542674843</c:v>
                </c:pt>
                <c:pt idx="124">
                  <c:v>54.436672131860519</c:v>
                </c:pt>
                <c:pt idx="125">
                  <c:v>54.080697392233148</c:v>
                </c:pt>
                <c:pt idx="126">
                  <c:v>53.726427593690318</c:v>
                </c:pt>
                <c:pt idx="127">
                  <c:v>53.365708025709964</c:v>
                </c:pt>
                <c:pt idx="128">
                  <c:v>53.00678460863017</c:v>
                </c:pt>
                <c:pt idx="129">
                  <c:v>52.641387938513162</c:v>
                </c:pt>
                <c:pt idx="130">
                  <c:v>52.277882325409763</c:v>
                </c:pt>
                <c:pt idx="131">
                  <c:v>51.907890111452105</c:v>
                </c:pt>
                <c:pt idx="132">
                  <c:v>51.723639843008101</c:v>
                </c:pt>
                <c:pt idx="133">
                  <c:v>51.539887539781148</c:v>
                </c:pt>
                <c:pt idx="134">
                  <c:v>51.352283524196423</c:v>
                </c:pt>
                <c:pt idx="135">
                  <c:v>51.165202514613128</c:v>
                </c:pt>
                <c:pt idx="136">
                  <c:v>50.978645019821045</c:v>
                </c:pt>
                <c:pt idx="137">
                  <c:v>50.792611522149912</c:v>
                </c:pt>
                <c:pt idx="138">
                  <c:v>50.602896806158299</c:v>
                </c:pt>
                <c:pt idx="139">
                  <c:v>50.413731087473451</c:v>
                </c:pt>
                <c:pt idx="140">
                  <c:v>50.225114797543</c:v>
                </c:pt>
                <c:pt idx="141">
                  <c:v>50.037048339809218</c:v>
                </c:pt>
                <c:pt idx="142">
                  <c:v>49.845092119470081</c:v>
                </c:pt>
                <c:pt idx="143">
                  <c:v>49.653712884069847</c:v>
                </c:pt>
                <c:pt idx="144">
                  <c:v>49.4629109768116</c:v>
                </c:pt>
                <c:pt idx="145">
                  <c:v>49.272686711209786</c:v>
                </c:pt>
                <c:pt idx="146">
                  <c:v>49.078654231455261</c:v>
                </c:pt>
                <c:pt idx="147">
                  <c:v>48.885227034446359</c:v>
                </c:pt>
                <c:pt idx="148">
                  <c:v>48.692405361275405</c:v>
                </c:pt>
                <c:pt idx="149">
                  <c:v>48.500189421707006</c:v>
                </c:pt>
                <c:pt idx="150">
                  <c:v>48.304156272805727</c:v>
                </c:pt>
                <c:pt idx="151">
                  <c:v>48.108757537275494</c:v>
                </c:pt>
                <c:pt idx="152">
                  <c:v>47.913993339968926</c:v>
                </c:pt>
                <c:pt idx="153">
                  <c:v>47.719863772774346</c:v>
                </c:pt>
                <c:pt idx="154">
                  <c:v>47.521821577384998</c:v>
                </c:pt>
                <c:pt idx="155">
                  <c:v>47.324444333301557</c:v>
                </c:pt>
                <c:pt idx="156">
                  <c:v>47.127732034035404</c:v>
                </c:pt>
                <c:pt idx="157">
                  <c:v>46.931684638452055</c:v>
                </c:pt>
                <c:pt idx="158">
                  <c:v>46.731726559712683</c:v>
                </c:pt>
                <c:pt idx="159">
                  <c:v>46.532464749938157</c:v>
                </c:pt>
                <c:pt idx="160">
                  <c:v>46.33389905484691</c:v>
                </c:pt>
                <c:pt idx="161">
                  <c:v>46.136029283865042</c:v>
                </c:pt>
                <c:pt idx="162">
                  <c:v>45.93434386886571</c:v>
                </c:pt>
                <c:pt idx="163">
                  <c:v>45.733386128861497</c:v>
                </c:pt>
                <c:pt idx="164">
                  <c:v>45.533155744843668</c:v>
                </c:pt>
                <c:pt idx="165">
                  <c:v>45.33365235998636</c:v>
                </c:pt>
                <c:pt idx="166">
                  <c:v>45.130168255795525</c:v>
                </c:pt>
                <c:pt idx="167">
                  <c:v>44.927445181202813</c:v>
                </c:pt>
                <c:pt idx="168">
                  <c:v>44.725482633387884</c:v>
                </c:pt>
                <c:pt idx="169">
                  <c:v>44.52428007013512</c:v>
                </c:pt>
                <c:pt idx="170">
                  <c:v>44.319543873464596</c:v>
                </c:pt>
                <c:pt idx="171">
                  <c:v>44.11559936170471</c:v>
                </c:pt>
                <c:pt idx="172">
                  <c:v>43.912445833169613</c:v>
                </c:pt>
                <c:pt idx="173">
                  <c:v>43.710082545642848</c:v>
                </c:pt>
                <c:pt idx="174">
                  <c:v>43.503437218755636</c:v>
                </c:pt>
                <c:pt idx="175">
                  <c:v>43.297620771185308</c:v>
                </c:pt>
                <c:pt idx="176">
                  <c:v>43.092632274376115</c:v>
                </c:pt>
                <c:pt idx="177">
                  <c:v>42.888470757623054</c:v>
                </c:pt>
                <c:pt idx="178">
                  <c:v>42.680145550443854</c:v>
                </c:pt>
                <c:pt idx="179">
                  <c:v>42.472686298585018</c:v>
                </c:pt>
                <c:pt idx="180">
                  <c:v>42.266091824602626</c:v>
                </c:pt>
                <c:pt idx="181">
                  <c:v>42.060360907514877</c:v>
                </c:pt>
                <c:pt idx="182">
                  <c:v>41.851403697540576</c:v>
                </c:pt>
                <c:pt idx="183">
                  <c:v>41.643342230913731</c:v>
                </c:pt>
                <c:pt idx="184">
                  <c:v>41.436175076623243</c:v>
                </c:pt>
                <c:pt idx="185">
                  <c:v>41.229900759684909</c:v>
                </c:pt>
                <c:pt idx="186">
                  <c:v>41.018892352127551</c:v>
                </c:pt>
                <c:pt idx="187">
                  <c:v>40.808823177090289</c:v>
                </c:pt>
                <c:pt idx="188">
                  <c:v>40.599691494916414</c:v>
                </c:pt>
                <c:pt idx="189">
                  <c:v>40.391495520453674</c:v>
                </c:pt>
                <c:pt idx="190">
                  <c:v>40.180287109321029</c:v>
                </c:pt>
                <c:pt idx="191">
                  <c:v>39.970046577005661</c:v>
                </c:pt>
                <c:pt idx="192">
                  <c:v>39.7607718939758</c:v>
                </c:pt>
                <c:pt idx="193">
                  <c:v>39.552460985391207</c:v>
                </c:pt>
                <c:pt idx="194">
                  <c:v>39.339688526193441</c:v>
                </c:pt>
                <c:pt idx="195">
                  <c:v>39.12792646900624</c:v>
                </c:pt>
                <c:pt idx="196">
                  <c:v>38.917172428805458</c:v>
                </c:pt>
                <c:pt idx="197">
                  <c:v>38.707423974445618</c:v>
                </c:pt>
                <c:pt idx="198">
                  <c:v>38.494118768268294</c:v>
                </c:pt>
                <c:pt idx="199">
                  <c:v>38.28185839427627</c:v>
                </c:pt>
                <c:pt idx="200">
                  <c:v>38.070640115457024</c:v>
                </c:pt>
                <c:pt idx="201">
                  <c:v>37.86046114894728</c:v>
                </c:pt>
                <c:pt idx="202">
                  <c:v>37.646848364583661</c:v>
                </c:pt>
                <c:pt idx="203">
                  <c:v>37.434313901112688</c:v>
                </c:pt>
                <c:pt idx="204">
                  <c:v>37.222854651848564</c:v>
                </c:pt>
                <c:pt idx="205">
                  <c:v>37.012467464941693</c:v>
                </c:pt>
                <c:pt idx="206">
                  <c:v>36.798039342245573</c:v>
                </c:pt>
                <c:pt idx="207">
                  <c:v>36.584729565407059</c:v>
                </c:pt>
                <c:pt idx="208">
                  <c:v>36.372534605608507</c:v>
                </c:pt>
                <c:pt idx="209">
                  <c:v>36.161450889397059</c:v>
                </c:pt>
                <c:pt idx="210">
                  <c:v>35.945757163859781</c:v>
                </c:pt>
                <c:pt idx="211">
                  <c:v>35.731228407795896</c:v>
                </c:pt>
                <c:pt idx="212">
                  <c:v>35.517860608130036</c:v>
                </c:pt>
                <c:pt idx="213">
                  <c:v>35.305649707639191</c:v>
                </c:pt>
                <c:pt idx="214">
                  <c:v>35.090396158530353</c:v>
                </c:pt>
                <c:pt idx="215">
                  <c:v>34.87633743078149</c:v>
                </c:pt>
                <c:pt idx="216">
                  <c:v>34.663469086521843</c:v>
                </c:pt>
                <c:pt idx="217">
                  <c:v>34.451786645951699</c:v>
                </c:pt>
                <c:pt idx="218">
                  <c:v>34.236499630260852</c:v>
                </c:pt>
                <c:pt idx="219">
                  <c:v>34.022443607248562</c:v>
                </c:pt>
                <c:pt idx="220">
                  <c:v>33.80961365676086</c:v>
                </c:pt>
                <c:pt idx="221">
                  <c:v>33.598004818926142</c:v>
                </c:pt>
                <c:pt idx="222">
                  <c:v>33.382935631017006</c:v>
                </c:pt>
                <c:pt idx="223">
                  <c:v>33.169132004043405</c:v>
                </c:pt>
                <c:pt idx="224">
                  <c:v>32.956588519967426</c:v>
                </c:pt>
                <c:pt idx="225">
                  <c:v>32.745299723844852</c:v>
                </c:pt>
                <c:pt idx="226">
                  <c:v>32.530041400378622</c:v>
                </c:pt>
                <c:pt idx="227">
                  <c:v>32.31608936773344</c:v>
                </c:pt>
                <c:pt idx="228">
                  <c:v>32.103437642438081</c:v>
                </c:pt>
                <c:pt idx="229">
                  <c:v>31.892080207134256</c:v>
                </c:pt>
                <c:pt idx="230">
                  <c:v>31.463102787881155</c:v>
                </c:pt>
                <c:pt idx="231">
                  <c:v>31.250625186844928</c:v>
                </c:pt>
                <c:pt idx="232">
                  <c:v>31.039479538906875</c:v>
                </c:pt>
                <c:pt idx="233">
                  <c:v>30.824694370710546</c:v>
                </c:pt>
                <c:pt idx="234">
                  <c:v>30.611291063054153</c:v>
                </c:pt>
                <c:pt idx="235">
                  <c:v>30.399262451000197</c:v>
                </c:pt>
                <c:pt idx="236">
                  <c:v>30.188601343994549</c:v>
                </c:pt>
                <c:pt idx="237">
                  <c:v>29.975067874078348</c:v>
                </c:pt>
                <c:pt idx="238">
                  <c:v>29.762942768830129</c:v>
                </c:pt>
                <c:pt idx="239">
                  <c:v>29.552218320116054</c:v>
                </c:pt>
                <c:pt idx="240">
                  <c:v>29.342886799662182</c:v>
                </c:pt>
                <c:pt idx="241">
                  <c:v>29.129641743446172</c:v>
                </c:pt>
                <c:pt idx="242">
                  <c:v>28.917845233359998</c:v>
                </c:pt>
                <c:pt idx="243">
                  <c:v>28.707488878931429</c:v>
                </c:pt>
                <c:pt idx="244">
                  <c:v>28.498564275299998</c:v>
                </c:pt>
                <c:pt idx="245">
                  <c:v>28.286480695183087</c:v>
                </c:pt>
                <c:pt idx="246">
                  <c:v>28.075875230527913</c:v>
                </c:pt>
                <c:pt idx="247">
                  <c:v>27.866738870744882</c:v>
                </c:pt>
                <c:pt idx="248">
                  <c:v>27.659062597561189</c:v>
                </c:pt>
                <c:pt idx="249">
                  <c:v>27.447825555131544</c:v>
                </c:pt>
                <c:pt idx="250">
                  <c:v>27.238101517159492</c:v>
                </c:pt>
                <c:pt idx="251">
                  <c:v>27.029880776540097</c:v>
                </c:pt>
                <c:pt idx="252">
                  <c:v>26.823153625876046</c:v>
                </c:pt>
                <c:pt idx="253">
                  <c:v>26.613582550737931</c:v>
                </c:pt>
                <c:pt idx="254">
                  <c:v>26.405548503058867</c:v>
                </c:pt>
                <c:pt idx="255">
                  <c:v>26.19904115737603</c:v>
                </c:pt>
                <c:pt idx="256">
                  <c:v>25.994050196056918</c:v>
                </c:pt>
                <c:pt idx="257">
                  <c:v>25.785313603817912</c:v>
                </c:pt>
                <c:pt idx="258">
                  <c:v>25.578151016744897</c:v>
                </c:pt>
                <c:pt idx="259">
                  <c:v>25.372551332512586</c:v>
                </c:pt>
                <c:pt idx="260">
                  <c:v>25.168503465690492</c:v>
                </c:pt>
                <c:pt idx="261">
                  <c:v>24.961411735070698</c:v>
                </c:pt>
                <c:pt idx="262">
                  <c:v>24.755919769281206</c:v>
                </c:pt>
                <c:pt idx="263">
                  <c:v>24.552015776953084</c:v>
                </c:pt>
                <c:pt idx="264">
                  <c:v>24.349687993327507</c:v>
                </c:pt>
                <c:pt idx="265">
                  <c:v>24.144480954865998</c:v>
                </c:pt>
                <c:pt idx="266">
                  <c:v>23.940896190236629</c:v>
                </c:pt>
                <c:pt idx="267">
                  <c:v>23.73892123110187</c:v>
                </c:pt>
                <c:pt idx="268">
                  <c:v>23.538543646101999</c:v>
                </c:pt>
                <c:pt idx="269">
                  <c:v>23.33496879047388</c:v>
                </c:pt>
                <c:pt idx="270">
                  <c:v>23.13304314221088</c:v>
                </c:pt>
                <c:pt idx="271">
                  <c:v>22.932753479560404</c:v>
                </c:pt>
                <c:pt idx="272">
                  <c:v>22.734086629153211</c:v>
                </c:pt>
                <c:pt idx="273">
                  <c:v>22.532401216551676</c:v>
                </c:pt>
                <c:pt idx="274">
                  <c:v>22.332388299758236</c:v>
                </c:pt>
                <c:pt idx="275">
                  <c:v>22.134033919965901</c:v>
                </c:pt>
                <c:pt idx="276">
                  <c:v>21.937324178854908</c:v>
                </c:pt>
                <c:pt idx="277">
                  <c:v>21.738216986089839</c:v>
                </c:pt>
                <c:pt idx="278">
                  <c:v>21.540794287982635</c:v>
                </c:pt>
                <c:pt idx="279">
                  <c:v>21.345041509071933</c:v>
                </c:pt>
                <c:pt idx="280">
                  <c:v>21.150944146423853</c:v>
                </c:pt>
                <c:pt idx="281">
                  <c:v>20.953297198446563</c:v>
                </c:pt>
                <c:pt idx="282">
                  <c:v>20.75736579407203</c:v>
                </c:pt>
                <c:pt idx="283">
                  <c:v>20.563134468437937</c:v>
                </c:pt>
                <c:pt idx="284">
                  <c:v>20.370587843827906</c:v>
                </c:pt>
                <c:pt idx="285">
                  <c:v>20.175951771769547</c:v>
                </c:pt>
                <c:pt idx="286">
                  <c:v>19.983035689573938</c:v>
                </c:pt>
                <c:pt idx="287">
                  <c:v>19.791823577722369</c:v>
                </c:pt>
                <c:pt idx="288">
                  <c:v>19.602299516657808</c:v>
                </c:pt>
                <c:pt idx="289">
                  <c:v>19.409611492993093</c:v>
                </c:pt>
                <c:pt idx="290">
                  <c:v>19.218666349762543</c:v>
                </c:pt>
                <c:pt idx="291">
                  <c:v>19.029447235844088</c:v>
                </c:pt>
                <c:pt idx="292">
                  <c:v>18.841937415847752</c:v>
                </c:pt>
                <c:pt idx="293">
                  <c:v>18.651846055916678</c:v>
                </c:pt>
                <c:pt idx="294">
                  <c:v>18.463508838669583</c:v>
                </c:pt>
                <c:pt idx="295">
                  <c:v>18.27690822419035</c:v>
                </c:pt>
                <c:pt idx="296">
                  <c:v>18.092026803535049</c:v>
                </c:pt>
                <c:pt idx="297">
                  <c:v>17.90472929606949</c:v>
                </c:pt>
                <c:pt idx="298">
                  <c:v>17.719193126278356</c:v>
                </c:pt>
                <c:pt idx="299">
                  <c:v>17.535400108745876</c:v>
                </c:pt>
                <c:pt idx="300">
                  <c:v>17.353332204452812</c:v>
                </c:pt>
                <c:pt idx="301">
                  <c:v>17.169006786900496</c:v>
                </c:pt>
                <c:pt idx="302">
                  <c:v>16.986445898699827</c:v>
                </c:pt>
                <c:pt idx="303">
                  <c:v>16.805630756521879</c:v>
                </c:pt>
                <c:pt idx="304">
                  <c:v>16.626542738898422</c:v>
                </c:pt>
                <c:pt idx="305">
                  <c:v>16.444655284134882</c:v>
                </c:pt>
                <c:pt idx="306">
                  <c:v>16.264545156857253</c:v>
                </c:pt>
                <c:pt idx="307">
                  <c:v>16.086192804267966</c:v>
                </c:pt>
                <c:pt idx="308">
                  <c:v>15.909578853530718</c:v>
                </c:pt>
                <c:pt idx="309">
                  <c:v>15.731016948287959</c:v>
                </c:pt>
                <c:pt idx="310">
                  <c:v>15.554227234872201</c:v>
                </c:pt>
                <c:pt idx="311">
                  <c:v>15.379189670373535</c:v>
                </c:pt>
                <c:pt idx="312">
                  <c:v>15.205884407118475</c:v>
                </c:pt>
                <c:pt idx="313">
                  <c:v>15.030127837593056</c:v>
                </c:pt>
                <c:pt idx="314">
                  <c:v>14.856147565698308</c:v>
                </c:pt>
                <c:pt idx="315">
                  <c:v>14.683922890828285</c:v>
                </c:pt>
                <c:pt idx="316">
                  <c:v>14.513433325584685</c:v>
                </c:pt>
                <c:pt idx="317">
                  <c:v>14.340660884550999</c:v>
                </c:pt>
                <c:pt idx="318">
                  <c:v>14.169664382393478</c:v>
                </c:pt>
                <c:pt idx="319">
                  <c:v>14.000422523266337</c:v>
                </c:pt>
                <c:pt idx="320">
                  <c:v>13.832914242271841</c:v>
                </c:pt>
                <c:pt idx="321">
                  <c:v>13.663283207237981</c:v>
                </c:pt>
                <c:pt idx="322">
                  <c:v>13.49542343050004</c:v>
                </c:pt>
                <c:pt idx="323">
                  <c:v>13.329313087086661</c:v>
                </c:pt>
                <c:pt idx="324">
                  <c:v>13.164930600307429</c:v>
                </c:pt>
                <c:pt idx="325">
                  <c:v>12.998577126839479</c:v>
                </c:pt>
                <c:pt idx="326">
                  <c:v>12.833986080113107</c:v>
                </c:pt>
                <c:pt idx="327">
                  <c:v>12.671135174990155</c:v>
                </c:pt>
                <c:pt idx="328">
                  <c:v>12.510002391366498</c:v>
                </c:pt>
                <c:pt idx="329">
                  <c:v>12.346771005887803</c:v>
                </c:pt>
                <c:pt idx="330">
                  <c:v>12.185295078506755</c:v>
                </c:pt>
                <c:pt idx="331">
                  <c:v>12.025551821664664</c:v>
                </c:pt>
                <c:pt idx="332">
                  <c:v>11.867518730731234</c:v>
                </c:pt>
                <c:pt idx="333">
                  <c:v>11.707798997915944</c:v>
                </c:pt>
                <c:pt idx="334">
                  <c:v>11.549817866963991</c:v>
                </c:pt>
                <c:pt idx="335">
                  <c:v>11.393552236161298</c:v>
                </c:pt>
                <c:pt idx="336">
                  <c:v>11.238979301894744</c:v>
                </c:pt>
                <c:pt idx="337">
                  <c:v>11.082349720483791</c:v>
                </c:pt>
                <c:pt idx="338">
                  <c:v>10.927449318476619</c:v>
                </c:pt>
                <c:pt idx="339">
                  <c:v>10.774254529726932</c:v>
                </c:pt>
                <c:pt idx="340">
                  <c:v>10.622742104331223</c:v>
                </c:pt>
                <c:pt idx="341">
                  <c:v>10.469324242381248</c:v>
                </c:pt>
                <c:pt idx="342">
                  <c:v>10.317621870330299</c:v>
                </c:pt>
                <c:pt idx="343">
                  <c:v>10.167611039118583</c:v>
                </c:pt>
                <c:pt idx="344">
                  <c:v>10.019268133082932</c:v>
                </c:pt>
                <c:pt idx="345">
                  <c:v>9.8693889889468949</c:v>
                </c:pt>
                <c:pt idx="346">
                  <c:v>9.7212025051172191</c:v>
                </c:pt>
                <c:pt idx="347">
                  <c:v>9.5746845418677822</c:v>
                </c:pt>
                <c:pt idx="348">
                  <c:v>9.4298113067604845</c:v>
                </c:pt>
                <c:pt idx="349">
                  <c:v>9.2830854588094667</c:v>
                </c:pt>
                <c:pt idx="350">
                  <c:v>9.1380361041030937</c:v>
                </c:pt>
                <c:pt idx="351">
                  <c:v>8.9946387730433344</c:v>
                </c:pt>
                <c:pt idx="352">
                  <c:v>8.8528693601619182</c:v>
                </c:pt>
                <c:pt idx="353">
                  <c:v>8.7093862108187921</c:v>
                </c:pt>
                <c:pt idx="354">
                  <c:v>8.5675594362683114</c:v>
                </c:pt>
                <c:pt idx="355">
                  <c:v>8.4273643237985425</c:v>
                </c:pt>
                <c:pt idx="356">
                  <c:v>8.2887765403044682</c:v>
                </c:pt>
                <c:pt idx="357">
                  <c:v>8.1488025714800756</c:v>
                </c:pt>
                <c:pt idx="358">
                  <c:v>8.0104566075615367</c:v>
                </c:pt>
                <c:pt idx="359">
                  <c:v>7.8737138837316536</c:v>
                </c:pt>
                <c:pt idx="360">
                  <c:v>7.7385500265404232</c:v>
                </c:pt>
                <c:pt idx="361">
                  <c:v>7.6017291624484926</c:v>
                </c:pt>
                <c:pt idx="362">
                  <c:v>7.4665139316433908</c:v>
                </c:pt>
                <c:pt idx="363">
                  <c:v>7.3328793893103921</c:v>
                </c:pt>
                <c:pt idx="364">
                  <c:v>7.2008009966195914</c:v>
                </c:pt>
                <c:pt idx="365">
                  <c:v>7.0673708019906201</c:v>
                </c:pt>
                <c:pt idx="366">
                  <c:v>6.9355161065072934</c:v>
                </c:pt>
                <c:pt idx="367">
                  <c:v>6.8052119744780839</c:v>
                </c:pt>
                <c:pt idx="368">
                  <c:v>6.6764338868741504</c:v>
                </c:pt>
                <c:pt idx="369">
                  <c:v>6.5460636167836128</c:v>
                </c:pt>
                <c:pt idx="370">
                  <c:v>6.4172441642378146</c:v>
                </c:pt>
                <c:pt idx="371">
                  <c:v>6.2899504842513068</c:v>
                </c:pt>
                <c:pt idx="372">
                  <c:v>6.1641579619389972</c:v>
                </c:pt>
                <c:pt idx="373">
                  <c:v>6.0370563747714812</c:v>
                </c:pt>
                <c:pt idx="374">
                  <c:v>5.9114736907588963</c:v>
                </c:pt>
                <c:pt idx="375">
                  <c:v>5.7873849412809193</c:v>
                </c:pt>
                <c:pt idx="376">
                  <c:v>5.6647655971259496</c:v>
                </c:pt>
                <c:pt idx="377">
                  <c:v>5.5406234752287844</c:v>
                </c:pt>
                <c:pt idx="378">
                  <c:v>5.4179733142303235</c:v>
                </c:pt>
                <c:pt idx="379">
                  <c:v>5.2967901126319816</c:v>
                </c:pt>
                <c:pt idx="380">
                  <c:v>5.1770493202858745</c:v>
                </c:pt>
                <c:pt idx="381">
                  <c:v>5.0561960626740472</c:v>
                </c:pt>
                <c:pt idx="382">
                  <c:v>4.9367975788400713</c:v>
                </c:pt>
                <c:pt idx="383">
                  <c:v>4.8188291062304245</c:v>
                </c:pt>
                <c:pt idx="384">
                  <c:v>4.7022663390591219</c:v>
                </c:pt>
                <c:pt idx="385">
                  <c:v>4.5842482201910002</c:v>
                </c:pt>
                <c:pt idx="386">
                  <c:v>4.4676560968010222</c:v>
                </c:pt>
                <c:pt idx="387">
                  <c:v>4.3524652486879916</c:v>
                </c:pt>
                <c:pt idx="388">
                  <c:v>4.2386514226214729</c:v>
                </c:pt>
                <c:pt idx="389">
                  <c:v>4.1236228015479242</c:v>
                </c:pt>
                <c:pt idx="390">
                  <c:v>4.0099853162741681</c:v>
                </c:pt>
                <c:pt idx="391">
                  <c:v>3.8977144622555784</c:v>
                </c:pt>
                <c:pt idx="392">
                  <c:v>3.7867862077667667</c:v>
                </c:pt>
                <c:pt idx="393">
                  <c:v>3.6747302764221956</c:v>
                </c:pt>
                <c:pt idx="394">
                  <c:v>3.5640285896177488</c:v>
                </c:pt>
                <c:pt idx="395">
                  <c:v>3.4546569327122825</c:v>
                </c:pt>
                <c:pt idx="396">
                  <c:v>3.3465915676833049</c:v>
                </c:pt>
                <c:pt idx="397">
                  <c:v>3.2372325797365988</c:v>
                </c:pt>
                <c:pt idx="398">
                  <c:v>3.1291951576810675</c:v>
                </c:pt>
                <c:pt idx="399">
                  <c:v>3.0224552844882453</c:v>
                </c:pt>
                <c:pt idx="400">
                  <c:v>2.9169894258419333</c:v>
                </c:pt>
                <c:pt idx="401">
                  <c:v>2.8104363002105401</c:v>
                </c:pt>
                <c:pt idx="402">
                  <c:v>2.705167084416388</c:v>
                </c:pt>
                <c:pt idx="403">
                  <c:v>2.601158114858805</c:v>
                </c:pt>
                <c:pt idx="404">
                  <c:v>2.4983862124352925</c:v>
                </c:pt>
                <c:pt idx="405">
                  <c:v>2.3944889106144842</c:v>
                </c:pt>
                <c:pt idx="406">
                  <c:v>2.2918391020533591</c:v>
                </c:pt>
                <c:pt idx="407">
                  <c:v>2.1904134659049532</c:v>
                </c:pt>
                <c:pt idx="408">
                  <c:v>2.0901891676717526</c:v>
                </c:pt>
                <c:pt idx="409">
                  <c:v>1.9888074001391089</c:v>
                </c:pt>
                <c:pt idx="410">
                  <c:v>1.888637753898962</c:v>
                </c:pt>
                <c:pt idx="411">
                  <c:v>1.7896572444446974</c:v>
                </c:pt>
                <c:pt idx="412">
                  <c:v>1.6918433754420334</c:v>
                </c:pt>
                <c:pt idx="413">
                  <c:v>1.592946514261115</c:v>
                </c:pt>
                <c:pt idx="414">
                  <c:v>1.4952248802723602</c:v>
                </c:pt>
                <c:pt idx="415">
                  <c:v>1.3986558918322203</c:v>
                </c:pt>
                <c:pt idx="416">
                  <c:v>1.303217455180004</c:v>
                </c:pt>
                <c:pt idx="417">
                  <c:v>1.2066668485710466</c:v>
                </c:pt>
                <c:pt idx="418">
                  <c:v>1.1112556506232636</c:v>
                </c:pt>
                <c:pt idx="419">
                  <c:v>1.0169616759978339</c:v>
                </c:pt>
                <c:pt idx="420">
                  <c:v>0.92376322687348988</c:v>
                </c:pt>
                <c:pt idx="421">
                  <c:v>0.82961210915470929</c:v>
                </c:pt>
                <c:pt idx="422">
                  <c:v>0.73656121731326607</c:v>
                </c:pt>
                <c:pt idx="423">
                  <c:v>0.64458888589393837</c:v>
                </c:pt>
                <c:pt idx="424">
                  <c:v>0.55367393266340059</c:v>
                </c:pt>
                <c:pt idx="425">
                  <c:v>0.461596969897073</c:v>
                </c:pt>
                <c:pt idx="426">
                  <c:v>0.37058654511344002</c:v>
                </c:pt>
                <c:pt idx="427">
                  <c:v>0.28062137675590293</c:v>
                </c:pt>
                <c:pt idx="428">
                  <c:v>0.19168066590944477</c:v>
                </c:pt>
                <c:pt idx="429">
                  <c:v>0.10172841105057273</c:v>
                </c:pt>
                <c:pt idx="430">
                  <c:v>1.2805851576331406E-2</c:v>
                </c:pt>
                <c:pt idx="431">
                  <c:v>-7.5107791544780866E-2</c:v>
                </c:pt>
                <c:pt idx="432">
                  <c:v>-0.16203281915917955</c:v>
                </c:pt>
                <c:pt idx="433">
                  <c:v>-0.24991509762566011</c:v>
                </c:pt>
                <c:pt idx="434">
                  <c:v>-0.33680515272675393</c:v>
                </c:pt>
                <c:pt idx="435">
                  <c:v>-0.42272321485739894</c:v>
                </c:pt>
                <c:pt idx="436">
                  <c:v>-0.50768904248411673</c:v>
                </c:pt>
                <c:pt idx="437">
                  <c:v>-0.59371698254230409</c:v>
                </c:pt>
                <c:pt idx="438">
                  <c:v>-0.67878713244897426</c:v>
                </c:pt>
                <c:pt idx="439">
                  <c:v>-0.76291923981088416</c:v>
                </c:pt>
                <c:pt idx="440">
                  <c:v>-0.84613258490335852</c:v>
                </c:pt>
                <c:pt idx="441">
                  <c:v>-0.93035482013135606</c:v>
                </c:pt>
                <c:pt idx="442">
                  <c:v>-1.0136543491459236</c:v>
                </c:pt>
                <c:pt idx="443">
                  <c:v>-1.0960503908598298</c:v>
                </c:pt>
                <c:pt idx="444">
                  <c:v>-1.1775617032645584</c:v>
                </c:pt>
                <c:pt idx="445">
                  <c:v>-1.2600342978091987</c:v>
                </c:pt>
                <c:pt idx="446">
                  <c:v>-1.3416196512201566</c:v>
                </c:pt>
                <c:pt idx="447">
                  <c:v>-1.4223364150389557</c:v>
                </c:pt>
                <c:pt idx="448">
                  <c:v>-1.5022027879417692</c:v>
                </c:pt>
                <c:pt idx="449">
                  <c:v>-1.5831227118963511</c:v>
                </c:pt>
                <c:pt idx="450">
                  <c:v>-1.6631881678331979</c:v>
                </c:pt>
                <c:pt idx="451">
                  <c:v>-1.7424172980543631</c:v>
                </c:pt>
                <c:pt idx="452">
                  <c:v>-1.8208277985840482</c:v>
                </c:pt>
                <c:pt idx="453">
                  <c:v>-1.9001813173788946</c:v>
                </c:pt>
                <c:pt idx="454">
                  <c:v>-1.9787148471169189</c:v>
                </c:pt>
                <c:pt idx="455">
                  <c:v>-2.0564459407018205</c:v>
                </c:pt>
                <c:pt idx="456">
                  <c:v>-2.1333917143834924</c:v>
                </c:pt>
                <c:pt idx="457">
                  <c:v>-2.2113674617733068</c:v>
                </c:pt>
                <c:pt idx="458">
                  <c:v>-2.2885551250159324</c:v>
                </c:pt>
                <c:pt idx="459">
                  <c:v>-2.3649717235782646</c:v>
                </c:pt>
                <c:pt idx="460">
                  <c:v>-2.4406338484787966</c:v>
                </c:pt>
                <c:pt idx="461">
                  <c:v>-2.5172858886618599</c:v>
                </c:pt>
                <c:pt idx="462">
                  <c:v>-2.5931818887866314</c:v>
                </c:pt>
                <c:pt idx="463">
                  <c:v>-2.6683383049303018</c:v>
                </c:pt>
                <c:pt idx="464">
                  <c:v>-2.7427711743495138</c:v>
                </c:pt>
                <c:pt idx="465">
                  <c:v>-2.8182156896164088</c:v>
                </c:pt>
                <c:pt idx="466">
                  <c:v>-2.8929350409298706</c:v>
                </c:pt>
                <c:pt idx="467">
                  <c:v>-2.9669451335245185</c:v>
                </c:pt>
                <c:pt idx="468">
                  <c:v>-3.0402614634499798</c:v>
                </c:pt>
                <c:pt idx="469">
                  <c:v>-3.1145547553247468</c:v>
                </c:pt>
                <c:pt idx="470">
                  <c:v>-3.1881536839013336</c:v>
                </c:pt>
                <c:pt idx="471">
                  <c:v>-3.2610735809673486</c:v>
                </c:pt>
                <c:pt idx="472">
                  <c:v>-3.3333293799689727</c:v>
                </c:pt>
                <c:pt idx="473">
                  <c:v>-3.406637804101706</c:v>
                </c:pt>
                <c:pt idx="474">
                  <c:v>-3.4792804876330194</c:v>
                </c:pt>
                <c:pt idx="475">
                  <c:v>-3.5512722361849569</c:v>
                </c:pt>
                <c:pt idx="476">
                  <c:v>-3.6226274666787219</c:v>
                </c:pt>
                <c:pt idx="477">
                  <c:v>-3.6950026444868627</c:v>
                </c:pt>
                <c:pt idx="478">
                  <c:v>-3.7667406151315106</c:v>
                </c:pt>
                <c:pt idx="479">
                  <c:v>-3.8378556373228321</c:v>
                </c:pt>
                <c:pt idx="480">
                  <c:v>-3.9083615918497969</c:v>
                </c:pt>
                <c:pt idx="481">
                  <c:v>-3.979858554741412</c:v>
                </c:pt>
                <c:pt idx="482">
                  <c:v>-4.0507465800355362</c:v>
                </c:pt>
                <c:pt idx="483">
                  <c:v>-4.1210393646537398</c:v>
                </c:pt>
                <c:pt idx="484">
                  <c:v>-4.1907502393328002</c:v>
                </c:pt>
                <c:pt idx="485">
                  <c:v>-4.2614745094389832</c:v>
                </c:pt>
                <c:pt idx="486">
                  <c:v>-4.3316169124289843</c:v>
                </c:pt>
                <c:pt idx="487">
                  <c:v>-4.4011906004403443</c:v>
                </c:pt>
                <c:pt idx="488">
                  <c:v>-4.4702083709916565</c:v>
                </c:pt>
                <c:pt idx="489">
                  <c:v>-4.5403076001431373</c:v>
                </c:pt>
                <c:pt idx="490">
                  <c:v>-4.609850161991659</c:v>
                </c:pt>
                <c:pt idx="491">
                  <c:v>-4.6788487047324452</c:v>
                </c:pt>
                <c:pt idx="492">
                  <c:v>-4.7473155324541381</c:v>
                </c:pt>
                <c:pt idx="493">
                  <c:v>-4.8168377369285338</c:v>
                </c:pt>
                <c:pt idx="494">
                  <c:v>-4.8858281994151582</c:v>
                </c:pt>
                <c:pt idx="495">
                  <c:v>-4.9542990519908869</c:v>
                </c:pt>
                <c:pt idx="496">
                  <c:v>-5.0222620939761953</c:v>
                </c:pt>
                <c:pt idx="497">
                  <c:v>-5.0913011207349257</c:v>
                </c:pt>
                <c:pt idx="498">
                  <c:v>-5.1598322831593748</c:v>
                </c:pt>
                <c:pt idx="499">
                  <c:v>-5.2278672118258953</c:v>
                </c:pt>
                <c:pt idx="500">
                  <c:v>-5.2954172157684241</c:v>
                </c:pt>
                <c:pt idx="501">
                  <c:v>-5.3640634377699712</c:v>
                </c:pt>
                <c:pt idx="502">
                  <c:v>-5.4322246664886791</c:v>
                </c:pt>
                <c:pt idx="503">
                  <c:v>-5.4999120450534917</c:v>
                </c:pt>
                <c:pt idx="504">
                  <c:v>-5.5671364061335282</c:v>
                </c:pt>
                <c:pt idx="505">
                  <c:v>-5.6354356563384727</c:v>
                </c:pt>
                <c:pt idx="506">
                  <c:v>-5.7032723686642726</c:v>
                </c:pt>
                <c:pt idx="507">
                  <c:v>-5.7706571932837392</c:v>
                </c:pt>
                <c:pt idx="508">
                  <c:v>-5.837600481577141</c:v>
                </c:pt>
                <c:pt idx="509">
                  <c:v>-5.905640004014316</c:v>
                </c:pt>
                <c:pt idx="510">
                  <c:v>-5.9732384065397639</c:v>
                </c:pt>
                <c:pt idx="511">
                  <c:v>-6.0404058628324435</c:v>
                </c:pt>
                <c:pt idx="512">
                  <c:v>-6.1071522592071403</c:v>
                </c:pt>
                <c:pt idx="513">
                  <c:v>-6.1750551371491156</c:v>
                </c:pt>
                <c:pt idx="514">
                  <c:v>-6.2425368350230315</c:v>
                </c:pt>
                <c:pt idx="515">
                  <c:v>-6.3096070825131392</c:v>
                </c:pt>
                <c:pt idx="516">
                  <c:v>-6.3762753325048607</c:v>
                </c:pt>
                <c:pt idx="517">
                  <c:v>-6.4440812294000693</c:v>
                </c:pt>
                <c:pt idx="518">
                  <c:v>-6.5114854631456751</c:v>
                </c:pt>
                <c:pt idx="519">
                  <c:v>-6.5784973163724203</c:v>
                </c:pt>
                <c:pt idx="520">
                  <c:v>-6.645125805935379</c:v>
                </c:pt>
                <c:pt idx="521">
                  <c:v>-6.7129126134622936</c:v>
                </c:pt>
                <c:pt idx="522">
                  <c:v>-6.7803163446302221</c:v>
                </c:pt>
                <c:pt idx="523">
                  <c:v>-6.8473458500357083</c:v>
                </c:pt>
                <c:pt idx="524">
                  <c:v>-6.9140097252881105</c:v>
                </c:pt>
                <c:pt idx="525">
                  <c:v>-6.9818524466485599</c:v>
                </c:pt>
                <c:pt idx="526">
                  <c:v>-7.0493297797129344</c:v>
                </c:pt>
                <c:pt idx="527">
                  <c:v>-7.1164501576636496</c:v>
                </c:pt>
                <c:pt idx="528">
                  <c:v>-7.1832217692485756</c:v>
                </c:pt>
                <c:pt idx="529">
                  <c:v>-7.2511926435498708</c:v>
                </c:pt>
                <c:pt idx="530">
                  <c:v>-7.3188149478012576</c:v>
                </c:pt>
                <c:pt idx="531">
                  <c:v>-7.3860967120385794</c:v>
                </c:pt>
                <c:pt idx="532">
                  <c:v>-7.4530457321792483</c:v>
                </c:pt>
                <c:pt idx="533">
                  <c:v>-7.5212494498231592</c:v>
                </c:pt>
                <c:pt idx="534">
                  <c:v>-7.589120233124703</c:v>
                </c:pt>
                <c:pt idx="535">
                  <c:v>-7.6566657345919964</c:v>
                </c:pt>
                <c:pt idx="536">
                  <c:v>-7.7238933822327169</c:v>
                </c:pt>
                <c:pt idx="537">
                  <c:v>-7.7923261073320873</c:v>
                </c:pt>
                <c:pt idx="538">
                  <c:v>-7.8604414096697042</c:v>
                </c:pt>
                <c:pt idx="539">
                  <c:v>-7.9282465541243141</c:v>
                </c:pt>
                <c:pt idx="540">
                  <c:v>-7.9957485913723758</c:v>
                </c:pt>
                <c:pt idx="541">
                  <c:v>-8.064544502662784</c:v>
                </c:pt>
                <c:pt idx="542">
                  <c:v>-8.1330370572236461</c:v>
                </c:pt>
                <c:pt idx="543">
                  <c:v>-8.2012331679000567</c:v>
                </c:pt>
                <c:pt idx="544">
                  <c:v>-8.26913954251566</c:v>
                </c:pt>
                <c:pt idx="545">
                  <c:v>-8.3383258160787932</c:v>
                </c:pt>
                <c:pt idx="546">
                  <c:v>-8.4072223545479972</c:v>
                </c:pt>
                <c:pt idx="547">
                  <c:v>-8.4758357207055894</c:v>
                </c:pt>
                <c:pt idx="548">
                  <c:v>-8.544172281676822</c:v>
                </c:pt>
                <c:pt idx="549">
                  <c:v>-8.6138088415998197</c:v>
                </c:pt>
                <c:pt idx="550">
                  <c:v>-8.6831685333928306</c:v>
                </c:pt>
                <c:pt idx="551">
                  <c:v>-8.7522575827707101</c:v>
                </c:pt>
                <c:pt idx="552">
                  <c:v>-8.8210820288937555</c:v>
                </c:pt>
                <c:pt idx="553">
                  <c:v>-8.8912587302978068</c:v>
                </c:pt>
                <c:pt idx="554">
                  <c:v>-8.9611704552079061</c:v>
                </c:pt>
                <c:pt idx="555">
                  <c:v>-9.0308231130416061</c:v>
                </c:pt>
                <c:pt idx="556">
                  <c:v>-9.1002224351784093</c:v>
                </c:pt>
                <c:pt idx="557">
                  <c:v>-9.2415103682257325</c:v>
                </c:pt>
                <c:pt idx="558">
                  <c:v>-9.3818055138785894</c:v>
                </c:pt>
                <c:pt idx="559">
                  <c:v>-9.5243338693558712</c:v>
                </c:pt>
                <c:pt idx="560">
                  <c:v>0</c:v>
                </c:pt>
                <c:pt idx="561">
                  <c:v>-9.8099050716479326</c:v>
                </c:pt>
                <c:pt idx="562">
                  <c:v>-9.9529855764961042</c:v>
                </c:pt>
                <c:pt idx="563">
                  <c:v>-10.098233532081792</c:v>
                </c:pt>
                <c:pt idx="564">
                  <c:v>-10.242607127086899</c:v>
                </c:pt>
                <c:pt idx="565">
                  <c:v>-10.389750496321199</c:v>
                </c:pt>
                <c:pt idx="566">
                  <c:v>-10.536049394790155</c:v>
                </c:pt>
                <c:pt idx="567">
                  <c:v>-10.685105829399674</c:v>
                </c:pt>
                <c:pt idx="568">
                  <c:v>-10.833346474989526</c:v>
                </c:pt>
                <c:pt idx="569">
                  <c:v>-10.983745260180484</c:v>
                </c:pt>
                <c:pt idx="570">
                  <c:v>-11.133361592677602</c:v>
                </c:pt>
                <c:pt idx="571">
                  <c:v>-11.286302053054982</c:v>
                </c:pt>
                <c:pt idx="572">
                  <c:v>-11.438479612685683</c:v>
                </c:pt>
                <c:pt idx="573">
                  <c:v>-11.592806520320096</c:v>
                </c:pt>
                <c:pt idx="574">
                  <c:v>-11.746400144780893</c:v>
                </c:pt>
                <c:pt idx="575">
                  <c:v>-11.903286555754732</c:v>
                </c:pt>
                <c:pt idx="576">
                  <c:v>-12.059456624679996</c:v>
                </c:pt>
                <c:pt idx="577">
                  <c:v>-12.713241347590952</c:v>
                </c:pt>
                <c:pt idx="578">
                  <c:v>-13.356272845960831</c:v>
                </c:pt>
                <c:pt idx="579">
                  <c:v>-14.733634165559408</c:v>
                </c:pt>
                <c:pt idx="580">
                  <c:v>-16.203409529151799</c:v>
                </c:pt>
                <c:pt idx="581">
                  <c:v>-17.771844171978273</c:v>
                </c:pt>
                <c:pt idx="582">
                  <c:v>-19.446798385236178</c:v>
                </c:pt>
                <c:pt idx="583">
                  <c:v>-21.232261666173088</c:v>
                </c:pt>
                <c:pt idx="584">
                  <c:v>-23.132941594410909</c:v>
                </c:pt>
                <c:pt idx="585">
                  <c:v>-25.148963531920572</c:v>
                </c:pt>
                <c:pt idx="586">
                  <c:v>-27.279261742924007</c:v>
                </c:pt>
                <c:pt idx="587">
                  <c:v>-29.52091333893452</c:v>
                </c:pt>
                <c:pt idx="588">
                  <c:v>-31.864580181022291</c:v>
                </c:pt>
                <c:pt idx="589">
                  <c:v>-34.3017169139668</c:v>
                </c:pt>
                <c:pt idx="590">
                  <c:v>-36.81784862221366</c:v>
                </c:pt>
                <c:pt idx="591">
                  <c:v>-39.396641485960885</c:v>
                </c:pt>
                <c:pt idx="592">
                  <c:v>-42.018681269610795</c:v>
                </c:pt>
                <c:pt idx="593">
                  <c:v>-44.663836951909076</c:v>
                </c:pt>
                <c:pt idx="594">
                  <c:v>-47.309477685369671</c:v>
                </c:pt>
                <c:pt idx="595">
                  <c:v>-49.934096772785949</c:v>
                </c:pt>
                <c:pt idx="596">
                  <c:v>-52.515945908963459</c:v>
                </c:pt>
                <c:pt idx="597">
                  <c:v>-55.036019699956796</c:v>
                </c:pt>
                <c:pt idx="598">
                  <c:v>-57.476484431460648</c:v>
                </c:pt>
                <c:pt idx="599">
                  <c:v>-59.823559902851144</c:v>
                </c:pt>
                <c:pt idx="600">
                  <c:v>-62.06552437147684</c:v>
                </c:pt>
              </c:numCache>
            </c:numRef>
          </c:yVal>
          <c:smooth val="0"/>
        </c:ser>
        <c:dLbls>
          <c:showLegendKey val="0"/>
          <c:showVal val="0"/>
          <c:showCatName val="0"/>
          <c:showSerName val="0"/>
          <c:showPercent val="0"/>
          <c:showBubbleSize val="0"/>
        </c:dLbls>
        <c:axId val="-1650383136"/>
        <c:axId val="-1650382592"/>
      </c:scatterChart>
      <c:valAx>
        <c:axId val="-1650384224"/>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33"/>
              <c:y val="0.83636363636363642"/>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50391296"/>
        <c:crossesAt val="-60"/>
        <c:crossBetween val="midCat"/>
        <c:majorUnit val="10"/>
        <c:minorUnit val="10"/>
      </c:valAx>
      <c:valAx>
        <c:axId val="-1650391296"/>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3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650384224"/>
        <c:crossesAt val="1"/>
        <c:crossBetween val="midCat"/>
        <c:majorUnit val="20"/>
        <c:minorUnit val="4"/>
      </c:valAx>
      <c:valAx>
        <c:axId val="-1650383136"/>
        <c:scaling>
          <c:logBase val="10"/>
          <c:orientation val="minMax"/>
        </c:scaling>
        <c:delete val="1"/>
        <c:axPos val="t"/>
        <c:numFmt formatCode="0.000" sourceLinked="1"/>
        <c:majorTickMark val="out"/>
        <c:minorTickMark val="none"/>
        <c:tickLblPos val="nextTo"/>
        <c:crossAx val="-1650382592"/>
        <c:crossesAt val="0"/>
        <c:crossBetween val="midCat"/>
      </c:valAx>
      <c:valAx>
        <c:axId val="-1650382592"/>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26"/>
              <c:y val="0.318181818181818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65038313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22"/>
          <c:y val="3.1745913066504677E-2"/>
        </c:manualLayout>
      </c:layout>
      <c:overlay val="0"/>
      <c:spPr>
        <a:noFill/>
        <a:ln w="25400">
          <a:noFill/>
        </a:ln>
      </c:spPr>
    </c:title>
    <c:autoTitleDeleted val="0"/>
    <c:plotArea>
      <c:layout>
        <c:manualLayout>
          <c:layoutTarget val="inner"/>
          <c:xMode val="edge"/>
          <c:yMode val="edge"/>
          <c:x val="0.17739130434782613"/>
          <c:y val="0.12698445504829867"/>
          <c:w val="0.73391304347826092"/>
          <c:h val="0.60846718043976422"/>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0.50616569811125911</c:v>
                </c:pt>
                <c:pt idx="1">
                  <c:v>0.66410849822177254</c:v>
                </c:pt>
                <c:pt idx="2">
                  <c:v>0.74116592373105661</c:v>
                </c:pt>
                <c:pt idx="3">
                  <c:v>0.78678217568111763</c:v>
                </c:pt>
                <c:pt idx="4">
                  <c:v>0.81692352513178035</c:v>
                </c:pt>
                <c:pt idx="5">
                  <c:v>0.83831072076752533</c:v>
                </c:pt>
                <c:pt idx="6">
                  <c:v>0.8542649042800845</c:v>
                </c:pt>
                <c:pt idx="7">
                  <c:v>0.86661585586857171</c:v>
                </c:pt>
                <c:pt idx="8">
                  <c:v>0.87645462346837655</c:v>
                </c:pt>
                <c:pt idx="9">
                  <c:v>0.88447215225454467</c:v>
                </c:pt>
                <c:pt idx="10">
                  <c:v>0.89112728665975904</c:v>
                </c:pt>
                <c:pt idx="11">
                  <c:v>0.89673667839515681</c:v>
                </c:pt>
                <c:pt idx="12">
                  <c:v>0.90152590667671251</c:v>
                </c:pt>
                <c:pt idx="13">
                  <c:v>0.90566002372667598</c:v>
                </c:pt>
                <c:pt idx="14">
                  <c:v>0.90926257923355547</c:v>
                </c:pt>
                <c:pt idx="15">
                  <c:v>0.91242789363283439</c:v>
                </c:pt>
                <c:pt idx="16">
                  <c:v>0.91522921920253697</c:v>
                </c:pt>
                <c:pt idx="17">
                  <c:v>0.91772431138677679</c:v>
                </c:pt>
                <c:pt idx="18">
                  <c:v>0.91995932097105715</c:v>
                </c:pt>
                <c:pt idx="19">
                  <c:v>0.92197156929696744</c:v>
                </c:pt>
                <c:pt idx="20">
                  <c:v>0.92379156341053226</c:v>
                </c:pt>
                <c:pt idx="21">
                  <c:v>0.92544448340104168</c:v>
                </c:pt>
                <c:pt idx="22">
                  <c:v>0.92695129646928309</c:v>
                </c:pt>
                <c:pt idx="23">
                  <c:v>0.92832960262834008</c:v>
                </c:pt>
                <c:pt idx="24">
                  <c:v>0.92959428454720439</c:v>
                </c:pt>
                <c:pt idx="25">
                  <c:v>0.93075801248921219</c:v>
                </c:pt>
                <c:pt idx="26">
                  <c:v>0.93183164069144209</c:v>
                </c:pt>
                <c:pt idx="27">
                  <c:v>0.93282452147266781</c:v>
                </c:pt>
                <c:pt idx="28">
                  <c:v>0.93374475632579379</c:v>
                </c:pt>
                <c:pt idx="29">
                  <c:v>0.93459939826658955</c:v>
                </c:pt>
                <c:pt idx="30">
                  <c:v>0.93539461613225849</c:v>
                </c:pt>
                <c:pt idx="31">
                  <c:v>0.93613582892373082</c:v>
                </c:pt>
                <c:pt idx="32">
                  <c:v>0.93682781637594414</c:v>
                </c:pt>
                <c:pt idx="33">
                  <c:v>0.93747481052308812</c:v>
                </c:pt>
                <c:pt idx="34">
                  <c:v>0.93808057196373529</c:v>
                </c:pt>
                <c:pt idx="35">
                  <c:v>0.93864845372771943</c:v>
                </c:pt>
                <c:pt idx="36">
                  <c:v>0.93918145503420891</c:v>
                </c:pt>
                <c:pt idx="37">
                  <c:v>0.93968226675968269</c:v>
                </c:pt>
                <c:pt idx="38">
                  <c:v>0.94015331006993241</c:v>
                </c:pt>
                <c:pt idx="39">
                  <c:v>0.94059676938584103</c:v>
                </c:pt>
                <c:pt idx="40">
                  <c:v>0.94101462062939023</c:v>
                </c:pt>
                <c:pt idx="41">
                  <c:v>0.94140865551988417</c:v>
                </c:pt>
                <c:pt idx="42">
                  <c:v>0.94178050255008472</c:v>
                </c:pt>
                <c:pt idx="43">
                  <c:v>0.94213164515977998</c:v>
                </c:pt>
                <c:pt idx="44">
                  <c:v>0.94246343753411888</c:v>
                </c:pt>
                <c:pt idx="45">
                  <c:v>0.94277711838116918</c:v>
                </c:pt>
                <c:pt idx="46">
                  <c:v>0.94307382298396047</c:v>
                </c:pt>
                <c:pt idx="47">
                  <c:v>0.94335459377398223</c:v>
                </c:pt>
                <c:pt idx="48">
                  <c:v>0.94362038963351347</c:v>
                </c:pt>
                <c:pt idx="49">
                  <c:v>0.94387209410157813</c:v>
                </c:pt>
                <c:pt idx="50">
                  <c:v>0.94411052263137274</c:v>
                </c:pt>
                <c:pt idx="51">
                  <c:v>0.94433642902466752</c:v>
                </c:pt>
                <c:pt idx="52">
                  <c:v>0.94455051115004718</c:v>
                </c:pt>
                <c:pt idx="53">
                  <c:v>0.9447534160362967</c:v>
                </c:pt>
                <c:pt idx="54">
                  <c:v>0.9449457444191649</c:v>
                </c:pt>
                <c:pt idx="55">
                  <c:v>0.94512805480874529</c:v>
                </c:pt>
                <c:pt idx="56">
                  <c:v>0.94530086713542238</c:v>
                </c:pt>
                <c:pt idx="57">
                  <c:v>0.94546466602446289</c:v>
                </c:pt>
                <c:pt idx="58">
                  <c:v>0.94561990374264304</c:v>
                </c:pt>
                <c:pt idx="59">
                  <c:v>0.94576700285460391</c:v>
                </c:pt>
                <c:pt idx="60">
                  <c:v>0.94590635862175843</c:v>
                </c:pt>
                <c:pt idx="61">
                  <c:v>0.94603834117239294</c:v>
                </c:pt>
                <c:pt idx="62">
                  <c:v>0.94616329746803118</c:v>
                </c:pt>
                <c:pt idx="63">
                  <c:v>0.94628155308802597</c:v>
                </c:pt>
                <c:pt idx="64">
                  <c:v>0.94639341385169196</c:v>
                </c:pt>
                <c:pt idx="65">
                  <c:v>0.94649916729496841</c:v>
                </c:pt>
                <c:pt idx="66">
                  <c:v>0.94659908401661386</c:v>
                </c:pt>
                <c:pt idx="67">
                  <c:v>0.9466934189071825</c:v>
                </c:pt>
                <c:pt idx="68">
                  <c:v>0.94678241227252036</c:v>
                </c:pt>
                <c:pt idx="69">
                  <c:v>0.94686629086219554</c:v>
                </c:pt>
                <c:pt idx="70">
                  <c:v>0.94694526881211427</c:v>
                </c:pt>
                <c:pt idx="71">
                  <c:v>0.94701954850956527</c:v>
                </c:pt>
                <c:pt idx="72">
                  <c:v>0.9470893213880367</c:v>
                </c:pt>
                <c:pt idx="73">
                  <c:v>0.94715476865836978</c:v>
                </c:pt>
                <c:pt idx="74">
                  <c:v>0.94721606198211927</c:v>
                </c:pt>
                <c:pt idx="75">
                  <c:v>0.94727336409238205</c:v>
                </c:pt>
                <c:pt idx="76">
                  <c:v>0.94732682936681178</c:v>
                </c:pt>
                <c:pt idx="77">
                  <c:v>0.94737660435706383</c:v>
                </c:pt>
                <c:pt idx="78">
                  <c:v>0.9474228282784849</c:v>
                </c:pt>
                <c:pt idx="79">
                  <c:v>0.94746563346348933</c:v>
                </c:pt>
                <c:pt idx="80">
                  <c:v>0.94750514578172218</c:v>
                </c:pt>
                <c:pt idx="81">
                  <c:v>0.9475414850298175</c:v>
                </c:pt>
                <c:pt idx="82">
                  <c:v>0.94757476529328388</c:v>
                </c:pt>
                <c:pt idx="83">
                  <c:v>0.94760509528281889</c:v>
                </c:pt>
                <c:pt idx="84">
                  <c:v>0.94763257864713424</c:v>
                </c:pt>
                <c:pt idx="85">
                  <c:v>0.9476573142641832</c:v>
                </c:pt>
                <c:pt idx="86">
                  <c:v>0.94767939651251165</c:v>
                </c:pt>
                <c:pt idx="87">
                  <c:v>0.94769891552429619</c:v>
                </c:pt>
                <c:pt idx="88">
                  <c:v>0.94771595742149561</c:v>
                </c:pt>
                <c:pt idx="89">
                  <c:v>0.947730604536417</c:v>
                </c:pt>
                <c:pt idx="90">
                  <c:v>0.94774293561788159</c:v>
                </c:pt>
                <c:pt idx="91">
                  <c:v>0.94775302602407707</c:v>
                </c:pt>
                <c:pt idx="92">
                  <c:v>0.94776094790308774</c:v>
                </c:pt>
                <c:pt idx="93">
                  <c:v>0.94776677036201185</c:v>
                </c:pt>
                <c:pt idx="94">
                  <c:v>0.94777055962549916</c:v>
                </c:pt>
                <c:pt idx="95">
                  <c:v>0.94777237918447133</c:v>
                </c:pt>
                <c:pt idx="96">
                  <c:v>0.94777228993573115</c:v>
                </c:pt>
                <c:pt idx="97">
                  <c:v>0.94777035031309942</c:v>
                </c:pt>
                <c:pt idx="98">
                  <c:v>0.94776661641067905</c:v>
                </c:pt>
                <c:pt idx="99">
                  <c:v>0.94776114209878792</c:v>
                </c:pt>
                <c:pt idx="100">
                  <c:v>0.9477539791330678</c:v>
                </c:pt>
                <c:pt idx="101">
                  <c:v>0.94774517725722962</c:v>
                </c:pt>
                <c:pt idx="102">
                  <c:v>0.94773478429986779</c:v>
                </c:pt>
                <c:pt idx="103">
                  <c:v>0.94772284626573611</c:v>
                </c:pt>
                <c:pt idx="104">
                  <c:v>0.94770940742185339</c:v>
                </c:pt>
                <c:pt idx="105">
                  <c:v>0.94769451037877606</c:v>
                </c:pt>
                <c:pt idx="106">
                  <c:v>0.94767819616735172</c:v>
                </c:pt>
                <c:pt idx="107">
                  <c:v>0.94766050431124493</c:v>
                </c:pt>
                <c:pt idx="108">
                  <c:v>0.94764147289550271</c:v>
                </c:pt>
                <c:pt idx="109">
                  <c:v>0.94762113863141129</c:v>
                </c:pt>
                <c:pt idx="110">
                  <c:v>0.94759953691787535</c:v>
                </c:pt>
                <c:pt idx="111">
                  <c:v>0.9475767018995358</c:v>
                </c:pt>
                <c:pt idx="112">
                  <c:v>0.9475526665218259</c:v>
                </c:pt>
                <c:pt idx="113">
                  <c:v>0.94752746258315235</c:v>
                </c:pt>
                <c:pt idx="114">
                  <c:v>0.94750112078437621</c:v>
                </c:pt>
                <c:pt idx="115">
                  <c:v>0.94747367077575295</c:v>
                </c:pt>
                <c:pt idx="116">
                  <c:v>0.94744514120148537</c:v>
                </c:pt>
                <c:pt idx="117">
                  <c:v>0.94741555974202718</c:v>
                </c:pt>
                <c:pt idx="118">
                  <c:v>0.94738495315426996</c:v>
                </c:pt>
                <c:pt idx="119">
                  <c:v>0.94735334730973653</c:v>
                </c:pt>
                <c:pt idx="120">
                  <c:v>0.94732076723089409</c:v>
                </c:pt>
                <c:pt idx="121">
                  <c:v>0.94728723712569429</c:v>
                </c:pt>
                <c:pt idx="122">
                  <c:v>0.9472527804204417</c:v>
                </c:pt>
                <c:pt idx="123">
                  <c:v>0.94721741979108287</c:v>
                </c:pt>
                <c:pt idx="124">
                  <c:v>0.94718117719300343</c:v>
                </c:pt>
                <c:pt idx="125">
                  <c:v>0.94714407388941868</c:v>
                </c:pt>
                <c:pt idx="126">
                  <c:v>0.94710613047842962</c:v>
                </c:pt>
                <c:pt idx="127">
                  <c:v>0.94706736691882265</c:v>
                </c:pt>
                <c:pt idx="128">
                  <c:v>0.94702780255467534</c:v>
                </c:pt>
                <c:pt idx="129">
                  <c:v>0.94698745613883462</c:v>
                </c:pt>
                <c:pt idx="130">
                  <c:v>0.94694634585532922</c:v>
                </c:pt>
                <c:pt idx="131">
                  <c:v>0.9469044893407671</c:v>
                </c:pt>
                <c:pt idx="132">
                  <c:v>0.94686190370477674</c:v>
                </c:pt>
                <c:pt idx="133">
                  <c:v>0.94681860554953778</c:v>
                </c:pt>
                <c:pt idx="134">
                  <c:v>0.94677461098845117</c:v>
                </c:pt>
                <c:pt idx="135">
                  <c:v>0.94672993566398767</c:v>
                </c:pt>
                <c:pt idx="136">
                  <c:v>0.94668459476476419</c:v>
                </c:pt>
                <c:pt idx="137">
                  <c:v>0.94663860304187941</c:v>
                </c:pt>
                <c:pt idx="138">
                  <c:v>0.94659197482454993</c:v>
                </c:pt>
                <c:pt idx="139">
                  <c:v>0.94654472403508016</c:v>
                </c:pt>
                <c:pt idx="140">
                  <c:v>0.94649686420320056</c:v>
                </c:pt>
                <c:pt idx="141">
                  <c:v>0.94644840847980194</c:v>
                </c:pt>
                <c:pt idx="142">
                  <c:v>0.94639936965009841</c:v>
                </c:pt>
                <c:pt idx="143">
                  <c:v>0.94634976014624561</c:v>
                </c:pt>
                <c:pt idx="144">
                  <c:v>0.94629959205943848</c:v>
                </c:pt>
                <c:pt idx="145">
                  <c:v>0.94624887715151684</c:v>
                </c:pt>
                <c:pt idx="146">
                  <c:v>0.94619762686609865</c:v>
                </c:pt>
                <c:pt idx="147">
                  <c:v>0.9461458523392654</c:v>
                </c:pt>
                <c:pt idx="148">
                  <c:v>0.94609356440981973</c:v>
                </c:pt>
                <c:pt idx="149">
                  <c:v>0.94604077362913575</c:v>
                </c:pt>
                <c:pt idx="150">
                  <c:v>0.94598749027061835</c:v>
                </c:pt>
                <c:pt idx="151">
                  <c:v>0.94593372433879452</c:v>
                </c:pt>
                <c:pt idx="152">
                  <c:v>0.94587948557804691</c:v>
                </c:pt>
                <c:pt idx="153">
                  <c:v>0.94582478348101118</c:v>
                </c:pt>
                <c:pt idx="154">
                  <c:v>0.94576962729665037</c:v>
                </c:pt>
                <c:pt idx="155">
                  <c:v>0.94571402603801857</c:v>
                </c:pt>
                <c:pt idx="156">
                  <c:v>0.9456579884897317</c:v>
                </c:pt>
                <c:pt idx="157">
                  <c:v>0.94560152321515467</c:v>
                </c:pt>
                <c:pt idx="158">
                  <c:v>0.94554463856332027</c:v>
                </c:pt>
                <c:pt idx="159">
                  <c:v>0.94548734267558887</c:v>
                </c:pt>
                <c:pt idx="160">
                  <c:v>0.94542964349206193</c:v>
                </c:pt>
                <c:pt idx="161">
                  <c:v>0.94537154875775875</c:v>
                </c:pt>
                <c:pt idx="162">
                  <c:v>0.94531306602856802</c:v>
                </c:pt>
                <c:pt idx="163">
                  <c:v>0.94525420267698235</c:v>
                </c:pt>
                <c:pt idx="164">
                  <c:v>0.94519496589762475</c:v>
                </c:pt>
                <c:pt idx="165">
                  <c:v>0.94513536271257781</c:v>
                </c:pt>
                <c:pt idx="166">
                  <c:v>0.94507539997652112</c:v>
                </c:pt>
                <c:pt idx="167">
                  <c:v>0.94501508438168713</c:v>
                </c:pt>
                <c:pt idx="168">
                  <c:v>0.94495442246264183</c:v>
                </c:pt>
                <c:pt idx="169">
                  <c:v>0.94489342060089654</c:v>
                </c:pt>
                <c:pt idx="170">
                  <c:v>0.94483208502936089</c:v>
                </c:pt>
                <c:pt idx="171">
                  <c:v>0.94477042183663917</c:v>
                </c:pt>
                <c:pt idx="172">
                  <c:v>0.94470843697117923</c:v>
                </c:pt>
                <c:pt idx="173">
                  <c:v>0.9446461362452796</c:v>
                </c:pt>
                <c:pt idx="174">
                  <c:v>0.9445835253389594</c:v>
                </c:pt>
                <c:pt idx="175">
                  <c:v>0.94452060980369656</c:v>
                </c:pt>
                <c:pt idx="176">
                  <c:v>0.94445739506604087</c:v>
                </c:pt>
                <c:pt idx="177">
                  <c:v>0.94439388643110544</c:v>
                </c:pt>
                <c:pt idx="178">
                  <c:v>0.94433008908594163</c:v>
                </c:pt>
                <c:pt idx="179">
                  <c:v>0.94426600810280203</c:v>
                </c:pt>
                <c:pt idx="180">
                  <c:v>0.94420164844229615</c:v>
                </c:pt>
                <c:pt idx="181">
                  <c:v>0.94413701495644231</c:v>
                </c:pt>
                <c:pt idx="182">
                  <c:v>0.9440721123916197</c:v>
                </c:pt>
                <c:pt idx="183">
                  <c:v>0.9440069453914256</c:v>
                </c:pt>
                <c:pt idx="184">
                  <c:v>0.9439415184994393</c:v>
                </c:pt>
                <c:pt idx="185">
                  <c:v>0.94387583616189763</c:v>
                </c:pt>
                <c:pt idx="186">
                  <c:v>0.94380990273028553</c:v>
                </c:pt>
                <c:pt idx="187">
                  <c:v>0.94374372246384397</c:v>
                </c:pt>
                <c:pt idx="188">
                  <c:v>0.94367729953199841</c:v>
                </c:pt>
                <c:pt idx="189">
                  <c:v>0.94361063801671119</c:v>
                </c:pt>
                <c:pt idx="190">
                  <c:v>0.94354374191476098</c:v>
                </c:pt>
                <c:pt idx="191">
                  <c:v>0.94347661513994951</c:v>
                </c:pt>
                <c:pt idx="192">
                  <c:v>0.9434092615252424</c:v>
                </c:pt>
                <c:pt idx="193">
                  <c:v>0.94334168482484204</c:v>
                </c:pt>
                <c:pt idx="194">
                  <c:v>0.94327388871619888</c:v>
                </c:pt>
                <c:pt idx="195">
                  <c:v>0.94320587680195911</c:v>
                </c:pt>
                <c:pt idx="196">
                  <c:v>0.94313765261185567</c:v>
                </c:pt>
                <c:pt idx="197">
                  <c:v>0.94306921960454027</c:v>
                </c:pt>
                <c:pt idx="198">
                  <c:v>0.94300058116936225</c:v>
                </c:pt>
                <c:pt idx="199">
                  <c:v>0.9429317406280926</c:v>
                </c:pt>
                <c:pt idx="200">
                  <c:v>0.94286270123659766</c:v>
                </c:pt>
                <c:pt idx="201">
                  <c:v>0.94279346618646331</c:v>
                </c:pt>
                <c:pt idx="202">
                  <c:v>0.94272403860657128</c:v>
                </c:pt>
                <c:pt idx="203">
                  <c:v>0.94265442156462886</c:v>
                </c:pt>
                <c:pt idx="204">
                  <c:v>0.94258461806865534</c:v>
                </c:pt>
                <c:pt idx="205">
                  <c:v>0.94251463106842304</c:v>
                </c:pt>
                <c:pt idx="206">
                  <c:v>0.94244446345685939</c:v>
                </c:pt>
                <c:pt idx="207">
                  <c:v>0.94237411807140692</c:v>
                </c:pt>
                <c:pt idx="208">
                  <c:v>0.94230359769534511</c:v>
                </c:pt>
                <c:pt idx="209">
                  <c:v>0.94223290505907431</c:v>
                </c:pt>
                <c:pt idx="210">
                  <c:v>0.94216204284136373</c:v>
                </c:pt>
                <c:pt idx="211">
                  <c:v>0.94209101367056391</c:v>
                </c:pt>
                <c:pt idx="212">
                  <c:v>0.94201982012578489</c:v>
                </c:pt>
                <c:pt idx="213">
                  <c:v>0.94194846473804272</c:v>
                </c:pt>
                <c:pt idx="214">
                  <c:v>0.94187694999137261</c:v>
                </c:pt>
                <c:pt idx="215">
                  <c:v>0.94180527832391192</c:v>
                </c:pt>
                <c:pt idx="216">
                  <c:v>0.94173345212895376</c:v>
                </c:pt>
                <c:pt idx="217">
                  <c:v>0.94166147375597098</c:v>
                </c:pt>
                <c:pt idx="218">
                  <c:v>0.94158934551161266</c:v>
                </c:pt>
                <c:pt idx="219">
                  <c:v>0.9415170696606735</c:v>
                </c:pt>
                <c:pt idx="220">
                  <c:v>0.94144464842703657</c:v>
                </c:pt>
                <c:pt idx="221">
                  <c:v>0.9413720839945916</c:v>
                </c:pt>
                <c:pt idx="222">
                  <c:v>0.94129937850812773</c:v>
                </c:pt>
                <c:pt idx="223">
                  <c:v>0.94122653407420276</c:v>
                </c:pt>
                <c:pt idx="224">
                  <c:v>0.94115355276198942</c:v>
                </c:pt>
                <c:pt idx="225">
                  <c:v>0.94108043660409957</c:v>
                </c:pt>
                <c:pt idx="226">
                  <c:v>0.94100718759738555</c:v>
                </c:pt>
                <c:pt idx="227">
                  <c:v>0.94093380770372215</c:v>
                </c:pt>
                <c:pt idx="228">
                  <c:v>0.94086029885076705</c:v>
                </c:pt>
                <c:pt idx="229">
                  <c:v>0.94078666293270152</c:v>
                </c:pt>
                <c:pt idx="230">
                  <c:v>0.94071290181095213</c:v>
                </c:pt>
                <c:pt idx="231">
                  <c:v>0.94063901731489474</c:v>
                </c:pt>
                <c:pt idx="232">
                  <c:v>0.940565011242539</c:v>
                </c:pt>
                <c:pt idx="233">
                  <c:v>0.94049088536119618</c:v>
                </c:pt>
                <c:pt idx="234">
                  <c:v>0.94041664140812953</c:v>
                </c:pt>
                <c:pt idx="235">
                  <c:v>0.94034228109118934</c:v>
                </c:pt>
                <c:pt idx="236">
                  <c:v>0.94026780608943028</c:v>
                </c:pt>
                <c:pt idx="237">
                  <c:v>0.94019321805371447</c:v>
                </c:pt>
                <c:pt idx="238">
                  <c:v>0.94011851860729878</c:v>
                </c:pt>
                <c:pt idx="239">
                  <c:v>0.9400437093464088</c:v>
                </c:pt>
                <c:pt idx="240">
                  <c:v>0.93996879184079585</c:v>
                </c:pt>
                <c:pt idx="241">
                  <c:v>0.93989376763428367</c:v>
                </c:pt>
                <c:pt idx="242">
                  <c:v>0.93981863824529943</c:v>
                </c:pt>
                <c:pt idx="243">
                  <c:v>0.93974340516739119</c:v>
                </c:pt>
                <c:pt idx="244">
                  <c:v>0.9396680698697355</c:v>
                </c:pt>
                <c:pt idx="245">
                  <c:v>0.93959263379762947</c:v>
                </c:pt>
                <c:pt idx="246">
                  <c:v>0.93951709837297426</c:v>
                </c:pt>
                <c:pt idx="247">
                  <c:v>0.93944146499474279</c:v>
                </c:pt>
                <c:pt idx="248">
                  <c:v>0.9393657350394401</c:v>
                </c:pt>
                <c:pt idx="249">
                  <c:v>0.93928990986155081</c:v>
                </c:pt>
                <c:pt idx="250">
                  <c:v>0.93921399079397616</c:v>
                </c:pt>
                <c:pt idx="251">
                  <c:v>0.9391379791484602</c:v>
                </c:pt>
                <c:pt idx="252">
                  <c:v>0.93906187621600745</c:v>
                </c:pt>
                <c:pt idx="253">
                  <c:v>0.93898568326728926</c:v>
                </c:pt>
                <c:pt idx="254">
                  <c:v>0.93890940155304092</c:v>
                </c:pt>
                <c:pt idx="255">
                  <c:v>0.9388330323044497</c:v>
                </c:pt>
                <c:pt idx="256">
                  <c:v>0.93875657673353463</c:v>
                </c:pt>
                <c:pt idx="257">
                  <c:v>0.93868003603351557</c:v>
                </c:pt>
                <c:pt idx="258">
                  <c:v>0.93860341137917547</c:v>
                </c:pt>
                <c:pt idx="259">
                  <c:v>0.93852670392721405</c:v>
                </c:pt>
                <c:pt idx="260">
                  <c:v>0.93844991481659257</c:v>
                </c:pt>
                <c:pt idx="261">
                  <c:v>0.93837304516887143</c:v>
                </c:pt>
                <c:pt idx="262">
                  <c:v>0.93829609608853948</c:v>
                </c:pt>
                <c:pt idx="263">
                  <c:v>0.93821906866333682</c:v>
                </c:pt>
                <c:pt idx="264">
                  <c:v>0.93814196396456995</c:v>
                </c:pt>
                <c:pt idx="265">
                  <c:v>0.93806478304741836</c:v>
                </c:pt>
                <c:pt idx="266">
                  <c:v>0.93798752695123744</c:v>
                </c:pt>
                <c:pt idx="267">
                  <c:v>0.93791019669985098</c:v>
                </c:pt>
                <c:pt idx="268">
                  <c:v>0.93783279330183988</c:v>
                </c:pt>
                <c:pt idx="269">
                  <c:v>0.93775531775082355</c:v>
                </c:pt>
                <c:pt idx="270">
                  <c:v>0.93767777102573469</c:v>
                </c:pt>
                <c:pt idx="271">
                  <c:v>0.93760015409108843</c:v>
                </c:pt>
                <c:pt idx="272">
                  <c:v>0.93752246789724614</c:v>
                </c:pt>
                <c:pt idx="273">
                  <c:v>0.93744471338067148</c:v>
                </c:pt>
                <c:pt idx="274">
                  <c:v>0.93736689146418428</c:v>
                </c:pt>
                <c:pt idx="275">
                  <c:v>0.93728900305720508</c:v>
                </c:pt>
                <c:pt idx="276">
                  <c:v>0.9372110490559975</c:v>
                </c:pt>
                <c:pt idx="277">
                  <c:v>0.93713303034390327</c:v>
                </c:pt>
                <c:pt idx="278">
                  <c:v>0.93705494779157406</c:v>
                </c:pt>
                <c:pt idx="279">
                  <c:v>0.93697680225719604</c:v>
                </c:pt>
                <c:pt idx="280">
                  <c:v>0.93689859458671254</c:v>
                </c:pt>
                <c:pt idx="281">
                  <c:v>0.93682032561403916</c:v>
                </c:pt>
                <c:pt idx="282">
                  <c:v>0.9367419961612764</c:v>
                </c:pt>
                <c:pt idx="283">
                  <c:v>0.93666360703891649</c:v>
                </c:pt>
                <c:pt idx="284">
                  <c:v>0.93658515904604756</c:v>
                </c:pt>
                <c:pt idx="285">
                  <c:v>0.93650665297055025</c:v>
                </c:pt>
                <c:pt idx="286">
                  <c:v>0.93642808958929513</c:v>
                </c:pt>
                <c:pt idx="287">
                  <c:v>0.93634946966833066</c:v>
                </c:pt>
                <c:pt idx="288">
                  <c:v>0.93627079396307211</c:v>
                </c:pt>
                <c:pt idx="289">
                  <c:v>0.93619206321848247</c:v>
                </c:pt>
                <c:pt idx="290">
                  <c:v>0.93611327816925272</c:v>
                </c:pt>
                <c:pt idx="291">
                  <c:v>0.936034439539977</c:v>
                </c:pt>
                <c:pt idx="292">
                  <c:v>0.93595554804532399</c:v>
                </c:pt>
                <c:pt idx="293">
                  <c:v>0.93587660439020559</c:v>
                </c:pt>
                <c:pt idx="294">
                  <c:v>0.93579760926994149</c:v>
                </c:pt>
                <c:pt idx="295">
                  <c:v>0.93571856337042159</c:v>
                </c:pt>
                <c:pt idx="296">
                  <c:v>0.93563946736826265</c:v>
                </c:pt>
                <c:pt idx="297">
                  <c:v>0.93556032193096539</c:v>
                </c:pt>
                <c:pt idx="298">
                  <c:v>0.93548112771706493</c:v>
                </c:pt>
                <c:pt idx="299">
                  <c:v>0.93540188537628088</c:v>
                </c:pt>
              </c:numCache>
            </c:numRef>
          </c:yVal>
          <c:smooth val="1"/>
        </c:ser>
        <c:dLbls>
          <c:showLegendKey val="0"/>
          <c:showVal val="0"/>
          <c:showCatName val="0"/>
          <c:showSerName val="0"/>
          <c:showPercent val="0"/>
          <c:showBubbleSize val="0"/>
        </c:dLbls>
        <c:axId val="-1650384768"/>
        <c:axId val="-1650393472"/>
      </c:scatterChart>
      <c:valAx>
        <c:axId val="-1650384768"/>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650393472"/>
        <c:crosses val="autoZero"/>
        <c:crossBetween val="midCat"/>
        <c:majorUnit val="0.5"/>
      </c:valAx>
      <c:valAx>
        <c:axId val="-1650393472"/>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65038476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sel="1" val="0"/>
</file>

<file path=xl/ctrlProps/ctrlProp2.xml><?xml version="1.0" encoding="utf-8"?>
<formControlPr xmlns="http://schemas.microsoft.com/office/spreadsheetml/2009/9/main" objectType="Drop" dropStyle="combo" dx="16" fmlaLink="$A$2" fmlaRange="'Controller parameters'!$A$2"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22860</xdr:rowOff>
        </xdr:from>
        <xdr:to>
          <xdr:col>11</xdr:col>
          <xdr:colOff>502920</xdr:colOff>
          <xdr:row>10</xdr:row>
          <xdr:rowOff>220980</xdr:rowOff>
        </xdr:to>
        <xdr:sp macro="" textlink="">
          <xdr:nvSpPr>
            <xdr:cNvPr id="1079" name="Drop Down 55"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30480</xdr:rowOff>
        </xdr:from>
        <xdr:to>
          <xdr:col>0</xdr:col>
          <xdr:colOff>1569720</xdr:colOff>
          <xdr:row>1</xdr:row>
          <xdr:rowOff>228600</xdr:rowOff>
        </xdr:to>
        <xdr:sp macro="" textlink="">
          <xdr:nvSpPr>
            <xdr:cNvPr id="3073" name="Drop Dow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5.6"/>
  <cols>
    <col min="3" max="3" width="5.5" customWidth="1"/>
    <col min="5" max="5" width="18.69921875" customWidth="1"/>
  </cols>
  <sheetData>
    <row r="1" spans="1:13">
      <c r="A1" s="211"/>
      <c r="B1" s="211"/>
      <c r="C1" s="254" t="s">
        <v>195</v>
      </c>
      <c r="D1" s="254"/>
      <c r="E1" s="254"/>
      <c r="F1" s="254"/>
      <c r="G1" s="254"/>
      <c r="H1" s="254"/>
      <c r="I1" s="234" t="s">
        <v>225</v>
      </c>
      <c r="J1" s="211"/>
      <c r="K1" s="211"/>
      <c r="L1" s="211"/>
      <c r="M1" s="211"/>
    </row>
    <row r="2" spans="1:13">
      <c r="A2" s="211"/>
      <c r="B2" s="211"/>
      <c r="C2" s="211"/>
      <c r="D2" s="211"/>
      <c r="E2" s="211"/>
      <c r="F2" s="211"/>
      <c r="G2" s="211"/>
      <c r="H2" s="211"/>
      <c r="I2" s="211"/>
      <c r="J2" s="211"/>
      <c r="K2" s="211"/>
      <c r="L2" s="211"/>
      <c r="M2" s="211"/>
    </row>
    <row r="3" spans="1:13">
      <c r="A3" s="246" t="s">
        <v>239</v>
      </c>
      <c r="B3" s="249"/>
      <c r="C3" s="249"/>
      <c r="D3" s="249"/>
      <c r="E3" s="249"/>
      <c r="F3" s="249"/>
      <c r="G3" s="249"/>
      <c r="H3" s="249"/>
      <c r="I3" s="249"/>
      <c r="J3" s="247"/>
      <c r="K3" s="247"/>
      <c r="L3" s="247"/>
      <c r="M3" s="247"/>
    </row>
    <row r="4" spans="1:13">
      <c r="A4" s="247"/>
      <c r="B4" s="247"/>
      <c r="C4" s="247"/>
      <c r="D4" s="247"/>
      <c r="E4" s="247"/>
      <c r="F4" s="247"/>
      <c r="G4" s="247"/>
      <c r="H4" s="247"/>
      <c r="I4" s="247"/>
      <c r="J4" s="247"/>
      <c r="K4" s="247"/>
      <c r="L4" s="247"/>
      <c r="M4" s="247"/>
    </row>
    <row r="5" spans="1:13" ht="8.25" customHeight="1">
      <c r="A5" s="247"/>
      <c r="B5" s="247"/>
      <c r="C5" s="247"/>
      <c r="D5" s="247"/>
      <c r="E5" s="247"/>
      <c r="F5" s="247"/>
      <c r="G5" s="247"/>
      <c r="H5" s="247"/>
      <c r="I5" s="247"/>
      <c r="J5" s="247"/>
      <c r="K5" s="247"/>
      <c r="L5" s="247"/>
      <c r="M5" s="247"/>
    </row>
    <row r="6" spans="1:13" ht="26.25" customHeight="1">
      <c r="A6" s="250" t="s">
        <v>221</v>
      </c>
      <c r="B6" s="250"/>
      <c r="C6" s="250"/>
      <c r="D6" s="250"/>
      <c r="E6" s="250"/>
      <c r="F6" s="250"/>
      <c r="G6" s="250"/>
      <c r="H6" s="250"/>
      <c r="I6" s="251"/>
      <c r="J6" s="251"/>
      <c r="K6" s="251"/>
      <c r="L6" s="251"/>
      <c r="M6" s="251"/>
    </row>
    <row r="7" spans="1:13" ht="19.5" customHeight="1">
      <c r="A7" s="246" t="s">
        <v>203</v>
      </c>
      <c r="B7" s="247"/>
      <c r="C7" s="247"/>
      <c r="D7" s="247"/>
      <c r="E7" s="247"/>
      <c r="F7" s="247"/>
      <c r="G7" s="247"/>
      <c r="H7" s="247"/>
      <c r="I7" s="247"/>
      <c r="J7" s="247"/>
      <c r="K7" s="247"/>
      <c r="L7" s="247"/>
      <c r="M7" s="247"/>
    </row>
    <row r="8" spans="1:13" ht="19.5" customHeight="1">
      <c r="A8" s="247"/>
      <c r="B8" s="247"/>
      <c r="C8" s="247"/>
      <c r="D8" s="247"/>
      <c r="E8" s="247"/>
      <c r="F8" s="247"/>
      <c r="G8" s="247"/>
      <c r="H8" s="247"/>
      <c r="I8" s="247"/>
      <c r="J8" s="247"/>
      <c r="K8" s="247"/>
      <c r="L8" s="247"/>
      <c r="M8" s="247"/>
    </row>
    <row r="9" spans="1:13">
      <c r="A9" s="256" t="s">
        <v>189</v>
      </c>
      <c r="B9" s="256"/>
      <c r="C9" s="256"/>
      <c r="D9" s="255" t="s">
        <v>190</v>
      </c>
      <c r="E9" s="255"/>
      <c r="F9" s="253" t="s">
        <v>196</v>
      </c>
      <c r="G9" s="253"/>
      <c r="H9" s="253"/>
      <c r="I9" s="253"/>
      <c r="J9" s="253"/>
      <c r="K9" s="247"/>
      <c r="L9" s="211"/>
      <c r="M9" s="211"/>
    </row>
    <row r="10" spans="1:13">
      <c r="A10" s="211"/>
      <c r="B10" s="211"/>
      <c r="C10" s="211"/>
      <c r="D10" s="255" t="s">
        <v>191</v>
      </c>
      <c r="E10" s="255"/>
      <c r="F10" s="252" t="s">
        <v>192</v>
      </c>
      <c r="G10" s="252"/>
      <c r="H10" s="252"/>
      <c r="I10" s="252"/>
      <c r="J10" s="247"/>
      <c r="K10" s="247"/>
      <c r="L10" s="211"/>
      <c r="M10" s="211"/>
    </row>
    <row r="11" spans="1:13">
      <c r="A11" s="211"/>
      <c r="B11" s="211"/>
      <c r="C11" s="211"/>
      <c r="D11" s="255" t="s">
        <v>193</v>
      </c>
      <c r="E11" s="255"/>
      <c r="F11" s="257" t="s">
        <v>194</v>
      </c>
      <c r="G11" s="247"/>
      <c r="H11" s="247"/>
      <c r="I11" s="247"/>
      <c r="J11" s="247"/>
      <c r="K11" s="247"/>
      <c r="L11" s="211"/>
      <c r="M11" s="211"/>
    </row>
    <row r="12" spans="1:13">
      <c r="A12" s="211"/>
      <c r="B12" s="211"/>
      <c r="C12" s="211"/>
      <c r="D12" s="255" t="s">
        <v>197</v>
      </c>
      <c r="E12" s="255"/>
      <c r="F12" s="252" t="s">
        <v>198</v>
      </c>
      <c r="G12" s="252"/>
      <c r="H12" s="252"/>
      <c r="I12" s="252"/>
      <c r="J12" s="247"/>
      <c r="K12" s="247"/>
      <c r="L12" s="211"/>
      <c r="M12" s="211"/>
    </row>
    <row r="13" spans="1:13">
      <c r="A13" s="211"/>
      <c r="B13" s="211"/>
      <c r="C13" s="211"/>
      <c r="D13" s="255" t="s">
        <v>200</v>
      </c>
      <c r="E13" s="255"/>
      <c r="F13" s="252" t="s">
        <v>199</v>
      </c>
      <c r="G13" s="252"/>
      <c r="H13" s="252"/>
      <c r="I13" s="252"/>
      <c r="J13" s="247"/>
      <c r="K13" s="247"/>
      <c r="L13" s="211"/>
      <c r="M13" s="211"/>
    </row>
    <row r="14" spans="1:13">
      <c r="A14" s="211"/>
      <c r="B14" s="211"/>
      <c r="C14" s="211"/>
      <c r="D14" s="255" t="s">
        <v>201</v>
      </c>
      <c r="E14" s="255"/>
      <c r="F14" s="253" t="s">
        <v>202</v>
      </c>
      <c r="G14" s="253"/>
      <c r="H14" s="253"/>
      <c r="I14" s="253"/>
      <c r="J14" s="247"/>
      <c r="K14" s="247"/>
      <c r="L14" s="211"/>
      <c r="M14" s="211"/>
    </row>
    <row r="15" spans="1:13">
      <c r="A15" s="248"/>
      <c r="B15" s="248"/>
      <c r="C15" s="248"/>
      <c r="D15" s="248"/>
      <c r="E15" s="248"/>
      <c r="F15" s="248"/>
      <c r="G15" s="248"/>
      <c r="H15" s="248"/>
      <c r="I15" s="248"/>
      <c r="J15" s="248"/>
      <c r="K15" s="211"/>
      <c r="L15" s="211"/>
      <c r="M15" s="211"/>
    </row>
    <row r="16" spans="1:13">
      <c r="A16" s="246" t="s">
        <v>204</v>
      </c>
      <c r="B16" s="247"/>
      <c r="C16" s="247"/>
      <c r="D16" s="247"/>
      <c r="E16" s="247"/>
      <c r="F16" s="247"/>
      <c r="G16" s="247"/>
      <c r="H16" s="247"/>
      <c r="I16" s="247"/>
      <c r="J16" s="247"/>
      <c r="K16" s="247"/>
      <c r="L16" s="247"/>
      <c r="M16" s="247"/>
    </row>
    <row r="17" spans="1:13">
      <c r="A17" s="247"/>
      <c r="B17" s="247"/>
      <c r="C17" s="247"/>
      <c r="D17" s="247"/>
      <c r="E17" s="247"/>
      <c r="F17" s="247"/>
      <c r="G17" s="247"/>
      <c r="H17" s="247"/>
      <c r="I17" s="247"/>
      <c r="J17" s="247"/>
      <c r="K17" s="247"/>
      <c r="L17" s="247"/>
      <c r="M17" s="247"/>
    </row>
    <row r="18" spans="1:13">
      <c r="A18" s="247"/>
      <c r="B18" s="247"/>
      <c r="C18" s="247"/>
      <c r="D18" s="247"/>
      <c r="E18" s="247"/>
      <c r="F18" s="247"/>
      <c r="G18" s="247"/>
      <c r="H18" s="247"/>
      <c r="I18" s="247"/>
      <c r="J18" s="247"/>
      <c r="K18" s="247"/>
      <c r="L18" s="247"/>
      <c r="M18" s="247"/>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C1:H1"/>
    <mergeCell ref="D14:E14"/>
    <mergeCell ref="A9:C9"/>
    <mergeCell ref="D9:E9"/>
    <mergeCell ref="D10:E10"/>
    <mergeCell ref="D11:E11"/>
    <mergeCell ref="D12:E12"/>
    <mergeCell ref="D13:E13"/>
    <mergeCell ref="F11:K11"/>
    <mergeCell ref="A16:M18"/>
    <mergeCell ref="A15:J15"/>
    <mergeCell ref="A3:M5"/>
    <mergeCell ref="A6:M6"/>
    <mergeCell ref="A7:M8"/>
    <mergeCell ref="F12:K12"/>
    <mergeCell ref="F9:K9"/>
    <mergeCell ref="F10:K10"/>
    <mergeCell ref="F13:K13"/>
    <mergeCell ref="F14:K14"/>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34" workbookViewId="0">
      <selection activeCell="O34" sqref="O34"/>
    </sheetView>
  </sheetViews>
  <sheetFormatPr defaultRowHeight="15.6"/>
  <cols>
    <col min="5" max="5" width="8.5" customWidth="1"/>
    <col min="8" max="8" width="9.3984375" customWidth="1"/>
    <col min="9" max="9" width="2.5" customWidth="1"/>
    <col min="10" max="10" width="6" customWidth="1"/>
    <col min="13" max="13" width="10.09765625" customWidth="1"/>
    <col min="14" max="14" width="6.3984375" customWidth="1"/>
    <col min="15" max="15" width="5.59765625" customWidth="1"/>
  </cols>
  <sheetData>
    <row r="1" spans="1:16">
      <c r="A1" s="274"/>
      <c r="B1" s="274"/>
      <c r="C1" s="274"/>
      <c r="D1" s="274"/>
      <c r="E1" s="274"/>
      <c r="F1" s="274"/>
      <c r="I1" s="1"/>
    </row>
    <row r="2" spans="1:16">
      <c r="A2" s="274">
        <v>7</v>
      </c>
      <c r="B2" s="274"/>
      <c r="C2" s="274"/>
      <c r="D2" s="274"/>
      <c r="E2" s="274"/>
      <c r="F2" s="274"/>
      <c r="I2" s="1"/>
    </row>
    <row r="3" spans="1:16">
      <c r="A3" s="274"/>
      <c r="B3" s="274"/>
      <c r="C3" s="274"/>
      <c r="D3" s="274"/>
      <c r="E3" s="274"/>
      <c r="F3" s="274"/>
      <c r="I3" s="1"/>
    </row>
    <row r="4" spans="1:16">
      <c r="A4" s="274"/>
      <c r="B4" s="274"/>
      <c r="C4" s="274"/>
      <c r="D4" s="274"/>
      <c r="E4" s="274"/>
      <c r="F4" s="274"/>
      <c r="I4" s="1"/>
      <c r="K4" s="24"/>
    </row>
    <row r="5" spans="1:16">
      <c r="A5" s="274"/>
      <c r="B5" s="274"/>
      <c r="C5" s="274"/>
      <c r="D5" s="274"/>
      <c r="E5" s="274"/>
      <c r="F5" s="274"/>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79" t="s">
        <v>168</v>
      </c>
      <c r="C8" s="279"/>
      <c r="D8" s="279"/>
      <c r="E8" s="274"/>
      <c r="F8" s="154"/>
      <c r="G8" s="154"/>
      <c r="I8" s="1"/>
      <c r="J8" s="25"/>
      <c r="K8" s="25"/>
      <c r="L8" s="25"/>
      <c r="M8" s="24"/>
      <c r="N8" s="1"/>
    </row>
    <row r="9" spans="1:16" ht="18" customHeight="1">
      <c r="A9" s="194" t="s">
        <v>167</v>
      </c>
      <c r="B9" s="280" t="s">
        <v>169</v>
      </c>
      <c r="C9" s="280"/>
      <c r="D9" s="280"/>
      <c r="E9" s="274"/>
      <c r="F9" s="5"/>
      <c r="G9" s="5"/>
      <c r="I9" s="1"/>
      <c r="J9" s="14"/>
      <c r="K9" s="15"/>
      <c r="L9" s="15"/>
      <c r="M9" s="15"/>
      <c r="N9" s="1"/>
    </row>
    <row r="10" spans="1:16" ht="18" customHeight="1">
      <c r="A10" s="195"/>
      <c r="B10" s="276" t="s">
        <v>172</v>
      </c>
      <c r="C10" s="276"/>
      <c r="D10" s="276"/>
      <c r="E10" s="276"/>
      <c r="F10" s="5"/>
      <c r="G10" s="5"/>
      <c r="I10" s="1"/>
      <c r="J10" s="186" t="s">
        <v>165</v>
      </c>
      <c r="K10" s="187"/>
      <c r="L10" s="187"/>
      <c r="M10" s="187"/>
      <c r="N10" s="188"/>
      <c r="O10" s="189"/>
      <c r="P10" s="189"/>
    </row>
    <row r="11" spans="1:16" ht="19.5" customHeight="1">
      <c r="A11" s="6"/>
      <c r="B11" s="5"/>
      <c r="C11" s="5"/>
      <c r="D11" s="5"/>
      <c r="E11" s="5"/>
      <c r="F11" s="5"/>
      <c r="G11" s="5"/>
      <c r="I11" s="1"/>
      <c r="J11" s="275">
        <v>4</v>
      </c>
      <c r="K11" s="275"/>
      <c r="L11" s="185"/>
      <c r="M11" s="24"/>
      <c r="N11" s="1"/>
    </row>
    <row r="12" spans="1:16" ht="16.2" thickBot="1">
      <c r="A12" s="20" t="s">
        <v>171</v>
      </c>
      <c r="B12" s="21"/>
      <c r="C12" s="21"/>
      <c r="D12" s="5"/>
      <c r="E12" s="5"/>
      <c r="F12" s="5"/>
      <c r="G12" s="5"/>
      <c r="I12" s="1"/>
    </row>
    <row r="13" spans="1:16" ht="17.399999999999999">
      <c r="A13" s="129"/>
      <c r="B13" s="130"/>
      <c r="C13" s="130"/>
      <c r="D13" s="130"/>
      <c r="E13" s="130"/>
      <c r="F13" s="130"/>
      <c r="G13" s="130"/>
      <c r="H13" s="131"/>
      <c r="I13" s="8"/>
      <c r="J13" s="190" t="s">
        <v>166</v>
      </c>
      <c r="K13" s="191"/>
      <c r="L13" s="191"/>
      <c r="M13" s="189"/>
      <c r="N13" s="189"/>
      <c r="O13" s="189"/>
      <c r="P13" s="189"/>
    </row>
    <row r="14" spans="1:16" ht="16.2" thickBot="1">
      <c r="A14" s="132"/>
      <c r="B14" s="1"/>
      <c r="C14" s="1"/>
      <c r="D14" s="1"/>
      <c r="E14" s="1"/>
      <c r="F14" s="1"/>
      <c r="G14" s="1"/>
      <c r="H14" s="133"/>
      <c r="I14" s="9"/>
      <c r="J14" s="9" t="s">
        <v>160</v>
      </c>
      <c r="K14" s="9"/>
      <c r="L14" s="9"/>
      <c r="M14" s="21"/>
      <c r="P14" s="265"/>
    </row>
    <row r="15" spans="1:16">
      <c r="A15" s="132"/>
      <c r="B15" s="1"/>
      <c r="C15" s="1"/>
      <c r="D15" s="1"/>
      <c r="E15" s="1"/>
      <c r="F15" s="1"/>
      <c r="G15" s="1"/>
      <c r="H15" s="133"/>
      <c r="I15" s="10"/>
      <c r="J15" s="269" t="s">
        <v>173</v>
      </c>
      <c r="K15" s="270"/>
      <c r="L15" s="270"/>
      <c r="M15" s="270"/>
      <c r="N15" s="170">
        <v>12</v>
      </c>
      <c r="O15" s="16" t="s">
        <v>1</v>
      </c>
      <c r="P15" s="265"/>
    </row>
    <row r="16" spans="1:16">
      <c r="A16" s="132"/>
      <c r="B16" s="1"/>
      <c r="C16" s="1"/>
      <c r="D16" s="1"/>
      <c r="E16" s="1"/>
      <c r="F16" s="1"/>
      <c r="G16" s="1"/>
      <c r="H16" s="133"/>
      <c r="I16" s="10"/>
      <c r="J16" s="266" t="s">
        <v>227</v>
      </c>
      <c r="K16" s="267"/>
      <c r="L16" s="267"/>
      <c r="M16" s="267"/>
      <c r="N16" s="171">
        <v>6</v>
      </c>
      <c r="O16" s="11" t="s">
        <v>1</v>
      </c>
      <c r="P16" s="265"/>
    </row>
    <row r="17" spans="1:16">
      <c r="A17" s="132"/>
      <c r="B17" s="1"/>
      <c r="C17" s="1"/>
      <c r="D17" s="1"/>
      <c r="E17" s="1"/>
      <c r="F17" s="1"/>
      <c r="G17" s="1"/>
      <c r="H17" s="133"/>
      <c r="I17" s="10"/>
      <c r="J17" s="266" t="s">
        <v>174</v>
      </c>
      <c r="K17" s="267"/>
      <c r="L17" s="267"/>
      <c r="M17" s="267"/>
      <c r="N17" s="196">
        <v>0.8</v>
      </c>
      <c r="O17" s="11" t="s">
        <v>2</v>
      </c>
      <c r="P17" s="265"/>
    </row>
    <row r="18" spans="1:16">
      <c r="A18" s="132"/>
      <c r="B18" s="1"/>
      <c r="C18" s="1"/>
      <c r="D18" s="1"/>
      <c r="E18" s="1"/>
      <c r="F18" s="1"/>
      <c r="G18" s="1"/>
      <c r="H18" s="133"/>
      <c r="I18" s="10"/>
      <c r="J18" s="266" t="s">
        <v>175</v>
      </c>
      <c r="K18" s="267"/>
      <c r="L18" s="267"/>
      <c r="M18" s="267"/>
      <c r="N18" s="171">
        <v>3</v>
      </c>
      <c r="O18" s="11" t="s">
        <v>5</v>
      </c>
      <c r="P18" s="265"/>
    </row>
    <row r="19" spans="1:16" ht="16.2" thickBot="1">
      <c r="A19" s="132"/>
      <c r="B19" s="1"/>
      <c r="C19" s="1"/>
      <c r="D19" s="1"/>
      <c r="E19" s="1"/>
      <c r="F19" s="1"/>
      <c r="G19" s="1"/>
      <c r="H19" s="133"/>
      <c r="I19" s="10"/>
      <c r="J19" s="263" t="s">
        <v>176</v>
      </c>
      <c r="K19" s="268"/>
      <c r="L19" s="268"/>
      <c r="M19" s="268"/>
      <c r="N19" s="172">
        <v>25</v>
      </c>
      <c r="O19" s="197" t="s">
        <v>74</v>
      </c>
      <c r="P19" s="265"/>
    </row>
    <row r="20" spans="1:16">
      <c r="A20" s="132"/>
      <c r="B20" s="1"/>
      <c r="C20" s="1"/>
      <c r="D20" s="1"/>
      <c r="E20" s="1"/>
      <c r="F20" s="1"/>
      <c r="G20" s="1"/>
      <c r="H20" s="133"/>
    </row>
    <row r="21" spans="1:16" ht="21.6"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81" t="s">
        <v>228</v>
      </c>
      <c r="K22" s="282"/>
      <c r="L22" s="282"/>
      <c r="M22" s="282"/>
      <c r="N22" s="236">
        <v>200</v>
      </c>
      <c r="O22" s="235" t="s">
        <v>229</v>
      </c>
    </row>
    <row r="23" spans="1:16" ht="16.2" thickBot="1">
      <c r="A23" s="132"/>
      <c r="B23" s="1"/>
      <c r="C23" s="1"/>
      <c r="D23" s="1"/>
      <c r="E23" s="1"/>
      <c r="F23" s="1"/>
      <c r="G23" s="1"/>
      <c r="H23" s="133"/>
      <c r="J23" s="263" t="s">
        <v>234</v>
      </c>
      <c r="K23" s="264"/>
      <c r="L23" s="264"/>
      <c r="M23" s="264"/>
      <c r="N23" s="237">
        <f>50000/N22</f>
        <v>250</v>
      </c>
      <c r="O23" s="238" t="s">
        <v>230</v>
      </c>
    </row>
    <row r="24" spans="1:16">
      <c r="A24" s="132"/>
      <c r="B24" s="1"/>
      <c r="C24" s="1"/>
      <c r="D24" s="1"/>
      <c r="E24" s="1"/>
      <c r="F24" s="1"/>
      <c r="G24" s="1"/>
      <c r="H24" s="133"/>
      <c r="J24" s="233"/>
      <c r="K24" s="233"/>
      <c r="L24" s="233"/>
      <c r="M24" s="233"/>
      <c r="O24" s="22"/>
    </row>
    <row r="25" spans="1:16" ht="17.399999999999999">
      <c r="A25" s="132"/>
      <c r="B25" s="1"/>
      <c r="C25" s="1"/>
      <c r="D25" s="1"/>
      <c r="E25" s="1"/>
      <c r="F25" s="1"/>
      <c r="G25" s="1"/>
      <c r="H25" s="133"/>
      <c r="J25" s="190" t="s">
        <v>240</v>
      </c>
      <c r="K25" s="191"/>
      <c r="L25" s="191"/>
      <c r="M25" s="189"/>
      <c r="N25" s="189"/>
      <c r="O25" s="189"/>
      <c r="P25" s="189"/>
    </row>
    <row r="26" spans="1:16" ht="16.2" thickBot="1">
      <c r="A26" s="132"/>
      <c r="B26" s="1"/>
      <c r="C26" s="1"/>
      <c r="D26" s="1"/>
      <c r="E26" s="1"/>
      <c r="F26" s="1"/>
      <c r="G26" s="1"/>
      <c r="H26" s="133"/>
      <c r="J26" s="258" t="s">
        <v>232</v>
      </c>
      <c r="K26" s="258"/>
      <c r="L26" s="258"/>
      <c r="M26" s="258"/>
      <c r="N26" s="258"/>
      <c r="O26" s="258"/>
    </row>
    <row r="27" spans="1:16">
      <c r="A27" s="132"/>
      <c r="B27" s="1"/>
      <c r="C27" s="1"/>
      <c r="D27" s="1"/>
      <c r="E27" s="1"/>
      <c r="F27" s="1"/>
      <c r="G27" s="1"/>
      <c r="H27" s="133"/>
      <c r="J27" s="277" t="s">
        <v>6</v>
      </c>
      <c r="K27" s="278"/>
      <c r="L27" s="278"/>
      <c r="M27" s="278"/>
      <c r="N27" s="173">
        <f>((N15-N16)*(N16/N15)/(N22*1000*'Sheet1 select'!B42*0.35))*1000000</f>
        <v>10.714285714285714</v>
      </c>
      <c r="O27" s="16" t="s">
        <v>7</v>
      </c>
    </row>
    <row r="28" spans="1:16">
      <c r="A28" s="132"/>
      <c r="B28" s="1"/>
      <c r="C28" s="1"/>
      <c r="D28" s="1"/>
      <c r="E28" s="1"/>
      <c r="F28" s="1"/>
      <c r="G28" s="1"/>
      <c r="H28" s="133"/>
      <c r="J28" s="261" t="s">
        <v>205</v>
      </c>
      <c r="K28" s="262"/>
      <c r="L28" s="262"/>
      <c r="M28" s="262"/>
      <c r="N28" s="174">
        <f>'Sheet1 select'!B11</f>
        <v>6</v>
      </c>
      <c r="O28" s="12" t="s">
        <v>2</v>
      </c>
    </row>
    <row r="29" spans="1:16" ht="17.25" customHeight="1" thickBot="1">
      <c r="A29" s="134"/>
      <c r="B29" s="135"/>
      <c r="C29" s="135"/>
      <c r="D29" s="135"/>
      <c r="E29" s="135"/>
      <c r="F29" s="135"/>
      <c r="G29" s="135"/>
      <c r="H29" s="136"/>
      <c r="J29" s="266" t="s">
        <v>177</v>
      </c>
      <c r="K29" s="267"/>
      <c r="L29" s="267"/>
      <c r="M29" s="267"/>
      <c r="N29" s="171">
        <v>22</v>
      </c>
      <c r="O29" s="11" t="s">
        <v>7</v>
      </c>
    </row>
    <row r="30" spans="1:16" ht="15.75" customHeight="1" thickBot="1">
      <c r="A30" s="128"/>
      <c r="B30" s="128"/>
      <c r="C30" s="128"/>
      <c r="D30" s="128"/>
      <c r="E30" s="128"/>
      <c r="F30" s="128"/>
      <c r="G30" s="128"/>
      <c r="H30" s="128"/>
      <c r="J30" s="263" t="s">
        <v>178</v>
      </c>
      <c r="K30" s="264"/>
      <c r="L30" s="264"/>
      <c r="M30" s="264"/>
      <c r="N30" s="172">
        <v>100</v>
      </c>
      <c r="O30" s="13" t="s">
        <v>8</v>
      </c>
    </row>
    <row r="31" spans="1:16">
      <c r="E31" s="2"/>
    </row>
    <row r="32" spans="1:16" ht="16.2" thickBot="1">
      <c r="E32" s="2"/>
      <c r="J32" s="271" t="s">
        <v>233</v>
      </c>
      <c r="K32" s="271"/>
      <c r="L32" s="271"/>
      <c r="M32" s="271"/>
      <c r="N32" s="271"/>
      <c r="O32" s="271"/>
    </row>
    <row r="33" spans="1:16" ht="16.2" thickBot="1">
      <c r="E33" s="2"/>
      <c r="J33" s="272" t="s">
        <v>231</v>
      </c>
      <c r="K33" s="273"/>
      <c r="L33" s="273"/>
      <c r="M33" s="273"/>
      <c r="N33" s="241">
        <v>0.4</v>
      </c>
      <c r="O33" s="240" t="s">
        <v>222</v>
      </c>
    </row>
    <row r="34" spans="1:16">
      <c r="E34" s="2"/>
      <c r="J34" s="239"/>
      <c r="K34" s="239"/>
      <c r="L34" s="239"/>
      <c r="M34" s="239"/>
      <c r="N34" s="239"/>
      <c r="O34" s="239"/>
    </row>
    <row r="35" spans="1:16" ht="16.8" thickBot="1">
      <c r="A35" s="9" t="s">
        <v>22</v>
      </c>
      <c r="B35" s="27"/>
      <c r="C35" s="27"/>
      <c r="D35" s="27"/>
      <c r="E35" s="5"/>
      <c r="J35" s="258" t="s">
        <v>15</v>
      </c>
      <c r="K35" s="258"/>
      <c r="L35" s="258"/>
      <c r="M35" s="258"/>
      <c r="N35" s="258"/>
      <c r="O35" s="258"/>
    </row>
    <row r="36" spans="1:16">
      <c r="A36" s="7"/>
      <c r="B36" s="5"/>
      <c r="C36" s="5"/>
      <c r="E36" s="2"/>
      <c r="J36" s="259" t="s">
        <v>9</v>
      </c>
      <c r="K36" s="260"/>
      <c r="L36" s="260"/>
      <c r="M36" s="260"/>
      <c r="N36" s="175">
        <v>22</v>
      </c>
      <c r="O36" s="17" t="s">
        <v>10</v>
      </c>
    </row>
    <row r="37" spans="1:16">
      <c r="E37" s="2"/>
      <c r="J37" s="261" t="s">
        <v>11</v>
      </c>
      <c r="K37" s="262"/>
      <c r="L37" s="262"/>
      <c r="M37" s="262"/>
      <c r="N37" s="174">
        <f>SQRT((N16/N15)*(1-N16/N15))*N17</f>
        <v>0.4</v>
      </c>
      <c r="O37" s="12" t="s">
        <v>12</v>
      </c>
    </row>
    <row r="38" spans="1:16">
      <c r="J38" s="261" t="s">
        <v>13</v>
      </c>
      <c r="K38" s="262"/>
      <c r="L38" s="262"/>
      <c r="M38" s="262"/>
      <c r="N38" s="214">
        <f>1000000*(N16*(1-N16/N15)/(N29*N22))/(8*N22*N18*N16*0.01)</f>
        <v>2.3674242424242427</v>
      </c>
      <c r="O38" s="12" t="s">
        <v>159</v>
      </c>
    </row>
    <row r="39" spans="1:16">
      <c r="J39" s="261" t="s">
        <v>14</v>
      </c>
      <c r="K39" s="262"/>
      <c r="L39" s="262"/>
      <c r="M39" s="262"/>
      <c r="N39" s="176">
        <f>((N16*N18/100)/((N15-N16)*(N16/N15)/(N29*0.000001*N22*1000)))*1000</f>
        <v>264</v>
      </c>
      <c r="O39" s="12" t="s">
        <v>8</v>
      </c>
    </row>
    <row r="40" spans="1:16">
      <c r="A40" s="7"/>
      <c r="B40" s="5"/>
      <c r="C40" s="5"/>
      <c r="J40" s="266" t="s">
        <v>223</v>
      </c>
      <c r="K40" s="267"/>
      <c r="L40" s="267"/>
      <c r="M40" s="267"/>
      <c r="N40" s="171">
        <v>4700</v>
      </c>
      <c r="O40" s="11" t="s">
        <v>10</v>
      </c>
    </row>
    <row r="41" spans="1:16" ht="16.2" thickBot="1">
      <c r="J41" s="263" t="s">
        <v>224</v>
      </c>
      <c r="K41" s="264"/>
      <c r="L41" s="264"/>
      <c r="M41" s="264"/>
      <c r="N41" s="172">
        <v>1</v>
      </c>
      <c r="O41" s="13" t="s">
        <v>8</v>
      </c>
    </row>
    <row r="43" spans="1:16" ht="16.2" thickBot="1">
      <c r="J43" s="258" t="s">
        <v>16</v>
      </c>
      <c r="K43" s="258"/>
      <c r="L43" s="258"/>
      <c r="M43" s="258"/>
      <c r="N43" s="258"/>
      <c r="O43" s="258"/>
    </row>
    <row r="44" spans="1:16" ht="16.2" thickBot="1">
      <c r="J44" s="297" t="s">
        <v>18</v>
      </c>
      <c r="K44" s="298"/>
      <c r="L44" s="298"/>
      <c r="M44" s="298"/>
      <c r="N44" s="177">
        <f>(((N15-N16)*(N16/N15)/(N29*0.000001*N22*1000))*((N41*0.001+1/(8*N22*1000*N40*0.000001))))*1000</f>
        <v>0.77248549323017401</v>
      </c>
      <c r="O44" s="13" t="s">
        <v>17</v>
      </c>
    </row>
    <row r="46" spans="1:16" ht="17.399999999999999">
      <c r="J46" s="190" t="s">
        <v>241</v>
      </c>
      <c r="K46" s="191"/>
      <c r="L46" s="191"/>
      <c r="M46" s="192"/>
      <c r="N46" s="192"/>
      <c r="O46" s="192"/>
      <c r="P46" s="192"/>
    </row>
    <row r="47" spans="1:16" ht="16.8" thickBot="1">
      <c r="J47" s="9" t="s">
        <v>27</v>
      </c>
      <c r="K47" s="5"/>
      <c r="L47" s="5"/>
      <c r="M47" s="5"/>
      <c r="N47" s="5"/>
      <c r="O47" s="5"/>
    </row>
    <row r="48" spans="1:16">
      <c r="J48" s="281" t="s">
        <v>238</v>
      </c>
      <c r="K48" s="282"/>
      <c r="L48" s="282"/>
      <c r="M48" s="282"/>
      <c r="N48" s="178">
        <v>10</v>
      </c>
      <c r="O48" s="16" t="s">
        <v>4</v>
      </c>
    </row>
    <row r="49" spans="1:15" ht="16.2" thickBot="1">
      <c r="J49" s="297" t="s">
        <v>183</v>
      </c>
      <c r="K49" s="298"/>
      <c r="L49" s="298"/>
      <c r="M49" s="298"/>
      <c r="N49" s="184">
        <f>N48*(N16/0.8-1)</f>
        <v>65</v>
      </c>
      <c r="O49" s="13" t="s">
        <v>4</v>
      </c>
    </row>
    <row r="50" spans="1:15">
      <c r="J50" s="19"/>
      <c r="K50" s="19"/>
      <c r="L50" s="19"/>
      <c r="M50" s="19"/>
      <c r="N50" s="18"/>
      <c r="O50" s="22"/>
    </row>
    <row r="51" spans="1:15" ht="16.8" thickBot="1">
      <c r="J51" s="258" t="s">
        <v>21</v>
      </c>
      <c r="K51" s="258"/>
      <c r="L51" s="258"/>
      <c r="M51" s="258"/>
      <c r="N51" s="258"/>
      <c r="O51" s="258"/>
    </row>
    <row r="52" spans="1:15">
      <c r="J52" s="281" t="s">
        <v>179</v>
      </c>
      <c r="K52" s="282"/>
      <c r="L52" s="282"/>
      <c r="M52" s="282"/>
      <c r="N52" s="180">
        <v>10</v>
      </c>
      <c r="O52" s="16" t="s">
        <v>3</v>
      </c>
    </row>
    <row r="53" spans="1:15">
      <c r="A53" s="9" t="s">
        <v>28</v>
      </c>
      <c r="B53" s="27"/>
      <c r="C53" s="27"/>
      <c r="J53" s="294" t="s">
        <v>184</v>
      </c>
      <c r="K53" s="295"/>
      <c r="L53" s="295"/>
      <c r="M53" s="295"/>
      <c r="N53" s="179">
        <f ca="1">(('Sheet1 select'!B6/1000000)*'Bode Plot Calculations'!E3*'Bode Plot Calculations'!E4*'Bode Plot Calculations'!B3/(SQRT(((1-(('EZBuck design calculator'!N52*1000)/(N22*1000/2))^2)^2)+((1/'Bode Plot Calculations'!K6)*(('EZBuck design calculator'!N52*1000)/(N22*1000/2)))^2)*2*PI()*'EZBuck design calculator'!N52*1000))*1000000000</f>
        <v>6.477084914293525</v>
      </c>
      <c r="O53" s="11" t="s">
        <v>19</v>
      </c>
    </row>
    <row r="54" spans="1:15">
      <c r="J54" s="294" t="s">
        <v>185</v>
      </c>
      <c r="K54" s="295"/>
      <c r="L54" s="295"/>
      <c r="M54" s="295"/>
      <c r="N54" s="179">
        <f ca="1">(1/(2*PI()*'Bode Plot Calculations'!H4*N53*0.000000001))*0.001</f>
        <v>1369.8686212033158</v>
      </c>
      <c r="O54" s="11" t="s">
        <v>4</v>
      </c>
    </row>
    <row r="55" spans="1:15">
      <c r="J55" s="294" t="s">
        <v>186</v>
      </c>
      <c r="K55" s="295"/>
      <c r="L55" s="295"/>
      <c r="M55" s="295"/>
      <c r="N55" s="179">
        <f>IF((1/(2*PI()*'EZBuck design calculator'!N40*0.000001*'EZBuck design calculator'!N41*0.001))&lt;3*'EZBuck design calculator'!N52*1000,('EZBuck design calculator'!N40*0.000001*'EZBuck design calculator'!N41*0.001/('EZBuck design calculator'!N54*1000))*(1000000000000)-10,0)</f>
        <v>0</v>
      </c>
      <c r="O55" s="11" t="s">
        <v>20</v>
      </c>
    </row>
    <row r="56" spans="1:15">
      <c r="J56" s="294" t="s">
        <v>211</v>
      </c>
      <c r="K56" s="296"/>
      <c r="L56" s="296"/>
      <c r="M56" s="296"/>
      <c r="N56" s="179">
        <f ca="1">1000000000000*SQRT(((0.001/N49)+(0.001/N48))/(1000*N49))/(2*3.14159265*1000*N63)</f>
        <v>925.62480695424676</v>
      </c>
      <c r="O56" s="11" t="s">
        <v>212</v>
      </c>
    </row>
    <row r="57" spans="1:15">
      <c r="J57" s="266" t="s">
        <v>180</v>
      </c>
      <c r="K57" s="267"/>
      <c r="L57" s="267"/>
      <c r="M57" s="267"/>
      <c r="N57" s="181">
        <v>6.8</v>
      </c>
      <c r="O57" s="11" t="s">
        <v>19</v>
      </c>
    </row>
    <row r="58" spans="1:15">
      <c r="J58" s="266" t="s">
        <v>181</v>
      </c>
      <c r="K58" s="267"/>
      <c r="L58" s="267"/>
      <c r="M58" s="267"/>
      <c r="N58" s="181">
        <v>1000</v>
      </c>
      <c r="O58" s="11" t="s">
        <v>4</v>
      </c>
    </row>
    <row r="59" spans="1:15">
      <c r="I59" s="210"/>
      <c r="J59" s="266" t="s">
        <v>182</v>
      </c>
      <c r="K59" s="267"/>
      <c r="L59" s="267"/>
      <c r="M59" s="267"/>
      <c r="N59" s="181">
        <v>0</v>
      </c>
      <c r="O59" s="11" t="s">
        <v>20</v>
      </c>
    </row>
    <row r="60" spans="1:15" ht="16.2" thickBot="1">
      <c r="I60" s="210"/>
      <c r="J60" s="263" t="s">
        <v>214</v>
      </c>
      <c r="K60" s="264"/>
      <c r="L60" s="264"/>
      <c r="M60" s="264"/>
      <c r="N60" s="182">
        <v>0</v>
      </c>
      <c r="O60" s="13" t="s">
        <v>213</v>
      </c>
    </row>
    <row r="62" spans="1:15" ht="16.2" thickBot="1">
      <c r="A62" s="7"/>
      <c r="B62" s="5"/>
      <c r="C62" s="5"/>
      <c r="D62" s="5"/>
      <c r="E62" s="5"/>
      <c r="J62" s="258" t="s">
        <v>23</v>
      </c>
      <c r="K62" s="258"/>
      <c r="L62" s="258"/>
      <c r="M62" s="258"/>
      <c r="N62" s="258"/>
      <c r="O62" s="258"/>
    </row>
    <row r="63" spans="1:15">
      <c r="J63" s="277" t="s">
        <v>24</v>
      </c>
      <c r="K63" s="278"/>
      <c r="L63" s="278"/>
      <c r="M63" s="278"/>
      <c r="N63" s="183">
        <f ca="1">'Bode Plot Calculations'!R4</f>
        <v>7.2443999999999997</v>
      </c>
      <c r="O63" s="16" t="s">
        <v>3</v>
      </c>
    </row>
    <row r="64" spans="1:15" ht="16.2" thickBot="1">
      <c r="J64" s="297" t="s">
        <v>25</v>
      </c>
      <c r="K64" s="298"/>
      <c r="L64" s="298"/>
      <c r="M64" s="298"/>
      <c r="N64" s="184">
        <f ca="1">'Bode Plot Calculations'!R5</f>
        <v>55.828134128877082</v>
      </c>
      <c r="O64" s="13" t="s">
        <v>26</v>
      </c>
    </row>
    <row r="66" spans="10:16" ht="17.399999999999999">
      <c r="J66" s="208" t="s">
        <v>242</v>
      </c>
      <c r="K66" s="208"/>
      <c r="L66" s="208"/>
      <c r="M66" s="208"/>
      <c r="N66" s="208"/>
      <c r="O66" s="208"/>
      <c r="P66" s="186"/>
    </row>
    <row r="67" spans="10:16" ht="15" customHeight="1" thickBot="1">
      <c r="J67" s="20" t="s">
        <v>206</v>
      </c>
      <c r="K67" s="20"/>
      <c r="L67" s="20"/>
      <c r="M67" s="1"/>
      <c r="N67" s="1"/>
      <c r="O67" s="1"/>
    </row>
    <row r="68" spans="10:16">
      <c r="J68" s="299" t="s">
        <v>207</v>
      </c>
      <c r="K68" s="300"/>
      <c r="L68" s="300"/>
      <c r="M68" s="300"/>
      <c r="N68" s="212">
        <f ca="1">'Efficiency calculations'!T301</f>
        <v>4.344546518560817E-2</v>
      </c>
      <c r="O68" s="131" t="s">
        <v>209</v>
      </c>
    </row>
    <row r="69" spans="10:16" ht="16.2" thickBot="1">
      <c r="J69" s="292" t="s">
        <v>208</v>
      </c>
      <c r="K69" s="293"/>
      <c r="L69" s="293"/>
      <c r="M69" s="293"/>
      <c r="N69" s="213">
        <f ca="1">N19+'Sheet1 select'!B34*'Efficiency calculations'!T301</f>
        <v>27.693618841507707</v>
      </c>
      <c r="O69" s="209" t="s">
        <v>74</v>
      </c>
    </row>
    <row r="70" spans="10:16" ht="16.2" thickBot="1">
      <c r="J70" s="1"/>
      <c r="K70" s="1"/>
      <c r="L70" s="1"/>
      <c r="M70" s="1"/>
      <c r="N70" s="1"/>
      <c r="O70" s="1"/>
    </row>
    <row r="71" spans="10:16">
      <c r="J71" s="283" t="s">
        <v>210</v>
      </c>
      <c r="K71" s="284"/>
      <c r="L71" s="284"/>
      <c r="M71" s="284"/>
      <c r="N71" s="284"/>
      <c r="O71" s="285"/>
    </row>
    <row r="72" spans="10:16">
      <c r="J72" s="286"/>
      <c r="K72" s="287"/>
      <c r="L72" s="287"/>
      <c r="M72" s="287"/>
      <c r="N72" s="287"/>
      <c r="O72" s="288"/>
    </row>
    <row r="73" spans="10:16">
      <c r="J73" s="286"/>
      <c r="K73" s="287"/>
      <c r="L73" s="287"/>
      <c r="M73" s="287"/>
      <c r="N73" s="287"/>
      <c r="O73" s="288"/>
    </row>
    <row r="74" spans="10:16">
      <c r="J74" s="286"/>
      <c r="K74" s="287"/>
      <c r="L74" s="287"/>
      <c r="M74" s="287"/>
      <c r="N74" s="287"/>
      <c r="O74" s="288"/>
    </row>
    <row r="75" spans="10:16" ht="16.2" thickBot="1">
      <c r="J75" s="289"/>
      <c r="K75" s="290"/>
      <c r="L75" s="290"/>
      <c r="M75" s="290"/>
      <c r="N75" s="290"/>
      <c r="O75" s="291"/>
    </row>
    <row r="80" spans="10:16" hidden="1">
      <c r="M80" t="s">
        <v>220</v>
      </c>
      <c r="N80">
        <f ca="1">N19+'Sheet1 select'!B34*'Efficiency calculations'!U301</f>
        <v>26.949618841507707</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43:O43"/>
    <mergeCell ref="J38:M38"/>
    <mergeCell ref="J51:O51"/>
    <mergeCell ref="J48:M48"/>
    <mergeCell ref="J52:M52"/>
    <mergeCell ref="J49:M49"/>
    <mergeCell ref="J39:M39"/>
    <mergeCell ref="J40:M40"/>
    <mergeCell ref="J44:M44"/>
    <mergeCell ref="J71:O75"/>
    <mergeCell ref="J69:M69"/>
    <mergeCell ref="J55:M55"/>
    <mergeCell ref="J57:M57"/>
    <mergeCell ref="J53:M53"/>
    <mergeCell ref="J54:M54"/>
    <mergeCell ref="J58:M58"/>
    <mergeCell ref="J59:M59"/>
    <mergeCell ref="J62:O62"/>
    <mergeCell ref="J63:M63"/>
    <mergeCell ref="J56:M56"/>
    <mergeCell ref="J64:M64"/>
    <mergeCell ref="J60:M60"/>
    <mergeCell ref="J68:M68"/>
    <mergeCell ref="A1:F5"/>
    <mergeCell ref="J11:K11"/>
    <mergeCell ref="B10:E10"/>
    <mergeCell ref="J26:O26"/>
    <mergeCell ref="J27:M27"/>
    <mergeCell ref="B8:E8"/>
    <mergeCell ref="B9:E9"/>
    <mergeCell ref="J23:M23"/>
    <mergeCell ref="J22:M22"/>
    <mergeCell ref="J35:O35"/>
    <mergeCell ref="J36:M36"/>
    <mergeCell ref="J37:M37"/>
    <mergeCell ref="J41:M41"/>
    <mergeCell ref="P14:P19"/>
    <mergeCell ref="J18:M18"/>
    <mergeCell ref="J19:M19"/>
    <mergeCell ref="J29:M29"/>
    <mergeCell ref="J15:M15"/>
    <mergeCell ref="J16:M16"/>
    <mergeCell ref="J17:M17"/>
    <mergeCell ref="J30:M30"/>
    <mergeCell ref="J32:O32"/>
    <mergeCell ref="J33:M33"/>
    <mergeCell ref="J28:M28"/>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22860</xdr:rowOff>
                  </from>
                  <to>
                    <xdr:col>11</xdr:col>
                    <xdr:colOff>502920</xdr:colOff>
                    <xdr:row>10</xdr:row>
                    <xdr:rowOff>220980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5.6"/>
  <cols>
    <col min="1" max="1" width="71.89843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5.6"/>
  <cols>
    <col min="2" max="2" width="25.3984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5.6"/>
  <cols>
    <col min="1" max="1" width="26.8984375" customWidth="1"/>
    <col min="2" max="2" width="14.1992187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6.4">
      <c r="A8" s="66" t="s">
        <v>77</v>
      </c>
      <c r="B8" s="39">
        <f t="shared" si="0"/>
        <v>36</v>
      </c>
    </row>
    <row r="9" spans="1:2" ht="26.4">
      <c r="A9" s="66" t="s">
        <v>78</v>
      </c>
      <c r="B9" s="39">
        <f t="shared" si="0"/>
        <v>6.3</v>
      </c>
    </row>
    <row r="10" spans="1:2" ht="26.25" customHeight="1">
      <c r="A10" s="65" t="s">
        <v>153</v>
      </c>
      <c r="B10" s="39">
        <f t="shared" si="0"/>
        <v>5</v>
      </c>
    </row>
    <row r="11" spans="1:2" ht="26.4">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6.4">
      <c r="A14" s="66" t="s">
        <v>80</v>
      </c>
      <c r="B14" s="70">
        <f t="shared" si="1"/>
        <v>0</v>
      </c>
    </row>
    <row r="15" spans="1:2" ht="26.4">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6.4">
      <c r="A25" s="66" t="s">
        <v>149</v>
      </c>
      <c r="B25" s="70">
        <f t="shared" ca="1" si="1"/>
        <v>5.4661613539686134E-2</v>
      </c>
    </row>
    <row r="26" spans="1:2" ht="26.4">
      <c r="A26" s="66" t="s">
        <v>150</v>
      </c>
      <c r="B26" s="70">
        <f t="shared" ca="1" si="1"/>
        <v>0</v>
      </c>
    </row>
    <row r="27" spans="1:2" ht="26.4">
      <c r="A27" s="65" t="s">
        <v>93</v>
      </c>
      <c r="B27" s="70">
        <f t="shared" si="1"/>
        <v>1.6</v>
      </c>
    </row>
    <row r="28" spans="1:2" ht="26.4">
      <c r="A28" s="65" t="s">
        <v>94</v>
      </c>
      <c r="B28" s="70">
        <f t="shared" si="1"/>
        <v>0</v>
      </c>
    </row>
    <row r="29" spans="1:2">
      <c r="A29" s="66" t="s">
        <v>92</v>
      </c>
      <c r="B29" s="70">
        <f t="shared" si="1"/>
        <v>1</v>
      </c>
    </row>
    <row r="30" spans="1:2">
      <c r="A30" s="65" t="s">
        <v>32</v>
      </c>
      <c r="B30" s="70" t="str">
        <f t="shared" si="1"/>
        <v>NA</v>
      </c>
    </row>
    <row r="31" spans="1:2" ht="26.4">
      <c r="A31" s="149" t="s">
        <v>141</v>
      </c>
      <c r="B31" s="151">
        <f t="shared" si="1"/>
        <v>3</v>
      </c>
    </row>
    <row r="32" spans="1:2" ht="26.4">
      <c r="A32" s="150" t="s">
        <v>144</v>
      </c>
      <c r="B32" s="151">
        <f t="shared" si="1"/>
        <v>0.5</v>
      </c>
    </row>
    <row r="33" spans="1:2" ht="26.4">
      <c r="A33" s="150" t="s">
        <v>142</v>
      </c>
      <c r="B33" s="151">
        <f t="shared" si="1"/>
        <v>0.4</v>
      </c>
    </row>
    <row r="34" spans="1:2" ht="31.2">
      <c r="A34" s="152" t="s">
        <v>140</v>
      </c>
      <c r="B34" s="151">
        <f t="shared" si="1"/>
        <v>62</v>
      </c>
    </row>
    <row r="35" spans="1:2" ht="26.4">
      <c r="A35" s="149" t="s">
        <v>143</v>
      </c>
      <c r="B35" s="151">
        <f t="shared" si="1"/>
        <v>0</v>
      </c>
    </row>
    <row r="36" spans="1:2" ht="26.4">
      <c r="A36" s="150" t="s">
        <v>145</v>
      </c>
      <c r="B36" s="151">
        <f t="shared" si="1"/>
        <v>0</v>
      </c>
    </row>
    <row r="37" spans="1:2" ht="26.4">
      <c r="A37" s="150" t="s">
        <v>146</v>
      </c>
      <c r="B37" s="151">
        <f t="shared" si="1"/>
        <v>0</v>
      </c>
    </row>
    <row r="38" spans="1:2" ht="26.4">
      <c r="A38" s="150" t="s">
        <v>147</v>
      </c>
      <c r="B38" s="151" t="e">
        <f t="shared" ca="1" si="1"/>
        <v>#NAME?</v>
      </c>
    </row>
    <row r="39" spans="1:2" ht="26.4">
      <c r="A39" s="150" t="s">
        <v>148</v>
      </c>
      <c r="B39" s="151" t="e">
        <f t="shared" ca="1" si="1"/>
        <v>#NAME?</v>
      </c>
    </row>
    <row r="40" spans="1:2">
      <c r="A40" s="149" t="s">
        <v>157</v>
      </c>
      <c r="B40" s="151">
        <f t="shared" si="1"/>
        <v>0</v>
      </c>
    </row>
    <row r="41" spans="1:2" ht="26.4">
      <c r="A41" s="150" t="s">
        <v>155</v>
      </c>
      <c r="B41" s="151">
        <f>'EZBuck design calculator'!N33</f>
        <v>0.4</v>
      </c>
    </row>
    <row r="42" spans="1:2" ht="26.4">
      <c r="A42" s="150" t="s">
        <v>163</v>
      </c>
      <c r="B42" s="151">
        <f>VLOOKUP(B$2,CData,MATCH(A42,CColHead,0),0)</f>
        <v>4</v>
      </c>
    </row>
    <row r="43" spans="1:2" ht="46.8">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30480</xdr:rowOff>
                  </from>
                  <to>
                    <xdr:col>0</xdr:col>
                    <xdr:colOff>1569720</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5.6"/>
  <cols>
    <col min="1" max="1" width="11.09765625" customWidth="1"/>
    <col min="2" max="2" width="10.19921875" customWidth="1"/>
    <col min="6" max="8" width="9.5" bestFit="1" customWidth="1"/>
    <col min="9" max="9" width="9.5" customWidth="1"/>
    <col min="10" max="10" width="9.5" bestFit="1" customWidth="1"/>
    <col min="11" max="11" width="13.8984375" customWidth="1"/>
    <col min="12" max="13" width="9.5" bestFit="1" customWidth="1"/>
    <col min="17" max="17" width="11" customWidth="1"/>
    <col min="18" max="18" width="11.09765625" customWidth="1"/>
    <col min="21" max="21" width="15.8984375" customWidth="1"/>
    <col min="22" max="22" width="16.09765625" customWidth="1"/>
  </cols>
  <sheetData>
    <row r="1" spans="1:22" ht="78.599999999999994" thickBot="1">
      <c r="A1" s="161" t="s">
        <v>42</v>
      </c>
      <c r="B1" s="51">
        <f>(('EZBuck design calculator'!N15-'EZBuck design calculator'!N16)*'Efficiency calculations'!B3)/('EZBuck design calculator'!N29*0.000001*'EZBuck design calculator'!N22*1000)</f>
        <v>0.68181818181818177</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0.19682395540555422</v>
      </c>
      <c r="C2" s="54" t="s">
        <v>2</v>
      </c>
      <c r="E2" s="44">
        <v>1</v>
      </c>
      <c r="F2" s="45">
        <f t="shared" ref="F2:F65" si="0">$B$12*E2/300</f>
        <v>2.666666666666667E-3</v>
      </c>
      <c r="G2" s="45">
        <f t="shared" ref="G2:G65" si="1">F2*F2*$B$14*0.001*2</f>
        <v>1.4222222222222225E-6</v>
      </c>
      <c r="H2" s="45">
        <f ca="1">F2*F2*('Sheet1 select'!$B$25)*$B$3</f>
        <v>1.9435240369666186E-7</v>
      </c>
      <c r="I2" s="45">
        <f>F2*(1-$B$3)*'Sheet1 select'!$B$41</f>
        <v>5.3333333333333347E-4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3.8739669421487599E-5</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1.5610202073557101E-2</v>
      </c>
      <c r="S2" s="48">
        <f t="shared" ref="S2:S65" ca="1" si="4">($B$11*F2)/($B$11*F2+R2)</f>
        <v>0.50616569811125911</v>
      </c>
      <c r="T2" s="49">
        <f ca="1">H2+K2+O2+N2+'Sheet1 select'!$B$40*I2+J2+P2</f>
        <v>1.5036706848580059E-2</v>
      </c>
      <c r="U2" s="169">
        <f t="shared" ref="U2:U65" ca="1" si="5">H2+K2+O2</f>
        <v>3.0367068485800588E-3</v>
      </c>
      <c r="V2" s="47">
        <f t="shared" ref="V2:V65" ca="1" si="6">J2+P2+Q2</f>
        <v>0</v>
      </c>
    </row>
    <row r="3" spans="1:22">
      <c r="A3" s="161" t="s">
        <v>36</v>
      </c>
      <c r="B3" s="55">
        <f>'EZBuck design calculator'!N16/'EZBuck design calculator'!N15</f>
        <v>0.5</v>
      </c>
      <c r="C3" s="37"/>
      <c r="E3" s="32">
        <v>2</v>
      </c>
      <c r="F3" s="45">
        <f t="shared" si="0"/>
        <v>5.333333333333334E-3</v>
      </c>
      <c r="G3" s="45">
        <f t="shared" si="1"/>
        <v>5.6888888888888901E-6</v>
      </c>
      <c r="H3" s="45">
        <f ca="1">F3*F3*('Sheet1 select'!$B$25)*$B$3</f>
        <v>7.7740961478664744E-7</v>
      </c>
      <c r="I3" s="45">
        <f>F3*(1-$B$3)*'Sheet1 select'!$B$41</f>
        <v>1.0666666666666669E-3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3.8739669421487599E-5</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1.6184897626944555E-2</v>
      </c>
      <c r="S3" s="48">
        <f t="shared" ca="1" si="4"/>
        <v>0.66410849822177254</v>
      </c>
      <c r="T3" s="49">
        <f ca="1">H3+K3+O3+N3+'Sheet1 select'!$B$40*I3+J3+P3</f>
        <v>1.5073802401967512E-2</v>
      </c>
      <c r="U3" s="169">
        <f t="shared" ca="1" si="5"/>
        <v>3.073802401967511E-3</v>
      </c>
      <c r="V3" s="47">
        <f t="shared" ca="1" si="6"/>
        <v>0</v>
      </c>
    </row>
    <row r="4" spans="1:22">
      <c r="E4" s="32">
        <v>3</v>
      </c>
      <c r="F4" s="45">
        <f t="shared" si="0"/>
        <v>8.0000000000000019E-3</v>
      </c>
      <c r="G4" s="45">
        <f t="shared" si="1"/>
        <v>1.2800000000000005E-5</v>
      </c>
      <c r="H4" s="45">
        <f ca="1">F4*F4*('Sheet1 select'!$B$25)*$B$3</f>
        <v>1.7491716332699568E-6</v>
      </c>
      <c r="I4" s="45">
        <f>F4*(1-$B$3)*'Sheet1 select'!$B$41</f>
        <v>1.6000000000000005E-3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3.8739669421487599E-5</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1.6762826329583844E-2</v>
      </c>
      <c r="S4" s="48">
        <f t="shared" ca="1" si="4"/>
        <v>0.74116592373105661</v>
      </c>
      <c r="T4" s="49">
        <f ca="1">H4+K4+O4+N4+'Sheet1 select'!$B$40*I4+J4+P4</f>
        <v>1.5111286660162357E-2</v>
      </c>
      <c r="U4" s="169">
        <f t="shared" ca="1" si="5"/>
        <v>3.1112866601623562E-3</v>
      </c>
      <c r="V4" s="47">
        <f t="shared" ca="1" si="6"/>
        <v>0</v>
      </c>
    </row>
    <row r="5" spans="1:22" ht="16.2" thickBot="1">
      <c r="E5" s="32">
        <v>4</v>
      </c>
      <c r="F5" s="45">
        <f t="shared" si="0"/>
        <v>1.0666666666666668E-2</v>
      </c>
      <c r="G5" s="45">
        <f t="shared" si="1"/>
        <v>2.2755555555555561E-5</v>
      </c>
      <c r="H5" s="45">
        <f ca="1">F5*F5*('Sheet1 select'!$B$25)*$B$3</f>
        <v>3.1096384591465898E-6</v>
      </c>
      <c r="I5" s="45">
        <f>F5*(1-$B$3)*'Sheet1 select'!$B$41</f>
        <v>2.1333333333333339E-3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3.8739669421487599E-5</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1.7343988181474972E-2</v>
      </c>
      <c r="S5" s="48">
        <f t="shared" ca="1" si="4"/>
        <v>0.78678217568111763</v>
      </c>
      <c r="T5" s="49">
        <f ca="1">H5+K5+O5+N5+'Sheet1 select'!$B$40*I5+J5+P5</f>
        <v>1.5149159623164595E-2</v>
      </c>
      <c r="U5" s="169">
        <f t="shared" ca="1" si="5"/>
        <v>3.1491596231645949E-3</v>
      </c>
      <c r="V5" s="47">
        <f t="shared" ca="1" si="6"/>
        <v>0</v>
      </c>
    </row>
    <row r="6" spans="1:22">
      <c r="A6" s="56" t="s">
        <v>46</v>
      </c>
      <c r="B6" s="26"/>
      <c r="C6" s="57"/>
      <c r="E6" s="32">
        <v>5</v>
      </c>
      <c r="F6" s="45">
        <f t="shared" si="0"/>
        <v>1.3333333333333334E-2</v>
      </c>
      <c r="G6" s="45">
        <f t="shared" si="1"/>
        <v>3.555555555555556E-5</v>
      </c>
      <c r="H6" s="45">
        <f ca="1">F6*F6*('Sheet1 select'!$B$25)*$B$3</f>
        <v>4.858810092416546E-6</v>
      </c>
      <c r="I6" s="45">
        <f>F6*(1-$B$3)*'Sheet1 select'!$B$41</f>
        <v>2.666666666666667E-3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3.8739669421487599E-5</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1.7928383182617937E-2</v>
      </c>
      <c r="S6" s="48">
        <f t="shared" ca="1" si="4"/>
        <v>0.81692352513178035</v>
      </c>
      <c r="T6" s="49">
        <f ca="1">H6+K6+O6+N6+'Sheet1 select'!$B$40*I6+J6+P6</f>
        <v>1.5187421290974227E-2</v>
      </c>
      <c r="U6" s="169">
        <f t="shared" ca="1" si="5"/>
        <v>3.1874212909742267E-3</v>
      </c>
      <c r="V6" s="47">
        <f t="shared" ca="1" si="6"/>
        <v>0</v>
      </c>
    </row>
    <row r="7" spans="1:22" ht="16.2" thickBot="1">
      <c r="A7" s="29"/>
      <c r="B7" s="23"/>
      <c r="C7" s="30"/>
      <c r="E7" s="32">
        <v>6</v>
      </c>
      <c r="F7" s="45">
        <f t="shared" si="0"/>
        <v>1.6000000000000004E-2</v>
      </c>
      <c r="G7" s="45">
        <f t="shared" si="1"/>
        <v>5.1200000000000018E-5</v>
      </c>
      <c r="H7" s="45">
        <f ca="1">F7*F7*('Sheet1 select'!$B$25)*$B$3</f>
        <v>6.9966865330798274E-6</v>
      </c>
      <c r="I7" s="45">
        <f>F7*(1-$B$3)*'Sheet1 select'!$B$41</f>
        <v>3.200000000000001E-3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3.8739669421487599E-5</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1.8516011333012741E-2</v>
      </c>
      <c r="S7" s="48">
        <f t="shared" ca="1" si="4"/>
        <v>0.83831072076752533</v>
      </c>
      <c r="T7" s="49">
        <f ca="1">H7+K7+O7+N7+'Sheet1 select'!$B$40*I7+J7+P7</f>
        <v>1.5226071663591252E-2</v>
      </c>
      <c r="U7" s="169">
        <f t="shared" ca="1" si="5"/>
        <v>3.2260716635912519E-3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9.5232677811364306E-6</v>
      </c>
      <c r="I8" s="45">
        <f>F8*(1-$B$3)*'Sheet1 select'!$B$41</f>
        <v>3.7333333333333337E-3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3.8739669421487599E-5</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1.910687263265938E-2</v>
      </c>
      <c r="S8" s="48">
        <f t="shared" ca="1" si="4"/>
        <v>0.8542649042800845</v>
      </c>
      <c r="T8" s="49">
        <f ca="1">H8+K8+O8+N8+'Sheet1 select'!$B$40*I8+J8+P8</f>
        <v>1.5265110741015671E-2</v>
      </c>
      <c r="U8" s="169">
        <f t="shared" ca="1" si="5"/>
        <v>3.2651107410156706E-3</v>
      </c>
      <c r="V8" s="47">
        <f t="shared" ca="1" si="6"/>
        <v>0</v>
      </c>
    </row>
    <row r="9" spans="1:22">
      <c r="A9" s="155"/>
      <c r="B9" s="156"/>
      <c r="C9" s="157"/>
      <c r="E9" s="32">
        <v>8</v>
      </c>
      <c r="F9" s="45">
        <f t="shared" si="0"/>
        <v>2.1333333333333336E-2</v>
      </c>
      <c r="G9" s="45">
        <f t="shared" si="1"/>
        <v>9.1022222222222242E-5</v>
      </c>
      <c r="H9" s="45">
        <f ca="1">F9*F9*('Sheet1 select'!$B$25)*$B$3</f>
        <v>1.2438553836586359E-5</v>
      </c>
      <c r="I9" s="45">
        <f>F9*(1-$B$3)*'Sheet1 select'!$B$41</f>
        <v>4.2666666666666677E-3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3.8739669421487599E-5</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1.9700967081557861E-2</v>
      </c>
      <c r="S9" s="48">
        <f t="shared" ca="1" si="4"/>
        <v>0.86661585586857171</v>
      </c>
      <c r="T9" s="49">
        <f ca="1">H9+K9+O9+N9+'Sheet1 select'!$B$40*I9+J9+P9</f>
        <v>1.5304538523247483E-2</v>
      </c>
      <c r="U9" s="169">
        <f t="shared" ca="1" si="5"/>
        <v>3.3045385232474828E-3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1.5742544699429607E-5</v>
      </c>
      <c r="I10" s="45">
        <f>F10*(1-$B$3)*'Sheet1 select'!$B$41</f>
        <v>4.8000000000000004E-3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3.8739669421487599E-5</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2.0298294679708177E-2</v>
      </c>
      <c r="S10" s="48">
        <f t="shared" ca="1" si="4"/>
        <v>0.87645462346837655</v>
      </c>
      <c r="T10" s="49">
        <f ca="1">H10+K10+O10+N10+'Sheet1 select'!$B$40*I10+J10+P10</f>
        <v>1.5344355010286689E-2</v>
      </c>
      <c r="U10" s="169">
        <f t="shared" ca="1" si="5"/>
        <v>3.344355010286688E-3</v>
      </c>
      <c r="V10" s="47">
        <f t="shared" ca="1" si="6"/>
        <v>0</v>
      </c>
    </row>
    <row r="11" spans="1:22">
      <c r="A11" s="159" t="s">
        <v>38</v>
      </c>
      <c r="B11" s="62">
        <f>'EZBuck design calculator'!N16</f>
        <v>6</v>
      </c>
      <c r="C11" s="28" t="s">
        <v>1</v>
      </c>
      <c r="E11" s="32">
        <v>10</v>
      </c>
      <c r="F11" s="45">
        <f t="shared" si="0"/>
        <v>2.6666666666666668E-2</v>
      </c>
      <c r="G11" s="45">
        <f t="shared" si="1"/>
        <v>1.4222222222222224E-4</v>
      </c>
      <c r="H11" s="45">
        <f ca="1">F11*F11*('Sheet1 select'!$B$25)*$B$3</f>
        <v>1.9435240369666184E-5</v>
      </c>
      <c r="I11" s="45">
        <f>F11*(1-$B$3)*'Sheet1 select'!$B$41</f>
        <v>5.333333333333334E-3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3.8739669421487599E-5</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2.0898855427110331E-2</v>
      </c>
      <c r="S11" s="48">
        <f t="shared" ca="1" si="4"/>
        <v>0.88447215225454467</v>
      </c>
      <c r="T11" s="49">
        <f ca="1">H11+K11+O11+N11+'Sheet1 select'!$B$40*I11+J11+P11</f>
        <v>1.5384560202133286E-2</v>
      </c>
      <c r="U11" s="169">
        <f t="shared" ca="1" si="5"/>
        <v>3.3845602021332862E-3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2.3516640847296084E-5</v>
      </c>
      <c r="I12" s="45">
        <f>F12*(1-$B$3)*'Sheet1 select'!$B$41</f>
        <v>5.8666666666666676E-3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3.8739669421487599E-5</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2.1502649323764323E-2</v>
      </c>
      <c r="S12" s="48">
        <f t="shared" ca="1" si="4"/>
        <v>0.89112728665975904</v>
      </c>
      <c r="T12" s="49">
        <f ca="1">H12+K12+O12+N12+'Sheet1 select'!$B$40*I12+J12+P12</f>
        <v>1.5425154098787279E-2</v>
      </c>
      <c r="U12" s="169">
        <f t="shared" ca="1" si="5"/>
        <v>3.4251540987872784E-3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2.798674613231931E-5</v>
      </c>
      <c r="I13" s="45">
        <f>F13*(1-$B$3)*'Sheet1 select'!$B$41</f>
        <v>6.400000000000002E-3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3.8739669421487599E-5</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2.2109676369670154E-2</v>
      </c>
      <c r="S13" s="48">
        <f t="shared" ca="1" si="4"/>
        <v>0.89673667839515681</v>
      </c>
      <c r="T13" s="49">
        <f ca="1">H13+K13+O13+N13+'Sheet1 select'!$B$40*I13+J13+P13</f>
        <v>1.5466136700248663E-2</v>
      </c>
      <c r="U13" s="169">
        <f t="shared" ca="1" si="5"/>
        <v>3.4661367002486636E-3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3.2845556224735848E-5</v>
      </c>
      <c r="I14" s="45">
        <f>F14*(1-$B$3)*'Sheet1 select'!$B$41</f>
        <v>6.933333333333333E-3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3.8739669421487599E-5</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2.2719936564827816E-2</v>
      </c>
      <c r="S14" s="48">
        <f t="shared" ca="1" si="4"/>
        <v>0.90152590667671251</v>
      </c>
      <c r="T14" s="49">
        <f ca="1">H14+K14+O14+N14+'Sheet1 select'!$B$40*I14+J14+P14</f>
        <v>1.5507508006517443E-2</v>
      </c>
      <c r="U14" s="169">
        <f t="shared" ca="1" si="5"/>
        <v>3.5075080065174419E-3</v>
      </c>
      <c r="V14" s="47">
        <f t="shared" ca="1" si="6"/>
        <v>0</v>
      </c>
    </row>
    <row r="15" spans="1:22">
      <c r="A15" s="159" t="s">
        <v>40</v>
      </c>
      <c r="B15" s="60">
        <f>'EZBuck design calculator'!N40</f>
        <v>4700</v>
      </c>
      <c r="C15" s="63" t="s">
        <v>35</v>
      </c>
      <c r="E15" s="32">
        <v>14</v>
      </c>
      <c r="F15" s="45">
        <f t="shared" si="0"/>
        <v>3.7333333333333336E-2</v>
      </c>
      <c r="G15" s="45">
        <f t="shared" si="1"/>
        <v>2.787555555555556E-4</v>
      </c>
      <c r="H15" s="45">
        <f ca="1">F15*F15*('Sheet1 select'!$B$25)*$B$3</f>
        <v>3.8093071124545722E-5</v>
      </c>
      <c r="I15" s="45">
        <f>F15*(1-$B$3)*'Sheet1 select'!$B$41</f>
        <v>7.4666666666666675E-3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3.8739669421487599E-5</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2.3333429909237324E-2</v>
      </c>
      <c r="S15" s="48">
        <f t="shared" ca="1" si="4"/>
        <v>0.90566002372667598</v>
      </c>
      <c r="T15" s="49">
        <f ca="1">H15+K15+O15+N15+'Sheet1 select'!$B$40*I15+J15+P15</f>
        <v>1.5549268017593614E-2</v>
      </c>
      <c r="U15" s="169">
        <f t="shared" ca="1" si="5"/>
        <v>3.549268017593614E-3</v>
      </c>
      <c r="V15" s="47">
        <f t="shared" ca="1" si="6"/>
        <v>0</v>
      </c>
    </row>
    <row r="16" spans="1:22" ht="16.2" thickBot="1">
      <c r="A16" s="160" t="s">
        <v>50</v>
      </c>
      <c r="B16" s="64">
        <f>'EZBuck design calculator'!N41</f>
        <v>1</v>
      </c>
      <c r="C16" s="31" t="s">
        <v>41</v>
      </c>
      <c r="E16" s="32">
        <v>15</v>
      </c>
      <c r="F16" s="45">
        <f t="shared" si="0"/>
        <v>0.04</v>
      </c>
      <c r="G16" s="45">
        <f t="shared" si="1"/>
        <v>3.2000000000000003E-4</v>
      </c>
      <c r="H16" s="45">
        <f ca="1">F16*F16*('Sheet1 select'!$B$25)*$B$3</f>
        <v>4.3729290831748909E-5</v>
      </c>
      <c r="I16" s="45">
        <f>F16*(1-$B$3)*'Sheet1 select'!$B$41</f>
        <v>8.0000000000000002E-3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3.8739669421487599E-5</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2.395015640289867E-2</v>
      </c>
      <c r="S16" s="48">
        <f t="shared" ca="1" si="4"/>
        <v>0.90926257923355547</v>
      </c>
      <c r="T16" s="49">
        <f ca="1">H16+K16+O16+N16+'Sheet1 select'!$B$40*I16+J16+P16</f>
        <v>1.5591416733477179E-2</v>
      </c>
      <c r="U16" s="169">
        <f t="shared" ca="1" si="5"/>
        <v>3.5914167334771792E-3</v>
      </c>
      <c r="V16" s="47">
        <f t="shared" ca="1" si="6"/>
        <v>0</v>
      </c>
    </row>
    <row r="17" spans="1:22">
      <c r="A17" s="155"/>
      <c r="B17" s="156"/>
      <c r="C17" s="156"/>
      <c r="E17" s="32">
        <v>16</v>
      </c>
      <c r="F17" s="45">
        <f t="shared" si="0"/>
        <v>4.2666666666666672E-2</v>
      </c>
      <c r="G17" s="45">
        <f t="shared" si="1"/>
        <v>3.6408888888888897E-4</v>
      </c>
      <c r="H17" s="45">
        <f ca="1">F17*F17*('Sheet1 select'!$B$25)*$B$3</f>
        <v>4.9754215346345436E-5</v>
      </c>
      <c r="I17" s="45">
        <f>F17*(1-$B$3)*'Sheet1 select'!$B$41</f>
        <v>8.5333333333333355E-3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3.8739669421487599E-5</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2.4570116045811847E-2</v>
      </c>
      <c r="S17" s="48">
        <f t="shared" ca="1" si="4"/>
        <v>0.91242789363283439</v>
      </c>
      <c r="T17" s="49">
        <f ca="1">H17+K17+O17+N17+'Sheet1 select'!$B$40*I17+J17+P17</f>
        <v>1.5633954154168139E-2</v>
      </c>
      <c r="U17" s="169">
        <f t="shared" ca="1" si="5"/>
        <v>3.6339541541681379E-3</v>
      </c>
      <c r="V17" s="47">
        <f t="shared" ca="1" si="6"/>
        <v>0</v>
      </c>
    </row>
    <row r="18" spans="1:22">
      <c r="A18" s="156"/>
      <c r="B18" s="162"/>
      <c r="C18" s="165"/>
      <c r="E18" s="32">
        <v>17</v>
      </c>
      <c r="F18" s="45">
        <f t="shared" si="0"/>
        <v>4.5333333333333337E-2</v>
      </c>
      <c r="G18" s="45">
        <f t="shared" si="1"/>
        <v>4.1102222222222227E-4</v>
      </c>
      <c r="H18" s="45">
        <f ca="1">F18*F18*('Sheet1 select'!$B$25)*$B$3</f>
        <v>5.6167844668335269E-5</v>
      </c>
      <c r="I18" s="45">
        <f>F18*(1-$B$3)*'Sheet1 select'!$B$41</f>
        <v>9.0666666666666673E-3</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3.8739669421487599E-5</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2.519330883797687E-2</v>
      </c>
      <c r="S18" s="48">
        <f t="shared" ca="1" si="4"/>
        <v>0.91522921920253697</v>
      </c>
      <c r="T18" s="49">
        <f ca="1">H18+K18+O18+N18+'Sheet1 select'!$B$40*I18+J18+P18</f>
        <v>1.5676880279666489E-2</v>
      </c>
      <c r="U18" s="169">
        <f t="shared" ca="1" si="5"/>
        <v>3.6768802796664896E-3</v>
      </c>
      <c r="V18" s="47">
        <f t="shared" ca="1" si="6"/>
        <v>0</v>
      </c>
    </row>
    <row r="19" spans="1:22">
      <c r="A19" s="163"/>
      <c r="B19" s="156"/>
      <c r="C19" s="156"/>
      <c r="E19" s="32">
        <v>18</v>
      </c>
      <c r="F19" s="45">
        <f t="shared" si="0"/>
        <v>4.8000000000000001E-2</v>
      </c>
      <c r="G19" s="45">
        <f t="shared" si="1"/>
        <v>4.6079999999999998E-4</v>
      </c>
      <c r="H19" s="45">
        <f ca="1">F19*F19*('Sheet1 select'!$B$25)*$B$3</f>
        <v>6.2970178797718427E-5</v>
      </c>
      <c r="I19" s="45">
        <f>F19*(1-$B$3)*'Sheet1 select'!$B$41</f>
        <v>9.6000000000000009E-3</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3.8739669421487599E-5</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2.5819734779393724E-2</v>
      </c>
      <c r="S19" s="48">
        <f t="shared" ca="1" si="4"/>
        <v>0.91772431138677679</v>
      </c>
      <c r="T19" s="49">
        <f ca="1">H19+K19+O19+N19+'Sheet1 select'!$B$40*I19+J19+P19</f>
        <v>1.5720195109972235E-2</v>
      </c>
      <c r="U19" s="169">
        <f t="shared" ca="1" si="5"/>
        <v>3.7201951099722348E-3</v>
      </c>
      <c r="V19" s="47">
        <f t="shared" ca="1" si="6"/>
        <v>0</v>
      </c>
    </row>
    <row r="20" spans="1:22">
      <c r="A20" s="163"/>
      <c r="B20" s="156"/>
      <c r="C20" s="156"/>
      <c r="E20" s="32">
        <v>19</v>
      </c>
      <c r="F20" s="45">
        <f t="shared" si="0"/>
        <v>5.0666666666666672E-2</v>
      </c>
      <c r="G20" s="45">
        <f t="shared" si="1"/>
        <v>5.1342222222222232E-4</v>
      </c>
      <c r="H20" s="45">
        <f ca="1">F20*F20*('Sheet1 select'!$B$25)*$B$3</f>
        <v>7.0161217734494925E-5</v>
      </c>
      <c r="I20" s="45">
        <f>F20*(1-$B$3)*'Sheet1 select'!$B$41</f>
        <v>1.0133333333333334E-2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3.8739669421487599E-5</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2.6449393870062416E-2</v>
      </c>
      <c r="S20" s="48">
        <f t="shared" ca="1" si="4"/>
        <v>0.91995932097105715</v>
      </c>
      <c r="T20" s="49">
        <f ca="1">H20+K20+O20+N20+'Sheet1 select'!$B$40*I20+J20+P20</f>
        <v>1.5763898645085372E-2</v>
      </c>
      <c r="U20" s="169">
        <f t="shared" ca="1" si="5"/>
        <v>3.7638986450853735E-3</v>
      </c>
      <c r="V20" s="47">
        <f t="shared" ca="1" si="6"/>
        <v>0</v>
      </c>
    </row>
    <row r="21" spans="1:22">
      <c r="A21" s="163"/>
      <c r="B21" s="156"/>
      <c r="C21" s="156"/>
      <c r="E21" s="32">
        <v>20</v>
      </c>
      <c r="F21" s="45">
        <f t="shared" si="0"/>
        <v>5.3333333333333337E-2</v>
      </c>
      <c r="G21" s="45">
        <f t="shared" si="1"/>
        <v>5.6888888888888896E-4</v>
      </c>
      <c r="H21" s="45">
        <f ca="1">F21*F21*('Sheet1 select'!$B$25)*$B$3</f>
        <v>7.7740961478664735E-5</v>
      </c>
      <c r="I21" s="45">
        <f>F21*(1-$B$3)*'Sheet1 select'!$B$41</f>
        <v>1.0666666666666668E-2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3.8739669421487599E-5</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2.7082286109982947E-2</v>
      </c>
      <c r="S21" s="48">
        <f t="shared" ca="1" si="4"/>
        <v>0.92197156929696744</v>
      </c>
      <c r="T21" s="49">
        <f ca="1">H21+K21+O21+N21+'Sheet1 select'!$B$40*I21+J21+P21</f>
        <v>1.5807990885005906E-2</v>
      </c>
      <c r="U21" s="169">
        <f t="shared" ca="1" si="5"/>
        <v>3.8079908850059052E-3</v>
      </c>
      <c r="V21" s="47">
        <f t="shared" ca="1" si="6"/>
        <v>0</v>
      </c>
    </row>
    <row r="22" spans="1:22">
      <c r="A22" s="163"/>
      <c r="B22" s="156"/>
      <c r="C22" s="156"/>
      <c r="E22" s="32">
        <v>21</v>
      </c>
      <c r="F22" s="45">
        <f t="shared" si="0"/>
        <v>5.6000000000000001E-2</v>
      </c>
      <c r="G22" s="45">
        <f t="shared" si="1"/>
        <v>6.2720000000000007E-4</v>
      </c>
      <c r="H22" s="45">
        <f ca="1">F22*F22*('Sheet1 select'!$B$25)*$B$3</f>
        <v>8.5709410030227872E-5</v>
      </c>
      <c r="I22" s="45">
        <f>F22*(1-$B$3)*'Sheet1 select'!$B$41</f>
        <v>1.1200000000000002E-2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3.8739669421487599E-5</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2.771841149915532E-2</v>
      </c>
      <c r="S22" s="48">
        <f t="shared" ca="1" si="4"/>
        <v>0.92379156341053226</v>
      </c>
      <c r="T22" s="49">
        <f ca="1">H22+K22+O22+N22+'Sheet1 select'!$B$40*I22+J22+P22</f>
        <v>1.585247182973383E-2</v>
      </c>
      <c r="U22" s="169">
        <f t="shared" ca="1" si="5"/>
        <v>3.8524718297338299E-3</v>
      </c>
      <c r="V22" s="47">
        <f t="shared" ca="1" si="6"/>
        <v>0</v>
      </c>
    </row>
    <row r="23" spans="1:22">
      <c r="A23" s="163"/>
      <c r="B23" s="156"/>
      <c r="C23" s="156"/>
      <c r="E23" s="32">
        <v>22</v>
      </c>
      <c r="F23" s="45">
        <f t="shared" si="0"/>
        <v>5.8666666666666673E-2</v>
      </c>
      <c r="G23" s="45">
        <f t="shared" si="1"/>
        <v>6.8835555555555575E-4</v>
      </c>
      <c r="H23" s="45">
        <f ca="1">F23*F23*('Sheet1 select'!$B$25)*$B$3</f>
        <v>9.4066563389184335E-5</v>
      </c>
      <c r="I23" s="45">
        <f>F23*(1-$B$3)*'Sheet1 select'!$B$41</f>
        <v>1.1733333333333335E-2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3.8739669421487599E-5</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2.8357770037579531E-2</v>
      </c>
      <c r="S23" s="48">
        <f t="shared" ca="1" si="4"/>
        <v>0.92544448340104168</v>
      </c>
      <c r="T23" s="49">
        <f ca="1">H23+K23+O23+N23+'Sheet1 select'!$B$40*I23+J23+P23</f>
        <v>1.5897341479269148E-2</v>
      </c>
      <c r="U23" s="169">
        <f t="shared" ca="1" si="5"/>
        <v>3.897341479269149E-3</v>
      </c>
      <c r="V23" s="47">
        <f t="shared" ca="1" si="6"/>
        <v>0</v>
      </c>
    </row>
    <row r="24" spans="1:22">
      <c r="A24" s="156"/>
      <c r="B24" s="156"/>
      <c r="C24" s="156"/>
      <c r="E24" s="32">
        <v>23</v>
      </c>
      <c r="F24" s="45">
        <f t="shared" si="0"/>
        <v>6.1333333333333344E-2</v>
      </c>
      <c r="G24" s="45">
        <f t="shared" si="1"/>
        <v>7.5235555555555589E-4</v>
      </c>
      <c r="H24" s="45">
        <f ca="1">F24*F24*('Sheet1 select'!$B$25)*$B$3</f>
        <v>1.0281242155553414E-4</v>
      </c>
      <c r="I24" s="45">
        <f>F24*(1-$B$3)*'Sheet1 select'!$B$41</f>
        <v>1.2266666666666669E-2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3.8739669421487599E-5</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2.9000361725255573E-2</v>
      </c>
      <c r="S24" s="48">
        <f t="shared" ca="1" si="4"/>
        <v>0.92695129646928309</v>
      </c>
      <c r="T24" s="49">
        <f ca="1">H24+K24+O24+N24+'Sheet1 select'!$B$40*I24+J24+P24</f>
        <v>1.5942599833611862E-2</v>
      </c>
      <c r="U24" s="169">
        <f t="shared" ca="1" si="5"/>
        <v>3.9425998336118607E-3</v>
      </c>
      <c r="V24" s="47">
        <f t="shared" ca="1" si="6"/>
        <v>0</v>
      </c>
    </row>
    <row r="25" spans="1:22">
      <c r="A25" s="156"/>
      <c r="B25" s="162"/>
      <c r="C25" s="156"/>
      <c r="E25" s="32">
        <v>24</v>
      </c>
      <c r="F25" s="45">
        <f t="shared" si="0"/>
        <v>6.4000000000000015E-2</v>
      </c>
      <c r="G25" s="45">
        <f t="shared" si="1"/>
        <v>8.1920000000000029E-4</v>
      </c>
      <c r="H25" s="45">
        <f ca="1">F25*F25*('Sheet1 select'!$B$25)*$B$3</f>
        <v>1.1194698452927724E-4</v>
      </c>
      <c r="I25" s="45">
        <f>F25*(1-$B$3)*'Sheet1 select'!$B$41</f>
        <v>1.2800000000000004E-2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3.8739669421487599E-5</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2.9646186562183461E-2</v>
      </c>
      <c r="S25" s="48">
        <f t="shared" ca="1" si="4"/>
        <v>0.92832960262834008</v>
      </c>
      <c r="T25" s="49">
        <f ca="1">H25+K25+O25+N25+'Sheet1 select'!$B$40*I25+J25+P25</f>
        <v>1.5988246892761966E-2</v>
      </c>
      <c r="U25" s="169">
        <f t="shared" ca="1" si="5"/>
        <v>3.9882468927619659E-3</v>
      </c>
      <c r="V25" s="47">
        <f t="shared" ca="1" si="6"/>
        <v>0</v>
      </c>
    </row>
    <row r="26" spans="1:22">
      <c r="A26" s="163"/>
      <c r="B26" s="156"/>
      <c r="C26" s="156"/>
      <c r="E26" s="32">
        <v>25</v>
      </c>
      <c r="F26" s="45">
        <f t="shared" si="0"/>
        <v>6.6666666666666666E-2</v>
      </c>
      <c r="G26" s="45">
        <f t="shared" si="1"/>
        <v>8.8888888888888882E-4</v>
      </c>
      <c r="H26" s="45">
        <f ca="1">F26*F26*('Sheet1 select'!$B$25)*$B$3</f>
        <v>1.2147025231041362E-4</v>
      </c>
      <c r="I26" s="45">
        <f>F26*(1-$B$3)*'Sheet1 select'!$B$41</f>
        <v>1.3333333333333334E-2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3.8739669421487599E-5</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3.0295244548363177E-2</v>
      </c>
      <c r="S26" s="48">
        <f t="shared" ca="1" si="4"/>
        <v>0.92959428454720439</v>
      </c>
      <c r="T26" s="49">
        <f ca="1">H26+K26+O26+N26+'Sheet1 select'!$B$40*I26+J26+P26</f>
        <v>1.6034282656719464E-2</v>
      </c>
      <c r="U26" s="169">
        <f t="shared" ca="1" si="5"/>
        <v>4.0342826567194637E-3</v>
      </c>
      <c r="V26" s="47">
        <f t="shared" ca="1" si="6"/>
        <v>0</v>
      </c>
    </row>
    <row r="27" spans="1:22">
      <c r="A27" s="163"/>
      <c r="B27" s="156"/>
      <c r="C27" s="156"/>
      <c r="E27" s="32">
        <v>26</v>
      </c>
      <c r="F27" s="45">
        <f t="shared" si="0"/>
        <v>6.933333333333333E-2</v>
      </c>
      <c r="G27" s="45">
        <f t="shared" si="1"/>
        <v>9.6142222222222215E-4</v>
      </c>
      <c r="H27" s="45">
        <f ca="1">F27*F27*('Sheet1 select'!$B$25)*$B$3</f>
        <v>1.3138222489894339E-4</v>
      </c>
      <c r="I27" s="45">
        <f>F27*(1-$B$3)*'Sheet1 select'!$B$41</f>
        <v>1.3866666666666666E-2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3.8739669421487599E-5</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3.0947535683794731E-2</v>
      </c>
      <c r="S27" s="48">
        <f t="shared" ca="1" si="4"/>
        <v>0.93075801248921219</v>
      </c>
      <c r="T27" s="49">
        <f ca="1">H27+K27+O27+N27+'Sheet1 select'!$B$40*I27+J27+P27</f>
        <v>1.6080707125484355E-2</v>
      </c>
      <c r="U27" s="169">
        <f t="shared" ca="1" si="5"/>
        <v>4.0807071254843558E-3</v>
      </c>
      <c r="V27" s="47">
        <f t="shared" ca="1" si="6"/>
        <v>0</v>
      </c>
    </row>
    <row r="28" spans="1:22">
      <c r="A28" s="163" t="s">
        <v>51</v>
      </c>
      <c r="B28" s="2"/>
      <c r="C28" s="2" t="s">
        <v>1</v>
      </c>
      <c r="E28" s="32">
        <v>27</v>
      </c>
      <c r="F28" s="45">
        <f t="shared" si="0"/>
        <v>7.2000000000000008E-2</v>
      </c>
      <c r="G28" s="45">
        <f t="shared" si="1"/>
        <v>1.0368000000000003E-3</v>
      </c>
      <c r="H28" s="45">
        <f ca="1">F28*F28*('Sheet1 select'!$B$25)*$B$3</f>
        <v>1.416829022948665E-4</v>
      </c>
      <c r="I28" s="45">
        <f>F28*(1-$B$3)*'Sheet1 select'!$B$41</f>
        <v>1.4400000000000003E-2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3.8739669421487599E-5</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3.1603059968478134E-2</v>
      </c>
      <c r="S28" s="48">
        <f t="shared" ca="1" si="4"/>
        <v>0.93183164069144209</v>
      </c>
      <c r="T28" s="49">
        <f ca="1">H28+K28+O28+N28+'Sheet1 select'!$B$40*I28+J28+P28</f>
        <v>1.612752029905664E-2</v>
      </c>
      <c r="U28" s="169">
        <f t="shared" ca="1" si="5"/>
        <v>4.1275202990566414E-3</v>
      </c>
      <c r="V28" s="47">
        <f t="shared" ca="1" si="6"/>
        <v>0</v>
      </c>
    </row>
    <row r="29" spans="1:22">
      <c r="A29" s="156"/>
      <c r="B29" s="156"/>
      <c r="C29" s="156"/>
      <c r="E29" s="32">
        <v>28</v>
      </c>
      <c r="F29" s="45">
        <f t="shared" si="0"/>
        <v>7.4666666666666673E-2</v>
      </c>
      <c r="G29" s="45">
        <f t="shared" si="1"/>
        <v>1.1150222222222224E-3</v>
      </c>
      <c r="H29" s="45">
        <f ca="1">F29*F29*('Sheet1 select'!$B$25)*$B$3</f>
        <v>1.5237228449818289E-4</v>
      </c>
      <c r="I29" s="45">
        <f>F29*(1-$B$3)*'Sheet1 select'!$B$41</f>
        <v>1.4933333333333335E-2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3.8739669421487599E-5</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3.2261817402413365E-2</v>
      </c>
      <c r="S29" s="48">
        <f t="shared" ca="1" si="4"/>
        <v>0.93282452147266781</v>
      </c>
      <c r="T29" s="49">
        <f ca="1">H29+K29+O29+N29+'Sheet1 select'!$B$40*I29+J29+P29</f>
        <v>1.6174722177436318E-2</v>
      </c>
      <c r="U29" s="169">
        <f t="shared" ca="1" si="5"/>
        <v>4.1747221774363196E-3</v>
      </c>
      <c r="V29" s="47">
        <f t="shared" ca="1" si="6"/>
        <v>0</v>
      </c>
    </row>
    <row r="30" spans="1:22">
      <c r="A30" s="156"/>
      <c r="B30" s="162"/>
      <c r="C30" s="156"/>
      <c r="E30" s="32">
        <v>29</v>
      </c>
      <c r="F30" s="45">
        <f t="shared" si="0"/>
        <v>7.7333333333333337E-2</v>
      </c>
      <c r="G30" s="45">
        <f t="shared" si="1"/>
        <v>1.196088888888889E-3</v>
      </c>
      <c r="H30" s="45">
        <f ca="1">F30*F30*('Sheet1 select'!$B$25)*$B$3</f>
        <v>1.6345037150889259E-4</v>
      </c>
      <c r="I30" s="45">
        <f>F30*(1-$B$3)*'Sheet1 select'!$B$41</f>
        <v>1.5466666666666668E-2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3.8739669421487599E-5</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3.2923807985600434E-2</v>
      </c>
      <c r="S30" s="48">
        <f t="shared" ca="1" si="4"/>
        <v>0.93374475632579379</v>
      </c>
      <c r="T30" s="49">
        <f ca="1">H30+K30+O30+N30+'Sheet1 select'!$B$40*I30+J30+P30</f>
        <v>1.6222312760623393E-2</v>
      </c>
      <c r="U30" s="169">
        <f t="shared" ca="1" si="5"/>
        <v>4.2223127606233913E-3</v>
      </c>
      <c r="V30" s="47">
        <f t="shared" ca="1" si="6"/>
        <v>0</v>
      </c>
    </row>
    <row r="31" spans="1:22">
      <c r="A31" s="163"/>
      <c r="B31" s="156"/>
      <c r="C31" s="156"/>
      <c r="E31" s="32">
        <v>30</v>
      </c>
      <c r="F31" s="45">
        <f t="shared" si="0"/>
        <v>0.08</v>
      </c>
      <c r="G31" s="45">
        <f t="shared" si="1"/>
        <v>1.2800000000000001E-3</v>
      </c>
      <c r="H31" s="45">
        <f ca="1">F31*F31*('Sheet1 select'!$B$25)*$B$3</f>
        <v>1.7491716332699564E-4</v>
      </c>
      <c r="I31" s="45">
        <f>F31*(1-$B$3)*'Sheet1 select'!$B$41</f>
        <v>1.6E-2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3.8739669421487599E-5</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3.3589031718039342E-2</v>
      </c>
      <c r="S31" s="48">
        <f t="shared" ca="1" si="4"/>
        <v>0.93459939826658955</v>
      </c>
      <c r="T31" s="49">
        <f ca="1">H31+K31+O31+N31+'Sheet1 select'!$B$40*I31+J31+P31</f>
        <v>1.6270292048617858E-2</v>
      </c>
      <c r="U31" s="169">
        <f t="shared" ca="1" si="5"/>
        <v>4.2702920486178565E-3</v>
      </c>
      <c r="V31" s="47">
        <f t="shared" ca="1" si="6"/>
        <v>0</v>
      </c>
    </row>
    <row r="32" spans="1:22">
      <c r="A32" s="163"/>
      <c r="B32" s="156"/>
      <c r="C32" s="156"/>
      <c r="E32" s="32">
        <v>31</v>
      </c>
      <c r="F32" s="45">
        <f t="shared" si="0"/>
        <v>8.2666666666666666E-2</v>
      </c>
      <c r="G32" s="45">
        <f t="shared" si="1"/>
        <v>1.3667555555555554E-3</v>
      </c>
      <c r="H32" s="45">
        <f ca="1">F32*F32*('Sheet1 select'!$B$25)*$B$3</f>
        <v>1.8677265995249199E-4</v>
      </c>
      <c r="I32" s="45">
        <f>F32*(1-$B$3)*'Sheet1 select'!$B$41</f>
        <v>1.6533333333333334E-2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3.8739669421487599E-5</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3.4257488599730095E-2</v>
      </c>
      <c r="S32" s="48">
        <f t="shared" ca="1" si="4"/>
        <v>0.93539461613225849</v>
      </c>
      <c r="T32" s="49">
        <f ca="1">H32+K32+O32+N32+'Sheet1 select'!$B$40*I32+J32+P32</f>
        <v>1.6318660041419714E-2</v>
      </c>
      <c r="U32" s="169">
        <f t="shared" ca="1" si="5"/>
        <v>4.3186600414197142E-3</v>
      </c>
      <c r="V32" s="47">
        <f t="shared" ca="1" si="6"/>
        <v>0</v>
      </c>
    </row>
    <row r="33" spans="1:22">
      <c r="A33" s="163"/>
      <c r="B33" s="156"/>
      <c r="C33" s="156"/>
      <c r="E33" s="32">
        <v>32</v>
      </c>
      <c r="F33" s="45">
        <f t="shared" si="0"/>
        <v>8.5333333333333344E-2</v>
      </c>
      <c r="G33" s="45">
        <f t="shared" si="1"/>
        <v>1.4563555555555559E-3</v>
      </c>
      <c r="H33" s="45">
        <f ca="1">F33*F33*('Sheet1 select'!$B$25)*$B$3</f>
        <v>1.9901686138538174E-4</v>
      </c>
      <c r="I33" s="45">
        <f>F33*(1-$B$3)*'Sheet1 select'!$B$41</f>
        <v>1.7066666666666671E-2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3.8739669421487599E-5</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3.4929178630672686E-2</v>
      </c>
      <c r="S33" s="48">
        <f t="shared" ca="1" si="4"/>
        <v>0.93613582892373082</v>
      </c>
      <c r="T33" s="49">
        <f ca="1">H33+K33+O33+N33+'Sheet1 select'!$B$40*I33+J33+P33</f>
        <v>1.6367416739028966E-2</v>
      </c>
      <c r="U33" s="169">
        <f t="shared" ca="1" si="5"/>
        <v>4.3674167390289663E-3</v>
      </c>
      <c r="V33" s="47">
        <f t="shared" ca="1" si="6"/>
        <v>0</v>
      </c>
    </row>
    <row r="34" spans="1:22">
      <c r="A34" s="156"/>
      <c r="B34" s="156"/>
      <c r="C34" s="156"/>
      <c r="E34" s="32">
        <v>33</v>
      </c>
      <c r="F34" s="45">
        <f t="shared" si="0"/>
        <v>8.8000000000000009E-2</v>
      </c>
      <c r="G34" s="45">
        <f t="shared" si="1"/>
        <v>1.5488000000000004E-3</v>
      </c>
      <c r="H34" s="45">
        <f ca="1">F34*F34*('Sheet1 select'!$B$25)*$B$3</f>
        <v>2.1164976762566475E-4</v>
      </c>
      <c r="I34" s="45">
        <f>F34*(1-$B$3)*'Sheet1 select'!$B$41</f>
        <v>1.7600000000000001E-2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3.8739669421487599E-5</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3.5604101810867102E-2</v>
      </c>
      <c r="S34" s="48">
        <f t="shared" ca="1" si="4"/>
        <v>0.93682781637594414</v>
      </c>
      <c r="T34" s="49">
        <f ca="1">H34+K34+O34+N34+'Sheet1 select'!$B$40*I34+J34+P34</f>
        <v>1.6416562141445611E-2</v>
      </c>
      <c r="U34" s="169">
        <f t="shared" ca="1" si="5"/>
        <v>4.416562141445611E-3</v>
      </c>
      <c r="V34" s="47">
        <f t="shared" ca="1" si="6"/>
        <v>0</v>
      </c>
    </row>
    <row r="35" spans="1:22">
      <c r="A35" s="156"/>
      <c r="B35" s="162"/>
      <c r="C35" s="156"/>
      <c r="E35" s="32">
        <v>34</v>
      </c>
      <c r="F35" s="45">
        <f t="shared" si="0"/>
        <v>9.0666666666666673E-2</v>
      </c>
      <c r="G35" s="45">
        <f t="shared" si="1"/>
        <v>1.6440888888888891E-3</v>
      </c>
      <c r="H35" s="45">
        <f ca="1">F35*F35*('Sheet1 select'!$B$25)*$B$3</f>
        <v>2.2467137867334107E-4</v>
      </c>
      <c r="I35" s="45">
        <f>F35*(1-$B$3)*'Sheet1 select'!$B$41</f>
        <v>1.8133333333333335E-2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3.8739669421487599E-5</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3.6282258140313363E-2</v>
      </c>
      <c r="S35" s="48">
        <f t="shared" ca="1" si="4"/>
        <v>0.93747481052308812</v>
      </c>
      <c r="T35" s="49">
        <f ca="1">H35+K35+O35+N35+'Sheet1 select'!$B$40*I35+J35+P35</f>
        <v>1.646609624866965E-2</v>
      </c>
      <c r="U35" s="169">
        <f t="shared" ca="1" si="5"/>
        <v>4.4660962486696501E-3</v>
      </c>
      <c r="V35" s="47">
        <f t="shared" ca="1" si="6"/>
        <v>0</v>
      </c>
    </row>
    <row r="36" spans="1:22">
      <c r="A36" s="163"/>
      <c r="B36" s="156"/>
      <c r="C36" s="156"/>
      <c r="E36" s="32">
        <v>35</v>
      </c>
      <c r="F36" s="45">
        <f t="shared" si="0"/>
        <v>9.3333333333333338E-2</v>
      </c>
      <c r="G36" s="45">
        <f t="shared" si="1"/>
        <v>1.7422222222222225E-3</v>
      </c>
      <c r="H36" s="45">
        <f ca="1">F36*F36*('Sheet1 select'!$B$25)*$B$3</f>
        <v>2.3808169452841073E-4</v>
      </c>
      <c r="I36" s="45">
        <f>F36*(1-$B$3)*'Sheet1 select'!$B$41</f>
        <v>1.8666666666666668E-2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3.8739669421487599E-5</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3.6963647619011462E-2</v>
      </c>
      <c r="S36" s="48">
        <f t="shared" ca="1" si="4"/>
        <v>0.93808057196373529</v>
      </c>
      <c r="T36" s="49">
        <f ca="1">H36+K36+O36+N36+'Sheet1 select'!$B$40*I36+J36+P36</f>
        <v>1.6516019060701083E-2</v>
      </c>
      <c r="U36" s="169">
        <f t="shared" ca="1" si="5"/>
        <v>4.5160190607010809E-3</v>
      </c>
      <c r="V36" s="47">
        <f t="shared" ca="1" si="6"/>
        <v>0</v>
      </c>
    </row>
    <row r="37" spans="1:22">
      <c r="A37" s="163"/>
      <c r="B37" s="156"/>
      <c r="C37" s="156"/>
      <c r="E37" s="32">
        <v>36</v>
      </c>
      <c r="F37" s="45">
        <f t="shared" si="0"/>
        <v>9.6000000000000002E-2</v>
      </c>
      <c r="G37" s="45">
        <f t="shared" si="1"/>
        <v>1.8431999999999999E-3</v>
      </c>
      <c r="H37" s="45">
        <f ca="1">F37*F37*('Sheet1 select'!$B$25)*$B$3</f>
        <v>2.5188071519087371E-4</v>
      </c>
      <c r="I37" s="45">
        <f>F37*(1-$B$3)*'Sheet1 select'!$B$41</f>
        <v>1.9200000000000002E-2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3.8739669421487599E-5</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3.7648270246961393E-2</v>
      </c>
      <c r="S37" s="48">
        <f t="shared" ca="1" si="4"/>
        <v>0.93864845372771943</v>
      </c>
      <c r="T37" s="49">
        <f ca="1">H37+K37+O37+N37+'Sheet1 select'!$B$40*I37+J37+P37</f>
        <v>1.6566330577539905E-2</v>
      </c>
      <c r="U37" s="169">
        <f t="shared" ca="1" si="5"/>
        <v>4.566330577539906E-3</v>
      </c>
      <c r="V37" s="47">
        <f t="shared" ca="1" si="6"/>
        <v>0</v>
      </c>
    </row>
    <row r="38" spans="1:22">
      <c r="A38" s="163"/>
      <c r="B38" s="164"/>
      <c r="C38" s="156"/>
      <c r="E38" s="32">
        <v>37</v>
      </c>
      <c r="F38" s="45">
        <f t="shared" si="0"/>
        <v>9.8666666666666666E-2</v>
      </c>
      <c r="G38" s="45">
        <f t="shared" si="1"/>
        <v>1.9470222222222223E-3</v>
      </c>
      <c r="H38" s="45">
        <f ca="1">F38*F38*('Sheet1 select'!$B$25)*$B$3</f>
        <v>2.6606844066073002E-4</v>
      </c>
      <c r="I38" s="45">
        <f>F38*(1-$B$3)*'Sheet1 select'!$B$41</f>
        <v>1.9733333333333335E-2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3.8739669421487599E-5</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3.833612602416317E-2</v>
      </c>
      <c r="S38" s="48">
        <f t="shared" ca="1" si="4"/>
        <v>0.93918145503420891</v>
      </c>
      <c r="T38" s="49">
        <f ca="1">H38+K38+O38+N38+'Sheet1 select'!$B$40*I38+J38+P38</f>
        <v>1.6617030799186125E-2</v>
      </c>
      <c r="U38" s="169">
        <f t="shared" ca="1" si="5"/>
        <v>4.6170307991861247E-3</v>
      </c>
      <c r="V38" s="47">
        <f t="shared" ca="1" si="6"/>
        <v>0</v>
      </c>
    </row>
    <row r="39" spans="1:22">
      <c r="A39" s="163"/>
      <c r="B39" s="164"/>
      <c r="C39" s="156"/>
      <c r="E39" s="32">
        <v>38</v>
      </c>
      <c r="F39" s="45">
        <f t="shared" si="0"/>
        <v>0.10133333333333334</v>
      </c>
      <c r="G39" s="45">
        <f t="shared" si="1"/>
        <v>2.0536888888888893E-3</v>
      </c>
      <c r="H39" s="45">
        <f ca="1">F39*F39*('Sheet1 select'!$B$25)*$B$3</f>
        <v>2.806448709379797E-4</v>
      </c>
      <c r="I39" s="45">
        <f>F39*(1-$B$3)*'Sheet1 select'!$B$41</f>
        <v>2.0266666666666669E-2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3.8739669421487599E-5</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3.9027214950616784E-2</v>
      </c>
      <c r="S39" s="48">
        <f t="shared" ca="1" si="4"/>
        <v>0.93968226675968269</v>
      </c>
      <c r="T39" s="49">
        <f ca="1">H39+K39+O39+N39+'Sheet1 select'!$B$40*I39+J39+P39</f>
        <v>1.6668119725639738E-2</v>
      </c>
      <c r="U39" s="169">
        <f t="shared" ca="1" si="5"/>
        <v>4.6681197256397368E-3</v>
      </c>
      <c r="V39" s="47">
        <f t="shared" ca="1" si="6"/>
        <v>0</v>
      </c>
    </row>
    <row r="40" spans="1:22">
      <c r="E40" s="32">
        <v>39</v>
      </c>
      <c r="F40" s="45">
        <f t="shared" si="0"/>
        <v>0.10400000000000001</v>
      </c>
      <c r="G40" s="45">
        <f t="shared" si="1"/>
        <v>2.1632000000000005E-3</v>
      </c>
      <c r="H40" s="45">
        <f ca="1">F40*F40*('Sheet1 select'!$B$25)*$B$3</f>
        <v>2.9561000602262269E-4</v>
      </c>
      <c r="I40" s="45">
        <f>F40*(1-$B$3)*'Sheet1 select'!$B$41</f>
        <v>2.0800000000000003E-2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3.8739669421487599E-5</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3.9721537026322237E-2</v>
      </c>
      <c r="S40" s="48">
        <f t="shared" ca="1" si="4"/>
        <v>0.94015331006993241</v>
      </c>
      <c r="T40" s="49">
        <f ca="1">H40+K40+O40+N40+'Sheet1 select'!$B$40*I40+J40+P40</f>
        <v>1.6719597356900741E-2</v>
      </c>
      <c r="U40" s="169">
        <f t="shared" ca="1" si="5"/>
        <v>4.7195973569007415E-3</v>
      </c>
      <c r="V40" s="47">
        <f t="shared" ca="1" si="6"/>
        <v>0</v>
      </c>
    </row>
    <row r="41" spans="1:22">
      <c r="E41" s="32">
        <v>40</v>
      </c>
      <c r="F41" s="45">
        <f t="shared" si="0"/>
        <v>0.10666666666666667</v>
      </c>
      <c r="G41" s="45">
        <f t="shared" si="1"/>
        <v>2.2755555555555558E-3</v>
      </c>
      <c r="H41" s="45">
        <f ca="1">F41*F41*('Sheet1 select'!$B$25)*$B$3</f>
        <v>3.1096384591465894E-4</v>
      </c>
      <c r="I41" s="45">
        <f>F41*(1-$B$3)*'Sheet1 select'!$B$41</f>
        <v>2.1333333333333336E-2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3.8739669421487599E-5</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4.0419092251279515E-2</v>
      </c>
      <c r="S41" s="48">
        <f t="shared" ca="1" si="4"/>
        <v>0.94059676938584103</v>
      </c>
      <c r="T41" s="49">
        <f ca="1">H41+K41+O41+N41+'Sheet1 select'!$B$40*I41+J41+P41</f>
        <v>1.6771463692969141E-2</v>
      </c>
      <c r="U41" s="169">
        <f t="shared" ca="1" si="5"/>
        <v>4.7714636929691396E-3</v>
      </c>
      <c r="V41" s="47">
        <f t="shared" ca="1" si="6"/>
        <v>0</v>
      </c>
    </row>
    <row r="42" spans="1:22">
      <c r="E42" s="32">
        <v>41</v>
      </c>
      <c r="F42" s="45">
        <f t="shared" si="0"/>
        <v>0.10933333333333335</v>
      </c>
      <c r="G42" s="45">
        <f t="shared" si="1"/>
        <v>2.390755555555556E-3</v>
      </c>
      <c r="H42" s="45">
        <f ca="1">F42*F42*('Sheet1 select'!$B$25)*$B$3</f>
        <v>3.2670639061408861E-4</v>
      </c>
      <c r="I42" s="45">
        <f>F42*(1-$B$3)*'Sheet1 select'!$B$41</f>
        <v>2.1866666666666673E-2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3.8739669421487599E-5</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4.1119880625488645E-2</v>
      </c>
      <c r="S42" s="48">
        <f t="shared" ca="1" si="4"/>
        <v>0.94101462062939023</v>
      </c>
      <c r="T42" s="49">
        <f ca="1">H42+K42+O42+N42+'Sheet1 select'!$B$40*I42+J42+P42</f>
        <v>1.6823718733844931E-2</v>
      </c>
      <c r="U42" s="169">
        <f t="shared" ca="1" si="5"/>
        <v>4.8237187338449321E-3</v>
      </c>
      <c r="V42" s="47">
        <f t="shared" ca="1" si="6"/>
        <v>0</v>
      </c>
    </row>
    <row r="43" spans="1:22">
      <c r="E43" s="32">
        <v>42</v>
      </c>
      <c r="F43" s="45">
        <f t="shared" si="0"/>
        <v>0.112</v>
      </c>
      <c r="G43" s="45">
        <f t="shared" si="1"/>
        <v>2.5088000000000003E-3</v>
      </c>
      <c r="H43" s="45">
        <f ca="1">F43*F43*('Sheet1 select'!$B$25)*$B$3</f>
        <v>3.4283764012091149E-4</v>
      </c>
      <c r="I43" s="45">
        <f>F43*(1-$B$3)*'Sheet1 select'!$B$41</f>
        <v>2.2400000000000003E-2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3.8739669421487599E-5</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4.1823902148949613E-2</v>
      </c>
      <c r="S43" s="48">
        <f t="shared" ca="1" si="4"/>
        <v>0.94140865551988417</v>
      </c>
      <c r="T43" s="49">
        <f ca="1">H43+K43+O43+N43+'Sheet1 select'!$B$40*I43+J43+P43</f>
        <v>1.6876362479528118E-2</v>
      </c>
      <c r="U43" s="169">
        <f t="shared" ca="1" si="5"/>
        <v>4.8763624795281155E-3</v>
      </c>
      <c r="V43" s="47">
        <f t="shared" ca="1" si="6"/>
        <v>0</v>
      </c>
    </row>
    <row r="44" spans="1:22">
      <c r="E44" s="32">
        <v>43</v>
      </c>
      <c r="F44" s="45">
        <f t="shared" si="0"/>
        <v>0.11466666666666667</v>
      </c>
      <c r="G44" s="45">
        <f t="shared" si="1"/>
        <v>2.629688888888889E-3</v>
      </c>
      <c r="H44" s="45">
        <f ca="1">F44*F44*('Sheet1 select'!$B$25)*$B$3</f>
        <v>3.5935759443512773E-4</v>
      </c>
      <c r="I44" s="45">
        <f>F44*(1-$B$3)*'Sheet1 select'!$B$41</f>
        <v>2.2933333333333333E-2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3.8739669421487599E-5</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4.2531156821662405E-2</v>
      </c>
      <c r="S44" s="48">
        <f t="shared" ca="1" si="4"/>
        <v>0.94178050255008472</v>
      </c>
      <c r="T44" s="49">
        <f ca="1">H44+K44+O44+N44+'Sheet1 select'!$B$40*I44+J44+P44</f>
        <v>1.6929394930018694E-2</v>
      </c>
      <c r="U44" s="169">
        <f t="shared" ca="1" si="5"/>
        <v>4.9293949300186941E-3</v>
      </c>
      <c r="V44" s="47">
        <f t="shared" ca="1" si="6"/>
        <v>0</v>
      </c>
    </row>
    <row r="45" spans="1:22">
      <c r="E45" s="32">
        <v>44</v>
      </c>
      <c r="F45" s="45">
        <f t="shared" si="0"/>
        <v>0.11733333333333335</v>
      </c>
      <c r="G45" s="45">
        <f t="shared" si="1"/>
        <v>2.753422222222223E-3</v>
      </c>
      <c r="H45" s="45">
        <f ca="1">F45*F45*('Sheet1 select'!$B$25)*$B$3</f>
        <v>3.7626625355673734E-4</v>
      </c>
      <c r="I45" s="45">
        <f>F45*(1-$B$3)*'Sheet1 select'!$B$41</f>
        <v>2.346666666666667E-2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3.8739669421487599E-5</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4.324164464362705E-2</v>
      </c>
      <c r="S45" s="48">
        <f t="shared" ca="1" si="4"/>
        <v>0.94213164515977998</v>
      </c>
      <c r="T45" s="49">
        <f ca="1">H45+K45+O45+N45+'Sheet1 select'!$B$40*I45+J45+P45</f>
        <v>1.6982816085316668E-2</v>
      </c>
      <c r="U45" s="169">
        <f t="shared" ca="1" si="5"/>
        <v>4.9828160853166662E-3</v>
      </c>
      <c r="V45" s="47">
        <f t="shared" ca="1" si="6"/>
        <v>0</v>
      </c>
    </row>
    <row r="46" spans="1:22">
      <c r="E46" s="32">
        <v>45</v>
      </c>
      <c r="F46" s="45">
        <f t="shared" si="0"/>
        <v>0.12</v>
      </c>
      <c r="G46" s="45">
        <f t="shared" si="1"/>
        <v>2.8799999999999997E-3</v>
      </c>
      <c r="H46" s="45">
        <f ca="1">F46*F46*('Sheet1 select'!$B$25)*$B$3</f>
        <v>3.9356361748574015E-4</v>
      </c>
      <c r="I46" s="45">
        <f>F46*(1-$B$3)*'Sheet1 select'!$B$41</f>
        <v>2.4E-2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3.8739669421487599E-5</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4.395536561484352E-2</v>
      </c>
      <c r="S46" s="48">
        <f t="shared" ca="1" si="4"/>
        <v>0.94246343753411888</v>
      </c>
      <c r="T46" s="49">
        <f ca="1">H46+K46+O46+N46+'Sheet1 select'!$B$40*I46+J46+P46</f>
        <v>1.7036625945422032E-2</v>
      </c>
      <c r="U46" s="169">
        <f t="shared" ca="1" si="5"/>
        <v>5.0366259454220309E-3</v>
      </c>
      <c r="V46" s="47">
        <f t="shared" ca="1" si="6"/>
        <v>0</v>
      </c>
    </row>
    <row r="47" spans="1:22">
      <c r="E47" s="32">
        <v>46</v>
      </c>
      <c r="F47" s="45">
        <f t="shared" si="0"/>
        <v>0.12266666666666669</v>
      </c>
      <c r="G47" s="45">
        <f t="shared" si="1"/>
        <v>3.0094222222222236E-3</v>
      </c>
      <c r="H47" s="45">
        <f ca="1">F47*F47*('Sheet1 select'!$B$25)*$B$3</f>
        <v>4.1124968622213655E-4</v>
      </c>
      <c r="I47" s="45">
        <f>F47*(1-$B$3)*'Sheet1 select'!$B$41</f>
        <v>2.4533333333333338E-2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3.8739669421487599E-5</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4.4672319735311841E-2</v>
      </c>
      <c r="S47" s="48">
        <f t="shared" ca="1" si="4"/>
        <v>0.94277711838116918</v>
      </c>
      <c r="T47" s="49">
        <f ca="1">H47+K47+O47+N47+'Sheet1 select'!$B$40*I47+J47+P47</f>
        <v>1.7090824510334789E-2</v>
      </c>
      <c r="U47" s="169">
        <f t="shared" ca="1" si="5"/>
        <v>5.0908245103347891E-3</v>
      </c>
      <c r="V47" s="47">
        <f t="shared" ca="1" si="6"/>
        <v>0</v>
      </c>
    </row>
    <row r="48" spans="1:22">
      <c r="E48" s="32">
        <v>47</v>
      </c>
      <c r="F48" s="45">
        <f t="shared" si="0"/>
        <v>0.12533333333333332</v>
      </c>
      <c r="G48" s="45">
        <f t="shared" si="1"/>
        <v>3.141688888888888E-3</v>
      </c>
      <c r="H48" s="45">
        <f ca="1">F48*F48*('Sheet1 select'!$B$25)*$B$3</f>
        <v>4.2932445976592588E-4</v>
      </c>
      <c r="I48" s="45">
        <f>F48*(1-$B$3)*'Sheet1 select'!$B$41</f>
        <v>2.5066666666666668E-2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3.8739669421487599E-5</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4.5392507005031987E-2</v>
      </c>
      <c r="S48" s="48">
        <f t="shared" ca="1" si="4"/>
        <v>0.94307382298396047</v>
      </c>
      <c r="T48" s="49">
        <f ca="1">H48+K48+O48+N48+'Sheet1 select'!$B$40*I48+J48+P48</f>
        <v>1.714541178005494E-2</v>
      </c>
      <c r="U48" s="169">
        <f t="shared" ca="1" si="5"/>
        <v>5.1454117800549407E-3</v>
      </c>
      <c r="V48" s="47">
        <f t="shared" ca="1" si="6"/>
        <v>0</v>
      </c>
    </row>
    <row r="49" spans="5:22">
      <c r="E49" s="32">
        <v>48</v>
      </c>
      <c r="F49" s="45">
        <f t="shared" si="0"/>
        <v>0.12800000000000003</v>
      </c>
      <c r="G49" s="45">
        <f t="shared" si="1"/>
        <v>3.2768000000000012E-3</v>
      </c>
      <c r="H49" s="45">
        <f ca="1">F49*F49*('Sheet1 select'!$B$25)*$B$3</f>
        <v>4.4778793811710895E-4</v>
      </c>
      <c r="I49" s="45">
        <f>F49*(1-$B$3)*'Sheet1 select'!$B$41</f>
        <v>2.5600000000000008E-2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3.8739669421487599E-5</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4.6115927424003986E-2</v>
      </c>
      <c r="S49" s="48">
        <f t="shared" ca="1" si="4"/>
        <v>0.94335459377398223</v>
      </c>
      <c r="T49" s="49">
        <f ca="1">H49+K49+O49+N49+'Sheet1 select'!$B$40*I49+J49+P49</f>
        <v>1.7200387754582484E-2</v>
      </c>
      <c r="U49" s="169">
        <f t="shared" ca="1" si="5"/>
        <v>5.2003877545824858E-3</v>
      </c>
      <c r="V49" s="47">
        <f t="shared" ca="1" si="6"/>
        <v>0</v>
      </c>
    </row>
    <row r="50" spans="5:22">
      <c r="E50" s="32">
        <v>49</v>
      </c>
      <c r="F50" s="45">
        <f t="shared" si="0"/>
        <v>0.13066666666666668</v>
      </c>
      <c r="G50" s="45">
        <f t="shared" si="1"/>
        <v>3.4147555555555562E-3</v>
      </c>
      <c r="H50" s="45">
        <f ca="1">F50*F50*('Sheet1 select'!$B$25)*$B$3</f>
        <v>4.6664012127568512E-4</v>
      </c>
      <c r="I50" s="45">
        <f>F50*(1-$B$3)*'Sheet1 select'!$B$41</f>
        <v>2.6133333333333338E-2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3.8739669421487599E-5</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4.6842580992227809E-2</v>
      </c>
      <c r="S50" s="48">
        <f t="shared" ca="1" si="4"/>
        <v>0.94362038963351347</v>
      </c>
      <c r="T50" s="49">
        <f ca="1">H50+K50+O50+N50+'Sheet1 select'!$B$40*I50+J50+P50</f>
        <v>1.7255752433917422E-2</v>
      </c>
      <c r="U50" s="169">
        <f t="shared" ca="1" si="5"/>
        <v>5.2557524339174235E-3</v>
      </c>
      <c r="V50" s="47">
        <f t="shared" ca="1" si="6"/>
        <v>0</v>
      </c>
    </row>
    <row r="51" spans="5:22">
      <c r="E51" s="32">
        <v>50</v>
      </c>
      <c r="F51" s="45">
        <f t="shared" si="0"/>
        <v>0.13333333333333333</v>
      </c>
      <c r="G51" s="45">
        <f t="shared" si="1"/>
        <v>3.5555555555555553E-3</v>
      </c>
      <c r="H51" s="45">
        <f ca="1">F51*F51*('Sheet1 select'!$B$25)*$B$3</f>
        <v>4.858810092416545E-4</v>
      </c>
      <c r="I51" s="45">
        <f>F51*(1-$B$3)*'Sheet1 select'!$B$41</f>
        <v>2.6666666666666668E-2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3.8739669421487599E-5</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4.757246770970347E-2</v>
      </c>
      <c r="S51" s="48">
        <f t="shared" ca="1" si="4"/>
        <v>0.94387209410157813</v>
      </c>
      <c r="T51" s="49">
        <f ca="1">H51+K51+O51+N51+'Sheet1 select'!$B$40*I51+J51+P51</f>
        <v>1.7311505818059757E-2</v>
      </c>
      <c r="U51" s="169">
        <f t="shared" ca="1" si="5"/>
        <v>5.3115058180597547E-3</v>
      </c>
      <c r="V51" s="47">
        <f t="shared" ca="1" si="6"/>
        <v>0</v>
      </c>
    </row>
    <row r="52" spans="5:22">
      <c r="E52" s="32">
        <v>51</v>
      </c>
      <c r="F52" s="45">
        <f t="shared" si="0"/>
        <v>0.13600000000000001</v>
      </c>
      <c r="G52" s="45">
        <f t="shared" si="1"/>
        <v>3.6992000000000001E-3</v>
      </c>
      <c r="H52" s="45">
        <f ca="1">F52*F52*('Sheet1 select'!$B$25)*$B$3</f>
        <v>5.055106020150174E-4</v>
      </c>
      <c r="I52" s="45">
        <f>F52*(1-$B$3)*'Sheet1 select'!$B$41</f>
        <v>2.7200000000000002E-2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3.8739669421487599E-5</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4.8305587576430969E-2</v>
      </c>
      <c r="S52" s="48">
        <f t="shared" ca="1" si="4"/>
        <v>0.94411052263137274</v>
      </c>
      <c r="T52" s="49">
        <f ca="1">H52+K52+O52+N52+'Sheet1 select'!$B$40*I52+J52+P52</f>
        <v>1.7367647907009481E-2</v>
      </c>
      <c r="U52" s="169">
        <f t="shared" ca="1" si="5"/>
        <v>5.3676479070094802E-3</v>
      </c>
      <c r="V52" s="47">
        <f t="shared" ca="1" si="6"/>
        <v>0</v>
      </c>
    </row>
    <row r="53" spans="5:22">
      <c r="E53" s="32">
        <v>52</v>
      </c>
      <c r="F53" s="45">
        <f t="shared" si="0"/>
        <v>0.13866666666666666</v>
      </c>
      <c r="G53" s="45">
        <f t="shared" si="1"/>
        <v>3.8456888888888886E-3</v>
      </c>
      <c r="H53" s="45">
        <f ca="1">F53*F53*('Sheet1 select'!$B$25)*$B$3</f>
        <v>5.2552889959577357E-4</v>
      </c>
      <c r="I53" s="45">
        <f>F53*(1-$B$3)*'Sheet1 select'!$B$41</f>
        <v>2.7733333333333332E-2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3.8739669421487599E-5</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4.9041940592410307E-2</v>
      </c>
      <c r="S53" s="48">
        <f t="shared" ca="1" si="4"/>
        <v>0.94433642902466752</v>
      </c>
      <c r="T53" s="49">
        <f ca="1">H53+K53+O53+N53+'Sheet1 select'!$B$40*I53+J53+P53</f>
        <v>1.7424178700766596E-2</v>
      </c>
      <c r="U53" s="169">
        <f t="shared" ca="1" si="5"/>
        <v>5.4241787007665975E-3</v>
      </c>
      <c r="V53" s="47">
        <f t="shared" ca="1" si="6"/>
        <v>0</v>
      </c>
    </row>
    <row r="54" spans="5:22">
      <c r="E54" s="32">
        <v>53</v>
      </c>
      <c r="F54" s="45">
        <f t="shared" si="0"/>
        <v>0.14133333333333334</v>
      </c>
      <c r="G54" s="45">
        <f t="shared" si="1"/>
        <v>3.9950222222222232E-3</v>
      </c>
      <c r="H54" s="45">
        <f ca="1">F54*F54*('Sheet1 select'!$B$25)*$B$3</f>
        <v>5.459359019839231E-4</v>
      </c>
      <c r="I54" s="45">
        <f>F54*(1-$B$3)*'Sheet1 select'!$B$41</f>
        <v>2.8266666666666669E-2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3.8739669421487599E-5</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4.9781526757641498E-2</v>
      </c>
      <c r="S54" s="48">
        <f t="shared" ca="1" si="4"/>
        <v>0.94455051115004718</v>
      </c>
      <c r="T54" s="49">
        <f ca="1">H54+K54+O54+N54+'Sheet1 select'!$B$40*I54+J54+P54</f>
        <v>1.7481098199331111E-2</v>
      </c>
      <c r="U54" s="169">
        <f t="shared" ca="1" si="5"/>
        <v>5.48109819933111E-3</v>
      </c>
      <c r="V54" s="47">
        <f t="shared" ca="1" si="6"/>
        <v>0</v>
      </c>
    </row>
    <row r="55" spans="5:22">
      <c r="E55" s="32">
        <v>54</v>
      </c>
      <c r="F55" s="45">
        <f t="shared" si="0"/>
        <v>0.14400000000000002</v>
      </c>
      <c r="G55" s="45">
        <f t="shared" si="1"/>
        <v>4.1472000000000011E-3</v>
      </c>
      <c r="H55" s="45">
        <f ca="1">F55*F55*('Sheet1 select'!$B$25)*$B$3</f>
        <v>5.6673160917946599E-4</v>
      </c>
      <c r="I55" s="45">
        <f>F55*(1-$B$3)*'Sheet1 select'!$B$41</f>
        <v>2.8800000000000006E-2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3.8739669421487599E-5</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5.0524346072124512E-2</v>
      </c>
      <c r="S55" s="48">
        <f t="shared" ca="1" si="4"/>
        <v>0.9447534160362967</v>
      </c>
      <c r="T55" s="49">
        <f ca="1">H55+K55+O55+N55+'Sheet1 select'!$B$40*I55+J55+P55</f>
        <v>1.7538406402703016E-2</v>
      </c>
      <c r="U55" s="169">
        <f t="shared" ca="1" si="5"/>
        <v>5.5384064027030151E-3</v>
      </c>
      <c r="V55" s="47">
        <f t="shared" ca="1" si="6"/>
        <v>0</v>
      </c>
    </row>
    <row r="56" spans="5:22">
      <c r="E56" s="32">
        <v>55</v>
      </c>
      <c r="F56" s="45">
        <f t="shared" si="0"/>
        <v>0.14666666666666667</v>
      </c>
      <c r="G56" s="45">
        <f t="shared" si="1"/>
        <v>4.3022222222222229E-3</v>
      </c>
      <c r="H56" s="45">
        <f ca="1">F56*F56*('Sheet1 select'!$B$25)*$B$3</f>
        <v>5.8791602118240204E-4</v>
      </c>
      <c r="I56" s="45">
        <f>F56*(1-$B$3)*'Sheet1 select'!$B$41</f>
        <v>2.9333333333333336E-2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3.8739669421487599E-5</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5.1270398535859366E-2</v>
      </c>
      <c r="S56" s="48">
        <f t="shared" ca="1" si="4"/>
        <v>0.9449457444191649</v>
      </c>
      <c r="T56" s="49">
        <f ca="1">H56+K56+O56+N56+'Sheet1 select'!$B$40*I56+J56+P56</f>
        <v>1.7596103310882315E-2</v>
      </c>
      <c r="U56" s="169">
        <f t="shared" ca="1" si="5"/>
        <v>5.5961033108823128E-3</v>
      </c>
      <c r="V56" s="47">
        <f t="shared" ca="1" si="6"/>
        <v>0</v>
      </c>
    </row>
    <row r="57" spans="5:22">
      <c r="E57" s="32">
        <v>56</v>
      </c>
      <c r="F57" s="45">
        <f t="shared" si="0"/>
        <v>0.14933333333333335</v>
      </c>
      <c r="G57" s="45">
        <f t="shared" si="1"/>
        <v>4.4600888888888897E-3</v>
      </c>
      <c r="H57" s="45">
        <f ca="1">F57*F57*('Sheet1 select'!$B$25)*$B$3</f>
        <v>6.0948913799273156E-4</v>
      </c>
      <c r="I57" s="45">
        <f>F57*(1-$B$3)*'Sheet1 select'!$B$41</f>
        <v>2.986666666666667E-2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3.8739669421487599E-5</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5.2019684148846057E-2</v>
      </c>
      <c r="S57" s="48">
        <f t="shared" ca="1" si="4"/>
        <v>0.94512805480874529</v>
      </c>
      <c r="T57" s="49">
        <f ca="1">H57+K57+O57+N57+'Sheet1 select'!$B$40*I57+J57+P57</f>
        <v>1.7654188923869003E-2</v>
      </c>
      <c r="U57" s="169">
        <f t="shared" ca="1" si="5"/>
        <v>5.6541889238690048E-3</v>
      </c>
      <c r="V57" s="47">
        <f t="shared" ca="1" si="6"/>
        <v>0</v>
      </c>
    </row>
    <row r="58" spans="5:22">
      <c r="E58" s="32">
        <v>57</v>
      </c>
      <c r="F58" s="45">
        <f t="shared" si="0"/>
        <v>0.152</v>
      </c>
      <c r="G58" s="45">
        <f t="shared" si="1"/>
        <v>4.6208000000000004E-3</v>
      </c>
      <c r="H58" s="45">
        <f ca="1">F58*F58*('Sheet1 select'!$B$25)*$B$3</f>
        <v>6.3145095961045423E-4</v>
      </c>
      <c r="I58" s="45">
        <f>F58*(1-$B$3)*'Sheet1 select'!$B$41</f>
        <v>3.04E-2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3.8739669421487599E-5</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5.2772202911084587E-2</v>
      </c>
      <c r="S58" s="48">
        <f t="shared" ca="1" si="4"/>
        <v>0.94530086713542238</v>
      </c>
      <c r="T58" s="49">
        <f ca="1">H58+K58+O58+N58+'Sheet1 select'!$B$40*I58+J58+P58</f>
        <v>1.7712663241663089E-2</v>
      </c>
      <c r="U58" s="169">
        <f t="shared" ca="1" si="5"/>
        <v>5.7126632416630895E-3</v>
      </c>
      <c r="V58" s="47">
        <f t="shared" ca="1" si="6"/>
        <v>0</v>
      </c>
    </row>
    <row r="59" spans="5:22">
      <c r="E59" s="32">
        <v>58</v>
      </c>
      <c r="F59" s="45">
        <f t="shared" si="0"/>
        <v>0.15466666666666667</v>
      </c>
      <c r="G59" s="45">
        <f t="shared" si="1"/>
        <v>4.7843555555555561E-3</v>
      </c>
      <c r="H59" s="45">
        <f ca="1">F59*F59*('Sheet1 select'!$B$25)*$B$3</f>
        <v>6.5380148603557038E-4</v>
      </c>
      <c r="I59" s="45">
        <f>F59*(1-$B$3)*'Sheet1 select'!$B$41</f>
        <v>3.0933333333333337E-2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3.8739669421487599E-5</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5.3527954822574955E-2</v>
      </c>
      <c r="S59" s="48">
        <f t="shared" ca="1" si="4"/>
        <v>0.94546466602446289</v>
      </c>
      <c r="T59" s="49">
        <f ca="1">H59+K59+O59+N59+'Sheet1 select'!$B$40*I59+J59+P59</f>
        <v>1.7771526264264568E-2</v>
      </c>
      <c r="U59" s="169">
        <f t="shared" ca="1" si="5"/>
        <v>5.7715262642645676E-3</v>
      </c>
      <c r="V59" s="47">
        <f t="shared" ca="1" si="6"/>
        <v>0</v>
      </c>
    </row>
    <row r="60" spans="5:22">
      <c r="E60" s="32">
        <v>59</v>
      </c>
      <c r="F60" s="45">
        <f t="shared" si="0"/>
        <v>0.15733333333333335</v>
      </c>
      <c r="G60" s="45">
        <f t="shared" si="1"/>
        <v>4.9507555555555575E-3</v>
      </c>
      <c r="H60" s="45">
        <f ca="1">F60*F60*('Sheet1 select'!$B$25)*$B$3</f>
        <v>6.7654071726807989E-4</v>
      </c>
      <c r="I60" s="45">
        <f>F60*(1-$B$3)*'Sheet1 select'!$B$41</f>
        <v>3.1466666666666671E-2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3.8739669421487599E-5</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5.4286939883317148E-2</v>
      </c>
      <c r="S60" s="48">
        <f t="shared" ca="1" si="4"/>
        <v>0.94561990374264304</v>
      </c>
      <c r="T60" s="49">
        <f ca="1">H60+K60+O60+N60+'Sheet1 select'!$B$40*I60+J60+P60</f>
        <v>1.7830777991673437E-2</v>
      </c>
      <c r="U60" s="169">
        <f t="shared" ca="1" si="5"/>
        <v>5.8307779916734383E-3</v>
      </c>
      <c r="V60" s="47">
        <f t="shared" ca="1" si="6"/>
        <v>0</v>
      </c>
    </row>
    <row r="61" spans="5:22">
      <c r="E61" s="32">
        <v>60</v>
      </c>
      <c r="F61" s="45">
        <f t="shared" si="0"/>
        <v>0.16</v>
      </c>
      <c r="G61" s="45">
        <f t="shared" si="1"/>
        <v>5.1200000000000004E-3</v>
      </c>
      <c r="H61" s="45">
        <f ca="1">F61*F61*('Sheet1 select'!$B$25)*$B$3</f>
        <v>6.9966865330798255E-4</v>
      </c>
      <c r="I61" s="45">
        <f>F61*(1-$B$3)*'Sheet1 select'!$B$41</f>
        <v>3.2000000000000001E-2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3.8739669421487599E-5</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5.5049158093311193E-2</v>
      </c>
      <c r="S61" s="48">
        <f t="shared" ca="1" si="4"/>
        <v>0.94576700285460391</v>
      </c>
      <c r="T61" s="49">
        <f ca="1">H61+K61+O61+N61+'Sheet1 select'!$B$40*I61+J61+P61</f>
        <v>1.7890418423889706E-2</v>
      </c>
      <c r="U61" s="169">
        <f t="shared" ca="1" si="5"/>
        <v>5.8904184238897043E-3</v>
      </c>
      <c r="V61" s="47">
        <f t="shared" ca="1" si="6"/>
        <v>0</v>
      </c>
    </row>
    <row r="62" spans="5:22">
      <c r="E62" s="32">
        <v>61</v>
      </c>
      <c r="F62" s="45">
        <f t="shared" si="0"/>
        <v>0.16266666666666668</v>
      </c>
      <c r="G62" s="45">
        <f t="shared" si="1"/>
        <v>5.2920888888888899E-3</v>
      </c>
      <c r="H62" s="45">
        <f ca="1">F62*F62*('Sheet1 select'!$B$25)*$B$3</f>
        <v>7.2318529415527869E-4</v>
      </c>
      <c r="I62" s="45">
        <f>F62*(1-$B$3)*'Sheet1 select'!$B$41</f>
        <v>3.2533333333333338E-2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3.8739669421487599E-5</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5.5814609452557076E-2</v>
      </c>
      <c r="S62" s="48">
        <f t="shared" ca="1" si="4"/>
        <v>0.94590635862175843</v>
      </c>
      <c r="T62" s="49">
        <f ca="1">H62+K62+O62+N62+'Sheet1 select'!$B$40*I62+J62+P62</f>
        <v>1.7950447560913362E-2</v>
      </c>
      <c r="U62" s="169">
        <f t="shared" ca="1" si="5"/>
        <v>5.950447560913362E-3</v>
      </c>
      <c r="V62" s="47">
        <f t="shared" ca="1" si="6"/>
        <v>0</v>
      </c>
    </row>
    <row r="63" spans="5:22">
      <c r="E63" s="32">
        <v>62</v>
      </c>
      <c r="F63" s="45">
        <f t="shared" si="0"/>
        <v>0.16533333333333333</v>
      </c>
      <c r="G63" s="45">
        <f t="shared" si="1"/>
        <v>5.4670222222222217E-3</v>
      </c>
      <c r="H63" s="45">
        <f ca="1">F63*F63*('Sheet1 select'!$B$25)*$B$3</f>
        <v>7.4709063980996798E-4</v>
      </c>
      <c r="I63" s="45">
        <f>F63*(1-$B$3)*'Sheet1 select'!$B$41</f>
        <v>3.3066666666666668E-2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3.8739669421487599E-5</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5.6583293961054798E-2</v>
      </c>
      <c r="S63" s="48">
        <f t="shared" ca="1" si="4"/>
        <v>0.94603834117239294</v>
      </c>
      <c r="T63" s="49">
        <f ca="1">H63+K63+O63+N63+'Sheet1 select'!$B$40*I63+J63+P63</f>
        <v>1.8010865402744415E-2</v>
      </c>
      <c r="U63" s="169">
        <f t="shared" ca="1" si="5"/>
        <v>6.0108654027444131E-3</v>
      </c>
      <c r="V63" s="47">
        <f t="shared" ca="1" si="6"/>
        <v>0</v>
      </c>
    </row>
    <row r="64" spans="5:22">
      <c r="E64" s="32">
        <v>63</v>
      </c>
      <c r="F64" s="45">
        <f t="shared" si="0"/>
        <v>0.16800000000000001</v>
      </c>
      <c r="G64" s="45">
        <f t="shared" si="1"/>
        <v>5.644800000000001E-3</v>
      </c>
      <c r="H64" s="45">
        <f ca="1">F64*F64*('Sheet1 select'!$B$25)*$B$3</f>
        <v>7.7138469027205074E-4</v>
      </c>
      <c r="I64" s="45">
        <f>F64*(1-$B$3)*'Sheet1 select'!$B$41</f>
        <v>3.3600000000000005E-2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3.8739669421487599E-5</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5.7355211618804358E-2</v>
      </c>
      <c r="S64" s="48">
        <f t="shared" ca="1" si="4"/>
        <v>0.94616329746803118</v>
      </c>
      <c r="T64" s="49">
        <f ca="1">H64+K64+O64+N64+'Sheet1 select'!$B$40*I64+J64+P64</f>
        <v>1.8071671949382858E-2</v>
      </c>
      <c r="U64" s="169">
        <f t="shared" ca="1" si="5"/>
        <v>6.0716719493828578E-3</v>
      </c>
      <c r="V64" s="47">
        <f t="shared" ca="1" si="6"/>
        <v>0</v>
      </c>
    </row>
    <row r="65" spans="5:22">
      <c r="E65" s="32">
        <v>64</v>
      </c>
      <c r="F65" s="45">
        <f t="shared" si="0"/>
        <v>0.17066666666666669</v>
      </c>
      <c r="G65" s="45">
        <f t="shared" si="1"/>
        <v>5.8254222222222235E-3</v>
      </c>
      <c r="H65" s="45">
        <f ca="1">F65*F65*('Sheet1 select'!$B$25)*$B$3</f>
        <v>7.9606744554152698E-4</v>
      </c>
      <c r="I65" s="45">
        <f>F65*(1-$B$3)*'Sheet1 select'!$B$41</f>
        <v>3.4133333333333342E-2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3.8739669421487599E-5</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5.8130362425805743E-2</v>
      </c>
      <c r="S65" s="48">
        <f t="shared" ca="1" si="4"/>
        <v>0.94628155308802597</v>
      </c>
      <c r="T65" s="49">
        <f ca="1">H65+K65+O65+N65+'Sheet1 select'!$B$40*I65+J65+P65</f>
        <v>1.8132867200828698E-2</v>
      </c>
      <c r="U65" s="169">
        <f t="shared" ca="1" si="5"/>
        <v>6.1328672008286959E-3</v>
      </c>
      <c r="V65" s="47">
        <f t="shared" ca="1" si="6"/>
        <v>0</v>
      </c>
    </row>
    <row r="66" spans="5:22">
      <c r="E66" s="32">
        <v>65</v>
      </c>
      <c r="F66" s="45">
        <f t="shared" ref="F66:F129" si="7">$B$12*E66/300</f>
        <v>0.17333333333333334</v>
      </c>
      <c r="G66" s="45">
        <f t="shared" ref="G66:G129" si="8">F66*F66*$B$14*0.001*2</f>
        <v>6.0088888888888891E-3</v>
      </c>
      <c r="H66" s="45">
        <f ca="1">F66*F66*('Sheet1 select'!$B$25)*$B$3</f>
        <v>8.2113890561839615E-4</v>
      </c>
      <c r="I66" s="45">
        <f>F66*(1-$B$3)*'Sheet1 select'!$B$41</f>
        <v>3.4666666666666672E-2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3.8739669421487599E-5</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5.890874638205898E-2</v>
      </c>
      <c r="S66" s="48">
        <f t="shared" ref="S66:S129" ca="1" si="11">($B$11*F66)/($B$11*F66+R66)</f>
        <v>0.94639341385169196</v>
      </c>
      <c r="T66" s="49">
        <f ca="1">H66+K66+O66+N66+'Sheet1 select'!$B$40*I66+J66+P66</f>
        <v>1.8194451157081928E-2</v>
      </c>
      <c r="U66" s="169">
        <f t="shared" ref="U66:U129" ca="1" si="12">H66+K66+O66</f>
        <v>6.1944511570819275E-3</v>
      </c>
      <c r="V66" s="47">
        <f t="shared" ref="V66:V129" ca="1" si="13">J66+P66+Q66</f>
        <v>0</v>
      </c>
    </row>
    <row r="67" spans="5:22">
      <c r="E67" s="32">
        <v>66</v>
      </c>
      <c r="F67" s="45">
        <f t="shared" si="7"/>
        <v>0.17600000000000002</v>
      </c>
      <c r="G67" s="45">
        <f t="shared" si="8"/>
        <v>6.1952000000000014E-3</v>
      </c>
      <c r="H67" s="45">
        <f ca="1">F67*F67*('Sheet1 select'!$B$25)*$B$3</f>
        <v>8.4659907050265901E-4</v>
      </c>
      <c r="I67" s="45">
        <f>F67*(1-$B$3)*'Sheet1 select'!$B$41</f>
        <v>3.5200000000000002E-2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3.8739669421487599E-5</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5.9690363487564041E-2</v>
      </c>
      <c r="S67" s="48">
        <f t="shared" ca="1" si="11"/>
        <v>0.94649916729496841</v>
      </c>
      <c r="T67" s="49">
        <f ca="1">H67+K67+O67+N67+'Sheet1 select'!$B$40*I67+J67+P67</f>
        <v>1.8256423818142554E-2</v>
      </c>
      <c r="U67" s="169">
        <f t="shared" ca="1" si="12"/>
        <v>6.2564238181425525E-3</v>
      </c>
      <c r="V67" s="47">
        <f t="shared" ca="1" si="13"/>
        <v>0</v>
      </c>
    </row>
    <row r="68" spans="5:22">
      <c r="E68" s="32">
        <v>67</v>
      </c>
      <c r="F68" s="45">
        <f t="shared" si="7"/>
        <v>0.17866666666666667</v>
      </c>
      <c r="G68" s="45">
        <f t="shared" si="8"/>
        <v>6.384355555555556E-3</v>
      </c>
      <c r="H68" s="45">
        <f ca="1">F68*F68*('Sheet1 select'!$B$25)*$B$3</f>
        <v>8.7244794019431492E-4</v>
      </c>
      <c r="I68" s="45">
        <f>F68*(1-$B$3)*'Sheet1 select'!$B$41</f>
        <v>3.5733333333333332E-2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3.8739669421487599E-5</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6.0475213742320941E-2</v>
      </c>
      <c r="S68" s="48">
        <f t="shared" ca="1" si="11"/>
        <v>0.94659908401661386</v>
      </c>
      <c r="T68" s="49">
        <f ca="1">H68+K68+O68+N68+'Sheet1 select'!$B$40*I68+J68+P68</f>
        <v>1.8318785184010571E-2</v>
      </c>
      <c r="U68" s="169">
        <f t="shared" ca="1" si="12"/>
        <v>6.3187851840105702E-3</v>
      </c>
      <c r="V68" s="47">
        <f t="shared" ca="1" si="13"/>
        <v>0</v>
      </c>
    </row>
    <row r="69" spans="5:22">
      <c r="E69" s="32">
        <v>68</v>
      </c>
      <c r="F69" s="45">
        <f t="shared" si="7"/>
        <v>0.18133333333333335</v>
      </c>
      <c r="G69" s="45">
        <f t="shared" si="8"/>
        <v>6.5763555555555563E-3</v>
      </c>
      <c r="H69" s="45">
        <f ca="1">F69*F69*('Sheet1 select'!$B$25)*$B$3</f>
        <v>8.986855146933643E-4</v>
      </c>
      <c r="I69" s="45">
        <f>F69*(1-$B$3)*'Sheet1 select'!$B$41</f>
        <v>3.6266666666666669E-2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3.8739669421487599E-5</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6.1263297146329693E-2</v>
      </c>
      <c r="S69" s="48">
        <f t="shared" ca="1" si="11"/>
        <v>0.9466934189071825</v>
      </c>
      <c r="T69" s="49">
        <f ca="1">H69+K69+O69+N69+'Sheet1 select'!$B$40*I69+J69+P69</f>
        <v>1.8381535254685982E-2</v>
      </c>
      <c r="U69" s="169">
        <f t="shared" ca="1" si="12"/>
        <v>6.3815352546859813E-3</v>
      </c>
      <c r="V69" s="47">
        <f t="shared" ca="1" si="13"/>
        <v>0</v>
      </c>
    </row>
    <row r="70" spans="5:22">
      <c r="E70" s="32">
        <v>69</v>
      </c>
      <c r="F70" s="45">
        <f t="shared" si="7"/>
        <v>0.184</v>
      </c>
      <c r="G70" s="45">
        <f t="shared" si="8"/>
        <v>6.7711999999999998E-3</v>
      </c>
      <c r="H70" s="45">
        <f ca="1">F70*F70*('Sheet1 select'!$B$25)*$B$3</f>
        <v>9.2531179399980683E-4</v>
      </c>
      <c r="I70" s="45">
        <f>F70*(1-$B$3)*'Sheet1 select'!$B$41</f>
        <v>3.6799999999999999E-2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3.8739669421487599E-5</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6.2054613699590269E-2</v>
      </c>
      <c r="S70" s="48">
        <f t="shared" ca="1" si="11"/>
        <v>0.94678241227252036</v>
      </c>
      <c r="T70" s="49">
        <f ca="1">H70+K70+O70+N70+'Sheet1 select'!$B$40*I70+J70+P70</f>
        <v>1.8444674030168785E-2</v>
      </c>
      <c r="U70" s="169">
        <f t="shared" ca="1" si="12"/>
        <v>6.4446740301687859E-3</v>
      </c>
      <c r="V70" s="47">
        <f t="shared" ca="1" si="13"/>
        <v>0</v>
      </c>
    </row>
    <row r="71" spans="5:22">
      <c r="E71" s="32">
        <v>70</v>
      </c>
      <c r="F71" s="45">
        <f t="shared" si="7"/>
        <v>0.18666666666666668</v>
      </c>
      <c r="G71" s="45">
        <f t="shared" si="8"/>
        <v>6.9688888888888899E-3</v>
      </c>
      <c r="H71" s="45">
        <f ca="1">F71*F71*('Sheet1 select'!$B$25)*$B$3</f>
        <v>9.5232677811364294E-4</v>
      </c>
      <c r="I71" s="45">
        <f>F71*(1-$B$3)*'Sheet1 select'!$B$41</f>
        <v>3.7333333333333336E-2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3.8739669421487599E-5</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6.2849163402102698E-2</v>
      </c>
      <c r="S71" s="48">
        <f t="shared" ca="1" si="11"/>
        <v>0.94686629086219554</v>
      </c>
      <c r="T71" s="49">
        <f ca="1">H71+K71+O71+N71+'Sheet1 select'!$B$40*I71+J71+P71</f>
        <v>1.8508201510458983E-2</v>
      </c>
      <c r="U71" s="169">
        <f t="shared" ca="1" si="12"/>
        <v>6.508201510458984E-3</v>
      </c>
      <c r="V71" s="47">
        <f t="shared" ca="1" si="13"/>
        <v>0</v>
      </c>
    </row>
    <row r="72" spans="5:22">
      <c r="E72" s="32">
        <v>71</v>
      </c>
      <c r="F72" s="45">
        <f t="shared" si="7"/>
        <v>0.18933333333333335</v>
      </c>
      <c r="G72" s="45">
        <f t="shared" si="8"/>
        <v>7.1694222222222249E-3</v>
      </c>
      <c r="H72" s="45">
        <f ca="1">F72*F72*('Sheet1 select'!$B$25)*$B$3</f>
        <v>9.7973046703487242E-4</v>
      </c>
      <c r="I72" s="45">
        <f>F72*(1-$B$3)*'Sheet1 select'!$B$41</f>
        <v>3.7866666666666673E-2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3.8739669421487599E-5</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6.3646946253866965E-2</v>
      </c>
      <c r="S72" s="48">
        <f t="shared" ca="1" si="11"/>
        <v>0.94694526881211427</v>
      </c>
      <c r="T72" s="49">
        <f ca="1">H72+K72+O72+N72+'Sheet1 select'!$B$40*I72+J72+P72</f>
        <v>1.8572117695556577E-2</v>
      </c>
      <c r="U72" s="169">
        <f t="shared" ca="1" si="12"/>
        <v>6.5721176955565765E-3</v>
      </c>
      <c r="V72" s="47">
        <f t="shared" ca="1" si="13"/>
        <v>0</v>
      </c>
    </row>
    <row r="73" spans="5:22">
      <c r="E73" s="32">
        <v>72</v>
      </c>
      <c r="F73" s="45">
        <f t="shared" si="7"/>
        <v>0.192</v>
      </c>
      <c r="G73" s="45">
        <f t="shared" si="8"/>
        <v>7.3727999999999997E-3</v>
      </c>
      <c r="H73" s="45">
        <f ca="1">F73*F73*('Sheet1 select'!$B$25)*$B$3</f>
        <v>1.0075228607634948E-3</v>
      </c>
      <c r="I73" s="45">
        <f>F73*(1-$B$3)*'Sheet1 select'!$B$41</f>
        <v>3.8400000000000004E-2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3.8739669421487599E-5</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6.4447962254883057E-2</v>
      </c>
      <c r="S73" s="48">
        <f t="shared" ca="1" si="11"/>
        <v>0.94701954850956527</v>
      </c>
      <c r="T73" s="49">
        <f ca="1">H73+K73+O73+N73+'Sheet1 select'!$B$40*I73+J73+P73</f>
        <v>1.8636422585461561E-2</v>
      </c>
      <c r="U73" s="169">
        <f t="shared" ca="1" si="12"/>
        <v>6.6364225854615598E-3</v>
      </c>
      <c r="V73" s="47">
        <f t="shared" ca="1" si="13"/>
        <v>0</v>
      </c>
    </row>
    <row r="74" spans="5:22">
      <c r="E74" s="32">
        <v>73</v>
      </c>
      <c r="F74" s="45">
        <f t="shared" si="7"/>
        <v>0.19466666666666668</v>
      </c>
      <c r="G74" s="45">
        <f t="shared" si="8"/>
        <v>7.5790222222222228E-3</v>
      </c>
      <c r="H74" s="45">
        <f ca="1">F74*F74*('Sheet1 select'!$B$25)*$B$3</f>
        <v>1.0357039592995109E-3</v>
      </c>
      <c r="I74" s="45">
        <f>F74*(1-$B$3)*'Sheet1 select'!$B$41</f>
        <v>3.8933333333333341E-2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3.8739669421487599E-5</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6.5252211405150987E-2</v>
      </c>
      <c r="S74" s="48">
        <f t="shared" ca="1" si="11"/>
        <v>0.9470893213880367</v>
      </c>
      <c r="T74" s="49">
        <f ca="1">H74+K74+O74+N74+'Sheet1 select'!$B$40*I74+J74+P74</f>
        <v>1.8701116180173939E-2</v>
      </c>
      <c r="U74" s="169">
        <f t="shared" ca="1" si="12"/>
        <v>6.7011161801739383E-3</v>
      </c>
      <c r="V74" s="47">
        <f t="shared" ca="1" si="13"/>
        <v>0</v>
      </c>
    </row>
    <row r="75" spans="5:22">
      <c r="E75" s="32">
        <v>74</v>
      </c>
      <c r="F75" s="45">
        <f t="shared" si="7"/>
        <v>0.19733333333333333</v>
      </c>
      <c r="G75" s="45">
        <f t="shared" si="8"/>
        <v>7.788088888888889E-3</v>
      </c>
      <c r="H75" s="45">
        <f ca="1">F75*F75*('Sheet1 select'!$B$25)*$B$3</f>
        <v>1.0642737626429201E-3</v>
      </c>
      <c r="I75" s="45">
        <f>F75*(1-$B$3)*'Sheet1 select'!$B$41</f>
        <v>3.9466666666666671E-2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3.8739669421487599E-5</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6.6059693704670755E-2</v>
      </c>
      <c r="S75" s="48">
        <f t="shared" ca="1" si="11"/>
        <v>0.94715476865836978</v>
      </c>
      <c r="T75" s="49">
        <f ca="1">H75+K75+O75+N75+'Sheet1 select'!$B$40*I75+J75+P75</f>
        <v>1.876619847969371E-2</v>
      </c>
      <c r="U75" s="169">
        <f t="shared" ca="1" si="12"/>
        <v>6.7661984796937094E-3</v>
      </c>
      <c r="V75" s="47">
        <f t="shared" ca="1" si="13"/>
        <v>0</v>
      </c>
    </row>
    <row r="76" spans="5:22">
      <c r="E76" s="32">
        <v>75</v>
      </c>
      <c r="F76" s="45">
        <f t="shared" si="7"/>
        <v>0.2</v>
      </c>
      <c r="G76" s="45">
        <f t="shared" si="8"/>
        <v>8.0000000000000019E-3</v>
      </c>
      <c r="H76" s="45">
        <f ca="1">F76*F76*('Sheet1 select'!$B$25)*$B$3</f>
        <v>1.0932322707937229E-3</v>
      </c>
      <c r="I76" s="45">
        <f>F76*(1-$B$3)*'Sheet1 select'!$B$41</f>
        <v>4.0000000000000008E-2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3.8739669421487599E-5</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6.6870409153442376E-2</v>
      </c>
      <c r="S76" s="48">
        <f t="shared" ca="1" si="11"/>
        <v>0.94721606198211927</v>
      </c>
      <c r="T76" s="49">
        <f ca="1">H76+K76+O76+N76+'Sheet1 select'!$B$40*I76+J76+P76</f>
        <v>1.8831669484020874E-2</v>
      </c>
      <c r="U76" s="169">
        <f t="shared" ca="1" si="12"/>
        <v>6.831669484020874E-3</v>
      </c>
      <c r="V76" s="47">
        <f t="shared" ca="1" si="13"/>
        <v>0</v>
      </c>
    </row>
    <row r="77" spans="5:22">
      <c r="E77" s="32">
        <v>76</v>
      </c>
      <c r="F77" s="45">
        <f t="shared" si="7"/>
        <v>0.20266666666666669</v>
      </c>
      <c r="G77" s="45">
        <f t="shared" si="8"/>
        <v>8.2147555555555571E-3</v>
      </c>
      <c r="H77" s="45">
        <f ca="1">F77*F77*('Sheet1 select'!$B$25)*$B$3</f>
        <v>1.1225794837519188E-3</v>
      </c>
      <c r="I77" s="45">
        <f>F77*(1-$B$3)*'Sheet1 select'!$B$41</f>
        <v>4.0533333333333338E-2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3.8739669421487599E-5</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6.7684357751465821E-2</v>
      </c>
      <c r="S77" s="48">
        <f t="shared" ca="1" si="11"/>
        <v>0.94727336409238205</v>
      </c>
      <c r="T77" s="49">
        <f ca="1">H77+K77+O77+N77+'Sheet1 select'!$B$40*I77+J77+P77</f>
        <v>1.8897529193155432E-2</v>
      </c>
      <c r="U77" s="169">
        <f t="shared" ca="1" si="12"/>
        <v>6.8975291931554321E-3</v>
      </c>
      <c r="V77" s="47">
        <f t="shared" ca="1" si="13"/>
        <v>0</v>
      </c>
    </row>
    <row r="78" spans="5:22">
      <c r="E78" s="32">
        <v>77</v>
      </c>
      <c r="F78" s="45">
        <f t="shared" si="7"/>
        <v>0.20533333333333334</v>
      </c>
      <c r="G78" s="45">
        <f t="shared" si="8"/>
        <v>8.4323555555555554E-3</v>
      </c>
      <c r="H78" s="45">
        <f ca="1">F78*F78*('Sheet1 select'!$B$25)*$B$3</f>
        <v>1.1523154015175079E-3</v>
      </c>
      <c r="I78" s="45">
        <f>F78*(1-$B$3)*'Sheet1 select'!$B$41</f>
        <v>4.1066666666666668E-2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3.8739669421487599E-5</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6.850153949874109E-2</v>
      </c>
      <c r="S78" s="48">
        <f t="shared" ca="1" si="11"/>
        <v>0.94732682936681178</v>
      </c>
      <c r="T78" s="49">
        <f ca="1">H78+K78+O78+N78+'Sheet1 select'!$B$40*I78+J78+P78</f>
        <v>1.8963777607097384E-2</v>
      </c>
      <c r="U78" s="169">
        <f t="shared" ca="1" si="12"/>
        <v>6.9637776070973836E-3</v>
      </c>
      <c r="V78" s="47">
        <f t="shared" ca="1" si="13"/>
        <v>0</v>
      </c>
    </row>
    <row r="79" spans="5:22">
      <c r="E79" s="32">
        <v>78</v>
      </c>
      <c r="F79" s="45">
        <f t="shared" si="7"/>
        <v>0.20800000000000002</v>
      </c>
      <c r="G79" s="45">
        <f t="shared" si="8"/>
        <v>8.6528000000000022E-3</v>
      </c>
      <c r="H79" s="45">
        <f ca="1">F79*F79*('Sheet1 select'!$B$25)*$B$3</f>
        <v>1.1824400240904908E-3</v>
      </c>
      <c r="I79" s="45">
        <f>F79*(1-$B$3)*'Sheet1 select'!$B$41</f>
        <v>4.1600000000000005E-2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3.8739669421487599E-5</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6.9321954395268226E-2</v>
      </c>
      <c r="S79" s="48">
        <f t="shared" ca="1" si="11"/>
        <v>0.94737660435706383</v>
      </c>
      <c r="T79" s="49">
        <f ca="1">H79+K79+O79+N79+'Sheet1 select'!$B$40*I79+J79+P79</f>
        <v>1.9030414725846729E-2</v>
      </c>
      <c r="U79" s="169">
        <f t="shared" ca="1" si="12"/>
        <v>7.0304147258467287E-3</v>
      </c>
      <c r="V79" s="47">
        <f t="shared" ca="1" si="13"/>
        <v>0</v>
      </c>
    </row>
    <row r="80" spans="5:22">
      <c r="E80" s="32">
        <v>79</v>
      </c>
      <c r="F80" s="45">
        <f t="shared" si="7"/>
        <v>0.21066666666666667</v>
      </c>
      <c r="G80" s="45">
        <f t="shared" si="8"/>
        <v>8.8760888888888886E-3</v>
      </c>
      <c r="H80" s="45">
        <f ca="1">F80*F80*('Sheet1 select'!$B$25)*$B$3</f>
        <v>1.2129533514708664E-3</v>
      </c>
      <c r="I80" s="45">
        <f>F80*(1-$B$3)*'Sheet1 select'!$B$41</f>
        <v>4.2133333333333335E-2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3.8739669421487599E-5</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7.0145602441047186E-2</v>
      </c>
      <c r="S80" s="48">
        <f t="shared" ca="1" si="11"/>
        <v>0.9474228282784849</v>
      </c>
      <c r="T80" s="49">
        <f ca="1">H80+K80+O80+N80+'Sheet1 select'!$B$40*I80+J80+P80</f>
        <v>1.9097440549403467E-2</v>
      </c>
      <c r="U80" s="169">
        <f t="shared" ca="1" si="12"/>
        <v>7.0974405494034663E-3</v>
      </c>
      <c r="V80" s="47">
        <f t="shared" ca="1" si="13"/>
        <v>0</v>
      </c>
    </row>
    <row r="81" spans="5:22">
      <c r="E81" s="32">
        <v>80</v>
      </c>
      <c r="F81" s="45">
        <f t="shared" si="7"/>
        <v>0.21333333333333335</v>
      </c>
      <c r="G81" s="45">
        <f t="shared" si="8"/>
        <v>9.1022222222222234E-3</v>
      </c>
      <c r="H81" s="45">
        <f ca="1">F81*F81*('Sheet1 select'!$B$25)*$B$3</f>
        <v>1.2438553836586358E-3</v>
      </c>
      <c r="I81" s="45">
        <f>F81*(1-$B$3)*'Sheet1 select'!$B$41</f>
        <v>4.2666666666666672E-2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3.8739669421487599E-5</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7.0972483636077985E-2</v>
      </c>
      <c r="S81" s="48">
        <f t="shared" ca="1" si="11"/>
        <v>0.94746563346348933</v>
      </c>
      <c r="T81" s="49">
        <f ca="1">H81+K81+O81+N81+'Sheet1 select'!$B$40*I81+J81+P81</f>
        <v>1.9164855077767596E-2</v>
      </c>
      <c r="U81" s="169">
        <f t="shared" ca="1" si="12"/>
        <v>7.1648550777675965E-3</v>
      </c>
      <c r="V81" s="47">
        <f t="shared" ca="1" si="13"/>
        <v>0</v>
      </c>
    </row>
    <row r="82" spans="5:22">
      <c r="E82" s="32">
        <v>81</v>
      </c>
      <c r="F82" s="45">
        <f t="shared" si="7"/>
        <v>0.216</v>
      </c>
      <c r="G82" s="45">
        <f t="shared" si="8"/>
        <v>9.3311999999999996E-3</v>
      </c>
      <c r="H82" s="45">
        <f ca="1">F82*F82*('Sheet1 select'!$B$25)*$B$3</f>
        <v>1.2751461206537979E-3</v>
      </c>
      <c r="I82" s="45">
        <f>F82*(1-$B$3)*'Sheet1 select'!$B$41</f>
        <v>4.3200000000000002E-2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3.8739669421487599E-5</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7.1802597980360608E-2</v>
      </c>
      <c r="S82" s="48">
        <f t="shared" ca="1" si="11"/>
        <v>0.94750514578172218</v>
      </c>
      <c r="T82" s="49">
        <f ca="1">H82+K82+O82+N82+'Sheet1 select'!$B$40*I82+J82+P82</f>
        <v>1.9232658310939121E-2</v>
      </c>
      <c r="U82" s="169">
        <f t="shared" ca="1" si="12"/>
        <v>7.2326583109391211E-3</v>
      </c>
      <c r="V82" s="47">
        <f t="shared" ca="1" si="13"/>
        <v>0</v>
      </c>
    </row>
    <row r="83" spans="5:22">
      <c r="E83" s="32">
        <v>82</v>
      </c>
      <c r="F83" s="45">
        <f t="shared" si="7"/>
        <v>0.2186666666666667</v>
      </c>
      <c r="G83" s="45">
        <f t="shared" si="8"/>
        <v>9.5630222222222241E-3</v>
      </c>
      <c r="H83" s="45">
        <f ca="1">F83*F83*('Sheet1 select'!$B$25)*$B$3</f>
        <v>1.3068255624563545E-3</v>
      </c>
      <c r="I83" s="45">
        <f>F83*(1-$B$3)*'Sheet1 select'!$B$41</f>
        <v>4.3733333333333346E-2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3.8739669421487599E-5</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7.2635945473895097E-2</v>
      </c>
      <c r="S83" s="48">
        <f t="shared" ca="1" si="11"/>
        <v>0.9475414850298175</v>
      </c>
      <c r="T83" s="49">
        <f ca="1">H83+K83+O83+N83+'Sheet1 select'!$B$40*I83+J83+P83</f>
        <v>1.930085024891804E-2</v>
      </c>
      <c r="U83" s="169">
        <f t="shared" ca="1" si="12"/>
        <v>7.3008502489180409E-3</v>
      </c>
      <c r="V83" s="47">
        <f t="shared" ca="1" si="13"/>
        <v>0</v>
      </c>
    </row>
    <row r="84" spans="5:22">
      <c r="E84" s="32">
        <v>83</v>
      </c>
      <c r="F84" s="45">
        <f t="shared" si="7"/>
        <v>0.22133333333333335</v>
      </c>
      <c r="G84" s="45">
        <f t="shared" si="8"/>
        <v>9.7976888888888902E-3</v>
      </c>
      <c r="H84" s="45">
        <f ca="1">F84*F84*('Sheet1 select'!$B$25)*$B$3</f>
        <v>1.3388937090663034E-3</v>
      </c>
      <c r="I84" s="45">
        <f>F84*(1-$B$3)*'Sheet1 select'!$B$41</f>
        <v>4.4266666666666676E-2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3.8739669421487599E-5</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7.3472526116681411E-2</v>
      </c>
      <c r="S84" s="48">
        <f t="shared" ca="1" si="11"/>
        <v>0.94757476529328388</v>
      </c>
      <c r="T84" s="49">
        <f ca="1">H84+K84+O84+N84+'Sheet1 select'!$B$40*I84+J84+P84</f>
        <v>1.9369430891704353E-2</v>
      </c>
      <c r="U84" s="169">
        <f t="shared" ca="1" si="12"/>
        <v>7.3694308917043516E-3</v>
      </c>
      <c r="V84" s="47">
        <f t="shared" ca="1" si="13"/>
        <v>0</v>
      </c>
    </row>
    <row r="85" spans="5:22">
      <c r="E85" s="32">
        <v>84</v>
      </c>
      <c r="F85" s="45">
        <f t="shared" si="7"/>
        <v>0.224</v>
      </c>
      <c r="G85" s="45">
        <f t="shared" si="8"/>
        <v>1.0035200000000001E-2</v>
      </c>
      <c r="H85" s="45">
        <f ca="1">F85*F85*('Sheet1 select'!$B$25)*$B$3</f>
        <v>1.371350560483646E-3</v>
      </c>
      <c r="I85" s="45">
        <f>F85*(1-$B$3)*'Sheet1 select'!$B$41</f>
        <v>4.4800000000000006E-2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3.8739669421487599E-5</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7.4312339908719549E-2</v>
      </c>
      <c r="S85" s="48">
        <f t="shared" ca="1" si="11"/>
        <v>0.94760509528281889</v>
      </c>
      <c r="T85" s="49">
        <f ca="1">H85+K85+O85+N85+'Sheet1 select'!$B$40*I85+J85+P85</f>
        <v>1.9438400239298055E-2</v>
      </c>
      <c r="U85" s="169">
        <f t="shared" ca="1" si="12"/>
        <v>7.4384002392980549E-3</v>
      </c>
      <c r="V85" s="47">
        <f t="shared" ca="1" si="13"/>
        <v>0</v>
      </c>
    </row>
    <row r="86" spans="5:22">
      <c r="E86" s="32">
        <v>85</v>
      </c>
      <c r="F86" s="45">
        <f t="shared" si="7"/>
        <v>0.22666666666666666</v>
      </c>
      <c r="G86" s="45">
        <f t="shared" si="8"/>
        <v>1.0275555555555555E-2</v>
      </c>
      <c r="H86" s="45">
        <f ca="1">F86*F86*('Sheet1 select'!$B$25)*$B$3</f>
        <v>1.4041961167083814E-3</v>
      </c>
      <c r="I86" s="45">
        <f>F86*(1-$B$3)*'Sheet1 select'!$B$41</f>
        <v>4.5333333333333337E-2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3.8739669421487599E-5</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7.5155386850009526E-2</v>
      </c>
      <c r="S86" s="48">
        <f t="shared" ca="1" si="11"/>
        <v>0.94763257864713424</v>
      </c>
      <c r="T86" s="49">
        <f ca="1">H86+K86+O86+N86+'Sheet1 select'!$B$40*I86+J86+P86</f>
        <v>1.9507758291699151E-2</v>
      </c>
      <c r="U86" s="169">
        <f t="shared" ca="1" si="12"/>
        <v>7.5077582916991525E-3</v>
      </c>
      <c r="V86" s="47">
        <f t="shared" ca="1" si="13"/>
        <v>0</v>
      </c>
    </row>
    <row r="87" spans="5:22">
      <c r="E87" s="32">
        <v>86</v>
      </c>
      <c r="F87" s="45">
        <f t="shared" si="7"/>
        <v>0.22933333333333333</v>
      </c>
      <c r="G87" s="45">
        <f t="shared" si="8"/>
        <v>1.0518755555555556E-2</v>
      </c>
      <c r="H87" s="45">
        <f ca="1">F87*F87*('Sheet1 select'!$B$25)*$B$3</f>
        <v>1.4374303777405109E-3</v>
      </c>
      <c r="I87" s="45">
        <f>F87*(1-$B$3)*'Sheet1 select'!$B$41</f>
        <v>4.5866666666666667E-2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3.8739669421487599E-5</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7.6001666940551355E-2</v>
      </c>
      <c r="S87" s="48">
        <f t="shared" ca="1" si="11"/>
        <v>0.9476573142641832</v>
      </c>
      <c r="T87" s="49">
        <f ca="1">H87+K87+O87+N87+'Sheet1 select'!$B$40*I87+J87+P87</f>
        <v>1.9577505048907644E-2</v>
      </c>
      <c r="U87" s="169">
        <f t="shared" ca="1" si="12"/>
        <v>7.5775050489076444E-3</v>
      </c>
      <c r="V87" s="47">
        <f t="shared" ca="1" si="13"/>
        <v>0</v>
      </c>
    </row>
    <row r="88" spans="5:22">
      <c r="E88" s="32">
        <v>87</v>
      </c>
      <c r="F88" s="45">
        <f t="shared" si="7"/>
        <v>0.23200000000000004</v>
      </c>
      <c r="G88" s="45">
        <f t="shared" si="8"/>
        <v>1.0764800000000003E-2</v>
      </c>
      <c r="H88" s="45">
        <f ca="1">F88*F88*('Sheet1 select'!$B$25)*$B$3</f>
        <v>1.4710533435800337E-3</v>
      </c>
      <c r="I88" s="45">
        <f>F88*(1-$B$3)*'Sheet1 select'!$B$41</f>
        <v>4.6400000000000011E-2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3.8739669421487599E-5</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7.6851180180345036E-2</v>
      </c>
      <c r="S88" s="48">
        <f t="shared" ca="1" si="11"/>
        <v>0.94767939651251165</v>
      </c>
      <c r="T88" s="49">
        <f ca="1">H88+K88+O88+N88+'Sheet1 select'!$B$40*I88+J88+P88</f>
        <v>1.964764051092353E-2</v>
      </c>
      <c r="U88" s="169">
        <f t="shared" ca="1" si="12"/>
        <v>7.647640510923529E-3</v>
      </c>
      <c r="V88" s="47">
        <f t="shared" ca="1" si="13"/>
        <v>0</v>
      </c>
    </row>
    <row r="89" spans="5:22">
      <c r="E89" s="32">
        <v>88</v>
      </c>
      <c r="F89" s="45">
        <f t="shared" si="7"/>
        <v>0.23466666666666669</v>
      </c>
      <c r="G89" s="45">
        <f t="shared" si="8"/>
        <v>1.1013688888888892E-2</v>
      </c>
      <c r="H89" s="45">
        <f ca="1">F89*F89*('Sheet1 select'!$B$25)*$B$3</f>
        <v>1.5050650142269494E-3</v>
      </c>
      <c r="I89" s="45">
        <f>F89*(1-$B$3)*'Sheet1 select'!$B$41</f>
        <v>4.6933333333333341E-2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3.8739669421487599E-5</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7.7703926569390527E-2</v>
      </c>
      <c r="S89" s="48">
        <f t="shared" ca="1" si="11"/>
        <v>0.94769891552429619</v>
      </c>
      <c r="T89" s="49">
        <f ca="1">H89+K89+O89+N89+'Sheet1 select'!$B$40*I89+J89+P89</f>
        <v>1.9718164677746806E-2</v>
      </c>
      <c r="U89" s="169">
        <f t="shared" ca="1" si="12"/>
        <v>7.718164677746807E-3</v>
      </c>
      <c r="V89" s="47">
        <f t="shared" ca="1" si="13"/>
        <v>0</v>
      </c>
    </row>
    <row r="90" spans="5:22">
      <c r="E90" s="32">
        <v>89</v>
      </c>
      <c r="F90" s="45">
        <f t="shared" si="7"/>
        <v>0.23733333333333334</v>
      </c>
      <c r="G90" s="45">
        <f t="shared" si="8"/>
        <v>1.1265422222222222E-2</v>
      </c>
      <c r="H90" s="45">
        <f ca="1">F90*F90*('Sheet1 select'!$B$25)*$B$3</f>
        <v>1.5394653896812582E-3</v>
      </c>
      <c r="I90" s="45">
        <f>F90*(1-$B$3)*'Sheet1 select'!$B$41</f>
        <v>4.7466666666666671E-2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3.8739669421487599E-5</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7.8559906107687857E-2</v>
      </c>
      <c r="S90" s="48">
        <f t="shared" ca="1" si="11"/>
        <v>0.94771595742149561</v>
      </c>
      <c r="T90" s="49">
        <f ca="1">H90+K90+O90+N90+'Sheet1 select'!$B$40*I90+J90+P90</f>
        <v>1.9789077549377476E-2</v>
      </c>
      <c r="U90" s="169">
        <f t="shared" ca="1" si="12"/>
        <v>7.7890775493774777E-3</v>
      </c>
      <c r="V90" s="47">
        <f t="shared" ca="1" si="13"/>
        <v>0</v>
      </c>
    </row>
    <row r="91" spans="5:22">
      <c r="E91" s="32">
        <v>90</v>
      </c>
      <c r="F91" s="45">
        <f t="shared" si="7"/>
        <v>0.24</v>
      </c>
      <c r="G91" s="45">
        <f t="shared" si="8"/>
        <v>1.1519999999999999E-2</v>
      </c>
      <c r="H91" s="45">
        <f ca="1">F91*F91*('Sheet1 select'!$B$25)*$B$3</f>
        <v>1.5742544699429606E-3</v>
      </c>
      <c r="I91" s="45">
        <f>F91*(1-$B$3)*'Sheet1 select'!$B$41</f>
        <v>4.8000000000000001E-2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3.8739669421487599E-5</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7.9419118795237026E-2</v>
      </c>
      <c r="S91" s="48">
        <f t="shared" ca="1" si="11"/>
        <v>0.947730604536417</v>
      </c>
      <c r="T91" s="49">
        <f ca="1">H91+K91+O91+N91+'Sheet1 select'!$B$40*I91+J91+P91</f>
        <v>1.9860379125815543E-2</v>
      </c>
      <c r="U91" s="169">
        <f t="shared" ca="1" si="12"/>
        <v>7.8603791258155427E-3</v>
      </c>
      <c r="V91" s="47">
        <f t="shared" ca="1" si="13"/>
        <v>0</v>
      </c>
    </row>
    <row r="92" spans="5:22">
      <c r="E92" s="32">
        <v>91</v>
      </c>
      <c r="F92" s="45">
        <f t="shared" si="7"/>
        <v>0.24266666666666667</v>
      </c>
      <c r="G92" s="45">
        <f t="shared" si="8"/>
        <v>1.1777422222222222E-2</v>
      </c>
      <c r="H92" s="45">
        <f ca="1">F92*F92*('Sheet1 select'!$B$25)*$B$3</f>
        <v>1.6094322550120564E-3</v>
      </c>
      <c r="I92" s="45">
        <f>F92*(1-$B$3)*'Sheet1 select'!$B$41</f>
        <v>4.8533333333333338E-2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3.8739669421487599E-5</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8.0281564632038047E-2</v>
      </c>
      <c r="S92" s="48">
        <f t="shared" ca="1" si="11"/>
        <v>0.94774293561788159</v>
      </c>
      <c r="T92" s="49">
        <f ca="1">H92+K92+O92+N92+'Sheet1 select'!$B$40*I92+J92+P92</f>
        <v>1.9932069407061E-2</v>
      </c>
      <c r="U92" s="169">
        <f t="shared" ca="1" si="12"/>
        <v>7.9320694070609994E-3</v>
      </c>
      <c r="V92" s="47">
        <f t="shared" ca="1" si="13"/>
        <v>0</v>
      </c>
    </row>
    <row r="93" spans="5:22">
      <c r="E93" s="32">
        <v>92</v>
      </c>
      <c r="F93" s="45">
        <f t="shared" si="7"/>
        <v>0.24533333333333338</v>
      </c>
      <c r="G93" s="45">
        <f t="shared" si="8"/>
        <v>1.2037688888888894E-2</v>
      </c>
      <c r="H93" s="45">
        <f ca="1">F93*F93*('Sheet1 select'!$B$25)*$B$3</f>
        <v>1.6449987448885462E-3</v>
      </c>
      <c r="I93" s="45">
        <f>F93*(1-$B$3)*'Sheet1 select'!$B$41</f>
        <v>4.9066666666666675E-2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3.8739669421487599E-5</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8.114724361809092E-2</v>
      </c>
      <c r="S93" s="48">
        <f t="shared" ca="1" si="11"/>
        <v>0.94775302602407707</v>
      </c>
      <c r="T93" s="49">
        <f ca="1">H93+K93+O93+N93+'Sheet1 select'!$B$40*I93+J93+P93</f>
        <v>2.0004148393113853E-2</v>
      </c>
      <c r="U93" s="169">
        <f t="shared" ca="1" si="12"/>
        <v>8.0041483931138531E-3</v>
      </c>
      <c r="V93" s="47">
        <f t="shared" ca="1" si="13"/>
        <v>0</v>
      </c>
    </row>
    <row r="94" spans="5:22">
      <c r="E94" s="32">
        <v>93</v>
      </c>
      <c r="F94" s="45">
        <f t="shared" si="7"/>
        <v>0.24800000000000003</v>
      </c>
      <c r="G94" s="45">
        <f t="shared" si="8"/>
        <v>1.2300800000000002E-2</v>
      </c>
      <c r="H94" s="45">
        <f ca="1">F94*F94*('Sheet1 select'!$B$25)*$B$3</f>
        <v>1.6809539395724283E-3</v>
      </c>
      <c r="I94" s="45">
        <f>F94*(1-$B$3)*'Sheet1 select'!$B$41</f>
        <v>4.9600000000000005E-2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3.8739669421487599E-5</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8.2016155753395589E-2</v>
      </c>
      <c r="S94" s="48">
        <f t="shared" ca="1" si="11"/>
        <v>0.94776094790308774</v>
      </c>
      <c r="T94" s="49">
        <f ca="1">H94+K94+O94+N94+'Sheet1 select'!$B$40*I94+J94+P94</f>
        <v>2.0076616083974097E-2</v>
      </c>
      <c r="U94" s="169">
        <f t="shared" ca="1" si="12"/>
        <v>8.0766160839740968E-3</v>
      </c>
      <c r="V94" s="47">
        <f t="shared" ca="1" si="13"/>
        <v>0</v>
      </c>
    </row>
    <row r="95" spans="5:22">
      <c r="E95" s="32">
        <v>94</v>
      </c>
      <c r="F95" s="45">
        <f t="shared" si="7"/>
        <v>0.25066666666666665</v>
      </c>
      <c r="G95" s="45">
        <f t="shared" si="8"/>
        <v>1.2566755555555552E-2</v>
      </c>
      <c r="H95" s="45">
        <f ca="1">F95*F95*('Sheet1 select'!$B$25)*$B$3</f>
        <v>1.7172978390637035E-3</v>
      </c>
      <c r="I95" s="45">
        <f>F95*(1-$B$3)*'Sheet1 select'!$B$41</f>
        <v>5.0133333333333335E-2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3.8739669421487599E-5</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8.2888301037952111E-2</v>
      </c>
      <c r="S95" s="48">
        <f t="shared" ca="1" si="11"/>
        <v>0.94776677036201185</v>
      </c>
      <c r="T95" s="49">
        <f ca="1">H95+K95+O95+N95+'Sheet1 select'!$B$40*I95+J95+P95</f>
        <v>2.0149472479641734E-2</v>
      </c>
      <c r="U95" s="169">
        <f t="shared" ca="1" si="12"/>
        <v>8.1494724796417339E-3</v>
      </c>
      <c r="V95" s="47">
        <f t="shared" ca="1" si="13"/>
        <v>0</v>
      </c>
    </row>
    <row r="96" spans="5:22">
      <c r="E96" s="32">
        <v>95</v>
      </c>
      <c r="F96" s="45">
        <f t="shared" si="7"/>
        <v>0.25333333333333335</v>
      </c>
      <c r="G96" s="45">
        <f t="shared" si="8"/>
        <v>1.2835555555555558E-2</v>
      </c>
      <c r="H96" s="45">
        <f ca="1">F96*F96*('Sheet1 select'!$B$25)*$B$3</f>
        <v>1.7540304433623732E-3</v>
      </c>
      <c r="I96" s="45">
        <f>F96*(1-$B$3)*'Sheet1 select'!$B$41</f>
        <v>5.0666666666666672E-2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3.8739669421487599E-5</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8.3763679471760485E-2</v>
      </c>
      <c r="S96" s="48">
        <f t="shared" ca="1" si="11"/>
        <v>0.94777055962549916</v>
      </c>
      <c r="T96" s="49">
        <f ca="1">H96+K96+O96+N96+'Sheet1 select'!$B$40*I96+J96+P96</f>
        <v>2.0222717580116765E-2</v>
      </c>
      <c r="U96" s="169">
        <f t="shared" ca="1" si="12"/>
        <v>8.2227175801167646E-3</v>
      </c>
      <c r="V96" s="47">
        <f t="shared" ca="1" si="13"/>
        <v>0</v>
      </c>
    </row>
    <row r="97" spans="5:22">
      <c r="E97" s="32">
        <v>96</v>
      </c>
      <c r="F97" s="45">
        <f t="shared" si="7"/>
        <v>0.25600000000000006</v>
      </c>
      <c r="G97" s="45">
        <f t="shared" si="8"/>
        <v>1.3107200000000005E-2</v>
      </c>
      <c r="H97" s="45">
        <f ca="1">F97*F97*('Sheet1 select'!$B$25)*$B$3</f>
        <v>1.7911517524684358E-3</v>
      </c>
      <c r="I97" s="45">
        <f>F97*(1-$B$3)*'Sheet1 select'!$B$41</f>
        <v>5.1200000000000016E-2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3.8739669421487599E-5</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8.4642291054820698E-2</v>
      </c>
      <c r="S97" s="48">
        <f t="shared" ca="1" si="11"/>
        <v>0.94777237918447133</v>
      </c>
      <c r="T97" s="49">
        <f ca="1">H97+K97+O97+N97+'Sheet1 select'!$B$40*I97+J97+P97</f>
        <v>2.0296351385399189E-2</v>
      </c>
      <c r="U97" s="169">
        <f t="shared" ca="1" si="12"/>
        <v>8.2963513853991904E-3</v>
      </c>
      <c r="V97" s="47">
        <f t="shared" ca="1" si="13"/>
        <v>0</v>
      </c>
    </row>
    <row r="98" spans="5:22">
      <c r="E98" s="32">
        <v>97</v>
      </c>
      <c r="F98" s="45">
        <f t="shared" si="7"/>
        <v>0.25866666666666671</v>
      </c>
      <c r="G98" s="45">
        <f t="shared" si="8"/>
        <v>1.3381688888888894E-2</v>
      </c>
      <c r="H98" s="45">
        <f ca="1">F98*F98*('Sheet1 select'!$B$25)*$B$3</f>
        <v>1.8286617663818914E-3</v>
      </c>
      <c r="I98" s="45">
        <f>F98*(1-$B$3)*'Sheet1 select'!$B$41</f>
        <v>5.1733333333333346E-2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3.8739669421487599E-5</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8.5524135787132735E-2</v>
      </c>
      <c r="S98" s="48">
        <f t="shared" ca="1" si="11"/>
        <v>0.94777228993573115</v>
      </c>
      <c r="T98" s="49">
        <f ca="1">H98+K98+O98+N98+'Sheet1 select'!$B$40*I98+J98+P98</f>
        <v>2.0370373895489007E-2</v>
      </c>
      <c r="U98" s="169">
        <f t="shared" ca="1" si="12"/>
        <v>8.370373895489008E-3</v>
      </c>
      <c r="V98" s="47">
        <f t="shared" ca="1" si="13"/>
        <v>0</v>
      </c>
    </row>
    <row r="99" spans="5:22">
      <c r="E99" s="32">
        <v>98</v>
      </c>
      <c r="F99" s="45">
        <f t="shared" si="7"/>
        <v>0.26133333333333336</v>
      </c>
      <c r="G99" s="45">
        <f t="shared" si="8"/>
        <v>1.3659022222222225E-2</v>
      </c>
      <c r="H99" s="45">
        <f ca="1">F99*F99*('Sheet1 select'!$B$25)*$B$3</f>
        <v>1.8665604851027405E-3</v>
      </c>
      <c r="I99" s="45">
        <f>F99*(1-$B$3)*'Sheet1 select'!$B$41</f>
        <v>5.2266666666666677E-2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3.8739669421487599E-5</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8.6409213668696611E-2</v>
      </c>
      <c r="S99" s="48">
        <f t="shared" ca="1" si="11"/>
        <v>0.94777035031309942</v>
      </c>
      <c r="T99" s="49">
        <f ca="1">H99+K99+O99+N99+'Sheet1 select'!$B$40*I99+J99+P99</f>
        <v>2.0444785110386218E-2</v>
      </c>
      <c r="U99" s="169">
        <f t="shared" ca="1" si="12"/>
        <v>8.4447851103862173E-3</v>
      </c>
      <c r="V99" s="47">
        <f t="shared" ca="1" si="13"/>
        <v>0</v>
      </c>
    </row>
    <row r="100" spans="5:22">
      <c r="E100" s="32">
        <v>99</v>
      </c>
      <c r="F100" s="45">
        <f t="shared" si="7"/>
        <v>0.26400000000000001</v>
      </c>
      <c r="G100" s="45">
        <f t="shared" si="8"/>
        <v>1.3939200000000002E-2</v>
      </c>
      <c r="H100" s="45">
        <f ca="1">F100*F100*('Sheet1 select'!$B$25)*$B$3</f>
        <v>1.9048479086309826E-3</v>
      </c>
      <c r="I100" s="45">
        <f>F100*(1-$B$3)*'Sheet1 select'!$B$41</f>
        <v>5.2800000000000007E-2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3.8739669421487599E-5</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8.7297524699512311E-2</v>
      </c>
      <c r="S100" s="48">
        <f t="shared" ca="1" si="11"/>
        <v>0.94776661641067905</v>
      </c>
      <c r="T100" s="49">
        <f ca="1">H100+K100+O100+N100+'Sheet1 select'!$B$40*I100+J100+P100</f>
        <v>2.0519585030090822E-2</v>
      </c>
      <c r="U100" s="169">
        <f t="shared" ca="1" si="12"/>
        <v>8.5195850300908219E-3</v>
      </c>
      <c r="V100" s="47">
        <f t="shared" ca="1" si="13"/>
        <v>0</v>
      </c>
    </row>
    <row r="101" spans="5:22">
      <c r="E101" s="32">
        <v>100</v>
      </c>
      <c r="F101" s="45">
        <f t="shared" si="7"/>
        <v>0.26666666666666666</v>
      </c>
      <c r="G101" s="45">
        <f t="shared" si="8"/>
        <v>1.4222222222222221E-2</v>
      </c>
      <c r="H101" s="45">
        <f ca="1">F101*F101*('Sheet1 select'!$B$25)*$B$3</f>
        <v>1.943524036966618E-3</v>
      </c>
      <c r="I101" s="45">
        <f>F101*(1-$B$3)*'Sheet1 select'!$B$41</f>
        <v>5.3333333333333337E-2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3.8739669421487599E-5</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8.8189068879579863E-2</v>
      </c>
      <c r="S101" s="48">
        <f t="shared" ca="1" si="11"/>
        <v>0.94776114209878792</v>
      </c>
      <c r="T101" s="49">
        <f ca="1">H101+K101+O101+N101+'Sheet1 select'!$B$40*I101+J101+P101</f>
        <v>2.059477365460282E-2</v>
      </c>
      <c r="U101" s="169">
        <f t="shared" ca="1" si="12"/>
        <v>8.5947736546028199E-3</v>
      </c>
      <c r="V101" s="47">
        <f t="shared" ca="1" si="13"/>
        <v>0</v>
      </c>
    </row>
    <row r="102" spans="5:22">
      <c r="E102" s="32">
        <v>101</v>
      </c>
      <c r="F102" s="45">
        <f t="shared" si="7"/>
        <v>0.26933333333333337</v>
      </c>
      <c r="G102" s="45">
        <f t="shared" si="8"/>
        <v>1.4508088888888892E-2</v>
      </c>
      <c r="H102" s="45">
        <f ca="1">F102*F102*('Sheet1 select'!$B$25)*$B$3</f>
        <v>1.9825888701096475E-3</v>
      </c>
      <c r="I102" s="45">
        <f>F102*(1-$B$3)*'Sheet1 select'!$B$41</f>
        <v>5.3866666666666674E-2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3.8739669421487599E-5</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8.9083846208899267E-2</v>
      </c>
      <c r="S102" s="48">
        <f t="shared" ca="1" si="11"/>
        <v>0.9477539791330678</v>
      </c>
      <c r="T102" s="49">
        <f ca="1">H102+K102+O102+N102+'Sheet1 select'!$B$40*I102+J102+P102</f>
        <v>2.0670350983922212E-2</v>
      </c>
      <c r="U102" s="169">
        <f t="shared" ca="1" si="12"/>
        <v>8.6703509839222113E-3</v>
      </c>
      <c r="V102" s="47">
        <f t="shared" ca="1" si="13"/>
        <v>0</v>
      </c>
    </row>
    <row r="103" spans="5:22">
      <c r="E103" s="32">
        <v>102</v>
      </c>
      <c r="F103" s="45">
        <f t="shared" si="7"/>
        <v>0.27200000000000002</v>
      </c>
      <c r="G103" s="45">
        <f t="shared" si="8"/>
        <v>1.4796800000000001E-2</v>
      </c>
      <c r="H103" s="45">
        <f ca="1">F103*F103*('Sheet1 select'!$B$25)*$B$3</f>
        <v>2.0220424080600696E-3</v>
      </c>
      <c r="I103" s="45">
        <f>F103*(1-$B$3)*'Sheet1 select'!$B$41</f>
        <v>5.4400000000000004E-2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3.8739669421487599E-5</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8.9981856687470482E-2</v>
      </c>
      <c r="S103" s="48">
        <f t="shared" ca="1" si="11"/>
        <v>0.94774517725722962</v>
      </c>
      <c r="T103" s="49">
        <f ca="1">H103+K103+O103+N103+'Sheet1 select'!$B$40*I103+J103+P103</f>
        <v>2.0746317018048997E-2</v>
      </c>
      <c r="U103" s="169">
        <f t="shared" ca="1" si="12"/>
        <v>8.7463170180489963E-3</v>
      </c>
      <c r="V103" s="47">
        <f t="shared" ca="1" si="13"/>
        <v>0</v>
      </c>
    </row>
    <row r="104" spans="5:22">
      <c r="E104" s="32">
        <v>103</v>
      </c>
      <c r="F104" s="45">
        <f t="shared" si="7"/>
        <v>0.27466666666666667</v>
      </c>
      <c r="G104" s="45">
        <f t="shared" si="8"/>
        <v>1.5088355555555556E-2</v>
      </c>
      <c r="H104" s="45">
        <f ca="1">F104*F104*('Sheet1 select'!$B$25)*$B$3</f>
        <v>2.0618846508178852E-3</v>
      </c>
      <c r="I104" s="45">
        <f>F104*(1-$B$3)*'Sheet1 select'!$B$41</f>
        <v>5.4933333333333334E-2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3.8739669421487599E-5</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9.088310031529355E-2</v>
      </c>
      <c r="S104" s="48">
        <f t="shared" ca="1" si="11"/>
        <v>0.94773478429986779</v>
      </c>
      <c r="T104" s="49">
        <f ca="1">H104+K104+O104+N104+'Sheet1 select'!$B$40*I104+J104+P104</f>
        <v>2.0822671756983175E-2</v>
      </c>
      <c r="U104" s="169">
        <f t="shared" ca="1" si="12"/>
        <v>8.8226717569831747E-3</v>
      </c>
      <c r="V104" s="47">
        <f t="shared" ca="1" si="13"/>
        <v>0</v>
      </c>
    </row>
    <row r="105" spans="5:22">
      <c r="E105" s="32">
        <v>104</v>
      </c>
      <c r="F105" s="45">
        <f t="shared" si="7"/>
        <v>0.27733333333333332</v>
      </c>
      <c r="G105" s="45">
        <f t="shared" si="8"/>
        <v>1.5382755555555554E-2</v>
      </c>
      <c r="H105" s="45">
        <f ca="1">F105*F105*('Sheet1 select'!$B$25)*$B$3</f>
        <v>2.1021155983830943E-3</v>
      </c>
      <c r="I105" s="45">
        <f>F105*(1-$B$3)*'Sheet1 select'!$B$41</f>
        <v>5.5466666666666664E-2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3.8739669421487599E-5</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9.1787577092368455E-2</v>
      </c>
      <c r="S105" s="48">
        <f t="shared" ca="1" si="11"/>
        <v>0.94772284626573611</v>
      </c>
      <c r="T105" s="49">
        <f ca="1">H105+K105+O105+N105+'Sheet1 select'!$B$40*I105+J105+P105</f>
        <v>2.0899415200724743E-2</v>
      </c>
      <c r="U105" s="169">
        <f t="shared" ca="1" si="12"/>
        <v>8.8994152007247432E-3</v>
      </c>
      <c r="V105" s="47">
        <f t="shared" ca="1" si="13"/>
        <v>0</v>
      </c>
    </row>
    <row r="106" spans="5:22">
      <c r="E106" s="32">
        <v>105</v>
      </c>
      <c r="F106" s="45">
        <f t="shared" si="7"/>
        <v>0.28000000000000003</v>
      </c>
      <c r="G106" s="45">
        <f t="shared" si="8"/>
        <v>1.5680000000000003E-2</v>
      </c>
      <c r="H106" s="45">
        <f ca="1">F106*F106*('Sheet1 select'!$B$25)*$B$3</f>
        <v>2.1427352507556968E-3</v>
      </c>
      <c r="I106" s="45">
        <f>F106*(1-$B$3)*'Sheet1 select'!$B$41</f>
        <v>5.6000000000000008E-2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3.8739669421487599E-5</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9.2695287018695199E-2</v>
      </c>
      <c r="S106" s="48">
        <f t="shared" ca="1" si="11"/>
        <v>0.94770940742185339</v>
      </c>
      <c r="T106" s="49">
        <f ca="1">H106+K106+O106+N106+'Sheet1 select'!$B$40*I106+J106+P106</f>
        <v>2.0976547349273709E-2</v>
      </c>
      <c r="U106" s="169">
        <f t="shared" ca="1" si="12"/>
        <v>8.9765473492737086E-3</v>
      </c>
      <c r="V106" s="47">
        <f t="shared" ca="1" si="13"/>
        <v>0</v>
      </c>
    </row>
    <row r="107" spans="5:22">
      <c r="E107" s="32">
        <v>106</v>
      </c>
      <c r="F107" s="45">
        <f t="shared" si="7"/>
        <v>0.28266666666666668</v>
      </c>
      <c r="G107" s="45">
        <f t="shared" si="8"/>
        <v>1.5980088888888893E-2</v>
      </c>
      <c r="H107" s="45">
        <f ca="1">F107*F107*('Sheet1 select'!$B$25)*$B$3</f>
        <v>2.1837436079356924E-3</v>
      </c>
      <c r="I107" s="45">
        <f>F107*(1-$B$3)*'Sheet1 select'!$B$41</f>
        <v>5.6533333333333338E-2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3.8739669421487599E-5</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9.3606230094273782E-2</v>
      </c>
      <c r="S107" s="48">
        <f t="shared" ca="1" si="11"/>
        <v>0.94769451037877606</v>
      </c>
      <c r="T107" s="49">
        <f ca="1">H107+K107+O107+N107+'Sheet1 select'!$B$40*I107+J107+P107</f>
        <v>2.1054068202630068E-2</v>
      </c>
      <c r="U107" s="169">
        <f t="shared" ca="1" si="12"/>
        <v>9.0540682026300674E-3</v>
      </c>
      <c r="V107" s="47">
        <f t="shared" ca="1" si="13"/>
        <v>0</v>
      </c>
    </row>
    <row r="108" spans="5:22">
      <c r="E108" s="32">
        <v>107</v>
      </c>
      <c r="F108" s="45">
        <f t="shared" si="7"/>
        <v>0.28533333333333338</v>
      </c>
      <c r="G108" s="45">
        <f t="shared" si="8"/>
        <v>1.6283022222222228E-2</v>
      </c>
      <c r="H108" s="45">
        <f ca="1">F108*F108*('Sheet1 select'!$B$25)*$B$3</f>
        <v>2.2251406699230819E-3</v>
      </c>
      <c r="I108" s="45">
        <f>F108*(1-$B$3)*'Sheet1 select'!$B$41</f>
        <v>5.7066666666666682E-2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3.8739669421487599E-5</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9.4520406319104217E-2</v>
      </c>
      <c r="S108" s="48">
        <f t="shared" ca="1" si="11"/>
        <v>0.94767819616735172</v>
      </c>
      <c r="T108" s="49">
        <f ca="1">H108+K108+O108+N108+'Sheet1 select'!$B$40*I108+J108+P108</f>
        <v>2.113197776079382E-2</v>
      </c>
      <c r="U108" s="169">
        <f t="shared" ca="1" si="12"/>
        <v>9.1319777607938198E-3</v>
      </c>
      <c r="V108" s="47">
        <f t="shared" ca="1" si="13"/>
        <v>0</v>
      </c>
    </row>
    <row r="109" spans="5:22">
      <c r="E109" s="32">
        <v>108</v>
      </c>
      <c r="F109" s="45">
        <f t="shared" si="7"/>
        <v>0.28800000000000003</v>
      </c>
      <c r="G109" s="45">
        <f t="shared" si="8"/>
        <v>1.6588800000000004E-2</v>
      </c>
      <c r="H109" s="45">
        <f ca="1">F109*F109*('Sheet1 select'!$B$25)*$B$3</f>
        <v>2.266926436717864E-3</v>
      </c>
      <c r="I109" s="45">
        <f>F109*(1-$B$3)*'Sheet1 select'!$B$41</f>
        <v>5.7600000000000012E-2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3.8739669421487599E-5</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9.5437815693186476E-2</v>
      </c>
      <c r="S109" s="48">
        <f t="shared" ca="1" si="11"/>
        <v>0.94766050431124493</v>
      </c>
      <c r="T109" s="49">
        <f ca="1">H109+K109+O109+N109+'Sheet1 select'!$B$40*I109+J109+P109</f>
        <v>2.1210276023764962E-2</v>
      </c>
      <c r="U109" s="169">
        <f t="shared" ca="1" si="12"/>
        <v>9.2102760237649621E-3</v>
      </c>
      <c r="V109" s="47">
        <f t="shared" ca="1" si="13"/>
        <v>0</v>
      </c>
    </row>
    <row r="110" spans="5:22">
      <c r="E110" s="32">
        <v>109</v>
      </c>
      <c r="F110" s="45">
        <f t="shared" si="7"/>
        <v>0.29066666666666668</v>
      </c>
      <c r="G110" s="45">
        <f t="shared" si="8"/>
        <v>1.6897422222222225E-2</v>
      </c>
      <c r="H110" s="45">
        <f ca="1">F110*F110*('Sheet1 select'!$B$25)*$B$3</f>
        <v>2.3091009083200391E-3</v>
      </c>
      <c r="I110" s="45">
        <f>F110*(1-$B$3)*'Sheet1 select'!$B$41</f>
        <v>5.8133333333333342E-2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3.8739669421487599E-5</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9.6358458216520546E-2</v>
      </c>
      <c r="S110" s="48">
        <f t="shared" ca="1" si="11"/>
        <v>0.94764147289550271</v>
      </c>
      <c r="T110" s="49">
        <f ca="1">H110+K110+O110+N110+'Sheet1 select'!$B$40*I110+J110+P110</f>
        <v>2.1288962991543498E-2</v>
      </c>
      <c r="U110" s="169">
        <f t="shared" ca="1" si="12"/>
        <v>9.2889629915434979E-3</v>
      </c>
      <c r="V110" s="47">
        <f t="shared" ca="1" si="13"/>
        <v>0</v>
      </c>
    </row>
    <row r="111" spans="5:22">
      <c r="E111" s="32">
        <v>110</v>
      </c>
      <c r="F111" s="45">
        <f t="shared" si="7"/>
        <v>0.29333333333333333</v>
      </c>
      <c r="G111" s="45">
        <f t="shared" si="8"/>
        <v>1.7208888888888892E-2</v>
      </c>
      <c r="H111" s="45">
        <f ca="1">F111*F111*('Sheet1 select'!$B$25)*$B$3</f>
        <v>2.3516640847296081E-3</v>
      </c>
      <c r="I111" s="45">
        <f>F111*(1-$B$3)*'Sheet1 select'!$B$41</f>
        <v>5.8666666666666673E-2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3.8739669421487599E-5</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9.7282333889106481E-2</v>
      </c>
      <c r="S111" s="48">
        <f t="shared" ca="1" si="11"/>
        <v>0.94762113863141129</v>
      </c>
      <c r="T111" s="49">
        <f ca="1">H111+K111+O111+N111+'Sheet1 select'!$B$40*I111+J111+P111</f>
        <v>2.1368038664129431E-2</v>
      </c>
      <c r="U111" s="169">
        <f t="shared" ca="1" si="12"/>
        <v>9.3680386641294307E-3</v>
      </c>
      <c r="V111" s="47">
        <f t="shared" ca="1" si="13"/>
        <v>0</v>
      </c>
    </row>
    <row r="112" spans="5:22">
      <c r="E112" s="32">
        <v>111</v>
      </c>
      <c r="F112" s="45">
        <f t="shared" si="7"/>
        <v>0.29600000000000004</v>
      </c>
      <c r="G112" s="45">
        <f t="shared" si="8"/>
        <v>1.7523200000000006E-2</v>
      </c>
      <c r="H112" s="45">
        <f ca="1">F112*F112*('Sheet1 select'!$B$25)*$B$3</f>
        <v>2.3946159659465711E-3</v>
      </c>
      <c r="I112" s="45">
        <f>F112*(1-$B$3)*'Sheet1 select'!$B$41</f>
        <v>5.920000000000001E-2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3.8739669421487599E-5</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9.8209442710944256E-2</v>
      </c>
      <c r="S112" s="48">
        <f t="shared" ca="1" si="11"/>
        <v>0.94759953691787535</v>
      </c>
      <c r="T112" s="49">
        <f ca="1">H112+K112+O112+N112+'Sheet1 select'!$B$40*I112+J112+P112</f>
        <v>2.1447503041522757E-2</v>
      </c>
      <c r="U112" s="169">
        <f t="shared" ca="1" si="12"/>
        <v>9.4475030415227552E-3</v>
      </c>
      <c r="V112" s="47">
        <f t="shared" ca="1" si="13"/>
        <v>0</v>
      </c>
    </row>
    <row r="113" spans="5:22">
      <c r="E113" s="32">
        <v>112</v>
      </c>
      <c r="F113" s="45">
        <f t="shared" si="7"/>
        <v>0.29866666666666669</v>
      </c>
      <c r="G113" s="45">
        <f t="shared" si="8"/>
        <v>1.7840355555555559E-2</v>
      </c>
      <c r="H113" s="45">
        <f ca="1">F113*F113*('Sheet1 select'!$B$25)*$B$3</f>
        <v>2.4379565519709262E-3</v>
      </c>
      <c r="I113" s="45">
        <f>F113*(1-$B$3)*'Sheet1 select'!$B$41</f>
        <v>5.973333333333334E-2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3.8739669421487599E-5</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9.9139784682033855E-2</v>
      </c>
      <c r="S113" s="48">
        <f t="shared" ca="1" si="11"/>
        <v>0.9475767018995358</v>
      </c>
      <c r="T113" s="49">
        <f ca="1">H113+K113+O113+N113+'Sheet1 select'!$B$40*I113+J113+P113</f>
        <v>2.1527356123723473E-2</v>
      </c>
      <c r="U113" s="169">
        <f t="shared" ca="1" si="12"/>
        <v>9.5273561237234732E-3</v>
      </c>
      <c r="V113" s="47">
        <f t="shared" ca="1" si="13"/>
        <v>0</v>
      </c>
    </row>
    <row r="114" spans="5:22">
      <c r="E114" s="32">
        <v>113</v>
      </c>
      <c r="F114" s="45">
        <f t="shared" si="7"/>
        <v>0.30133333333333334</v>
      </c>
      <c r="G114" s="45">
        <f t="shared" si="8"/>
        <v>1.8160355555555559E-2</v>
      </c>
      <c r="H114" s="45">
        <f ca="1">F114*F114*('Sheet1 select'!$B$25)*$B$3</f>
        <v>2.4816858428026748E-3</v>
      </c>
      <c r="I114" s="45">
        <f>F114*(1-$B$3)*'Sheet1 select'!$B$41</f>
        <v>6.026666666666667E-2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3.8739669421487599E-5</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0.10007335980237529</v>
      </c>
      <c r="S114" s="48">
        <f t="shared" ca="1" si="11"/>
        <v>0.9475526665218259</v>
      </c>
      <c r="T114" s="49">
        <f ca="1">H114+K114+O114+N114+'Sheet1 select'!$B$40*I114+J114+P114</f>
        <v>2.1607597910731583E-2</v>
      </c>
      <c r="U114" s="169">
        <f t="shared" ca="1" si="12"/>
        <v>9.6075979107315829E-3</v>
      </c>
      <c r="V114" s="47">
        <f t="shared" ca="1" si="13"/>
        <v>0</v>
      </c>
    </row>
    <row r="115" spans="5:22">
      <c r="E115" s="32">
        <v>114</v>
      </c>
      <c r="F115" s="45">
        <f t="shared" si="7"/>
        <v>0.30399999999999999</v>
      </c>
      <c r="G115" s="45">
        <f t="shared" si="8"/>
        <v>1.8483200000000002E-2</v>
      </c>
      <c r="H115" s="45">
        <f ca="1">F115*F115*('Sheet1 select'!$B$25)*$B$3</f>
        <v>2.5258038384418169E-3</v>
      </c>
      <c r="I115" s="45">
        <f>F115*(1-$B$3)*'Sheet1 select'!$B$41</f>
        <v>6.08E-2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3.8739669421487599E-5</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0.10101016807196858</v>
      </c>
      <c r="S115" s="48">
        <f t="shared" ca="1" si="11"/>
        <v>0.94752746258315235</v>
      </c>
      <c r="T115" s="49">
        <f ca="1">H115+K115+O115+N115+'Sheet1 select'!$B$40*I115+J115+P115</f>
        <v>2.1688228402547086E-2</v>
      </c>
      <c r="U115" s="169">
        <f t="shared" ca="1" si="12"/>
        <v>9.6882284025470861E-3</v>
      </c>
      <c r="V115" s="47">
        <f t="shared" ca="1" si="13"/>
        <v>0</v>
      </c>
    </row>
    <row r="116" spans="5:22">
      <c r="E116" s="32">
        <v>115</v>
      </c>
      <c r="F116" s="45">
        <f t="shared" si="7"/>
        <v>0.30666666666666664</v>
      </c>
      <c r="G116" s="45">
        <f t="shared" si="8"/>
        <v>1.8808888888888889E-2</v>
      </c>
      <c r="H116" s="45">
        <f ca="1">F116*F116*('Sheet1 select'!$B$25)*$B$3</f>
        <v>2.570310538888352E-3</v>
      </c>
      <c r="I116" s="45">
        <f>F116*(1-$B$3)*'Sheet1 select'!$B$41</f>
        <v>6.133333333333333E-2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3.8739669421487599E-5</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0.10195020949081368</v>
      </c>
      <c r="S116" s="48">
        <f t="shared" ca="1" si="11"/>
        <v>0.94750112078437621</v>
      </c>
      <c r="T116" s="49">
        <f ca="1">H116+K116+O116+N116+'Sheet1 select'!$B$40*I116+J116+P116</f>
        <v>2.1769247599169983E-2</v>
      </c>
      <c r="U116" s="169">
        <f t="shared" ca="1" si="12"/>
        <v>9.7692475991699827E-3</v>
      </c>
      <c r="V116" s="47">
        <f t="shared" ca="1" si="13"/>
        <v>0</v>
      </c>
    </row>
    <row r="117" spans="5:22">
      <c r="E117" s="32">
        <v>116</v>
      </c>
      <c r="F117" s="45">
        <f t="shared" si="7"/>
        <v>0.30933333333333335</v>
      </c>
      <c r="G117" s="45">
        <f t="shared" si="8"/>
        <v>1.9137422222222224E-2</v>
      </c>
      <c r="H117" s="45">
        <f ca="1">F117*F117*('Sheet1 select'!$B$25)*$B$3</f>
        <v>2.6152059441422815E-3</v>
      </c>
      <c r="I117" s="45">
        <f>F117*(1-$B$3)*'Sheet1 select'!$B$41</f>
        <v>6.1866666666666674E-2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3.8739669421487599E-5</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0.10289348405891066</v>
      </c>
      <c r="S117" s="48">
        <f t="shared" ca="1" si="11"/>
        <v>0.94747367077575295</v>
      </c>
      <c r="T117" s="49">
        <f ca="1">H117+K117+O117+N117+'Sheet1 select'!$B$40*I117+J117+P117</f>
        <v>2.1850655500600277E-2</v>
      </c>
      <c r="U117" s="169">
        <f t="shared" ca="1" si="12"/>
        <v>9.8506555006002763E-3</v>
      </c>
      <c r="V117" s="47">
        <f t="shared" ca="1" si="13"/>
        <v>0</v>
      </c>
    </row>
    <row r="118" spans="5:22">
      <c r="E118" s="32">
        <v>117</v>
      </c>
      <c r="F118" s="45">
        <f t="shared" si="7"/>
        <v>0.31200000000000006</v>
      </c>
      <c r="G118" s="45">
        <f t="shared" si="8"/>
        <v>1.9468800000000005E-2</v>
      </c>
      <c r="H118" s="45">
        <f ca="1">F118*F118*('Sheet1 select'!$B$25)*$B$3</f>
        <v>2.6604900542036044E-3</v>
      </c>
      <c r="I118" s="45">
        <f>F118*(1-$B$3)*'Sheet1 select'!$B$41</f>
        <v>6.2400000000000011E-2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3.8739669421487599E-5</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0.10383999177625947</v>
      </c>
      <c r="S118" s="48">
        <f t="shared" ca="1" si="11"/>
        <v>0.94744514120148537</v>
      </c>
      <c r="T118" s="49">
        <f ca="1">H118+K118+O118+N118+'Sheet1 select'!$B$40*I118+J118+P118</f>
        <v>2.193245210683796E-2</v>
      </c>
      <c r="U118" s="169">
        <f t="shared" ca="1" si="12"/>
        <v>9.93245210683796E-3</v>
      </c>
      <c r="V118" s="47">
        <f t="shared" ca="1" si="13"/>
        <v>0</v>
      </c>
    </row>
    <row r="119" spans="5:22">
      <c r="E119" s="32">
        <v>118</v>
      </c>
      <c r="F119" s="45">
        <f t="shared" si="7"/>
        <v>0.31466666666666671</v>
      </c>
      <c r="G119" s="45">
        <f t="shared" si="8"/>
        <v>1.980302222222223E-2</v>
      </c>
      <c r="H119" s="45">
        <f ca="1">F119*F119*('Sheet1 select'!$B$25)*$B$3</f>
        <v>2.7061628690723196E-3</v>
      </c>
      <c r="I119" s="45">
        <f>F119*(1-$B$3)*'Sheet1 select'!$B$41</f>
        <v>6.2933333333333341E-2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3.8739669421487599E-5</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0.10478973264286008</v>
      </c>
      <c r="S119" s="48">
        <f t="shared" ca="1" si="11"/>
        <v>0.94741555974202718</v>
      </c>
      <c r="T119" s="49">
        <f ca="1">H119+K119+O119+N119+'Sheet1 select'!$B$40*I119+J119+P119</f>
        <v>2.2014637417883037E-2</v>
      </c>
      <c r="U119" s="169">
        <f t="shared" ca="1" si="12"/>
        <v>1.0014637417883037E-2</v>
      </c>
      <c r="V119" s="47">
        <f t="shared" ca="1" si="13"/>
        <v>0</v>
      </c>
    </row>
    <row r="120" spans="5:22">
      <c r="E120" s="32">
        <v>119</v>
      </c>
      <c r="F120" s="45">
        <f t="shared" si="7"/>
        <v>0.31733333333333336</v>
      </c>
      <c r="G120" s="45">
        <f t="shared" si="8"/>
        <v>2.014008888888889E-2</v>
      </c>
      <c r="H120" s="45">
        <f ca="1">F120*F120*('Sheet1 select'!$B$25)*$B$3</f>
        <v>2.7522243887484281E-3</v>
      </c>
      <c r="I120" s="45">
        <f>F120*(1-$B$3)*'Sheet1 select'!$B$41</f>
        <v>6.3466666666666671E-2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3.8739669421487599E-5</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0.10574270665871255</v>
      </c>
      <c r="S120" s="48">
        <f t="shared" ca="1" si="11"/>
        <v>0.94738495315426996</v>
      </c>
      <c r="T120" s="49">
        <f ca="1">H120+K120+O120+N120+'Sheet1 select'!$B$40*I120+J120+P120</f>
        <v>2.2097211433735508E-2</v>
      </c>
      <c r="U120" s="169">
        <f t="shared" ca="1" si="12"/>
        <v>1.0097211433735508E-2</v>
      </c>
      <c r="V120" s="47">
        <f t="shared" ca="1" si="13"/>
        <v>0</v>
      </c>
    </row>
    <row r="121" spans="5:22">
      <c r="E121" s="32">
        <v>120</v>
      </c>
      <c r="F121" s="45">
        <f t="shared" si="7"/>
        <v>0.32</v>
      </c>
      <c r="G121" s="45">
        <f t="shared" si="8"/>
        <v>2.0480000000000002E-2</v>
      </c>
      <c r="H121" s="45">
        <f ca="1">F121*F121*('Sheet1 select'!$B$25)*$B$3</f>
        <v>2.7986746132319302E-3</v>
      </c>
      <c r="I121" s="45">
        <f>F121*(1-$B$3)*'Sheet1 select'!$B$41</f>
        <v>6.4000000000000001E-2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3.8739669421487599E-5</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0.10669891382381687</v>
      </c>
      <c r="S121" s="48">
        <f t="shared" ca="1" si="11"/>
        <v>0.94735334730973653</v>
      </c>
      <c r="T121" s="49">
        <f ca="1">H121+K121+O121+N121+'Sheet1 select'!$B$40*I121+J121+P121</f>
        <v>2.2180174154395372E-2</v>
      </c>
      <c r="U121" s="169">
        <f t="shared" ca="1" si="12"/>
        <v>1.0180174154395372E-2</v>
      </c>
      <c r="V121" s="47">
        <f t="shared" ca="1" si="13"/>
        <v>0</v>
      </c>
    </row>
    <row r="122" spans="5:22">
      <c r="E122" s="32">
        <v>121</v>
      </c>
      <c r="F122" s="45">
        <f t="shared" si="7"/>
        <v>0.32266666666666671</v>
      </c>
      <c r="G122" s="45">
        <f t="shared" si="8"/>
        <v>2.0822755555555562E-2</v>
      </c>
      <c r="H122" s="45">
        <f ca="1">F122*F122*('Sheet1 select'!$B$25)*$B$3</f>
        <v>2.8455135425228262E-3</v>
      </c>
      <c r="I122" s="45">
        <f>F122*(1-$B$3)*'Sheet1 select'!$B$41</f>
        <v>6.4533333333333345E-2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3.8739669421487599E-5</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0.10765835413817301</v>
      </c>
      <c r="S122" s="48">
        <f t="shared" ca="1" si="11"/>
        <v>0.94732076723089409</v>
      </c>
      <c r="T122" s="49">
        <f ca="1">H122+K122+O122+N122+'Sheet1 select'!$B$40*I122+J122+P122</f>
        <v>2.2263525579862629E-2</v>
      </c>
      <c r="U122" s="169">
        <f t="shared" ca="1" si="12"/>
        <v>1.0263525579862629E-2</v>
      </c>
      <c r="V122" s="47">
        <f t="shared" ca="1" si="13"/>
        <v>0</v>
      </c>
    </row>
    <row r="123" spans="5:22">
      <c r="E123" s="32">
        <v>122</v>
      </c>
      <c r="F123" s="45">
        <f t="shared" si="7"/>
        <v>0.32533333333333336</v>
      </c>
      <c r="G123" s="45">
        <f t="shared" si="8"/>
        <v>2.116835555555556E-2</v>
      </c>
      <c r="H123" s="45">
        <f ca="1">F123*F123*('Sheet1 select'!$B$25)*$B$3</f>
        <v>2.8927411766211148E-3</v>
      </c>
      <c r="I123" s="45">
        <f>F123*(1-$B$3)*'Sheet1 select'!$B$41</f>
        <v>6.5066666666666675E-2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3.8739669421487599E-5</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0.108621027601781</v>
      </c>
      <c r="S123" s="48">
        <f t="shared" ca="1" si="11"/>
        <v>0.94728723712569429</v>
      </c>
      <c r="T123" s="49">
        <f ca="1">H123+K123+O123+N123+'Sheet1 select'!$B$40*I123+J123+P123</f>
        <v>2.234726571013728E-2</v>
      </c>
      <c r="U123" s="169">
        <f t="shared" ca="1" si="12"/>
        <v>1.034726571013728E-2</v>
      </c>
      <c r="V123" s="47">
        <f t="shared" ca="1" si="13"/>
        <v>0</v>
      </c>
    </row>
    <row r="124" spans="5:22">
      <c r="E124" s="32">
        <v>123</v>
      </c>
      <c r="F124" s="45">
        <f t="shared" si="7"/>
        <v>0.32800000000000001</v>
      </c>
      <c r="G124" s="45">
        <f t="shared" si="8"/>
        <v>2.1516800000000003E-2</v>
      </c>
      <c r="H124" s="45">
        <f ca="1">F124*F124*('Sheet1 select'!$B$25)*$B$3</f>
        <v>2.9403575155267968E-3</v>
      </c>
      <c r="I124" s="45">
        <f>F124*(1-$B$3)*'Sheet1 select'!$B$41</f>
        <v>6.5600000000000006E-2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3.8739669421487599E-5</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0.10958693421464082</v>
      </c>
      <c r="S124" s="48">
        <f t="shared" ca="1" si="11"/>
        <v>0.9472527804204417</v>
      </c>
      <c r="T124" s="49">
        <f ca="1">H124+K124+O124+N124+'Sheet1 select'!$B$40*I124+J124+P124</f>
        <v>2.2431394545219325E-2</v>
      </c>
      <c r="U124" s="169">
        <f t="shared" ca="1" si="12"/>
        <v>1.0431394545219325E-2</v>
      </c>
      <c r="V124" s="47">
        <f t="shared" ca="1" si="13"/>
        <v>0</v>
      </c>
    </row>
    <row r="125" spans="5:22">
      <c r="E125" s="32">
        <v>124</v>
      </c>
      <c r="F125" s="45">
        <f t="shared" si="7"/>
        <v>0.33066666666666666</v>
      </c>
      <c r="G125" s="45">
        <f t="shared" si="8"/>
        <v>2.1868088888888887E-2</v>
      </c>
      <c r="H125" s="45">
        <f ca="1">F125*F125*('Sheet1 select'!$B$25)*$B$3</f>
        <v>2.9883625592398719E-3</v>
      </c>
      <c r="I125" s="45">
        <f>F125*(1-$B$3)*'Sheet1 select'!$B$41</f>
        <v>6.6133333333333336E-2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3.8739669421487599E-5</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0.11055607397675248</v>
      </c>
      <c r="S125" s="48">
        <f t="shared" ca="1" si="11"/>
        <v>0.94721741979108287</v>
      </c>
      <c r="T125" s="49">
        <f ca="1">H125+K125+O125+N125+'Sheet1 select'!$B$40*I125+J125+P125</f>
        <v>2.2515912085108763E-2</v>
      </c>
      <c r="U125" s="169">
        <f t="shared" ca="1" si="12"/>
        <v>1.0515912085108763E-2</v>
      </c>
      <c r="V125" s="47">
        <f t="shared" ca="1" si="13"/>
        <v>0</v>
      </c>
    </row>
    <row r="126" spans="5:22">
      <c r="E126" s="32">
        <v>125</v>
      </c>
      <c r="F126" s="45">
        <f t="shared" si="7"/>
        <v>0.33333333333333331</v>
      </c>
      <c r="G126" s="45">
        <f t="shared" si="8"/>
        <v>2.2222222222222223E-2</v>
      </c>
      <c r="H126" s="45">
        <f ca="1">F126*F126*('Sheet1 select'!$B$25)*$B$3</f>
        <v>3.0367563077603405E-3</v>
      </c>
      <c r="I126" s="45">
        <f>F126*(1-$B$3)*'Sheet1 select'!$B$41</f>
        <v>6.6666666666666666E-2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3.8739669421487599E-5</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0.11152844688811596</v>
      </c>
      <c r="S126" s="48">
        <f t="shared" ca="1" si="11"/>
        <v>0.94718117719300343</v>
      </c>
      <c r="T126" s="49">
        <f ca="1">H126+K126+O126+N126+'Sheet1 select'!$B$40*I126+J126+P126</f>
        <v>2.2600818329805594E-2</v>
      </c>
      <c r="U126" s="169">
        <f t="shared" ca="1" si="12"/>
        <v>1.0600818329805592E-2</v>
      </c>
      <c r="V126" s="47">
        <f t="shared" ca="1" si="13"/>
        <v>0</v>
      </c>
    </row>
    <row r="127" spans="5:22">
      <c r="E127" s="32">
        <v>126</v>
      </c>
      <c r="F127" s="45">
        <f t="shared" si="7"/>
        <v>0.33600000000000002</v>
      </c>
      <c r="G127" s="45">
        <f t="shared" si="8"/>
        <v>2.2579200000000004E-2</v>
      </c>
      <c r="H127" s="45">
        <f ca="1">F127*F127*('Sheet1 select'!$B$25)*$B$3</f>
        <v>3.085538761088203E-3</v>
      </c>
      <c r="I127" s="45">
        <f>F127*(1-$B$3)*'Sheet1 select'!$B$41</f>
        <v>6.720000000000001E-2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3.8739669421487599E-5</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0.11250405294873132</v>
      </c>
      <c r="S127" s="48">
        <f t="shared" ca="1" si="11"/>
        <v>0.94714407388941868</v>
      </c>
      <c r="T127" s="49">
        <f ca="1">H127+K127+O127+N127+'Sheet1 select'!$B$40*I127+J127+P127</f>
        <v>2.2686113279309819E-2</v>
      </c>
      <c r="U127" s="169">
        <f t="shared" ca="1" si="12"/>
        <v>1.0686113279309819E-2</v>
      </c>
      <c r="V127" s="47">
        <f t="shared" ca="1" si="13"/>
        <v>0</v>
      </c>
    </row>
    <row r="128" spans="5:22">
      <c r="E128" s="32">
        <v>127</v>
      </c>
      <c r="F128" s="45">
        <f t="shared" si="7"/>
        <v>0.33866666666666667</v>
      </c>
      <c r="G128" s="45">
        <f t="shared" si="8"/>
        <v>2.293902222222222E-2</v>
      </c>
      <c r="H128" s="45">
        <f ca="1">F128*F128*('Sheet1 select'!$B$25)*$B$3</f>
        <v>3.134709919223458E-3</v>
      </c>
      <c r="I128" s="45">
        <f>F128*(1-$B$3)*'Sheet1 select'!$B$41</f>
        <v>6.773333333333334E-2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3.8739669421487599E-5</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0.11348289215859848</v>
      </c>
      <c r="S128" s="48">
        <f t="shared" ca="1" si="11"/>
        <v>0.94710613047842962</v>
      </c>
      <c r="T128" s="49">
        <f ca="1">H128+K128+O128+N128+'Sheet1 select'!$B$40*I128+J128+P128</f>
        <v>2.2771796933621434E-2</v>
      </c>
      <c r="U128" s="169">
        <f t="shared" ca="1" si="12"/>
        <v>1.0771796933621434E-2</v>
      </c>
      <c r="V128" s="47">
        <f t="shared" ca="1" si="13"/>
        <v>0</v>
      </c>
    </row>
    <row r="129" spans="5:22">
      <c r="E129" s="32">
        <v>128</v>
      </c>
      <c r="F129" s="45">
        <f t="shared" si="7"/>
        <v>0.34133333333333338</v>
      </c>
      <c r="G129" s="45">
        <f t="shared" si="8"/>
        <v>2.3301688888888894E-2</v>
      </c>
      <c r="H129" s="45">
        <f ca="1">F129*F129*('Sheet1 select'!$B$25)*$B$3</f>
        <v>3.1842697821661079E-3</v>
      </c>
      <c r="I129" s="45">
        <f>F129*(1-$B$3)*'Sheet1 select'!$B$41</f>
        <v>6.8266666666666684E-2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3.8739669421487599E-5</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0.11446496451771751</v>
      </c>
      <c r="S129" s="48">
        <f t="shared" ca="1" si="11"/>
        <v>0.94706736691882265</v>
      </c>
      <c r="T129" s="49">
        <f ca="1">H129+K129+O129+N129+'Sheet1 select'!$B$40*I129+J129+P129</f>
        <v>2.2857869292740446E-2</v>
      </c>
      <c r="U129" s="169">
        <f t="shared" ca="1" si="12"/>
        <v>1.0857869292740446E-2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3.23421834991615E-3</v>
      </c>
      <c r="I130" s="45">
        <f>F130*(1-$B$3)*'Sheet1 select'!$B$41</f>
        <v>6.8800000000000014E-2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3.8739669421487599E-5</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0.11545027002608835</v>
      </c>
      <c r="S130" s="48">
        <f t="shared" ref="S130:S193" ca="1" si="18">($B$11*F130)/($B$11*F130+R130)</f>
        <v>0.94702780255467534</v>
      </c>
      <c r="T130" s="49">
        <f ca="1">H130+K130+O130+N130+'Sheet1 select'!$B$40*I130+J130+P130</f>
        <v>2.2944330356666851E-2</v>
      </c>
      <c r="U130" s="169">
        <f t="shared" ref="U130:U193" ca="1" si="19">H130+K130+O130</f>
        <v>1.0944330356666851E-2</v>
      </c>
      <c r="V130" s="47">
        <f t="shared" ref="V130:V193" ca="1" si="20">J130+P130+Q130</f>
        <v>0</v>
      </c>
    </row>
    <row r="131" spans="5:22">
      <c r="E131" s="32">
        <v>130</v>
      </c>
      <c r="F131" s="45">
        <f t="shared" si="14"/>
        <v>0.34666666666666668</v>
      </c>
      <c r="G131" s="45">
        <f t="shared" si="15"/>
        <v>2.4035555555555557E-2</v>
      </c>
      <c r="H131" s="45">
        <f ca="1">F131*F131*('Sheet1 select'!$B$25)*$B$3</f>
        <v>3.2845556224735846E-3</v>
      </c>
      <c r="I131" s="45">
        <f>F131*(1-$B$3)*'Sheet1 select'!$B$41</f>
        <v>6.9333333333333344E-2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3.8739669421487599E-5</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0.11643880868371104</v>
      </c>
      <c r="S131" s="48">
        <f t="shared" ca="1" si="18"/>
        <v>0.94698745613883462</v>
      </c>
      <c r="T131" s="49">
        <f ca="1">H131+K131+O131+N131+'Sheet1 select'!$B$40*I131+J131+P131</f>
        <v>2.3031180125400647E-2</v>
      </c>
      <c r="U131" s="169">
        <f t="shared" ca="1" si="19"/>
        <v>1.1031180125400646E-2</v>
      </c>
      <c r="V131" s="47">
        <f t="shared" ca="1" si="20"/>
        <v>0</v>
      </c>
    </row>
    <row r="132" spans="5:22">
      <c r="E132" s="32">
        <v>131</v>
      </c>
      <c r="F132" s="45">
        <f t="shared" si="14"/>
        <v>0.34933333333333338</v>
      </c>
      <c r="G132" s="45">
        <f t="shared" si="15"/>
        <v>2.4406755555555562E-2</v>
      </c>
      <c r="H132" s="45">
        <f ca="1">F132*F132*('Sheet1 select'!$B$25)*$B$3</f>
        <v>3.335281599838414E-3</v>
      </c>
      <c r="I132" s="45">
        <f>F132*(1-$B$3)*'Sheet1 select'!$B$41</f>
        <v>6.9866666666666674E-2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3.8739669421487599E-5</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0.11743058049058555</v>
      </c>
      <c r="S132" s="48">
        <f t="shared" ca="1" si="18"/>
        <v>0.94694634585532922</v>
      </c>
      <c r="T132" s="49">
        <f ca="1">H132+K132+O132+N132+'Sheet1 select'!$B$40*I132+J132+P132</f>
        <v>2.3118418598941839E-2</v>
      </c>
      <c r="U132" s="169">
        <f t="shared" ca="1" si="19"/>
        <v>1.1118418598941839E-2</v>
      </c>
      <c r="V132" s="47">
        <f t="shared" ca="1" si="20"/>
        <v>0</v>
      </c>
    </row>
    <row r="133" spans="5:22">
      <c r="E133" s="32">
        <v>132</v>
      </c>
      <c r="F133" s="45">
        <f t="shared" si="14"/>
        <v>0.35200000000000004</v>
      </c>
      <c r="G133" s="45">
        <f t="shared" si="15"/>
        <v>2.4780800000000006E-2</v>
      </c>
      <c r="H133" s="45">
        <f ca="1">F133*F133*('Sheet1 select'!$B$25)*$B$3</f>
        <v>3.386396282010636E-3</v>
      </c>
      <c r="I133" s="45">
        <f>F133*(1-$B$3)*'Sheet1 select'!$B$41</f>
        <v>7.0400000000000004E-2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3.8739669421487599E-5</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0.11842558544671192</v>
      </c>
      <c r="S133" s="48">
        <f t="shared" ca="1" si="18"/>
        <v>0.9469044893407671</v>
      </c>
      <c r="T133" s="49">
        <f ca="1">H133+K133+O133+N133+'Sheet1 select'!$B$40*I133+J133+P133</f>
        <v>2.3206045777290421E-2</v>
      </c>
      <c r="U133" s="169">
        <f t="shared" ca="1" si="19"/>
        <v>1.1206045777290421E-2</v>
      </c>
      <c r="V133" s="47">
        <f t="shared" ca="1" si="20"/>
        <v>0</v>
      </c>
    </row>
    <row r="134" spans="5:22">
      <c r="E134" s="32">
        <v>133</v>
      </c>
      <c r="F134" s="45">
        <f t="shared" si="14"/>
        <v>0.35466666666666669</v>
      </c>
      <c r="G134" s="45">
        <f t="shared" si="15"/>
        <v>2.5157688888888891E-2</v>
      </c>
      <c r="H134" s="45">
        <f ca="1">F134*F134*('Sheet1 select'!$B$25)*$B$3</f>
        <v>3.4378996689902511E-3</v>
      </c>
      <c r="I134" s="45">
        <f>F134*(1-$B$3)*'Sheet1 select'!$B$41</f>
        <v>7.0933333333333334E-2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3.8739669421487599E-5</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0.11942382355209011</v>
      </c>
      <c r="S134" s="48">
        <f t="shared" ca="1" si="18"/>
        <v>0.94686190370477674</v>
      </c>
      <c r="T134" s="49">
        <f ca="1">H134+K134+O134+N134+'Sheet1 select'!$B$40*I134+J134+P134</f>
        <v>2.32940616604464E-2</v>
      </c>
      <c r="U134" s="169">
        <f t="shared" ca="1" si="19"/>
        <v>1.12940616604464E-2</v>
      </c>
      <c r="V134" s="47">
        <f t="shared" ca="1" si="20"/>
        <v>0</v>
      </c>
    </row>
    <row r="135" spans="5:22">
      <c r="E135" s="32">
        <v>134</v>
      </c>
      <c r="F135" s="45">
        <f t="shared" si="14"/>
        <v>0.35733333333333334</v>
      </c>
      <c r="G135" s="45">
        <f t="shared" si="15"/>
        <v>2.5537422222222224E-2</v>
      </c>
      <c r="H135" s="45">
        <f ca="1">F135*F135*('Sheet1 select'!$B$25)*$B$3</f>
        <v>3.4897917607772597E-3</v>
      </c>
      <c r="I135" s="45">
        <f>F135*(1-$B$3)*'Sheet1 select'!$B$41</f>
        <v>7.1466666666666664E-2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3.8739669421487599E-5</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0.12042529480672015</v>
      </c>
      <c r="S135" s="48">
        <f t="shared" ca="1" si="18"/>
        <v>0.94681860554953778</v>
      </c>
      <c r="T135" s="49">
        <f ca="1">H135+K135+O135+N135+'Sheet1 select'!$B$40*I135+J135+P135</f>
        <v>2.338246624840977E-2</v>
      </c>
      <c r="U135" s="169">
        <f t="shared" ca="1" si="19"/>
        <v>1.1382466248409769E-2</v>
      </c>
      <c r="V135" s="47">
        <f t="shared" ca="1" si="20"/>
        <v>0</v>
      </c>
    </row>
    <row r="136" spans="5:22">
      <c r="E136" s="32">
        <v>135</v>
      </c>
      <c r="F136" s="45">
        <f t="shared" si="14"/>
        <v>0.36</v>
      </c>
      <c r="G136" s="45">
        <f t="shared" si="15"/>
        <v>2.5919999999999999E-2</v>
      </c>
      <c r="H136" s="45">
        <f ca="1">F136*F136*('Sheet1 select'!$B$25)*$B$3</f>
        <v>3.5420725573716613E-3</v>
      </c>
      <c r="I136" s="45">
        <f>F136*(1-$B$3)*'Sheet1 select'!$B$41</f>
        <v>7.1999999999999995E-2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3.8739669421487599E-5</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0.12142999921060202</v>
      </c>
      <c r="S136" s="48">
        <f t="shared" ca="1" si="18"/>
        <v>0.94677461098845117</v>
      </c>
      <c r="T136" s="49">
        <f ca="1">H136+K136+O136+N136+'Sheet1 select'!$B$40*I136+J136+P136</f>
        <v>2.3471259541180532E-2</v>
      </c>
      <c r="U136" s="169">
        <f t="shared" ca="1" si="19"/>
        <v>1.1471259541180532E-2</v>
      </c>
      <c r="V136" s="47">
        <f t="shared" ca="1" si="20"/>
        <v>0</v>
      </c>
    </row>
    <row r="137" spans="5:22">
      <c r="E137" s="32">
        <v>136</v>
      </c>
      <c r="F137" s="45">
        <f t="shared" si="14"/>
        <v>0.36266666666666669</v>
      </c>
      <c r="G137" s="45">
        <f t="shared" si="15"/>
        <v>2.6305422222222225E-2</v>
      </c>
      <c r="H137" s="45">
        <f ca="1">F137*F137*('Sheet1 select'!$B$25)*$B$3</f>
        <v>3.5947420587734572E-3</v>
      </c>
      <c r="I137" s="45">
        <f>F137*(1-$B$3)*'Sheet1 select'!$B$41</f>
        <v>7.2533333333333339E-2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3.8739669421487599E-5</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0.12243793676373574</v>
      </c>
      <c r="S137" s="48">
        <f t="shared" ca="1" si="18"/>
        <v>0.94672993566398767</v>
      </c>
      <c r="T137" s="49">
        <f ca="1">H137+K137+O137+N137+'Sheet1 select'!$B$40*I137+J137+P137</f>
        <v>2.3560441538758692E-2</v>
      </c>
      <c r="U137" s="169">
        <f t="shared" ca="1" si="19"/>
        <v>1.1560441538758692E-2</v>
      </c>
      <c r="V137" s="47">
        <f t="shared" ca="1" si="20"/>
        <v>0</v>
      </c>
    </row>
    <row r="138" spans="5:22">
      <c r="E138" s="32">
        <v>137</v>
      </c>
      <c r="F138" s="45">
        <f t="shared" si="14"/>
        <v>0.36533333333333334</v>
      </c>
      <c r="G138" s="45">
        <f t="shared" si="15"/>
        <v>2.669368888888889E-2</v>
      </c>
      <c r="H138" s="45">
        <f ca="1">F138*F138*('Sheet1 select'!$B$25)*$B$3</f>
        <v>3.6478002649826457E-3</v>
      </c>
      <c r="I138" s="45">
        <f>F138*(1-$B$3)*'Sheet1 select'!$B$41</f>
        <v>7.3066666666666669E-2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3.8739669421487599E-5</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0.12344910746612128</v>
      </c>
      <c r="S138" s="48">
        <f t="shared" ca="1" si="18"/>
        <v>0.94668459476476419</v>
      </c>
      <c r="T138" s="49">
        <f ca="1">H138+K138+O138+N138+'Sheet1 select'!$B$40*I138+J138+P138</f>
        <v>2.3650012241144241E-2</v>
      </c>
      <c r="U138" s="169">
        <f t="shared" ca="1" si="19"/>
        <v>1.1650012241144241E-2</v>
      </c>
      <c r="V138" s="47">
        <f t="shared" ca="1" si="20"/>
        <v>0</v>
      </c>
    </row>
    <row r="139" spans="5:22">
      <c r="E139" s="32">
        <v>138</v>
      </c>
      <c r="F139" s="45">
        <f t="shared" si="14"/>
        <v>0.36799999999999999</v>
      </c>
      <c r="G139" s="45">
        <f t="shared" si="15"/>
        <v>2.7084799999999999E-2</v>
      </c>
      <c r="H139" s="45">
        <f ca="1">F139*F139*('Sheet1 select'!$B$25)*$B$3</f>
        <v>3.7012471759992273E-3</v>
      </c>
      <c r="I139" s="45">
        <f>F139*(1-$B$3)*'Sheet1 select'!$B$41</f>
        <v>7.3599999999999999E-2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3.8739669421487599E-5</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0.12446351131775867</v>
      </c>
      <c r="S139" s="48">
        <f t="shared" ca="1" si="18"/>
        <v>0.94663860304187941</v>
      </c>
      <c r="T139" s="49">
        <f ca="1">H139+K139+O139+N139+'Sheet1 select'!$B$40*I139+J139+P139</f>
        <v>2.3739971648337185E-2</v>
      </c>
      <c r="U139" s="169">
        <f t="shared" ca="1" si="19"/>
        <v>1.1739971648337184E-2</v>
      </c>
      <c r="V139" s="47">
        <f t="shared" ca="1" si="20"/>
        <v>0</v>
      </c>
    </row>
    <row r="140" spans="5:22">
      <c r="E140" s="32">
        <v>139</v>
      </c>
      <c r="F140" s="45">
        <f t="shared" si="14"/>
        <v>0.3706666666666667</v>
      </c>
      <c r="G140" s="45">
        <f t="shared" si="15"/>
        <v>2.7478755555555564E-2</v>
      </c>
      <c r="H140" s="45">
        <f ca="1">F140*F140*('Sheet1 select'!$B$25)*$B$3</f>
        <v>3.7550827918232037E-3</v>
      </c>
      <c r="I140" s="45">
        <f>F140*(1-$B$3)*'Sheet1 select'!$B$41</f>
        <v>7.4133333333333343E-2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3.8739669421487599E-5</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0.1254811483186479</v>
      </c>
      <c r="S140" s="48">
        <f t="shared" ca="1" si="18"/>
        <v>0.94659197482454993</v>
      </c>
      <c r="T140" s="49">
        <f ca="1">H140+K140+O140+N140+'Sheet1 select'!$B$40*I140+J140+P140</f>
        <v>2.3830319760337525E-2</v>
      </c>
      <c r="U140" s="169">
        <f t="shared" ca="1" si="19"/>
        <v>1.1830319760337524E-2</v>
      </c>
      <c r="V140" s="47">
        <f t="shared" ca="1" si="20"/>
        <v>0</v>
      </c>
    </row>
    <row r="141" spans="5:22">
      <c r="E141" s="32">
        <v>140</v>
      </c>
      <c r="F141" s="45">
        <f t="shared" si="14"/>
        <v>0.37333333333333335</v>
      </c>
      <c r="G141" s="45">
        <f t="shared" si="15"/>
        <v>2.787555555555556E-2</v>
      </c>
      <c r="H141" s="45">
        <f ca="1">F141*F141*('Sheet1 select'!$B$25)*$B$3</f>
        <v>3.8093071124545718E-3</v>
      </c>
      <c r="I141" s="45">
        <f>F141*(1-$B$3)*'Sheet1 select'!$B$41</f>
        <v>7.4666666666666673E-2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3.8739669421487599E-5</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0.12650201846878897</v>
      </c>
      <c r="S141" s="48">
        <f t="shared" ca="1" si="18"/>
        <v>0.94654472403508016</v>
      </c>
      <c r="T141" s="49">
        <f ca="1">H141+K141+O141+N141+'Sheet1 select'!$B$40*I141+J141+P141</f>
        <v>2.3921056577145255E-2</v>
      </c>
      <c r="U141" s="169">
        <f t="shared" ca="1" si="19"/>
        <v>1.1921056577145255E-2</v>
      </c>
      <c r="V141" s="47">
        <f t="shared" ca="1" si="20"/>
        <v>0</v>
      </c>
    </row>
    <row r="142" spans="5:22">
      <c r="E142" s="32">
        <v>141</v>
      </c>
      <c r="F142" s="45">
        <f t="shared" si="14"/>
        <v>0.37600000000000006</v>
      </c>
      <c r="G142" s="45">
        <f t="shared" si="15"/>
        <v>2.8275200000000007E-2</v>
      </c>
      <c r="H142" s="45">
        <f ca="1">F142*F142*('Sheet1 select'!$B$25)*$B$3</f>
        <v>3.8639201378933342E-3</v>
      </c>
      <c r="I142" s="45">
        <f>F142*(1-$B$3)*'Sheet1 select'!$B$41</f>
        <v>7.5200000000000017E-2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3.8739669421487599E-5</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0.12752612176818187</v>
      </c>
      <c r="S142" s="48">
        <f t="shared" ca="1" si="18"/>
        <v>0.94649686420320056</v>
      </c>
      <c r="T142" s="49">
        <f ca="1">H142+K142+O142+N142+'Sheet1 select'!$B$40*I142+J142+P142</f>
        <v>2.4012182098760378E-2</v>
      </c>
      <c r="U142" s="169">
        <f t="shared" ca="1" si="19"/>
        <v>1.2012182098760378E-2</v>
      </c>
      <c r="V142" s="47">
        <f t="shared" ca="1" si="20"/>
        <v>0</v>
      </c>
    </row>
    <row r="143" spans="5:22">
      <c r="E143" s="32">
        <v>142</v>
      </c>
      <c r="F143" s="45">
        <f t="shared" si="14"/>
        <v>0.37866666666666671</v>
      </c>
      <c r="G143" s="45">
        <f t="shared" si="15"/>
        <v>2.86776888888889E-2</v>
      </c>
      <c r="H143" s="45">
        <f ca="1">F143*F143*('Sheet1 select'!$B$25)*$B$3</f>
        <v>3.9189218681394897E-3</v>
      </c>
      <c r="I143" s="45">
        <f>F143*(1-$B$3)*'Sheet1 select'!$B$41</f>
        <v>7.5733333333333347E-2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3.8739669421487599E-5</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0.12855345821682662</v>
      </c>
      <c r="S143" s="48">
        <f t="shared" ca="1" si="18"/>
        <v>0.94644840847980194</v>
      </c>
      <c r="T143" s="49">
        <f ca="1">H143+K143+O143+N143+'Sheet1 select'!$B$40*I143+J143+P143</f>
        <v>2.4103696325182895E-2</v>
      </c>
      <c r="U143" s="169">
        <f t="shared" ca="1" si="19"/>
        <v>1.2103696325182895E-2</v>
      </c>
      <c r="V143" s="47">
        <f t="shared" ca="1" si="20"/>
        <v>0</v>
      </c>
    </row>
    <row r="144" spans="5:22">
      <c r="E144" s="32">
        <v>143</v>
      </c>
      <c r="F144" s="45">
        <f t="shared" si="14"/>
        <v>0.38133333333333336</v>
      </c>
      <c r="G144" s="45">
        <f t="shared" si="15"/>
        <v>2.9083022222222227E-2</v>
      </c>
      <c r="H144" s="45">
        <f ca="1">F144*F144*('Sheet1 select'!$B$25)*$B$3</f>
        <v>3.9743123031930382E-3</v>
      </c>
      <c r="I144" s="45">
        <f>F144*(1-$B$3)*'Sheet1 select'!$B$41</f>
        <v>7.6266666666666677E-2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3.8739669421487599E-5</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0.1295840278147232</v>
      </c>
      <c r="S144" s="48">
        <f t="shared" ca="1" si="18"/>
        <v>0.94639936965009841</v>
      </c>
      <c r="T144" s="49">
        <f ca="1">H144+K144+O144+N144+'Sheet1 select'!$B$40*I144+J144+P144</f>
        <v>2.4195599256412806E-2</v>
      </c>
      <c r="U144" s="169">
        <f t="shared" ca="1" si="19"/>
        <v>1.2195599256412806E-2</v>
      </c>
      <c r="V144" s="47">
        <f t="shared" ca="1" si="20"/>
        <v>0</v>
      </c>
    </row>
    <row r="145" spans="5:22">
      <c r="E145" s="32">
        <v>144</v>
      </c>
      <c r="F145" s="45">
        <f t="shared" si="14"/>
        <v>0.38400000000000001</v>
      </c>
      <c r="G145" s="45">
        <f t="shared" si="15"/>
        <v>2.9491199999999999E-2</v>
      </c>
      <c r="H145" s="45">
        <f ca="1">F145*F145*('Sheet1 select'!$B$25)*$B$3</f>
        <v>4.0300914430539793E-3</v>
      </c>
      <c r="I145" s="45">
        <f>F145*(1-$B$3)*'Sheet1 select'!$B$41</f>
        <v>7.6800000000000007E-2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3.8739669421487599E-5</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0.1306178305618716</v>
      </c>
      <c r="S145" s="48">
        <f t="shared" ca="1" si="18"/>
        <v>0.94634976014624561</v>
      </c>
      <c r="T145" s="49">
        <f ca="1">H145+K145+O145+N145+'Sheet1 select'!$B$40*I145+J145+P145</f>
        <v>2.428789089245011E-2</v>
      </c>
      <c r="U145" s="169">
        <f t="shared" ca="1" si="19"/>
        <v>1.228789089245011E-2</v>
      </c>
      <c r="V145" s="47">
        <f t="shared" ca="1" si="20"/>
        <v>0</v>
      </c>
    </row>
    <row r="146" spans="5:22">
      <c r="E146" s="32">
        <v>145</v>
      </c>
      <c r="F146" s="45">
        <f t="shared" si="14"/>
        <v>0.38666666666666666</v>
      </c>
      <c r="G146" s="45">
        <f t="shared" si="15"/>
        <v>2.9902222222222219E-2</v>
      </c>
      <c r="H146" s="45">
        <f ca="1">F146*F146*('Sheet1 select'!$B$25)*$B$3</f>
        <v>4.0862592877223139E-3</v>
      </c>
      <c r="I146" s="45">
        <f>F146*(1-$B$3)*'Sheet1 select'!$B$41</f>
        <v>7.7333333333333337E-2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3.8739669421487599E-5</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0.13165486645827185</v>
      </c>
      <c r="S146" s="48">
        <f t="shared" ca="1" si="18"/>
        <v>0.94629959205943848</v>
      </c>
      <c r="T146" s="49">
        <f ca="1">H146+K146+O146+N146+'Sheet1 select'!$B$40*I146+J146+P146</f>
        <v>2.4380571233294804E-2</v>
      </c>
      <c r="U146" s="169">
        <f t="shared" ca="1" si="19"/>
        <v>1.2380571233294804E-2</v>
      </c>
      <c r="V146" s="47">
        <f t="shared" ca="1" si="20"/>
        <v>0</v>
      </c>
    </row>
    <row r="147" spans="5:22">
      <c r="E147" s="32">
        <v>146</v>
      </c>
      <c r="F147" s="45">
        <f t="shared" si="14"/>
        <v>0.38933333333333336</v>
      </c>
      <c r="G147" s="45">
        <f t="shared" si="15"/>
        <v>3.0316088888888891E-2</v>
      </c>
      <c r="H147" s="45">
        <f ca="1">F147*F147*('Sheet1 select'!$B$25)*$B$3</f>
        <v>4.1428158371980437E-3</v>
      </c>
      <c r="I147" s="45">
        <f>F147*(1-$B$3)*'Sheet1 select'!$B$41</f>
        <v>7.7866666666666681E-2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3.8739669421487599E-5</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0.13269513550392398</v>
      </c>
      <c r="S147" s="48">
        <f t="shared" ca="1" si="18"/>
        <v>0.94624887715151684</v>
      </c>
      <c r="T147" s="49">
        <f ca="1">H147+K147+O147+N147+'Sheet1 select'!$B$40*I147+J147+P147</f>
        <v>2.4473640278946898E-2</v>
      </c>
      <c r="U147" s="169">
        <f t="shared" ca="1" si="19"/>
        <v>1.2473640278946898E-2</v>
      </c>
      <c r="V147" s="47">
        <f t="shared" ca="1" si="20"/>
        <v>0</v>
      </c>
    </row>
    <row r="148" spans="5:22">
      <c r="E148" s="32">
        <v>147</v>
      </c>
      <c r="F148" s="45">
        <f t="shared" si="14"/>
        <v>0.39200000000000002</v>
      </c>
      <c r="G148" s="45">
        <f t="shared" si="15"/>
        <v>3.0732800000000005E-2</v>
      </c>
      <c r="H148" s="45">
        <f ca="1">F148*F148*('Sheet1 select'!$B$25)*$B$3</f>
        <v>4.1997610914811653E-3</v>
      </c>
      <c r="I148" s="45">
        <f>F148*(1-$B$3)*'Sheet1 select'!$B$41</f>
        <v>7.8400000000000011E-2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3.8739669421487599E-5</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0.13373863769882788</v>
      </c>
      <c r="S148" s="48">
        <f t="shared" ca="1" si="18"/>
        <v>0.94619762686609865</v>
      </c>
      <c r="T148" s="49">
        <f ca="1">H148+K148+O148+N148+'Sheet1 select'!$B$40*I148+J148+P148</f>
        <v>2.4567098029406383E-2</v>
      </c>
      <c r="U148" s="169">
        <f t="shared" ca="1" si="19"/>
        <v>1.2567098029406382E-2</v>
      </c>
      <c r="V148" s="47">
        <f t="shared" ca="1" si="20"/>
        <v>0</v>
      </c>
    </row>
    <row r="149" spans="5:22">
      <c r="E149" s="32">
        <v>148</v>
      </c>
      <c r="F149" s="45">
        <f t="shared" si="14"/>
        <v>0.39466666666666667</v>
      </c>
      <c r="G149" s="45">
        <f t="shared" si="15"/>
        <v>3.1152355555555556E-2</v>
      </c>
      <c r="H149" s="45">
        <f ca="1">F149*F149*('Sheet1 select'!$B$25)*$B$3</f>
        <v>4.2570950505716803E-3</v>
      </c>
      <c r="I149" s="45">
        <f>F149*(1-$B$3)*'Sheet1 select'!$B$41</f>
        <v>7.8933333333333341E-2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3.8739669421487599E-5</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0.13478537304298363</v>
      </c>
      <c r="S149" s="48">
        <f t="shared" ca="1" si="18"/>
        <v>0.9461458523392654</v>
      </c>
      <c r="T149" s="49">
        <f ca="1">H149+K149+O149+N149+'Sheet1 select'!$B$40*I149+J149+P149</f>
        <v>2.4660944484673257E-2</v>
      </c>
      <c r="U149" s="169">
        <f t="shared" ca="1" si="19"/>
        <v>1.2660944484673257E-2</v>
      </c>
      <c r="V149" s="47">
        <f t="shared" ca="1" si="20"/>
        <v>0</v>
      </c>
    </row>
    <row r="150" spans="5:22">
      <c r="E150" s="32">
        <v>149</v>
      </c>
      <c r="F150" s="45">
        <f t="shared" si="14"/>
        <v>0.39733333333333332</v>
      </c>
      <c r="G150" s="45">
        <f t="shared" si="15"/>
        <v>3.1574755555555549E-2</v>
      </c>
      <c r="H150" s="45">
        <f ca="1">F150*F150*('Sheet1 select'!$B$25)*$B$3</f>
        <v>4.314817714469588E-3</v>
      </c>
      <c r="I150" s="45">
        <f>F150*(1-$B$3)*'Sheet1 select'!$B$41</f>
        <v>7.9466666666666672E-2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3.8739669421487599E-5</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0.13583534153639124</v>
      </c>
      <c r="S150" s="48">
        <f t="shared" ca="1" si="18"/>
        <v>0.94609356440981973</v>
      </c>
      <c r="T150" s="49">
        <f ca="1">H150+K150+O150+N150+'Sheet1 select'!$B$40*I150+J150+P150</f>
        <v>2.4755179644747528E-2</v>
      </c>
      <c r="U150" s="169">
        <f t="shared" ca="1" si="19"/>
        <v>1.2755179644747528E-2</v>
      </c>
      <c r="V150" s="47">
        <f t="shared" ca="1" si="20"/>
        <v>0</v>
      </c>
    </row>
    <row r="151" spans="5:22">
      <c r="E151" s="32">
        <v>150</v>
      </c>
      <c r="F151" s="45">
        <f t="shared" si="14"/>
        <v>0.4</v>
      </c>
      <c r="G151" s="45">
        <f t="shared" si="15"/>
        <v>3.2000000000000008E-2</v>
      </c>
      <c r="H151" s="45">
        <f ca="1">F151*F151*('Sheet1 select'!$B$25)*$B$3</f>
        <v>4.3729290831748917E-3</v>
      </c>
      <c r="I151" s="45">
        <f>F151*(1-$B$3)*'Sheet1 select'!$B$41</f>
        <v>8.0000000000000016E-2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3.8739669421487599E-5</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0.13688854317905072</v>
      </c>
      <c r="S151" s="48">
        <f t="shared" ca="1" si="18"/>
        <v>0.94604077362913575</v>
      </c>
      <c r="T151" s="49">
        <f ca="1">H151+K151+O151+N151+'Sheet1 select'!$B$40*I151+J151+P151</f>
        <v>2.4849803509629193E-2</v>
      </c>
      <c r="U151" s="169">
        <f t="shared" ca="1" si="19"/>
        <v>1.2849803509629193E-2</v>
      </c>
      <c r="V151" s="47">
        <f t="shared" ca="1" si="20"/>
        <v>0</v>
      </c>
    </row>
    <row r="152" spans="5:22">
      <c r="E152" s="32">
        <v>151</v>
      </c>
      <c r="F152" s="45">
        <f t="shared" si="14"/>
        <v>0.40266666666666673</v>
      </c>
      <c r="G152" s="45">
        <f t="shared" si="15"/>
        <v>3.2428088888888901E-2</v>
      </c>
      <c r="H152" s="45">
        <f ca="1">F152*F152*('Sheet1 select'!$B$25)*$B$3</f>
        <v>4.4314291566875871E-3</v>
      </c>
      <c r="I152" s="45">
        <f>F152*(1-$B$3)*'Sheet1 select'!$B$41</f>
        <v>8.0533333333333346E-2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3.8739669421487599E-5</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0.137944977970962</v>
      </c>
      <c r="S152" s="48">
        <f t="shared" ca="1" si="18"/>
        <v>0.94598749027061835</v>
      </c>
      <c r="T152" s="49">
        <f ca="1">H152+K152+O152+N152+'Sheet1 select'!$B$40*I152+J152+P152</f>
        <v>2.4944816079318251E-2</v>
      </c>
      <c r="U152" s="169">
        <f t="shared" ca="1" si="19"/>
        <v>1.2944816079318251E-2</v>
      </c>
      <c r="V152" s="47">
        <f t="shared" ca="1" si="20"/>
        <v>0</v>
      </c>
    </row>
    <row r="153" spans="5:22">
      <c r="E153" s="32">
        <v>152</v>
      </c>
      <c r="F153" s="45">
        <f t="shared" si="14"/>
        <v>0.40533333333333338</v>
      </c>
      <c r="G153" s="45">
        <f t="shared" si="15"/>
        <v>3.2859022222222228E-2</v>
      </c>
      <c r="H153" s="45">
        <f ca="1">F153*F153*('Sheet1 select'!$B$25)*$B$3</f>
        <v>4.4903179350076752E-3</v>
      </c>
      <c r="I153" s="45">
        <f>F153*(1-$B$3)*'Sheet1 select'!$B$41</f>
        <v>8.1066666666666676E-2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3.8739669421487599E-5</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0.13900464591212511</v>
      </c>
      <c r="S153" s="48">
        <f t="shared" ca="1" si="18"/>
        <v>0.94593372433879452</v>
      </c>
      <c r="T153" s="49">
        <f ca="1">H153+K153+O153+N153+'Sheet1 select'!$B$40*I153+J153+P153</f>
        <v>2.5040217353814703E-2</v>
      </c>
      <c r="U153" s="169">
        <f t="shared" ca="1" si="19"/>
        <v>1.3040217353814703E-2</v>
      </c>
      <c r="V153" s="47">
        <f t="shared" ca="1" si="20"/>
        <v>0</v>
      </c>
    </row>
    <row r="154" spans="5:22">
      <c r="E154" s="32">
        <v>153</v>
      </c>
      <c r="F154" s="45">
        <f t="shared" si="14"/>
        <v>0.40800000000000003</v>
      </c>
      <c r="G154" s="45">
        <f t="shared" si="15"/>
        <v>3.3292800000000004E-2</v>
      </c>
      <c r="H154" s="45">
        <f ca="1">F154*F154*('Sheet1 select'!$B$25)*$B$3</f>
        <v>4.5495954181351567E-3</v>
      </c>
      <c r="I154" s="45">
        <f>F154*(1-$B$3)*'Sheet1 select'!$B$41</f>
        <v>8.1600000000000006E-2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3.8739669421487599E-5</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0.14006754700254007</v>
      </c>
      <c r="S154" s="48">
        <f t="shared" ca="1" si="18"/>
        <v>0.94587948557804691</v>
      </c>
      <c r="T154" s="49">
        <f ca="1">H154+K154+O154+N154+'Sheet1 select'!$B$40*I154+J154+P154</f>
        <v>2.5136007333118545E-2</v>
      </c>
      <c r="U154" s="169">
        <f t="shared" ca="1" si="19"/>
        <v>1.3136007333118545E-2</v>
      </c>
      <c r="V154" s="47">
        <f t="shared" ca="1" si="20"/>
        <v>0</v>
      </c>
    </row>
    <row r="155" spans="5:22">
      <c r="E155" s="32">
        <v>154</v>
      </c>
      <c r="F155" s="45">
        <f t="shared" si="14"/>
        <v>0.41066666666666668</v>
      </c>
      <c r="G155" s="45">
        <f t="shared" si="15"/>
        <v>3.3729422222222222E-2</v>
      </c>
      <c r="H155" s="45">
        <f ca="1">F155*F155*('Sheet1 select'!$B$25)*$B$3</f>
        <v>4.6092616060700317E-3</v>
      </c>
      <c r="I155" s="45">
        <f>F155*(1-$B$3)*'Sheet1 select'!$B$41</f>
        <v>8.2133333333333336E-2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3.8739669421487599E-5</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0.14113368124220685</v>
      </c>
      <c r="S155" s="48">
        <f t="shared" ca="1" si="18"/>
        <v>0.94582478348101118</v>
      </c>
      <c r="T155" s="49">
        <f ca="1">H155+K155+O155+N155+'Sheet1 select'!$B$40*I155+J155+P155</f>
        <v>2.5232186017229784E-2</v>
      </c>
      <c r="U155" s="169">
        <f t="shared" ca="1" si="19"/>
        <v>1.3232186017229784E-2</v>
      </c>
      <c r="V155" s="47">
        <f t="shared" ca="1" si="20"/>
        <v>0</v>
      </c>
    </row>
    <row r="156" spans="5:22">
      <c r="E156" s="32">
        <v>155</v>
      </c>
      <c r="F156" s="45">
        <f t="shared" si="14"/>
        <v>0.41333333333333333</v>
      </c>
      <c r="G156" s="45">
        <f t="shared" si="15"/>
        <v>3.4168888888888888E-2</v>
      </c>
      <c r="H156" s="45">
        <f ca="1">F156*F156*('Sheet1 select'!$B$25)*$B$3</f>
        <v>4.6693164988122994E-3</v>
      </c>
      <c r="I156" s="45">
        <f>F156*(1-$B$3)*'Sheet1 select'!$B$41</f>
        <v>8.2666666666666666E-2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3.8739669421487599E-5</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0.14220304863112548</v>
      </c>
      <c r="S156" s="48">
        <f t="shared" ca="1" si="18"/>
        <v>0.94576962729665037</v>
      </c>
      <c r="T156" s="49">
        <f ca="1">H156+K156+O156+N156+'Sheet1 select'!$B$40*I156+J156+P156</f>
        <v>2.5328753406148413E-2</v>
      </c>
      <c r="U156" s="169">
        <f t="shared" ca="1" si="19"/>
        <v>1.3328753406148412E-2</v>
      </c>
      <c r="V156" s="47">
        <f t="shared" ca="1" si="20"/>
        <v>0</v>
      </c>
    </row>
    <row r="157" spans="5:22">
      <c r="E157" s="32">
        <v>156</v>
      </c>
      <c r="F157" s="45">
        <f t="shared" si="14"/>
        <v>0.41600000000000004</v>
      </c>
      <c r="G157" s="45">
        <f t="shared" si="15"/>
        <v>3.4611200000000009E-2</v>
      </c>
      <c r="H157" s="45">
        <f ca="1">F157*F157*('Sheet1 select'!$B$25)*$B$3</f>
        <v>4.7297600963619631E-3</v>
      </c>
      <c r="I157" s="45">
        <f>F157*(1-$B$3)*'Sheet1 select'!$B$41</f>
        <v>8.320000000000001E-2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3.8739669421487599E-5</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0.14327564916929597</v>
      </c>
      <c r="S157" s="48">
        <f t="shared" ca="1" si="18"/>
        <v>0.94571402603801857</v>
      </c>
      <c r="T157" s="49">
        <f ca="1">H157+K157+O157+N157+'Sheet1 select'!$B$40*I157+J157+P157</f>
        <v>2.5425709499874438E-2</v>
      </c>
      <c r="U157" s="169">
        <f t="shared" ca="1" si="19"/>
        <v>1.3425709499874438E-2</v>
      </c>
      <c r="V157" s="47">
        <f t="shared" ca="1" si="20"/>
        <v>0</v>
      </c>
    </row>
    <row r="158" spans="5:22">
      <c r="E158" s="32">
        <v>157</v>
      </c>
      <c r="F158" s="45">
        <f t="shared" si="14"/>
        <v>0.41866666666666669</v>
      </c>
      <c r="G158" s="45">
        <f t="shared" si="15"/>
        <v>3.5056355555555557E-2</v>
      </c>
      <c r="H158" s="45">
        <f ca="1">F158*F158*('Sheet1 select'!$B$25)*$B$3</f>
        <v>4.7905923987190168E-3</v>
      </c>
      <c r="I158" s="45">
        <f>F158*(1-$B$3)*'Sheet1 select'!$B$41</f>
        <v>8.373333333333334E-2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3.8739669421487599E-5</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0.14435148285671828</v>
      </c>
      <c r="S158" s="48">
        <f t="shared" ca="1" si="18"/>
        <v>0.9456579884897317</v>
      </c>
      <c r="T158" s="49">
        <f ca="1">H158+K158+O158+N158+'Sheet1 select'!$B$40*I158+J158+P158</f>
        <v>2.5523054298407854E-2</v>
      </c>
      <c r="U158" s="169">
        <f t="shared" ca="1" si="19"/>
        <v>1.3523054298407854E-2</v>
      </c>
      <c r="V158" s="47">
        <f t="shared" ca="1" si="20"/>
        <v>0</v>
      </c>
    </row>
    <row r="159" spans="5:22">
      <c r="E159" s="32">
        <v>158</v>
      </c>
      <c r="F159" s="45">
        <f t="shared" si="14"/>
        <v>0.42133333333333334</v>
      </c>
      <c r="G159" s="45">
        <f t="shared" si="15"/>
        <v>3.5504355555555554E-2</v>
      </c>
      <c r="H159" s="45">
        <f ca="1">F159*F159*('Sheet1 select'!$B$25)*$B$3</f>
        <v>4.8518134058834657E-3</v>
      </c>
      <c r="I159" s="45">
        <f>F159*(1-$B$3)*'Sheet1 select'!$B$41</f>
        <v>8.426666666666667E-2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3.8739669421487599E-5</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0.14543054969339242</v>
      </c>
      <c r="S159" s="48">
        <f t="shared" ca="1" si="18"/>
        <v>0.94560152321515467</v>
      </c>
      <c r="T159" s="49">
        <f ca="1">H159+K159+O159+N159+'Sheet1 select'!$B$40*I159+J159+P159</f>
        <v>2.5620787801748663E-2</v>
      </c>
      <c r="U159" s="169">
        <f t="shared" ca="1" si="19"/>
        <v>1.3620787801748663E-2</v>
      </c>
      <c r="V159" s="47">
        <f t="shared" ca="1" si="20"/>
        <v>0</v>
      </c>
    </row>
    <row r="160" spans="5:22">
      <c r="E160" s="32">
        <v>159</v>
      </c>
      <c r="F160" s="45">
        <f t="shared" si="14"/>
        <v>0.42399999999999999</v>
      </c>
      <c r="G160" s="45">
        <f t="shared" si="15"/>
        <v>3.59552E-2</v>
      </c>
      <c r="H160" s="45">
        <f ca="1">F160*F160*('Sheet1 select'!$B$25)*$B$3</f>
        <v>4.9134231178553072E-3</v>
      </c>
      <c r="I160" s="45">
        <f>F160*(1-$B$3)*'Sheet1 select'!$B$41</f>
        <v>8.48E-2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3.8739669421487599E-5</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0.14651284967931838</v>
      </c>
      <c r="S160" s="48">
        <f t="shared" ca="1" si="18"/>
        <v>0.94554463856332027</v>
      </c>
      <c r="T160" s="49">
        <f ca="1">H160+K160+O160+N160+'Sheet1 select'!$B$40*I160+J160+P160</f>
        <v>2.5718910009896869E-2</v>
      </c>
      <c r="U160" s="169">
        <f t="shared" ca="1" si="19"/>
        <v>1.3718910009896869E-2</v>
      </c>
      <c r="V160" s="47">
        <f t="shared" ca="1" si="20"/>
        <v>0</v>
      </c>
    </row>
    <row r="161" spans="5:22">
      <c r="E161" s="32">
        <v>160</v>
      </c>
      <c r="F161" s="45">
        <f t="shared" si="14"/>
        <v>0.42666666666666669</v>
      </c>
      <c r="G161" s="45">
        <f t="shared" si="15"/>
        <v>3.6408888888888893E-2</v>
      </c>
      <c r="H161" s="45">
        <f ca="1">F161*F161*('Sheet1 select'!$B$25)*$B$3</f>
        <v>4.9754215346345431E-3</v>
      </c>
      <c r="I161" s="45">
        <f>F161*(1-$B$3)*'Sheet1 select'!$B$41</f>
        <v>8.5333333333333344E-2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3.8739669421487599E-5</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0.14759838281449622</v>
      </c>
      <c r="S161" s="48">
        <f t="shared" ca="1" si="18"/>
        <v>0.94548734267558887</v>
      </c>
      <c r="T161" s="49">
        <f ca="1">H161+K161+O161+N161+'Sheet1 select'!$B$40*I161+J161+P161</f>
        <v>2.5817420922852465E-2</v>
      </c>
      <c r="U161" s="169">
        <f t="shared" ca="1" si="19"/>
        <v>1.3817420922852465E-2</v>
      </c>
      <c r="V161" s="47">
        <f t="shared" ca="1" si="20"/>
        <v>0</v>
      </c>
    </row>
    <row r="162" spans="5:22">
      <c r="E162" s="32">
        <v>161</v>
      </c>
      <c r="F162" s="45">
        <f t="shared" si="14"/>
        <v>0.42933333333333334</v>
      </c>
      <c r="G162" s="45">
        <f t="shared" si="15"/>
        <v>3.6865422222222222E-2</v>
      </c>
      <c r="H162" s="45">
        <f ca="1">F162*F162*('Sheet1 select'!$B$25)*$B$3</f>
        <v>5.0378086562211707E-3</v>
      </c>
      <c r="I162" s="45">
        <f>F162*(1-$B$3)*'Sheet1 select'!$B$41</f>
        <v>8.5866666666666674E-2</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3.8739669421487599E-5</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0.14868714909892586</v>
      </c>
      <c r="S162" s="48">
        <f t="shared" ca="1" si="18"/>
        <v>0.94542964349206193</v>
      </c>
      <c r="T162" s="49">
        <f ca="1">H162+K162+O162+N162+'Sheet1 select'!$B$40*I162+J162+P162</f>
        <v>2.5916320540615455E-2</v>
      </c>
      <c r="U162" s="169">
        <f t="shared" ca="1" si="19"/>
        <v>1.3916320540615455E-2</v>
      </c>
      <c r="V162" s="47">
        <f t="shared" ca="1" si="20"/>
        <v>0</v>
      </c>
    </row>
    <row r="163" spans="5:22">
      <c r="E163" s="32">
        <v>162</v>
      </c>
      <c r="F163" s="45">
        <f t="shared" si="14"/>
        <v>0.432</v>
      </c>
      <c r="G163" s="45">
        <f t="shared" si="15"/>
        <v>3.7324799999999998E-2</v>
      </c>
      <c r="H163" s="45">
        <f ca="1">F163*F163*('Sheet1 select'!$B$25)*$B$3</f>
        <v>5.1005844826151918E-3</v>
      </c>
      <c r="I163" s="45">
        <f>F163*(1-$B$3)*'Sheet1 select'!$B$41</f>
        <v>8.6400000000000005E-2</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3.8739669421487599E-5</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0.14977914853260735</v>
      </c>
      <c r="S163" s="48">
        <f t="shared" ca="1" si="18"/>
        <v>0.94537154875775875</v>
      </c>
      <c r="T163" s="49">
        <f ca="1">H163+K163+O163+N163+'Sheet1 select'!$B$40*I163+J163+P163</f>
        <v>2.6015608863185838E-2</v>
      </c>
      <c r="U163" s="169">
        <f t="shared" ca="1" si="19"/>
        <v>1.4015608863185838E-2</v>
      </c>
      <c r="V163" s="47">
        <f t="shared" ca="1" si="20"/>
        <v>0</v>
      </c>
    </row>
    <row r="164" spans="5:22">
      <c r="E164" s="32">
        <v>163</v>
      </c>
      <c r="F164" s="45">
        <f t="shared" si="14"/>
        <v>0.4346666666666667</v>
      </c>
      <c r="G164" s="45">
        <f t="shared" si="15"/>
        <v>3.778702222222223E-2</v>
      </c>
      <c r="H164" s="45">
        <f ca="1">F164*F164*('Sheet1 select'!$B$25)*$B$3</f>
        <v>5.163749013816608E-3</v>
      </c>
      <c r="I164" s="45">
        <f>F164*(1-$B$3)*'Sheet1 select'!$B$41</f>
        <v>8.6933333333333349E-2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3.8739669421487599E-5</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0.15087438111554072</v>
      </c>
      <c r="S164" s="48">
        <f t="shared" ca="1" si="18"/>
        <v>0.94531306602856802</v>
      </c>
      <c r="T164" s="49">
        <f ca="1">H164+K164+O164+N164+'Sheet1 select'!$B$40*I164+J164+P164</f>
        <v>2.6115285890563618E-2</v>
      </c>
      <c r="U164" s="169">
        <f t="shared" ca="1" si="19"/>
        <v>1.4115285890563618E-2</v>
      </c>
      <c r="V164" s="47">
        <f t="shared" ca="1" si="20"/>
        <v>0</v>
      </c>
    </row>
    <row r="165" spans="5:22">
      <c r="E165" s="32">
        <v>164</v>
      </c>
      <c r="F165" s="45">
        <f t="shared" si="14"/>
        <v>0.43733333333333341</v>
      </c>
      <c r="G165" s="45">
        <f t="shared" si="15"/>
        <v>3.8252088888888897E-2</v>
      </c>
      <c r="H165" s="45">
        <f ca="1">F165*F165*('Sheet1 select'!$B$25)*$B$3</f>
        <v>5.2273022498254178E-3</v>
      </c>
      <c r="I165" s="45">
        <f>F165*(1-$B$3)*'Sheet1 select'!$B$41</f>
        <v>8.7466666666666693E-2</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3.8739669421487599E-5</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0.15197284684772591</v>
      </c>
      <c r="S165" s="48">
        <f t="shared" ca="1" si="18"/>
        <v>0.94525420267698235</v>
      </c>
      <c r="T165" s="49">
        <f ca="1">H165+K165+O165+N165+'Sheet1 select'!$B$40*I165+J165+P165</f>
        <v>2.6215351622748791E-2</v>
      </c>
      <c r="U165" s="169">
        <f t="shared" ca="1" si="19"/>
        <v>1.4215351622748791E-2</v>
      </c>
      <c r="V165" s="47">
        <f t="shared" ca="1" si="20"/>
        <v>0</v>
      </c>
    </row>
    <row r="166" spans="5:22">
      <c r="E166" s="32">
        <v>165</v>
      </c>
      <c r="F166" s="45">
        <f t="shared" si="14"/>
        <v>0.44</v>
      </c>
      <c r="G166" s="45">
        <f t="shared" si="15"/>
        <v>3.8719999999999997E-2</v>
      </c>
      <c r="H166" s="45">
        <f ca="1">F166*F166*('Sheet1 select'!$B$25)*$B$3</f>
        <v>5.2912441906416176E-3</v>
      </c>
      <c r="I166" s="45">
        <f>F166*(1-$B$3)*'Sheet1 select'!$B$41</f>
        <v>8.8000000000000009E-2</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3.8739669421487599E-5</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0.15307454572916288</v>
      </c>
      <c r="S166" s="48">
        <f t="shared" ca="1" si="18"/>
        <v>0.94519496589762475</v>
      </c>
      <c r="T166" s="49">
        <f ca="1">H166+K166+O166+N166+'Sheet1 select'!$B$40*I166+J166+P166</f>
        <v>2.6315806059741351E-2</v>
      </c>
      <c r="U166" s="169">
        <f t="shared" ca="1" si="19"/>
        <v>1.4315806059741351E-2</v>
      </c>
      <c r="V166" s="47">
        <f t="shared" ca="1" si="20"/>
        <v>0</v>
      </c>
    </row>
    <row r="167" spans="5:22">
      <c r="E167" s="32">
        <v>166</v>
      </c>
      <c r="F167" s="45">
        <f t="shared" si="14"/>
        <v>0.44266666666666671</v>
      </c>
      <c r="G167" s="45">
        <f t="shared" si="15"/>
        <v>3.9190755555555561E-2</v>
      </c>
      <c r="H167" s="45">
        <f ca="1">F167*F167*('Sheet1 select'!$B$25)*$B$3</f>
        <v>5.3555748362652134E-3</v>
      </c>
      <c r="I167" s="45">
        <f>F167*(1-$B$3)*'Sheet1 select'!$B$41</f>
        <v>8.8533333333333353E-2</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3.8739669421487599E-5</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0.15417947775985172</v>
      </c>
      <c r="S167" s="48">
        <f t="shared" ca="1" si="18"/>
        <v>0.94513536271257781</v>
      </c>
      <c r="T167" s="49">
        <f ca="1">H167+K167+O167+N167+'Sheet1 select'!$B$40*I167+J167+P167</f>
        <v>2.6416649201541308E-2</v>
      </c>
      <c r="U167" s="169">
        <f t="shared" ca="1" si="19"/>
        <v>1.4416649201541308E-2</v>
      </c>
      <c r="V167" s="47">
        <f t="shared" ca="1" si="20"/>
        <v>0</v>
      </c>
    </row>
    <row r="168" spans="5:22">
      <c r="E168" s="32">
        <v>167</v>
      </c>
      <c r="F168" s="45">
        <f t="shared" si="14"/>
        <v>0.4453333333333333</v>
      </c>
      <c r="G168" s="45">
        <f t="shared" si="15"/>
        <v>3.9664355555555551E-2</v>
      </c>
      <c r="H168" s="45">
        <f ca="1">F168*F168*('Sheet1 select'!$B$25)*$B$3</f>
        <v>5.420294186696201E-3</v>
      </c>
      <c r="I168" s="45">
        <f>F168*(1-$B$3)*'Sheet1 select'!$B$41</f>
        <v>8.9066666666666669E-2</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3.8739669421487599E-5</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0.15528764293979239</v>
      </c>
      <c r="S168" s="48">
        <f t="shared" ca="1" si="18"/>
        <v>0.94507539997652112</v>
      </c>
      <c r="T168" s="49">
        <f ca="1">H168+K168+O168+N168+'Sheet1 select'!$B$40*I168+J168+P168</f>
        <v>2.6517881048148659E-2</v>
      </c>
      <c r="U168" s="169">
        <f t="shared" ca="1" si="19"/>
        <v>1.4517881048148659E-2</v>
      </c>
      <c r="V168" s="47">
        <f t="shared" ca="1" si="20"/>
        <v>0</v>
      </c>
    </row>
    <row r="169" spans="5:22">
      <c r="E169" s="32">
        <v>168</v>
      </c>
      <c r="F169" s="45">
        <f t="shared" si="14"/>
        <v>0.44800000000000001</v>
      </c>
      <c r="G169" s="45">
        <f t="shared" si="15"/>
        <v>4.0140800000000004E-2</v>
      </c>
      <c r="H169" s="45">
        <f ca="1">F169*F169*('Sheet1 select'!$B$25)*$B$3</f>
        <v>5.4854022419345838E-3</v>
      </c>
      <c r="I169" s="45">
        <f>F169*(1-$B$3)*'Sheet1 select'!$B$41</f>
        <v>8.9600000000000013E-2</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3.8739669421487599E-5</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0.15639904126898493</v>
      </c>
      <c r="S169" s="48">
        <f t="shared" ca="1" si="18"/>
        <v>0.94501508438168713</v>
      </c>
      <c r="T169" s="49">
        <f ca="1">H169+K169+O169+N169+'Sheet1 select'!$B$40*I169+J169+P169</f>
        <v>2.6619501599563403E-2</v>
      </c>
      <c r="U169" s="169">
        <f t="shared" ca="1" si="19"/>
        <v>1.4619501599563402E-2</v>
      </c>
      <c r="V169" s="47">
        <f t="shared" ca="1" si="20"/>
        <v>0</v>
      </c>
    </row>
    <row r="170" spans="5:22">
      <c r="E170" s="32">
        <v>169</v>
      </c>
      <c r="F170" s="45">
        <f t="shared" si="14"/>
        <v>0.45066666666666672</v>
      </c>
      <c r="G170" s="45">
        <f t="shared" si="15"/>
        <v>4.0620088888888899E-2</v>
      </c>
      <c r="H170" s="45">
        <f ca="1">F170*F170*('Sheet1 select'!$B$25)*$B$3</f>
        <v>5.5508990019803592E-3</v>
      </c>
      <c r="I170" s="45">
        <f>F170*(1-$B$3)*'Sheet1 select'!$B$41</f>
        <v>9.0133333333333343E-2</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3.8739669421487599E-5</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0.15751367274742931</v>
      </c>
      <c r="S170" s="48">
        <f t="shared" ca="1" si="18"/>
        <v>0.94495442246264183</v>
      </c>
      <c r="T170" s="49">
        <f ca="1">H170+K170+O170+N170+'Sheet1 select'!$B$40*I170+J170+P170</f>
        <v>2.672151085578554E-2</v>
      </c>
      <c r="U170" s="169">
        <f t="shared" ca="1" si="19"/>
        <v>1.472151085578554E-2</v>
      </c>
      <c r="V170" s="47">
        <f t="shared" ca="1" si="20"/>
        <v>0</v>
      </c>
    </row>
    <row r="171" spans="5:22">
      <c r="E171" s="32">
        <v>170</v>
      </c>
      <c r="F171" s="45">
        <f t="shared" si="14"/>
        <v>0.45333333333333331</v>
      </c>
      <c r="G171" s="45">
        <f t="shared" si="15"/>
        <v>4.1102222222222221E-2</v>
      </c>
      <c r="H171" s="45">
        <f ca="1">F171*F171*('Sheet1 select'!$B$25)*$B$3</f>
        <v>5.6167844668335255E-3</v>
      </c>
      <c r="I171" s="45">
        <f>F171*(1-$B$3)*'Sheet1 select'!$B$41</f>
        <v>9.0666666666666673E-2</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3.8739669421487599E-5</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0.15863153737512548</v>
      </c>
      <c r="S171" s="48">
        <f t="shared" ca="1" si="18"/>
        <v>0.94489342060089654</v>
      </c>
      <c r="T171" s="49">
        <f ca="1">H171+K171+O171+N171+'Sheet1 select'!$B$40*I171+J171+P171</f>
        <v>2.6823908816815067E-2</v>
      </c>
      <c r="U171" s="169">
        <f t="shared" ca="1" si="19"/>
        <v>1.4823908816815067E-2</v>
      </c>
      <c r="V171" s="47">
        <f t="shared" ca="1" si="20"/>
        <v>0</v>
      </c>
    </row>
    <row r="172" spans="5:22">
      <c r="E172" s="32">
        <v>171</v>
      </c>
      <c r="F172" s="45">
        <f t="shared" si="14"/>
        <v>0.45600000000000002</v>
      </c>
      <c r="G172" s="45">
        <f t="shared" si="15"/>
        <v>4.1587200000000005E-2</v>
      </c>
      <c r="H172" s="45">
        <f ca="1">F172*F172*('Sheet1 select'!$B$25)*$B$3</f>
        <v>5.6830586364940879E-3</v>
      </c>
      <c r="I172" s="45">
        <f>F172*(1-$B$3)*'Sheet1 select'!$B$41</f>
        <v>9.1200000000000003E-2</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3.8739669421487599E-5</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0.15975263515207352</v>
      </c>
      <c r="S172" s="48">
        <f t="shared" ca="1" si="18"/>
        <v>0.94483208502936089</v>
      </c>
      <c r="T172" s="49">
        <f ca="1">H172+K172+O172+N172+'Sheet1 select'!$B$40*I172+J172+P172</f>
        <v>2.6926695482651992E-2</v>
      </c>
      <c r="U172" s="169">
        <f t="shared" ca="1" si="19"/>
        <v>1.4926695482651992E-2</v>
      </c>
      <c r="V172" s="47">
        <f t="shared" ca="1" si="20"/>
        <v>0</v>
      </c>
    </row>
    <row r="173" spans="5:22">
      <c r="E173" s="32">
        <v>172</v>
      </c>
      <c r="F173" s="45">
        <f t="shared" si="14"/>
        <v>0.45866666666666667</v>
      </c>
      <c r="G173" s="45">
        <f t="shared" si="15"/>
        <v>4.2075022222222223E-2</v>
      </c>
      <c r="H173" s="45">
        <f ca="1">F173*F173*('Sheet1 select'!$B$25)*$B$3</f>
        <v>5.7497215109620437E-3</v>
      </c>
      <c r="I173" s="45">
        <f>F173*(1-$B$3)*'Sheet1 select'!$B$41</f>
        <v>9.1733333333333333E-2</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3.8739669421487599E-5</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0.16087696607827337</v>
      </c>
      <c r="S173" s="48">
        <f t="shared" ca="1" si="18"/>
        <v>0.94477042183663917</v>
      </c>
      <c r="T173" s="49">
        <f ca="1">H173+K173+O173+N173+'Sheet1 select'!$B$40*I173+J173+P173</f>
        <v>2.702987085329631E-2</v>
      </c>
      <c r="U173" s="169">
        <f t="shared" ca="1" si="19"/>
        <v>1.5029870853296309E-2</v>
      </c>
      <c r="V173" s="47">
        <f t="shared" ca="1" si="20"/>
        <v>0</v>
      </c>
    </row>
    <row r="174" spans="5:22">
      <c r="E174" s="32">
        <v>173</v>
      </c>
      <c r="F174" s="45">
        <f t="shared" si="14"/>
        <v>0.46133333333333337</v>
      </c>
      <c r="G174" s="45">
        <f t="shared" si="15"/>
        <v>4.2565688888888904E-2</v>
      </c>
      <c r="H174" s="45">
        <f ca="1">F174*F174*('Sheet1 select'!$B$25)*$B$3</f>
        <v>5.8167730902373921E-3</v>
      </c>
      <c r="I174" s="45">
        <f>F174*(1-$B$3)*'Sheet1 select'!$B$41</f>
        <v>9.2266666666666677E-2</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3.8739669421487599E-5</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0.16200453015372512</v>
      </c>
      <c r="S174" s="48">
        <f t="shared" ca="1" si="18"/>
        <v>0.94470843697117923</v>
      </c>
      <c r="T174" s="49">
        <f ca="1">H174+K174+O174+N174+'Sheet1 select'!$B$40*I174+J174+P174</f>
        <v>2.7133434928748021E-2</v>
      </c>
      <c r="U174" s="169">
        <f t="shared" ca="1" si="19"/>
        <v>1.5133434928748021E-2</v>
      </c>
      <c r="V174" s="47">
        <f t="shared" ca="1" si="20"/>
        <v>0</v>
      </c>
    </row>
    <row r="175" spans="5:22">
      <c r="E175" s="32">
        <v>174</v>
      </c>
      <c r="F175" s="45">
        <f t="shared" si="14"/>
        <v>0.46400000000000008</v>
      </c>
      <c r="G175" s="45">
        <f t="shared" si="15"/>
        <v>4.3059200000000013E-2</v>
      </c>
      <c r="H175" s="45">
        <f ca="1">F175*F175*('Sheet1 select'!$B$25)*$B$3</f>
        <v>5.8842133743201349E-3</v>
      </c>
      <c r="I175" s="45">
        <f>F175*(1-$B$3)*'Sheet1 select'!$B$41</f>
        <v>9.2800000000000021E-2</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3.8739669421487599E-5</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0.16313532737842867</v>
      </c>
      <c r="S175" s="48">
        <f t="shared" ca="1" si="18"/>
        <v>0.9446461362452796</v>
      </c>
      <c r="T175" s="49">
        <f ca="1">H175+K175+O175+N175+'Sheet1 select'!$B$40*I175+J175+P175</f>
        <v>2.7237387709007126E-2</v>
      </c>
      <c r="U175" s="169">
        <f t="shared" ca="1" si="19"/>
        <v>1.5237387709007125E-2</v>
      </c>
      <c r="V175" s="47">
        <f t="shared" ca="1" si="20"/>
        <v>0</v>
      </c>
    </row>
    <row r="176" spans="5:22">
      <c r="E176" s="32">
        <v>175</v>
      </c>
      <c r="F176" s="45">
        <f t="shared" si="14"/>
        <v>0.46666666666666667</v>
      </c>
      <c r="G176" s="45">
        <f t="shared" si="15"/>
        <v>4.3555555555555556E-2</v>
      </c>
      <c r="H176" s="45">
        <f ca="1">F176*F176*('Sheet1 select'!$B$25)*$B$3</f>
        <v>5.9520423632102686E-3</v>
      </c>
      <c r="I176" s="45">
        <f>F176*(1-$B$3)*'Sheet1 select'!$B$41</f>
        <v>9.3333333333333338E-2</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3.8739669421487599E-5</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0.16426935775238405</v>
      </c>
      <c r="S176" s="48">
        <f t="shared" ca="1" si="18"/>
        <v>0.9445835253389594</v>
      </c>
      <c r="T176" s="49">
        <f ca="1">H176+K176+O176+N176+'Sheet1 select'!$B$40*I176+J176+P176</f>
        <v>2.734172919407362E-2</v>
      </c>
      <c r="U176" s="169">
        <f t="shared" ca="1" si="19"/>
        <v>1.534172919407362E-2</v>
      </c>
      <c r="V176" s="47">
        <f t="shared" ca="1" si="20"/>
        <v>0</v>
      </c>
    </row>
    <row r="177" spans="5:22">
      <c r="E177" s="32">
        <v>176</v>
      </c>
      <c r="F177" s="45">
        <f t="shared" si="14"/>
        <v>0.46933333333333338</v>
      </c>
      <c r="G177" s="45">
        <f t="shared" si="15"/>
        <v>4.4054755555555568E-2</v>
      </c>
      <c r="H177" s="45">
        <f ca="1">F177*F177*('Sheet1 select'!$B$25)*$B$3</f>
        <v>6.0202600569077974E-3</v>
      </c>
      <c r="I177" s="45">
        <f>F177*(1-$B$3)*'Sheet1 select'!$B$41</f>
        <v>9.3866666666666682E-2</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3.8739669421487599E-5</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0.16540662127559128</v>
      </c>
      <c r="S177" s="48">
        <f t="shared" ca="1" si="18"/>
        <v>0.94452060980369656</v>
      </c>
      <c r="T177" s="49">
        <f ca="1">H177+K177+O177+N177+'Sheet1 select'!$B$40*I177+J177+P177</f>
        <v>2.7446459383947512E-2</v>
      </c>
      <c r="U177" s="169">
        <f t="shared" ca="1" si="19"/>
        <v>1.5446459383947512E-2</v>
      </c>
      <c r="V177" s="47">
        <f t="shared" ca="1" si="20"/>
        <v>0</v>
      </c>
    </row>
    <row r="178" spans="5:22">
      <c r="E178" s="32">
        <v>177</v>
      </c>
      <c r="F178" s="45">
        <f t="shared" si="14"/>
        <v>0.47199999999999998</v>
      </c>
      <c r="G178" s="45">
        <f t="shared" si="15"/>
        <v>4.4556799999999994E-2</v>
      </c>
      <c r="H178" s="45">
        <f ca="1">F178*F178*('Sheet1 select'!$B$25)*$B$3</f>
        <v>6.0888664554127172E-3</v>
      </c>
      <c r="I178" s="45">
        <f>F178*(1-$B$3)*'Sheet1 select'!$B$41</f>
        <v>9.4399999999999998E-2</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3.8739669421487599E-5</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0.16654711794805033</v>
      </c>
      <c r="S178" s="48">
        <f t="shared" ca="1" si="18"/>
        <v>0.94445739506604087</v>
      </c>
      <c r="T178" s="49">
        <f ca="1">H178+K178+O178+N178+'Sheet1 select'!$B$40*I178+J178+P178</f>
        <v>2.7551578278628794E-2</v>
      </c>
      <c r="U178" s="169">
        <f t="shared" ca="1" si="19"/>
        <v>1.5551578278628794E-2</v>
      </c>
      <c r="V178" s="47">
        <f t="shared" ca="1" si="20"/>
        <v>0</v>
      </c>
    </row>
    <row r="179" spans="5:22">
      <c r="E179" s="32">
        <v>178</v>
      </c>
      <c r="F179" s="45">
        <f t="shared" si="14"/>
        <v>0.47466666666666668</v>
      </c>
      <c r="G179" s="45">
        <f t="shared" si="15"/>
        <v>4.5061688888888889E-2</v>
      </c>
      <c r="H179" s="45">
        <f ca="1">F179*F179*('Sheet1 select'!$B$25)*$B$3</f>
        <v>6.157861558725033E-3</v>
      </c>
      <c r="I179" s="45">
        <f>F179*(1-$B$3)*'Sheet1 select'!$B$41</f>
        <v>9.4933333333333342E-2</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3.8739669421487599E-5</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0.1676908477697612</v>
      </c>
      <c r="S179" s="48">
        <f t="shared" ca="1" si="18"/>
        <v>0.94439388643110544</v>
      </c>
      <c r="T179" s="49">
        <f ca="1">H179+K179+O179+N179+'Sheet1 select'!$B$40*I179+J179+P179</f>
        <v>2.7657085878117472E-2</v>
      </c>
      <c r="U179" s="169">
        <f t="shared" ca="1" si="19"/>
        <v>1.5657085878117472E-2</v>
      </c>
      <c r="V179" s="47">
        <f t="shared" ca="1" si="20"/>
        <v>0</v>
      </c>
    </row>
    <row r="180" spans="5:22">
      <c r="E180" s="32">
        <v>179</v>
      </c>
      <c r="F180" s="45">
        <f t="shared" si="14"/>
        <v>0.47733333333333339</v>
      </c>
      <c r="G180" s="45">
        <f t="shared" si="15"/>
        <v>4.5569422222222239E-2</v>
      </c>
      <c r="H180" s="45">
        <f ca="1">F180*F180*('Sheet1 select'!$B$25)*$B$3</f>
        <v>6.2272453668447423E-3</v>
      </c>
      <c r="I180" s="45">
        <f>F180*(1-$B$3)*'Sheet1 select'!$B$41</f>
        <v>9.5466666666666686E-2</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3.8739669421487599E-5</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0.16883781074072399</v>
      </c>
      <c r="S180" s="48">
        <f t="shared" ca="1" si="18"/>
        <v>0.94433008908594163</v>
      </c>
      <c r="T180" s="49">
        <f ca="1">H180+K180+O180+N180+'Sheet1 select'!$B$40*I180+J180+P180</f>
        <v>2.7762982182413545E-2</v>
      </c>
      <c r="U180" s="169">
        <f t="shared" ca="1" si="19"/>
        <v>1.5762982182413544E-2</v>
      </c>
      <c r="V180" s="47">
        <f t="shared" ca="1" si="20"/>
        <v>0</v>
      </c>
    </row>
    <row r="181" spans="5:22">
      <c r="E181" s="32">
        <v>180</v>
      </c>
      <c r="F181" s="45">
        <f t="shared" si="14"/>
        <v>0.48</v>
      </c>
      <c r="G181" s="45">
        <f t="shared" si="15"/>
        <v>4.6079999999999996E-2</v>
      </c>
      <c r="H181" s="45">
        <f ca="1">F181*F181*('Sheet1 select'!$B$25)*$B$3</f>
        <v>6.2970178797718424E-3</v>
      </c>
      <c r="I181" s="45">
        <f>F181*(1-$B$3)*'Sheet1 select'!$B$41</f>
        <v>9.6000000000000002E-2</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3.8739669421487599E-5</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0.16998800686093851</v>
      </c>
      <c r="S181" s="48">
        <f t="shared" ca="1" si="18"/>
        <v>0.94426600810280203</v>
      </c>
      <c r="T181" s="49">
        <f ca="1">H181+K181+O181+N181+'Sheet1 select'!$B$40*I181+J181+P181</f>
        <v>2.7869267191517007E-2</v>
      </c>
      <c r="U181" s="169">
        <f t="shared" ca="1" si="19"/>
        <v>1.5869267191517007E-2</v>
      </c>
      <c r="V181" s="47">
        <f t="shared" ca="1" si="20"/>
        <v>0</v>
      </c>
    </row>
    <row r="182" spans="5:22">
      <c r="E182" s="32">
        <v>181</v>
      </c>
      <c r="F182" s="45">
        <f t="shared" si="14"/>
        <v>0.48266666666666669</v>
      </c>
      <c r="G182" s="45">
        <f t="shared" si="15"/>
        <v>4.6593422222222222E-2</v>
      </c>
      <c r="H182" s="45">
        <f ca="1">F182*F182*('Sheet1 select'!$B$25)*$B$3</f>
        <v>6.3671790975063378E-3</v>
      </c>
      <c r="I182" s="45">
        <f>F182*(1-$B$3)*'Sheet1 select'!$B$41</f>
        <v>9.6533333333333346E-2</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3.8739669421487599E-5</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0.17114143613040494</v>
      </c>
      <c r="S182" s="48">
        <f t="shared" ca="1" si="18"/>
        <v>0.94420164844229615</v>
      </c>
      <c r="T182" s="49">
        <f ca="1">H182+K182+O182+N182+'Sheet1 select'!$B$40*I182+J182+P182</f>
        <v>2.7975940905427862E-2</v>
      </c>
      <c r="U182" s="169">
        <f t="shared" ca="1" si="19"/>
        <v>1.5975940905427862E-2</v>
      </c>
      <c r="V182" s="47">
        <f t="shared" ca="1" si="20"/>
        <v>0</v>
      </c>
    </row>
    <row r="183" spans="5:22">
      <c r="E183" s="32">
        <v>182</v>
      </c>
      <c r="F183" s="45">
        <f t="shared" si="14"/>
        <v>0.48533333333333334</v>
      </c>
      <c r="G183" s="45">
        <f t="shared" si="15"/>
        <v>4.710968888888889E-2</v>
      </c>
      <c r="H183" s="45">
        <f ca="1">F183*F183*('Sheet1 select'!$B$25)*$B$3</f>
        <v>6.4377290200482258E-3</v>
      </c>
      <c r="I183" s="45">
        <f>F183*(1-$B$3)*'Sheet1 select'!$B$41</f>
        <v>9.7066666666666676E-2</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3.8739669421487599E-5</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0.1722980985491232</v>
      </c>
      <c r="S183" s="48">
        <f t="shared" ca="1" si="18"/>
        <v>0.94413701495644231</v>
      </c>
      <c r="T183" s="49">
        <f ca="1">H183+K183+O183+N183+'Sheet1 select'!$B$40*I183+J183+P183</f>
        <v>2.8083003324146111E-2</v>
      </c>
      <c r="U183" s="169">
        <f t="shared" ca="1" si="19"/>
        <v>1.6083003324146111E-2</v>
      </c>
      <c r="V183" s="47">
        <f t="shared" ca="1" si="20"/>
        <v>0</v>
      </c>
    </row>
    <row r="184" spans="5:22">
      <c r="E184" s="32">
        <v>183</v>
      </c>
      <c r="F184" s="45">
        <f t="shared" si="14"/>
        <v>0.48800000000000004</v>
      </c>
      <c r="G184" s="45">
        <f t="shared" si="15"/>
        <v>4.7628800000000013E-2</v>
      </c>
      <c r="H184" s="45">
        <f ca="1">F184*F184*('Sheet1 select'!$B$25)*$B$3</f>
        <v>6.508667647397509E-3</v>
      </c>
      <c r="I184" s="45">
        <f>F184*(1-$B$3)*'Sheet1 select'!$B$41</f>
        <v>9.760000000000002E-2</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3.8739669421487599E-5</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0.17345799411709331</v>
      </c>
      <c r="S184" s="48">
        <f t="shared" ca="1" si="18"/>
        <v>0.9440721123916197</v>
      </c>
      <c r="T184" s="49">
        <f ca="1">H184+K184+O184+N184+'Sheet1 select'!$B$40*I184+J184+P184</f>
        <v>2.8190454447671758E-2</v>
      </c>
      <c r="U184" s="169">
        <f t="shared" ca="1" si="19"/>
        <v>1.6190454447671757E-2</v>
      </c>
      <c r="V184" s="47">
        <f t="shared" ca="1" si="20"/>
        <v>0</v>
      </c>
    </row>
    <row r="185" spans="5:22">
      <c r="E185" s="32">
        <v>184</v>
      </c>
      <c r="F185" s="45">
        <f t="shared" si="14"/>
        <v>0.49066666666666675</v>
      </c>
      <c r="G185" s="45">
        <f t="shared" si="15"/>
        <v>4.8150755555555577E-2</v>
      </c>
      <c r="H185" s="45">
        <f ca="1">F185*F185*('Sheet1 select'!$B$25)*$B$3</f>
        <v>6.5799949795541848E-3</v>
      </c>
      <c r="I185" s="45">
        <f>F185*(1-$B$3)*'Sheet1 select'!$B$41</f>
        <v>9.813333333333335E-2</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3.8739669421487599E-5</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0.17462112283431525</v>
      </c>
      <c r="S185" s="48">
        <f t="shared" ca="1" si="18"/>
        <v>0.9440069453914256</v>
      </c>
      <c r="T185" s="49">
        <f ca="1">H185+K185+O185+N185+'Sheet1 select'!$B$40*I185+J185+P185</f>
        <v>2.8298294276004797E-2</v>
      </c>
      <c r="U185" s="169">
        <f t="shared" ca="1" si="19"/>
        <v>1.6298294276004797E-2</v>
      </c>
      <c r="V185" s="47">
        <f t="shared" ca="1" si="20"/>
        <v>0</v>
      </c>
    </row>
    <row r="186" spans="5:22">
      <c r="E186" s="32">
        <v>185</v>
      </c>
      <c r="F186" s="45">
        <f t="shared" si="14"/>
        <v>0.49333333333333335</v>
      </c>
      <c r="G186" s="45">
        <f t="shared" si="15"/>
        <v>4.8675555555555562E-2</v>
      </c>
      <c r="H186" s="45">
        <f ca="1">F186*F186*('Sheet1 select'!$B$25)*$B$3</f>
        <v>6.6517110165182514E-3</v>
      </c>
      <c r="I186" s="45">
        <f>F186*(1-$B$3)*'Sheet1 select'!$B$41</f>
        <v>9.866666666666668E-2</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3.8739669421487599E-5</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0.17578748470078898</v>
      </c>
      <c r="S186" s="48">
        <f t="shared" ca="1" si="18"/>
        <v>0.9439415184994393</v>
      </c>
      <c r="T186" s="49">
        <f ca="1">H186+K186+O186+N186+'Sheet1 select'!$B$40*I186+J186+P186</f>
        <v>2.8406522809145223E-2</v>
      </c>
      <c r="U186" s="169">
        <f t="shared" ca="1" si="19"/>
        <v>1.6406522809145223E-2</v>
      </c>
      <c r="V186" s="47">
        <f t="shared" ca="1" si="20"/>
        <v>0</v>
      </c>
    </row>
    <row r="187" spans="5:22">
      <c r="E187" s="32">
        <v>186</v>
      </c>
      <c r="F187" s="45">
        <f t="shared" si="14"/>
        <v>0.49600000000000005</v>
      </c>
      <c r="G187" s="45">
        <f t="shared" si="15"/>
        <v>4.9203200000000009E-2</v>
      </c>
      <c r="H187" s="45">
        <f ca="1">F187*F187*('Sheet1 select'!$B$25)*$B$3</f>
        <v>6.7238157582897133E-3</v>
      </c>
      <c r="I187" s="45">
        <f>F187*(1-$B$3)*'Sheet1 select'!$B$41</f>
        <v>9.920000000000001E-2</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3.8739669421487599E-5</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0.17695707971651459</v>
      </c>
      <c r="S187" s="48">
        <f t="shared" ca="1" si="18"/>
        <v>0.94387583616189763</v>
      </c>
      <c r="T187" s="49">
        <f ca="1">H187+K187+O187+N187+'Sheet1 select'!$B$40*I187+J187+P187</f>
        <v>2.851514004709305E-2</v>
      </c>
      <c r="U187" s="169">
        <f t="shared" ca="1" si="19"/>
        <v>1.6515140047093049E-2</v>
      </c>
      <c r="V187" s="47">
        <f t="shared" ca="1" si="20"/>
        <v>0</v>
      </c>
    </row>
    <row r="188" spans="5:22">
      <c r="E188" s="32">
        <v>187</v>
      </c>
      <c r="F188" s="45">
        <f t="shared" si="14"/>
        <v>0.49866666666666665</v>
      </c>
      <c r="G188" s="45">
        <f t="shared" si="15"/>
        <v>4.9733688888888884E-2</v>
      </c>
      <c r="H188" s="45">
        <f ca="1">F188*F188*('Sheet1 select'!$B$25)*$B$3</f>
        <v>6.7963092048685661E-3</v>
      </c>
      <c r="I188" s="45">
        <f>F188*(1-$B$3)*'Sheet1 select'!$B$41</f>
        <v>9.973333333333334E-2</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3.8739669421487599E-5</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0.17812990788149199</v>
      </c>
      <c r="S188" s="48">
        <f t="shared" ca="1" si="18"/>
        <v>0.94380990273028553</v>
      </c>
      <c r="T188" s="49">
        <f ca="1">H188+K188+O188+N188+'Sheet1 select'!$B$40*I188+J188+P188</f>
        <v>2.8624145989848263E-2</v>
      </c>
      <c r="U188" s="169">
        <f t="shared" ca="1" si="19"/>
        <v>1.6624145989848262E-2</v>
      </c>
      <c r="V188" s="47">
        <f t="shared" ca="1" si="20"/>
        <v>0</v>
      </c>
    </row>
    <row r="189" spans="5:22">
      <c r="E189" s="32">
        <v>188</v>
      </c>
      <c r="F189" s="45">
        <f t="shared" si="14"/>
        <v>0.5013333333333333</v>
      </c>
      <c r="G189" s="45">
        <f t="shared" si="15"/>
        <v>5.0267022222222207E-2</v>
      </c>
      <c r="H189" s="45">
        <f ca="1">F189*F189*('Sheet1 select'!$B$25)*$B$3</f>
        <v>6.869191356254814E-3</v>
      </c>
      <c r="I189" s="45">
        <f>F189*(1-$B$3)*'Sheet1 select'!$B$41</f>
        <v>0.10026666666666667</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3.8739669421487599E-5</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0.17930596919572128</v>
      </c>
      <c r="S189" s="48">
        <f t="shared" ca="1" si="18"/>
        <v>0.94374372246384397</v>
      </c>
      <c r="T189" s="49">
        <f ca="1">H189+K189+O189+N189+'Sheet1 select'!$B$40*I189+J189+P189</f>
        <v>2.8733540637410872E-2</v>
      </c>
      <c r="U189" s="169">
        <f t="shared" ca="1" si="19"/>
        <v>1.6733540637410872E-2</v>
      </c>
      <c r="V189" s="47">
        <f t="shared" ca="1" si="20"/>
        <v>0</v>
      </c>
    </row>
    <row r="190" spans="5:22">
      <c r="E190" s="32">
        <v>189</v>
      </c>
      <c r="F190" s="45">
        <f t="shared" si="14"/>
        <v>0.504</v>
      </c>
      <c r="G190" s="45">
        <f t="shared" si="15"/>
        <v>5.0803200000000007E-2</v>
      </c>
      <c r="H190" s="45">
        <f ca="1">F190*F190*('Sheet1 select'!$B$25)*$B$3</f>
        <v>6.9424622124484572E-3</v>
      </c>
      <c r="I190" s="45">
        <f>F190*(1-$B$3)*'Sheet1 select'!$B$41</f>
        <v>0.1008</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3.8739669421487599E-5</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0.18048526365920242</v>
      </c>
      <c r="S190" s="48">
        <f t="shared" ca="1" si="18"/>
        <v>0.94367729953199841</v>
      </c>
      <c r="T190" s="49">
        <f ca="1">H190+K190+O190+N190+'Sheet1 select'!$B$40*I190+J190+P190</f>
        <v>2.8843323989780879E-2</v>
      </c>
      <c r="U190" s="169">
        <f t="shared" ca="1" si="19"/>
        <v>1.6843323989780879E-2</v>
      </c>
      <c r="V190" s="47">
        <f t="shared" ca="1" si="20"/>
        <v>0</v>
      </c>
    </row>
    <row r="191" spans="5:22">
      <c r="E191" s="32">
        <v>190</v>
      </c>
      <c r="F191" s="45">
        <f t="shared" si="14"/>
        <v>0.50666666666666671</v>
      </c>
      <c r="G191" s="45">
        <f t="shared" si="15"/>
        <v>5.1342222222222234E-2</v>
      </c>
      <c r="H191" s="45">
        <f ca="1">F191*F191*('Sheet1 select'!$B$25)*$B$3</f>
        <v>7.016121773449493E-3</v>
      </c>
      <c r="I191" s="45">
        <f>F191*(1-$B$3)*'Sheet1 select'!$B$41</f>
        <v>0.10133333333333334</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3.8739669421487599E-5</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0.18166779127193539</v>
      </c>
      <c r="S191" s="48">
        <f t="shared" ca="1" si="18"/>
        <v>0.94361063801671119</v>
      </c>
      <c r="T191" s="49">
        <f ca="1">H191+K191+O191+N191+'Sheet1 select'!$B$40*I191+J191+P191</f>
        <v>2.8953496046958276E-2</v>
      </c>
      <c r="U191" s="169">
        <f t="shared" ca="1" si="19"/>
        <v>1.6953496046958276E-2</v>
      </c>
      <c r="V191" s="47">
        <f t="shared" ca="1" si="20"/>
        <v>0</v>
      </c>
    </row>
    <row r="192" spans="5:22">
      <c r="E192" s="32">
        <v>191</v>
      </c>
      <c r="F192" s="45">
        <f t="shared" si="14"/>
        <v>0.50933333333333342</v>
      </c>
      <c r="G192" s="45">
        <f t="shared" si="15"/>
        <v>5.1884088888888902E-2</v>
      </c>
      <c r="H192" s="45">
        <f ca="1">F192*F192*('Sheet1 select'!$B$25)*$B$3</f>
        <v>7.0901700392579214E-3</v>
      </c>
      <c r="I192" s="45">
        <f>F192*(1-$B$3)*'Sheet1 select'!$B$41</f>
        <v>0.10186666666666669</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3.8739669421487599E-5</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0.18285355203392015</v>
      </c>
      <c r="S192" s="48">
        <f t="shared" ca="1" si="18"/>
        <v>0.94354374191476098</v>
      </c>
      <c r="T192" s="49">
        <f ca="1">H192+K192+O192+N192+'Sheet1 select'!$B$40*I192+J192+P192</f>
        <v>2.9064056808943067E-2</v>
      </c>
      <c r="U192" s="169">
        <f t="shared" ca="1" si="19"/>
        <v>1.7064056808943066E-2</v>
      </c>
      <c r="V192" s="47">
        <f t="shared" ca="1" si="20"/>
        <v>0</v>
      </c>
    </row>
    <row r="193" spans="5:22">
      <c r="E193" s="32">
        <v>192</v>
      </c>
      <c r="F193" s="45">
        <f t="shared" si="14"/>
        <v>0.51200000000000012</v>
      </c>
      <c r="G193" s="45">
        <f t="shared" si="15"/>
        <v>5.2428800000000018E-2</v>
      </c>
      <c r="H193" s="45">
        <f ca="1">F193*F193*('Sheet1 select'!$B$25)*$B$3</f>
        <v>7.1646070098737432E-3</v>
      </c>
      <c r="I193" s="45">
        <f>F193*(1-$B$3)*'Sheet1 select'!$B$41</f>
        <v>0.10240000000000003</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3.8739669421487599E-5</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0.18404254594515682</v>
      </c>
      <c r="S193" s="48">
        <f t="shared" ca="1" si="18"/>
        <v>0.94347661513994951</v>
      </c>
      <c r="T193" s="49">
        <f ca="1">H193+K193+O193+N193+'Sheet1 select'!$B$40*I193+J193+P193</f>
        <v>2.917500627573525E-2</v>
      </c>
      <c r="U193" s="169">
        <f t="shared" ca="1" si="19"/>
        <v>1.717500627573525E-2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7.2394326852969568E-3</v>
      </c>
      <c r="I194" s="45">
        <f>F194*(1-$B$3)*'Sheet1 select'!$B$41</f>
        <v>0.10293333333333335</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3.8739669421487599E-5</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0.18523477300564525</v>
      </c>
      <c r="S194" s="48">
        <f t="shared" ref="S194:S257" ca="1" si="25">($B$11*F194)/($B$11*F194+R194)</f>
        <v>0.9434092615252424</v>
      </c>
      <c r="T194" s="49">
        <f ca="1">H194+K194+O194+N194+'Sheet1 select'!$B$40*I194+J194+P194</f>
        <v>2.9286344447334828E-2</v>
      </c>
      <c r="U194" s="169">
        <f t="shared" ref="U194:U257" ca="1" si="26">H194+K194+O194</f>
        <v>1.7286344447334828E-2</v>
      </c>
      <c r="V194" s="47">
        <f t="shared" ref="V194:V257" ca="1" si="27">J194+P194+Q194</f>
        <v>0</v>
      </c>
    </row>
    <row r="195" spans="5:22">
      <c r="E195" s="32">
        <v>194</v>
      </c>
      <c r="F195" s="45">
        <f t="shared" si="21"/>
        <v>0.51733333333333342</v>
      </c>
      <c r="G195" s="45">
        <f t="shared" si="22"/>
        <v>5.3526755555555576E-2</v>
      </c>
      <c r="H195" s="45">
        <f ca="1">F195*F195*('Sheet1 select'!$B$25)*$B$3</f>
        <v>7.3146470655275657E-3</v>
      </c>
      <c r="I195" s="45">
        <f>F195*(1-$B$3)*'Sheet1 select'!$B$41</f>
        <v>0.10346666666666669</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3.8739669421487599E-5</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0.18643023321538557</v>
      </c>
      <c r="S195" s="48">
        <f t="shared" ca="1" si="25"/>
        <v>0.94334168482484204</v>
      </c>
      <c r="T195" s="49">
        <f ca="1">H195+K195+O195+N195+'Sheet1 select'!$B$40*I195+J195+P195</f>
        <v>2.9398071323741799E-2</v>
      </c>
      <c r="U195" s="169">
        <f t="shared" ca="1" si="26"/>
        <v>1.7398071323741798E-2</v>
      </c>
      <c r="V195" s="47">
        <f t="shared" ca="1" si="27"/>
        <v>0</v>
      </c>
    </row>
    <row r="196" spans="5:22">
      <c r="E196" s="32">
        <v>195</v>
      </c>
      <c r="F196" s="45">
        <f t="shared" si="21"/>
        <v>0.52</v>
      </c>
      <c r="G196" s="45">
        <f t="shared" si="22"/>
        <v>5.4080000000000003E-2</v>
      </c>
      <c r="H196" s="45">
        <f ca="1">F196*F196*('Sheet1 select'!$B$25)*$B$3</f>
        <v>7.3902501505655662E-3</v>
      </c>
      <c r="I196" s="45">
        <f>F196*(1-$B$3)*'Sheet1 select'!$B$41</f>
        <v>0.10400000000000001</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3.8739669421487599E-5</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0.18762892657437769</v>
      </c>
      <c r="S196" s="48">
        <f t="shared" ca="1" si="25"/>
        <v>0.94327388871619888</v>
      </c>
      <c r="T196" s="49">
        <f ca="1">H196+K196+O196+N196+'Sheet1 select'!$B$40*I196+J196+P196</f>
        <v>2.9510186904956159E-2</v>
      </c>
      <c r="U196" s="169">
        <f t="shared" ca="1" si="26"/>
        <v>1.7510186904956159E-2</v>
      </c>
      <c r="V196" s="47">
        <f t="shared" ca="1" si="27"/>
        <v>0</v>
      </c>
    </row>
    <row r="197" spans="5:22">
      <c r="E197" s="32">
        <v>196</v>
      </c>
      <c r="F197" s="45">
        <f t="shared" si="21"/>
        <v>0.52266666666666672</v>
      </c>
      <c r="G197" s="45">
        <f t="shared" si="22"/>
        <v>5.4636088888888899E-2</v>
      </c>
      <c r="H197" s="45">
        <f ca="1">F197*F197*('Sheet1 select'!$B$25)*$B$3</f>
        <v>7.466241940410962E-3</v>
      </c>
      <c r="I197" s="45">
        <f>F197*(1-$B$3)*'Sheet1 select'!$B$41</f>
        <v>0.10453333333333335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3.8739669421487599E-5</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0.18883085308262168</v>
      </c>
      <c r="S197" s="48">
        <f t="shared" ca="1" si="25"/>
        <v>0.94320587680195911</v>
      </c>
      <c r="T197" s="49">
        <f ca="1">H197+K197+O197+N197+'Sheet1 select'!$B$40*I197+J197+P197</f>
        <v>2.9622691190977917E-2</v>
      </c>
      <c r="U197" s="169">
        <f t="shared" ca="1" si="26"/>
        <v>1.7622691190977917E-2</v>
      </c>
      <c r="V197" s="47">
        <f t="shared" ca="1" si="27"/>
        <v>0</v>
      </c>
    </row>
    <row r="198" spans="5:22">
      <c r="E198" s="32">
        <v>197</v>
      </c>
      <c r="F198" s="45">
        <f t="shared" si="21"/>
        <v>0.52533333333333343</v>
      </c>
      <c r="G198" s="45">
        <f t="shared" si="22"/>
        <v>5.5195022222222244E-2</v>
      </c>
      <c r="H198" s="45">
        <f ca="1">F198*F198*('Sheet1 select'!$B$25)*$B$3</f>
        <v>7.5426224350637512E-3</v>
      </c>
      <c r="I198" s="45">
        <f>F198*(1-$B$3)*'Sheet1 select'!$B$41</f>
        <v>0.1050666666666667</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3.8739669421487599E-5</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0.19003601274011753</v>
      </c>
      <c r="S198" s="48">
        <f t="shared" ca="1" si="25"/>
        <v>0.94313765261185567</v>
      </c>
      <c r="T198" s="49">
        <f ca="1">H198+K198+O198+N198+'Sheet1 select'!$B$40*I198+J198+P198</f>
        <v>2.9735584181807068E-2</v>
      </c>
      <c r="U198" s="169">
        <f t="shared" ca="1" si="26"/>
        <v>1.7735584181807068E-2</v>
      </c>
      <c r="V198" s="47">
        <f t="shared" ca="1" si="27"/>
        <v>0</v>
      </c>
    </row>
    <row r="199" spans="5:22">
      <c r="E199" s="32">
        <v>198</v>
      </c>
      <c r="F199" s="45">
        <f t="shared" si="21"/>
        <v>0.52800000000000002</v>
      </c>
      <c r="G199" s="45">
        <f t="shared" si="22"/>
        <v>5.5756800000000009E-2</v>
      </c>
      <c r="H199" s="45">
        <f ca="1">F199*F199*('Sheet1 select'!$B$25)*$B$3</f>
        <v>7.6193916345239305E-3</v>
      </c>
      <c r="I199" s="45">
        <f>F199*(1-$B$3)*'Sheet1 select'!$B$41</f>
        <v>0.10560000000000001</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3.8739669421487599E-5</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0.19124440554686514</v>
      </c>
      <c r="S199" s="48">
        <f t="shared" ca="1" si="25"/>
        <v>0.94306921960454027</v>
      </c>
      <c r="T199" s="49">
        <f ca="1">H199+K199+O199+N199+'Sheet1 select'!$B$40*I199+J199+P199</f>
        <v>2.984886587744361E-2</v>
      </c>
      <c r="U199" s="169">
        <f t="shared" ca="1" si="26"/>
        <v>1.7848865877443609E-2</v>
      </c>
      <c r="V199" s="47">
        <f t="shared" ca="1" si="27"/>
        <v>0</v>
      </c>
    </row>
    <row r="200" spans="5:22">
      <c r="E200" s="32">
        <v>199</v>
      </c>
      <c r="F200" s="45">
        <f t="shared" si="21"/>
        <v>0.53066666666666673</v>
      </c>
      <c r="G200" s="45">
        <f t="shared" si="22"/>
        <v>5.6321422222222244E-2</v>
      </c>
      <c r="H200" s="45">
        <f ca="1">F200*F200*('Sheet1 select'!$B$25)*$B$3</f>
        <v>7.6965495387915066E-3</v>
      </c>
      <c r="I200" s="45">
        <f>F200*(1-$B$3)*'Sheet1 select'!$B$41</f>
        <v>0.10613333333333336</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3.8739669421487599E-5</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0.19245603150286467</v>
      </c>
      <c r="S200" s="48">
        <f t="shared" ca="1" si="25"/>
        <v>0.94300058116936225</v>
      </c>
      <c r="T200" s="49">
        <f ca="1">H200+K200+O200+N200+'Sheet1 select'!$B$40*I200+J200+P200</f>
        <v>2.9962536277887548E-2</v>
      </c>
      <c r="U200" s="169">
        <f t="shared" ca="1" si="26"/>
        <v>1.7962536277887547E-2</v>
      </c>
      <c r="V200" s="47">
        <f t="shared" ca="1" si="27"/>
        <v>0</v>
      </c>
    </row>
    <row r="201" spans="5:22">
      <c r="E201" s="32">
        <v>200</v>
      </c>
      <c r="F201" s="45">
        <f t="shared" si="21"/>
        <v>0.53333333333333333</v>
      </c>
      <c r="G201" s="45">
        <f t="shared" si="22"/>
        <v>5.6888888888888885E-2</v>
      </c>
      <c r="H201" s="45">
        <f ca="1">F201*F201*('Sheet1 select'!$B$25)*$B$3</f>
        <v>7.774096147866472E-3</v>
      </c>
      <c r="I201" s="45">
        <f>F201*(1-$B$3)*'Sheet1 select'!$B$41</f>
        <v>0.10666666666666667</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3.8739669421487599E-5</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0.19367089060811593</v>
      </c>
      <c r="S201" s="48">
        <f t="shared" ca="1" si="25"/>
        <v>0.9429317406280926</v>
      </c>
      <c r="T201" s="49">
        <f ca="1">H201+K201+O201+N201+'Sheet1 select'!$B$40*I201+J201+P201</f>
        <v>3.0076595383138876E-2</v>
      </c>
      <c r="U201" s="169">
        <f t="shared" ca="1" si="26"/>
        <v>1.8076595383138876E-2</v>
      </c>
      <c r="V201" s="47">
        <f t="shared" ca="1" si="27"/>
        <v>0</v>
      </c>
    </row>
    <row r="202" spans="5:22">
      <c r="E202" s="32">
        <v>201</v>
      </c>
      <c r="F202" s="45">
        <f t="shared" si="21"/>
        <v>0.53600000000000003</v>
      </c>
      <c r="G202" s="45">
        <f t="shared" si="22"/>
        <v>5.7459200000000009E-2</v>
      </c>
      <c r="H202" s="45">
        <f ca="1">F202*F202*('Sheet1 select'!$B$25)*$B$3</f>
        <v>7.852031461748836E-3</v>
      </c>
      <c r="I202" s="45">
        <f>F202*(1-$B$3)*'Sheet1 select'!$B$41</f>
        <v>0.10720000000000002</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3.8739669421487599E-5</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0.19488898286261913</v>
      </c>
      <c r="S202" s="48">
        <f t="shared" ca="1" si="25"/>
        <v>0.94286270123659766</v>
      </c>
      <c r="T202" s="49">
        <f ca="1">H202+K202+O202+N202+'Sheet1 select'!$B$40*I202+J202+P202</f>
        <v>3.0191043193197601E-2</v>
      </c>
      <c r="U202" s="169">
        <f t="shared" ca="1" si="26"/>
        <v>1.8191043193197601E-2</v>
      </c>
      <c r="V202" s="47">
        <f t="shared" ca="1" si="27"/>
        <v>0</v>
      </c>
    </row>
    <row r="203" spans="5:22">
      <c r="E203" s="32">
        <v>202</v>
      </c>
      <c r="F203" s="45">
        <f t="shared" si="21"/>
        <v>0.53866666666666674</v>
      </c>
      <c r="G203" s="45">
        <f t="shared" si="22"/>
        <v>5.8032355555555568E-2</v>
      </c>
      <c r="H203" s="45">
        <f ca="1">F203*F203*('Sheet1 select'!$B$25)*$B$3</f>
        <v>7.93035548043859E-3</v>
      </c>
      <c r="I203" s="45">
        <f>F203*(1-$B$3)*'Sheet1 select'!$B$41</f>
        <v>0.10773333333333335</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3.8739669421487599E-5</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0.19611030826637416</v>
      </c>
      <c r="S203" s="48">
        <f t="shared" ca="1" si="25"/>
        <v>0.94279346618646331</v>
      </c>
      <c r="T203" s="49">
        <f ca="1">H203+K203+O203+N203+'Sheet1 select'!$B$40*I203+J203+P203</f>
        <v>3.030587970806372E-2</v>
      </c>
      <c r="U203" s="169">
        <f t="shared" ca="1" si="26"/>
        <v>1.8305879708063719E-2</v>
      </c>
      <c r="V203" s="47">
        <f t="shared" ca="1" si="27"/>
        <v>0</v>
      </c>
    </row>
    <row r="204" spans="5:22">
      <c r="E204" s="32">
        <v>203</v>
      </c>
      <c r="F204" s="45">
        <f t="shared" si="21"/>
        <v>0.54133333333333333</v>
      </c>
      <c r="G204" s="45">
        <f t="shared" si="22"/>
        <v>5.8608355555555554E-2</v>
      </c>
      <c r="H204" s="45">
        <f ca="1">F204*F204*('Sheet1 select'!$B$25)*$B$3</f>
        <v>8.0090682039357375E-3</v>
      </c>
      <c r="I204" s="45">
        <f>F204*(1-$B$3)*'Sheet1 select'!$B$41</f>
        <v>0.10826666666666668</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3.8739669421487599E-5</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0.19733486681938098</v>
      </c>
      <c r="S204" s="48">
        <f t="shared" ca="1" si="25"/>
        <v>0.94272403860657128</v>
      </c>
      <c r="T204" s="49">
        <f ca="1">H204+K204+O204+N204+'Sheet1 select'!$B$40*I204+J204+P204</f>
        <v>3.0421104927737225E-2</v>
      </c>
      <c r="U204" s="169">
        <f t="shared" ca="1" si="26"/>
        <v>1.8421104927737224E-2</v>
      </c>
      <c r="V204" s="47">
        <f t="shared" ca="1" si="27"/>
        <v>0</v>
      </c>
    </row>
    <row r="205" spans="5:22">
      <c r="E205" s="32">
        <v>204</v>
      </c>
      <c r="F205" s="45">
        <f t="shared" si="21"/>
        <v>0.54400000000000004</v>
      </c>
      <c r="G205" s="45">
        <f t="shared" si="22"/>
        <v>5.9187200000000002E-2</v>
      </c>
      <c r="H205" s="45">
        <f ca="1">F205*F205*('Sheet1 select'!$B$25)*$B$3</f>
        <v>8.0881696322402784E-3</v>
      </c>
      <c r="I205" s="45">
        <f>F205*(1-$B$3)*'Sheet1 select'!$B$41</f>
        <v>0.10880000000000001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3.8739669421487599E-5</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0.19856265852163965</v>
      </c>
      <c r="S205" s="48">
        <f t="shared" ca="1" si="25"/>
        <v>0.94265442156462886</v>
      </c>
      <c r="T205" s="49">
        <f ca="1">H205+K205+O205+N205+'Sheet1 select'!$B$40*I205+J205+P205</f>
        <v>3.053671885221813E-2</v>
      </c>
      <c r="U205" s="169">
        <f t="shared" ca="1" si="26"/>
        <v>1.853671885221813E-2</v>
      </c>
      <c r="V205" s="47">
        <f t="shared" ca="1" si="27"/>
        <v>0</v>
      </c>
    </row>
    <row r="206" spans="5:22">
      <c r="E206" s="32">
        <v>205</v>
      </c>
      <c r="F206" s="45">
        <f t="shared" si="21"/>
        <v>0.54666666666666663</v>
      </c>
      <c r="G206" s="45">
        <f t="shared" si="22"/>
        <v>5.9768888888888885E-2</v>
      </c>
      <c r="H206" s="45">
        <f ca="1">F206*F206*('Sheet1 select'!$B$25)*$B$3</f>
        <v>8.1676597653522112E-3</v>
      </c>
      <c r="I206" s="45">
        <f>F206*(1-$B$3)*'Sheet1 select'!$B$41</f>
        <v>0.10933333333333334</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3.8739669421487599E-5</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0.19979368337315015</v>
      </c>
      <c r="S206" s="48">
        <f t="shared" ca="1" si="25"/>
        <v>0.94258461806865534</v>
      </c>
      <c r="T206" s="49">
        <f ca="1">H206+K206+O206+N206+'Sheet1 select'!$B$40*I206+J206+P206</f>
        <v>3.0652721481506426E-2</v>
      </c>
      <c r="U206" s="169">
        <f t="shared" ca="1" si="26"/>
        <v>1.8652721481506426E-2</v>
      </c>
      <c r="V206" s="47">
        <f t="shared" ca="1" si="27"/>
        <v>0</v>
      </c>
    </row>
    <row r="207" spans="5:22">
      <c r="E207" s="32">
        <v>206</v>
      </c>
      <c r="F207" s="45">
        <f t="shared" si="21"/>
        <v>0.54933333333333334</v>
      </c>
      <c r="G207" s="45">
        <f t="shared" si="22"/>
        <v>6.0353422222222224E-2</v>
      </c>
      <c r="H207" s="45">
        <f ca="1">F207*F207*('Sheet1 select'!$B$25)*$B$3</f>
        <v>8.2475386032715408E-3</v>
      </c>
      <c r="I207" s="45">
        <f>F207*(1-$B$3)*'Sheet1 select'!$B$41</f>
        <v>0.10986666666666667</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3.8739669421487599E-5</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0.20102794137391253</v>
      </c>
      <c r="S207" s="48">
        <f t="shared" ca="1" si="25"/>
        <v>0.94251463106842304</v>
      </c>
      <c r="T207" s="49">
        <f ca="1">H207+K207+O207+N207+'Sheet1 select'!$B$40*I207+J207+P207</f>
        <v>3.0769112815602115E-2</v>
      </c>
      <c r="U207" s="169">
        <f t="shared" ca="1" si="26"/>
        <v>1.8769112815602115E-2</v>
      </c>
      <c r="V207" s="47">
        <f t="shared" ca="1" si="27"/>
        <v>0</v>
      </c>
    </row>
    <row r="208" spans="5:22">
      <c r="E208" s="32">
        <v>207</v>
      </c>
      <c r="F208" s="45">
        <f t="shared" si="21"/>
        <v>0.55200000000000005</v>
      </c>
      <c r="G208" s="45">
        <f t="shared" si="22"/>
        <v>6.0940800000000003E-2</v>
      </c>
      <c r="H208" s="45">
        <f ca="1">F208*F208*('Sheet1 select'!$B$25)*$B$3</f>
        <v>8.3278061459982622E-3</v>
      </c>
      <c r="I208" s="45">
        <f>F208*(1-$B$3)*'Sheet1 select'!$B$41</f>
        <v>0.11040000000000001</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3.8739669421487599E-5</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0.20226543252392673</v>
      </c>
      <c r="S208" s="48">
        <f t="shared" ca="1" si="25"/>
        <v>0.94244446345685939</v>
      </c>
      <c r="T208" s="49">
        <f ca="1">H208+K208+O208+N208+'Sheet1 select'!$B$40*I208+J208+P208</f>
        <v>3.0885892854505201E-2</v>
      </c>
      <c r="U208" s="169">
        <f t="shared" ca="1" si="26"/>
        <v>1.8885892854505201E-2</v>
      </c>
      <c r="V208" s="47">
        <f t="shared" ca="1" si="27"/>
        <v>0</v>
      </c>
    </row>
    <row r="209" spans="5:22">
      <c r="E209" s="32">
        <v>208</v>
      </c>
      <c r="F209" s="45">
        <f t="shared" si="21"/>
        <v>0.55466666666666664</v>
      </c>
      <c r="G209" s="45">
        <f t="shared" si="22"/>
        <v>6.1531022222222218E-2</v>
      </c>
      <c r="H209" s="45">
        <f ca="1">F209*F209*('Sheet1 select'!$B$25)*$B$3</f>
        <v>8.4084623935323771E-3</v>
      </c>
      <c r="I209" s="45">
        <f>F209*(1-$B$3)*'Sheet1 select'!$B$41</f>
        <v>0.11093333333333333</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3.8739669421487599E-5</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0.20350615682319276</v>
      </c>
      <c r="S209" s="48">
        <f t="shared" ca="1" si="25"/>
        <v>0.94237411807140692</v>
      </c>
      <c r="T209" s="49">
        <f ca="1">H209+K209+O209+N209+'Sheet1 select'!$B$40*I209+J209+P209</f>
        <v>3.1003061598215673E-2</v>
      </c>
      <c r="U209" s="169">
        <f t="shared" ca="1" si="26"/>
        <v>1.9003061598215673E-2</v>
      </c>
      <c r="V209" s="47">
        <f t="shared" ca="1" si="27"/>
        <v>0</v>
      </c>
    </row>
    <row r="210" spans="5:22">
      <c r="E210" s="32">
        <v>209</v>
      </c>
      <c r="F210" s="45">
        <f t="shared" si="21"/>
        <v>0.55733333333333335</v>
      </c>
      <c r="G210" s="45">
        <f t="shared" si="22"/>
        <v>6.2124088888888894E-2</v>
      </c>
      <c r="H210" s="45">
        <f ca="1">F210*F210*('Sheet1 select'!$B$25)*$B$3</f>
        <v>8.4895073458738854E-3</v>
      </c>
      <c r="I210" s="45">
        <f>F210*(1-$B$3)*'Sheet1 select'!$B$41</f>
        <v>0.11146666666666667</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3.8739669421487599E-5</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0.20475011427171064</v>
      </c>
      <c r="S210" s="48">
        <f t="shared" ca="1" si="25"/>
        <v>0.94230359769534511</v>
      </c>
      <c r="T210" s="49">
        <f ca="1">H210+K210+O210+N210+'Sheet1 select'!$B$40*I210+J210+P210</f>
        <v>3.1120619046733546E-2</v>
      </c>
      <c r="U210" s="169">
        <f t="shared" ca="1" si="26"/>
        <v>1.9120619046733546E-2</v>
      </c>
      <c r="V210" s="47">
        <f t="shared" ca="1" si="27"/>
        <v>0</v>
      </c>
    </row>
    <row r="211" spans="5:22">
      <c r="E211" s="32">
        <v>210</v>
      </c>
      <c r="F211" s="45">
        <f t="shared" si="21"/>
        <v>0.56000000000000005</v>
      </c>
      <c r="G211" s="45">
        <f t="shared" si="22"/>
        <v>6.2720000000000012E-2</v>
      </c>
      <c r="H211" s="45">
        <f ca="1">F211*F211*('Sheet1 select'!$B$25)*$B$3</f>
        <v>8.5709410030227872E-3</v>
      </c>
      <c r="I211" s="45">
        <f>F211*(1-$B$3)*'Sheet1 select'!$B$41</f>
        <v>0.11200000000000002</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3.8739669421487599E-5</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0.20599730486948034</v>
      </c>
      <c r="S211" s="48">
        <f t="shared" ca="1" si="25"/>
        <v>0.94223290505907431</v>
      </c>
      <c r="T211" s="49">
        <f ca="1">H211+K211+O211+N211+'Sheet1 select'!$B$40*I211+J211+P211</f>
        <v>3.1238565200058813E-2</v>
      </c>
      <c r="U211" s="169">
        <f t="shared" ca="1" si="26"/>
        <v>1.9238565200058812E-2</v>
      </c>
      <c r="V211" s="47">
        <f t="shared" ca="1" si="27"/>
        <v>0</v>
      </c>
    </row>
    <row r="212" spans="5:22">
      <c r="E212" s="32">
        <v>211</v>
      </c>
      <c r="F212" s="45">
        <f t="shared" si="21"/>
        <v>0.56266666666666676</v>
      </c>
      <c r="G212" s="45">
        <f t="shared" si="22"/>
        <v>6.3318755555555564E-2</v>
      </c>
      <c r="H212" s="45">
        <f ca="1">F212*F212*('Sheet1 select'!$B$25)*$B$3</f>
        <v>8.6527633649790825E-3</v>
      </c>
      <c r="I212" s="45">
        <f>F212*(1-$B$3)*'Sheet1 select'!$B$41</f>
        <v>0.11253333333333336</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3.8739669421487599E-5</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0.2072477286165019</v>
      </c>
      <c r="S212" s="48">
        <f t="shared" ca="1" si="25"/>
        <v>0.94216204284136373</v>
      </c>
      <c r="T212" s="49">
        <f ca="1">H212+K212+O212+N212+'Sheet1 select'!$B$40*I212+J212+P212</f>
        <v>3.1356900058191473E-2</v>
      </c>
      <c r="U212" s="169">
        <f t="shared" ca="1" si="26"/>
        <v>1.9356900058191469E-2</v>
      </c>
      <c r="V212" s="47">
        <f t="shared" ca="1" si="27"/>
        <v>0</v>
      </c>
    </row>
    <row r="213" spans="5:22">
      <c r="E213" s="32">
        <v>212</v>
      </c>
      <c r="F213" s="45">
        <f t="shared" si="21"/>
        <v>0.56533333333333335</v>
      </c>
      <c r="G213" s="45">
        <f t="shared" si="22"/>
        <v>6.3920355555555572E-2</v>
      </c>
      <c r="H213" s="45">
        <f ca="1">F213*F213*('Sheet1 select'!$B$25)*$B$3</f>
        <v>8.7349744317427695E-3</v>
      </c>
      <c r="I213" s="45">
        <f>F213*(1-$B$3)*'Sheet1 select'!$B$41</f>
        <v>0.11306666666666668</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3.8739669421487599E-5</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0.20850138551277528</v>
      </c>
      <c r="S213" s="48">
        <f t="shared" ca="1" si="25"/>
        <v>0.94209101367056391</v>
      </c>
      <c r="T213" s="49">
        <f ca="1">H213+K213+O213+N213+'Sheet1 select'!$B$40*I213+J213+P213</f>
        <v>3.1475623621131515E-2</v>
      </c>
      <c r="U213" s="169">
        <f t="shared" ca="1" si="26"/>
        <v>1.9475623621131515E-2</v>
      </c>
      <c r="V213" s="47">
        <f t="shared" ca="1" si="27"/>
        <v>0</v>
      </c>
    </row>
    <row r="214" spans="5:22">
      <c r="E214" s="32">
        <v>213</v>
      </c>
      <c r="F214" s="45">
        <f t="shared" si="21"/>
        <v>0.56800000000000006</v>
      </c>
      <c r="G214" s="45">
        <f t="shared" si="22"/>
        <v>6.4524800000000021E-2</v>
      </c>
      <c r="H214" s="45">
        <f ca="1">F214*F214*('Sheet1 select'!$B$25)*$B$3</f>
        <v>8.8175742033138518E-3</v>
      </c>
      <c r="I214" s="45">
        <f>F214*(1-$B$3)*'Sheet1 select'!$B$41</f>
        <v>0.11360000000000002</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3.8739669421487599E-5</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0.20975827555830051</v>
      </c>
      <c r="S214" s="48">
        <f t="shared" ca="1" si="25"/>
        <v>0.94201982012578489</v>
      </c>
      <c r="T214" s="49">
        <f ca="1">H214+K214+O214+N214+'Sheet1 select'!$B$40*I214+J214+P214</f>
        <v>3.1594735888878962E-2</v>
      </c>
      <c r="U214" s="169">
        <f t="shared" ca="1" si="26"/>
        <v>1.9594735888878962E-2</v>
      </c>
      <c r="V214" s="47">
        <f t="shared" ca="1" si="27"/>
        <v>0</v>
      </c>
    </row>
    <row r="215" spans="5:22">
      <c r="E215" s="32">
        <v>214</v>
      </c>
      <c r="F215" s="45">
        <f t="shared" si="21"/>
        <v>0.57066666666666677</v>
      </c>
      <c r="G215" s="45">
        <f t="shared" si="22"/>
        <v>6.5132088888888912E-2</v>
      </c>
      <c r="H215" s="45">
        <f ca="1">F215*F215*('Sheet1 select'!$B$25)*$B$3</f>
        <v>8.9005626796923275E-3</v>
      </c>
      <c r="I215" s="45">
        <f>F215*(1-$B$3)*'Sheet1 select'!$B$41</f>
        <v>0.11413333333333336</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3.8739669421487599E-5</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0.2110183987530776</v>
      </c>
      <c r="S215" s="48">
        <f t="shared" ca="1" si="25"/>
        <v>0.94194846473804272</v>
      </c>
      <c r="T215" s="49">
        <f ca="1">H215+K215+O215+N215+'Sheet1 select'!$B$40*I215+J215+P215</f>
        <v>3.1714236861433799E-2</v>
      </c>
      <c r="U215" s="169">
        <f t="shared" ca="1" si="26"/>
        <v>1.9714236861433799E-2</v>
      </c>
      <c r="V215" s="47">
        <f t="shared" ca="1" si="27"/>
        <v>0</v>
      </c>
    </row>
    <row r="216" spans="5:22">
      <c r="E216" s="32">
        <v>215</v>
      </c>
      <c r="F216" s="45">
        <f t="shared" si="21"/>
        <v>0.57333333333333336</v>
      </c>
      <c r="G216" s="45">
        <f t="shared" si="22"/>
        <v>6.574222222222223E-2</v>
      </c>
      <c r="H216" s="45">
        <f ca="1">F216*F216*('Sheet1 select'!$B$25)*$B$3</f>
        <v>8.9839398608781932E-3</v>
      </c>
      <c r="I216" s="45">
        <f>F216*(1-$B$3)*'Sheet1 select'!$B$41</f>
        <v>0.11466666666666668</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3.8739669421487599E-5</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0.21228175509710645</v>
      </c>
      <c r="S216" s="48">
        <f t="shared" ca="1" si="25"/>
        <v>0.94187694999137261</v>
      </c>
      <c r="T216" s="49">
        <f ca="1">H216+K216+O216+N216+'Sheet1 select'!$B$40*I216+J216+P216</f>
        <v>3.1834126538796026E-2</v>
      </c>
      <c r="U216" s="169">
        <f t="shared" ca="1" si="26"/>
        <v>1.9834126538796026E-2</v>
      </c>
      <c r="V216" s="47">
        <f t="shared" ca="1" si="27"/>
        <v>0</v>
      </c>
    </row>
    <row r="217" spans="5:22">
      <c r="E217" s="32">
        <v>216</v>
      </c>
      <c r="F217" s="45">
        <f t="shared" si="21"/>
        <v>0.57600000000000007</v>
      </c>
      <c r="G217" s="45">
        <f t="shared" si="22"/>
        <v>6.6355200000000017E-2</v>
      </c>
      <c r="H217" s="45">
        <f ca="1">F217*F217*('Sheet1 select'!$B$25)*$B$3</f>
        <v>9.0677057468714559E-3</v>
      </c>
      <c r="I217" s="45">
        <f>F217*(1-$B$3)*'Sheet1 select'!$B$41</f>
        <v>0.11520000000000002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3.8739669421487599E-5</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0.21354834459038721</v>
      </c>
      <c r="S217" s="48">
        <f t="shared" ca="1" si="25"/>
        <v>0.94180527832391192</v>
      </c>
      <c r="T217" s="49">
        <f ca="1">H217+K217+O217+N217+'Sheet1 select'!$B$40*I217+J217+P217</f>
        <v>3.195440492096565E-2</v>
      </c>
      <c r="U217" s="169">
        <f t="shared" ca="1" si="26"/>
        <v>1.9954404920965649E-2</v>
      </c>
      <c r="V217" s="47">
        <f t="shared" ca="1" si="27"/>
        <v>0</v>
      </c>
    </row>
    <row r="218" spans="5:22">
      <c r="E218" s="32">
        <v>217</v>
      </c>
      <c r="F218" s="45">
        <f t="shared" si="21"/>
        <v>0.57866666666666677</v>
      </c>
      <c r="G218" s="45">
        <f t="shared" si="22"/>
        <v>6.6971022222222246E-2</v>
      </c>
      <c r="H218" s="45">
        <f ca="1">F218*F218*('Sheet1 select'!$B$25)*$B$3</f>
        <v>9.1518603376721103E-3</v>
      </c>
      <c r="I218" s="45">
        <f>F218*(1-$B$3)*'Sheet1 select'!$B$41</f>
        <v>0.11573333333333335</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3.8739669421487599E-5</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0.21481816723291977</v>
      </c>
      <c r="S218" s="48">
        <f t="shared" ca="1" si="25"/>
        <v>0.94173345212895376</v>
      </c>
      <c r="T218" s="49">
        <f ca="1">H218+K218+O218+N218+'Sheet1 select'!$B$40*I218+J218+P218</f>
        <v>3.207507200794267E-2</v>
      </c>
      <c r="U218" s="169">
        <f t="shared" ca="1" si="26"/>
        <v>2.007507200794267E-2</v>
      </c>
      <c r="V218" s="47">
        <f t="shared" ca="1" si="27"/>
        <v>0</v>
      </c>
    </row>
    <row r="219" spans="5:22">
      <c r="E219" s="32">
        <v>218</v>
      </c>
      <c r="F219" s="45">
        <f t="shared" si="21"/>
        <v>0.58133333333333337</v>
      </c>
      <c r="G219" s="45">
        <f t="shared" si="22"/>
        <v>6.7589688888888902E-2</v>
      </c>
      <c r="H219" s="45">
        <f ca="1">F219*F219*('Sheet1 select'!$B$25)*$B$3</f>
        <v>9.2364036332801564E-3</v>
      </c>
      <c r="I219" s="45">
        <f>F219*(1-$B$3)*'Sheet1 select'!$B$41</f>
        <v>0.11626666666666668</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3.8739669421487599E-5</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0.21609122302470415</v>
      </c>
      <c r="S219" s="48">
        <f t="shared" ca="1" si="25"/>
        <v>0.94166147375597098</v>
      </c>
      <c r="T219" s="49">
        <f ca="1">H219+K219+O219+N219+'Sheet1 select'!$B$40*I219+J219+P219</f>
        <v>3.2196127799727074E-2</v>
      </c>
      <c r="U219" s="169">
        <f t="shared" ca="1" si="26"/>
        <v>2.0196127799727074E-2</v>
      </c>
      <c r="V219" s="47">
        <f t="shared" ca="1" si="27"/>
        <v>0</v>
      </c>
    </row>
    <row r="220" spans="5:22">
      <c r="E220" s="32">
        <v>219</v>
      </c>
      <c r="F220" s="45">
        <f t="shared" si="21"/>
        <v>0.58400000000000007</v>
      </c>
      <c r="G220" s="45">
        <f t="shared" si="22"/>
        <v>6.8211200000000027E-2</v>
      </c>
      <c r="H220" s="45">
        <f ca="1">F220*F220*('Sheet1 select'!$B$25)*$B$3</f>
        <v>9.3213356336955995E-3</v>
      </c>
      <c r="I220" s="45">
        <f>F220*(1-$B$3)*'Sheet1 select'!$B$41</f>
        <v>0.11680000000000001</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3.8739669421487599E-5</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0.21736751196574042</v>
      </c>
      <c r="S220" s="48">
        <f t="shared" ca="1" si="25"/>
        <v>0.94158934551161266</v>
      </c>
      <c r="T220" s="49">
        <f ca="1">H220+K220+O220+N220+'Sheet1 select'!$B$40*I220+J220+P220</f>
        <v>3.2317572296318882E-2</v>
      </c>
      <c r="U220" s="169">
        <f t="shared" ca="1" si="26"/>
        <v>2.0317572296318882E-2</v>
      </c>
      <c r="V220" s="47">
        <f t="shared" ca="1" si="27"/>
        <v>0</v>
      </c>
    </row>
    <row r="221" spans="5:22">
      <c r="E221" s="32">
        <v>220</v>
      </c>
      <c r="F221" s="45">
        <f t="shared" si="21"/>
        <v>0.58666666666666667</v>
      </c>
      <c r="G221" s="45">
        <f t="shared" si="22"/>
        <v>6.8835555555555566E-2</v>
      </c>
      <c r="H221" s="45">
        <f ca="1">F221*F221*('Sheet1 select'!$B$25)*$B$3</f>
        <v>9.4066563389184326E-3</v>
      </c>
      <c r="I221" s="45">
        <f>F221*(1-$B$3)*'Sheet1 select'!$B$41</f>
        <v>0.11733333333333335</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3.8739669421487599E-5</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0.21864703405602851</v>
      </c>
      <c r="S221" s="48">
        <f t="shared" ca="1" si="25"/>
        <v>0.9415170696606735</v>
      </c>
      <c r="T221" s="49">
        <f ca="1">H221+K221+O221+N221+'Sheet1 select'!$B$40*I221+J221+P221</f>
        <v>3.2439405497718073E-2</v>
      </c>
      <c r="U221" s="169">
        <f t="shared" ca="1" si="26"/>
        <v>2.0439405497718072E-2</v>
      </c>
      <c r="V221" s="47">
        <f t="shared" ca="1" si="27"/>
        <v>0</v>
      </c>
    </row>
    <row r="222" spans="5:22">
      <c r="E222" s="32">
        <v>221</v>
      </c>
      <c r="F222" s="45">
        <f t="shared" si="21"/>
        <v>0.58933333333333338</v>
      </c>
      <c r="G222" s="45">
        <f t="shared" si="22"/>
        <v>6.9462755555555561E-2</v>
      </c>
      <c r="H222" s="45">
        <f ca="1">F222*F222*('Sheet1 select'!$B$25)*$B$3</f>
        <v>9.4923657489486609E-3</v>
      </c>
      <c r="I222" s="45">
        <f>F222*(1-$B$3)*'Sheet1 select'!$B$41</f>
        <v>0.11786666666666668</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3.8739669421487599E-5</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0.21992978929556842</v>
      </c>
      <c r="S222" s="48">
        <f t="shared" ca="1" si="25"/>
        <v>0.94144464842703657</v>
      </c>
      <c r="T222" s="49">
        <f ca="1">H222+K222+O222+N222+'Sheet1 select'!$B$40*I222+J222+P222</f>
        <v>3.2561627403924667E-2</v>
      </c>
      <c r="U222" s="169">
        <f t="shared" ca="1" si="26"/>
        <v>2.0561627403924667E-2</v>
      </c>
      <c r="V222" s="47">
        <f t="shared" ca="1" si="27"/>
        <v>0</v>
      </c>
    </row>
    <row r="223" spans="5:22">
      <c r="E223" s="32">
        <v>222</v>
      </c>
      <c r="F223" s="45">
        <f t="shared" si="21"/>
        <v>0.59200000000000008</v>
      </c>
      <c r="G223" s="45">
        <f t="shared" si="22"/>
        <v>7.0092800000000025E-2</v>
      </c>
      <c r="H223" s="45">
        <f ca="1">F223*F223*('Sheet1 select'!$B$25)*$B$3</f>
        <v>9.5784638637862844E-3</v>
      </c>
      <c r="I223" s="45">
        <f>F223*(1-$B$3)*'Sheet1 select'!$B$41</f>
        <v>0.11840000000000002</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3.8739669421487599E-5</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0.22121577768436021</v>
      </c>
      <c r="S223" s="48">
        <f t="shared" ca="1" si="25"/>
        <v>0.9413720839945916</v>
      </c>
      <c r="T223" s="49">
        <f ca="1">H223+K223+O223+N223+'Sheet1 select'!$B$40*I223+J223+P223</f>
        <v>3.2684238014938652E-2</v>
      </c>
      <c r="U223" s="169">
        <f t="shared" ca="1" si="26"/>
        <v>2.0684238014938652E-2</v>
      </c>
      <c r="V223" s="47">
        <f t="shared" ca="1" si="27"/>
        <v>0</v>
      </c>
    </row>
    <row r="224" spans="5:22">
      <c r="E224" s="32">
        <v>223</v>
      </c>
      <c r="F224" s="45">
        <f t="shared" si="21"/>
        <v>0.59466666666666668</v>
      </c>
      <c r="G224" s="45">
        <f t="shared" si="22"/>
        <v>7.0725688888888902E-2</v>
      </c>
      <c r="H224" s="45">
        <f ca="1">F224*F224*('Sheet1 select'!$B$25)*$B$3</f>
        <v>9.6649506834312962E-3</v>
      </c>
      <c r="I224" s="45">
        <f>F224*(1-$B$3)*'Sheet1 select'!$B$41</f>
        <v>0.11893333333333334</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3.8739669421487599E-5</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0.22250499922240377</v>
      </c>
      <c r="S224" s="48">
        <f t="shared" ca="1" si="25"/>
        <v>0.94129937850812773</v>
      </c>
      <c r="T224" s="49">
        <f ca="1">H224+K224+O224+N224+'Sheet1 select'!$B$40*I224+J224+P224</f>
        <v>3.2807237330760027E-2</v>
      </c>
      <c r="U224" s="169">
        <f t="shared" ca="1" si="26"/>
        <v>2.0807237330760026E-2</v>
      </c>
      <c r="V224" s="47">
        <f t="shared" ca="1" si="27"/>
        <v>0</v>
      </c>
    </row>
    <row r="225" spans="5:22">
      <c r="E225" s="32">
        <v>224</v>
      </c>
      <c r="F225" s="45">
        <f t="shared" si="21"/>
        <v>0.59733333333333338</v>
      </c>
      <c r="G225" s="45">
        <f t="shared" si="22"/>
        <v>7.1361422222222234E-2</v>
      </c>
      <c r="H225" s="45">
        <f ca="1">F225*F225*('Sheet1 select'!$B$25)*$B$3</f>
        <v>9.7518262078837049E-3</v>
      </c>
      <c r="I225" s="45">
        <f>F225*(1-$B$3)*'Sheet1 select'!$B$41</f>
        <v>0.11946666666666668</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3.8739669421487599E-5</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0.22379745390969921</v>
      </c>
      <c r="S225" s="48">
        <f t="shared" ca="1" si="25"/>
        <v>0.94122653407420276</v>
      </c>
      <c r="T225" s="49">
        <f ca="1">H225+K225+O225+N225+'Sheet1 select'!$B$40*I225+J225+P225</f>
        <v>3.2930625351388798E-2</v>
      </c>
      <c r="U225" s="169">
        <f t="shared" ca="1" si="26"/>
        <v>2.0930625351388798E-2</v>
      </c>
      <c r="V225" s="47">
        <f t="shared" ca="1" si="27"/>
        <v>0</v>
      </c>
    </row>
    <row r="226" spans="5:22">
      <c r="E226" s="32">
        <v>225</v>
      </c>
      <c r="F226" s="45">
        <f t="shared" si="21"/>
        <v>0.6</v>
      </c>
      <c r="G226" s="45">
        <f t="shared" si="22"/>
        <v>7.2000000000000008E-2</v>
      </c>
      <c r="H226" s="45">
        <f ca="1">F226*F226*('Sheet1 select'!$B$25)*$B$3</f>
        <v>9.8390904371435037E-3</v>
      </c>
      <c r="I226" s="45">
        <f>F226*(1-$B$3)*'Sheet1 select'!$B$41</f>
        <v>0.12</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3.8739669421487599E-5</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0.22509314174624648</v>
      </c>
      <c r="S226" s="48">
        <f t="shared" ca="1" si="25"/>
        <v>0.94115355276198942</v>
      </c>
      <c r="T226" s="49">
        <f ca="1">H226+K226+O226+N226+'Sheet1 select'!$B$40*I226+J226+P226</f>
        <v>3.305440207682496E-2</v>
      </c>
      <c r="U226" s="169">
        <f t="shared" ca="1" si="26"/>
        <v>2.1054402076824956E-2</v>
      </c>
      <c r="V226" s="47">
        <f t="shared" ca="1" si="27"/>
        <v>0</v>
      </c>
    </row>
    <row r="227" spans="5:22">
      <c r="E227" s="32">
        <v>226</v>
      </c>
      <c r="F227" s="45">
        <f t="shared" si="21"/>
        <v>0.60266666666666668</v>
      </c>
      <c r="G227" s="45">
        <f t="shared" si="22"/>
        <v>7.2641422222222238E-2</v>
      </c>
      <c r="H227" s="45">
        <f ca="1">F227*F227*('Sheet1 select'!$B$25)*$B$3</f>
        <v>9.9267433712106994E-3</v>
      </c>
      <c r="I227" s="45">
        <f>F227*(1-$B$3)*'Sheet1 select'!$B$41</f>
        <v>0.12053333333333334</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3.8739669421487599E-5</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0.2263920627320456</v>
      </c>
      <c r="S227" s="48">
        <f t="shared" ca="1" si="25"/>
        <v>0.94108043660409957</v>
      </c>
      <c r="T227" s="49">
        <f ca="1">H227+K227+O227+N227+'Sheet1 select'!$B$40*I227+J227+P227</f>
        <v>3.3178567507068518E-2</v>
      </c>
      <c r="U227" s="169">
        <f t="shared" ca="1" si="26"/>
        <v>2.1178567507068514E-2</v>
      </c>
      <c r="V227" s="47">
        <f t="shared" ca="1" si="27"/>
        <v>0</v>
      </c>
    </row>
    <row r="228" spans="5:22">
      <c r="E228" s="32">
        <v>227</v>
      </c>
      <c r="F228" s="45">
        <f t="shared" si="21"/>
        <v>0.60533333333333339</v>
      </c>
      <c r="G228" s="45">
        <f t="shared" si="22"/>
        <v>7.3285688888888895E-2</v>
      </c>
      <c r="H228" s="45">
        <f ca="1">F228*F228*('Sheet1 select'!$B$25)*$B$3</f>
        <v>1.0014785010085289E-2</v>
      </c>
      <c r="I228" s="45">
        <f>F228*(1-$B$3)*'Sheet1 select'!$B$41</f>
        <v>0.12106666666666668</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3.8739669421487599E-5</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0.22769421686709657</v>
      </c>
      <c r="S228" s="48">
        <f t="shared" ca="1" si="25"/>
        <v>0.94100718759738555</v>
      </c>
      <c r="T228" s="49">
        <f ca="1">H228+K228+O228+N228+'Sheet1 select'!$B$40*I228+J228+P228</f>
        <v>3.3303121642119467E-2</v>
      </c>
      <c r="U228" s="169">
        <f t="shared" ca="1" si="26"/>
        <v>2.1303121642119466E-2</v>
      </c>
      <c r="V228" s="47">
        <f t="shared" ca="1" si="27"/>
        <v>0</v>
      </c>
    </row>
    <row r="229" spans="5:22">
      <c r="E229" s="32">
        <v>228</v>
      </c>
      <c r="F229" s="45">
        <f t="shared" si="21"/>
        <v>0.60799999999999998</v>
      </c>
      <c r="G229" s="45">
        <f t="shared" si="22"/>
        <v>7.3932800000000007E-2</v>
      </c>
      <c r="H229" s="45">
        <f ca="1">F229*F229*('Sheet1 select'!$B$25)*$B$3</f>
        <v>1.0103215353767268E-2</v>
      </c>
      <c r="I229" s="45">
        <f>F229*(1-$B$3)*'Sheet1 select'!$B$41</f>
        <v>0.1216</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3.8739669421487599E-5</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0.22899960415139933</v>
      </c>
      <c r="S229" s="48">
        <f t="shared" ca="1" si="25"/>
        <v>0.94093380770372215</v>
      </c>
      <c r="T229" s="49">
        <f ca="1">H229+K229+O229+N229+'Sheet1 select'!$B$40*I229+J229+P229</f>
        <v>3.3428064481977805E-2</v>
      </c>
      <c r="U229" s="169">
        <f t="shared" ca="1" si="26"/>
        <v>2.1428064481977805E-2</v>
      </c>
      <c r="V229" s="47">
        <f t="shared" ca="1" si="27"/>
        <v>0</v>
      </c>
    </row>
    <row r="230" spans="5:22">
      <c r="E230" s="32">
        <v>229</v>
      </c>
      <c r="F230" s="45">
        <f t="shared" si="21"/>
        <v>0.61066666666666669</v>
      </c>
      <c r="G230" s="45">
        <f t="shared" si="22"/>
        <v>7.458275555555556E-2</v>
      </c>
      <c r="H230" s="45">
        <f ca="1">F230*F230*('Sheet1 select'!$B$25)*$B$3</f>
        <v>1.0192034402256642E-2</v>
      </c>
      <c r="I230" s="45">
        <f>F230*(1-$B$3)*'Sheet1 select'!$B$41</f>
        <v>0.12213333333333334</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3.8739669421487599E-5</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0.23030822458495395</v>
      </c>
      <c r="S230" s="48">
        <f t="shared" ca="1" si="25"/>
        <v>0.94086029885076705</v>
      </c>
      <c r="T230" s="49">
        <f ca="1">H230+K230+O230+N230+'Sheet1 select'!$B$40*I230+J230+P230</f>
        <v>3.3553396026643541E-2</v>
      </c>
      <c r="U230" s="169">
        <f t="shared" ca="1" si="26"/>
        <v>2.1553396026643541E-2</v>
      </c>
      <c r="V230" s="47">
        <f t="shared" ca="1" si="27"/>
        <v>0</v>
      </c>
    </row>
    <row r="231" spans="5:22">
      <c r="E231" s="32">
        <v>230</v>
      </c>
      <c r="F231" s="45">
        <f t="shared" si="21"/>
        <v>0.61333333333333329</v>
      </c>
      <c r="G231" s="45">
        <f t="shared" si="22"/>
        <v>7.5235555555555556E-2</v>
      </c>
      <c r="H231" s="45">
        <f ca="1">F231*F231*('Sheet1 select'!$B$25)*$B$3</f>
        <v>1.0281242155553408E-2</v>
      </c>
      <c r="I231" s="45">
        <f>F231*(1-$B$3)*'Sheet1 select'!$B$41</f>
        <v>0.12266666666666666</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3.8739669421487599E-5</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0.2316200781677604</v>
      </c>
      <c r="S231" s="48">
        <f t="shared" ca="1" si="25"/>
        <v>0.94078666293270152</v>
      </c>
      <c r="T231" s="49">
        <f ca="1">H231+K231+O231+N231+'Sheet1 select'!$B$40*I231+J231+P231</f>
        <v>3.3679116276116673E-2</v>
      </c>
      <c r="U231" s="169">
        <f t="shared" ca="1" si="26"/>
        <v>2.1679116276116673E-2</v>
      </c>
      <c r="V231" s="47">
        <f t="shared" ca="1" si="27"/>
        <v>0</v>
      </c>
    </row>
    <row r="232" spans="5:22">
      <c r="E232" s="32">
        <v>231</v>
      </c>
      <c r="F232" s="45">
        <f t="shared" si="21"/>
        <v>0.61599999999999999</v>
      </c>
      <c r="G232" s="45">
        <f t="shared" si="22"/>
        <v>7.5891200000000006E-2</v>
      </c>
      <c r="H232" s="45">
        <f ca="1">F232*F232*('Sheet1 select'!$B$25)*$B$3</f>
        <v>1.0370838613657571E-2</v>
      </c>
      <c r="I232" s="45">
        <f>F232*(1-$B$3)*'Sheet1 select'!$B$41</f>
        <v>0.1232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3.8739669421487599E-5</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0.23293516489981872</v>
      </c>
      <c r="S232" s="48">
        <f t="shared" ca="1" si="25"/>
        <v>0.94071290181095213</v>
      </c>
      <c r="T232" s="49">
        <f ca="1">H232+K232+O232+N232+'Sheet1 select'!$B$40*I232+J232+P232</f>
        <v>3.3805225230397196E-2</v>
      </c>
      <c r="U232" s="169">
        <f t="shared" ca="1" si="26"/>
        <v>2.1805225230397195E-2</v>
      </c>
      <c r="V232" s="47">
        <f t="shared" ca="1" si="27"/>
        <v>0</v>
      </c>
    </row>
    <row r="233" spans="5:22">
      <c r="E233" s="32">
        <v>232</v>
      </c>
      <c r="F233" s="45">
        <f t="shared" si="21"/>
        <v>0.6186666666666667</v>
      </c>
      <c r="G233" s="45">
        <f t="shared" si="22"/>
        <v>7.6549688888888898E-2</v>
      </c>
      <c r="H233" s="45">
        <f ca="1">F233*F233*('Sheet1 select'!$B$25)*$B$3</f>
        <v>1.0460823776569126E-2</v>
      </c>
      <c r="I233" s="45">
        <f>F233*(1-$B$3)*'Sheet1 select'!$B$41</f>
        <v>0.12373333333333335</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3.8739669421487599E-5</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0.23425348478112887</v>
      </c>
      <c r="S233" s="48">
        <f t="shared" ca="1" si="25"/>
        <v>0.94063901731489474</v>
      </c>
      <c r="T233" s="49">
        <f ca="1">H233+K233+O233+N233+'Sheet1 select'!$B$40*I233+J233+P233</f>
        <v>3.3931722889485115E-2</v>
      </c>
      <c r="U233" s="169">
        <f t="shared" ca="1" si="26"/>
        <v>2.1931722889485115E-2</v>
      </c>
      <c r="V233" s="47">
        <f t="shared" ca="1" si="27"/>
        <v>0</v>
      </c>
    </row>
    <row r="234" spans="5:22">
      <c r="E234" s="32">
        <v>233</v>
      </c>
      <c r="F234" s="45">
        <f t="shared" si="21"/>
        <v>0.6213333333333334</v>
      </c>
      <c r="G234" s="45">
        <f t="shared" si="22"/>
        <v>7.7211022222222245E-2</v>
      </c>
      <c r="H234" s="45">
        <f ca="1">F234*F234*('Sheet1 select'!$B$25)*$B$3</f>
        <v>1.0551197644288074E-2</v>
      </c>
      <c r="I234" s="45">
        <f>F234*(1-$B$3)*'Sheet1 select'!$B$41</f>
        <v>0.12426666666666669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3.8739669421487599E-5</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0.2355750378116909</v>
      </c>
      <c r="S234" s="48">
        <f t="shared" ca="1" si="25"/>
        <v>0.940565011242539</v>
      </c>
      <c r="T234" s="49">
        <f ca="1">H234+K234+O234+N234+'Sheet1 select'!$B$40*I234+J234+P234</f>
        <v>3.4058609253380424E-2</v>
      </c>
      <c r="U234" s="169">
        <f t="shared" ca="1" si="26"/>
        <v>2.2058609253380424E-2</v>
      </c>
      <c r="V234" s="47">
        <f t="shared" ca="1" si="27"/>
        <v>0</v>
      </c>
    </row>
    <row r="235" spans="5:22">
      <c r="E235" s="32">
        <v>234</v>
      </c>
      <c r="F235" s="45">
        <f t="shared" si="21"/>
        <v>0.62400000000000011</v>
      </c>
      <c r="G235" s="45">
        <f t="shared" si="22"/>
        <v>7.7875200000000019E-2</v>
      </c>
      <c r="H235" s="45">
        <f ca="1">F235*F235*('Sheet1 select'!$B$25)*$B$3</f>
        <v>1.0641960216814418E-2</v>
      </c>
      <c r="I235" s="45">
        <f>F235*(1-$B$3)*'Sheet1 select'!$B$41</f>
        <v>0.12480000000000002</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3.8739669421487599E-5</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0.23689982399150469</v>
      </c>
      <c r="S235" s="48">
        <f t="shared" ca="1" si="25"/>
        <v>0.94049088536119618</v>
      </c>
      <c r="T235" s="49">
        <f ca="1">H235+K235+O235+N235+'Sheet1 select'!$B$40*I235+J235+P235</f>
        <v>3.4185884322083131E-2</v>
      </c>
      <c r="U235" s="169">
        <f t="shared" ca="1" si="26"/>
        <v>2.218588432208313E-2</v>
      </c>
      <c r="V235" s="47">
        <f t="shared" ca="1" si="27"/>
        <v>0</v>
      </c>
    </row>
    <row r="236" spans="5:22">
      <c r="E236" s="32">
        <v>235</v>
      </c>
      <c r="F236" s="45">
        <f t="shared" si="21"/>
        <v>0.62666666666666671</v>
      </c>
      <c r="G236" s="45">
        <f t="shared" si="22"/>
        <v>7.8542222222222235E-2</v>
      </c>
      <c r="H236" s="45">
        <f ca="1">F236*F236*('Sheet1 select'!$B$25)*$B$3</f>
        <v>1.073311149414815E-2</v>
      </c>
      <c r="I236" s="45">
        <f>F236*(1-$B$3)*'Sheet1 select'!$B$41</f>
        <v>0.12533333333333335</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3.8739669421487599E-5</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0.23822784332057034</v>
      </c>
      <c r="S236" s="48">
        <f t="shared" ca="1" si="25"/>
        <v>0.94041664140812953</v>
      </c>
      <c r="T236" s="49">
        <f ca="1">H236+K236+O236+N236+'Sheet1 select'!$B$40*I236+J236+P236</f>
        <v>3.4313548095593227E-2</v>
      </c>
      <c r="U236" s="169">
        <f t="shared" ca="1" si="26"/>
        <v>2.2313548095593223E-2</v>
      </c>
      <c r="V236" s="47">
        <f t="shared" ca="1" si="27"/>
        <v>0</v>
      </c>
    </row>
    <row r="237" spans="5:22">
      <c r="E237" s="32">
        <v>236</v>
      </c>
      <c r="F237" s="45">
        <f t="shared" si="21"/>
        <v>0.62933333333333341</v>
      </c>
      <c r="G237" s="45">
        <f t="shared" si="22"/>
        <v>7.9212088888888921E-2</v>
      </c>
      <c r="H237" s="45">
        <f ca="1">F237*F237*('Sheet1 select'!$B$25)*$B$3</f>
        <v>1.0824651476289278E-2</v>
      </c>
      <c r="I237" s="45">
        <f>F237*(1-$B$3)*'Sheet1 select'!$B$41</f>
        <v>0.12586666666666668</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3.8739669421487599E-5</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0.23955909579888782</v>
      </c>
      <c r="S237" s="48">
        <f t="shared" ca="1" si="25"/>
        <v>0.94034228109118934</v>
      </c>
      <c r="T237" s="49">
        <f ca="1">H237+K237+O237+N237+'Sheet1 select'!$B$40*I237+J237+P237</f>
        <v>3.4441600573910713E-2</v>
      </c>
      <c r="U237" s="169">
        <f t="shared" ca="1" si="26"/>
        <v>2.2441600573910713E-2</v>
      </c>
      <c r="V237" s="47">
        <f t="shared" ca="1" si="27"/>
        <v>0</v>
      </c>
    </row>
    <row r="238" spans="5:22">
      <c r="E238" s="32">
        <v>237</v>
      </c>
      <c r="F238" s="45">
        <f t="shared" si="21"/>
        <v>0.63200000000000012</v>
      </c>
      <c r="G238" s="45">
        <f t="shared" si="22"/>
        <v>7.9884800000000034E-2</v>
      </c>
      <c r="H238" s="45">
        <f ca="1">F238*F238*('Sheet1 select'!$B$25)*$B$3</f>
        <v>1.0916580163237802E-2</v>
      </c>
      <c r="I238" s="45">
        <f>F238*(1-$B$3)*'Sheet1 select'!$B$41</f>
        <v>0.12640000000000004</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3.8739669421487599E-5</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0.24089358142645717</v>
      </c>
      <c r="S238" s="48">
        <f t="shared" ca="1" si="25"/>
        <v>0.94026780608943028</v>
      </c>
      <c r="T238" s="49">
        <f ca="1">H238+K238+O238+N238+'Sheet1 select'!$B$40*I238+J238+P238</f>
        <v>3.4570041757035597E-2</v>
      </c>
      <c r="U238" s="169">
        <f t="shared" ca="1" si="26"/>
        <v>2.25700417570356E-2</v>
      </c>
      <c r="V238" s="47">
        <f t="shared" ca="1" si="27"/>
        <v>0</v>
      </c>
    </row>
    <row r="239" spans="5:22">
      <c r="E239" s="32">
        <v>238</v>
      </c>
      <c r="F239" s="45">
        <f t="shared" si="21"/>
        <v>0.63466666666666671</v>
      </c>
      <c r="G239" s="45">
        <f t="shared" si="22"/>
        <v>8.056035555555556E-2</v>
      </c>
      <c r="H239" s="45">
        <f ca="1">F239*F239*('Sheet1 select'!$B$25)*$B$3</f>
        <v>1.1008897554993713E-2</v>
      </c>
      <c r="I239" s="45">
        <f>F239*(1-$B$3)*'Sheet1 select'!$B$41</f>
        <v>0.12693333333333334</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3.8739669421487599E-5</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0.24223130020327827</v>
      </c>
      <c r="S239" s="48">
        <f t="shared" ca="1" si="25"/>
        <v>0.94019321805371447</v>
      </c>
      <c r="T239" s="49">
        <f ca="1">H239+K239+O239+N239+'Sheet1 select'!$B$40*I239+J239+P239</f>
        <v>3.469887164496787E-2</v>
      </c>
      <c r="U239" s="169">
        <f t="shared" ca="1" si="26"/>
        <v>2.269887164496787E-2</v>
      </c>
      <c r="V239" s="47">
        <f t="shared" ca="1" si="27"/>
        <v>0</v>
      </c>
    </row>
    <row r="240" spans="5:22">
      <c r="E240" s="32">
        <v>239</v>
      </c>
      <c r="F240" s="45">
        <f t="shared" si="21"/>
        <v>0.63733333333333342</v>
      </c>
      <c r="G240" s="45">
        <f t="shared" si="22"/>
        <v>8.123875555555557E-2</v>
      </c>
      <c r="H240" s="45">
        <f ca="1">F240*F240*('Sheet1 select'!$B$25)*$B$3</f>
        <v>1.1101603651557022E-2</v>
      </c>
      <c r="I240" s="45">
        <f>F240*(1-$B$3)*'Sheet1 select'!$B$41</f>
        <v>0.1274666666666667</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3.8739669421487599E-5</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0.24357225212935132</v>
      </c>
      <c r="S240" s="48">
        <f t="shared" ca="1" si="25"/>
        <v>0.94011851860729878</v>
      </c>
      <c r="T240" s="49">
        <f ca="1">H240+K240+O240+N240+'Sheet1 select'!$B$40*I240+J240+P240</f>
        <v>3.482809023770754E-2</v>
      </c>
      <c r="U240" s="169">
        <f t="shared" ca="1" si="26"/>
        <v>2.2828090237707543E-2</v>
      </c>
      <c r="V240" s="47">
        <f t="shared" ca="1" si="27"/>
        <v>0</v>
      </c>
    </row>
    <row r="241" spans="5:22">
      <c r="E241" s="32">
        <v>240</v>
      </c>
      <c r="F241" s="45">
        <f t="shared" si="21"/>
        <v>0.64</v>
      </c>
      <c r="G241" s="45">
        <f t="shared" si="22"/>
        <v>8.1920000000000007E-2</v>
      </c>
      <c r="H241" s="45">
        <f ca="1">F241*F241*('Sheet1 select'!$B$25)*$B$3</f>
        <v>1.1194698452927721E-2</v>
      </c>
      <c r="I241" s="45">
        <f>F241*(1-$B$3)*'Sheet1 select'!$B$41</f>
        <v>0.128</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3.8739669421487599E-5</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0.24491643720467615</v>
      </c>
      <c r="S241" s="48">
        <f t="shared" ca="1" si="25"/>
        <v>0.9400437093464088</v>
      </c>
      <c r="T241" s="49">
        <f ca="1">H241+K241+O241+N241+'Sheet1 select'!$B$40*I241+J241+P241</f>
        <v>3.4957697535254607E-2</v>
      </c>
      <c r="U241" s="169">
        <f t="shared" ca="1" si="26"/>
        <v>2.2957697535254607E-2</v>
      </c>
      <c r="V241" s="47">
        <f t="shared" ca="1" si="27"/>
        <v>0</v>
      </c>
    </row>
    <row r="242" spans="5:22">
      <c r="E242" s="32">
        <v>241</v>
      </c>
      <c r="F242" s="45">
        <f t="shared" si="21"/>
        <v>0.64266666666666672</v>
      </c>
      <c r="G242" s="45">
        <f t="shared" si="22"/>
        <v>8.2604088888888913E-2</v>
      </c>
      <c r="H242" s="45">
        <f ca="1">F242*F242*('Sheet1 select'!$B$25)*$B$3</f>
        <v>1.1288181959105817E-2</v>
      </c>
      <c r="I242" s="45">
        <f>F242*(1-$B$3)*'Sheet1 select'!$B$41</f>
        <v>0.12853333333333336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3.8739669421487599E-5</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0.24626385542925286</v>
      </c>
      <c r="S242" s="48">
        <f t="shared" ca="1" si="25"/>
        <v>0.93996879184079585</v>
      </c>
      <c r="T242" s="49">
        <f ca="1">H242+K242+O242+N242+'Sheet1 select'!$B$40*I242+J242+P242</f>
        <v>3.5087693537609058E-2</v>
      </c>
      <c r="U242" s="169">
        <f t="shared" ca="1" si="26"/>
        <v>2.3087693537609061E-2</v>
      </c>
      <c r="V242" s="47">
        <f t="shared" ca="1" si="27"/>
        <v>0</v>
      </c>
    </row>
    <row r="243" spans="5:22">
      <c r="E243" s="32">
        <v>242</v>
      </c>
      <c r="F243" s="45">
        <f t="shared" si="21"/>
        <v>0.64533333333333343</v>
      </c>
      <c r="G243" s="45">
        <f t="shared" si="22"/>
        <v>8.3291022222222247E-2</v>
      </c>
      <c r="H243" s="45">
        <f ca="1">F243*F243*('Sheet1 select'!$B$25)*$B$3</f>
        <v>1.1382054170091305E-2</v>
      </c>
      <c r="I243" s="45">
        <f>F243*(1-$B$3)*'Sheet1 select'!$B$41</f>
        <v>0.12906666666666669</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3.8739669421487599E-5</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0.24761450680308136</v>
      </c>
      <c r="S243" s="48">
        <f t="shared" ca="1" si="25"/>
        <v>0.93989376763428367</v>
      </c>
      <c r="T243" s="49">
        <f ca="1">H243+K243+O243+N243+'Sheet1 select'!$B$40*I243+J243+P243</f>
        <v>3.5218078244770912E-2</v>
      </c>
      <c r="U243" s="169">
        <f t="shared" ca="1" si="26"/>
        <v>2.3218078244770912E-2</v>
      </c>
      <c r="V243" s="47">
        <f t="shared" ca="1" si="27"/>
        <v>0</v>
      </c>
    </row>
    <row r="244" spans="5:22">
      <c r="E244" s="32">
        <v>243</v>
      </c>
      <c r="F244" s="45">
        <f t="shared" si="21"/>
        <v>0.64800000000000002</v>
      </c>
      <c r="G244" s="45">
        <f t="shared" si="22"/>
        <v>8.3980800000000008E-2</v>
      </c>
      <c r="H244" s="45">
        <f ca="1">F244*F244*('Sheet1 select'!$B$25)*$B$3</f>
        <v>1.1476315085884183E-2</v>
      </c>
      <c r="I244" s="45">
        <f>F244*(1-$B$3)*'Sheet1 select'!$B$41</f>
        <v>0.12960000000000002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3.8739669421487599E-5</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0.24896839132616169</v>
      </c>
      <c r="S244" s="48">
        <f t="shared" ca="1" si="25"/>
        <v>0.93981863824529943</v>
      </c>
      <c r="T244" s="49">
        <f ca="1">H244+K244+O244+N244+'Sheet1 select'!$B$40*I244+J244+P244</f>
        <v>3.5348851656740149E-2</v>
      </c>
      <c r="U244" s="169">
        <f t="shared" ca="1" si="26"/>
        <v>2.3348851656740149E-2</v>
      </c>
      <c r="V244" s="47">
        <f t="shared" ca="1" si="27"/>
        <v>0</v>
      </c>
    </row>
    <row r="245" spans="5:22">
      <c r="E245" s="32">
        <v>244</v>
      </c>
      <c r="F245" s="45">
        <f t="shared" si="21"/>
        <v>0.65066666666666673</v>
      </c>
      <c r="G245" s="45">
        <f t="shared" si="22"/>
        <v>8.4673422222222239E-2</v>
      </c>
      <c r="H245" s="45">
        <f ca="1">F245*F245*('Sheet1 select'!$B$25)*$B$3</f>
        <v>1.1570964706484459E-2</v>
      </c>
      <c r="I245" s="45">
        <f>F245*(1-$B$3)*'Sheet1 select'!$B$41</f>
        <v>0.13013333333333335</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3.8739669421487599E-5</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0.25032550899849387</v>
      </c>
      <c r="S245" s="48">
        <f t="shared" ca="1" si="25"/>
        <v>0.93974340516739119</v>
      </c>
      <c r="T245" s="49">
        <f ca="1">H245+K245+O245+N245+'Sheet1 select'!$B$40*I245+J245+P245</f>
        <v>3.548001377351679E-2</v>
      </c>
      <c r="U245" s="169">
        <f t="shared" ca="1" si="26"/>
        <v>2.348001377351679E-2</v>
      </c>
      <c r="V245" s="47">
        <f t="shared" ca="1" si="27"/>
        <v>0</v>
      </c>
    </row>
    <row r="246" spans="5:22">
      <c r="E246" s="32">
        <v>245</v>
      </c>
      <c r="F246" s="45">
        <f t="shared" si="21"/>
        <v>0.65333333333333332</v>
      </c>
      <c r="G246" s="45">
        <f t="shared" si="22"/>
        <v>8.5368888888888897E-2</v>
      </c>
      <c r="H246" s="45">
        <f ca="1">F246*F246*('Sheet1 select'!$B$25)*$B$3</f>
        <v>1.1666003031892124E-2</v>
      </c>
      <c r="I246" s="45">
        <f>F246*(1-$B$3)*'Sheet1 select'!$B$41</f>
        <v>0.13066666666666668</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3.8739669421487599E-5</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0.25168585982007791</v>
      </c>
      <c r="S246" s="48">
        <f t="shared" ca="1" si="25"/>
        <v>0.9396680698697355</v>
      </c>
      <c r="T246" s="49">
        <f ca="1">H246+K246+O246+N246+'Sheet1 select'!$B$40*I246+J246+P246</f>
        <v>3.5611564595100814E-2</v>
      </c>
      <c r="U246" s="169">
        <f t="shared" ca="1" si="26"/>
        <v>2.3611564595100814E-2</v>
      </c>
      <c r="V246" s="47">
        <f t="shared" ca="1" si="27"/>
        <v>0</v>
      </c>
    </row>
    <row r="247" spans="5:22">
      <c r="E247" s="32">
        <v>246</v>
      </c>
      <c r="F247" s="45">
        <f t="shared" si="21"/>
        <v>0.65600000000000003</v>
      </c>
      <c r="G247" s="45">
        <f t="shared" si="22"/>
        <v>8.606720000000001E-2</v>
      </c>
      <c r="H247" s="45">
        <f ca="1">F247*F247*('Sheet1 select'!$B$25)*$B$3</f>
        <v>1.1761430062107187E-2</v>
      </c>
      <c r="I247" s="45">
        <f>F247*(1-$B$3)*'Sheet1 select'!$B$41</f>
        <v>0.13120000000000001</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3.8739669421487599E-5</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0.25304944379091376</v>
      </c>
      <c r="S247" s="48">
        <f t="shared" ca="1" si="25"/>
        <v>0.93959263379762947</v>
      </c>
      <c r="T247" s="49">
        <f ca="1">H247+K247+O247+N247+'Sheet1 select'!$B$40*I247+J247+P247</f>
        <v>3.5743504121492242E-2</v>
      </c>
      <c r="U247" s="169">
        <f t="shared" ca="1" si="26"/>
        <v>2.3743504121492242E-2</v>
      </c>
      <c r="V247" s="47">
        <f t="shared" ca="1" si="27"/>
        <v>0</v>
      </c>
    </row>
    <row r="248" spans="5:22">
      <c r="E248" s="32">
        <v>247</v>
      </c>
      <c r="F248" s="45">
        <f t="shared" si="21"/>
        <v>0.65866666666666673</v>
      </c>
      <c r="G248" s="45">
        <f t="shared" si="22"/>
        <v>8.6768355555555579E-2</v>
      </c>
      <c r="H248" s="45">
        <f ca="1">F248*F248*('Sheet1 select'!$B$25)*$B$3</f>
        <v>1.1857245797129642E-2</v>
      </c>
      <c r="I248" s="45">
        <f>F248*(1-$B$3)*'Sheet1 select'!$B$41</f>
        <v>0.13173333333333334</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3.8739669421487599E-5</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0.2544162609110015</v>
      </c>
      <c r="S248" s="48">
        <f t="shared" ca="1" si="25"/>
        <v>0.93951709837297426</v>
      </c>
      <c r="T248" s="49">
        <f ca="1">H248+K248+O248+N248+'Sheet1 select'!$B$40*I248+J248+P248</f>
        <v>3.587583235269106E-2</v>
      </c>
      <c r="U248" s="169">
        <f t="shared" ca="1" si="26"/>
        <v>2.387583235269106E-2</v>
      </c>
      <c r="V248" s="47">
        <f t="shared" ca="1" si="27"/>
        <v>0</v>
      </c>
    </row>
    <row r="249" spans="5:22">
      <c r="E249" s="32">
        <v>248</v>
      </c>
      <c r="F249" s="45">
        <f t="shared" si="21"/>
        <v>0.66133333333333333</v>
      </c>
      <c r="G249" s="45">
        <f t="shared" si="22"/>
        <v>8.7472355555555548E-2</v>
      </c>
      <c r="H249" s="45">
        <f ca="1">F249*F249*('Sheet1 select'!$B$25)*$B$3</f>
        <v>1.1953450236959488E-2</v>
      </c>
      <c r="I249" s="45">
        <f>F249*(1-$B$3)*'Sheet1 select'!$B$41</f>
        <v>0.13226666666666667</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3.8739669421487599E-5</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0.25578631118034101</v>
      </c>
      <c r="S249" s="48">
        <f t="shared" ca="1" si="25"/>
        <v>0.93944146499474279</v>
      </c>
      <c r="T249" s="49">
        <f ca="1">H249+K249+O249+N249+'Sheet1 select'!$B$40*I249+J249+P249</f>
        <v>3.6008549288697268E-2</v>
      </c>
      <c r="U249" s="169">
        <f t="shared" ca="1" si="26"/>
        <v>2.4008549288697268E-2</v>
      </c>
      <c r="V249" s="47">
        <f t="shared" ca="1" si="27"/>
        <v>0</v>
      </c>
    </row>
    <row r="250" spans="5:22">
      <c r="E250" s="32">
        <v>249</v>
      </c>
      <c r="F250" s="45">
        <f t="shared" si="21"/>
        <v>0.66400000000000003</v>
      </c>
      <c r="G250" s="45">
        <f t="shared" si="22"/>
        <v>8.8179200000000013E-2</v>
      </c>
      <c r="H250" s="45">
        <f ca="1">F250*F250*('Sheet1 select'!$B$25)*$B$3</f>
        <v>1.205004338159673E-2</v>
      </c>
      <c r="I250" s="45">
        <f>F250*(1-$B$3)*'Sheet1 select'!$B$41</f>
        <v>0.1328</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3.8739669421487599E-5</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0.2571595945989324</v>
      </c>
      <c r="S250" s="48">
        <f t="shared" ca="1" si="25"/>
        <v>0.9393657350394401</v>
      </c>
      <c r="T250" s="49">
        <f ca="1">H250+K250+O250+N250+'Sheet1 select'!$B$40*I250+J250+P250</f>
        <v>3.6141654929510873E-2</v>
      </c>
      <c r="U250" s="169">
        <f t="shared" ca="1" si="26"/>
        <v>2.4141654929510873E-2</v>
      </c>
      <c r="V250" s="47">
        <f t="shared" ca="1" si="27"/>
        <v>0</v>
      </c>
    </row>
    <row r="251" spans="5:22">
      <c r="E251" s="32">
        <v>250</v>
      </c>
      <c r="F251" s="45">
        <f t="shared" si="21"/>
        <v>0.66666666666666663</v>
      </c>
      <c r="G251" s="45">
        <f t="shared" si="22"/>
        <v>8.8888888888888892E-2</v>
      </c>
      <c r="H251" s="45">
        <f ca="1">F251*F251*('Sheet1 select'!$B$25)*$B$3</f>
        <v>1.2147025231041362E-2</v>
      </c>
      <c r="I251" s="45">
        <f>F251*(1-$B$3)*'Sheet1 select'!$B$41</f>
        <v>0.13333333333333333</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3.8739669421487599E-5</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0.25853611116677561</v>
      </c>
      <c r="S251" s="48">
        <f t="shared" ca="1" si="25"/>
        <v>0.93928990986155081</v>
      </c>
      <c r="T251" s="49">
        <f ca="1">H251+K251+O251+N251+'Sheet1 select'!$B$40*I251+J251+P251</f>
        <v>3.6275149275131868E-2</v>
      </c>
      <c r="U251" s="169">
        <f t="shared" ca="1" si="26"/>
        <v>2.4275149275131865E-2</v>
      </c>
      <c r="V251" s="47">
        <f t="shared" ca="1" si="27"/>
        <v>0</v>
      </c>
    </row>
    <row r="252" spans="5:22">
      <c r="E252" s="32">
        <v>251</v>
      </c>
      <c r="F252" s="45">
        <f t="shared" si="21"/>
        <v>0.66933333333333334</v>
      </c>
      <c r="G252" s="45">
        <f t="shared" si="22"/>
        <v>8.9601422222222227E-2</v>
      </c>
      <c r="H252" s="45">
        <f ca="1">F252*F252*('Sheet1 select'!$B$25)*$B$3</f>
        <v>1.2244395785293391E-2</v>
      </c>
      <c r="I252" s="45">
        <f>F252*(1-$B$3)*'Sheet1 select'!$B$41</f>
        <v>0.13386666666666666</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3.8739669421487599E-5</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0.25991586088387064</v>
      </c>
      <c r="S252" s="48">
        <f t="shared" ca="1" si="25"/>
        <v>0.93921399079397616</v>
      </c>
      <c r="T252" s="49">
        <f ca="1">H252+K252+O252+N252+'Sheet1 select'!$B$40*I252+J252+P252</f>
        <v>3.6409032325560253E-2</v>
      </c>
      <c r="U252" s="169">
        <f t="shared" ca="1" si="26"/>
        <v>2.4409032325560256E-2</v>
      </c>
      <c r="V252" s="47">
        <f t="shared" ca="1" si="27"/>
        <v>0</v>
      </c>
    </row>
    <row r="253" spans="5:22">
      <c r="E253" s="32">
        <v>252</v>
      </c>
      <c r="F253" s="45">
        <f t="shared" si="21"/>
        <v>0.67200000000000004</v>
      </c>
      <c r="G253" s="45">
        <f t="shared" si="22"/>
        <v>9.0316800000000017E-2</v>
      </c>
      <c r="H253" s="45">
        <f ca="1">F253*F253*('Sheet1 select'!$B$25)*$B$3</f>
        <v>1.2342155044352812E-2</v>
      </c>
      <c r="I253" s="45">
        <f>F253*(1-$B$3)*'Sheet1 select'!$B$41</f>
        <v>0.13440000000000002</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3.8739669421487599E-5</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0.26129884375021756</v>
      </c>
      <c r="S253" s="48">
        <f t="shared" ca="1" si="25"/>
        <v>0.9391379791484602</v>
      </c>
      <c r="T253" s="49">
        <f ca="1">H253+K253+O253+N253+'Sheet1 select'!$B$40*I253+J253+P253</f>
        <v>3.6543304080796042E-2</v>
      </c>
      <c r="U253" s="169">
        <f t="shared" ca="1" si="26"/>
        <v>2.4543304080796042E-2</v>
      </c>
      <c r="V253" s="47">
        <f t="shared" ca="1" si="27"/>
        <v>0</v>
      </c>
    </row>
    <row r="254" spans="5:22">
      <c r="E254" s="32">
        <v>253</v>
      </c>
      <c r="F254" s="45">
        <f t="shared" si="21"/>
        <v>0.67466666666666664</v>
      </c>
      <c r="G254" s="45">
        <f t="shared" si="22"/>
        <v>9.1035022222222206E-2</v>
      </c>
      <c r="H254" s="45">
        <f ca="1">F254*F254*('Sheet1 select'!$B$25)*$B$3</f>
        <v>1.2440303008219624E-2</v>
      </c>
      <c r="I254" s="45">
        <f>F254*(1-$B$3)*'Sheet1 select'!$B$41</f>
        <v>0.13493333333333332</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3.8739669421487599E-5</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0.26268505976581624</v>
      </c>
      <c r="S254" s="48">
        <f t="shared" ca="1" si="25"/>
        <v>0.93906187621600745</v>
      </c>
      <c r="T254" s="49">
        <f ca="1">H254+K254+O254+N254+'Sheet1 select'!$B$40*I254+J254+P254</f>
        <v>3.6677964540839214E-2</v>
      </c>
      <c r="U254" s="169">
        <f t="shared" ca="1" si="26"/>
        <v>2.4677964540839214E-2</v>
      </c>
      <c r="V254" s="47">
        <f t="shared" ca="1" si="27"/>
        <v>0</v>
      </c>
    </row>
    <row r="255" spans="5:22">
      <c r="E255" s="32">
        <v>254</v>
      </c>
      <c r="F255" s="45">
        <f t="shared" si="21"/>
        <v>0.67733333333333334</v>
      </c>
      <c r="G255" s="45">
        <f t="shared" si="22"/>
        <v>9.1756088888888879E-2</v>
      </c>
      <c r="H255" s="45">
        <f ca="1">F255*F255*('Sheet1 select'!$B$25)*$B$3</f>
        <v>1.2538839676893832E-2</v>
      </c>
      <c r="I255" s="45">
        <f>F255*(1-$B$3)*'Sheet1 select'!$B$41</f>
        <v>0.13546666666666668</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3.8739669421487599E-5</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0.26407450893066686</v>
      </c>
      <c r="S255" s="48">
        <f t="shared" ca="1" si="25"/>
        <v>0.93898568326728926</v>
      </c>
      <c r="T255" s="49">
        <f ca="1">H255+K255+O255+N255+'Sheet1 select'!$B$40*I255+J255+P255</f>
        <v>3.6813013705689783E-2</v>
      </c>
      <c r="U255" s="169">
        <f t="shared" ca="1" si="26"/>
        <v>2.4813013705689783E-2</v>
      </c>
      <c r="V255" s="47">
        <f t="shared" ca="1" si="27"/>
        <v>0</v>
      </c>
    </row>
    <row r="256" spans="5:22">
      <c r="E256" s="32">
        <v>255</v>
      </c>
      <c r="F256" s="45">
        <f t="shared" si="21"/>
        <v>0.68</v>
      </c>
      <c r="G256" s="45">
        <f t="shared" si="22"/>
        <v>9.2480000000000021E-2</v>
      </c>
      <c r="H256" s="45">
        <f ca="1">F256*F256*('Sheet1 select'!$B$25)*$B$3</f>
        <v>1.2637765050375437E-2</v>
      </c>
      <c r="I256" s="45">
        <f>F256*(1-$B$3)*'Sheet1 select'!$B$41</f>
        <v>0.13600000000000001</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3.8739669421487599E-5</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0.26546719124476925</v>
      </c>
      <c r="S256" s="48">
        <f t="shared" ca="1" si="25"/>
        <v>0.93890940155304092</v>
      </c>
      <c r="T256" s="49">
        <f ca="1">H256+K256+O256+N256+'Sheet1 select'!$B$40*I256+J256+P256</f>
        <v>3.6948451575347749E-2</v>
      </c>
      <c r="U256" s="169">
        <f t="shared" ca="1" si="26"/>
        <v>2.4948451575347749E-2</v>
      </c>
      <c r="V256" s="47">
        <f t="shared" ca="1" si="27"/>
        <v>0</v>
      </c>
    </row>
    <row r="257" spans="5:22">
      <c r="E257" s="32">
        <v>256</v>
      </c>
      <c r="F257" s="45">
        <f t="shared" si="21"/>
        <v>0.68266666666666675</v>
      </c>
      <c r="G257" s="45">
        <f t="shared" si="22"/>
        <v>9.3206755555555576E-2</v>
      </c>
      <c r="H257" s="45">
        <f ca="1">F257*F257*('Sheet1 select'!$B$25)*$B$3</f>
        <v>1.2737079128664432E-2</v>
      </c>
      <c r="I257" s="45">
        <f>F257*(1-$B$3)*'Sheet1 select'!$B$41</f>
        <v>0.13653333333333337</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3.8739669421487599E-5</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0.26686310670812352</v>
      </c>
      <c r="S257" s="48">
        <f t="shared" ca="1" si="25"/>
        <v>0.9388330323044497</v>
      </c>
      <c r="T257" s="49">
        <f ca="1">H257+K257+O257+N257+'Sheet1 select'!$B$40*I257+J257+P257</f>
        <v>3.7084278149813105E-2</v>
      </c>
      <c r="U257" s="169">
        <f t="shared" ca="1" si="26"/>
        <v>2.5084278149813108E-2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1.2836781911760822E-2</v>
      </c>
      <c r="I258" s="45">
        <f>F258*(1-$B$3)*'Sheet1 select'!$B$41</f>
        <v>0.1370666666666667</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3.8739669421487599E-5</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0.26826225532072967</v>
      </c>
      <c r="S258" s="48">
        <f t="shared" ref="S258:S301" ca="1" si="32">($B$11*F258)/($B$11*F258+R258)</f>
        <v>0.93875657673353463</v>
      </c>
      <c r="T258" s="49">
        <f ca="1">H258+K258+O258+N258+'Sheet1 select'!$B$40*I258+J258+P258</f>
        <v>3.7220493429085857E-2</v>
      </c>
      <c r="U258" s="169">
        <f t="shared" ref="U258:U301" ca="1" si="33">H258+K258+O258</f>
        <v>2.5220493429085861E-2</v>
      </c>
      <c r="V258" s="47">
        <f t="shared" ref="V258:V301" ca="1" si="34">J258+P258+Q258</f>
        <v>0</v>
      </c>
    </row>
    <row r="259" spans="5:22">
      <c r="E259" s="32">
        <v>258</v>
      </c>
      <c r="F259" s="45">
        <f t="shared" si="28"/>
        <v>0.68800000000000006</v>
      </c>
      <c r="G259" s="45">
        <f t="shared" si="29"/>
        <v>9.4668800000000025E-2</v>
      </c>
      <c r="H259" s="45">
        <f ca="1">F259*F259*('Sheet1 select'!$B$25)*$B$3</f>
        <v>1.29368733996646E-2</v>
      </c>
      <c r="I259" s="45">
        <f>F259*(1-$B$3)*'Sheet1 select'!$B$41</f>
        <v>0.13760000000000003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3.8739669421487599E-5</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0.26966463708258753</v>
      </c>
      <c r="S259" s="48">
        <f t="shared" ca="1" si="32"/>
        <v>0.93868003603351557</v>
      </c>
      <c r="T259" s="49">
        <f ca="1">H259+K259+O259+N259+'Sheet1 select'!$B$40*I259+J259+P259</f>
        <v>3.7357097413166E-2</v>
      </c>
      <c r="U259" s="169">
        <f t="shared" ca="1" si="33"/>
        <v>2.5357097413166E-2</v>
      </c>
      <c r="V259" s="47">
        <f t="shared" ca="1" si="34"/>
        <v>0</v>
      </c>
    </row>
    <row r="260" spans="5:22">
      <c r="E260" s="32">
        <v>259</v>
      </c>
      <c r="F260" s="45">
        <f t="shared" si="28"/>
        <v>0.69066666666666676</v>
      </c>
      <c r="G260" s="45">
        <f t="shared" si="29"/>
        <v>9.5404088888888919E-2</v>
      </c>
      <c r="H260" s="45">
        <f ca="1">F260*F260*('Sheet1 select'!$B$25)*$B$3</f>
        <v>1.3037353592375775E-2</v>
      </c>
      <c r="I260" s="45">
        <f>F260*(1-$B$3)*'Sheet1 select'!$B$41</f>
        <v>0.13813333333333336</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3.8739669421487599E-5</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0.27107025199369728</v>
      </c>
      <c r="S260" s="48">
        <f t="shared" ca="1" si="32"/>
        <v>0.93860341137917547</v>
      </c>
      <c r="T260" s="49">
        <f ca="1">H260+K260+O260+N260+'Sheet1 select'!$B$40*I260+J260+P260</f>
        <v>3.749409010205354E-2</v>
      </c>
      <c r="U260" s="169">
        <f t="shared" ca="1" si="33"/>
        <v>2.5494090102053536E-2</v>
      </c>
      <c r="V260" s="47">
        <f t="shared" ca="1" si="34"/>
        <v>0</v>
      </c>
    </row>
    <row r="261" spans="5:22">
      <c r="E261" s="32">
        <v>260</v>
      </c>
      <c r="F261" s="45">
        <f t="shared" si="28"/>
        <v>0.69333333333333336</v>
      </c>
      <c r="G261" s="45">
        <f t="shared" si="29"/>
        <v>9.6142222222222226E-2</v>
      </c>
      <c r="H261" s="45">
        <f ca="1">F261*F261*('Sheet1 select'!$B$25)*$B$3</f>
        <v>1.3138222489894338E-2</v>
      </c>
      <c r="I261" s="45">
        <f>F261*(1-$B$3)*'Sheet1 select'!$B$41</f>
        <v>0.13866666666666669</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3.8739669421487599E-5</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0.27247910005405884</v>
      </c>
      <c r="S261" s="48">
        <f t="shared" ca="1" si="32"/>
        <v>0.93852670392721405</v>
      </c>
      <c r="T261" s="49">
        <f ca="1">H261+K261+O261+N261+'Sheet1 select'!$B$40*I261+J261+P261</f>
        <v>3.7631471495748463E-2</v>
      </c>
      <c r="U261" s="169">
        <f t="shared" ca="1" si="33"/>
        <v>2.5631471495748463E-2</v>
      </c>
      <c r="V261" s="47">
        <f t="shared" ca="1" si="34"/>
        <v>0</v>
      </c>
    </row>
    <row r="262" spans="5:22">
      <c r="E262" s="32">
        <v>261</v>
      </c>
      <c r="F262" s="45">
        <f t="shared" si="28"/>
        <v>0.69600000000000006</v>
      </c>
      <c r="G262" s="45">
        <f t="shared" si="29"/>
        <v>9.6883200000000017E-2</v>
      </c>
      <c r="H262" s="45">
        <f ca="1">F262*F262*('Sheet1 select'!$B$25)*$B$3</f>
        <v>1.32394800922203E-2</v>
      </c>
      <c r="I262" s="45">
        <f>F262*(1-$B$3)*'Sheet1 select'!$B$41</f>
        <v>0.13920000000000002</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3.8739669421487599E-5</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0.27389118126367229</v>
      </c>
      <c r="S262" s="48">
        <f t="shared" ca="1" si="32"/>
        <v>0.93844991481659257</v>
      </c>
      <c r="T262" s="49">
        <f ca="1">H262+K262+O262+N262+'Sheet1 select'!$B$40*I262+J262+P262</f>
        <v>3.7769241594250783E-2</v>
      </c>
      <c r="U262" s="169">
        <f t="shared" ca="1" si="33"/>
        <v>2.5769241594250786E-2</v>
      </c>
      <c r="V262" s="47">
        <f t="shared" ca="1" si="34"/>
        <v>0</v>
      </c>
    </row>
    <row r="263" spans="5:22">
      <c r="E263" s="32">
        <v>262</v>
      </c>
      <c r="F263" s="45">
        <f t="shared" si="28"/>
        <v>0.69866666666666677</v>
      </c>
      <c r="G263" s="45">
        <f t="shared" si="29"/>
        <v>9.7627022222222248E-2</v>
      </c>
      <c r="H263" s="45">
        <f ca="1">F263*F263*('Sheet1 select'!$B$25)*$B$3</f>
        <v>1.3341126399353656E-2</v>
      </c>
      <c r="I263" s="45">
        <f>F263*(1-$B$3)*'Sheet1 select'!$B$41</f>
        <v>0.13973333333333335</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3.8739669421487599E-5</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0.27530649562253762</v>
      </c>
      <c r="S263" s="48">
        <f t="shared" ca="1" si="32"/>
        <v>0.93837304516887143</v>
      </c>
      <c r="T263" s="49">
        <f ca="1">H263+K263+O263+N263+'Sheet1 select'!$B$40*I263+J263+P263</f>
        <v>3.7907400397560506E-2</v>
      </c>
      <c r="U263" s="169">
        <f t="shared" ca="1" si="33"/>
        <v>2.5907400397560506E-2</v>
      </c>
      <c r="V263" s="47">
        <f t="shared" ca="1" si="34"/>
        <v>0</v>
      </c>
    </row>
    <row r="264" spans="5:22">
      <c r="E264" s="32">
        <v>263</v>
      </c>
      <c r="F264" s="45">
        <f t="shared" si="28"/>
        <v>0.70133333333333336</v>
      </c>
      <c r="G264" s="45">
        <f t="shared" si="29"/>
        <v>9.8373688888888894E-2</v>
      </c>
      <c r="H264" s="45">
        <f ca="1">F264*F264*('Sheet1 select'!$B$25)*$B$3</f>
        <v>1.3443161411294402E-2</v>
      </c>
      <c r="I264" s="45">
        <f>F264*(1-$B$3)*'Sheet1 select'!$B$41</f>
        <v>0.14026666666666668</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3.8739669421487599E-5</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0.27672504313065466</v>
      </c>
      <c r="S264" s="48">
        <f t="shared" ca="1" si="32"/>
        <v>0.93829609608853948</v>
      </c>
      <c r="T264" s="49">
        <f ca="1">H264+K264+O264+N264+'Sheet1 select'!$B$40*I264+J264+P264</f>
        <v>3.8045947905677613E-2</v>
      </c>
      <c r="U264" s="169">
        <f t="shared" ca="1" si="33"/>
        <v>2.6045947905677613E-2</v>
      </c>
      <c r="V264" s="47">
        <f t="shared" ca="1" si="34"/>
        <v>0</v>
      </c>
    </row>
    <row r="265" spans="5:22">
      <c r="E265" s="32">
        <v>264</v>
      </c>
      <c r="F265" s="45">
        <f t="shared" si="28"/>
        <v>0.70400000000000007</v>
      </c>
      <c r="G265" s="45">
        <f t="shared" si="29"/>
        <v>9.9123200000000022E-2</v>
      </c>
      <c r="H265" s="45">
        <f ca="1">F265*F265*('Sheet1 select'!$B$25)*$B$3</f>
        <v>1.3545585128042544E-2</v>
      </c>
      <c r="I265" s="45">
        <f>F265*(1-$B$3)*'Sheet1 select'!$B$41</f>
        <v>0.14080000000000001</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3.8739669421487599E-5</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0.27814682378802369</v>
      </c>
      <c r="S265" s="48">
        <f t="shared" ca="1" si="32"/>
        <v>0.93821906866333682</v>
      </c>
      <c r="T265" s="49">
        <f ca="1">H265+K265+O265+N265+'Sheet1 select'!$B$40*I265+J265+P265</f>
        <v>3.8184884118602117E-2</v>
      </c>
      <c r="U265" s="169">
        <f t="shared" ca="1" si="33"/>
        <v>2.6184884118602116E-2</v>
      </c>
      <c r="V265" s="47">
        <f t="shared" ca="1" si="34"/>
        <v>0</v>
      </c>
    </row>
    <row r="266" spans="5:22">
      <c r="E266" s="32">
        <v>265</v>
      </c>
      <c r="F266" s="45">
        <f t="shared" si="28"/>
        <v>0.70666666666666667</v>
      </c>
      <c r="G266" s="45">
        <f t="shared" si="29"/>
        <v>9.9875555555555551E-2</v>
      </c>
      <c r="H266" s="45">
        <f ca="1">F266*F266*('Sheet1 select'!$B$25)*$B$3</f>
        <v>1.3648397549598075E-2</v>
      </c>
      <c r="I266" s="45">
        <f>F266*(1-$B$3)*'Sheet1 select'!$B$41</f>
        <v>0.14133333333333334</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3.8739669421487599E-5</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0.27957183759464432</v>
      </c>
      <c r="S266" s="48">
        <f t="shared" ca="1" si="32"/>
        <v>0.93814196396456995</v>
      </c>
      <c r="T266" s="49">
        <f ca="1">H266+K266+O266+N266+'Sheet1 select'!$B$40*I266+J266+P266</f>
        <v>3.832420903633401E-2</v>
      </c>
      <c r="U266" s="169">
        <f t="shared" ca="1" si="33"/>
        <v>2.632420903633401E-2</v>
      </c>
      <c r="V266" s="47">
        <f t="shared" ca="1" si="34"/>
        <v>0</v>
      </c>
    </row>
    <row r="267" spans="5:22">
      <c r="E267" s="32">
        <v>266</v>
      </c>
      <c r="F267" s="45">
        <f t="shared" si="28"/>
        <v>0.70933333333333337</v>
      </c>
      <c r="G267" s="45">
        <f t="shared" si="29"/>
        <v>0.10063075555555556</v>
      </c>
      <c r="H267" s="45">
        <f ca="1">F267*F267*('Sheet1 select'!$B$25)*$B$3</f>
        <v>1.3751598675961004E-2</v>
      </c>
      <c r="I267" s="45">
        <f>F267*(1-$B$3)*'Sheet1 select'!$B$41</f>
        <v>0.14186666666666667</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3.8739669421487599E-5</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0.281000084550517</v>
      </c>
      <c r="S267" s="48">
        <f t="shared" ca="1" si="32"/>
        <v>0.93806478304741836</v>
      </c>
      <c r="T267" s="49">
        <f ca="1">H267+K267+O267+N267+'Sheet1 select'!$B$40*I267+J267+P267</f>
        <v>3.8463922658873301E-2</v>
      </c>
      <c r="U267" s="169">
        <f t="shared" ca="1" si="33"/>
        <v>2.6463922658873301E-2</v>
      </c>
      <c r="V267" s="47">
        <f t="shared" ca="1" si="34"/>
        <v>0</v>
      </c>
    </row>
    <row r="268" spans="5:22">
      <c r="E268" s="32">
        <v>267</v>
      </c>
      <c r="F268" s="45">
        <f t="shared" si="28"/>
        <v>0.71200000000000008</v>
      </c>
      <c r="G268" s="45">
        <f t="shared" si="29"/>
        <v>0.10138880000000002</v>
      </c>
      <c r="H268" s="45">
        <f ca="1">F268*F268*('Sheet1 select'!$B$25)*$B$3</f>
        <v>1.3855188507131326E-2</v>
      </c>
      <c r="I268" s="45">
        <f>F268*(1-$B$3)*'Sheet1 select'!$B$41</f>
        <v>0.14240000000000003</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3.8739669421487599E-5</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0.28243156465564151</v>
      </c>
      <c r="S268" s="48">
        <f t="shared" ca="1" si="32"/>
        <v>0.93798752695123744</v>
      </c>
      <c r="T268" s="49">
        <f ca="1">H268+K268+O268+N268+'Sheet1 select'!$B$40*I268+J268+P268</f>
        <v>3.8604024986219981E-2</v>
      </c>
      <c r="U268" s="169">
        <f t="shared" ca="1" si="33"/>
        <v>2.6604024986219985E-2</v>
      </c>
      <c r="V268" s="47">
        <f t="shared" ca="1" si="34"/>
        <v>0</v>
      </c>
    </row>
    <row r="269" spans="5:22">
      <c r="E269" s="32">
        <v>268</v>
      </c>
      <c r="F269" s="45">
        <f t="shared" si="28"/>
        <v>0.71466666666666667</v>
      </c>
      <c r="G269" s="45">
        <f t="shared" si="29"/>
        <v>0.1021496888888889</v>
      </c>
      <c r="H269" s="45">
        <f ca="1">F269*F269*('Sheet1 select'!$B$25)*$B$3</f>
        <v>1.3959167043109039E-2</v>
      </c>
      <c r="I269" s="45">
        <f>F269*(1-$B$3)*'Sheet1 select'!$B$41</f>
        <v>0.14293333333333333</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3.8739669421487599E-5</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0.28386627791001778</v>
      </c>
      <c r="S269" s="48">
        <f t="shared" ca="1" si="32"/>
        <v>0.93791019669985098</v>
      </c>
      <c r="T269" s="49">
        <f ca="1">H269+K269+O269+N269+'Sheet1 select'!$B$40*I269+J269+P269</f>
        <v>3.8744516018374059E-2</v>
      </c>
      <c r="U269" s="169">
        <f t="shared" ca="1" si="33"/>
        <v>2.6744516018374059E-2</v>
      </c>
      <c r="V269" s="47">
        <f t="shared" ca="1" si="34"/>
        <v>0</v>
      </c>
    </row>
    <row r="270" spans="5:22">
      <c r="E270" s="32">
        <v>269</v>
      </c>
      <c r="F270" s="45">
        <f t="shared" si="28"/>
        <v>0.71733333333333338</v>
      </c>
      <c r="G270" s="45">
        <f t="shared" si="29"/>
        <v>0.10291342222222225</v>
      </c>
      <c r="H270" s="45">
        <f ca="1">F270*F270*('Sheet1 select'!$B$25)*$B$3</f>
        <v>1.4063534283894147E-2</v>
      </c>
      <c r="I270" s="45">
        <f>F270*(1-$B$3)*'Sheet1 select'!$B$41</f>
        <v>0.14346666666666669</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3.8739669421487599E-5</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0.28530422431364594</v>
      </c>
      <c r="S270" s="48">
        <f t="shared" ca="1" si="32"/>
        <v>0.93783279330183988</v>
      </c>
      <c r="T270" s="49">
        <f ca="1">H270+K270+O270+N270+'Sheet1 select'!$B$40*I270+J270+P270</f>
        <v>3.8885395755335533E-2</v>
      </c>
      <c r="U270" s="169">
        <f t="shared" ca="1" si="33"/>
        <v>2.688539575533553E-2</v>
      </c>
      <c r="V270" s="47">
        <f t="shared" ca="1" si="34"/>
        <v>0</v>
      </c>
    </row>
    <row r="271" spans="5:22">
      <c r="E271" s="32">
        <v>270</v>
      </c>
      <c r="F271" s="45">
        <f t="shared" si="28"/>
        <v>0.72</v>
      </c>
      <c r="G271" s="45">
        <f t="shared" si="29"/>
        <v>0.10367999999999999</v>
      </c>
      <c r="H271" s="45">
        <f ca="1">F271*F271*('Sheet1 select'!$B$25)*$B$3</f>
        <v>1.4168290229486645E-2</v>
      </c>
      <c r="I271" s="45">
        <f>F271*(1-$B$3)*'Sheet1 select'!$B$41</f>
        <v>0.14399999999999999</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3.8739669421487599E-5</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0.28674540386652586</v>
      </c>
      <c r="S271" s="48">
        <f t="shared" ca="1" si="32"/>
        <v>0.93775531775082355</v>
      </c>
      <c r="T271" s="49">
        <f ca="1">H271+K271+O271+N271+'Sheet1 select'!$B$40*I271+J271+P271</f>
        <v>3.9026664197104391E-2</v>
      </c>
      <c r="U271" s="169">
        <f t="shared" ca="1" si="33"/>
        <v>2.7026664197104391E-2</v>
      </c>
      <c r="V271" s="47">
        <f t="shared" ca="1" si="34"/>
        <v>0</v>
      </c>
    </row>
    <row r="272" spans="5:22">
      <c r="E272" s="32">
        <v>271</v>
      </c>
      <c r="F272" s="45">
        <f t="shared" si="28"/>
        <v>0.72266666666666668</v>
      </c>
      <c r="G272" s="45">
        <f t="shared" si="29"/>
        <v>0.10444942222222223</v>
      </c>
      <c r="H272" s="45">
        <f ca="1">F272*F272*('Sheet1 select'!$B$25)*$B$3</f>
        <v>1.427343487988654E-2</v>
      </c>
      <c r="I272" s="45">
        <f>F272*(1-$B$3)*'Sheet1 select'!$B$41</f>
        <v>0.14453333333333335</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3.8739669421487599E-5</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0.28818981656865772</v>
      </c>
      <c r="S272" s="48">
        <f t="shared" ca="1" si="32"/>
        <v>0.93767777102573469</v>
      </c>
      <c r="T272" s="49">
        <f ca="1">H272+K272+O272+N272+'Sheet1 select'!$B$40*I272+J272+P272</f>
        <v>3.9168321343680645E-2</v>
      </c>
      <c r="U272" s="169">
        <f t="shared" ca="1" si="33"/>
        <v>2.7168321343680645E-2</v>
      </c>
      <c r="V272" s="47">
        <f t="shared" ca="1" si="34"/>
        <v>0</v>
      </c>
    </row>
    <row r="273" spans="5:22">
      <c r="E273" s="32">
        <v>272</v>
      </c>
      <c r="F273" s="45">
        <f t="shared" si="28"/>
        <v>0.72533333333333339</v>
      </c>
      <c r="G273" s="45">
        <f t="shared" si="29"/>
        <v>0.1052216888888889</v>
      </c>
      <c r="H273" s="45">
        <f ca="1">F273*F273*('Sheet1 select'!$B$25)*$B$3</f>
        <v>1.4378968235093829E-2</v>
      </c>
      <c r="I273" s="45">
        <f>F273*(1-$B$3)*'Sheet1 select'!$B$41</f>
        <v>0.14506666666666668</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3.8739669421487599E-5</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0.28963746242004135</v>
      </c>
      <c r="S273" s="48">
        <f t="shared" ca="1" si="32"/>
        <v>0.93760015409108843</v>
      </c>
      <c r="T273" s="49">
        <f ca="1">H273+K273+O273+N273+'Sheet1 select'!$B$40*I273+J273+P273</f>
        <v>3.9310367195064297E-2</v>
      </c>
      <c r="U273" s="169">
        <f t="shared" ca="1" si="33"/>
        <v>2.7310367195064297E-2</v>
      </c>
      <c r="V273" s="47">
        <f t="shared" ca="1" si="34"/>
        <v>0</v>
      </c>
    </row>
    <row r="274" spans="5:22">
      <c r="E274" s="32">
        <v>273</v>
      </c>
      <c r="F274" s="45">
        <f t="shared" si="28"/>
        <v>0.72799999999999998</v>
      </c>
      <c r="G274" s="45">
        <f t="shared" si="29"/>
        <v>0.10599680000000002</v>
      </c>
      <c r="H274" s="45">
        <f ca="1">F274*F274*('Sheet1 select'!$B$25)*$B$3</f>
        <v>1.4484890295108509E-2</v>
      </c>
      <c r="I274" s="45">
        <f>F274*(1-$B$3)*'Sheet1 select'!$B$41</f>
        <v>0.14560000000000001</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3.8739669421487599E-5</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0.29108834142067685</v>
      </c>
      <c r="S274" s="48">
        <f t="shared" ca="1" si="32"/>
        <v>0.93752246789724614</v>
      </c>
      <c r="T274" s="49">
        <f ca="1">H274+K274+O274+N274+'Sheet1 select'!$B$40*I274+J274+P274</f>
        <v>3.9452801751255338E-2</v>
      </c>
      <c r="U274" s="169">
        <f t="shared" ca="1" si="33"/>
        <v>2.7452801751255338E-2</v>
      </c>
      <c r="V274" s="47">
        <f t="shared" ca="1" si="34"/>
        <v>0</v>
      </c>
    </row>
    <row r="275" spans="5:22">
      <c r="E275" s="32">
        <v>274</v>
      </c>
      <c r="F275" s="45">
        <f t="shared" si="28"/>
        <v>0.73066666666666669</v>
      </c>
      <c r="G275" s="45">
        <f t="shared" si="29"/>
        <v>0.10677475555555556</v>
      </c>
      <c r="H275" s="45">
        <f ca="1">F275*F275*('Sheet1 select'!$B$25)*$B$3</f>
        <v>1.4591201059930583E-2</v>
      </c>
      <c r="I275" s="45">
        <f>F275*(1-$B$3)*'Sheet1 select'!$B$41</f>
        <v>0.14613333333333334</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3.8739669421487599E-5</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0.29254245357056419</v>
      </c>
      <c r="S275" s="48">
        <f t="shared" ca="1" si="32"/>
        <v>0.93744471338067148</v>
      </c>
      <c r="T275" s="49">
        <f ca="1">H275+K275+O275+N275+'Sheet1 select'!$B$40*I275+J275+P275</f>
        <v>3.9595625012253777E-2</v>
      </c>
      <c r="U275" s="169">
        <f t="shared" ca="1" si="33"/>
        <v>2.7595625012253773E-2</v>
      </c>
      <c r="V275" s="47">
        <f t="shared" ca="1" si="34"/>
        <v>0</v>
      </c>
    </row>
    <row r="276" spans="5:22">
      <c r="E276" s="32">
        <v>275</v>
      </c>
      <c r="F276" s="45">
        <f t="shared" si="28"/>
        <v>0.73333333333333328</v>
      </c>
      <c r="G276" s="45">
        <f t="shared" si="29"/>
        <v>0.10755555555555554</v>
      </c>
      <c r="H276" s="45">
        <f ca="1">F276*F276*('Sheet1 select'!$B$25)*$B$3</f>
        <v>1.4697900529560047E-2</v>
      </c>
      <c r="I276" s="45">
        <f>F276*(1-$B$3)*'Sheet1 select'!$B$41</f>
        <v>0.14666666666666667</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3.8739669421487599E-5</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0.29399979886970329</v>
      </c>
      <c r="S276" s="48">
        <f t="shared" ca="1" si="32"/>
        <v>0.93736689146418428</v>
      </c>
      <c r="T276" s="49">
        <f ca="1">H276+K276+O276+N276+'Sheet1 select'!$B$40*I276+J276+P276</f>
        <v>3.9738836978059598E-2</v>
      </c>
      <c r="U276" s="169">
        <f t="shared" ca="1" si="33"/>
        <v>2.7738836978059598E-2</v>
      </c>
      <c r="V276" s="47">
        <f t="shared" ca="1" si="34"/>
        <v>0</v>
      </c>
    </row>
    <row r="277" spans="5:22">
      <c r="E277" s="32">
        <v>276</v>
      </c>
      <c r="F277" s="45">
        <f t="shared" si="28"/>
        <v>0.73599999999999999</v>
      </c>
      <c r="G277" s="45">
        <f t="shared" si="29"/>
        <v>0.1083392</v>
      </c>
      <c r="H277" s="45">
        <f ca="1">F277*F277*('Sheet1 select'!$B$25)*$B$3</f>
        <v>1.4804988703996909E-2</v>
      </c>
      <c r="I277" s="45">
        <f>F277*(1-$B$3)*'Sheet1 select'!$B$41</f>
        <v>0.1472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3.8739669421487599E-5</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0.29546037731809432</v>
      </c>
      <c r="S277" s="48">
        <f t="shared" ca="1" si="32"/>
        <v>0.93728900305720508</v>
      </c>
      <c r="T277" s="49">
        <f ca="1">H277+K277+O277+N277+'Sheet1 select'!$B$40*I277+J277+P277</f>
        <v>3.9882437648672824E-2</v>
      </c>
      <c r="U277" s="169">
        <f t="shared" ca="1" si="33"/>
        <v>2.7882437648672823E-2</v>
      </c>
      <c r="V277" s="47">
        <f t="shared" ca="1" si="34"/>
        <v>0</v>
      </c>
    </row>
    <row r="278" spans="5:22">
      <c r="E278" s="32">
        <v>277</v>
      </c>
      <c r="F278" s="45">
        <f t="shared" si="28"/>
        <v>0.73866666666666669</v>
      </c>
      <c r="G278" s="45">
        <f t="shared" si="29"/>
        <v>0.10912568888888889</v>
      </c>
      <c r="H278" s="45">
        <f ca="1">F278*F278*('Sheet1 select'!$B$25)*$B$3</f>
        <v>1.4912465583241165E-2</v>
      </c>
      <c r="I278" s="45">
        <f>F278*(1-$B$3)*'Sheet1 select'!$B$41</f>
        <v>0.14773333333333336</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3.8739669421487599E-5</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0.29692418891573719</v>
      </c>
      <c r="S278" s="48">
        <f t="shared" ca="1" si="32"/>
        <v>0.9372110490559975</v>
      </c>
      <c r="T278" s="49">
        <f ca="1">H278+K278+O278+N278+'Sheet1 select'!$B$40*I278+J278+P278</f>
        <v>4.0026427024093439E-2</v>
      </c>
      <c r="U278" s="169">
        <f t="shared" ca="1" si="33"/>
        <v>2.8026427024093442E-2</v>
      </c>
      <c r="V278" s="47">
        <f t="shared" ca="1" si="34"/>
        <v>0</v>
      </c>
    </row>
    <row r="279" spans="5:22">
      <c r="E279" s="32">
        <v>278</v>
      </c>
      <c r="F279" s="45">
        <f t="shared" si="28"/>
        <v>0.7413333333333334</v>
      </c>
      <c r="G279" s="45">
        <f t="shared" si="29"/>
        <v>0.10991502222222226</v>
      </c>
      <c r="H279" s="45">
        <f ca="1">F279*F279*('Sheet1 select'!$B$25)*$B$3</f>
        <v>1.5020331167292815E-2</v>
      </c>
      <c r="I279" s="45">
        <f>F279*(1-$B$3)*'Sheet1 select'!$B$41</f>
        <v>0.14826666666666669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3.8739669421487599E-5</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0.29839123366263187</v>
      </c>
      <c r="S279" s="48">
        <f t="shared" ca="1" si="32"/>
        <v>0.93713303034390327</v>
      </c>
      <c r="T279" s="49">
        <f ca="1">H279+K279+O279+N279+'Sheet1 select'!$B$40*I279+J279+P279</f>
        <v>4.0170805104321458E-2</v>
      </c>
      <c r="U279" s="169">
        <f t="shared" ca="1" si="33"/>
        <v>2.8170805104321454E-2</v>
      </c>
      <c r="V279" s="47">
        <f t="shared" ca="1" si="34"/>
        <v>0</v>
      </c>
    </row>
    <row r="280" spans="5:22">
      <c r="E280" s="32">
        <v>279</v>
      </c>
      <c r="F280" s="45">
        <f t="shared" si="28"/>
        <v>0.74400000000000011</v>
      </c>
      <c r="G280" s="45">
        <f t="shared" si="29"/>
        <v>0.11070720000000003</v>
      </c>
      <c r="H280" s="45">
        <f ca="1">F280*F280*('Sheet1 select'!$B$25)*$B$3</f>
        <v>1.5128585456151856E-2</v>
      </c>
      <c r="I280" s="45">
        <f>F280*(1-$B$3)*'Sheet1 select'!$B$41</f>
        <v>0.14880000000000002</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3.8739669421487599E-5</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0.29986151155877838</v>
      </c>
      <c r="S280" s="48">
        <f t="shared" ca="1" si="32"/>
        <v>0.93705494779157406</v>
      </c>
      <c r="T280" s="49">
        <f ca="1">H280+K280+O280+N280+'Sheet1 select'!$B$40*I280+J280+P280</f>
        <v>4.031557188935686E-2</v>
      </c>
      <c r="U280" s="169">
        <f t="shared" ca="1" si="33"/>
        <v>2.831557188935686E-2</v>
      </c>
      <c r="V280" s="47">
        <f t="shared" ca="1" si="34"/>
        <v>0</v>
      </c>
    </row>
    <row r="281" spans="5:22">
      <c r="E281" s="32">
        <v>280</v>
      </c>
      <c r="F281" s="45">
        <f t="shared" si="28"/>
        <v>0.7466666666666667</v>
      </c>
      <c r="G281" s="45">
        <f t="shared" si="29"/>
        <v>0.11150222222222224</v>
      </c>
      <c r="H281" s="45">
        <f ca="1">F281*F281*('Sheet1 select'!$B$25)*$B$3</f>
        <v>1.5237228449818287E-2</v>
      </c>
      <c r="I281" s="45">
        <f>F281*(1-$B$3)*'Sheet1 select'!$B$41</f>
        <v>0.14933333333333335</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3.8739669421487599E-5</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0.30133502260417672</v>
      </c>
      <c r="S281" s="48">
        <f t="shared" ca="1" si="32"/>
        <v>0.93697680225719604</v>
      </c>
      <c r="T281" s="49">
        <f ca="1">H281+K281+O281+N281+'Sheet1 select'!$B$40*I281+J281+P281</f>
        <v>4.0460727379199653E-2</v>
      </c>
      <c r="U281" s="169">
        <f t="shared" ca="1" si="33"/>
        <v>2.8460727379199652E-2</v>
      </c>
      <c r="V281" s="47">
        <f t="shared" ca="1" si="34"/>
        <v>0</v>
      </c>
    </row>
    <row r="282" spans="5:22">
      <c r="E282" s="32">
        <v>281</v>
      </c>
      <c r="F282" s="45">
        <f t="shared" si="28"/>
        <v>0.74933333333333341</v>
      </c>
      <c r="G282" s="45">
        <f t="shared" si="29"/>
        <v>0.11230008888888893</v>
      </c>
      <c r="H282" s="45">
        <f ca="1">F282*F282*('Sheet1 select'!$B$25)*$B$3</f>
        <v>1.5346260148292117E-2</v>
      </c>
      <c r="I282" s="45">
        <f>F282*(1-$B$3)*'Sheet1 select'!$B$41</f>
        <v>0.14986666666666668</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3.8739669421487599E-5</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0.30281176679882693</v>
      </c>
      <c r="S282" s="48">
        <f t="shared" ca="1" si="32"/>
        <v>0.93689859458671254</v>
      </c>
      <c r="T282" s="49">
        <f ca="1">H282+K282+O282+N282+'Sheet1 select'!$B$40*I282+J282+P282</f>
        <v>4.0606271573849842E-2</v>
      </c>
      <c r="U282" s="169">
        <f t="shared" ca="1" si="33"/>
        <v>2.8606271573849842E-2</v>
      </c>
      <c r="V282" s="47">
        <f t="shared" ca="1" si="34"/>
        <v>0</v>
      </c>
    </row>
    <row r="283" spans="5:22">
      <c r="E283" s="32">
        <v>282</v>
      </c>
      <c r="F283" s="45">
        <f t="shared" si="28"/>
        <v>0.75200000000000011</v>
      </c>
      <c r="G283" s="45">
        <f t="shared" si="29"/>
        <v>0.11310080000000003</v>
      </c>
      <c r="H283" s="45">
        <f ca="1">F283*F283*('Sheet1 select'!$B$25)*$B$3</f>
        <v>1.5455680551573337E-2</v>
      </c>
      <c r="I283" s="45">
        <f>F283*(1-$B$3)*'Sheet1 select'!$B$41</f>
        <v>0.15040000000000003</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3.8739669421487599E-5</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0.30429174414272897</v>
      </c>
      <c r="S283" s="48">
        <f t="shared" ca="1" si="32"/>
        <v>0.93682032561403916</v>
      </c>
      <c r="T283" s="49">
        <f ca="1">H283+K283+O283+N283+'Sheet1 select'!$B$40*I283+J283+P283</f>
        <v>4.0752204473307428E-2</v>
      </c>
      <c r="U283" s="169">
        <f t="shared" ca="1" si="33"/>
        <v>2.8752204473307428E-2</v>
      </c>
      <c r="V283" s="47">
        <f t="shared" ca="1" si="34"/>
        <v>0</v>
      </c>
    </row>
    <row r="284" spans="5:22">
      <c r="E284" s="32">
        <v>283</v>
      </c>
      <c r="F284" s="45">
        <f t="shared" si="28"/>
        <v>0.75466666666666671</v>
      </c>
      <c r="G284" s="45">
        <f t="shared" si="29"/>
        <v>0.11390435555555556</v>
      </c>
      <c r="H284" s="45">
        <f ca="1">F284*F284*('Sheet1 select'!$B$25)*$B$3</f>
        <v>1.5565489659661948E-2</v>
      </c>
      <c r="I284" s="45">
        <f>F284*(1-$B$3)*'Sheet1 select'!$B$41</f>
        <v>0.15093333333333336</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3.8739669421487599E-5</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0.30577495463588283</v>
      </c>
      <c r="S284" s="48">
        <f t="shared" ca="1" si="32"/>
        <v>0.9367419961612764</v>
      </c>
      <c r="T284" s="49">
        <f ca="1">H284+K284+O284+N284+'Sheet1 select'!$B$40*I284+J284+P284</f>
        <v>4.0898526077572397E-2</v>
      </c>
      <c r="U284" s="169">
        <f t="shared" ca="1" si="33"/>
        <v>2.8898526077572397E-2</v>
      </c>
      <c r="V284" s="47">
        <f t="shared" ca="1" si="34"/>
        <v>0</v>
      </c>
    </row>
    <row r="285" spans="5:22">
      <c r="E285" s="32">
        <v>284</v>
      </c>
      <c r="F285" s="45">
        <f t="shared" si="28"/>
        <v>0.75733333333333341</v>
      </c>
      <c r="G285" s="45">
        <f t="shared" si="29"/>
        <v>0.1147107555555556</v>
      </c>
      <c r="H285" s="45">
        <f ca="1">F285*F285*('Sheet1 select'!$B$25)*$B$3</f>
        <v>1.5675687472557959E-2</v>
      </c>
      <c r="I285" s="45">
        <f>F285*(1-$B$3)*'Sheet1 select'!$B$41</f>
        <v>0.15146666666666669</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3.8739669421487599E-5</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0.30726139827828858</v>
      </c>
      <c r="S285" s="48">
        <f t="shared" ca="1" si="32"/>
        <v>0.93666360703891649</v>
      </c>
      <c r="T285" s="49">
        <f ca="1">H285+K285+O285+N285+'Sheet1 select'!$B$40*I285+J285+P285</f>
        <v>4.1045236386644771E-2</v>
      </c>
      <c r="U285" s="169">
        <f t="shared" ca="1" si="33"/>
        <v>2.904523638664477E-2</v>
      </c>
      <c r="V285" s="47">
        <f t="shared" ca="1" si="34"/>
        <v>0</v>
      </c>
    </row>
    <row r="286" spans="5:22">
      <c r="E286" s="32">
        <v>285</v>
      </c>
      <c r="F286" s="45">
        <f t="shared" si="28"/>
        <v>0.76</v>
      </c>
      <c r="G286" s="45">
        <f t="shared" si="29"/>
        <v>0.11552</v>
      </c>
      <c r="H286" s="45">
        <f ca="1">F286*F286*('Sheet1 select'!$B$25)*$B$3</f>
        <v>1.5786273990261356E-2</v>
      </c>
      <c r="I286" s="45">
        <f>F286*(1-$B$3)*'Sheet1 select'!$B$41</f>
        <v>0.15200000000000002</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3.8739669421487599E-5</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0.30875107506994603</v>
      </c>
      <c r="S286" s="48">
        <f t="shared" ca="1" si="32"/>
        <v>0.93658515904604756</v>
      </c>
      <c r="T286" s="49">
        <f ca="1">H286+K286+O286+N286+'Sheet1 select'!$B$40*I286+J286+P286</f>
        <v>4.1192335400524527E-2</v>
      </c>
      <c r="U286" s="169">
        <f t="shared" ca="1" si="33"/>
        <v>2.919233540052453E-2</v>
      </c>
      <c r="V286" s="47">
        <f t="shared" ca="1" si="34"/>
        <v>0</v>
      </c>
    </row>
    <row r="287" spans="5:22">
      <c r="E287" s="32">
        <v>286</v>
      </c>
      <c r="F287" s="45">
        <f t="shared" si="28"/>
        <v>0.76266666666666671</v>
      </c>
      <c r="G287" s="45">
        <f t="shared" si="29"/>
        <v>0.11633208888888891</v>
      </c>
      <c r="H287" s="45">
        <f ca="1">F287*F287*('Sheet1 select'!$B$25)*$B$3</f>
        <v>1.5897249212772153E-2</v>
      </c>
      <c r="I287" s="45">
        <f>F287*(1-$B$3)*'Sheet1 select'!$B$41</f>
        <v>0.15253333333333335</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3.8739669421487599E-5</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0.31024398501085548</v>
      </c>
      <c r="S287" s="48">
        <f t="shared" ca="1" si="32"/>
        <v>0.93650665297055025</v>
      </c>
      <c r="T287" s="49">
        <f ca="1">H287+K287+O287+N287+'Sheet1 select'!$B$40*I287+J287+P287</f>
        <v>4.1339823119211694E-2</v>
      </c>
      <c r="U287" s="169">
        <f t="shared" ca="1" si="33"/>
        <v>2.933982311921169E-2</v>
      </c>
      <c r="V287" s="47">
        <f t="shared" ca="1" si="34"/>
        <v>0</v>
      </c>
    </row>
    <row r="288" spans="5:22">
      <c r="E288" s="32">
        <v>287</v>
      </c>
      <c r="F288" s="45">
        <f t="shared" si="28"/>
        <v>0.76533333333333342</v>
      </c>
      <c r="G288" s="45">
        <f t="shared" si="29"/>
        <v>0.11714702222222224</v>
      </c>
      <c r="H288" s="45">
        <f ca="1">F288*F288*('Sheet1 select'!$B$25)*$B$3</f>
        <v>1.600861314009034E-2</v>
      </c>
      <c r="I288" s="45">
        <f>F288*(1-$B$3)*'Sheet1 select'!$B$41</f>
        <v>0.15306666666666668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3.8739669421487599E-5</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0.31174012810101664</v>
      </c>
      <c r="S288" s="48">
        <f t="shared" ca="1" si="32"/>
        <v>0.93642808958929513</v>
      </c>
      <c r="T288" s="49">
        <f ca="1">H288+K288+O288+N288+'Sheet1 select'!$B$40*I288+J288+P288</f>
        <v>4.1487699542706237E-2</v>
      </c>
      <c r="U288" s="169">
        <f t="shared" ca="1" si="33"/>
        <v>2.9487699542706237E-2</v>
      </c>
      <c r="V288" s="47">
        <f t="shared" ca="1" si="34"/>
        <v>0</v>
      </c>
    </row>
    <row r="289" spans="5:22">
      <c r="E289" s="32">
        <v>288</v>
      </c>
      <c r="F289" s="45">
        <f t="shared" si="28"/>
        <v>0.76800000000000002</v>
      </c>
      <c r="G289" s="45">
        <f t="shared" si="29"/>
        <v>0.11796479999999999</v>
      </c>
      <c r="H289" s="45">
        <f ca="1">F289*F289*('Sheet1 select'!$B$25)*$B$3</f>
        <v>1.6120365772215917E-2</v>
      </c>
      <c r="I289" s="45">
        <f>F289*(1-$B$3)*'Sheet1 select'!$B$41</f>
        <v>0.15360000000000001</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3.8739669421487599E-5</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0.31323950434042969</v>
      </c>
      <c r="S289" s="48">
        <f t="shared" ca="1" si="32"/>
        <v>0.93634946966833066</v>
      </c>
      <c r="T289" s="49">
        <f ca="1">H289+K289+O289+N289+'Sheet1 select'!$B$40*I289+J289+P289</f>
        <v>4.1635964671008177E-2</v>
      </c>
      <c r="U289" s="169">
        <f t="shared" ca="1" si="33"/>
        <v>2.9635964671008177E-2</v>
      </c>
      <c r="V289" s="47">
        <f t="shared" ca="1" si="34"/>
        <v>0</v>
      </c>
    </row>
    <row r="290" spans="5:22">
      <c r="E290" s="32">
        <v>289</v>
      </c>
      <c r="F290" s="45">
        <f t="shared" si="28"/>
        <v>0.77066666666666672</v>
      </c>
      <c r="G290" s="45">
        <f t="shared" si="29"/>
        <v>0.11878542222222224</v>
      </c>
      <c r="H290" s="45">
        <f ca="1">F290*F290*('Sheet1 select'!$B$25)*$B$3</f>
        <v>1.6232507109148891E-2</v>
      </c>
      <c r="I290" s="45">
        <f>F290*(1-$B$3)*'Sheet1 select'!$B$41</f>
        <v>0.15413333333333334</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3.8739669421487599E-5</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0.31474211372909461</v>
      </c>
      <c r="S290" s="48">
        <f t="shared" ca="1" si="32"/>
        <v>0.93627079396307211</v>
      </c>
      <c r="T290" s="49">
        <f ca="1">H290+K290+O290+N290+'Sheet1 select'!$B$40*I290+J290+P290</f>
        <v>4.1784618504117514E-2</v>
      </c>
      <c r="U290" s="169">
        <f t="shared" ca="1" si="33"/>
        <v>2.9784618504117514E-2</v>
      </c>
      <c r="V290" s="47">
        <f t="shared" ca="1" si="34"/>
        <v>0</v>
      </c>
    </row>
    <row r="291" spans="5:22">
      <c r="E291" s="32">
        <v>290</v>
      </c>
      <c r="F291" s="45">
        <f t="shared" si="28"/>
        <v>0.77333333333333332</v>
      </c>
      <c r="G291" s="45">
        <f t="shared" si="29"/>
        <v>0.11960888888888888</v>
      </c>
      <c r="H291" s="45">
        <f ca="1">F291*F291*('Sheet1 select'!$B$25)*$B$3</f>
        <v>1.6345037150889256E-2</v>
      </c>
      <c r="I291" s="45">
        <f>F291*(1-$B$3)*'Sheet1 select'!$B$41</f>
        <v>0.15466666666666667</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3.8739669421487599E-5</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0.3162479562670113</v>
      </c>
      <c r="S291" s="48">
        <f t="shared" ca="1" si="32"/>
        <v>0.93619206321848247</v>
      </c>
      <c r="T291" s="49">
        <f ca="1">H291+K291+O291+N291+'Sheet1 select'!$B$40*I291+J291+P291</f>
        <v>4.1933661042034234E-2</v>
      </c>
      <c r="U291" s="169">
        <f t="shared" ca="1" si="33"/>
        <v>2.9933661042034237E-2</v>
      </c>
      <c r="V291" s="47">
        <f t="shared" ca="1" si="34"/>
        <v>0</v>
      </c>
    </row>
    <row r="292" spans="5:22">
      <c r="E292" s="32">
        <v>291</v>
      </c>
      <c r="F292" s="45">
        <f t="shared" si="28"/>
        <v>0.77600000000000002</v>
      </c>
      <c r="G292" s="45">
        <f t="shared" si="29"/>
        <v>0.12043520000000001</v>
      </c>
      <c r="H292" s="45">
        <f ca="1">F292*F292*('Sheet1 select'!$B$25)*$B$3</f>
        <v>1.645795589743702E-2</v>
      </c>
      <c r="I292" s="45">
        <f>F292*(1-$B$3)*'Sheet1 select'!$B$41</f>
        <v>0.1552</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3.8739669421487599E-5</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0.31775703195417981</v>
      </c>
      <c r="S292" s="48">
        <f t="shared" ca="1" si="32"/>
        <v>0.93611327816925272</v>
      </c>
      <c r="T292" s="49">
        <f ca="1">H292+K292+O292+N292+'Sheet1 select'!$B$40*I292+J292+P292</f>
        <v>4.2083092284758365E-2</v>
      </c>
      <c r="U292" s="169">
        <f t="shared" ca="1" si="33"/>
        <v>3.0083092284758365E-2</v>
      </c>
      <c r="V292" s="47">
        <f t="shared" ca="1" si="34"/>
        <v>0</v>
      </c>
    </row>
    <row r="293" spans="5:22">
      <c r="E293" s="32">
        <v>292</v>
      </c>
      <c r="F293" s="45">
        <f t="shared" si="28"/>
        <v>0.77866666666666673</v>
      </c>
      <c r="G293" s="45">
        <f t="shared" si="29"/>
        <v>0.12126435555555556</v>
      </c>
      <c r="H293" s="45">
        <f ca="1">F293*F293*('Sheet1 select'!$B$25)*$B$3</f>
        <v>1.6571263348792175E-2</v>
      </c>
      <c r="I293" s="45">
        <f>F293*(1-$B$3)*'Sheet1 select'!$B$41</f>
        <v>0.15573333333333336</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3.8739669421487599E-5</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0.31926934079060026</v>
      </c>
      <c r="S293" s="48">
        <f t="shared" ca="1" si="32"/>
        <v>0.936034439539977</v>
      </c>
      <c r="T293" s="49">
        <f ca="1">H293+K293+O293+N293+'Sheet1 select'!$B$40*I293+J293+P293</f>
        <v>4.2232912232289879E-2</v>
      </c>
      <c r="U293" s="169">
        <f t="shared" ca="1" si="33"/>
        <v>3.0232912232289882E-2</v>
      </c>
      <c r="V293" s="47">
        <f t="shared" ca="1" si="34"/>
        <v>0</v>
      </c>
    </row>
    <row r="294" spans="5:22">
      <c r="E294" s="32">
        <v>293</v>
      </c>
      <c r="F294" s="45">
        <f t="shared" si="28"/>
        <v>0.78133333333333332</v>
      </c>
      <c r="G294" s="45">
        <f t="shared" si="29"/>
        <v>0.12209635555555556</v>
      </c>
      <c r="H294" s="45">
        <f ca="1">F294*F294*('Sheet1 select'!$B$25)*$B$3</f>
        <v>1.668495950495472E-2</v>
      </c>
      <c r="I294" s="45">
        <f>F294*(1-$B$3)*'Sheet1 select'!$B$41</f>
        <v>0.15626666666666666</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3.8739669421487599E-5</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0.32078488277627248</v>
      </c>
      <c r="S294" s="48">
        <f t="shared" ca="1" si="32"/>
        <v>0.93595554804532399</v>
      </c>
      <c r="T294" s="49">
        <f ca="1">H294+K294+O294+N294+'Sheet1 select'!$B$40*I294+J294+P294</f>
        <v>4.238312088462879E-2</v>
      </c>
      <c r="U294" s="169">
        <f t="shared" ca="1" si="33"/>
        <v>3.038312088462879E-2</v>
      </c>
      <c r="V294" s="47">
        <f t="shared" ca="1" si="34"/>
        <v>0</v>
      </c>
    </row>
    <row r="295" spans="5:22">
      <c r="E295" s="32">
        <v>294</v>
      </c>
      <c r="F295" s="45">
        <f t="shared" si="28"/>
        <v>0.78400000000000003</v>
      </c>
      <c r="G295" s="45">
        <f t="shared" si="29"/>
        <v>0.12293120000000002</v>
      </c>
      <c r="H295" s="45">
        <f ca="1">F295*F295*('Sheet1 select'!$B$25)*$B$3</f>
        <v>1.6799044365924661E-2</v>
      </c>
      <c r="I295" s="45">
        <f>F295*(1-$B$3)*'Sheet1 select'!$B$41</f>
        <v>0.15680000000000002</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3.8739669421487599E-5</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0.32230365791119658</v>
      </c>
      <c r="S295" s="48">
        <f t="shared" ca="1" si="32"/>
        <v>0.93587660439020559</v>
      </c>
      <c r="T295" s="49">
        <f ca="1">H295+K295+O295+N295+'Sheet1 select'!$B$40*I295+J295+P295</f>
        <v>4.2533718241775091E-2</v>
      </c>
      <c r="U295" s="169">
        <f t="shared" ca="1" si="33"/>
        <v>3.0533718241775091E-2</v>
      </c>
      <c r="V295" s="47">
        <f t="shared" ca="1" si="34"/>
        <v>0</v>
      </c>
    </row>
    <row r="296" spans="5:22">
      <c r="E296" s="32">
        <v>295</v>
      </c>
      <c r="F296" s="45">
        <f t="shared" si="28"/>
        <v>0.78666666666666663</v>
      </c>
      <c r="G296" s="45">
        <f t="shared" si="29"/>
        <v>0.12376888888888889</v>
      </c>
      <c r="H296" s="45">
        <f ca="1">F296*F296*('Sheet1 select'!$B$25)*$B$3</f>
        <v>1.6913517931701993E-2</v>
      </c>
      <c r="I296" s="45">
        <f>F296*(1-$B$3)*'Sheet1 select'!$B$41</f>
        <v>0.15733333333333333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3.8739669421487599E-5</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0.32382566619537245</v>
      </c>
      <c r="S296" s="48">
        <f t="shared" ca="1" si="32"/>
        <v>0.93579760926994149</v>
      </c>
      <c r="T296" s="49">
        <f ca="1">H296+K296+O296+N296+'Sheet1 select'!$B$40*I296+J296+P296</f>
        <v>4.2684704303728782E-2</v>
      </c>
      <c r="U296" s="169">
        <f t="shared" ca="1" si="33"/>
        <v>3.0684704303728785E-2</v>
      </c>
      <c r="V296" s="47">
        <f t="shared" ca="1" si="34"/>
        <v>0</v>
      </c>
    </row>
    <row r="297" spans="5:22">
      <c r="E297" s="32">
        <v>296</v>
      </c>
      <c r="F297" s="45">
        <f t="shared" si="28"/>
        <v>0.78933333333333333</v>
      </c>
      <c r="G297" s="45">
        <f t="shared" si="29"/>
        <v>0.12460942222222222</v>
      </c>
      <c r="H297" s="45">
        <f ca="1">F297*F297*('Sheet1 select'!$B$25)*$B$3</f>
        <v>1.7028380202286721E-2</v>
      </c>
      <c r="I297" s="45">
        <f>F297*(1-$B$3)*'Sheet1 select'!$B$41</f>
        <v>0.15786666666666668</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3.8739669421487599E-5</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0.32535090762880026</v>
      </c>
      <c r="S297" s="48">
        <f t="shared" ca="1" si="32"/>
        <v>0.93571856337042159</v>
      </c>
      <c r="T297" s="49">
        <f ca="1">H297+K297+O297+N297+'Sheet1 select'!$B$40*I297+J297+P297</f>
        <v>4.2836079070489877E-2</v>
      </c>
      <c r="U297" s="169">
        <f t="shared" ca="1" si="33"/>
        <v>3.0836079070489877E-2</v>
      </c>
      <c r="V297" s="47">
        <f t="shared" ca="1" si="34"/>
        <v>0</v>
      </c>
    </row>
    <row r="298" spans="5:22">
      <c r="E298" s="32">
        <v>297</v>
      </c>
      <c r="F298" s="45">
        <f t="shared" si="28"/>
        <v>0.79200000000000004</v>
      </c>
      <c r="G298" s="45">
        <f t="shared" si="29"/>
        <v>0.1254528</v>
      </c>
      <c r="H298" s="45">
        <f ca="1">F298*F298*('Sheet1 select'!$B$25)*$B$3</f>
        <v>1.7143631177678843E-2</v>
      </c>
      <c r="I298" s="45">
        <f>F298*(1-$B$3)*'Sheet1 select'!$B$41</f>
        <v>0.15840000000000001</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3.8739669421487599E-5</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0.32687938221147983</v>
      </c>
      <c r="S298" s="48">
        <f t="shared" ca="1" si="32"/>
        <v>0.93563946736826265</v>
      </c>
      <c r="T298" s="49">
        <f ca="1">H298+K298+O298+N298+'Sheet1 select'!$B$40*I298+J298+P298</f>
        <v>4.2987842542058362E-2</v>
      </c>
      <c r="U298" s="169">
        <f t="shared" ca="1" si="33"/>
        <v>3.0987842542058362E-2</v>
      </c>
      <c r="V298" s="47">
        <f t="shared" ca="1" si="34"/>
        <v>0</v>
      </c>
    </row>
    <row r="299" spans="5:22">
      <c r="E299" s="32">
        <v>298</v>
      </c>
      <c r="F299" s="45">
        <f t="shared" si="28"/>
        <v>0.79466666666666663</v>
      </c>
      <c r="G299" s="45">
        <f t="shared" si="29"/>
        <v>0.1262990222222222</v>
      </c>
      <c r="H299" s="45">
        <f ca="1">F299*F299*('Sheet1 select'!$B$25)*$B$3</f>
        <v>1.7259270857878352E-2</v>
      </c>
      <c r="I299" s="45">
        <f>F299*(1-$B$3)*'Sheet1 select'!$B$41</f>
        <v>0.15893333333333334</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3.8739669421487599E-5</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0.32841108994341123</v>
      </c>
      <c r="S299" s="48">
        <f t="shared" ca="1" si="32"/>
        <v>0.93556032193096539</v>
      </c>
      <c r="T299" s="49">
        <f ca="1">H299+K299+O299+N299+'Sheet1 select'!$B$40*I299+J299+P299</f>
        <v>4.313999471843423E-2</v>
      </c>
      <c r="U299" s="169">
        <f t="shared" ca="1" si="33"/>
        <v>3.1139994718434229E-2</v>
      </c>
      <c r="V299" s="47">
        <f t="shared" ca="1" si="34"/>
        <v>0</v>
      </c>
    </row>
    <row r="300" spans="5:22">
      <c r="E300" s="32">
        <v>299</v>
      </c>
      <c r="F300" s="45">
        <f t="shared" si="28"/>
        <v>0.79733333333333334</v>
      </c>
      <c r="G300" s="45">
        <f t="shared" si="29"/>
        <v>0.1271480888888889</v>
      </c>
      <c r="H300" s="45">
        <f ca="1">F300*F300*('Sheet1 select'!$B$25)*$B$3</f>
        <v>1.7375299242885261E-2</v>
      </c>
      <c r="I300" s="45">
        <f>F300*(1-$B$3)*'Sheet1 select'!$B$41</f>
        <v>0.15946666666666667</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3.8739669421487599E-5</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0.32994603082459456</v>
      </c>
      <c r="S300" s="48">
        <f t="shared" ca="1" si="32"/>
        <v>0.93548112771706493</v>
      </c>
      <c r="T300" s="49">
        <f ca="1">H300+K300+O300+N300+'Sheet1 select'!$B$40*I300+J300+P300</f>
        <v>4.3292535599617502E-2</v>
      </c>
      <c r="U300" s="169">
        <f t="shared" ca="1" si="33"/>
        <v>3.1292535599617505E-2</v>
      </c>
      <c r="V300" s="47">
        <f t="shared" ca="1" si="34"/>
        <v>0</v>
      </c>
    </row>
    <row r="301" spans="5:22">
      <c r="E301" s="32">
        <v>300</v>
      </c>
      <c r="F301" s="50">
        <f t="shared" si="28"/>
        <v>0.8</v>
      </c>
      <c r="G301" s="45">
        <f t="shared" si="29"/>
        <v>0.12800000000000003</v>
      </c>
      <c r="H301" s="45">
        <f ca="1">F301*F301*('Sheet1 select'!$B$25)*$B$3</f>
        <v>1.7491716332699567E-2</v>
      </c>
      <c r="I301" s="45">
        <f>F301*(1-$B$3)*'Sheet1 select'!$B$41</f>
        <v>0.16000000000000003</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3.8739669421487599E-5</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0.33148420485502972</v>
      </c>
      <c r="S301" s="48">
        <f t="shared" ca="1" si="32"/>
        <v>0.93540188537628088</v>
      </c>
      <c r="T301" s="49">
        <f ca="1">H301+K301+O301+N301+'Sheet1 select'!$B$40*I301+J301+P301</f>
        <v>4.344546518560817E-2</v>
      </c>
      <c r="U301" s="169">
        <f t="shared" ca="1" si="33"/>
        <v>3.1445465185608173E-2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3.2"/>
  <cols>
    <col min="1" max="1" width="13.69921875" style="71" customWidth="1"/>
    <col min="2" max="2" width="17.5" style="72" customWidth="1"/>
    <col min="3" max="3" width="9.5" style="72" customWidth="1"/>
    <col min="4" max="4" width="8.8984375" style="72" customWidth="1"/>
    <col min="5" max="5" width="10.3984375" style="72" customWidth="1"/>
    <col min="6" max="6" width="12.5" style="72" customWidth="1"/>
    <col min="7" max="7" width="9.59765625" style="72" customWidth="1"/>
    <col min="8" max="8" width="10.5" style="72" customWidth="1"/>
    <col min="9" max="9" width="10" style="72" customWidth="1"/>
    <col min="10" max="10" width="9.5" style="72" customWidth="1"/>
    <col min="11" max="15" width="13.19921875" style="72" customWidth="1"/>
    <col min="16" max="16" width="10.69921875" style="72" customWidth="1"/>
    <col min="17" max="17" width="10.59765625" style="72" customWidth="1"/>
    <col min="18" max="18" width="8.19921875" style="72" customWidth="1"/>
    <col min="19" max="19" width="10.69921875" style="72" customWidth="1"/>
    <col min="20" max="20" width="11.5" style="72" customWidth="1"/>
    <col min="21" max="21" width="8" style="72" customWidth="1"/>
    <col min="22" max="22" width="9.59765625" style="72" bestFit="1" customWidth="1"/>
    <col min="23" max="24" width="8" style="72" customWidth="1"/>
    <col min="25" max="25" width="11.8984375" style="72" customWidth="1"/>
    <col min="26" max="26" width="9.19921875" style="72" customWidth="1"/>
    <col min="27" max="27" width="8" style="72" customWidth="1"/>
    <col min="28" max="28" width="8.09765625" style="72" bestFit="1" customWidth="1"/>
    <col min="29" max="29" width="9.8984375" style="72" bestFit="1" customWidth="1"/>
    <col min="30" max="16384" width="8" style="72"/>
  </cols>
  <sheetData>
    <row r="1" spans="1:30" ht="13.8" thickBot="1"/>
    <row r="2" spans="1:30" ht="13.8" thickBot="1">
      <c r="A2" s="307" t="s">
        <v>187</v>
      </c>
      <c r="B2" s="308"/>
      <c r="C2" s="308"/>
      <c r="D2" s="307" t="s">
        <v>95</v>
      </c>
      <c r="E2" s="308"/>
      <c r="F2" s="310"/>
      <c r="G2" s="309" t="s">
        <v>188</v>
      </c>
      <c r="H2" s="308"/>
      <c r="I2" s="310"/>
      <c r="J2" s="307" t="s">
        <v>96</v>
      </c>
      <c r="K2" s="308"/>
      <c r="L2" s="308"/>
      <c r="M2" s="308"/>
      <c r="N2" s="308"/>
      <c r="O2" s="308"/>
      <c r="P2" s="310"/>
      <c r="Q2" s="73" t="s">
        <v>97</v>
      </c>
      <c r="R2" s="74"/>
      <c r="S2" s="75"/>
    </row>
    <row r="3" spans="1:30">
      <c r="A3" s="76" t="s">
        <v>98</v>
      </c>
      <c r="B3" s="77">
        <f>'Sheet1 select'!B18/'EZBuck design calculator'!N16</f>
        <v>0.13333333333333333</v>
      </c>
      <c r="C3" s="225" t="s">
        <v>99</v>
      </c>
      <c r="D3" s="79" t="s">
        <v>100</v>
      </c>
      <c r="E3" s="77">
        <f ca="1">('EZBuck design calculator'!N16/'EZBuck design calculator'!N17)/('Sheet1 select'!B25*'Sheet1 select'!B5)</f>
        <v>68.603902394454138</v>
      </c>
      <c r="F3" s="78" t="s">
        <v>99</v>
      </c>
      <c r="G3" s="82" t="s">
        <v>101</v>
      </c>
      <c r="H3" s="81">
        <f>1000000000/(2*3.14159265*'EZBuck design calculator'!N40*'EZBuck design calculator'!N41)</f>
        <v>33862.753888033272</v>
      </c>
      <c r="I3" s="78" t="s">
        <v>29</v>
      </c>
      <c r="J3" s="80" t="s">
        <v>102</v>
      </c>
      <c r="K3" s="81">
        <f>'EZBuck design calculator'!N22*1000/2</f>
        <v>100000</v>
      </c>
      <c r="L3" s="230"/>
      <c r="M3" s="230"/>
      <c r="N3" s="230"/>
      <c r="O3" s="230"/>
      <c r="P3" s="78" t="s">
        <v>29</v>
      </c>
      <c r="Q3" s="82" t="s">
        <v>103</v>
      </c>
      <c r="R3" s="81">
        <f ca="1">E3*E4*B3*B6</f>
        <v>3683.8923185372296</v>
      </c>
      <c r="S3" s="83" t="s">
        <v>99</v>
      </c>
      <c r="T3" s="204" t="s">
        <v>104</v>
      </c>
    </row>
    <row r="4" spans="1:30" ht="13.8" thickBot="1">
      <c r="A4" s="76" t="s">
        <v>105</v>
      </c>
      <c r="B4" s="81">
        <f>1000000/(2*3.14159265*'EZBuck design calculator'!N58*'EZBuck design calculator'!N57)</f>
        <v>23.405138716728878</v>
      </c>
      <c r="C4" s="225" t="s">
        <v>29</v>
      </c>
      <c r="D4" s="80" t="s">
        <v>106</v>
      </c>
      <c r="E4" s="77">
        <f ca="1">1/(1+(1000*('EZBuck design calculator'!N16/'EZBuck design calculator'!N17)*(E7*(1-'Efficiency calculations'!B3)-0.5)/('EZBuck design calculator'!N22*'EZBuck design calculator'!N29)))</f>
        <v>0.25170937279712541</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17.937487990869656</v>
      </c>
      <c r="I4" s="78" t="s">
        <v>29</v>
      </c>
      <c r="J4" s="84" t="s">
        <v>108</v>
      </c>
      <c r="K4" s="85">
        <f ca="1">K6*Pole3</f>
        <v>18251.047556980571</v>
      </c>
      <c r="L4" s="231"/>
      <c r="M4" s="231"/>
      <c r="N4" s="231"/>
      <c r="O4" s="231"/>
      <c r="P4" s="83"/>
      <c r="Q4" s="86" t="s">
        <v>109</v>
      </c>
      <c r="R4" s="87">
        <f ca="1">MIN(V14:V614)/1000</f>
        <v>7.2443999999999997</v>
      </c>
      <c r="S4" s="78" t="s">
        <v>110</v>
      </c>
      <c r="T4" s="205">
        <f ca="1">K6</f>
        <v>0.18251047556980571</v>
      </c>
    </row>
    <row r="5" spans="1:30">
      <c r="A5" s="76" t="s">
        <v>111</v>
      </c>
      <c r="B5" s="88">
        <f>1000/(2*3.14159265*'Sheet1 select'!B7*'EZBuck design calculator'!N57)</f>
        <v>2.9256423395911098</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55.828134128877082</v>
      </c>
      <c r="S5" s="78" t="s">
        <v>114</v>
      </c>
    </row>
    <row r="6" spans="1:30" ht="13.8" thickBot="1">
      <c r="A6" s="215" t="s">
        <v>115</v>
      </c>
      <c r="B6" s="81">
        <f>'Sheet1 select'!B6*'Sheet1 select'!B7</f>
        <v>1600</v>
      </c>
      <c r="C6" s="226" t="s">
        <v>99</v>
      </c>
      <c r="D6" s="227" t="s">
        <v>136</v>
      </c>
      <c r="E6" s="223">
        <f ca="1">1000000*(1-'Efficiency calculations'!B3)*'EZBuck design calculator'!N15*'Sheet1 select'!B25*'Sheet1 select'!B5/'EZBuck design calculator'!N29</f>
        <v>29815.425567101527</v>
      </c>
      <c r="F6" s="224"/>
      <c r="G6" s="203"/>
      <c r="H6" s="202"/>
      <c r="I6" s="201"/>
      <c r="J6" s="200" t="s">
        <v>138</v>
      </c>
      <c r="K6" s="202">
        <f ca="1">1/(3.14159265*(E7*(1-'Efficiency calculations'!B3)-0.5))</f>
        <v>0.18251047556980571</v>
      </c>
      <c r="L6" s="232"/>
      <c r="M6" s="232"/>
      <c r="N6" s="232"/>
      <c r="O6" s="232"/>
      <c r="P6" s="201"/>
      <c r="Q6" s="203" t="s">
        <v>116</v>
      </c>
      <c r="R6" s="202">
        <f>180/3.14159265</f>
        <v>57.295779578552292</v>
      </c>
      <c r="S6" s="201"/>
    </row>
    <row r="7" spans="1:30" ht="13.8" thickBot="1">
      <c r="A7" s="216" t="s">
        <v>117</v>
      </c>
      <c r="B7" s="217">
        <f>IF('EZBuck design calculator'!N59=0,1/(2*3.14159265*'EZBuck design calculator'!N58*1000*G7*0.000000000001),1/(2*3.14159265*'EZBuck design calculator'!N58*1000*('EZBuck design calculator'!N59+G7)*0.000000000001))</f>
        <v>15915.494327375638</v>
      </c>
      <c r="C7" s="222" t="s">
        <v>217</v>
      </c>
      <c r="D7" s="228" t="s">
        <v>137</v>
      </c>
      <c r="E7" s="229">
        <f ca="1">1+E5/E6</f>
        <v>4.4881273039669125</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24485375888270.215</v>
      </c>
      <c r="C8" s="220" t="s">
        <v>217</v>
      </c>
      <c r="D8" s="127"/>
    </row>
    <row r="9" spans="1:30" ht="13.8"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183640319162026.62</v>
      </c>
      <c r="C9" s="221" t="s">
        <v>217</v>
      </c>
      <c r="D9" s="127"/>
    </row>
    <row r="10" spans="1:30" ht="13.8" thickBot="1"/>
    <row r="11" spans="1:30" ht="13.8">
      <c r="A11" s="311" t="s">
        <v>118</v>
      </c>
      <c r="B11" s="314" t="s">
        <v>119</v>
      </c>
      <c r="C11" s="319"/>
      <c r="D11" s="319"/>
      <c r="E11" s="320"/>
      <c r="F11" s="314" t="s">
        <v>120</v>
      </c>
      <c r="G11" s="319"/>
      <c r="H11" s="319"/>
      <c r="I11" s="320"/>
      <c r="J11" s="206"/>
      <c r="K11" s="206"/>
      <c r="L11" s="206"/>
      <c r="M11" s="206"/>
      <c r="N11" s="206"/>
      <c r="O11" s="206"/>
      <c r="P11" s="314" t="s">
        <v>121</v>
      </c>
      <c r="Q11" s="320"/>
      <c r="R11" s="314" t="s">
        <v>122</v>
      </c>
      <c r="S11" s="315"/>
      <c r="T11" s="316"/>
      <c r="Y11" s="324" t="s">
        <v>123</v>
      </c>
      <c r="Z11" s="325"/>
      <c r="AB11" s="324" t="s">
        <v>124</v>
      </c>
      <c r="AC11" s="325"/>
    </row>
    <row r="12" spans="1:30">
      <c r="A12" s="312"/>
      <c r="B12" s="321" t="s">
        <v>107</v>
      </c>
      <c r="C12" s="317"/>
      <c r="D12" s="317" t="s">
        <v>101</v>
      </c>
      <c r="E12" s="318"/>
      <c r="F12" s="321" t="s">
        <v>111</v>
      </c>
      <c r="G12" s="317"/>
      <c r="H12" s="317" t="s">
        <v>105</v>
      </c>
      <c r="I12" s="318"/>
      <c r="J12" s="322" t="s">
        <v>117</v>
      </c>
      <c r="K12" s="323"/>
      <c r="L12" s="317" t="s">
        <v>218</v>
      </c>
      <c r="M12" s="318"/>
      <c r="N12" s="321" t="s">
        <v>219</v>
      </c>
      <c r="O12" s="317"/>
      <c r="P12" s="321" t="s">
        <v>125</v>
      </c>
      <c r="Q12" s="318"/>
      <c r="R12" s="80" t="s">
        <v>126</v>
      </c>
      <c r="S12" s="77"/>
      <c r="T12" s="78" t="s">
        <v>113</v>
      </c>
      <c r="Y12" s="80"/>
      <c r="Z12" s="78"/>
      <c r="AB12" s="80"/>
      <c r="AC12" s="78"/>
    </row>
    <row r="13" spans="1:30" ht="13.8" thickBot="1">
      <c r="A13" s="313"/>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1.0015527792068095</v>
      </c>
      <c r="C14" s="102">
        <f t="shared" ref="C14:C77" ca="1" si="1">ATAN(A14/Pole1)</f>
        <v>5.5691518136729033E-2</v>
      </c>
      <c r="D14" s="102">
        <f t="shared" ref="D14:D77" si="2">SQRT(1+(A14/Zero1)^2)</f>
        <v>1.000000000436039</v>
      </c>
      <c r="E14" s="103">
        <f t="shared" ref="E14:E77" si="3">ATAN(A14/Zero1)</f>
        <v>2.9530970901415563E-5</v>
      </c>
      <c r="F14" s="101">
        <f t="shared" ref="F14:F77" si="4">SQRT(1+(A14/Pole2)^2)</f>
        <v>1.0568021809471411</v>
      </c>
      <c r="G14" s="104">
        <f t="shared" ref="G14:G77" si="5">ATAN(A14/Pole2)</f>
        <v>0.32935583023018655</v>
      </c>
      <c r="H14" s="102">
        <f t="shared" ref="H14:H77" si="6">SQRT(1+(A14/Zero2)^2)</f>
        <v>1.0009123248446157</v>
      </c>
      <c r="I14" s="103">
        <f t="shared" ref="I14:I77" si="7">ATAN(A14/Zero2)</f>
        <v>4.2699690170440723E-2</v>
      </c>
      <c r="J14" s="101">
        <f t="shared" ref="J14:J77" si="8">SQRT(1+(A14/pole4)^2)</f>
        <v>1.0000000019739208</v>
      </c>
      <c r="K14" s="104">
        <f t="shared" ref="K14:K77" si="9">ATAN(A14/pole4)</f>
        <v>6.2831852917316603E-5</v>
      </c>
      <c r="L14" s="102">
        <f t="shared" ref="L14:L77" si="10">SQRT(1+(A14/Zerofeed)^2)</f>
        <v>1</v>
      </c>
      <c r="M14" s="103">
        <f t="shared" ref="M14:M77" si="11">ATAN(A14/Zerofeed)</f>
        <v>4.0840704449999997E-14</v>
      </c>
      <c r="N14" s="101">
        <f t="shared" ref="N14:N77" si="12">SQRT(1+(A14/Polefeed)^2)</f>
        <v>1</v>
      </c>
      <c r="O14" s="104">
        <f t="shared" ref="O14:O77" si="13">ATAN(A14/Polefeed)</f>
        <v>5.4454272599999995E-15</v>
      </c>
      <c r="P14" s="105">
        <f t="shared" ref="P14:P77" ca="1" si="14">SQRT((1-(W14/pterm2))^2+(A14/pterm1)^2)</f>
        <v>1.0000000014010473</v>
      </c>
      <c r="Q14" s="106">
        <f t="shared" ref="Q14:Q77" ca="1" si="15">IF((ATAN((A14/pterm1)/(1-A14^2/pterm2))&gt;0),ATAN((A14/pterm1)/(1-A14^2/pterm2)),PI()+ATAN((A14/pterm1)/(1-A14^2/pterm2)))</f>
        <v>5.4791375452683352E-5</v>
      </c>
      <c r="R14" s="107">
        <f t="shared" ref="R14:R77" ca="1" si="16">20*LOG10(((D14*H14*L14)/(B14*F14*P14*J14*N14))*Adc)</f>
        <v>70.840708431708549</v>
      </c>
      <c r="S14" s="108">
        <f t="shared" ref="S14:S77" ca="1" si="17">((E14+I14+M14)-(C14+G14+Q14+K14+O14))*radconv</f>
        <v>-19.62012327782325</v>
      </c>
      <c r="T14" s="109">
        <f t="shared" ref="T14:T77" ca="1" si="18">IF(S14&gt;0,S14,S14+180)</f>
        <v>160.37987672217676</v>
      </c>
      <c r="V14" s="72">
        <f t="shared" ref="V14:V77" ca="1" si="19">IF(R14&lt;0,A14,1000000000)</f>
        <v>1000000000</v>
      </c>
      <c r="W14" s="72">
        <f t="shared" ref="W14:W77" si="20">A14^2</f>
        <v>1</v>
      </c>
      <c r="Y14" s="110">
        <f t="shared" ref="Y14:Y77" si="21">20*LOG10(((H14*L14)/(F14*J14*N14))*Aea)</f>
        <v>63.610446358873119</v>
      </c>
      <c r="Z14" s="111">
        <f t="shared" ref="Z14:Z77" si="22">(I14+M14-(G14+K14+O14))*radconv</f>
        <v>-16.427787015695046</v>
      </c>
      <c r="AA14" s="72">
        <f t="shared" ref="AA14:AA77" si="23">IF(Z14&gt;0,Z14,Z14+180)</f>
        <v>163.57221298430494</v>
      </c>
      <c r="AB14" s="110">
        <f t="shared" ref="AB14:AB77" ca="1" si="24">20*LOG10((D14/(B14*P14))*Acs*Am)</f>
        <v>24.731487340669428</v>
      </c>
      <c r="AC14" s="111">
        <f t="shared" ref="AC14:AC77" ca="1" si="25">(E14-(C14+Q14))*radconv</f>
        <v>-3.1923362621282085</v>
      </c>
      <c r="AD14" s="72">
        <f t="shared" ref="AD14:AD77" ca="1" si="26">IF(AC14&gt;0,AC14,AC14+180)</f>
        <v>176.80766373787179</v>
      </c>
    </row>
    <row r="15" spans="1:30">
      <c r="A15" s="112">
        <v>1.0965</v>
      </c>
      <c r="B15" s="101">
        <f t="shared" ca="1" si="0"/>
        <v>1.0018666327644725</v>
      </c>
      <c r="C15" s="102">
        <f t="shared" ca="1" si="1"/>
        <v>6.1052989832826934E-2</v>
      </c>
      <c r="D15" s="102">
        <f t="shared" si="2"/>
        <v>1.0000000005242551</v>
      </c>
      <c r="E15" s="103">
        <f t="shared" si="3"/>
        <v>3.2380709591497836E-5</v>
      </c>
      <c r="F15" s="101">
        <f t="shared" si="4"/>
        <v>1.0679265713136248</v>
      </c>
      <c r="G15" s="104">
        <f t="shared" si="5"/>
        <v>0.35858610067329599</v>
      </c>
      <c r="H15" s="113">
        <f t="shared" si="6"/>
        <v>1.0010967982177541</v>
      </c>
      <c r="I15" s="114">
        <f t="shared" si="7"/>
        <v>4.6814456809091E-2</v>
      </c>
      <c r="J15" s="101">
        <f t="shared" si="8"/>
        <v>1.0000000023732691</v>
      </c>
      <c r="K15" s="104">
        <f t="shared" si="9"/>
        <v>6.8895126705495553E-5</v>
      </c>
      <c r="L15" s="102">
        <f t="shared" si="10"/>
        <v>1</v>
      </c>
      <c r="M15" s="103">
        <f t="shared" si="11"/>
        <v>4.4781832429424995E-14</v>
      </c>
      <c r="N15" s="101">
        <f t="shared" si="12"/>
        <v>1</v>
      </c>
      <c r="O15" s="104">
        <f t="shared" si="13"/>
        <v>5.970910990589999E-15</v>
      </c>
      <c r="P15" s="105">
        <f t="shared" ca="1" si="14"/>
        <v>1.0000000016844963</v>
      </c>
      <c r="Q15" s="106">
        <f t="shared" ca="1" si="15"/>
        <v>6.007874317291961E-5</v>
      </c>
      <c r="R15" s="107">
        <f t="shared" ca="1" si="16"/>
        <v>70.748633858375513</v>
      </c>
      <c r="S15" s="108">
        <f t="shared" ca="1" si="17"/>
        <v>-21.366812414178014</v>
      </c>
      <c r="T15" s="78">
        <f t="shared" ca="1" si="18"/>
        <v>158.63318758582199</v>
      </c>
      <c r="V15" s="72">
        <f t="shared" ca="1" si="19"/>
        <v>1000000000</v>
      </c>
      <c r="W15" s="72">
        <f t="shared" si="20"/>
        <v>1.2023122500000001</v>
      </c>
      <c r="Y15" s="110">
        <f t="shared" si="21"/>
        <v>63.521093231752559</v>
      </c>
      <c r="Z15" s="111">
        <f t="shared" si="22"/>
        <v>-17.867146785677928</v>
      </c>
      <c r="AA15" s="72">
        <f t="shared" si="23"/>
        <v>162.13285321432207</v>
      </c>
      <c r="AB15" s="110">
        <f t="shared" ca="1" si="24"/>
        <v>24.728765894456963</v>
      </c>
      <c r="AC15" s="111">
        <f t="shared" ca="1" si="25"/>
        <v>-3.4996656285000864</v>
      </c>
      <c r="AD15" s="72">
        <f t="shared" ca="1" si="26"/>
        <v>176.50033437149992</v>
      </c>
    </row>
    <row r="16" spans="1:30">
      <c r="A16" s="112">
        <v>1.2022999999999999</v>
      </c>
      <c r="B16" s="101">
        <f t="shared" ca="1" si="0"/>
        <v>1.0022438069482471</v>
      </c>
      <c r="C16" s="102">
        <f t="shared" ca="1" si="1"/>
        <v>6.6927115698620629E-2</v>
      </c>
      <c r="D16" s="102">
        <f t="shared" si="2"/>
        <v>1.0000000006303056</v>
      </c>
      <c r="E16" s="103">
        <f t="shared" si="3"/>
        <v>3.5505086310173635E-5</v>
      </c>
      <c r="F16" s="101">
        <f t="shared" si="4"/>
        <v>1.0811484393125492</v>
      </c>
      <c r="G16" s="104">
        <f t="shared" si="5"/>
        <v>0.3899123752958415</v>
      </c>
      <c r="H16" s="113">
        <f t="shared" si="6"/>
        <v>1.0013185209686335</v>
      </c>
      <c r="I16" s="114">
        <f t="shared" si="7"/>
        <v>5.1323948578651878E-2</v>
      </c>
      <c r="J16" s="101">
        <f t="shared" si="8"/>
        <v>1.0000000028533524</v>
      </c>
      <c r="K16" s="104">
        <f t="shared" si="9"/>
        <v>7.5542736718199971E-5</v>
      </c>
      <c r="L16" s="102">
        <f t="shared" si="10"/>
        <v>1</v>
      </c>
      <c r="M16" s="103">
        <f t="shared" si="11"/>
        <v>4.9102778960234991E-14</v>
      </c>
      <c r="N16" s="101">
        <f t="shared" si="12"/>
        <v>1</v>
      </c>
      <c r="O16" s="104">
        <f t="shared" si="13"/>
        <v>6.5470371946979985E-15</v>
      </c>
      <c r="P16" s="105">
        <f t="shared" ca="1" si="14"/>
        <v>1.0000000020252495</v>
      </c>
      <c r="Q16" s="106">
        <f t="shared" ca="1" si="15"/>
        <v>6.5875670680326355E-5</v>
      </c>
      <c r="R16" s="107">
        <f t="shared" ca="1" si="16"/>
        <v>70.640409348315757</v>
      </c>
      <c r="S16" s="108">
        <f t="shared" ca="1" si="17"/>
        <v>-23.240397520230413</v>
      </c>
      <c r="T16" s="78">
        <f t="shared" ca="1" si="18"/>
        <v>156.7596024797696</v>
      </c>
      <c r="V16" s="72">
        <f t="shared" ca="1" si="19"/>
        <v>1000000000</v>
      </c>
      <c r="W16" s="72">
        <f t="shared" si="20"/>
        <v>1.4455252899999997</v>
      </c>
      <c r="Y16" s="110">
        <f t="shared" si="21"/>
        <v>63.416138097822113</v>
      </c>
      <c r="Z16" s="111">
        <f t="shared" si="22"/>
        <v>-19.404016145026233</v>
      </c>
      <c r="AA16" s="72">
        <f t="shared" si="23"/>
        <v>160.59598385497378</v>
      </c>
      <c r="AB16" s="110">
        <f t="shared" ca="1" si="24"/>
        <v>24.725496518327638</v>
      </c>
      <c r="AC16" s="111">
        <f t="shared" ca="1" si="25"/>
        <v>-3.8363813752041782</v>
      </c>
      <c r="AD16" s="72">
        <f t="shared" ca="1" si="26"/>
        <v>176.16361862479582</v>
      </c>
    </row>
    <row r="17" spans="1:30">
      <c r="A17" s="112">
        <v>1.3183</v>
      </c>
      <c r="B17" s="101">
        <f t="shared" ca="1" si="0"/>
        <v>1.0026970562118038</v>
      </c>
      <c r="C17" s="102">
        <f t="shared" ca="1" si="1"/>
        <v>7.3362229655589681E-2</v>
      </c>
      <c r="D17" s="102">
        <f t="shared" si="2"/>
        <v>1.0000000007577989</v>
      </c>
      <c r="E17" s="103">
        <f t="shared" si="3"/>
        <v>3.8930678930985252E-5</v>
      </c>
      <c r="F17" s="101">
        <f t="shared" si="4"/>
        <v>1.0968327462408021</v>
      </c>
      <c r="G17" s="104">
        <f t="shared" si="5"/>
        <v>0.42335435478306466</v>
      </c>
      <c r="H17" s="113">
        <f t="shared" si="6"/>
        <v>1.0015850100686203</v>
      </c>
      <c r="I17" s="114">
        <f t="shared" si="7"/>
        <v>5.6265786209704953E-2</v>
      </c>
      <c r="J17" s="101">
        <f t="shared" si="8"/>
        <v>1.0000000034305063</v>
      </c>
      <c r="K17" s="104">
        <f t="shared" si="9"/>
        <v>8.2831231620464623E-5</v>
      </c>
      <c r="L17" s="102">
        <f t="shared" si="10"/>
        <v>1</v>
      </c>
      <c r="M17" s="103">
        <f t="shared" si="11"/>
        <v>5.3840300676434996E-14</v>
      </c>
      <c r="N17" s="101">
        <f t="shared" si="12"/>
        <v>1</v>
      </c>
      <c r="O17" s="104">
        <f t="shared" si="13"/>
        <v>7.1787067568579986E-15</v>
      </c>
      <c r="P17" s="105">
        <f t="shared" ca="1" si="14"/>
        <v>1.0000000024349012</v>
      </c>
      <c r="Q17" s="106">
        <f t="shared" ca="1" si="15"/>
        <v>7.2231470211264639E-5</v>
      </c>
      <c r="R17" s="107">
        <f t="shared" ca="1" si="16"/>
        <v>70.513691864372447</v>
      </c>
      <c r="S17" s="108">
        <f t="shared" ca="1" si="17"/>
        <v>-25.242625725306752</v>
      </c>
      <c r="T17" s="78">
        <f t="shared" ca="1" si="18"/>
        <v>154.75737427469323</v>
      </c>
      <c r="V17" s="72">
        <f t="shared" ca="1" si="19"/>
        <v>1000000000</v>
      </c>
      <c r="W17" s="72">
        <f t="shared" si="20"/>
        <v>1.7379148900000001</v>
      </c>
      <c r="Y17" s="110">
        <f t="shared" si="21"/>
        <v>63.293347787670371</v>
      </c>
      <c r="Z17" s="111">
        <f t="shared" si="22"/>
        <v>-21.037371590771965</v>
      </c>
      <c r="AA17" s="72">
        <f t="shared" si="23"/>
        <v>158.96262840922805</v>
      </c>
      <c r="AB17" s="110">
        <f t="shared" ca="1" si="24"/>
        <v>24.721569344536086</v>
      </c>
      <c r="AC17" s="111">
        <f t="shared" ca="1" si="25"/>
        <v>-4.2052541345347851</v>
      </c>
      <c r="AD17" s="72">
        <f t="shared" ca="1" si="26"/>
        <v>175.79474586546522</v>
      </c>
    </row>
    <row r="18" spans="1:30">
      <c r="A18" s="112">
        <v>1.4454</v>
      </c>
      <c r="B18" s="101">
        <f t="shared" ca="1" si="0"/>
        <v>1.0032413026796256</v>
      </c>
      <c r="C18" s="102">
        <f t="shared" ca="1" si="1"/>
        <v>8.0406116574099532E-2</v>
      </c>
      <c r="D18" s="102">
        <f t="shared" si="2"/>
        <v>1.0000000009109646</v>
      </c>
      <c r="E18" s="103">
        <f t="shared" si="3"/>
        <v>4.2684065327391547E-5</v>
      </c>
      <c r="F18" s="101">
        <f t="shared" si="4"/>
        <v>1.1153837052804982</v>
      </c>
      <c r="G18" s="104">
        <f t="shared" si="5"/>
        <v>0.45887255343688532</v>
      </c>
      <c r="H18" s="113">
        <f t="shared" si="6"/>
        <v>1.001905066688622</v>
      </c>
      <c r="I18" s="114">
        <f t="shared" si="7"/>
        <v>6.1677341023706041E-2</v>
      </c>
      <c r="J18" s="101">
        <f t="shared" si="8"/>
        <v>1.0000000041238783</v>
      </c>
      <c r="K18" s="104">
        <f t="shared" si="9"/>
        <v>9.0817160076520732E-5</v>
      </c>
      <c r="L18" s="102">
        <f t="shared" si="10"/>
        <v>1</v>
      </c>
      <c r="M18" s="103">
        <f t="shared" si="11"/>
        <v>5.9031154212029992E-14</v>
      </c>
      <c r="N18" s="101">
        <f t="shared" si="12"/>
        <v>1</v>
      </c>
      <c r="O18" s="104">
        <f t="shared" si="13"/>
        <v>7.8708205616039982E-15</v>
      </c>
      <c r="P18" s="105">
        <f t="shared" ca="1" si="14"/>
        <v>1.0000000029270417</v>
      </c>
      <c r="Q18" s="106">
        <f t="shared" ca="1" si="15"/>
        <v>7.9195454001615914E-5</v>
      </c>
      <c r="R18" s="107">
        <f t="shared" ca="1" si="16"/>
        <v>70.36607596671081</v>
      </c>
      <c r="S18" s="108">
        <f t="shared" ca="1" si="17"/>
        <v>-27.371835860539111</v>
      </c>
      <c r="T18" s="78">
        <f t="shared" ca="1" si="18"/>
        <v>152.62816413946089</v>
      </c>
      <c r="V18" s="72">
        <f t="shared" ca="1" si="19"/>
        <v>1000000000</v>
      </c>
      <c r="W18" s="72">
        <f t="shared" si="20"/>
        <v>2.0891811599999999</v>
      </c>
      <c r="Y18" s="110">
        <f t="shared" si="21"/>
        <v>63.150445163279052</v>
      </c>
      <c r="Z18" s="111">
        <f t="shared" si="22"/>
        <v>-22.762812780064543</v>
      </c>
      <c r="AA18" s="72">
        <f t="shared" si="23"/>
        <v>157.23718721993546</v>
      </c>
      <c r="AB18" s="110">
        <f t="shared" ca="1" si="24"/>
        <v>24.716856071265759</v>
      </c>
      <c r="AC18" s="111">
        <f t="shared" ca="1" si="25"/>
        <v>-4.6090230804745715</v>
      </c>
      <c r="AD18" s="72">
        <f t="shared" ca="1" si="26"/>
        <v>175.39097691952543</v>
      </c>
    </row>
    <row r="19" spans="1:30">
      <c r="A19" s="112">
        <v>1.5849</v>
      </c>
      <c r="B19" s="101">
        <f t="shared" ca="1" si="0"/>
        <v>1.0038958778551366</v>
      </c>
      <c r="C19" s="102">
        <f t="shared" ca="1" si="1"/>
        <v>8.8127992619661533E-2</v>
      </c>
      <c r="D19" s="102">
        <f t="shared" si="2"/>
        <v>1.0000000010952901</v>
      </c>
      <c r="E19" s="103">
        <f t="shared" si="3"/>
        <v>4.6803635761083297E-5</v>
      </c>
      <c r="F19" s="101">
        <f t="shared" si="4"/>
        <v>1.137307498903696</v>
      </c>
      <c r="G19" s="104">
        <f t="shared" si="5"/>
        <v>0.49646954515415903</v>
      </c>
      <c r="H19" s="113">
        <f t="shared" si="6"/>
        <v>1.0022900991842896</v>
      </c>
      <c r="I19" s="114">
        <f t="shared" si="7"/>
        <v>6.7612679968140035E-2</v>
      </c>
      <c r="J19" s="101">
        <f t="shared" si="8"/>
        <v>1.0000000049583075</v>
      </c>
      <c r="K19" s="104">
        <f t="shared" si="9"/>
        <v>9.95822034905272E-5</v>
      </c>
      <c r="L19" s="102">
        <f t="shared" si="10"/>
        <v>1</v>
      </c>
      <c r="M19" s="103">
        <f t="shared" si="11"/>
        <v>6.4728432482804997E-14</v>
      </c>
      <c r="N19" s="101">
        <f t="shared" si="12"/>
        <v>1</v>
      </c>
      <c r="O19" s="104">
        <f t="shared" si="13"/>
        <v>8.6304576643739985E-15</v>
      </c>
      <c r="P19" s="105">
        <f t="shared" ca="1" si="14"/>
        <v>1.0000000035193022</v>
      </c>
      <c r="Q19" s="106">
        <f t="shared" ca="1" si="15"/>
        <v>8.6838850836703038E-5</v>
      </c>
      <c r="R19" s="107">
        <f t="shared" ca="1" si="16"/>
        <v>70.194675811965013</v>
      </c>
      <c r="S19" s="108">
        <f t="shared" ca="1" si="17"/>
        <v>-29.62904994711975</v>
      </c>
      <c r="T19" s="78">
        <f t="shared" ca="1" si="18"/>
        <v>150.37095005288026</v>
      </c>
      <c r="V19" s="72">
        <f t="shared" ca="1" si="19"/>
        <v>1000000000</v>
      </c>
      <c r="W19" s="72">
        <f t="shared" si="20"/>
        <v>2.51190801</v>
      </c>
      <c r="Y19" s="110">
        <f t="shared" si="21"/>
        <v>62.984710362697321</v>
      </c>
      <c r="Z19" s="111">
        <f t="shared" si="22"/>
        <v>-24.577394058424986</v>
      </c>
      <c r="AA19" s="72">
        <f t="shared" si="23"/>
        <v>155.422605941575</v>
      </c>
      <c r="AB19" s="110">
        <f t="shared" ca="1" si="24"/>
        <v>24.711190717101697</v>
      </c>
      <c r="AC19" s="111">
        <f t="shared" ca="1" si="25"/>
        <v>-5.0516558886947625</v>
      </c>
      <c r="AD19" s="72">
        <f t="shared" ca="1" si="26"/>
        <v>174.94834411130523</v>
      </c>
    </row>
    <row r="20" spans="1:30">
      <c r="A20" s="112">
        <v>1.7378</v>
      </c>
      <c r="B20" s="101">
        <f t="shared" ca="1" si="0"/>
        <v>1.0046819939650897</v>
      </c>
      <c r="C20" s="102">
        <f t="shared" ca="1" si="1"/>
        <v>9.6579491580754739E-2</v>
      </c>
      <c r="D20" s="102">
        <f t="shared" si="2"/>
        <v>1.0000000013168158</v>
      </c>
      <c r="E20" s="103">
        <f t="shared" si="3"/>
        <v>5.131892120234629E-5</v>
      </c>
      <c r="F20" s="101">
        <f t="shared" si="4"/>
        <v>1.1631092764184823</v>
      </c>
      <c r="G20" s="104">
        <f t="shared" si="5"/>
        <v>0.5359880838838067</v>
      </c>
      <c r="H20" s="113">
        <f t="shared" si="6"/>
        <v>1.0027526426424502</v>
      </c>
      <c r="I20" s="114">
        <f t="shared" si="7"/>
        <v>7.4112660690282536E-2</v>
      </c>
      <c r="J20" s="101">
        <f t="shared" si="8"/>
        <v>1.00000000596114</v>
      </c>
      <c r="K20" s="104">
        <f t="shared" si="9"/>
        <v>1.0918919370947195E-4</v>
      </c>
      <c r="L20" s="102">
        <f t="shared" si="10"/>
        <v>1</v>
      </c>
      <c r="M20" s="103">
        <f t="shared" si="11"/>
        <v>7.097297619320999E-14</v>
      </c>
      <c r="N20" s="101">
        <f t="shared" si="12"/>
        <v>1</v>
      </c>
      <c r="O20" s="104">
        <f t="shared" si="13"/>
        <v>9.4630634924279992E-15</v>
      </c>
      <c r="P20" s="105">
        <f t="shared" ca="1" si="14"/>
        <v>1.0000000042310915</v>
      </c>
      <c r="Q20" s="106">
        <f t="shared" ca="1" si="15"/>
        <v>9.52164520884397E-5</v>
      </c>
      <c r="R20" s="107">
        <f t="shared" ca="1" si="16"/>
        <v>69.997032002888062</v>
      </c>
      <c r="S20" s="108">
        <f t="shared" ca="1" si="17"/>
        <v>-32.005880924691596</v>
      </c>
      <c r="T20" s="78">
        <f t="shared" ca="1" si="18"/>
        <v>147.99411907530839</v>
      </c>
      <c r="V20" s="72">
        <f t="shared" ca="1" si="19"/>
        <v>1000000000</v>
      </c>
      <c r="W20" s="72">
        <f t="shared" si="20"/>
        <v>3.0199488400000001</v>
      </c>
      <c r="Y20" s="110">
        <f t="shared" si="21"/>
        <v>62.793865515706756</v>
      </c>
      <c r="Z20" s="111">
        <f t="shared" si="22"/>
        <v>-26.469768520018334</v>
      </c>
      <c r="AA20" s="72">
        <f t="shared" si="23"/>
        <v>153.53023147998167</v>
      </c>
      <c r="AB20" s="110">
        <f t="shared" ca="1" si="24"/>
        <v>24.704391755015305</v>
      </c>
      <c r="AC20" s="111">
        <f t="shared" ca="1" si="25"/>
        <v>-5.536112404673263</v>
      </c>
      <c r="AD20" s="72">
        <f t="shared" ca="1" si="26"/>
        <v>174.46388759532672</v>
      </c>
    </row>
    <row r="21" spans="1:30">
      <c r="A21" s="112">
        <v>1.9055</v>
      </c>
      <c r="B21" s="101">
        <f t="shared" ca="1" si="0"/>
        <v>1.0056265810963585</v>
      </c>
      <c r="C21" s="102">
        <f t="shared" ca="1" si="1"/>
        <v>0.10583312464329538</v>
      </c>
      <c r="D21" s="102">
        <f t="shared" si="2"/>
        <v>1.0000000015832275</v>
      </c>
      <c r="E21" s="103">
        <f t="shared" si="3"/>
        <v>5.6271265009611522E-5</v>
      </c>
      <c r="F21" s="101">
        <f t="shared" si="4"/>
        <v>1.1934004634422646</v>
      </c>
      <c r="G21" s="104">
        <f t="shared" si="5"/>
        <v>0.57729555636407481</v>
      </c>
      <c r="H21" s="113">
        <f t="shared" si="6"/>
        <v>1.0033086254530572</v>
      </c>
      <c r="I21" s="114">
        <f t="shared" si="7"/>
        <v>8.1234581715048729E-2</v>
      </c>
      <c r="J21" s="101">
        <f t="shared" si="8"/>
        <v>1.0000000071671689</v>
      </c>
      <c r="K21" s="104">
        <f t="shared" si="9"/>
        <v>1.1972609531943523E-4</v>
      </c>
      <c r="L21" s="102">
        <f t="shared" si="10"/>
        <v>1</v>
      </c>
      <c r="M21" s="103">
        <f t="shared" si="11"/>
        <v>7.7821962329474993E-14</v>
      </c>
      <c r="N21" s="101">
        <f t="shared" si="12"/>
        <v>1</v>
      </c>
      <c r="O21" s="104">
        <f t="shared" si="13"/>
        <v>1.0376261643929998E-14</v>
      </c>
      <c r="P21" s="105">
        <f t="shared" ca="1" si="14"/>
        <v>1.0000000050871054</v>
      </c>
      <c r="Q21" s="106">
        <f t="shared" ca="1" si="15"/>
        <v>1.0440496567768236E-4</v>
      </c>
      <c r="R21" s="107">
        <f t="shared" ca="1" si="16"/>
        <v>69.770370439359041</v>
      </c>
      <c r="S21" s="108">
        <f t="shared" ca="1" si="17"/>
        <v>-34.495609300551251</v>
      </c>
      <c r="T21" s="78">
        <f t="shared" ca="1" si="18"/>
        <v>145.50439069944875</v>
      </c>
      <c r="V21" s="72">
        <f t="shared" ca="1" si="19"/>
        <v>1000000000</v>
      </c>
      <c r="W21" s="72">
        <f t="shared" si="20"/>
        <v>3.63093025</v>
      </c>
      <c r="Y21" s="110">
        <f t="shared" si="21"/>
        <v>62.575366465563924</v>
      </c>
      <c r="Z21" s="111">
        <f t="shared" si="22"/>
        <v>-28.429060060975768</v>
      </c>
      <c r="AA21" s="72">
        <f t="shared" si="23"/>
        <v>151.57093993902424</v>
      </c>
      <c r="AB21" s="110">
        <f t="shared" ca="1" si="24"/>
        <v>24.696229241629112</v>
      </c>
      <c r="AC21" s="111">
        <f t="shared" ca="1" si="25"/>
        <v>-6.0665492395754805</v>
      </c>
      <c r="AD21" s="72">
        <f t="shared" ca="1" si="26"/>
        <v>173.93345076042451</v>
      </c>
    </row>
    <row r="22" spans="1:30">
      <c r="A22" s="112">
        <v>2.0893000000000002</v>
      </c>
      <c r="B22" s="101">
        <f t="shared" ca="1" si="0"/>
        <v>1.0067605620693052</v>
      </c>
      <c r="C22" s="102">
        <f t="shared" ca="1" si="1"/>
        <v>0.11595423964499291</v>
      </c>
      <c r="D22" s="102">
        <f t="shared" si="2"/>
        <v>1.0000000019033868</v>
      </c>
      <c r="E22" s="103">
        <f t="shared" si="3"/>
        <v>6.1699057443971556E-5</v>
      </c>
      <c r="F22" s="101">
        <f t="shared" si="4"/>
        <v>1.2288153012383241</v>
      </c>
      <c r="G22" s="104">
        <f t="shared" si="5"/>
        <v>0.62014886843417083</v>
      </c>
      <c r="H22" s="113">
        <f t="shared" si="6"/>
        <v>1.0039763680342331</v>
      </c>
      <c r="I22" s="114">
        <f t="shared" si="7"/>
        <v>8.9030740050332194E-2</v>
      </c>
      <c r="J22" s="101">
        <f t="shared" si="8"/>
        <v>1.0000000086165091</v>
      </c>
      <c r="K22" s="104">
        <f t="shared" si="9"/>
        <v>1.3127458971881422E-4</v>
      </c>
      <c r="L22" s="102">
        <f t="shared" si="10"/>
        <v>1</v>
      </c>
      <c r="M22" s="103">
        <f t="shared" si="11"/>
        <v>8.5328483807385003E-14</v>
      </c>
      <c r="N22" s="101">
        <f t="shared" si="12"/>
        <v>1</v>
      </c>
      <c r="O22" s="104">
        <f t="shared" si="13"/>
        <v>1.1377131174317999E-14</v>
      </c>
      <c r="P22" s="105">
        <f t="shared" ca="1" si="14"/>
        <v>1.0000000061158163</v>
      </c>
      <c r="Q22" s="106">
        <f t="shared" ca="1" si="15"/>
        <v>1.1447562038631494E-4</v>
      </c>
      <c r="R22" s="107">
        <f t="shared" ca="1" si="16"/>
        <v>69.512352135780986</v>
      </c>
      <c r="S22" s="108">
        <f t="shared" ca="1" si="17"/>
        <v>-37.085061124221617</v>
      </c>
      <c r="T22" s="78">
        <f t="shared" ca="1" si="18"/>
        <v>142.91493887577838</v>
      </c>
      <c r="V22" s="72">
        <f t="shared" ca="1" si="19"/>
        <v>1000000000</v>
      </c>
      <c r="W22" s="72">
        <f t="shared" si="20"/>
        <v>4.3651744900000002</v>
      </c>
      <c r="Y22" s="110">
        <f t="shared" si="21"/>
        <v>62.327137173857842</v>
      </c>
      <c r="Z22" s="111">
        <f t="shared" si="22"/>
        <v>-30.438348694006208</v>
      </c>
      <c r="AA22" s="72">
        <f t="shared" si="23"/>
        <v>149.56165130599379</v>
      </c>
      <c r="AB22" s="110">
        <f t="shared" ca="1" si="24"/>
        <v>24.686440229757146</v>
      </c>
      <c r="AC22" s="111">
        <f t="shared" ca="1" si="25"/>
        <v>-6.6467124302154019</v>
      </c>
      <c r="AD22" s="72">
        <f t="shared" ca="1" si="26"/>
        <v>173.35328756978458</v>
      </c>
    </row>
    <row r="23" spans="1:30">
      <c r="A23" s="112">
        <v>2.2909000000000002</v>
      </c>
      <c r="B23" s="101">
        <f t="shared" ca="1" si="0"/>
        <v>1.0081226694288052</v>
      </c>
      <c r="C23" s="102">
        <f t="shared" ca="1" si="1"/>
        <v>0.12702807865371146</v>
      </c>
      <c r="D23" s="102">
        <f t="shared" si="2"/>
        <v>1.0000000022884303</v>
      </c>
      <c r="E23" s="103">
        <f t="shared" si="3"/>
        <v>6.7652501154506967E-5</v>
      </c>
      <c r="F23" s="101">
        <f t="shared" si="4"/>
        <v>1.2701001260015408</v>
      </c>
      <c r="G23" s="104">
        <f t="shared" si="5"/>
        <v>0.66431465050421279</v>
      </c>
      <c r="H23" s="113">
        <f t="shared" si="6"/>
        <v>1.0047788495023819</v>
      </c>
      <c r="I23" s="114">
        <f t="shared" si="7"/>
        <v>9.7569417547290663E-2</v>
      </c>
      <c r="J23" s="101">
        <f t="shared" si="8"/>
        <v>1.0000000103595765</v>
      </c>
      <c r="K23" s="104">
        <f t="shared" si="9"/>
        <v>1.4394149104358475E-4</v>
      </c>
      <c r="L23" s="102">
        <f t="shared" si="10"/>
        <v>1</v>
      </c>
      <c r="M23" s="103">
        <f t="shared" si="11"/>
        <v>9.3561969824504998E-14</v>
      </c>
      <c r="N23" s="101">
        <f t="shared" si="12"/>
        <v>1</v>
      </c>
      <c r="O23" s="104">
        <f t="shared" si="13"/>
        <v>1.2474929309933999E-14</v>
      </c>
      <c r="P23" s="105">
        <f t="shared" ca="1" si="14"/>
        <v>1.0000000073530089</v>
      </c>
      <c r="Q23" s="106">
        <f t="shared" ca="1" si="15"/>
        <v>1.2552156154426074E-4</v>
      </c>
      <c r="R23" s="107">
        <f t="shared" ca="1" si="16"/>
        <v>69.220521304380412</v>
      </c>
      <c r="S23" s="108">
        <f t="shared" ca="1" si="17"/>
        <v>-39.761845632392038</v>
      </c>
      <c r="T23" s="78">
        <f t="shared" ca="1" si="18"/>
        <v>140.23815436760796</v>
      </c>
      <c r="V23" s="72">
        <f t="shared" ca="1" si="19"/>
        <v>1000000000</v>
      </c>
      <c r="W23" s="72">
        <f t="shared" si="20"/>
        <v>5.2482228100000006</v>
      </c>
      <c r="Y23" s="110">
        <f t="shared" si="21"/>
        <v>62.047050073581644</v>
      </c>
      <c r="Z23" s="111">
        <f t="shared" si="22"/>
        <v>-32.480357184633469</v>
      </c>
      <c r="AA23" s="72">
        <f t="shared" si="23"/>
        <v>147.51964281536652</v>
      </c>
      <c r="AB23" s="110">
        <f t="shared" ca="1" si="24"/>
        <v>24.674696498632763</v>
      </c>
      <c r="AC23" s="111">
        <f t="shared" ca="1" si="25"/>
        <v>-7.2814884477585657</v>
      </c>
      <c r="AD23" s="72">
        <f t="shared" ca="1" si="26"/>
        <v>172.71851155224144</v>
      </c>
    </row>
    <row r="24" spans="1:30">
      <c r="A24" s="112">
        <v>2.5118999999999998</v>
      </c>
      <c r="B24" s="101">
        <f t="shared" ca="1" si="0"/>
        <v>1.0097574827217357</v>
      </c>
      <c r="C24" s="102">
        <f t="shared" ca="1" si="1"/>
        <v>0.13913157359924291</v>
      </c>
      <c r="D24" s="102">
        <f t="shared" si="2"/>
        <v>1.0000000027512506</v>
      </c>
      <c r="E24" s="103">
        <f t="shared" si="3"/>
        <v>7.41788456927726E-5</v>
      </c>
      <c r="F24" s="101">
        <f t="shared" si="4"/>
        <v>1.3180139567973213</v>
      </c>
      <c r="G24" s="104">
        <f t="shared" si="5"/>
        <v>0.70945454816907438</v>
      </c>
      <c r="H24" s="113">
        <f t="shared" si="6"/>
        <v>1.0057425800614357</v>
      </c>
      <c r="I24" s="114">
        <f t="shared" si="7"/>
        <v>0.10691335778442206</v>
      </c>
      <c r="J24" s="101">
        <f t="shared" si="8"/>
        <v>1.0000000124547332</v>
      </c>
      <c r="K24" s="104">
        <f t="shared" si="9"/>
        <v>1.5782733024023512E-4</v>
      </c>
      <c r="L24" s="102">
        <f t="shared" si="10"/>
        <v>1</v>
      </c>
      <c r="M24" s="103">
        <f t="shared" si="11"/>
        <v>1.0258776550795498E-13</v>
      </c>
      <c r="N24" s="101">
        <f t="shared" si="12"/>
        <v>1</v>
      </c>
      <c r="O24" s="104">
        <f t="shared" si="13"/>
        <v>1.3678368734393996E-14</v>
      </c>
      <c r="P24" s="105">
        <f t="shared" ca="1" si="14"/>
        <v>1.0000000088401071</v>
      </c>
      <c r="Q24" s="106">
        <f t="shared" ca="1" si="15"/>
        <v>1.3763045534139346E-4</v>
      </c>
      <c r="R24" s="107">
        <f t="shared" ca="1" si="16"/>
        <v>68.893133339920624</v>
      </c>
      <c r="S24" s="108">
        <f t="shared" ca="1" si="17"/>
        <v>-42.507397553997052</v>
      </c>
      <c r="T24" s="78">
        <f t="shared" ca="1" si="18"/>
        <v>137.49260244600293</v>
      </c>
      <c r="V24" s="72">
        <f t="shared" ca="1" si="19"/>
        <v>1000000000</v>
      </c>
      <c r="W24" s="72">
        <f t="shared" si="20"/>
        <v>6.309641609999999</v>
      </c>
      <c r="Y24" s="110">
        <f t="shared" si="21"/>
        <v>61.733736106439451</v>
      </c>
      <c r="Z24" s="111">
        <f t="shared" si="22"/>
        <v>-34.53211007119738</v>
      </c>
      <c r="AA24" s="72">
        <f t="shared" si="23"/>
        <v>145.46788992880261</v>
      </c>
      <c r="AB24" s="110">
        <f t="shared" ca="1" si="24"/>
        <v>24.660622501315174</v>
      </c>
      <c r="AC24" s="111">
        <f t="shared" ca="1" si="25"/>
        <v>-7.9752874827996791</v>
      </c>
      <c r="AD24" s="72">
        <f t="shared" ca="1" si="26"/>
        <v>172.02471251720033</v>
      </c>
    </row>
    <row r="25" spans="1:30">
      <c r="A25" s="112">
        <v>2.7542</v>
      </c>
      <c r="B25" s="101">
        <f t="shared" ca="1" si="0"/>
        <v>1.0117192637009391</v>
      </c>
      <c r="C25" s="102">
        <f t="shared" ca="1" si="1"/>
        <v>0.1523544928923117</v>
      </c>
      <c r="D25" s="102">
        <f t="shared" si="2"/>
        <v>1.000000003307626</v>
      </c>
      <c r="E25" s="103">
        <f t="shared" si="3"/>
        <v>8.1334199900973247E-5</v>
      </c>
      <c r="F25" s="101">
        <f t="shared" si="4"/>
        <v>1.3734024006227665</v>
      </c>
      <c r="G25" s="104">
        <f t="shared" si="5"/>
        <v>0.75522297700284846</v>
      </c>
      <c r="H25" s="113">
        <f t="shared" si="6"/>
        <v>1.0068999000182781</v>
      </c>
      <c r="I25" s="114">
        <f t="shared" si="7"/>
        <v>0.11713631691068239</v>
      </c>
      <c r="J25" s="101">
        <f t="shared" si="8"/>
        <v>1.000000014973409</v>
      </c>
      <c r="K25" s="104">
        <f t="shared" si="9"/>
        <v>1.7305148780515287E-4</v>
      </c>
      <c r="L25" s="102">
        <f t="shared" si="10"/>
        <v>1</v>
      </c>
      <c r="M25" s="103">
        <f t="shared" si="11"/>
        <v>1.1248346819619E-13</v>
      </c>
      <c r="N25" s="101">
        <f t="shared" si="12"/>
        <v>1</v>
      </c>
      <c r="O25" s="104">
        <f t="shared" si="13"/>
        <v>1.4997795759491997E-14</v>
      </c>
      <c r="P25" s="105">
        <f t="shared" ca="1" si="14"/>
        <v>1.00000001062781</v>
      </c>
      <c r="Q25" s="106">
        <f t="shared" ca="1" si="15"/>
        <v>1.5090640537665582E-4</v>
      </c>
      <c r="R25" s="107">
        <f t="shared" ca="1" si="16"/>
        <v>68.528707874396673</v>
      </c>
      <c r="S25" s="108">
        <f t="shared" ca="1" si="17"/>
        <v>-45.302843384860537</v>
      </c>
      <c r="T25" s="78">
        <f t="shared" ca="1" si="18"/>
        <v>134.69715661513948</v>
      </c>
      <c r="V25" s="72">
        <f t="shared" ca="1" si="19"/>
        <v>1000000000</v>
      </c>
      <c r="W25" s="72">
        <f t="shared" si="20"/>
        <v>7.5856176399999997</v>
      </c>
      <c r="Y25" s="110">
        <f t="shared" si="21"/>
        <v>61.386169434140818</v>
      </c>
      <c r="Z25" s="111">
        <f t="shared" si="22"/>
        <v>-36.569587748550802</v>
      </c>
      <c r="AA25" s="72">
        <f t="shared" si="23"/>
        <v>143.43041225144918</v>
      </c>
      <c r="AB25" s="110">
        <f t="shared" ca="1" si="24"/>
        <v>24.64376370808985</v>
      </c>
      <c r="AC25" s="111">
        <f t="shared" ca="1" si="25"/>
        <v>-8.7332556363097318</v>
      </c>
      <c r="AD25" s="72">
        <f t="shared" ca="1" si="26"/>
        <v>171.26674436369026</v>
      </c>
    </row>
    <row r="26" spans="1:30">
      <c r="A26" s="112">
        <v>3.02</v>
      </c>
      <c r="B26" s="101">
        <f t="shared" ca="1" si="0"/>
        <v>1.0140739249996509</v>
      </c>
      <c r="C26" s="102">
        <f t="shared" ca="1" si="1"/>
        <v>0.16679820484426094</v>
      </c>
      <c r="D26" s="102">
        <f t="shared" si="2"/>
        <v>1.0000000039768511</v>
      </c>
      <c r="E26" s="103">
        <f t="shared" si="3"/>
        <v>8.9183531911753578E-5</v>
      </c>
      <c r="F26" s="101">
        <f t="shared" si="4"/>
        <v>1.4372000839097256</v>
      </c>
      <c r="G26" s="104">
        <f t="shared" si="5"/>
        <v>0.80126688449117023</v>
      </c>
      <c r="H26" s="113">
        <f t="shared" si="6"/>
        <v>1.008290199430995</v>
      </c>
      <c r="I26" s="114">
        <f t="shared" si="7"/>
        <v>0.12832247546595599</v>
      </c>
      <c r="J26" s="101">
        <f t="shared" si="8"/>
        <v>1.0000000180029478</v>
      </c>
      <c r="K26" s="104">
        <f t="shared" si="9"/>
        <v>1.8975219378260079E-4</v>
      </c>
      <c r="L26" s="102">
        <f t="shared" si="10"/>
        <v>1</v>
      </c>
      <c r="M26" s="103">
        <f t="shared" si="11"/>
        <v>1.2333892743899999E-13</v>
      </c>
      <c r="N26" s="101">
        <f t="shared" si="12"/>
        <v>1</v>
      </c>
      <c r="O26" s="104">
        <f t="shared" si="13"/>
        <v>1.6445190325199998E-14</v>
      </c>
      <c r="P26" s="105">
        <f t="shared" ca="1" si="14"/>
        <v>1.0000000127781128</v>
      </c>
      <c r="Q26" s="106">
        <f t="shared" ca="1" si="15"/>
        <v>1.654699526568515E-4</v>
      </c>
      <c r="R26" s="107">
        <f t="shared" ca="1" si="16"/>
        <v>68.126112233561869</v>
      </c>
      <c r="S26" s="108">
        <f t="shared" ca="1" si="17"/>
        <v>-48.128950596794034</v>
      </c>
      <c r="T26" s="78">
        <f t="shared" ca="1" si="18"/>
        <v>131.87104940320597</v>
      </c>
      <c r="V26" s="72">
        <f t="shared" ca="1" si="19"/>
        <v>1000000000</v>
      </c>
      <c r="W26" s="72">
        <f t="shared" si="20"/>
        <v>9.1204000000000001</v>
      </c>
      <c r="Y26" s="110">
        <f t="shared" si="21"/>
        <v>61.003765736423119</v>
      </c>
      <c r="Z26" s="111">
        <f t="shared" si="22"/>
        <v>-38.567746527991197</v>
      </c>
      <c r="AA26" s="72">
        <f t="shared" si="23"/>
        <v>141.4322534720088</v>
      </c>
      <c r="AB26" s="110">
        <f t="shared" ca="1" si="24"/>
        <v>24.623571764972748</v>
      </c>
      <c r="AC26" s="111">
        <f t="shared" ca="1" si="25"/>
        <v>-9.5612040688028355</v>
      </c>
      <c r="AD26" s="72">
        <f t="shared" ca="1" si="26"/>
        <v>170.43879593119718</v>
      </c>
    </row>
    <row r="27" spans="1:30">
      <c r="A27" s="112">
        <v>3.3113000000000001</v>
      </c>
      <c r="B27" s="101">
        <f t="shared" ca="1" si="0"/>
        <v>1.0168962471566894</v>
      </c>
      <c r="C27" s="102">
        <f t="shared" ca="1" si="1"/>
        <v>0.18254711675951646</v>
      </c>
      <c r="D27" s="102">
        <f t="shared" si="2"/>
        <v>1.0000000047810416</v>
      </c>
      <c r="E27" s="103">
        <f t="shared" si="3"/>
        <v>9.7785903662604028E-5</v>
      </c>
      <c r="F27" s="101">
        <f t="shared" si="4"/>
        <v>1.5103033190844142</v>
      </c>
      <c r="G27" s="104">
        <f t="shared" si="5"/>
        <v>0.84715394755957463</v>
      </c>
      <c r="H27" s="113">
        <f t="shared" si="6"/>
        <v>1.0099583539962598</v>
      </c>
      <c r="I27" s="114">
        <f t="shared" si="7"/>
        <v>0.14054472274998472</v>
      </c>
      <c r="J27" s="101">
        <f t="shared" si="8"/>
        <v>1.000000021643465</v>
      </c>
      <c r="K27" s="104">
        <f t="shared" si="9"/>
        <v>2.0805511183687764E-4</v>
      </c>
      <c r="L27" s="102">
        <f t="shared" si="10"/>
        <v>1</v>
      </c>
      <c r="M27" s="103">
        <f t="shared" si="11"/>
        <v>1.35235824645285E-13</v>
      </c>
      <c r="N27" s="101">
        <f t="shared" si="12"/>
        <v>1</v>
      </c>
      <c r="O27" s="104">
        <f t="shared" si="13"/>
        <v>1.8031443286037997E-14</v>
      </c>
      <c r="P27" s="105">
        <f t="shared" ca="1" si="14"/>
        <v>1.0000000153620752</v>
      </c>
      <c r="Q27" s="106">
        <f t="shared" ca="1" si="15"/>
        <v>1.8143067990809467E-4</v>
      </c>
      <c r="R27" s="107">
        <f t="shared" ca="1" si="16"/>
        <v>67.685391152053597</v>
      </c>
      <c r="S27" s="108">
        <f t="shared" ca="1" si="17"/>
        <v>-50.961618929899416</v>
      </c>
      <c r="T27" s="78">
        <f t="shared" ca="1" si="18"/>
        <v>129.03838107010057</v>
      </c>
      <c r="V27" s="72">
        <f t="shared" ca="1" si="19"/>
        <v>1000000000</v>
      </c>
      <c r="W27" s="72">
        <f t="shared" si="20"/>
        <v>10.964707690000001</v>
      </c>
      <c r="Y27" s="110">
        <f t="shared" si="21"/>
        <v>60.587185246040647</v>
      </c>
      <c r="Z27" s="111">
        <f t="shared" si="22"/>
        <v>-40.497647072683243</v>
      </c>
      <c r="AA27" s="72">
        <f t="shared" si="23"/>
        <v>139.50235292731676</v>
      </c>
      <c r="AB27" s="110">
        <f t="shared" ca="1" si="24"/>
        <v>24.599431173846948</v>
      </c>
      <c r="AC27" s="111">
        <f t="shared" ca="1" si="25"/>
        <v>-10.463971857216162</v>
      </c>
      <c r="AD27" s="72">
        <f t="shared" ca="1" si="26"/>
        <v>169.53602814278383</v>
      </c>
    </row>
    <row r="28" spans="1:30">
      <c r="A28" s="112">
        <v>3.6307999999999998</v>
      </c>
      <c r="B28" s="101">
        <f t="shared" ca="1" si="0"/>
        <v>1.0202800874596831</v>
      </c>
      <c r="C28" s="102">
        <f t="shared" ca="1" si="1"/>
        <v>0.19971570241511741</v>
      </c>
      <c r="D28" s="102">
        <f t="shared" si="2"/>
        <v>1.0000000057481766</v>
      </c>
      <c r="E28" s="103">
        <f t="shared" si="3"/>
        <v>1.072210487691443E-4</v>
      </c>
      <c r="F28" s="101">
        <f t="shared" si="4"/>
        <v>1.5937838784354301</v>
      </c>
      <c r="G28" s="104">
        <f t="shared" si="5"/>
        <v>0.89253819330685824</v>
      </c>
      <c r="H28" s="113">
        <f t="shared" si="6"/>
        <v>1.0119608676596075</v>
      </c>
      <c r="I28" s="114">
        <f t="shared" si="7"/>
        <v>0.15390161344682196</v>
      </c>
      <c r="J28" s="101">
        <f t="shared" si="8"/>
        <v>1.0000000260216233</v>
      </c>
      <c r="K28" s="104">
        <f t="shared" si="9"/>
        <v>2.2812988791485997E-4</v>
      </c>
      <c r="L28" s="102">
        <f t="shared" si="10"/>
        <v>1</v>
      </c>
      <c r="M28" s="103">
        <f t="shared" si="11"/>
        <v>1.4828442971705998E-13</v>
      </c>
      <c r="N28" s="101">
        <f t="shared" si="12"/>
        <v>1</v>
      </c>
      <c r="O28" s="104">
        <f t="shared" si="13"/>
        <v>1.9771257295607996E-14</v>
      </c>
      <c r="P28" s="105">
        <f t="shared" ca="1" si="14"/>
        <v>1.0000000184695996</v>
      </c>
      <c r="Q28" s="106">
        <f t="shared" ca="1" si="15"/>
        <v>1.9893652381068326E-4</v>
      </c>
      <c r="R28" s="107">
        <f t="shared" ca="1" si="16"/>
        <v>67.206435776396006</v>
      </c>
      <c r="S28" s="108">
        <f t="shared" ca="1" si="17"/>
        <v>-53.78195132167648</v>
      </c>
      <c r="T28" s="78">
        <f t="shared" ca="1" si="18"/>
        <v>126.21804867832353</v>
      </c>
      <c r="V28" s="72">
        <f t="shared" ca="1" si="19"/>
        <v>1000000000</v>
      </c>
      <c r="W28" s="72">
        <f t="shared" si="20"/>
        <v>13.182708639999998</v>
      </c>
      <c r="Y28" s="110">
        <f t="shared" si="21"/>
        <v>60.137085211860594</v>
      </c>
      <c r="Z28" s="111">
        <f t="shared" si="22"/>
        <v>-42.333829548082257</v>
      </c>
      <c r="AA28" s="72">
        <f t="shared" si="23"/>
        <v>137.66617045191774</v>
      </c>
      <c r="AB28" s="110">
        <f t="shared" ca="1" si="24"/>
        <v>24.570575832369418</v>
      </c>
      <c r="AC28" s="111">
        <f t="shared" ca="1" si="25"/>
        <v>-11.448121773594233</v>
      </c>
      <c r="AD28" s="72">
        <f t="shared" ca="1" si="26"/>
        <v>168.55187822640576</v>
      </c>
    </row>
    <row r="29" spans="1:30">
      <c r="A29" s="112">
        <v>3.9811000000000001</v>
      </c>
      <c r="B29" s="101">
        <f t="shared" ca="1" si="0"/>
        <v>1.0243332942914463</v>
      </c>
      <c r="C29" s="102">
        <f t="shared" ca="1" si="1"/>
        <v>0.21840285325727671</v>
      </c>
      <c r="D29" s="102">
        <f t="shared" si="2"/>
        <v>1.0000000069108526</v>
      </c>
      <c r="E29" s="103">
        <f t="shared" si="3"/>
        <v>1.1756574774814798E-4</v>
      </c>
      <c r="F29" s="101">
        <f t="shared" si="4"/>
        <v>1.6886889894690986</v>
      </c>
      <c r="G29" s="104">
        <f t="shared" si="5"/>
        <v>0.937040565712287</v>
      </c>
      <c r="H29" s="113">
        <f t="shared" si="6"/>
        <v>1.0143630275260351</v>
      </c>
      <c r="I29" s="114">
        <f t="shared" si="7"/>
        <v>0.16848260897949452</v>
      </c>
      <c r="J29" s="101">
        <f t="shared" si="8"/>
        <v>1.0000000312849817</v>
      </c>
      <c r="K29" s="104">
        <f t="shared" si="9"/>
        <v>2.5013988476121885E-4</v>
      </c>
      <c r="L29" s="102">
        <f t="shared" si="10"/>
        <v>1</v>
      </c>
      <c r="M29" s="103">
        <f t="shared" si="11"/>
        <v>1.62590928485895E-13</v>
      </c>
      <c r="N29" s="101">
        <f t="shared" si="12"/>
        <v>1</v>
      </c>
      <c r="O29" s="104">
        <f t="shared" si="13"/>
        <v>2.1678790464785996E-14</v>
      </c>
      <c r="P29" s="105">
        <f t="shared" ca="1" si="14"/>
        <v>1.0000000222054204</v>
      </c>
      <c r="Q29" s="106">
        <f t="shared" ca="1" si="15"/>
        <v>2.1812994189727479E-4</v>
      </c>
      <c r="R29" s="107">
        <f t="shared" ca="1" si="16"/>
        <v>66.690187148909359</v>
      </c>
      <c r="S29" s="108">
        <f t="shared" ca="1" si="17"/>
        <v>-56.568782885454908</v>
      </c>
      <c r="T29" s="78">
        <f t="shared" ca="1" si="18"/>
        <v>123.43121711454509</v>
      </c>
      <c r="V29" s="72">
        <f t="shared" ca="1" si="19"/>
        <v>1000000000</v>
      </c>
      <c r="W29" s="72">
        <f t="shared" si="20"/>
        <v>15.849157210000001</v>
      </c>
      <c r="Y29" s="110">
        <f t="shared" si="21"/>
        <v>59.655274171940881</v>
      </c>
      <c r="Z29" s="111">
        <f t="shared" si="22"/>
        <v>-44.04945924199761</v>
      </c>
      <c r="AA29" s="72">
        <f t="shared" si="23"/>
        <v>135.95054075800238</v>
      </c>
      <c r="AB29" s="110">
        <f t="shared" ca="1" si="24"/>
        <v>24.536138244802483</v>
      </c>
      <c r="AC29" s="111">
        <f t="shared" ca="1" si="25"/>
        <v>-12.519323643457289</v>
      </c>
      <c r="AD29" s="72">
        <f t="shared" ca="1" si="26"/>
        <v>167.48067635654272</v>
      </c>
    </row>
    <row r="30" spans="1:30">
      <c r="A30" s="112">
        <v>4.3651999999999997</v>
      </c>
      <c r="B30" s="101">
        <f t="shared" ca="1" si="0"/>
        <v>1.029185245482332</v>
      </c>
      <c r="C30" s="102">
        <f t="shared" ca="1" si="1"/>
        <v>0.23871602360566607</v>
      </c>
      <c r="D30" s="102">
        <f t="shared" si="2"/>
        <v>1.0000000083087128</v>
      </c>
      <c r="E30" s="103">
        <f t="shared" si="3"/>
        <v>1.2890859350228901E-4</v>
      </c>
      <c r="F30" s="101">
        <f t="shared" si="4"/>
        <v>1.7961649302744003</v>
      </c>
      <c r="G30" s="104">
        <f t="shared" si="5"/>
        <v>0.98033807283099916</v>
      </c>
      <c r="H30" s="113">
        <f t="shared" si="6"/>
        <v>1.0172435829911546</v>
      </c>
      <c r="I30" s="114">
        <f t="shared" si="7"/>
        <v>0.18438758534875449</v>
      </c>
      <c r="J30" s="101">
        <f t="shared" si="8"/>
        <v>1.0000000376130045</v>
      </c>
      <c r="K30" s="104">
        <f t="shared" si="9"/>
        <v>2.7427359783809729E-4</v>
      </c>
      <c r="L30" s="102">
        <f t="shared" si="10"/>
        <v>1</v>
      </c>
      <c r="M30" s="103">
        <f t="shared" si="11"/>
        <v>1.7827784306513998E-13</v>
      </c>
      <c r="N30" s="101">
        <f t="shared" si="12"/>
        <v>1</v>
      </c>
      <c r="O30" s="104">
        <f t="shared" si="13"/>
        <v>2.3770379075351994E-14</v>
      </c>
      <c r="P30" s="105">
        <f t="shared" ca="1" si="14"/>
        <v>1.0000000266969176</v>
      </c>
      <c r="Q30" s="106">
        <f t="shared" ca="1" si="15"/>
        <v>2.391753082365651E-4</v>
      </c>
      <c r="R30" s="107">
        <f t="shared" ca="1" si="16"/>
        <v>66.137841951878301</v>
      </c>
      <c r="S30" s="108">
        <f t="shared" ca="1" si="17"/>
        <v>-59.304056893582015</v>
      </c>
      <c r="T30" s="78">
        <f t="shared" ca="1" si="18"/>
        <v>120.69594310641799</v>
      </c>
      <c r="V30" s="72">
        <f t="shared" ca="1" si="19"/>
        <v>1000000000</v>
      </c>
      <c r="W30" s="72">
        <f t="shared" si="20"/>
        <v>19.054971039999998</v>
      </c>
      <c r="Y30" s="110">
        <f t="shared" si="21"/>
        <v>59.143974251853408</v>
      </c>
      <c r="Z30" s="111">
        <f t="shared" si="22"/>
        <v>-45.620318405821031</v>
      </c>
      <c r="AA30" s="72">
        <f t="shared" si="23"/>
        <v>134.37968159417898</v>
      </c>
      <c r="AB30" s="110">
        <f t="shared" ca="1" si="24"/>
        <v>24.495092967858895</v>
      </c>
      <c r="AC30" s="111">
        <f t="shared" ca="1" si="25"/>
        <v>-13.683738487760994</v>
      </c>
      <c r="AD30" s="72">
        <f t="shared" ca="1" si="26"/>
        <v>166.31626151223901</v>
      </c>
    </row>
    <row r="31" spans="1:30">
      <c r="A31" s="112">
        <v>4.7862999999999998</v>
      </c>
      <c r="B31" s="101">
        <f t="shared" ca="1" si="0"/>
        <v>1.0349876527336548</v>
      </c>
      <c r="C31" s="102">
        <f t="shared" ca="1" si="1"/>
        <v>0.26075696105277674</v>
      </c>
      <c r="D31" s="102">
        <f t="shared" si="2"/>
        <v>1.0000000099890753</v>
      </c>
      <c r="E31" s="103">
        <f t="shared" si="3"/>
        <v>1.4134408512526852E-4</v>
      </c>
      <c r="F31" s="101">
        <f t="shared" si="4"/>
        <v>1.9174042637582605</v>
      </c>
      <c r="G31" s="104">
        <f t="shared" si="5"/>
        <v>1.0221433027249338</v>
      </c>
      <c r="H31" s="113">
        <f t="shared" si="6"/>
        <v>1.0206955281102927</v>
      </c>
      <c r="I31" s="114">
        <f t="shared" si="7"/>
        <v>0.20171662866891207</v>
      </c>
      <c r="J31" s="101">
        <f t="shared" si="8"/>
        <v>1.0000000452198963</v>
      </c>
      <c r="K31" s="104">
        <f t="shared" si="9"/>
        <v>3.0073208894785077E-4</v>
      </c>
      <c r="L31" s="102">
        <f t="shared" si="10"/>
        <v>1</v>
      </c>
      <c r="M31" s="103">
        <f t="shared" si="11"/>
        <v>1.9547586370903498E-13</v>
      </c>
      <c r="N31" s="101">
        <f t="shared" si="12"/>
        <v>1</v>
      </c>
      <c r="O31" s="104">
        <f t="shared" si="13"/>
        <v>2.6063448494537996E-14</v>
      </c>
      <c r="P31" s="105">
        <f t="shared" ca="1" si="14"/>
        <v>1.0000000320961291</v>
      </c>
      <c r="Q31" s="106">
        <f t="shared" ca="1" si="15"/>
        <v>2.6224795515421349E-4</v>
      </c>
      <c r="R31" s="107">
        <f t="shared" ca="1" si="16"/>
        <v>65.551085047924445</v>
      </c>
      <c r="S31" s="108">
        <f t="shared" ca="1" si="17"/>
        <v>-61.971417202089832</v>
      </c>
      <c r="T31" s="78">
        <f t="shared" ca="1" si="18"/>
        <v>118.02858279791016</v>
      </c>
      <c r="V31" s="72">
        <f t="shared" ca="1" si="19"/>
        <v>1000000000</v>
      </c>
      <c r="W31" s="72">
        <f t="shared" si="20"/>
        <v>22.908667689999998</v>
      </c>
      <c r="Y31" s="110">
        <f t="shared" si="21"/>
        <v>58.606049725409683</v>
      </c>
      <c r="Z31" s="111">
        <f t="shared" si="22"/>
        <v>-47.024216556549433</v>
      </c>
      <c r="AA31" s="72">
        <f t="shared" si="23"/>
        <v>132.97578344345055</v>
      </c>
      <c r="AB31" s="110">
        <f t="shared" ca="1" si="24"/>
        <v>24.446260590348771</v>
      </c>
      <c r="AC31" s="111">
        <f t="shared" ca="1" si="25"/>
        <v>-14.947200645540413</v>
      </c>
      <c r="AD31" s="72">
        <f t="shared" ca="1" si="26"/>
        <v>165.05279935445958</v>
      </c>
    </row>
    <row r="32" spans="1:30">
      <c r="A32" s="112">
        <v>5.2481</v>
      </c>
      <c r="B32" s="101">
        <f t="shared" ca="1" si="0"/>
        <v>1.0419219824861536</v>
      </c>
      <c r="C32" s="102">
        <f t="shared" ca="1" si="1"/>
        <v>0.2846330506137203</v>
      </c>
      <c r="D32" s="102">
        <f t="shared" si="2"/>
        <v>1.0000000120096308</v>
      </c>
      <c r="E32" s="103">
        <f t="shared" si="3"/>
        <v>1.5498148719192404E-4</v>
      </c>
      <c r="F32" s="101">
        <f t="shared" si="4"/>
        <v>2.053733171547512</v>
      </c>
      <c r="G32" s="104">
        <f t="shared" si="5"/>
        <v>1.0622384080831964</v>
      </c>
      <c r="H32" s="113">
        <f t="shared" si="6"/>
        <v>1.0248309307203631</v>
      </c>
      <c r="I32" s="114">
        <f t="shared" si="7"/>
        <v>0.22058003103645132</v>
      </c>
      <c r="J32" s="101">
        <f t="shared" si="8"/>
        <v>1.0000000543668199</v>
      </c>
      <c r="K32" s="104">
        <f t="shared" si="9"/>
        <v>3.297478357777392E-4</v>
      </c>
      <c r="L32" s="102">
        <f t="shared" si="10"/>
        <v>1</v>
      </c>
      <c r="M32" s="103">
        <f t="shared" si="11"/>
        <v>2.14336101024045E-13</v>
      </c>
      <c r="N32" s="101">
        <f t="shared" si="12"/>
        <v>1</v>
      </c>
      <c r="O32" s="104">
        <f t="shared" si="13"/>
        <v>2.8578146803205996E-14</v>
      </c>
      <c r="P32" s="105">
        <f t="shared" ca="1" si="14"/>
        <v>1.0000000385884227</v>
      </c>
      <c r="Q32" s="106">
        <f t="shared" ca="1" si="15"/>
        <v>2.8755061063880343E-4</v>
      </c>
      <c r="R32" s="107">
        <f t="shared" ca="1" si="16"/>
        <v>64.931597955714281</v>
      </c>
      <c r="S32" s="108">
        <f t="shared" ca="1" si="17"/>
        <v>-64.558234191027509</v>
      </c>
      <c r="T32" s="78">
        <f t="shared" ca="1" si="18"/>
        <v>115.44176580897249</v>
      </c>
      <c r="V32" s="72">
        <f t="shared" ca="1" si="19"/>
        <v>1000000000</v>
      </c>
      <c r="W32" s="72">
        <f t="shared" si="20"/>
        <v>27.542553609999999</v>
      </c>
      <c r="Y32" s="110">
        <f t="shared" si="21"/>
        <v>58.044563314658845</v>
      </c>
      <c r="Z32" s="111">
        <f t="shared" si="22"/>
        <v>-48.242366011016948</v>
      </c>
      <c r="AA32" s="72">
        <f t="shared" si="23"/>
        <v>131.75763398898306</v>
      </c>
      <c r="AB32" s="110">
        <f t="shared" ca="1" si="24"/>
        <v>24.388259908889452</v>
      </c>
      <c r="AC32" s="111">
        <f t="shared" ca="1" si="25"/>
        <v>-16.315868180010572</v>
      </c>
      <c r="AD32" s="72">
        <f t="shared" ca="1" si="26"/>
        <v>163.68413181998943</v>
      </c>
    </row>
    <row r="33" spans="1:30">
      <c r="A33" s="112">
        <v>5.7544000000000004</v>
      </c>
      <c r="B33" s="101">
        <f t="shared" ca="1" si="0"/>
        <v>1.0501973939417706</v>
      </c>
      <c r="C33" s="102">
        <f t="shared" ca="1" si="1"/>
        <v>0.31043118743235559</v>
      </c>
      <c r="D33" s="102">
        <f t="shared" si="2"/>
        <v>1.0000000144386154</v>
      </c>
      <c r="E33" s="103">
        <f t="shared" si="3"/>
        <v>1.6993301736877237E-4</v>
      </c>
      <c r="F33" s="101">
        <f t="shared" si="4"/>
        <v>2.2064981009609106</v>
      </c>
      <c r="G33" s="104">
        <f t="shared" si="5"/>
        <v>1.1004367699400814</v>
      </c>
      <c r="H33" s="113">
        <f t="shared" si="6"/>
        <v>1.0297802698690757</v>
      </c>
      <c r="I33" s="114">
        <f t="shared" si="7"/>
        <v>0.2410789204534324</v>
      </c>
      <c r="J33" s="101">
        <f t="shared" si="8"/>
        <v>1.0000000653626755</v>
      </c>
      <c r="K33" s="104">
        <f t="shared" si="9"/>
        <v>3.6155959914819824E-4</v>
      </c>
      <c r="L33" s="102">
        <f t="shared" si="10"/>
        <v>1</v>
      </c>
      <c r="M33" s="103">
        <f t="shared" si="11"/>
        <v>2.3501374968707998E-13</v>
      </c>
      <c r="N33" s="101">
        <f t="shared" si="12"/>
        <v>1</v>
      </c>
      <c r="O33" s="104">
        <f t="shared" si="13"/>
        <v>3.1335166624943998E-14</v>
      </c>
      <c r="P33" s="105">
        <f t="shared" ca="1" si="14"/>
        <v>1.0000000463930492</v>
      </c>
      <c r="Q33" s="106">
        <f t="shared" ca="1" si="15"/>
        <v>3.1529148178535764E-4</v>
      </c>
      <c r="R33" s="107">
        <f t="shared" ca="1" si="16"/>
        <v>64.281539145811223</v>
      </c>
      <c r="S33" s="108">
        <f t="shared" ca="1" si="17"/>
        <v>-67.053019078340981</v>
      </c>
      <c r="T33" s="78">
        <f t="shared" ca="1" si="18"/>
        <v>112.94698092165902</v>
      </c>
      <c r="V33" s="72">
        <f t="shared" ca="1" si="19"/>
        <v>1000000000</v>
      </c>
      <c r="W33" s="72">
        <f t="shared" si="20"/>
        <v>33.113119360000006</v>
      </c>
      <c r="Y33" s="110">
        <f t="shared" si="21"/>
        <v>57.463219258938949</v>
      </c>
      <c r="Z33" s="111">
        <f t="shared" si="22"/>
        <v>-49.258293762371395</v>
      </c>
      <c r="AA33" s="72">
        <f t="shared" si="23"/>
        <v>130.74170623762859</v>
      </c>
      <c r="AB33" s="110">
        <f t="shared" ca="1" si="24"/>
        <v>24.319545154706272</v>
      </c>
      <c r="AC33" s="111">
        <f t="shared" ca="1" si="25"/>
        <v>-17.79472531596959</v>
      </c>
      <c r="AD33" s="72">
        <f t="shared" ca="1" si="26"/>
        <v>162.2052746840304</v>
      </c>
    </row>
    <row r="34" spans="1:30">
      <c r="A34" s="112">
        <v>6.3095999999999997</v>
      </c>
      <c r="B34" s="101">
        <f t="shared" ca="1" si="0"/>
        <v>1.0600620441014681</v>
      </c>
      <c r="C34" s="102">
        <f t="shared" ca="1" si="1"/>
        <v>0.33823738342423709</v>
      </c>
      <c r="D34" s="102">
        <f t="shared" si="2"/>
        <v>1.0000000173591761</v>
      </c>
      <c r="E34" s="103">
        <f t="shared" si="3"/>
        <v>1.8632861189739523E-4</v>
      </c>
      <c r="F34" s="101">
        <f t="shared" si="4"/>
        <v>2.3772166601927021</v>
      </c>
      <c r="G34" s="104">
        <f t="shared" si="5"/>
        <v>1.1366236124039357</v>
      </c>
      <c r="H34" s="113">
        <f t="shared" si="6"/>
        <v>1.0356999373121554</v>
      </c>
      <c r="I34" s="114">
        <f t="shared" si="7"/>
        <v>0.26332203168284668</v>
      </c>
      <c r="J34" s="101">
        <f t="shared" si="8"/>
        <v>1.0000000785838639</v>
      </c>
      <c r="K34" s="104">
        <f t="shared" si="9"/>
        <v>3.9644383891940759E-4</v>
      </c>
      <c r="L34" s="102">
        <f t="shared" si="10"/>
        <v>1</v>
      </c>
      <c r="M34" s="103">
        <f t="shared" si="11"/>
        <v>2.5768850879771995E-13</v>
      </c>
      <c r="N34" s="101">
        <f t="shared" si="12"/>
        <v>1</v>
      </c>
      <c r="O34" s="104">
        <f t="shared" si="13"/>
        <v>3.4358467839695995E-14</v>
      </c>
      <c r="P34" s="105">
        <f t="shared" ca="1" si="14"/>
        <v>1.00000005577717</v>
      </c>
      <c r="Q34" s="106">
        <f t="shared" ca="1" si="15"/>
        <v>3.457116504711926E-4</v>
      </c>
      <c r="R34" s="107">
        <f t="shared" ca="1" si="16"/>
        <v>63.602815526095213</v>
      </c>
      <c r="S34" s="108">
        <f t="shared" ca="1" si="17"/>
        <v>-69.447915974742088</v>
      </c>
      <c r="T34" s="78">
        <f t="shared" ca="1" si="18"/>
        <v>110.55208402525791</v>
      </c>
      <c r="V34" s="72">
        <f t="shared" ca="1" si="19"/>
        <v>1000000000</v>
      </c>
      <c r="W34" s="72">
        <f t="shared" si="20"/>
        <v>39.811052159999996</v>
      </c>
      <c r="Y34" s="110">
        <f t="shared" si="21"/>
        <v>56.865702664693998</v>
      </c>
      <c r="Z34" s="111">
        <f t="shared" si="22"/>
        <v>-50.059209433394017</v>
      </c>
      <c r="AA34" s="72">
        <f t="shared" si="23"/>
        <v>129.94079056660598</v>
      </c>
      <c r="AB34" s="110">
        <f t="shared" ca="1" si="24"/>
        <v>24.238338129235217</v>
      </c>
      <c r="AC34" s="111">
        <f t="shared" ca="1" si="25"/>
        <v>-19.38870654134805</v>
      </c>
      <c r="AD34" s="72">
        <f t="shared" ca="1" si="26"/>
        <v>160.61129345865194</v>
      </c>
    </row>
    <row r="35" spans="1:30">
      <c r="A35" s="112">
        <v>6.9183000000000003</v>
      </c>
      <c r="B35" s="101">
        <f t="shared" ca="1" si="0"/>
        <v>1.0718005211352595</v>
      </c>
      <c r="C35" s="102">
        <f t="shared" ca="1" si="1"/>
        <v>0.36810915779297654</v>
      </c>
      <c r="D35" s="102">
        <f t="shared" si="2"/>
        <v>1.0000000208700857</v>
      </c>
      <c r="E35" s="103">
        <f t="shared" si="3"/>
        <v>2.0430411320409011E-4</v>
      </c>
      <c r="F35" s="101">
        <f t="shared" si="4"/>
        <v>2.5674618478785889</v>
      </c>
      <c r="G35" s="104">
        <f t="shared" si="5"/>
        <v>1.1707188288599926</v>
      </c>
      <c r="H35" s="113">
        <f t="shared" si="6"/>
        <v>1.0427716997585699</v>
      </c>
      <c r="I35" s="114">
        <f t="shared" si="7"/>
        <v>0.2874050479057832</v>
      </c>
      <c r="J35" s="101">
        <f t="shared" si="8"/>
        <v>1.0000000944775234</v>
      </c>
      <c r="K35" s="104">
        <f t="shared" si="9"/>
        <v>4.3468958123097008E-4</v>
      </c>
      <c r="L35" s="102">
        <f t="shared" si="10"/>
        <v>1</v>
      </c>
      <c r="M35" s="103">
        <f t="shared" si="11"/>
        <v>2.8254824559643499E-13</v>
      </c>
      <c r="N35" s="101">
        <f t="shared" si="12"/>
        <v>1</v>
      </c>
      <c r="O35" s="104">
        <f t="shared" si="13"/>
        <v>3.7673099412857993E-14</v>
      </c>
      <c r="P35" s="105">
        <f t="shared" ca="1" si="14"/>
        <v>1.0000000670581548</v>
      </c>
      <c r="Q35" s="106">
        <f t="shared" ca="1" si="15"/>
        <v>3.7906315679430531E-4</v>
      </c>
      <c r="R35" s="107">
        <f t="shared" ca="1" si="16"/>
        <v>62.897562791045836</v>
      </c>
      <c r="S35" s="108">
        <f t="shared" ca="1" si="17"/>
        <v>-71.736171692061106</v>
      </c>
      <c r="T35" s="78">
        <f t="shared" ca="1" si="18"/>
        <v>108.26382830793889</v>
      </c>
      <c r="V35" s="72">
        <f t="shared" ca="1" si="19"/>
        <v>1000000000</v>
      </c>
      <c r="W35" s="72">
        <f t="shared" si="20"/>
        <v>47.862874890000008</v>
      </c>
      <c r="Y35" s="110">
        <f t="shared" si="21"/>
        <v>56.25610358018023</v>
      </c>
      <c r="Z35" s="111">
        <f t="shared" si="22"/>
        <v>-50.635057570667286</v>
      </c>
      <c r="AA35" s="72">
        <f t="shared" si="23"/>
        <v>129.3649424293327</v>
      </c>
      <c r="AB35" s="110">
        <f t="shared" ca="1" si="24"/>
        <v>24.142684478699596</v>
      </c>
      <c r="AC35" s="111">
        <f t="shared" ca="1" si="25"/>
        <v>-21.101114121393813</v>
      </c>
      <c r="AD35" s="72">
        <f t="shared" ca="1" si="26"/>
        <v>158.89888587860619</v>
      </c>
    </row>
    <row r="36" spans="1:30">
      <c r="A36" s="112">
        <v>7.5857999999999999</v>
      </c>
      <c r="B36" s="101">
        <f t="shared" ca="1" si="0"/>
        <v>1.0857468042764671</v>
      </c>
      <c r="C36" s="102">
        <f t="shared" ca="1" si="1"/>
        <v>0.40009230280292651</v>
      </c>
      <c r="D36" s="102">
        <f t="shared" si="2"/>
        <v>1.0000000250915926</v>
      </c>
      <c r="E36" s="103">
        <f t="shared" si="3"/>
        <v>2.240160353817986E-4</v>
      </c>
      <c r="F36" s="101">
        <f t="shared" si="4"/>
        <v>2.7790208101478324</v>
      </c>
      <c r="G36" s="104">
        <f t="shared" si="5"/>
        <v>1.2027010247933068</v>
      </c>
      <c r="H36" s="113">
        <f t="shared" si="6"/>
        <v>1.0512117759343462</v>
      </c>
      <c r="I36" s="114">
        <f t="shared" si="7"/>
        <v>0.31342518644728118</v>
      </c>
      <c r="J36" s="101">
        <f t="shared" si="8"/>
        <v>1.0000001135880103</v>
      </c>
      <c r="K36" s="104">
        <f t="shared" si="9"/>
        <v>4.7662983439444379E-4</v>
      </c>
      <c r="L36" s="102">
        <f t="shared" si="10"/>
        <v>1</v>
      </c>
      <c r="M36" s="103">
        <f t="shared" si="11"/>
        <v>3.0980941581680996E-13</v>
      </c>
      <c r="N36" s="101">
        <f t="shared" si="12"/>
        <v>1</v>
      </c>
      <c r="O36" s="104">
        <f t="shared" si="13"/>
        <v>4.1307922108907995E-14</v>
      </c>
      <c r="P36" s="105">
        <f t="shared" ca="1" si="14"/>
        <v>1.0000000806223759</v>
      </c>
      <c r="Q36" s="106">
        <f t="shared" ca="1" si="15"/>
        <v>4.156363947408504E-4</v>
      </c>
      <c r="R36" s="107">
        <f t="shared" ca="1" si="16"/>
        <v>62.167534246464442</v>
      </c>
      <c r="S36" s="108">
        <f t="shared" ca="1" si="17"/>
        <v>-73.91364072666731</v>
      </c>
      <c r="T36" s="78">
        <f t="shared" ca="1" si="18"/>
        <v>106.08635927333269</v>
      </c>
      <c r="V36" s="72">
        <f t="shared" ca="1" si="19"/>
        <v>1000000000</v>
      </c>
      <c r="W36" s="72">
        <f t="shared" si="20"/>
        <v>57.544361639999998</v>
      </c>
      <c r="Y36" s="110">
        <f t="shared" si="21"/>
        <v>55.638367034491012</v>
      </c>
      <c r="Z36" s="111">
        <f t="shared" si="22"/>
        <v>-50.979061296322818</v>
      </c>
      <c r="AA36" s="72">
        <f t="shared" si="23"/>
        <v>129.02093870367719</v>
      </c>
      <c r="AB36" s="110">
        <f t="shared" ca="1" si="24"/>
        <v>24.030392479807428</v>
      </c>
      <c r="AC36" s="111">
        <f t="shared" ca="1" si="25"/>
        <v>-22.934579430344474</v>
      </c>
      <c r="AD36" s="72">
        <f t="shared" ca="1" si="26"/>
        <v>157.06542056965552</v>
      </c>
    </row>
    <row r="37" spans="1:30">
      <c r="A37" s="112">
        <v>8.3176000000000005</v>
      </c>
      <c r="B37" s="101">
        <f t="shared" ca="1" si="0"/>
        <v>1.1022780994379251</v>
      </c>
      <c r="C37" s="102">
        <f t="shared" ca="1" si="1"/>
        <v>0.43418765576037677</v>
      </c>
      <c r="D37" s="102">
        <f t="shared" si="2"/>
        <v>1.0000000301662628</v>
      </c>
      <c r="E37" s="103">
        <f t="shared" si="3"/>
        <v>2.4562679870125431E-4</v>
      </c>
      <c r="F37" s="101">
        <f t="shared" si="4"/>
        <v>3.0137429756478586</v>
      </c>
      <c r="G37" s="104">
        <f t="shared" si="5"/>
        <v>1.2325711983575682</v>
      </c>
      <c r="H37" s="113">
        <f t="shared" si="6"/>
        <v>1.0612687477972034</v>
      </c>
      <c r="I37" s="114">
        <f t="shared" si="7"/>
        <v>0.34145514553540784</v>
      </c>
      <c r="J37" s="101">
        <f t="shared" si="8"/>
        <v>1.0000001365607121</v>
      </c>
      <c r="K37" s="104">
        <f t="shared" si="9"/>
        <v>5.2261017293412206E-4</v>
      </c>
      <c r="L37" s="102">
        <f t="shared" si="10"/>
        <v>1</v>
      </c>
      <c r="M37" s="103">
        <f t="shared" si="11"/>
        <v>3.3969664333332002E-13</v>
      </c>
      <c r="N37" s="101">
        <f t="shared" si="12"/>
        <v>1</v>
      </c>
      <c r="O37" s="104">
        <f t="shared" si="13"/>
        <v>4.5292885777775996E-14</v>
      </c>
      <c r="P37" s="105">
        <f t="shared" ca="1" si="14"/>
        <v>1.0000000969279157</v>
      </c>
      <c r="Q37" s="106">
        <f t="shared" ca="1" si="15"/>
        <v>4.5573271647785912E-4</v>
      </c>
      <c r="R37" s="107">
        <f t="shared" ca="1" si="16"/>
        <v>61.4146964855004</v>
      </c>
      <c r="S37" s="108">
        <f t="shared" ca="1" si="17"/>
        <v>-75.976290701193108</v>
      </c>
      <c r="T37" s="78">
        <f t="shared" ca="1" si="18"/>
        <v>104.02370929880689</v>
      </c>
      <c r="V37" s="72">
        <f t="shared" ca="1" si="19"/>
        <v>1000000000</v>
      </c>
      <c r="W37" s="72">
        <f t="shared" si="20"/>
        <v>69.182469760000004</v>
      </c>
      <c r="Y37" s="110">
        <f t="shared" si="21"/>
        <v>55.016781750678099</v>
      </c>
      <c r="Z37" s="111">
        <f t="shared" si="22"/>
        <v>-51.087132298665139</v>
      </c>
      <c r="AA37" s="72">
        <f t="shared" si="23"/>
        <v>128.91286770133485</v>
      </c>
      <c r="AB37" s="110">
        <f t="shared" ca="1" si="24"/>
        <v>23.899140002656306</v>
      </c>
      <c r="AC37" s="111">
        <f t="shared" ca="1" si="25"/>
        <v>-24.889158402527965</v>
      </c>
      <c r="AD37" s="72">
        <f t="shared" ca="1" si="26"/>
        <v>155.11084159747205</v>
      </c>
    </row>
    <row r="38" spans="1:30">
      <c r="A38" s="112">
        <v>9.1201000000000008</v>
      </c>
      <c r="B38" s="101">
        <f t="shared" ca="1" si="0"/>
        <v>1.1218329512080336</v>
      </c>
      <c r="C38" s="102">
        <f t="shared" ca="1" si="1"/>
        <v>0.47037517719752825</v>
      </c>
      <c r="D38" s="102">
        <f t="shared" si="2"/>
        <v>1.000000036268087</v>
      </c>
      <c r="E38" s="103">
        <f t="shared" si="3"/>
        <v>2.693254012843463E-4</v>
      </c>
      <c r="F38" s="101">
        <f t="shared" si="4"/>
        <v>3.2737667788271745</v>
      </c>
      <c r="G38" s="104">
        <f t="shared" si="5"/>
        <v>1.2603763855064047</v>
      </c>
      <c r="H38" s="113">
        <f t="shared" si="6"/>
        <v>1.0732365544970186</v>
      </c>
      <c r="I38" s="114">
        <f t="shared" si="7"/>
        <v>0.37156291659651036</v>
      </c>
      <c r="J38" s="101">
        <f t="shared" si="8"/>
        <v>1.0000001641832714</v>
      </c>
      <c r="K38" s="104">
        <f t="shared" si="9"/>
        <v>5.7303271982370933E-4</v>
      </c>
      <c r="L38" s="102">
        <f t="shared" si="10"/>
        <v>1</v>
      </c>
      <c r="M38" s="103">
        <f t="shared" si="11"/>
        <v>3.7247130865444498E-13</v>
      </c>
      <c r="N38" s="101">
        <f t="shared" si="12"/>
        <v>1</v>
      </c>
      <c r="O38" s="104">
        <f t="shared" si="13"/>
        <v>4.9662841153925998E-14</v>
      </c>
      <c r="P38" s="105">
        <f t="shared" ca="1" si="14"/>
        <v>1.0000001165338268</v>
      </c>
      <c r="Q38" s="106">
        <f t="shared" ca="1" si="15"/>
        <v>4.9970278628002685E-4</v>
      </c>
      <c r="R38" s="107">
        <f t="shared" ca="1" si="16"/>
        <v>60.640526955438567</v>
      </c>
      <c r="S38" s="108">
        <f t="shared" ca="1" si="17"/>
        <v>-77.921805081300221</v>
      </c>
      <c r="T38" s="78">
        <f t="shared" ca="1" si="18"/>
        <v>102.07819491869978</v>
      </c>
      <c r="V38" s="72">
        <f t="shared" ca="1" si="19"/>
        <v>1000000000</v>
      </c>
      <c r="W38" s="72">
        <f t="shared" si="20"/>
        <v>83.176224010000013</v>
      </c>
      <c r="Y38" s="110">
        <f t="shared" si="21"/>
        <v>54.395352607949967</v>
      </c>
      <c r="Z38" s="111">
        <f t="shared" si="22"/>
        <v>-50.958092957497577</v>
      </c>
      <c r="AA38" s="72">
        <f t="shared" si="23"/>
        <v>129.04190704250243</v>
      </c>
      <c r="AB38" s="110">
        <f t="shared" ca="1" si="24"/>
        <v>23.746399615322602</v>
      </c>
      <c r="AC38" s="111">
        <f t="shared" ca="1" si="25"/>
        <v>-26.963712123802651</v>
      </c>
      <c r="AD38" s="72">
        <f t="shared" ca="1" si="26"/>
        <v>153.03628787619735</v>
      </c>
    </row>
    <row r="39" spans="1:30">
      <c r="A39" s="115">
        <v>10</v>
      </c>
      <c r="B39" s="101">
        <f t="shared" ca="1" si="0"/>
        <v>1.1449004121269273</v>
      </c>
      <c r="C39" s="102">
        <f t="shared" ca="1" si="1"/>
        <v>0.50857676618483194</v>
      </c>
      <c r="D39" s="102">
        <f t="shared" si="2"/>
        <v>1.0000000436039111</v>
      </c>
      <c r="E39" s="103">
        <f t="shared" si="3"/>
        <v>2.9530970051556141E-4</v>
      </c>
      <c r="F39" s="101">
        <f t="shared" si="4"/>
        <v>3.561331908916014</v>
      </c>
      <c r="G39" s="104">
        <f t="shared" si="5"/>
        <v>1.2861752192850779</v>
      </c>
      <c r="H39" s="113">
        <f t="shared" si="6"/>
        <v>1.0874503218930809</v>
      </c>
      <c r="I39" s="114">
        <f t="shared" si="7"/>
        <v>0.40378045457315986</v>
      </c>
      <c r="J39" s="101">
        <f t="shared" si="8"/>
        <v>1.000000197392068</v>
      </c>
      <c r="K39" s="104">
        <f t="shared" si="9"/>
        <v>6.2831844731661539E-4</v>
      </c>
      <c r="L39" s="102">
        <f t="shared" si="10"/>
        <v>1</v>
      </c>
      <c r="M39" s="103">
        <f t="shared" si="11"/>
        <v>4.0840704449999996E-13</v>
      </c>
      <c r="N39" s="101">
        <f t="shared" si="12"/>
        <v>1</v>
      </c>
      <c r="O39" s="104">
        <f t="shared" si="13"/>
        <v>5.4454272599999992E-14</v>
      </c>
      <c r="P39" s="105">
        <f t="shared" ca="1" si="14"/>
        <v>1.0000001401047316</v>
      </c>
      <c r="Q39" s="106">
        <f t="shared" ca="1" si="15"/>
        <v>5.4791370566984929E-4</v>
      </c>
      <c r="R39" s="107">
        <f t="shared" ca="1" si="16"/>
        <v>59.846721260513689</v>
      </c>
      <c r="S39" s="108">
        <f t="shared" ca="1" si="17"/>
        <v>-79.747271372943914</v>
      </c>
      <c r="T39" s="78">
        <f t="shared" ca="1" si="18"/>
        <v>100.25272862705609</v>
      </c>
      <c r="V39" s="72">
        <f t="shared" ca="1" si="19"/>
        <v>1000000000</v>
      </c>
      <c r="W39" s="72">
        <f t="shared" si="20"/>
        <v>100</v>
      </c>
      <c r="Y39" s="110">
        <f t="shared" si="21"/>
        <v>53.778337443263993</v>
      </c>
      <c r="Z39" s="111">
        <f t="shared" si="22"/>
        <v>-50.593495935444878</v>
      </c>
      <c r="AA39" s="72">
        <f t="shared" si="23"/>
        <v>129.40650406455512</v>
      </c>
      <c r="AB39" s="110">
        <f t="shared" ca="1" si="24"/>
        <v>23.569609085083702</v>
      </c>
      <c r="AC39" s="111">
        <f t="shared" ca="1" si="25"/>
        <v>-29.153775437499036</v>
      </c>
      <c r="AD39" s="72">
        <f t="shared" ca="1" si="26"/>
        <v>150.84622456250096</v>
      </c>
    </row>
    <row r="40" spans="1:30">
      <c r="A40" s="115">
        <v>10.965</v>
      </c>
      <c r="B40" s="101">
        <f t="shared" ca="1" si="0"/>
        <v>1.1720388153479626</v>
      </c>
      <c r="C40" s="102">
        <f t="shared" ca="1" si="1"/>
        <v>0.54867935380952204</v>
      </c>
      <c r="D40" s="102">
        <f t="shared" si="2"/>
        <v>1.0000000524255164</v>
      </c>
      <c r="E40" s="103">
        <f t="shared" si="3"/>
        <v>3.2380708471098097E-4</v>
      </c>
      <c r="F40" s="101">
        <f t="shared" si="4"/>
        <v>3.8790096895686466</v>
      </c>
      <c r="G40" s="104">
        <f t="shared" si="5"/>
        <v>1.3100541040021179</v>
      </c>
      <c r="H40" s="113">
        <f t="shared" si="6"/>
        <v>1.1043006566075502</v>
      </c>
      <c r="I40" s="114">
        <f t="shared" si="7"/>
        <v>0.43812080308254991</v>
      </c>
      <c r="J40" s="101">
        <f t="shared" si="8"/>
        <v>1.0000002373268968</v>
      </c>
      <c r="K40" s="104">
        <f t="shared" si="9"/>
        <v>6.889511591405738E-4</v>
      </c>
      <c r="L40" s="102">
        <f t="shared" si="10"/>
        <v>1</v>
      </c>
      <c r="M40" s="103">
        <f t="shared" si="11"/>
        <v>4.4781832429424994E-13</v>
      </c>
      <c r="N40" s="101">
        <f t="shared" si="12"/>
        <v>1</v>
      </c>
      <c r="O40" s="104">
        <f t="shared" si="13"/>
        <v>5.970910990589999E-14</v>
      </c>
      <c r="P40" s="105">
        <f t="shared" ca="1" si="14"/>
        <v>1.0000001684496329</v>
      </c>
      <c r="Q40" s="106">
        <f t="shared" ca="1" si="15"/>
        <v>6.0078736731930722E-4</v>
      </c>
      <c r="R40" s="107">
        <f t="shared" ca="1" si="16"/>
        <v>59.034624896419892</v>
      </c>
      <c r="S40" s="108">
        <f t="shared" ca="1" si="17"/>
        <v>-81.450453326812152</v>
      </c>
      <c r="T40" s="78">
        <f t="shared" ca="1" si="18"/>
        <v>98.549546673187848</v>
      </c>
      <c r="V40" s="72">
        <f t="shared" ca="1" si="19"/>
        <v>1000000000</v>
      </c>
      <c r="W40" s="72">
        <f t="shared" si="20"/>
        <v>120.23122499999999</v>
      </c>
      <c r="Y40" s="110">
        <f t="shared" si="21"/>
        <v>53.169726910667762</v>
      </c>
      <c r="Z40" s="111">
        <f t="shared" si="22"/>
        <v>-49.997572210419342</v>
      </c>
      <c r="AA40" s="72">
        <f t="shared" si="23"/>
        <v>130.00242778958065</v>
      </c>
      <c r="AB40" s="110">
        <f t="shared" ca="1" si="24"/>
        <v>23.366123253586135</v>
      </c>
      <c r="AC40" s="111">
        <f t="shared" ca="1" si="25"/>
        <v>-31.45288111639281</v>
      </c>
      <c r="AD40" s="72">
        <f t="shared" ca="1" si="26"/>
        <v>148.5471188836072</v>
      </c>
    </row>
    <row r="41" spans="1:30">
      <c r="A41" s="115">
        <v>12.023</v>
      </c>
      <c r="B41" s="101">
        <f t="shared" ca="1" si="0"/>
        <v>1.2038541675018417</v>
      </c>
      <c r="C41" s="102">
        <f t="shared" ca="1" si="1"/>
        <v>0.59049460771417406</v>
      </c>
      <c r="D41" s="102">
        <f t="shared" si="2"/>
        <v>1.0000000630305559</v>
      </c>
      <c r="E41" s="103">
        <f t="shared" si="3"/>
        <v>3.5505084833156183E-4</v>
      </c>
      <c r="F41" s="101">
        <f t="shared" si="4"/>
        <v>4.2294437911853242</v>
      </c>
      <c r="G41" s="104">
        <f t="shared" si="5"/>
        <v>1.332098362139565</v>
      </c>
      <c r="H41" s="113">
        <f t="shared" si="6"/>
        <v>1.1242233067683614</v>
      </c>
      <c r="I41" s="114">
        <f t="shared" si="7"/>
        <v>0.4745400148999212</v>
      </c>
      <c r="J41" s="101">
        <f t="shared" si="8"/>
        <v>1.0000002853352139</v>
      </c>
      <c r="K41" s="104">
        <f t="shared" si="9"/>
        <v>7.554272249190089E-4</v>
      </c>
      <c r="L41" s="102">
        <f t="shared" si="10"/>
        <v>1</v>
      </c>
      <c r="M41" s="103">
        <f t="shared" si="11"/>
        <v>4.9102778960234992E-13</v>
      </c>
      <c r="N41" s="101">
        <f t="shared" si="12"/>
        <v>1</v>
      </c>
      <c r="O41" s="104">
        <f t="shared" si="13"/>
        <v>6.5470371946979983E-14</v>
      </c>
      <c r="P41" s="105">
        <f t="shared" ca="1" si="14"/>
        <v>1.0000002025249266</v>
      </c>
      <c r="Q41" s="106">
        <f t="shared" ca="1" si="15"/>
        <v>6.5875662189202727E-4</v>
      </c>
      <c r="R41" s="107">
        <f t="shared" ca="1" si="16"/>
        <v>58.206043781599625</v>
      </c>
      <c r="S41" s="108">
        <f t="shared" ca="1" si="17"/>
        <v>-83.028006775906121</v>
      </c>
      <c r="T41" s="78">
        <f t="shared" ca="1" si="18"/>
        <v>96.971993224093879</v>
      </c>
      <c r="V41" s="72">
        <f t="shared" ca="1" si="19"/>
        <v>1000000000</v>
      </c>
      <c r="W41" s="72">
        <f t="shared" si="20"/>
        <v>144.55252899999999</v>
      </c>
      <c r="Y41" s="110">
        <f t="shared" si="21"/>
        <v>52.57378371451572</v>
      </c>
      <c r="Z41" s="111">
        <f t="shared" si="22"/>
        <v>-49.177756830932459</v>
      </c>
      <c r="AA41" s="72">
        <f t="shared" si="23"/>
        <v>130.82224316906755</v>
      </c>
      <c r="AB41" s="110">
        <f t="shared" ca="1" si="24"/>
        <v>23.133485334917903</v>
      </c>
      <c r="AC41" s="111">
        <f t="shared" ca="1" si="25"/>
        <v>-33.850249944973676</v>
      </c>
      <c r="AD41" s="72">
        <f t="shared" ca="1" si="26"/>
        <v>146.14975005502632</v>
      </c>
    </row>
    <row r="42" spans="1:30">
      <c r="A42" s="115">
        <v>13.183</v>
      </c>
      <c r="B42" s="101">
        <f t="shared" ca="1" si="0"/>
        <v>1.2410232284617901</v>
      </c>
      <c r="C42" s="102">
        <f t="shared" ca="1" si="1"/>
        <v>0.6337936496101898</v>
      </c>
      <c r="D42" s="102">
        <f t="shared" si="2"/>
        <v>1.0000000757798853</v>
      </c>
      <c r="E42" s="103">
        <f t="shared" si="3"/>
        <v>3.8930676983878182E-4</v>
      </c>
      <c r="F42" s="101">
        <f t="shared" si="4"/>
        <v>4.6156480934549098</v>
      </c>
      <c r="G42" s="104">
        <f t="shared" si="5"/>
        <v>1.3524102678927012</v>
      </c>
      <c r="H42" s="113">
        <f t="shared" si="6"/>
        <v>1.1477165326925647</v>
      </c>
      <c r="I42" s="114">
        <f t="shared" si="7"/>
        <v>0.51296081464882659</v>
      </c>
      <c r="J42" s="101">
        <f t="shared" si="8"/>
        <v>1.0000003430505893</v>
      </c>
      <c r="K42" s="104">
        <f t="shared" si="9"/>
        <v>8.2831212866369297E-4</v>
      </c>
      <c r="L42" s="102">
        <f t="shared" si="10"/>
        <v>1</v>
      </c>
      <c r="M42" s="103">
        <f t="shared" si="11"/>
        <v>5.3840300676434996E-13</v>
      </c>
      <c r="N42" s="101">
        <f t="shared" si="12"/>
        <v>1</v>
      </c>
      <c r="O42" s="104">
        <f t="shared" si="13"/>
        <v>7.1787067568579986E-14</v>
      </c>
      <c r="P42" s="105">
        <f t="shared" ca="1" si="14"/>
        <v>1.0000002434900868</v>
      </c>
      <c r="Q42" s="106">
        <f t="shared" ca="1" si="15"/>
        <v>7.2231459017675604E-4</v>
      </c>
      <c r="R42" s="107">
        <f t="shared" ca="1" si="16"/>
        <v>57.362574853987326</v>
      </c>
      <c r="S42" s="108">
        <f t="shared" ca="1" si="17"/>
        <v>-84.477150818540352</v>
      </c>
      <c r="T42" s="78">
        <f t="shared" ca="1" si="18"/>
        <v>95.522849181459648</v>
      </c>
      <c r="V42" s="72">
        <f t="shared" ca="1" si="19"/>
        <v>1000000000</v>
      </c>
      <c r="W42" s="72">
        <f t="shared" si="20"/>
        <v>173.79148899999998</v>
      </c>
      <c r="Y42" s="110">
        <f t="shared" si="21"/>
        <v>51.994435628109841</v>
      </c>
      <c r="Z42" s="111">
        <f t="shared" si="22"/>
        <v>-48.144369629516689</v>
      </c>
      <c r="AA42" s="72">
        <f t="shared" si="23"/>
        <v>131.85563037048331</v>
      </c>
      <c r="AB42" s="110">
        <f t="shared" ca="1" si="24"/>
        <v>22.869364493711494</v>
      </c>
      <c r="AC42" s="111">
        <f t="shared" ca="1" si="25"/>
        <v>-36.332781189023663</v>
      </c>
      <c r="AD42" s="72">
        <f t="shared" ca="1" si="26"/>
        <v>143.66721881097635</v>
      </c>
    </row>
    <row r="43" spans="1:30">
      <c r="A43" s="115">
        <v>14.454000000000001</v>
      </c>
      <c r="B43" s="101">
        <f t="shared" ca="1" si="0"/>
        <v>1.2842550915730155</v>
      </c>
      <c r="C43" s="102">
        <f t="shared" ca="1" si="1"/>
        <v>0.67826659479076734</v>
      </c>
      <c r="D43" s="102">
        <f t="shared" si="2"/>
        <v>1.0000000910964675</v>
      </c>
      <c r="E43" s="103">
        <f t="shared" si="3"/>
        <v>4.2684062761069117E-4</v>
      </c>
      <c r="F43" s="101">
        <f t="shared" si="4"/>
        <v>5.0406429153953516</v>
      </c>
      <c r="G43" s="104">
        <f t="shared" si="5"/>
        <v>1.3710839919186384</v>
      </c>
      <c r="H43" s="113">
        <f t="shared" si="6"/>
        <v>1.175319644025917</v>
      </c>
      <c r="I43" s="114">
        <f t="shared" si="7"/>
        <v>0.55322890871080488</v>
      </c>
      <c r="J43" s="101">
        <f t="shared" si="8"/>
        <v>1.0000004123877455</v>
      </c>
      <c r="K43" s="104">
        <f t="shared" si="9"/>
        <v>9.0817135358284555E-4</v>
      </c>
      <c r="L43" s="102">
        <f t="shared" si="10"/>
        <v>1</v>
      </c>
      <c r="M43" s="103">
        <f t="shared" si="11"/>
        <v>5.9031154212030002E-13</v>
      </c>
      <c r="N43" s="101">
        <f t="shared" si="12"/>
        <v>1</v>
      </c>
      <c r="O43" s="104">
        <f t="shared" si="13"/>
        <v>7.8708205616039998E-14</v>
      </c>
      <c r="P43" s="105">
        <f t="shared" ca="1" si="14"/>
        <v>1.0000002927041438</v>
      </c>
      <c r="Q43" s="106">
        <f t="shared" ca="1" si="15"/>
        <v>7.9195439248263156E-4</v>
      </c>
      <c r="R43" s="107">
        <f t="shared" ca="1" si="16"/>
        <v>56.506508530860778</v>
      </c>
      <c r="S43" s="108">
        <f t="shared" ca="1" si="17"/>
        <v>-85.794411748759956</v>
      </c>
      <c r="T43" s="78">
        <f t="shared" ca="1" si="18"/>
        <v>94.205588251240044</v>
      </c>
      <c r="V43" s="72">
        <f t="shared" ca="1" si="19"/>
        <v>1000000000</v>
      </c>
      <c r="W43" s="72">
        <f t="shared" si="20"/>
        <v>208.91811600000003</v>
      </c>
      <c r="Y43" s="110">
        <f t="shared" si="21"/>
        <v>51.43579731668769</v>
      </c>
      <c r="Z43" s="111">
        <f t="shared" si="22"/>
        <v>-46.911678960339692</v>
      </c>
      <c r="AA43" s="72">
        <f t="shared" si="23"/>
        <v>133.08832103966031</v>
      </c>
      <c r="AB43" s="110">
        <f t="shared" ca="1" si="24"/>
        <v>22.571936482007086</v>
      </c>
      <c r="AC43" s="111">
        <f t="shared" ca="1" si="25"/>
        <v>-38.882732788420249</v>
      </c>
      <c r="AD43" s="72">
        <f t="shared" ca="1" si="26"/>
        <v>141.11726721157976</v>
      </c>
    </row>
    <row r="44" spans="1:30">
      <c r="A44" s="115">
        <v>15.849</v>
      </c>
      <c r="B44" s="101">
        <f t="shared" ca="1" si="0"/>
        <v>1.3344262278048611</v>
      </c>
      <c r="C44" s="102">
        <f t="shared" ca="1" si="1"/>
        <v>0.72366241771515349</v>
      </c>
      <c r="D44" s="102">
        <f t="shared" si="2"/>
        <v>1.0000001095290101</v>
      </c>
      <c r="E44" s="103">
        <f t="shared" si="3"/>
        <v>4.6803632377688661E-4</v>
      </c>
      <c r="F44" s="101">
        <f t="shared" si="4"/>
        <v>5.5087961213188894</v>
      </c>
      <c r="G44" s="104">
        <f t="shared" si="5"/>
        <v>1.388256419286835</v>
      </c>
      <c r="H44" s="113">
        <f t="shared" si="6"/>
        <v>1.2077020709948634</v>
      </c>
      <c r="I44" s="114">
        <f t="shared" si="7"/>
        <v>0.59523138423004696</v>
      </c>
      <c r="J44" s="101">
        <f t="shared" si="8"/>
        <v>1.000000495830643</v>
      </c>
      <c r="K44" s="104">
        <f t="shared" si="9"/>
        <v>9.9582170902439327E-4</v>
      </c>
      <c r="L44" s="102">
        <f t="shared" si="10"/>
        <v>1</v>
      </c>
      <c r="M44" s="103">
        <f t="shared" si="11"/>
        <v>6.4728432482804995E-13</v>
      </c>
      <c r="N44" s="101">
        <f t="shared" si="12"/>
        <v>1</v>
      </c>
      <c r="O44" s="104">
        <f t="shared" si="13"/>
        <v>8.6304576643739988E-14</v>
      </c>
      <c r="P44" s="105">
        <f t="shared" ca="1" si="14"/>
        <v>1.0000003519301608</v>
      </c>
      <c r="Q44" s="106">
        <f t="shared" ca="1" si="15"/>
        <v>8.6838831386141656E-4</v>
      </c>
      <c r="R44" s="107">
        <f t="shared" ca="1" si="16"/>
        <v>55.638302973135822</v>
      </c>
      <c r="S44" s="108">
        <f t="shared" ca="1" si="17"/>
        <v>-86.979784844062479</v>
      </c>
      <c r="T44" s="78">
        <f t="shared" ca="1" si="18"/>
        <v>93.020215155937521</v>
      </c>
      <c r="V44" s="72">
        <f t="shared" ca="1" si="19"/>
        <v>1000000000</v>
      </c>
      <c r="W44" s="72">
        <f t="shared" si="20"/>
        <v>251.19080099999999</v>
      </c>
      <c r="Y44" s="110">
        <f t="shared" si="21"/>
        <v>50.900457575594572</v>
      </c>
      <c r="Z44" s="111">
        <f t="shared" si="22"/>
        <v>-45.494043989995099</v>
      </c>
      <c r="AA44" s="72">
        <f t="shared" si="23"/>
        <v>134.50595601000489</v>
      </c>
      <c r="AB44" s="110">
        <f t="shared" ca="1" si="24"/>
        <v>22.239070665375245</v>
      </c>
      <c r="AC44" s="111">
        <f t="shared" ca="1" si="25"/>
        <v>-41.485740854067387</v>
      </c>
      <c r="AD44" s="72">
        <f t="shared" ca="1" si="26"/>
        <v>138.51425914593261</v>
      </c>
    </row>
    <row r="45" spans="1:30">
      <c r="A45" s="115">
        <v>17.378</v>
      </c>
      <c r="B45" s="101">
        <f t="shared" ca="1" si="0"/>
        <v>1.3923328983281411</v>
      </c>
      <c r="C45" s="102">
        <f t="shared" ca="1" si="1"/>
        <v>0.76955692144707977</v>
      </c>
      <c r="D45" s="102">
        <f t="shared" si="2"/>
        <v>1.0000001316815752</v>
      </c>
      <c r="E45" s="103">
        <f t="shared" si="3"/>
        <v>5.1318916742227488E-4</v>
      </c>
      <c r="F45" s="101">
        <f t="shared" si="4"/>
        <v>6.02348062909416</v>
      </c>
      <c r="G45" s="104">
        <f t="shared" si="5"/>
        <v>1.4040071241033181</v>
      </c>
      <c r="H45" s="113">
        <f t="shared" si="6"/>
        <v>1.2455064161383349</v>
      </c>
      <c r="I45" s="114">
        <f t="shared" si="7"/>
        <v>0.63867511423061729</v>
      </c>
      <c r="J45" s="101">
        <f t="shared" si="8"/>
        <v>1.0000005961138283</v>
      </c>
      <c r="K45" s="104">
        <f t="shared" si="9"/>
        <v>1.0918915075062575E-3</v>
      </c>
      <c r="L45" s="102">
        <f t="shared" si="10"/>
        <v>1</v>
      </c>
      <c r="M45" s="103">
        <f t="shared" si="11"/>
        <v>7.0972976193209993E-13</v>
      </c>
      <c r="N45" s="101">
        <f t="shared" si="12"/>
        <v>1</v>
      </c>
      <c r="O45" s="104">
        <f t="shared" si="13"/>
        <v>9.4630634924279983E-14</v>
      </c>
      <c r="P45" s="105">
        <f t="shared" ca="1" si="14"/>
        <v>1.0000004231090625</v>
      </c>
      <c r="Q45" s="106">
        <f t="shared" ca="1" si="15"/>
        <v>9.5216426447975355E-4</v>
      </c>
      <c r="R45" s="107">
        <f t="shared" ca="1" si="16"/>
        <v>54.761238157996743</v>
      </c>
      <c r="S45" s="108">
        <f t="shared" ca="1" si="17"/>
        <v>-88.030370081961834</v>
      </c>
      <c r="T45" s="78">
        <f t="shared" ca="1" si="18"/>
        <v>91.969629918038166</v>
      </c>
      <c r="V45" s="72">
        <f t="shared" ca="1" si="19"/>
        <v>1000000000</v>
      </c>
      <c r="W45" s="72">
        <f t="shared" si="20"/>
        <v>301.99488400000001</v>
      </c>
      <c r="Y45" s="110">
        <f t="shared" si="21"/>
        <v>50.392363496996779</v>
      </c>
      <c r="Z45" s="111">
        <f t="shared" si="22"/>
        <v>-43.912854917179196</v>
      </c>
      <c r="AA45" s="72">
        <f t="shared" si="23"/>
        <v>136.0871450828208</v>
      </c>
      <c r="AB45" s="110">
        <f t="shared" ca="1" si="24"/>
        <v>21.870099928833969</v>
      </c>
      <c r="AC45" s="111">
        <f t="shared" ca="1" si="25"/>
        <v>-44.117515164782645</v>
      </c>
      <c r="AD45" s="72">
        <f t="shared" ca="1" si="26"/>
        <v>135.88248483521735</v>
      </c>
    </row>
    <row r="46" spans="1:30">
      <c r="A46" s="115">
        <v>19.055</v>
      </c>
      <c r="B46" s="101">
        <f t="shared" ca="1" si="0"/>
        <v>1.4589318218323604</v>
      </c>
      <c r="C46" s="102">
        <f t="shared" ca="1" si="1"/>
        <v>0.8155981394232783</v>
      </c>
      <c r="D46" s="102">
        <f t="shared" si="2"/>
        <v>1.0000001583227511</v>
      </c>
      <c r="E46" s="103">
        <f t="shared" si="3"/>
        <v>5.6271259129657999E-4</v>
      </c>
      <c r="F46" s="101">
        <f t="shared" si="4"/>
        <v>6.5894208102397887</v>
      </c>
      <c r="G46" s="104">
        <f t="shared" si="5"/>
        <v>1.4184492845772985</v>
      </c>
      <c r="H46" s="113">
        <f t="shared" si="6"/>
        <v>1.2895036994325884</v>
      </c>
      <c r="I46" s="114">
        <f t="shared" si="7"/>
        <v>0.68330208882573751</v>
      </c>
      <c r="J46" s="101">
        <f t="shared" si="8"/>
        <v>1.0000007167166449</v>
      </c>
      <c r="K46" s="104">
        <f t="shared" si="9"/>
        <v>1.1972603868507152E-3</v>
      </c>
      <c r="L46" s="102">
        <f t="shared" si="10"/>
        <v>1</v>
      </c>
      <c r="M46" s="103">
        <f t="shared" si="11"/>
        <v>7.7821962329474998E-13</v>
      </c>
      <c r="N46" s="101">
        <f t="shared" si="12"/>
        <v>1</v>
      </c>
      <c r="O46" s="104">
        <f t="shared" si="13"/>
        <v>1.0376261643929998E-13</v>
      </c>
      <c r="P46" s="105">
        <f t="shared" ca="1" si="14"/>
        <v>1.0000005087104153</v>
      </c>
      <c r="Q46" s="106">
        <f t="shared" ca="1" si="15"/>
        <v>1.0440493187483212E-3</v>
      </c>
      <c r="R46" s="107">
        <f t="shared" ca="1" si="16"/>
        <v>53.876936317498078</v>
      </c>
      <c r="S46" s="108">
        <f t="shared" ca="1" si="17"/>
        <v>-88.947339436869413</v>
      </c>
      <c r="T46" s="78">
        <f t="shared" ca="1" si="18"/>
        <v>91.052660563130587</v>
      </c>
      <c r="V46" s="72">
        <f t="shared" ca="1" si="19"/>
        <v>1000000000</v>
      </c>
      <c r="W46" s="72">
        <f t="shared" si="20"/>
        <v>363.09302500000001</v>
      </c>
      <c r="Y46" s="110">
        <f t="shared" si="21"/>
        <v>49.913900413568285</v>
      </c>
      <c r="Z46" s="111">
        <f t="shared" si="22"/>
        <v>-42.189429652756743</v>
      </c>
      <c r="AA46" s="72">
        <f t="shared" si="23"/>
        <v>137.81057034724324</v>
      </c>
      <c r="AB46" s="110">
        <f t="shared" ca="1" si="24"/>
        <v>21.464261171763788</v>
      </c>
      <c r="AC46" s="111">
        <f t="shared" ca="1" si="25"/>
        <v>-46.757909784112648</v>
      </c>
      <c r="AD46" s="72">
        <f t="shared" ca="1" si="26"/>
        <v>133.24209021588734</v>
      </c>
    </row>
    <row r="47" spans="1:30">
      <c r="A47" s="115">
        <v>20.893000000000001</v>
      </c>
      <c r="B47" s="101">
        <f t="shared" ca="1" si="0"/>
        <v>1.5351491568607756</v>
      </c>
      <c r="C47" s="102">
        <f t="shared" ca="1" si="1"/>
        <v>0.86136487438264109</v>
      </c>
      <c r="D47" s="102">
        <f t="shared" si="2"/>
        <v>1.0000001903386668</v>
      </c>
      <c r="E47" s="103">
        <f t="shared" si="3"/>
        <v>6.1699049693119811E-4</v>
      </c>
      <c r="F47" s="101">
        <f t="shared" si="4"/>
        <v>7.2110127205367816</v>
      </c>
      <c r="G47" s="104">
        <f t="shared" si="5"/>
        <v>1.4316711710439007</v>
      </c>
      <c r="H47" s="113">
        <f t="shared" si="6"/>
        <v>1.340468111191381</v>
      </c>
      <c r="I47" s="114">
        <f t="shared" si="7"/>
        <v>0.72874903637332067</v>
      </c>
      <c r="J47" s="101">
        <f t="shared" si="8"/>
        <v>1.000000861650534</v>
      </c>
      <c r="K47" s="104">
        <f t="shared" si="9"/>
        <v>1.3127451506439818E-3</v>
      </c>
      <c r="L47" s="102">
        <f t="shared" si="10"/>
        <v>1</v>
      </c>
      <c r="M47" s="103">
        <f t="shared" si="11"/>
        <v>8.5328483807384993E-13</v>
      </c>
      <c r="N47" s="101">
        <f t="shared" si="12"/>
        <v>1</v>
      </c>
      <c r="O47" s="104">
        <f t="shared" si="13"/>
        <v>1.1377131174317998E-13</v>
      </c>
      <c r="P47" s="105">
        <f t="shared" ca="1" si="14"/>
        <v>1.0000006115814573</v>
      </c>
      <c r="Q47" s="106">
        <f t="shared" ca="1" si="15"/>
        <v>1.1447557582799364E-3</v>
      </c>
      <c r="R47" s="107">
        <f t="shared" ca="1" si="16"/>
        <v>52.988320335253015</v>
      </c>
      <c r="S47" s="108">
        <f t="shared" ca="1" si="17"/>
        <v>-89.732497147141387</v>
      </c>
      <c r="T47" s="78">
        <f t="shared" ca="1" si="18"/>
        <v>90.267502852858613</v>
      </c>
      <c r="V47" s="72">
        <f t="shared" ca="1" si="19"/>
        <v>1000000000</v>
      </c>
      <c r="W47" s="72">
        <f t="shared" si="20"/>
        <v>436.51744900000006</v>
      </c>
      <c r="Y47" s="110">
        <f t="shared" si="21"/>
        <v>49.467596672937944</v>
      </c>
      <c r="Z47" s="111">
        <f t="shared" si="22"/>
        <v>-40.349686445722746</v>
      </c>
      <c r="AA47" s="72">
        <f t="shared" si="23"/>
        <v>139.65031355427726</v>
      </c>
      <c r="AB47" s="110">
        <f t="shared" ca="1" si="24"/>
        <v>21.021948930149069</v>
      </c>
      <c r="AC47" s="111">
        <f t="shared" ca="1" si="25"/>
        <v>-49.382810701418641</v>
      </c>
      <c r="AD47" s="72">
        <f t="shared" ca="1" si="26"/>
        <v>130.61718929858137</v>
      </c>
    </row>
    <row r="48" spans="1:30">
      <c r="A48" s="115">
        <v>22.909000000000002</v>
      </c>
      <c r="B48" s="101">
        <f t="shared" ca="1" si="0"/>
        <v>1.6220763427243543</v>
      </c>
      <c r="C48" s="102">
        <f t="shared" ca="1" si="1"/>
        <v>0.90651454608359094</v>
      </c>
      <c r="D48" s="102">
        <f t="shared" si="2"/>
        <v>1.0000002288430201</v>
      </c>
      <c r="E48" s="103">
        <f t="shared" si="3"/>
        <v>6.7652490936518858E-4</v>
      </c>
      <c r="F48" s="101">
        <f t="shared" si="4"/>
        <v>7.8940124782592651</v>
      </c>
      <c r="G48" s="104">
        <f t="shared" si="5"/>
        <v>1.4437767574645548</v>
      </c>
      <c r="H48" s="113">
        <f t="shared" si="6"/>
        <v>1.3993046990319926</v>
      </c>
      <c r="I48" s="114">
        <f t="shared" si="7"/>
        <v>0.77468610540988325</v>
      </c>
      <c r="J48" s="101">
        <f t="shared" si="8"/>
        <v>1.0000010359571199</v>
      </c>
      <c r="K48" s="104">
        <f t="shared" si="9"/>
        <v>1.4394139262629644E-3</v>
      </c>
      <c r="L48" s="102">
        <f t="shared" si="10"/>
        <v>1</v>
      </c>
      <c r="M48" s="103">
        <f t="shared" si="11"/>
        <v>9.3561969824505013E-13</v>
      </c>
      <c r="N48" s="101">
        <f t="shared" si="12"/>
        <v>1</v>
      </c>
      <c r="O48" s="104">
        <f t="shared" si="13"/>
        <v>1.2474929309934E-13</v>
      </c>
      <c r="P48" s="105">
        <f t="shared" ca="1" si="14"/>
        <v>1.000000735300631</v>
      </c>
      <c r="Q48" s="106">
        <f t="shared" ca="1" si="15"/>
        <v>1.2552150280280034E-3</v>
      </c>
      <c r="R48" s="107">
        <f t="shared" ca="1" si="16"/>
        <v>52.096989018203352</v>
      </c>
      <c r="S48" s="108">
        <f t="shared" ca="1" si="17"/>
        <v>-90.39115697982929</v>
      </c>
      <c r="T48" s="78">
        <f t="shared" ca="1" si="18"/>
        <v>89.60884302017071</v>
      </c>
      <c r="V48" s="72">
        <f t="shared" ca="1" si="19"/>
        <v>1000000000</v>
      </c>
      <c r="W48" s="72">
        <f t="shared" si="20"/>
        <v>524.82228100000009</v>
      </c>
      <c r="Y48" s="110">
        <f t="shared" si="21"/>
        <v>49.054680334663551</v>
      </c>
      <c r="Z48" s="111">
        <f t="shared" si="22"/>
        <v>-38.418542861189295</v>
      </c>
      <c r="AA48" s="72">
        <f t="shared" si="23"/>
        <v>141.58145713881072</v>
      </c>
      <c r="AB48" s="110">
        <f t="shared" ca="1" si="24"/>
        <v>20.543533951373799</v>
      </c>
      <c r="AC48" s="111">
        <f t="shared" ca="1" si="25"/>
        <v>-51.972614118640003</v>
      </c>
      <c r="AD48" s="72">
        <f t="shared" ca="1" si="26"/>
        <v>128.02738588136</v>
      </c>
    </row>
    <row r="49" spans="1:30">
      <c r="A49" s="115">
        <v>25.119</v>
      </c>
      <c r="B49" s="101">
        <f t="shared" ca="1" si="0"/>
        <v>1.7207607013334603</v>
      </c>
      <c r="C49" s="102">
        <f t="shared" ca="1" si="1"/>
        <v>0.95066955853487811</v>
      </c>
      <c r="D49" s="102">
        <f t="shared" si="2"/>
        <v>1.0000002751250205</v>
      </c>
      <c r="E49" s="103">
        <f t="shared" si="3"/>
        <v>7.4178832223193965E-4</v>
      </c>
      <c r="F49" s="101">
        <f t="shared" si="4"/>
        <v>8.6438463100203933</v>
      </c>
      <c r="G49" s="104">
        <f t="shared" si="5"/>
        <v>1.4548474570914054</v>
      </c>
      <c r="H49" s="113">
        <f t="shared" si="6"/>
        <v>1.4669061779348163</v>
      </c>
      <c r="I49" s="114">
        <f t="shared" si="7"/>
        <v>0.82070325461400451</v>
      </c>
      <c r="J49" s="101">
        <f t="shared" si="8"/>
        <v>1.0000012454725538</v>
      </c>
      <c r="K49" s="104">
        <f t="shared" si="9"/>
        <v>1.5782720050440781E-3</v>
      </c>
      <c r="L49" s="102">
        <f t="shared" si="10"/>
        <v>1</v>
      </c>
      <c r="M49" s="103">
        <f t="shared" si="11"/>
        <v>1.0258776550795499E-12</v>
      </c>
      <c r="N49" s="101">
        <f t="shared" si="12"/>
        <v>1</v>
      </c>
      <c r="O49" s="104">
        <f t="shared" si="13"/>
        <v>1.3678368734393997E-13</v>
      </c>
      <c r="P49" s="105">
        <f t="shared" ca="1" si="14"/>
        <v>1.0000008840103178</v>
      </c>
      <c r="Q49" s="106">
        <f t="shared" ca="1" si="15"/>
        <v>1.3763037790710669E-3</v>
      </c>
      <c r="R49" s="107">
        <f t="shared" ca="1" si="16"/>
        <v>51.205618878511139</v>
      </c>
      <c r="S49" s="108">
        <f t="shared" ca="1" si="17"/>
        <v>-90.929923306635303</v>
      </c>
      <c r="T49" s="78">
        <f t="shared" ca="1" si="18"/>
        <v>89.070076693364697</v>
      </c>
      <c r="V49" s="72">
        <f t="shared" ca="1" si="19"/>
        <v>1000000000</v>
      </c>
      <c r="W49" s="72">
        <f t="shared" si="20"/>
        <v>630.96416099999999</v>
      </c>
      <c r="Y49" s="110">
        <f t="shared" si="21"/>
        <v>48.676294859567278</v>
      </c>
      <c r="Z49" s="111">
        <f t="shared" si="22"/>
        <v>-36.42421477102706</v>
      </c>
      <c r="AA49" s="72">
        <f t="shared" si="23"/>
        <v>143.57578522897293</v>
      </c>
      <c r="AB49" s="110">
        <f t="shared" ca="1" si="24"/>
        <v>20.030549286777859</v>
      </c>
      <c r="AC49" s="111">
        <f t="shared" ca="1" si="25"/>
        <v>-54.505708535608228</v>
      </c>
      <c r="AD49" s="72">
        <f t="shared" ca="1" si="26"/>
        <v>125.49429146439178</v>
      </c>
    </row>
    <row r="50" spans="1:30">
      <c r="A50" s="115">
        <v>27.542000000000002</v>
      </c>
      <c r="B50" s="101">
        <f t="shared" ca="1" si="0"/>
        <v>1.8323719203145006</v>
      </c>
      <c r="C50" s="102">
        <f t="shared" ca="1" si="1"/>
        <v>0.99352348492318832</v>
      </c>
      <c r="D50" s="102">
        <f t="shared" si="2"/>
        <v>1.0000003307625505</v>
      </c>
      <c r="E50" s="103">
        <f t="shared" si="3"/>
        <v>8.1334182145454531E-4</v>
      </c>
      <c r="F50" s="101">
        <f t="shared" si="4"/>
        <v>9.4669644239131809</v>
      </c>
      <c r="G50" s="104">
        <f t="shared" si="5"/>
        <v>1.4649684195665258</v>
      </c>
      <c r="H50" s="113">
        <f t="shared" si="6"/>
        <v>1.544260621035789</v>
      </c>
      <c r="I50" s="114">
        <f t="shared" si="7"/>
        <v>0.86641949925293149</v>
      </c>
      <c r="J50" s="101">
        <f t="shared" si="8"/>
        <v>1.0000014973397804</v>
      </c>
      <c r="K50" s="104">
        <f t="shared" si="9"/>
        <v>1.7305131678819485E-3</v>
      </c>
      <c r="L50" s="102">
        <f t="shared" si="10"/>
        <v>1</v>
      </c>
      <c r="M50" s="103">
        <f t="shared" si="11"/>
        <v>1.1248346819619E-12</v>
      </c>
      <c r="N50" s="101">
        <f t="shared" si="12"/>
        <v>1</v>
      </c>
      <c r="O50" s="104">
        <f t="shared" si="13"/>
        <v>1.4997795759491999E-13</v>
      </c>
      <c r="P50" s="105">
        <f t="shared" ca="1" si="14"/>
        <v>1.0000010627804365</v>
      </c>
      <c r="Q50" s="106">
        <f t="shared" ca="1" si="15"/>
        <v>1.5090630330325313E-3</v>
      </c>
      <c r="R50" s="107">
        <f t="shared" ca="1" si="16"/>
        <v>50.316043658348732</v>
      </c>
      <c r="S50" s="108">
        <f t="shared" ca="1" si="17"/>
        <v>-91.35804259369786</v>
      </c>
      <c r="T50" s="78">
        <f t="shared" ca="1" si="18"/>
        <v>88.64195740630214</v>
      </c>
      <c r="V50" s="72">
        <f t="shared" ca="1" si="19"/>
        <v>1000000000</v>
      </c>
      <c r="W50" s="72">
        <f t="shared" si="20"/>
        <v>758.56176400000004</v>
      </c>
      <c r="Y50" s="110">
        <f t="shared" si="21"/>
        <v>48.332583685624556</v>
      </c>
      <c r="Z50" s="111">
        <f t="shared" si="22"/>
        <v>-34.393478106237048</v>
      </c>
      <c r="AA50" s="72">
        <f t="shared" si="23"/>
        <v>145.60652189376296</v>
      </c>
      <c r="AB50" s="110">
        <f t="shared" ca="1" si="24"/>
        <v>19.484685240558168</v>
      </c>
      <c r="AC50" s="111">
        <f t="shared" ca="1" si="25"/>
        <v>-56.964564487460819</v>
      </c>
      <c r="AD50" s="72">
        <f t="shared" ca="1" si="26"/>
        <v>123.03543551253918</v>
      </c>
    </row>
    <row r="51" spans="1:30">
      <c r="A51" s="115">
        <v>30.2</v>
      </c>
      <c r="B51" s="101">
        <f t="shared" ca="1" si="0"/>
        <v>1.9582115657966472</v>
      </c>
      <c r="C51" s="102">
        <f t="shared" ca="1" si="1"/>
        <v>1.0348323854743287</v>
      </c>
      <c r="D51" s="102">
        <f t="shared" si="2"/>
        <v>1.0000003976850411</v>
      </c>
      <c r="E51" s="103">
        <f t="shared" si="3"/>
        <v>8.9183508503568802E-4</v>
      </c>
      <c r="F51" s="101">
        <f t="shared" si="4"/>
        <v>10.370844137244191</v>
      </c>
      <c r="G51" s="104">
        <f t="shared" si="5"/>
        <v>1.4742221126234927</v>
      </c>
      <c r="H51" s="113">
        <f t="shared" si="6"/>
        <v>1.6324560106966333</v>
      </c>
      <c r="I51" s="114">
        <f t="shared" si="7"/>
        <v>0.91148338879615654</v>
      </c>
      <c r="J51" s="101">
        <f t="shared" si="8"/>
        <v>1.000001800293175</v>
      </c>
      <c r="K51" s="104">
        <f t="shared" si="9"/>
        <v>1.8975196832056466E-3</v>
      </c>
      <c r="L51" s="102">
        <f t="shared" si="10"/>
        <v>1</v>
      </c>
      <c r="M51" s="103">
        <f t="shared" si="11"/>
        <v>1.23338927439E-12</v>
      </c>
      <c r="N51" s="101">
        <f t="shared" si="12"/>
        <v>1</v>
      </c>
      <c r="O51" s="104">
        <f t="shared" si="13"/>
        <v>1.6445190325199998E-13</v>
      </c>
      <c r="P51" s="105">
        <f t="shared" ca="1" si="14"/>
        <v>1.0000012778104719</v>
      </c>
      <c r="Q51" s="106">
        <f t="shared" ca="1" si="15"/>
        <v>1.6546981808727465E-3</v>
      </c>
      <c r="R51" s="107">
        <f t="shared" ca="1" si="16"/>
        <v>49.429470633996083</v>
      </c>
      <c r="S51" s="108">
        <f t="shared" ca="1" si="17"/>
        <v>-91.686510844852862</v>
      </c>
      <c r="T51" s="78">
        <f t="shared" ca="1" si="18"/>
        <v>88.313489155147138</v>
      </c>
      <c r="V51" s="72">
        <f t="shared" ca="1" si="19"/>
        <v>1000000000</v>
      </c>
      <c r="W51" s="72">
        <f t="shared" si="20"/>
        <v>912.04</v>
      </c>
      <c r="Y51" s="110">
        <f t="shared" si="21"/>
        <v>48.022931615472572</v>
      </c>
      <c r="Z51" s="111">
        <f t="shared" si="22"/>
        <v>-32.351273750180539</v>
      </c>
      <c r="AA51" s="72">
        <f t="shared" si="23"/>
        <v>147.64872624981945</v>
      </c>
      <c r="AB51" s="110">
        <f t="shared" ca="1" si="24"/>
        <v>18.907764286357519</v>
      </c>
      <c r="AC51" s="111">
        <f t="shared" ca="1" si="25"/>
        <v>-59.33523709467228</v>
      </c>
      <c r="AD51" s="72">
        <f t="shared" ca="1" si="26"/>
        <v>120.66476290532772</v>
      </c>
    </row>
    <row r="52" spans="1:30">
      <c r="A52" s="115">
        <v>33.113</v>
      </c>
      <c r="B52" s="101">
        <f t="shared" ca="1" si="0"/>
        <v>2.0994755888401895</v>
      </c>
      <c r="C52" s="102">
        <f t="shared" ca="1" si="1"/>
        <v>1.0743436951912928</v>
      </c>
      <c r="D52" s="102">
        <f t="shared" si="2"/>
        <v>1.0000004781040366</v>
      </c>
      <c r="E52" s="103">
        <f t="shared" si="3"/>
        <v>9.7785872806403166E-4</v>
      </c>
      <c r="F52" s="101">
        <f t="shared" si="4"/>
        <v>11.362289010746897</v>
      </c>
      <c r="G52" s="104">
        <f t="shared" si="5"/>
        <v>1.4826718747112395</v>
      </c>
      <c r="H52" s="113">
        <f t="shared" si="6"/>
        <v>1.7325090708805633</v>
      </c>
      <c r="I52" s="114">
        <f t="shared" si="7"/>
        <v>0.95550364148705746</v>
      </c>
      <c r="J52" s="101">
        <f t="shared" si="8"/>
        <v>1.0000021643441983</v>
      </c>
      <c r="K52" s="104">
        <f t="shared" si="9"/>
        <v>2.0805481463743434E-3</v>
      </c>
      <c r="L52" s="102">
        <f t="shared" si="10"/>
        <v>1</v>
      </c>
      <c r="M52" s="103">
        <f t="shared" si="11"/>
        <v>1.3523582464528499E-12</v>
      </c>
      <c r="N52" s="101">
        <f t="shared" si="12"/>
        <v>1</v>
      </c>
      <c r="O52" s="104">
        <f t="shared" si="13"/>
        <v>1.8031443286037997E-13</v>
      </c>
      <c r="P52" s="105">
        <f t="shared" ca="1" si="14"/>
        <v>1.0000015362063623</v>
      </c>
      <c r="Q52" s="106">
        <f t="shared" ca="1" si="15"/>
        <v>1.8143050252120883E-3</v>
      </c>
      <c r="R52" s="107">
        <f t="shared" ca="1" si="16"/>
        <v>48.54808767273493</v>
      </c>
      <c r="S52" s="108">
        <f t="shared" ca="1" si="17"/>
        <v>-91.927005913516027</v>
      </c>
      <c r="T52" s="78">
        <f t="shared" ca="1" si="18"/>
        <v>88.072994086483973</v>
      </c>
      <c r="V52" s="72">
        <f t="shared" ca="1" si="19"/>
        <v>1000000000</v>
      </c>
      <c r="W52" s="72">
        <f t="shared" si="20"/>
        <v>1096.470769</v>
      </c>
      <c r="Y52" s="110">
        <f t="shared" si="21"/>
        <v>47.746574560716262</v>
      </c>
      <c r="Z52" s="111">
        <f t="shared" si="22"/>
        <v>-30.323721519557658</v>
      </c>
      <c r="AA52" s="72">
        <f t="shared" si="23"/>
        <v>149.67627848044233</v>
      </c>
      <c r="AB52" s="110">
        <f t="shared" ca="1" si="24"/>
        <v>18.302738379852666</v>
      </c>
      <c r="AC52" s="111">
        <f t="shared" ca="1" si="25"/>
        <v>-61.603284393958383</v>
      </c>
      <c r="AD52" s="72">
        <f t="shared" ca="1" si="26"/>
        <v>118.39671560604162</v>
      </c>
    </row>
    <row r="53" spans="1:30">
      <c r="A53" s="115">
        <v>36.308</v>
      </c>
      <c r="B53" s="101">
        <f t="shared" ca="1" si="0"/>
        <v>2.257685914088551</v>
      </c>
      <c r="C53" s="102">
        <f t="shared" ca="1" si="1"/>
        <v>1.1119306508507463</v>
      </c>
      <c r="D53" s="102">
        <f t="shared" si="2"/>
        <v>1.000000574817504</v>
      </c>
      <c r="E53" s="103">
        <f t="shared" si="3"/>
        <v>1.0722100809168729E-3</v>
      </c>
      <c r="F53" s="101">
        <f t="shared" si="4"/>
        <v>12.450490155655245</v>
      </c>
      <c r="G53" s="104">
        <f t="shared" si="5"/>
        <v>1.4903915967406953</v>
      </c>
      <c r="H53" s="113">
        <f t="shared" si="6"/>
        <v>1.8456651287377581</v>
      </c>
      <c r="I53" s="114">
        <f t="shared" si="7"/>
        <v>0.99820711702267373</v>
      </c>
      <c r="J53" s="101">
        <f t="shared" si="8"/>
        <v>1.0000026021589927</v>
      </c>
      <c r="K53" s="104">
        <f t="shared" si="9"/>
        <v>2.2812949611962113E-3</v>
      </c>
      <c r="L53" s="102">
        <f t="shared" si="10"/>
        <v>1</v>
      </c>
      <c r="M53" s="103">
        <f t="shared" si="11"/>
        <v>1.4828442971705999E-12</v>
      </c>
      <c r="N53" s="101">
        <f t="shared" si="12"/>
        <v>1</v>
      </c>
      <c r="O53" s="104">
        <f t="shared" si="13"/>
        <v>1.9771257295607997E-13</v>
      </c>
      <c r="P53" s="105">
        <f t="shared" ca="1" si="14"/>
        <v>1.000001846958289</v>
      </c>
      <c r="Q53" s="106">
        <f t="shared" ca="1" si="15"/>
        <v>1.9893628996317915E-3</v>
      </c>
      <c r="R53" s="107">
        <f t="shared" ca="1" si="16"/>
        <v>47.672163576563079</v>
      </c>
      <c r="S53" s="108">
        <f t="shared" ca="1" si="17"/>
        <v>-92.092284498606418</v>
      </c>
      <c r="T53" s="78">
        <f t="shared" ca="1" si="18"/>
        <v>87.907715501393582</v>
      </c>
      <c r="V53" s="72">
        <f t="shared" ca="1" si="19"/>
        <v>1000000000</v>
      </c>
      <c r="W53" s="72">
        <f t="shared" si="20"/>
        <v>1318.2708640000001</v>
      </c>
      <c r="Y53" s="110">
        <f t="shared" si="21"/>
        <v>47.501706204489679</v>
      </c>
      <c r="Z53" s="111">
        <f t="shared" si="22"/>
        <v>-28.330802035084925</v>
      </c>
      <c r="AA53" s="72">
        <f t="shared" si="23"/>
        <v>151.66919796491507</v>
      </c>
      <c r="AB53" s="110">
        <f t="shared" ca="1" si="24"/>
        <v>17.671682639907402</v>
      </c>
      <c r="AC53" s="111">
        <f t="shared" ca="1" si="25"/>
        <v>-63.761482463521482</v>
      </c>
      <c r="AD53" s="72">
        <f t="shared" ca="1" si="26"/>
        <v>116.23851753647853</v>
      </c>
    </row>
    <row r="54" spans="1:30">
      <c r="A54" s="115">
        <v>39.811</v>
      </c>
      <c r="B54" s="101">
        <f t="shared" ca="1" si="0"/>
        <v>2.4343109455031966</v>
      </c>
      <c r="C54" s="102">
        <f t="shared" ca="1" si="1"/>
        <v>1.14747171063449</v>
      </c>
      <c r="D54" s="102">
        <f t="shared" si="2"/>
        <v>1.0000006910850199</v>
      </c>
      <c r="E54" s="103">
        <f t="shared" si="3"/>
        <v>1.1756569412454223E-3</v>
      </c>
      <c r="F54" s="101">
        <f t="shared" si="4"/>
        <v>13.644304684204927</v>
      </c>
      <c r="G54" s="104">
        <f t="shared" si="5"/>
        <v>1.4974399009890622</v>
      </c>
      <c r="H54" s="113">
        <f t="shared" si="6"/>
        <v>1.9731282677966944</v>
      </c>
      <c r="I54" s="114">
        <f t="shared" si="7"/>
        <v>1.0393166956669257</v>
      </c>
      <c r="J54" s="101">
        <f t="shared" si="8"/>
        <v>1.0000031284933342</v>
      </c>
      <c r="K54" s="104">
        <f t="shared" si="9"/>
        <v>2.5013936827212356E-3</v>
      </c>
      <c r="L54" s="102">
        <f t="shared" si="10"/>
        <v>1</v>
      </c>
      <c r="M54" s="103">
        <f t="shared" si="11"/>
        <v>1.6259092848589499E-12</v>
      </c>
      <c r="N54" s="101">
        <f t="shared" si="12"/>
        <v>1</v>
      </c>
      <c r="O54" s="104">
        <f t="shared" si="13"/>
        <v>2.1678790464785996E-13</v>
      </c>
      <c r="P54" s="105">
        <f t="shared" ca="1" si="14"/>
        <v>1.0000022205396206</v>
      </c>
      <c r="Q54" s="106">
        <f t="shared" ca="1" si="15"/>
        <v>2.1812963362474796E-3</v>
      </c>
      <c r="R54" s="107">
        <f t="shared" ca="1" si="16"/>
        <v>46.802655240398053</v>
      </c>
      <c r="S54" s="108">
        <f t="shared" ca="1" si="17"/>
        <v>-92.194750591210251</v>
      </c>
      <c r="T54" s="78">
        <f t="shared" ca="1" si="18"/>
        <v>87.805249408789749</v>
      </c>
      <c r="V54" s="72">
        <f t="shared" ca="1" si="19"/>
        <v>1000000000</v>
      </c>
      <c r="W54" s="72">
        <f t="shared" si="20"/>
        <v>1584.9157210000001</v>
      </c>
      <c r="Y54" s="110">
        <f t="shared" si="21"/>
        <v>47.286450672119365</v>
      </c>
      <c r="Z54" s="111">
        <f t="shared" si="22"/>
        <v>-26.391845492960627</v>
      </c>
      <c r="AA54" s="72">
        <f t="shared" si="23"/>
        <v>153.60815450703939</v>
      </c>
      <c r="AB54" s="110">
        <f t="shared" ca="1" si="24"/>
        <v>17.01742983611269</v>
      </c>
      <c r="AC54" s="111">
        <f t="shared" ca="1" si="25"/>
        <v>-65.802905098249639</v>
      </c>
      <c r="AD54" s="72">
        <f t="shared" ca="1" si="26"/>
        <v>114.19709490175036</v>
      </c>
    </row>
    <row r="55" spans="1:30">
      <c r="A55" s="115">
        <v>43.652000000000001</v>
      </c>
      <c r="B55" s="101">
        <f t="shared" ca="1" si="0"/>
        <v>2.6310125335795793</v>
      </c>
      <c r="C55" s="102">
        <f t="shared" ca="1" si="1"/>
        <v>1.1809115866009374</v>
      </c>
      <c r="D55" s="102">
        <f t="shared" si="2"/>
        <v>1.0000008308709378</v>
      </c>
      <c r="E55" s="103">
        <f t="shared" si="3"/>
        <v>1.2890852281210383E-3</v>
      </c>
      <c r="F55" s="101">
        <f t="shared" si="4"/>
        <v>14.953957525510232</v>
      </c>
      <c r="G55" s="104">
        <f t="shared" si="5"/>
        <v>1.5038744560273896</v>
      </c>
      <c r="H55" s="113">
        <f t="shared" si="6"/>
        <v>2.1162350327097861</v>
      </c>
      <c r="I55" s="114">
        <f t="shared" si="7"/>
        <v>1.0786287498730684</v>
      </c>
      <c r="J55" s="101">
        <f t="shared" si="8"/>
        <v>1.0000037612934385</v>
      </c>
      <c r="K55" s="104">
        <f t="shared" si="9"/>
        <v>2.7427291696840426E-3</v>
      </c>
      <c r="L55" s="102">
        <f t="shared" si="10"/>
        <v>1</v>
      </c>
      <c r="M55" s="103">
        <f t="shared" si="11"/>
        <v>1.7827784306513998E-12</v>
      </c>
      <c r="N55" s="101">
        <f t="shared" si="12"/>
        <v>1</v>
      </c>
      <c r="O55" s="104">
        <f t="shared" si="13"/>
        <v>2.3770379075351996E-13</v>
      </c>
      <c r="P55" s="105">
        <f t="shared" ca="1" si="14"/>
        <v>1.0000026696882458</v>
      </c>
      <c r="Q55" s="106">
        <f t="shared" ca="1" si="15"/>
        <v>2.3917490185147499E-3</v>
      </c>
      <c r="R55" s="107">
        <f t="shared" ca="1" si="16"/>
        <v>45.939786696663504</v>
      </c>
      <c r="S55" s="108">
        <f t="shared" ca="1" si="17"/>
        <v>-92.246359001534572</v>
      </c>
      <c r="T55" s="78">
        <f t="shared" ca="1" si="18"/>
        <v>87.753640998465428</v>
      </c>
      <c r="V55" s="72">
        <f t="shared" ca="1" si="19"/>
        <v>1000000000</v>
      </c>
      <c r="W55" s="72">
        <f t="shared" si="20"/>
        <v>1905.497104</v>
      </c>
      <c r="Y55" s="110">
        <f t="shared" si="21"/>
        <v>47.098522118436279</v>
      </c>
      <c r="Z55" s="111">
        <f t="shared" si="22"/>
        <v>-24.521931052405158</v>
      </c>
      <c r="AA55" s="72">
        <f t="shared" si="23"/>
        <v>155.47806894759483</v>
      </c>
      <c r="AB55" s="110">
        <f t="shared" ca="1" si="24"/>
        <v>16.34248984606123</v>
      </c>
      <c r="AC55" s="111">
        <f t="shared" ca="1" si="25"/>
        <v>-67.724427949129421</v>
      </c>
      <c r="AD55" s="72">
        <f t="shared" ca="1" si="26"/>
        <v>112.27557205087058</v>
      </c>
    </row>
    <row r="56" spans="1:30">
      <c r="A56" s="115">
        <v>47.863</v>
      </c>
      <c r="B56" s="101">
        <f t="shared" ca="1" si="0"/>
        <v>2.8495515666701068</v>
      </c>
      <c r="C56" s="102">
        <f t="shared" ca="1" si="1"/>
        <v>1.2122296700643596</v>
      </c>
      <c r="D56" s="102">
        <f t="shared" si="2"/>
        <v>1.0000009989070344</v>
      </c>
      <c r="E56" s="103">
        <f t="shared" si="3"/>
        <v>1.4134399194019758E-3</v>
      </c>
      <c r="F56" s="101">
        <f t="shared" si="4"/>
        <v>16.390360309274342</v>
      </c>
      <c r="G56" s="104">
        <f t="shared" si="5"/>
        <v>1.5097469402903767</v>
      </c>
      <c r="H56" s="113">
        <f t="shared" si="6"/>
        <v>2.2763866346547839</v>
      </c>
      <c r="I56" s="114">
        <f t="shared" si="7"/>
        <v>1.1159851578545303</v>
      </c>
      <c r="J56" s="101">
        <f t="shared" si="8"/>
        <v>1.0000045219795146</v>
      </c>
      <c r="K56" s="104">
        <f t="shared" si="9"/>
        <v>3.0073119141384532E-3</v>
      </c>
      <c r="L56" s="102">
        <f t="shared" si="10"/>
        <v>1</v>
      </c>
      <c r="M56" s="103">
        <f t="shared" si="11"/>
        <v>1.9547586370903498E-12</v>
      </c>
      <c r="N56" s="101">
        <f t="shared" si="12"/>
        <v>1</v>
      </c>
      <c r="O56" s="104">
        <f t="shared" si="13"/>
        <v>2.6063448494537994E-13</v>
      </c>
      <c r="P56" s="105">
        <f t="shared" ca="1" si="14"/>
        <v>1.0000032096078397</v>
      </c>
      <c r="Q56" s="106">
        <f t="shared" ca="1" si="15"/>
        <v>2.6224741945033454E-3</v>
      </c>
      <c r="R56" s="107">
        <f t="shared" ca="1" si="16"/>
        <v>45.083700178344834</v>
      </c>
      <c r="S56" s="108">
        <f t="shared" ca="1" si="17"/>
        <v>-92.258111109279326</v>
      </c>
      <c r="T56" s="78">
        <f t="shared" ca="1" si="18"/>
        <v>87.741888890720674</v>
      </c>
      <c r="V56" s="72">
        <f t="shared" ca="1" si="19"/>
        <v>1000000000</v>
      </c>
      <c r="W56" s="72">
        <f t="shared" si="20"/>
        <v>2290.8667689999997</v>
      </c>
      <c r="Y56" s="110">
        <f t="shared" si="21"/>
        <v>46.93551090180577</v>
      </c>
      <c r="Z56" s="111">
        <f t="shared" si="22"/>
        <v>-22.733194573361491</v>
      </c>
      <c r="AA56" s="72">
        <f t="shared" si="23"/>
        <v>157.26680542663851</v>
      </c>
      <c r="AB56" s="110">
        <f t="shared" ca="1" si="24"/>
        <v>15.649414544373064</v>
      </c>
      <c r="AC56" s="111">
        <f t="shared" ca="1" si="25"/>
        <v>-69.524916535917839</v>
      </c>
      <c r="AD56" s="72">
        <f t="shared" ca="1" si="26"/>
        <v>110.47508346408216</v>
      </c>
    </row>
    <row r="57" spans="1:30">
      <c r="A57" s="115">
        <v>52.481000000000002</v>
      </c>
      <c r="B57" s="101">
        <f t="shared" ca="1" si="0"/>
        <v>3.0919478906973294</v>
      </c>
      <c r="C57" s="102">
        <f t="shared" ca="1" si="1"/>
        <v>1.2414540590411094</v>
      </c>
      <c r="D57" s="102">
        <f t="shared" si="2"/>
        <v>1.0000012009623667</v>
      </c>
      <c r="E57" s="103">
        <f t="shared" si="3"/>
        <v>1.5498136434825189E-3</v>
      </c>
      <c r="F57" s="101">
        <f t="shared" si="4"/>
        <v>17.96613464247277</v>
      </c>
      <c r="G57" s="104">
        <f t="shared" si="5"/>
        <v>1.5151072714991507</v>
      </c>
      <c r="H57" s="113">
        <f t="shared" si="6"/>
        <v>2.4551667267451647</v>
      </c>
      <c r="I57" s="114">
        <f t="shared" si="7"/>
        <v>1.1512958268357076</v>
      </c>
      <c r="J57" s="101">
        <f t="shared" si="8"/>
        <v>1.0000054366673754</v>
      </c>
      <c r="K57" s="104">
        <f t="shared" si="9"/>
        <v>3.2974665258093776E-3</v>
      </c>
      <c r="L57" s="102">
        <f t="shared" si="10"/>
        <v>1</v>
      </c>
      <c r="M57" s="103">
        <f t="shared" si="11"/>
        <v>2.14336101024045E-12</v>
      </c>
      <c r="N57" s="101">
        <f t="shared" si="12"/>
        <v>1</v>
      </c>
      <c r="O57" s="104">
        <f t="shared" si="13"/>
        <v>2.8578146803205995E-13</v>
      </c>
      <c r="P57" s="105">
        <f t="shared" ca="1" si="14"/>
        <v>1.0000038588349456</v>
      </c>
      <c r="Q57" s="106">
        <f t="shared" ca="1" si="15"/>
        <v>2.8754990443344871E-3</v>
      </c>
      <c r="R57" s="107">
        <f t="shared" ca="1" si="16"/>
        <v>44.23395170751607</v>
      </c>
      <c r="S57" s="108">
        <f t="shared" ca="1" si="17"/>
        <v>-92.239825558951495</v>
      </c>
      <c r="T57" s="78">
        <f t="shared" ca="1" si="18"/>
        <v>87.760174441048505</v>
      </c>
      <c r="V57" s="72">
        <f t="shared" ca="1" si="19"/>
        <v>1000000000</v>
      </c>
      <c r="W57" s="72">
        <f t="shared" si="20"/>
        <v>2754.255361</v>
      </c>
      <c r="Y57" s="110">
        <f t="shared" si="21"/>
        <v>46.794879224834702</v>
      </c>
      <c r="Z57" s="111">
        <f t="shared" si="22"/>
        <v>-21.033791256715304</v>
      </c>
      <c r="AA57" s="72">
        <f t="shared" si="23"/>
        <v>158.96620874328471</v>
      </c>
      <c r="AB57" s="110">
        <f t="shared" ca="1" si="24"/>
        <v>14.940297750515368</v>
      </c>
      <c r="AC57" s="111">
        <f t="shared" ca="1" si="25"/>
        <v>-71.206034302236162</v>
      </c>
      <c r="AD57" s="72">
        <f t="shared" ca="1" si="26"/>
        <v>108.79396569776384</v>
      </c>
    </row>
    <row r="58" spans="1:30">
      <c r="A58" s="115">
        <v>57.544000000000004</v>
      </c>
      <c r="B58" s="101">
        <f t="shared" ca="1" si="0"/>
        <v>3.3602762720063133</v>
      </c>
      <c r="C58" s="102">
        <f t="shared" ca="1" si="1"/>
        <v>1.2686242435798534</v>
      </c>
      <c r="D58" s="102">
        <f t="shared" si="2"/>
        <v>1.0000014438605052</v>
      </c>
      <c r="E58" s="103">
        <f t="shared" si="3"/>
        <v>1.6993285543161958E-3</v>
      </c>
      <c r="F58" s="101">
        <f t="shared" si="4"/>
        <v>19.69424755999605</v>
      </c>
      <c r="G58" s="104">
        <f t="shared" si="5"/>
        <v>1.5199982345690006</v>
      </c>
      <c r="H58" s="113">
        <f t="shared" si="6"/>
        <v>2.6541929886808653</v>
      </c>
      <c r="I58" s="114">
        <f t="shared" si="7"/>
        <v>1.1844977328203297</v>
      </c>
      <c r="J58" s="101">
        <f t="shared" si="8"/>
        <v>1.0000065362463952</v>
      </c>
      <c r="K58" s="104">
        <f t="shared" si="9"/>
        <v>3.6155803941525545E-3</v>
      </c>
      <c r="L58" s="102">
        <f t="shared" si="10"/>
        <v>1</v>
      </c>
      <c r="M58" s="103">
        <f t="shared" si="11"/>
        <v>2.3501374968708001E-12</v>
      </c>
      <c r="N58" s="101">
        <f t="shared" si="12"/>
        <v>1</v>
      </c>
      <c r="O58" s="104">
        <f t="shared" si="13"/>
        <v>3.1335166624944E-13</v>
      </c>
      <c r="P58" s="105">
        <f t="shared" ca="1" si="14"/>
        <v>1.0000046392943205</v>
      </c>
      <c r="Q58" s="106">
        <f t="shared" ca="1" si="15"/>
        <v>3.1529055083948099E-3</v>
      </c>
      <c r="R58" s="107">
        <f t="shared" ca="1" si="16"/>
        <v>43.390416405867079</v>
      </c>
      <c r="S58" s="108">
        <f t="shared" ca="1" si="17"/>
        <v>-92.20001914680104</v>
      </c>
      <c r="T58" s="78">
        <f t="shared" ca="1" si="18"/>
        <v>87.79998085319896</v>
      </c>
      <c r="V58" s="72">
        <f t="shared" ca="1" si="19"/>
        <v>1000000000</v>
      </c>
      <c r="W58" s="72">
        <f t="shared" si="20"/>
        <v>3311.3119360000005</v>
      </c>
      <c r="Y58" s="110">
        <f t="shared" si="21"/>
        <v>46.674204976864566</v>
      </c>
      <c r="Z58" s="111">
        <f t="shared" si="22"/>
        <v>-19.429920293880755</v>
      </c>
      <c r="AA58" s="72">
        <f t="shared" si="23"/>
        <v>160.57007970611926</v>
      </c>
      <c r="AB58" s="110">
        <f t="shared" ca="1" si="24"/>
        <v>14.21743669683652</v>
      </c>
      <c r="AC58" s="111">
        <f t="shared" ca="1" si="25"/>
        <v>-72.77009885292027</v>
      </c>
      <c r="AD58" s="72">
        <f t="shared" ca="1" si="26"/>
        <v>107.22990114707973</v>
      </c>
    </row>
    <row r="59" spans="1:30">
      <c r="A59" s="115">
        <v>63.095999999999997</v>
      </c>
      <c r="B59" s="101">
        <f t="shared" ca="1" si="0"/>
        <v>3.6569322846421857</v>
      </c>
      <c r="C59" s="102">
        <f t="shared" ca="1" si="1"/>
        <v>1.2938150379833313</v>
      </c>
      <c r="D59" s="102">
        <f t="shared" si="2"/>
        <v>1.000001735916114</v>
      </c>
      <c r="E59" s="103">
        <f t="shared" si="3"/>
        <v>1.8632839842010226E-3</v>
      </c>
      <c r="F59" s="101">
        <f t="shared" si="4"/>
        <v>21.589717574571797</v>
      </c>
      <c r="G59" s="104">
        <f t="shared" si="5"/>
        <v>1.524461403373838</v>
      </c>
      <c r="H59" s="113">
        <f t="shared" si="6"/>
        <v>2.8753149418524964</v>
      </c>
      <c r="I59" s="114">
        <f t="shared" si="7"/>
        <v>1.2155855533178908</v>
      </c>
      <c r="J59" s="101">
        <f t="shared" si="8"/>
        <v>1.0000078583558174</v>
      </c>
      <c r="K59" s="104">
        <f t="shared" si="9"/>
        <v>3.9644178276895077E-3</v>
      </c>
      <c r="L59" s="102">
        <f t="shared" si="10"/>
        <v>1</v>
      </c>
      <c r="M59" s="103">
        <f t="shared" si="11"/>
        <v>2.5768850879771995E-12</v>
      </c>
      <c r="N59" s="101">
        <f t="shared" si="12"/>
        <v>1</v>
      </c>
      <c r="O59" s="104">
        <f t="shared" si="13"/>
        <v>3.4358467839695992E-13</v>
      </c>
      <c r="P59" s="105">
        <f t="shared" ca="1" si="14"/>
        <v>1.0000055777016945</v>
      </c>
      <c r="Q59" s="106">
        <f t="shared" ca="1" si="15"/>
        <v>3.4571042323181711E-3</v>
      </c>
      <c r="R59" s="107">
        <f t="shared" ca="1" si="16"/>
        <v>42.552467746061012</v>
      </c>
      <c r="S59" s="108">
        <f t="shared" ca="1" si="17"/>
        <v>-92.145887437161349</v>
      </c>
      <c r="T59" s="78">
        <f t="shared" ca="1" si="18"/>
        <v>87.854112562838651</v>
      </c>
      <c r="V59" s="72">
        <f t="shared" ca="1" si="19"/>
        <v>1000000000</v>
      </c>
      <c r="W59" s="72">
        <f t="shared" si="20"/>
        <v>3981.1052159999995</v>
      </c>
      <c r="Y59" s="110">
        <f t="shared" si="21"/>
        <v>46.571100597540266</v>
      </c>
      <c r="Z59" s="111">
        <f t="shared" si="22"/>
        <v>-17.924427031828134</v>
      </c>
      <c r="AA59" s="72">
        <f t="shared" si="23"/>
        <v>162.07557296817185</v>
      </c>
      <c r="AB59" s="110">
        <f t="shared" ca="1" si="24"/>
        <v>13.482592416354752</v>
      </c>
      <c r="AC59" s="111">
        <f t="shared" ca="1" si="25"/>
        <v>-74.221460405333161</v>
      </c>
      <c r="AD59" s="72">
        <f t="shared" ca="1" si="26"/>
        <v>105.77853959466684</v>
      </c>
    </row>
    <row r="60" spans="1:30">
      <c r="A60" s="115">
        <v>69.183000000000007</v>
      </c>
      <c r="B60" s="101">
        <f t="shared" ca="1" si="0"/>
        <v>3.9844241378876069</v>
      </c>
      <c r="C60" s="102">
        <f t="shared" ca="1" si="1"/>
        <v>1.3171065919805292</v>
      </c>
      <c r="D60" s="102">
        <f t="shared" si="2"/>
        <v>1.0000020870064139</v>
      </c>
      <c r="E60" s="103">
        <f t="shared" si="3"/>
        <v>2.0430383179106792E-3</v>
      </c>
      <c r="F60" s="101">
        <f t="shared" si="4"/>
        <v>23.66824949233073</v>
      </c>
      <c r="G60" s="104">
        <f t="shared" si="5"/>
        <v>1.5285330508484409</v>
      </c>
      <c r="H60" s="113">
        <f t="shared" si="6"/>
        <v>3.1204617898217752</v>
      </c>
      <c r="I60" s="114">
        <f t="shared" si="7"/>
        <v>1.2445755807007908</v>
      </c>
      <c r="J60" s="101">
        <f t="shared" si="8"/>
        <v>1.000009447708162</v>
      </c>
      <c r="K60" s="104">
        <f t="shared" si="9"/>
        <v>4.3468687074763113E-3</v>
      </c>
      <c r="L60" s="102">
        <f t="shared" si="10"/>
        <v>1</v>
      </c>
      <c r="M60" s="103">
        <f t="shared" si="11"/>
        <v>2.8254824559643503E-12</v>
      </c>
      <c r="N60" s="101">
        <f t="shared" si="12"/>
        <v>1</v>
      </c>
      <c r="O60" s="104">
        <f t="shared" si="13"/>
        <v>3.7673099412858E-13</v>
      </c>
      <c r="P60" s="105">
        <f t="shared" ca="1" si="14"/>
        <v>1.0000067057933433</v>
      </c>
      <c r="Q60" s="106">
        <f t="shared" ca="1" si="15"/>
        <v>3.7906153900717572E-3</v>
      </c>
      <c r="R60" s="107">
        <f t="shared" ca="1" si="16"/>
        <v>41.719759722237001</v>
      </c>
      <c r="S60" s="108">
        <f t="shared" ca="1" si="17"/>
        <v>-92.08339961674092</v>
      </c>
      <c r="T60" s="78">
        <f t="shared" ca="1" si="18"/>
        <v>87.91660038325908</v>
      </c>
      <c r="V60" s="72">
        <f t="shared" ca="1" si="19"/>
        <v>1000000000</v>
      </c>
      <c r="W60" s="72">
        <f t="shared" si="20"/>
        <v>4786.2874890000012</v>
      </c>
      <c r="Y60" s="110">
        <f t="shared" si="21"/>
        <v>46.48337219918777</v>
      </c>
      <c r="Z60" s="111">
        <f t="shared" si="22"/>
        <v>-16.518621850443278</v>
      </c>
      <c r="AA60" s="72">
        <f t="shared" si="23"/>
        <v>163.48137814955672</v>
      </c>
      <c r="AB60" s="110">
        <f t="shared" ca="1" si="24"/>
        <v>12.737612790883233</v>
      </c>
      <c r="AC60" s="111">
        <f t="shared" ca="1" si="25"/>
        <v>-75.564777766297681</v>
      </c>
      <c r="AD60" s="72">
        <f t="shared" ca="1" si="26"/>
        <v>104.43522223370232</v>
      </c>
    </row>
    <row r="61" spans="1:30">
      <c r="A61" s="115">
        <v>75.858000000000004</v>
      </c>
      <c r="B61" s="101">
        <f t="shared" ca="1" si="0"/>
        <v>4.3456429098185323</v>
      </c>
      <c r="C61" s="102">
        <f t="shared" ca="1" si="1"/>
        <v>1.33859991106638</v>
      </c>
      <c r="D61" s="102">
        <f t="shared" si="2"/>
        <v>1.0000025091561413</v>
      </c>
      <c r="E61" s="103">
        <f t="shared" si="3"/>
        <v>2.2401566440225598E-3</v>
      </c>
      <c r="F61" s="101">
        <f t="shared" si="4"/>
        <v>25.947941466009816</v>
      </c>
      <c r="G61" s="104">
        <f t="shared" si="5"/>
        <v>1.5322480779675205</v>
      </c>
      <c r="H61" s="113">
        <f t="shared" si="6"/>
        <v>3.3918460734980656</v>
      </c>
      <c r="I61" s="114">
        <f t="shared" si="7"/>
        <v>1.271524267941192</v>
      </c>
      <c r="J61" s="101">
        <f t="shared" si="8"/>
        <v>1.0000113587371615</v>
      </c>
      <c r="K61" s="104">
        <f t="shared" si="9"/>
        <v>4.7662626124048276E-3</v>
      </c>
      <c r="L61" s="102">
        <f t="shared" si="10"/>
        <v>1</v>
      </c>
      <c r="M61" s="103">
        <f t="shared" si="11"/>
        <v>3.0980941581681001E-12</v>
      </c>
      <c r="N61" s="101">
        <f t="shared" si="12"/>
        <v>1</v>
      </c>
      <c r="O61" s="104">
        <f t="shared" si="13"/>
        <v>4.1307922108907997E-13</v>
      </c>
      <c r="P61" s="105">
        <f t="shared" ca="1" si="14"/>
        <v>1.0000080622055767</v>
      </c>
      <c r="Q61" s="106">
        <f t="shared" ca="1" si="15"/>
        <v>4.1563426205613492E-3</v>
      </c>
      <c r="R61" s="107">
        <f t="shared" ca="1" si="16"/>
        <v>40.891575429473818</v>
      </c>
      <c r="S61" s="108">
        <f t="shared" ca="1" si="17"/>
        <v>-92.017375499721126</v>
      </c>
      <c r="T61" s="78">
        <f t="shared" ca="1" si="18"/>
        <v>87.982624500278874</v>
      </c>
      <c r="V61" s="72">
        <f t="shared" ca="1" si="19"/>
        <v>1000000000</v>
      </c>
      <c r="W61" s="72">
        <f t="shared" si="20"/>
        <v>5754.4361640000006</v>
      </c>
      <c r="Y61" s="110">
        <f t="shared" si="21"/>
        <v>46.408965504966702</v>
      </c>
      <c r="Z61" s="111">
        <f t="shared" si="22"/>
        <v>-15.211460682048848</v>
      </c>
      <c r="AA61" s="72">
        <f t="shared" si="23"/>
        <v>164.78853931795115</v>
      </c>
      <c r="AB61" s="110">
        <f t="shared" ca="1" si="24"/>
        <v>11.983835192341113</v>
      </c>
      <c r="AC61" s="111">
        <f t="shared" ca="1" si="25"/>
        <v>-76.805914817672274</v>
      </c>
      <c r="AD61" s="72">
        <f t="shared" ca="1" si="26"/>
        <v>103.19408518232773</v>
      </c>
    </row>
    <row r="62" spans="1:30">
      <c r="A62" s="115">
        <v>83.176000000000002</v>
      </c>
      <c r="B62" s="101">
        <f t="shared" ca="1" si="0"/>
        <v>4.7435957722015489</v>
      </c>
      <c r="C62" s="102">
        <f t="shared" ca="1" si="1"/>
        <v>1.3583922640251724</v>
      </c>
      <c r="D62" s="102">
        <f t="shared" si="2"/>
        <v>1.0000030166217835</v>
      </c>
      <c r="E62" s="103">
        <f t="shared" si="3"/>
        <v>2.4562630966661484E-3</v>
      </c>
      <c r="F62" s="101">
        <f t="shared" si="4"/>
        <v>28.447577617904148</v>
      </c>
      <c r="G62" s="104">
        <f t="shared" si="5"/>
        <v>1.5356367052511046</v>
      </c>
      <c r="H62" s="113">
        <f t="shared" si="6"/>
        <v>3.6917659060542274</v>
      </c>
      <c r="I62" s="114">
        <f t="shared" si="7"/>
        <v>1.2964964236980296</v>
      </c>
      <c r="J62" s="101">
        <f t="shared" si="8"/>
        <v>1.0000136559788864</v>
      </c>
      <c r="K62" s="104">
        <f t="shared" si="9"/>
        <v>5.2260546272218924E-3</v>
      </c>
      <c r="L62" s="102">
        <f t="shared" si="10"/>
        <v>1</v>
      </c>
      <c r="M62" s="103">
        <f t="shared" si="11"/>
        <v>3.3969664333331998E-12</v>
      </c>
      <c r="N62" s="101">
        <f t="shared" si="12"/>
        <v>1</v>
      </c>
      <c r="O62" s="104">
        <f t="shared" si="13"/>
        <v>4.5292885777775995E-13</v>
      </c>
      <c r="P62" s="105">
        <f t="shared" ca="1" si="14"/>
        <v>1.0000096927453046</v>
      </c>
      <c r="Q62" s="106">
        <f t="shared" ca="1" si="15"/>
        <v>4.5572990512261144E-3</v>
      </c>
      <c r="R62" s="107">
        <f t="shared" ca="1" si="16"/>
        <v>40.067585748494935</v>
      </c>
      <c r="S62" s="108">
        <f t="shared" ca="1" si="17"/>
        <v>-91.95168396777197</v>
      </c>
      <c r="T62" s="78">
        <f t="shared" ca="1" si="18"/>
        <v>88.04831603222803</v>
      </c>
      <c r="V62" s="72">
        <f t="shared" ca="1" si="19"/>
        <v>1000000000</v>
      </c>
      <c r="W62" s="72">
        <f t="shared" si="20"/>
        <v>6918.2469760000004</v>
      </c>
      <c r="Y62" s="110">
        <f t="shared" si="21"/>
        <v>46.346058313097018</v>
      </c>
      <c r="Z62" s="111">
        <f t="shared" si="22"/>
        <v>-14.00115973403601</v>
      </c>
      <c r="AA62" s="72">
        <f t="shared" si="23"/>
        <v>165.99884026596399</v>
      </c>
      <c r="AB62" s="110">
        <f t="shared" ca="1" si="24"/>
        <v>11.222752703231926</v>
      </c>
      <c r="AC62" s="111">
        <f t="shared" ca="1" si="25"/>
        <v>-77.950524233735962</v>
      </c>
      <c r="AD62" s="72">
        <f t="shared" ca="1" si="26"/>
        <v>102.04947576626404</v>
      </c>
    </row>
    <row r="63" spans="1:30">
      <c r="A63" s="115">
        <v>91.201000000000008</v>
      </c>
      <c r="B63" s="101">
        <f t="shared" ca="1" si="0"/>
        <v>5.1817870509711819</v>
      </c>
      <c r="C63" s="102">
        <f t="shared" ca="1" si="1"/>
        <v>1.37659430822597</v>
      </c>
      <c r="D63" s="102">
        <f t="shared" si="2"/>
        <v>1.0000036268021875</v>
      </c>
      <c r="E63" s="103">
        <f t="shared" si="3"/>
        <v>2.6932475660462552E-3</v>
      </c>
      <c r="F63" s="101">
        <f t="shared" si="4"/>
        <v>31.189018776089213</v>
      </c>
      <c r="G63" s="104">
        <f t="shared" si="5"/>
        <v>1.5387282639556008</v>
      </c>
      <c r="H63" s="113">
        <f t="shared" si="6"/>
        <v>4.0228932611819586</v>
      </c>
      <c r="I63" s="114">
        <f t="shared" si="7"/>
        <v>1.319585137699866</v>
      </c>
      <c r="J63" s="101">
        <f t="shared" si="8"/>
        <v>1.000016418193715</v>
      </c>
      <c r="K63" s="104">
        <f t="shared" si="9"/>
        <v>5.7302651050856364E-3</v>
      </c>
      <c r="L63" s="102">
        <f t="shared" si="10"/>
        <v>1</v>
      </c>
      <c r="M63" s="103">
        <f t="shared" si="11"/>
        <v>3.7247130865444504E-12</v>
      </c>
      <c r="N63" s="101">
        <f t="shared" si="12"/>
        <v>1</v>
      </c>
      <c r="O63" s="104">
        <f t="shared" si="13"/>
        <v>4.9662841153925998E-13</v>
      </c>
      <c r="P63" s="105">
        <f t="shared" ca="1" si="14"/>
        <v>1.0000116533158074</v>
      </c>
      <c r="Q63" s="106">
        <f t="shared" ca="1" si="15"/>
        <v>4.9969908016064546E-3</v>
      </c>
      <c r="R63" s="107">
        <f t="shared" ca="1" si="16"/>
        <v>39.24707094901207</v>
      </c>
      <c r="S63" s="108">
        <f t="shared" ca="1" si="17"/>
        <v>-91.889335082141216</v>
      </c>
      <c r="T63" s="78">
        <f t="shared" ca="1" si="18"/>
        <v>88.110664917858784</v>
      </c>
      <c r="V63" s="72">
        <f t="shared" ca="1" si="19"/>
        <v>1000000000</v>
      </c>
      <c r="W63" s="72">
        <f t="shared" si="20"/>
        <v>8317.6224010000005</v>
      </c>
      <c r="Y63" s="110">
        <f t="shared" si="21"/>
        <v>46.292993004244835</v>
      </c>
      <c r="Z63" s="111">
        <f t="shared" si="22"/>
        <v>-12.884296264306142</v>
      </c>
      <c r="AA63" s="72">
        <f t="shared" si="23"/>
        <v>167.11570373569387</v>
      </c>
      <c r="AB63" s="110">
        <f t="shared" ca="1" si="24"/>
        <v>10.45530321260124</v>
      </c>
      <c r="AC63" s="111">
        <f t="shared" ca="1" si="25"/>
        <v>-79.0050388178351</v>
      </c>
      <c r="AD63" s="72">
        <f t="shared" ca="1" si="26"/>
        <v>100.9949611821649</v>
      </c>
    </row>
    <row r="64" spans="1:30">
      <c r="A64" s="115">
        <v>100</v>
      </c>
      <c r="B64" s="101">
        <f t="shared" ca="1" si="0"/>
        <v>5.6638940110882023</v>
      </c>
      <c r="C64" s="102">
        <f t="shared" ca="1" si="1"/>
        <v>1.3933089563226622</v>
      </c>
      <c r="D64" s="102">
        <f t="shared" si="2"/>
        <v>1.0000043603817079</v>
      </c>
      <c r="E64" s="103">
        <f t="shared" si="3"/>
        <v>2.9530885066058436E-3</v>
      </c>
      <c r="F64" s="101">
        <f t="shared" si="4"/>
        <v>34.195153114825182</v>
      </c>
      <c r="G64" s="104">
        <f t="shared" si="5"/>
        <v>1.5415482463459742</v>
      </c>
      <c r="H64" s="113">
        <f t="shared" si="6"/>
        <v>4.3880314787540593</v>
      </c>
      <c r="I64" s="114">
        <f t="shared" si="7"/>
        <v>1.340883523463726</v>
      </c>
      <c r="J64" s="101">
        <f t="shared" si="8"/>
        <v>1.0000197390139427</v>
      </c>
      <c r="K64" s="104">
        <f t="shared" si="9"/>
        <v>6.2831026185542734E-3</v>
      </c>
      <c r="L64" s="102">
        <f t="shared" si="10"/>
        <v>1</v>
      </c>
      <c r="M64" s="103">
        <f t="shared" si="11"/>
        <v>4.0840704449999996E-12</v>
      </c>
      <c r="N64" s="101">
        <f t="shared" si="12"/>
        <v>1</v>
      </c>
      <c r="O64" s="104">
        <f t="shared" si="13"/>
        <v>5.4454272599999995E-13</v>
      </c>
      <c r="P64" s="105">
        <f t="shared" ca="1" si="14"/>
        <v>1.0000140103765016</v>
      </c>
      <c r="Q64" s="106">
        <f t="shared" ca="1" si="15"/>
        <v>5.4790882005345013E-3</v>
      </c>
      <c r="R64" s="107">
        <f t="shared" ca="1" si="16"/>
        <v>38.42968455482611</v>
      </c>
      <c r="S64" s="108">
        <f t="shared" ca="1" si="17"/>
        <v>-91.83268896191673</v>
      </c>
      <c r="T64" s="78">
        <f t="shared" ca="1" si="18"/>
        <v>88.16731103808327</v>
      </c>
      <c r="V64" s="72">
        <f t="shared" ca="1" si="19"/>
        <v>1000000000</v>
      </c>
      <c r="W64" s="72">
        <f t="shared" si="20"/>
        <v>10000</v>
      </c>
      <c r="Y64" s="110">
        <f t="shared" si="21"/>
        <v>46.248331838746005</v>
      </c>
      <c r="Z64" s="111">
        <f t="shared" si="22"/>
        <v>-11.857236993951883</v>
      </c>
      <c r="AA64" s="72">
        <f t="shared" si="23"/>
        <v>168.14276300604811</v>
      </c>
      <c r="AB64" s="110">
        <f t="shared" ca="1" si="24"/>
        <v>9.6825779839140971</v>
      </c>
      <c r="AC64" s="111">
        <f t="shared" ca="1" si="25"/>
        <v>-79.975451967964815</v>
      </c>
      <c r="AD64" s="72">
        <f t="shared" ca="1" si="26"/>
        <v>100.02454803203518</v>
      </c>
    </row>
    <row r="65" spans="1:30">
      <c r="A65" s="115">
        <v>109.65</v>
      </c>
      <c r="B65" s="101">
        <f t="shared" ca="1" si="0"/>
        <v>6.1941503427205875</v>
      </c>
      <c r="C65" s="102">
        <f t="shared" ca="1" si="1"/>
        <v>1.4086440294719316</v>
      </c>
      <c r="D65" s="102">
        <f t="shared" si="2"/>
        <v>1.0000052425380299</v>
      </c>
      <c r="E65" s="103">
        <f t="shared" si="3"/>
        <v>3.2380596431829298E-3</v>
      </c>
      <c r="F65" s="101">
        <f t="shared" si="4"/>
        <v>37.492287435907997</v>
      </c>
      <c r="G65" s="104">
        <f t="shared" si="5"/>
        <v>1.5441210110524928</v>
      </c>
      <c r="H65" s="113">
        <f t="shared" si="6"/>
        <v>4.7904064564905804</v>
      </c>
      <c r="I65" s="114">
        <f t="shared" si="7"/>
        <v>1.3604991347434796</v>
      </c>
      <c r="J65" s="101">
        <f t="shared" si="8"/>
        <v>1.0000237324108803</v>
      </c>
      <c r="K65" s="104">
        <f t="shared" si="9"/>
        <v>6.8894036800969905E-3</v>
      </c>
      <c r="L65" s="102">
        <f t="shared" si="10"/>
        <v>1</v>
      </c>
      <c r="M65" s="103">
        <f t="shared" si="11"/>
        <v>4.4781832429424999E-12</v>
      </c>
      <c r="N65" s="101">
        <f t="shared" si="12"/>
        <v>1</v>
      </c>
      <c r="O65" s="104">
        <f t="shared" si="13"/>
        <v>5.9709109905899992E-13</v>
      </c>
      <c r="P65" s="105">
        <f t="shared" ca="1" si="14"/>
        <v>1.000016844823544</v>
      </c>
      <c r="Q65" s="106">
        <f t="shared" ca="1" si="15"/>
        <v>6.0078092646044202E-3</v>
      </c>
      <c r="R65" s="107">
        <f t="shared" ca="1" si="16"/>
        <v>37.614805310451381</v>
      </c>
      <c r="S65" s="108">
        <f t="shared" ca="1" si="17"/>
        <v>-91.783545086325816</v>
      </c>
      <c r="T65" s="78">
        <f t="shared" ca="1" si="18"/>
        <v>88.216454913674184</v>
      </c>
      <c r="V65" s="72">
        <f t="shared" ca="1" si="19"/>
        <v>1000000000</v>
      </c>
      <c r="W65" s="72">
        <f t="shared" si="20"/>
        <v>12023.122500000001</v>
      </c>
      <c r="Y65" s="110">
        <f t="shared" si="21"/>
        <v>46.210802040526247</v>
      </c>
      <c r="Z65" s="111">
        <f t="shared" si="22"/>
        <v>-10.915492305261548</v>
      </c>
      <c r="AA65" s="72">
        <f t="shared" si="23"/>
        <v>169.08450769473845</v>
      </c>
      <c r="AB65" s="110">
        <f t="shared" ca="1" si="24"/>
        <v>8.9052285377591396</v>
      </c>
      <c r="AC65" s="111">
        <f t="shared" ca="1" si="25"/>
        <v>-80.86805278106425</v>
      </c>
      <c r="AD65" s="72">
        <f t="shared" ca="1" si="26"/>
        <v>99.13194721893575</v>
      </c>
    </row>
    <row r="66" spans="1:30">
      <c r="A66" s="115">
        <v>120.23</v>
      </c>
      <c r="B66" s="101">
        <f t="shared" ca="1" si="0"/>
        <v>6.7769082671344503</v>
      </c>
      <c r="C66" s="102">
        <f t="shared" ca="1" si="1"/>
        <v>1.4226956038611598</v>
      </c>
      <c r="D66" s="102">
        <f t="shared" si="2"/>
        <v>1.0000063030359105</v>
      </c>
      <c r="E66" s="103">
        <f t="shared" si="3"/>
        <v>3.5504937132528514E-3</v>
      </c>
      <c r="F66" s="101">
        <f t="shared" si="4"/>
        <v>41.10741390892413</v>
      </c>
      <c r="G66" s="104">
        <f t="shared" si="5"/>
        <v>1.5464674147802653</v>
      </c>
      <c r="H66" s="113">
        <f t="shared" si="6"/>
        <v>5.2333358719003407</v>
      </c>
      <c r="I66" s="114">
        <f t="shared" si="7"/>
        <v>1.3785312640029785</v>
      </c>
      <c r="J66" s="101">
        <f t="shared" si="8"/>
        <v>1.0000285331183936</v>
      </c>
      <c r="K66" s="104">
        <f t="shared" si="9"/>
        <v>7.5541299910697373E-3</v>
      </c>
      <c r="L66" s="102">
        <f t="shared" si="10"/>
        <v>1</v>
      </c>
      <c r="M66" s="103">
        <f t="shared" si="11"/>
        <v>4.9102778960235E-12</v>
      </c>
      <c r="N66" s="101">
        <f t="shared" si="12"/>
        <v>1</v>
      </c>
      <c r="O66" s="104">
        <f t="shared" si="13"/>
        <v>6.5470371946979996E-13</v>
      </c>
      <c r="P66" s="105">
        <f t="shared" ca="1" si="14"/>
        <v>1.0000202522906716</v>
      </c>
      <c r="Q66" s="106">
        <f t="shared" ca="1" si="15"/>
        <v>6.58748130974454E-3</v>
      </c>
      <c r="R66" s="107">
        <f t="shared" ca="1" si="16"/>
        <v>36.802306458604839</v>
      </c>
      <c r="S66" s="108">
        <f t="shared" ca="1" si="17"/>
        <v>-91.743312742953933</v>
      </c>
      <c r="T66" s="78">
        <f t="shared" ca="1" si="18"/>
        <v>88.256687257046067</v>
      </c>
      <c r="V66" s="72">
        <f t="shared" ca="1" si="19"/>
        <v>1000000000</v>
      </c>
      <c r="W66" s="72">
        <f t="shared" si="20"/>
        <v>14455.252900000001</v>
      </c>
      <c r="Y66" s="110">
        <f t="shared" si="21"/>
        <v>46.17932086977148</v>
      </c>
      <c r="Z66" s="111">
        <f t="shared" si="22"/>
        <v>-10.054852444838186</v>
      </c>
      <c r="AA66" s="72">
        <f t="shared" si="23"/>
        <v>169.94514755516181</v>
      </c>
      <c r="AB66" s="110">
        <f t="shared" ca="1" si="24"/>
        <v>8.1242108566673554</v>
      </c>
      <c r="AC66" s="111">
        <f t="shared" ca="1" si="25"/>
        <v>-81.688460298115743</v>
      </c>
      <c r="AD66" s="72">
        <f t="shared" ca="1" si="26"/>
        <v>98.311539701884257</v>
      </c>
    </row>
    <row r="67" spans="1:30">
      <c r="A67" s="115">
        <v>131.83000000000001</v>
      </c>
      <c r="B67" s="101">
        <f t="shared" ca="1" si="0"/>
        <v>7.4171332304450681</v>
      </c>
      <c r="C67" s="102">
        <f t="shared" ca="1" si="1"/>
        <v>1.4355615183446107</v>
      </c>
      <c r="D67" s="102">
        <f t="shared" si="2"/>
        <v>1.000007577960105</v>
      </c>
      <c r="E67" s="103">
        <f t="shared" si="3"/>
        <v>3.8930482274941651E-3</v>
      </c>
      <c r="F67" s="101">
        <f t="shared" si="4"/>
        <v>45.071285007878295</v>
      </c>
      <c r="G67" s="104">
        <f t="shared" si="5"/>
        <v>1.548607430640927</v>
      </c>
      <c r="H67" s="113">
        <f t="shared" si="6"/>
        <v>5.7206052076318192</v>
      </c>
      <c r="I67" s="114">
        <f t="shared" si="7"/>
        <v>1.3950869058931392</v>
      </c>
      <c r="J67" s="101">
        <f t="shared" si="8"/>
        <v>1.0000343044764173</v>
      </c>
      <c r="K67" s="104">
        <f t="shared" si="9"/>
        <v>8.2829337534028637E-3</v>
      </c>
      <c r="L67" s="102">
        <f t="shared" si="10"/>
        <v>1</v>
      </c>
      <c r="M67" s="103">
        <f t="shared" si="11"/>
        <v>5.3840300676435E-12</v>
      </c>
      <c r="N67" s="101">
        <f t="shared" si="12"/>
        <v>1</v>
      </c>
      <c r="O67" s="104">
        <f t="shared" si="13"/>
        <v>7.1787067568580001E-13</v>
      </c>
      <c r="P67" s="105">
        <f t="shared" ca="1" si="14"/>
        <v>1.0000243487167162</v>
      </c>
      <c r="Q67" s="106">
        <f t="shared" ca="1" si="15"/>
        <v>7.2230339691431496E-3</v>
      </c>
      <c r="R67" s="107">
        <f t="shared" ca="1" si="16"/>
        <v>35.99181405187413</v>
      </c>
      <c r="S67" s="108">
        <f t="shared" ca="1" si="17"/>
        <v>-91.713065748642222</v>
      </c>
      <c r="T67" s="78">
        <f t="shared" ca="1" si="18"/>
        <v>88.286934251357778</v>
      </c>
      <c r="V67" s="72">
        <f t="shared" ca="1" si="19"/>
        <v>1000000000</v>
      </c>
      <c r="W67" s="72">
        <f t="shared" si="20"/>
        <v>17379.148900000004</v>
      </c>
      <c r="Y67" s="110">
        <f t="shared" si="21"/>
        <v>46.15294243114954</v>
      </c>
      <c r="Z67" s="111">
        <f t="shared" si="22"/>
        <v>-9.2706552930642978</v>
      </c>
      <c r="AA67" s="72">
        <f t="shared" si="23"/>
        <v>170.72934470693571</v>
      </c>
      <c r="AB67" s="110">
        <f t="shared" ca="1" si="24"/>
        <v>7.3400968885585796</v>
      </c>
      <c r="AC67" s="111">
        <f t="shared" ca="1" si="25"/>
        <v>-82.442410455577914</v>
      </c>
      <c r="AD67" s="72">
        <f t="shared" ca="1" si="26"/>
        <v>97.557589544422086</v>
      </c>
    </row>
    <row r="68" spans="1:30">
      <c r="A68" s="115">
        <v>144.54</v>
      </c>
      <c r="B68" s="101">
        <f t="shared" ca="1" si="0"/>
        <v>8.119797659001204</v>
      </c>
      <c r="C68" s="102">
        <f t="shared" ca="1" si="1"/>
        <v>1.4473270798900941</v>
      </c>
      <c r="D68" s="102">
        <f t="shared" si="2"/>
        <v>1.0000091096056829</v>
      </c>
      <c r="E68" s="103">
        <f t="shared" si="3"/>
        <v>4.2683806131630772E-3</v>
      </c>
      <c r="F68" s="101">
        <f t="shared" si="4"/>
        <v>49.414654709433457</v>
      </c>
      <c r="G68" s="104">
        <f t="shared" si="5"/>
        <v>1.5505580336429079</v>
      </c>
      <c r="H68" s="113">
        <f t="shared" si="6"/>
        <v>6.2560072381128888</v>
      </c>
      <c r="I68" s="114">
        <f t="shared" si="7"/>
        <v>1.410261314649603</v>
      </c>
      <c r="J68" s="101">
        <f t="shared" si="8"/>
        <v>1.000041237932765</v>
      </c>
      <c r="K68" s="104">
        <f t="shared" si="9"/>
        <v>9.081466365696917E-3</v>
      </c>
      <c r="L68" s="102">
        <f t="shared" si="10"/>
        <v>1</v>
      </c>
      <c r="M68" s="103">
        <f t="shared" si="11"/>
        <v>5.9031154212029992E-12</v>
      </c>
      <c r="N68" s="101">
        <f t="shared" si="12"/>
        <v>1</v>
      </c>
      <c r="O68" s="104">
        <f t="shared" si="13"/>
        <v>7.8708205616039983E-13</v>
      </c>
      <c r="P68" s="105">
        <f t="shared" ca="1" si="14"/>
        <v>1.0000292699924469</v>
      </c>
      <c r="Q68" s="106">
        <f t="shared" ca="1" si="15"/>
        <v>7.9193963964731447E-3</v>
      </c>
      <c r="R68" s="107">
        <f t="shared" ca="1" si="16"/>
        <v>35.183530664429043</v>
      </c>
      <c r="S68" s="108">
        <f t="shared" ca="1" si="17"/>
        <v>-91.693660724891274</v>
      </c>
      <c r="T68" s="78">
        <f t="shared" ca="1" si="18"/>
        <v>88.306339275108726</v>
      </c>
      <c r="V68" s="72">
        <f t="shared" ca="1" si="19"/>
        <v>1000000000</v>
      </c>
      <c r="W68" s="72">
        <f t="shared" si="20"/>
        <v>20891.811599999997</v>
      </c>
      <c r="Y68" s="110">
        <f t="shared" si="21"/>
        <v>46.130871022284637</v>
      </c>
      <c r="Z68" s="111">
        <f t="shared" si="22"/>
        <v>-8.5587395818803689</v>
      </c>
      <c r="AA68" s="72">
        <f t="shared" si="23"/>
        <v>171.44126041811964</v>
      </c>
      <c r="AB68" s="110">
        <f t="shared" ca="1" si="24"/>
        <v>6.5538849099783993</v>
      </c>
      <c r="AC68" s="111">
        <f t="shared" ca="1" si="25"/>
        <v>-83.134921143010928</v>
      </c>
      <c r="AD68" s="72">
        <f t="shared" ca="1" si="26"/>
        <v>96.865078856989072</v>
      </c>
    </row>
    <row r="69" spans="1:30">
      <c r="A69" s="115">
        <v>158.49</v>
      </c>
      <c r="B69" s="101">
        <f t="shared" ca="1" si="0"/>
        <v>8.8920940022781547</v>
      </c>
      <c r="C69" s="102">
        <f t="shared" ca="1" si="1"/>
        <v>1.458098469381343</v>
      </c>
      <c r="D69" s="102">
        <f t="shared" si="2"/>
        <v>1.0000109528416359</v>
      </c>
      <c r="E69" s="103">
        <f t="shared" si="3"/>
        <v>4.6803294042671983E-3</v>
      </c>
      <c r="F69" s="101">
        <f t="shared" si="4"/>
        <v>54.181947829750492</v>
      </c>
      <c r="G69" s="104">
        <f t="shared" si="5"/>
        <v>1.5523389471424875</v>
      </c>
      <c r="H69" s="113">
        <f t="shared" si="6"/>
        <v>6.8450295272210617</v>
      </c>
      <c r="I69" s="114">
        <f t="shared" si="7"/>
        <v>1.4241801995295478</v>
      </c>
      <c r="J69" s="101">
        <f t="shared" si="8"/>
        <v>1.0000495818474082</v>
      </c>
      <c r="K69" s="104">
        <f t="shared" si="9"/>
        <v>9.9578912287517085E-3</v>
      </c>
      <c r="L69" s="102">
        <f t="shared" si="10"/>
        <v>1</v>
      </c>
      <c r="M69" s="103">
        <f t="shared" si="11"/>
        <v>6.4728432482805003E-12</v>
      </c>
      <c r="N69" s="101">
        <f t="shared" si="12"/>
        <v>1</v>
      </c>
      <c r="O69" s="104">
        <f t="shared" si="13"/>
        <v>8.6304576643739993E-13</v>
      </c>
      <c r="P69" s="105">
        <f t="shared" ca="1" si="14"/>
        <v>1.0000351924061359</v>
      </c>
      <c r="Q69" s="106">
        <f t="shared" ca="1" si="15"/>
        <v>8.6836886412024073E-3</v>
      </c>
      <c r="R69" s="107">
        <f t="shared" ca="1" si="16"/>
        <v>34.375830692172997</v>
      </c>
      <c r="S69" s="108">
        <f t="shared" ca="1" si="17"/>
        <v>-91.685764588793745</v>
      </c>
      <c r="T69" s="78">
        <f t="shared" ca="1" si="18"/>
        <v>88.314235411206255</v>
      </c>
      <c r="V69" s="72">
        <f t="shared" ca="1" si="19"/>
        <v>1000000000</v>
      </c>
      <c r="W69" s="72">
        <f t="shared" si="20"/>
        <v>25119.080100000003</v>
      </c>
      <c r="Y69" s="110">
        <f t="shared" si="21"/>
        <v>46.112383243430124</v>
      </c>
      <c r="Z69" s="111">
        <f t="shared" si="22"/>
        <v>-7.9135004948826531</v>
      </c>
      <c r="AA69" s="72">
        <f t="shared" si="23"/>
        <v>172.08649950511736</v>
      </c>
      <c r="AB69" s="110">
        <f t="shared" ca="1" si="24"/>
        <v>5.764672716576877</v>
      </c>
      <c r="AC69" s="111">
        <f t="shared" ca="1" si="25"/>
        <v>-83.772264093911119</v>
      </c>
      <c r="AD69" s="72">
        <f t="shared" ca="1" si="26"/>
        <v>96.227735906088881</v>
      </c>
    </row>
    <row r="70" spans="1:30">
      <c r="A70" s="115">
        <v>173.78</v>
      </c>
      <c r="B70" s="101">
        <f t="shared" ca="1" si="0"/>
        <v>9.7395631306893922</v>
      </c>
      <c r="C70" s="102">
        <f t="shared" ca="1" si="1"/>
        <v>1.4679410584177166</v>
      </c>
      <c r="D70" s="102">
        <f t="shared" si="2"/>
        <v>1.000013168071691</v>
      </c>
      <c r="E70" s="103">
        <f t="shared" si="3"/>
        <v>5.1318470737394583E-3</v>
      </c>
      <c r="F70" s="101">
        <f t="shared" si="4"/>
        <v>59.407338678880897</v>
      </c>
      <c r="G70" s="104">
        <f t="shared" si="5"/>
        <v>1.5539625945845192</v>
      </c>
      <c r="H70" s="113">
        <f t="shared" si="6"/>
        <v>7.491903847766328</v>
      </c>
      <c r="I70" s="114">
        <f t="shared" si="7"/>
        <v>1.4369193507186226</v>
      </c>
      <c r="J70" s="101">
        <f t="shared" si="8"/>
        <v>1.0000596096239347</v>
      </c>
      <c r="K70" s="104">
        <f t="shared" si="9"/>
        <v>1.0918485517325027E-2</v>
      </c>
      <c r="L70" s="102">
        <f t="shared" si="10"/>
        <v>1</v>
      </c>
      <c r="M70" s="103">
        <f t="shared" si="11"/>
        <v>7.0972976193209995E-12</v>
      </c>
      <c r="N70" s="101">
        <f t="shared" si="12"/>
        <v>1</v>
      </c>
      <c r="O70" s="104">
        <f t="shared" si="13"/>
        <v>9.463063492427999E-13</v>
      </c>
      <c r="P70" s="105">
        <f t="shared" ca="1" si="14"/>
        <v>1.0000423100246392</v>
      </c>
      <c r="Q70" s="106">
        <f t="shared" ca="1" si="15"/>
        <v>9.52138625315334E-3</v>
      </c>
      <c r="R70" s="107">
        <f t="shared" ca="1" si="16"/>
        <v>33.569620090699395</v>
      </c>
      <c r="S70" s="108">
        <f t="shared" ca="1" si="17"/>
        <v>-91.689996427562377</v>
      </c>
      <c r="T70" s="78">
        <f t="shared" ca="1" si="18"/>
        <v>88.310003572437623</v>
      </c>
      <c r="V70" s="72">
        <f t="shared" ca="1" si="19"/>
        <v>1000000000</v>
      </c>
      <c r="W70" s="72">
        <f t="shared" si="20"/>
        <v>30199.488400000002</v>
      </c>
      <c r="Y70" s="110">
        <f t="shared" si="21"/>
        <v>46.096923857627786</v>
      </c>
      <c r="Z70" s="111">
        <f t="shared" si="22"/>
        <v>-7.3316670408790046</v>
      </c>
      <c r="AA70" s="72">
        <f t="shared" si="23"/>
        <v>172.66833295912099</v>
      </c>
      <c r="AB70" s="110">
        <f t="shared" ca="1" si="24"/>
        <v>4.9739215009055995</v>
      </c>
      <c r="AC70" s="111">
        <f t="shared" ca="1" si="25"/>
        <v>-84.358329386683366</v>
      </c>
      <c r="AD70" s="72">
        <f t="shared" ca="1" si="26"/>
        <v>95.641670613316634</v>
      </c>
    </row>
    <row r="71" spans="1:30">
      <c r="A71" s="115">
        <v>190.55</v>
      </c>
      <c r="B71" s="101">
        <f t="shared" ca="1" si="0"/>
        <v>10.669967482401669</v>
      </c>
      <c r="C71" s="102">
        <f t="shared" ca="1" si="1"/>
        <v>1.4769375820454533</v>
      </c>
      <c r="D71" s="102">
        <f t="shared" si="2"/>
        <v>1.000015832151034</v>
      </c>
      <c r="E71" s="103">
        <f t="shared" si="3"/>
        <v>5.6270671145475541E-3</v>
      </c>
      <c r="F71" s="101">
        <f t="shared" si="4"/>
        <v>65.1386725489714</v>
      </c>
      <c r="G71" s="104">
        <f t="shared" si="5"/>
        <v>1.5554438603569902</v>
      </c>
      <c r="H71" s="113">
        <f t="shared" si="6"/>
        <v>8.2025593009153628</v>
      </c>
      <c r="I71" s="114">
        <f t="shared" si="7"/>
        <v>1.448579124107515</v>
      </c>
      <c r="J71" s="101">
        <f t="shared" si="8"/>
        <v>1.0000716691219556</v>
      </c>
      <c r="K71" s="104">
        <f t="shared" si="9"/>
        <v>1.1972037573569181E-2</v>
      </c>
      <c r="L71" s="102">
        <f t="shared" si="10"/>
        <v>1</v>
      </c>
      <c r="M71" s="103">
        <f t="shared" si="11"/>
        <v>7.7821962329474996E-12</v>
      </c>
      <c r="N71" s="101">
        <f t="shared" si="12"/>
        <v>1</v>
      </c>
      <c r="O71" s="104">
        <f t="shared" si="13"/>
        <v>1.0376261643929999E-12</v>
      </c>
      <c r="P71" s="105">
        <f t="shared" ca="1" si="14"/>
        <v>1.0000508697671224</v>
      </c>
      <c r="Q71" s="106">
        <f t="shared" ca="1" si="15"/>
        <v>1.044015517958493E-2</v>
      </c>
      <c r="R71" s="107">
        <f t="shared" ca="1" si="16"/>
        <v>32.764159313149548</v>
      </c>
      <c r="S71" s="108">
        <f t="shared" ca="1" si="17"/>
        <v>-91.706905383427824</v>
      </c>
      <c r="T71" s="78">
        <f t="shared" ca="1" si="18"/>
        <v>88.293094616572176</v>
      </c>
      <c r="V71" s="72">
        <f t="shared" ca="1" si="19"/>
        <v>1000000000</v>
      </c>
      <c r="W71" s="72">
        <f t="shared" si="20"/>
        <v>36309.302500000005</v>
      </c>
      <c r="Y71" s="110">
        <f t="shared" si="21"/>
        <v>46.083986663945574</v>
      </c>
      <c r="Z71" s="111">
        <f t="shared" si="22"/>
        <v>-6.808845598404992</v>
      </c>
      <c r="AA71" s="72">
        <f t="shared" si="23"/>
        <v>173.19115440159501</v>
      </c>
      <c r="AB71" s="110">
        <f t="shared" ca="1" si="24"/>
        <v>4.1813979170379731</v>
      </c>
      <c r="AC71" s="111">
        <f t="shared" ca="1" si="25"/>
        <v>-84.898059785022838</v>
      </c>
      <c r="AD71" s="72">
        <f t="shared" ca="1" si="26"/>
        <v>95.101940214977162</v>
      </c>
    </row>
    <row r="72" spans="1:30">
      <c r="A72" s="115">
        <v>208.93</v>
      </c>
      <c r="B72" s="101">
        <f t="shared" ca="1" si="0"/>
        <v>11.690521518779008</v>
      </c>
      <c r="C72" s="102">
        <f t="shared" ca="1" si="1"/>
        <v>1.4851522835399671</v>
      </c>
      <c r="D72" s="102">
        <f t="shared" si="2"/>
        <v>1.0000190336873551</v>
      </c>
      <c r="E72" s="103">
        <f t="shared" si="3"/>
        <v>6.1698274625646664E-3</v>
      </c>
      <c r="F72" s="101">
        <f t="shared" si="4"/>
        <v>71.42037836342179</v>
      </c>
      <c r="G72" s="104">
        <f t="shared" si="5"/>
        <v>1.556794263238805</v>
      </c>
      <c r="H72" s="113">
        <f t="shared" si="6"/>
        <v>8.9825094328978512</v>
      </c>
      <c r="I72" s="114">
        <f t="shared" si="7"/>
        <v>1.4592376084059535</v>
      </c>
      <c r="J72" s="101">
        <f t="shared" si="8"/>
        <v>1.0000861613786276</v>
      </c>
      <c r="K72" s="104">
        <f t="shared" si="9"/>
        <v>1.3126705039453386E-2</v>
      </c>
      <c r="L72" s="102">
        <f t="shared" si="10"/>
        <v>1</v>
      </c>
      <c r="M72" s="103">
        <f t="shared" si="11"/>
        <v>8.5328483807384999E-12</v>
      </c>
      <c r="N72" s="101">
        <f t="shared" si="12"/>
        <v>1</v>
      </c>
      <c r="O72" s="104">
        <f t="shared" si="13"/>
        <v>1.1377131174317998E-12</v>
      </c>
      <c r="P72" s="105">
        <f t="shared" ca="1" si="14"/>
        <v>1.00006115630382</v>
      </c>
      <c r="Q72" s="106">
        <f t="shared" ca="1" si="15"/>
        <v>1.1447112032238225E-2</v>
      </c>
      <c r="R72" s="107">
        <f t="shared" ca="1" si="16"/>
        <v>31.959857322537854</v>
      </c>
      <c r="S72" s="108">
        <f t="shared" ca="1" si="17"/>
        <v>-91.737013401600279</v>
      </c>
      <c r="T72" s="116">
        <f t="shared" ca="1" si="18"/>
        <v>88.262986598399721</v>
      </c>
      <c r="V72" s="72">
        <f t="shared" ca="1" si="19"/>
        <v>1000000000</v>
      </c>
      <c r="W72" s="72">
        <f t="shared" si="20"/>
        <v>43651.744900000005</v>
      </c>
      <c r="Y72" s="110">
        <f t="shared" si="21"/>
        <v>46.073162003619615</v>
      </c>
      <c r="Z72" s="111">
        <f t="shared" si="22"/>
        <v>-6.3416893898334497</v>
      </c>
      <c r="AA72" s="72">
        <f t="shared" si="23"/>
        <v>173.65831061016655</v>
      </c>
      <c r="AB72" s="110">
        <f t="shared" ca="1" si="24"/>
        <v>3.387920586752236</v>
      </c>
      <c r="AC72" s="111">
        <f t="shared" ca="1" si="25"/>
        <v>-85.39532401176686</v>
      </c>
      <c r="AD72" s="72">
        <f t="shared" ca="1" si="26"/>
        <v>94.60467598823314</v>
      </c>
    </row>
    <row r="73" spans="1:30">
      <c r="A73" s="115">
        <v>229.09</v>
      </c>
      <c r="B73" s="101">
        <f t="shared" ca="1" si="0"/>
        <v>12.810666109246688</v>
      </c>
      <c r="C73" s="102">
        <f t="shared" ca="1" si="1"/>
        <v>1.4926568806748886</v>
      </c>
      <c r="D73" s="102">
        <f t="shared" si="2"/>
        <v>1.0000228840427925</v>
      </c>
      <c r="E73" s="103">
        <f t="shared" si="3"/>
        <v>6.7651469165762694E-3</v>
      </c>
      <c r="F73" s="101">
        <f t="shared" si="4"/>
        <v>78.31055676402319</v>
      </c>
      <c r="G73" s="104">
        <f t="shared" si="5"/>
        <v>1.558026309306429</v>
      </c>
      <c r="H73" s="113">
        <f t="shared" si="6"/>
        <v>9.8389716979622186</v>
      </c>
      <c r="I73" s="114">
        <f t="shared" si="7"/>
        <v>1.4689838863115088</v>
      </c>
      <c r="J73" s="101">
        <f t="shared" si="8"/>
        <v>1.0001035904001647</v>
      </c>
      <c r="K73" s="104">
        <f t="shared" si="9"/>
        <v>1.4393155212063309E-2</v>
      </c>
      <c r="L73" s="102">
        <f t="shared" si="10"/>
        <v>1</v>
      </c>
      <c r="M73" s="103">
        <f t="shared" si="11"/>
        <v>9.3561969824504997E-12</v>
      </c>
      <c r="N73" s="101">
        <f t="shared" si="12"/>
        <v>1</v>
      </c>
      <c r="O73" s="104">
        <f t="shared" si="13"/>
        <v>1.2474929309933998E-12</v>
      </c>
      <c r="P73" s="105">
        <f t="shared" ca="1" si="14"/>
        <v>1.0000735274006298</v>
      </c>
      <c r="Q73" s="106">
        <f t="shared" ca="1" si="15"/>
        <v>1.2551562917427889E-2</v>
      </c>
      <c r="R73" s="107">
        <f t="shared" ca="1" si="16"/>
        <v>31.155952703590518</v>
      </c>
      <c r="S73" s="108">
        <f t="shared" ca="1" si="17"/>
        <v>-91.780898926355277</v>
      </c>
      <c r="T73" s="116">
        <f t="shared" ca="1" si="18"/>
        <v>88.219101073644723</v>
      </c>
      <c r="V73" s="72">
        <f t="shared" ca="1" si="19"/>
        <v>1000000000</v>
      </c>
      <c r="W73" s="72">
        <f t="shared" si="20"/>
        <v>52482.2281</v>
      </c>
      <c r="Y73" s="110">
        <f t="shared" si="21"/>
        <v>46.064087917632939</v>
      </c>
      <c r="Z73" s="111">
        <f t="shared" si="22"/>
        <v>-5.926422089062835</v>
      </c>
      <c r="AA73" s="72">
        <f t="shared" si="23"/>
        <v>174.07357791093716</v>
      </c>
      <c r="AB73" s="110">
        <f t="shared" ca="1" si="24"/>
        <v>2.5930900537915762</v>
      </c>
      <c r="AC73" s="111">
        <f t="shared" ca="1" si="25"/>
        <v>-85.854476837292452</v>
      </c>
      <c r="AD73" s="72">
        <f t="shared" ca="1" si="26"/>
        <v>94.145523162707548</v>
      </c>
    </row>
    <row r="74" spans="1:30">
      <c r="A74" s="115">
        <v>251.19</v>
      </c>
      <c r="B74" s="101">
        <f t="shared" ca="1" si="0"/>
        <v>14.039292686077964</v>
      </c>
      <c r="C74" s="102">
        <f t="shared" ca="1" si="1"/>
        <v>1.4995072992229068</v>
      </c>
      <c r="D74" s="102">
        <f t="shared" si="2"/>
        <v>1.0000275121273838</v>
      </c>
      <c r="E74" s="103">
        <f t="shared" si="3"/>
        <v>7.417748530979343E-3</v>
      </c>
      <c r="F74" s="101">
        <f t="shared" si="4"/>
        <v>85.863891730606511</v>
      </c>
      <c r="G74" s="104">
        <f t="shared" si="5"/>
        <v>1.5591497243939727</v>
      </c>
      <c r="H74" s="113">
        <f t="shared" si="6"/>
        <v>10.778746378235878</v>
      </c>
      <c r="I74" s="114">
        <f t="shared" si="7"/>
        <v>1.4778875516515053</v>
      </c>
      <c r="J74" s="101">
        <f t="shared" si="8"/>
        <v>1.0001245395778688</v>
      </c>
      <c r="K74" s="104">
        <f t="shared" si="9"/>
        <v>1.5781422886012593E-2</v>
      </c>
      <c r="L74" s="102">
        <f t="shared" si="10"/>
        <v>1</v>
      </c>
      <c r="M74" s="103">
        <f t="shared" si="11"/>
        <v>1.0258776550795499E-11</v>
      </c>
      <c r="N74" s="101">
        <f t="shared" si="12"/>
        <v>1</v>
      </c>
      <c r="O74" s="104">
        <f t="shared" si="13"/>
        <v>1.3678368734393997E-12</v>
      </c>
      <c r="P74" s="105">
        <f t="shared" ca="1" si="14"/>
        <v>1.0000883971835288</v>
      </c>
      <c r="Q74" s="106">
        <f t="shared" ca="1" si="15"/>
        <v>1.3762263529858983E-2</v>
      </c>
      <c r="R74" s="107">
        <f t="shared" ca="1" si="16"/>
        <v>30.35277718878644</v>
      </c>
      <c r="S74" s="108">
        <f t="shared" ca="1" si="17"/>
        <v>-91.839142089744669</v>
      </c>
      <c r="T74" s="116">
        <f t="shared" ca="1" si="18"/>
        <v>88.160857910255331</v>
      </c>
      <c r="V74" s="72">
        <f t="shared" ca="1" si="19"/>
        <v>1000000000</v>
      </c>
      <c r="W74" s="72">
        <f t="shared" si="20"/>
        <v>63096.416100000002</v>
      </c>
      <c r="Y74" s="110">
        <f t="shared" si="21"/>
        <v>46.056471672422646</v>
      </c>
      <c r="Z74" s="111">
        <f t="shared" si="22"/>
        <v>-5.5601884641301451</v>
      </c>
      <c r="AA74" s="72">
        <f t="shared" si="23"/>
        <v>174.43981153586986</v>
      </c>
      <c r="AB74" s="110">
        <f t="shared" ca="1" si="24"/>
        <v>1.7975307841977897</v>
      </c>
      <c r="AC74" s="111">
        <f t="shared" ca="1" si="25"/>
        <v>-86.278953625614548</v>
      </c>
      <c r="AD74" s="72">
        <f t="shared" ca="1" si="26"/>
        <v>93.721046374385452</v>
      </c>
    </row>
    <row r="75" spans="1:30">
      <c r="A75" s="115">
        <v>275.42</v>
      </c>
      <c r="B75" s="101">
        <f t="shared" ca="1" si="0"/>
        <v>15.386964789577739</v>
      </c>
      <c r="C75" s="102">
        <f t="shared" ca="1" si="1"/>
        <v>1.5057604144700554</v>
      </c>
      <c r="D75" s="102">
        <f t="shared" si="2"/>
        <v>1.0000330757135121</v>
      </c>
      <c r="E75" s="103">
        <f t="shared" si="3"/>
        <v>8.1332406664044524E-3</v>
      </c>
      <c r="F75" s="101">
        <f t="shared" si="4"/>
        <v>94.145321393916234</v>
      </c>
      <c r="G75" s="104">
        <f t="shared" si="5"/>
        <v>1.5601742503051386</v>
      </c>
      <c r="H75" s="113">
        <f t="shared" si="6"/>
        <v>11.80991475702446</v>
      </c>
      <c r="I75" s="114">
        <f t="shared" si="7"/>
        <v>1.4860201994746105</v>
      </c>
      <c r="J75" s="101">
        <f t="shared" si="8"/>
        <v>1.0001497228816767</v>
      </c>
      <c r="K75" s="104">
        <f t="shared" si="9"/>
        <v>1.7303421816427311E-2</v>
      </c>
      <c r="L75" s="102">
        <f t="shared" si="10"/>
        <v>1</v>
      </c>
      <c r="M75" s="103">
        <f t="shared" si="11"/>
        <v>1.1248346819619001E-11</v>
      </c>
      <c r="N75" s="101">
        <f t="shared" si="12"/>
        <v>1</v>
      </c>
      <c r="O75" s="104">
        <f t="shared" si="13"/>
        <v>1.4997795759491999E-12</v>
      </c>
      <c r="P75" s="105">
        <f t="shared" ca="1" si="14"/>
        <v>1.0001062724816849</v>
      </c>
      <c r="Q75" s="106">
        <f t="shared" ca="1" si="15"/>
        <v>1.508960972627125E-2</v>
      </c>
      <c r="R75" s="107">
        <f t="shared" ca="1" si="16"/>
        <v>29.550103640199332</v>
      </c>
      <c r="S75" s="108">
        <f t="shared" ca="1" si="17"/>
        <v>-91.912414586939889</v>
      </c>
      <c r="T75" s="116">
        <f t="shared" ca="1" si="18"/>
        <v>88.087585413060111</v>
      </c>
      <c r="V75" s="72">
        <f t="shared" ca="1" si="19"/>
        <v>1000000000</v>
      </c>
      <c r="W75" s="72">
        <f t="shared" si="20"/>
        <v>75856.176400000011</v>
      </c>
      <c r="Y75" s="110">
        <f t="shared" si="21"/>
        <v>46.050059685030298</v>
      </c>
      <c r="Z75" s="111">
        <f t="shared" si="22"/>
        <v>-5.2401271930328797</v>
      </c>
      <c r="AA75" s="72">
        <f t="shared" si="23"/>
        <v>174.75987280696711</v>
      </c>
      <c r="AB75" s="110">
        <f t="shared" ca="1" si="24"/>
        <v>1.0012692230030305</v>
      </c>
      <c r="AC75" s="111">
        <f t="shared" ca="1" si="25"/>
        <v>-86.672287393907013</v>
      </c>
      <c r="AD75" s="72">
        <f t="shared" ca="1" si="26"/>
        <v>93.327712606092987</v>
      </c>
    </row>
    <row r="76" spans="1:30">
      <c r="A76" s="115">
        <v>302</v>
      </c>
      <c r="B76" s="101">
        <f t="shared" ca="1" si="0"/>
        <v>16.865919887215625</v>
      </c>
      <c r="C76" s="102">
        <f t="shared" ca="1" si="1"/>
        <v>1.5114703699241356</v>
      </c>
      <c r="D76" s="102">
        <f t="shared" si="2"/>
        <v>1.0000397677212962</v>
      </c>
      <c r="E76" s="103">
        <f t="shared" si="3"/>
        <v>8.9181167796783534E-3</v>
      </c>
      <c r="F76" s="101">
        <f t="shared" si="4"/>
        <v>103.23003832170761</v>
      </c>
      <c r="G76" s="104">
        <f t="shared" si="5"/>
        <v>1.56110907241708</v>
      </c>
      <c r="H76" s="113">
        <f t="shared" si="6"/>
        <v>12.941841549252432</v>
      </c>
      <c r="I76" s="114">
        <f t="shared" si="7"/>
        <v>1.4934504748933426</v>
      </c>
      <c r="J76" s="101">
        <f t="shared" si="8"/>
        <v>1.0001800132771581</v>
      </c>
      <c r="K76" s="104">
        <f t="shared" si="9"/>
        <v>1.8972942698598991E-2</v>
      </c>
      <c r="L76" s="102">
        <f t="shared" si="10"/>
        <v>1</v>
      </c>
      <c r="M76" s="103">
        <f t="shared" si="11"/>
        <v>1.2333892743899999E-11</v>
      </c>
      <c r="N76" s="101">
        <f t="shared" si="12"/>
        <v>1</v>
      </c>
      <c r="O76" s="104">
        <f t="shared" si="13"/>
        <v>1.6445190325199997E-12</v>
      </c>
      <c r="P76" s="105">
        <f t="shared" ca="1" si="14"/>
        <v>1.0001277730070306</v>
      </c>
      <c r="Q76" s="106">
        <f t="shared" ca="1" si="15"/>
        <v>1.6545636318973853E-2</v>
      </c>
      <c r="R76" s="107">
        <f t="shared" ca="1" si="16"/>
        <v>28.747409900826248</v>
      </c>
      <c r="S76" s="108">
        <f t="shared" ca="1" si="17"/>
        <v>-92.001519465457733</v>
      </c>
      <c r="T76" s="116">
        <f t="shared" ca="1" si="18"/>
        <v>87.998480534542267</v>
      </c>
      <c r="V76" s="72">
        <f t="shared" ca="1" si="19"/>
        <v>1000000000</v>
      </c>
      <c r="W76" s="72">
        <f t="shared" si="20"/>
        <v>91204</v>
      </c>
      <c r="Y76" s="110">
        <f t="shared" si="21"/>
        <v>46.04463601362167</v>
      </c>
      <c r="Z76" s="111">
        <f t="shared" si="22"/>
        <v>-4.9636216325170084</v>
      </c>
      <c r="AA76" s="72">
        <f t="shared" si="23"/>
        <v>175.036378367483</v>
      </c>
      <c r="AB76" s="110">
        <f t="shared" ca="1" si="24"/>
        <v>0.20399915503857974</v>
      </c>
      <c r="AC76" s="111">
        <f t="shared" ca="1" si="25"/>
        <v>-87.037897832940743</v>
      </c>
      <c r="AD76" s="72">
        <f t="shared" ca="1" si="26"/>
        <v>92.962102167059257</v>
      </c>
    </row>
    <row r="77" spans="1:30">
      <c r="A77" s="115">
        <v>331.13</v>
      </c>
      <c r="B77" s="101">
        <f t="shared" ca="1" si="0"/>
        <v>18.487286842951999</v>
      </c>
      <c r="C77" s="102">
        <f t="shared" ca="1" si="1"/>
        <v>1.5166786893549857</v>
      </c>
      <c r="D77" s="102">
        <f t="shared" si="2"/>
        <v>1.0000478092722169</v>
      </c>
      <c r="E77" s="103">
        <f t="shared" si="3"/>
        <v>9.7782787363316793E-3</v>
      </c>
      <c r="F77" s="101">
        <f t="shared" si="4"/>
        <v>113.18640005042113</v>
      </c>
      <c r="G77" s="104">
        <f t="shared" si="5"/>
        <v>1.561961228147877</v>
      </c>
      <c r="H77" s="113">
        <f t="shared" si="6"/>
        <v>14.183045091528946</v>
      </c>
      <c r="I77" s="114">
        <f t="shared" si="7"/>
        <v>1.5002310578099547</v>
      </c>
      <c r="J77" s="101">
        <f t="shared" si="8"/>
        <v>1.0002164112371414</v>
      </c>
      <c r="K77" s="104">
        <f t="shared" si="9"/>
        <v>2.0802510240885426E-2</v>
      </c>
      <c r="L77" s="102">
        <f t="shared" si="10"/>
        <v>1</v>
      </c>
      <c r="M77" s="103">
        <f t="shared" si="11"/>
        <v>1.3523582464528499E-11</v>
      </c>
      <c r="N77" s="101">
        <f t="shared" si="12"/>
        <v>1</v>
      </c>
      <c r="O77" s="104">
        <f t="shared" si="13"/>
        <v>1.8031443286037997E-12</v>
      </c>
      <c r="P77" s="105">
        <f t="shared" ca="1" si="14"/>
        <v>1.000153609015868</v>
      </c>
      <c r="Q77" s="106">
        <f t="shared" ca="1" si="15"/>
        <v>1.8141276709730158E-2</v>
      </c>
      <c r="R77" s="107">
        <f t="shared" ca="1" si="16"/>
        <v>27.945381285317794</v>
      </c>
      <c r="S77" s="108">
        <f t="shared" ca="1" si="17"/>
        <v>-92.107226639069467</v>
      </c>
      <c r="T77" s="116">
        <f t="shared" ca="1" si="18"/>
        <v>87.892773360930533</v>
      </c>
      <c r="V77" s="72">
        <f t="shared" ca="1" si="19"/>
        <v>1000000000</v>
      </c>
      <c r="W77" s="72">
        <f t="shared" si="20"/>
        <v>109647.0769</v>
      </c>
      <c r="Y77" s="110">
        <f t="shared" si="21"/>
        <v>46.040024861197082</v>
      </c>
      <c r="Z77" s="111">
        <f t="shared" si="22"/>
        <v>-4.7287742737989058</v>
      </c>
      <c r="AA77" s="72">
        <f t="shared" si="23"/>
        <v>175.2712257262011</v>
      </c>
      <c r="AB77" s="110">
        <f t="shared" ca="1" si="24"/>
        <v>-0.59341830804529305</v>
      </c>
      <c r="AC77" s="111">
        <f t="shared" ca="1" si="25"/>
        <v>-87.378452365270576</v>
      </c>
      <c r="AD77" s="72">
        <f t="shared" ca="1" si="26"/>
        <v>92.621547634729424</v>
      </c>
    </row>
    <row r="78" spans="1:30">
      <c r="A78" s="115">
        <v>363.08</v>
      </c>
      <c r="B78" s="101">
        <f t="shared" ref="B78:B141" ca="1" si="27">SQRT(1+(A78/Pole1)^2)</f>
        <v>20.266094065393698</v>
      </c>
      <c r="C78" s="102">
        <f t="shared" ref="C78:C141" ca="1" si="28">ATAN(A78/Pole1)</f>
        <v>1.5214327820066844</v>
      </c>
      <c r="D78" s="102">
        <f t="shared" ref="D78:D141" si="29">SQRT(1+(A78/Zero1)^2)</f>
        <v>1.0000574801149544</v>
      </c>
      <c r="E78" s="103">
        <f t="shared" ref="E78:E141" si="30">ATAN(A78/Zero1)</f>
        <v>1.0721694062651815E-2</v>
      </c>
      <c r="F78" s="101">
        <f t="shared" ref="F78:F141" si="31">SQRT(1+(A78/Pole2)^2)</f>
        <v>124.10669003565769</v>
      </c>
      <c r="G78" s="104">
        <f t="shared" ref="G78:G141" si="32">ATAN(A78/Pole2)</f>
        <v>1.5627386562470498</v>
      </c>
      <c r="H78" s="113">
        <f t="shared" ref="H78:H141" si="33">SQRT(1+(A78/Zero2)^2)</f>
        <v>15.545030612509469</v>
      </c>
      <c r="I78" s="114">
        <f t="shared" ref="I78:I141" si="34">ATAN(A78/Zero2)</f>
        <v>1.5064226358698765</v>
      </c>
      <c r="J78" s="101">
        <f t="shared" ref="J78:J141" si="35">SQRT(1+(A78/pole4)^2)</f>
        <v>1.0002601823903905</v>
      </c>
      <c r="K78" s="104">
        <f t="shared" ref="K78:K141" si="36">ATAN(A78/pole4)</f>
        <v>2.2809032882413632E-2</v>
      </c>
      <c r="L78" s="102">
        <f t="shared" ref="L78:L141" si="37">SQRT(1+(A78/Zerofeed)^2)</f>
        <v>1</v>
      </c>
      <c r="M78" s="103">
        <f t="shared" ref="M78:M141" si="38">ATAN(A78/Zerofeed)</f>
        <v>1.4828442971705998E-11</v>
      </c>
      <c r="N78" s="101">
        <f t="shared" ref="N78:N141" si="39">SQRT(1+(A78/Polefeed)^2)</f>
        <v>1</v>
      </c>
      <c r="O78" s="104">
        <f t="shared" ref="O78:O141" si="40">ATAN(A78/Polefeed)</f>
        <v>1.9771257295607997E-12</v>
      </c>
      <c r="P78" s="105">
        <f t="shared" ref="P78:P141" ca="1" si="41">SQRT((1-(W78/pterm2))^2+(A78/pterm1)^2)</f>
        <v>1.0001846790323079</v>
      </c>
      <c r="Q78" s="106">
        <f t="shared" ref="Q78:Q141" ca="1" si="42">IF((ATAN((A78/pterm1)/(1-A78^2/pterm2))&gt;0),ATAN((A78/pterm1)/(1-A78^2/pterm2)),PI()+ATAN((A78/pterm1)/(1-A78^2/pterm2)))</f>
        <v>1.9891291038692326E-2</v>
      </c>
      <c r="R78" s="107">
        <f t="shared" ref="R78:R141" ca="1" si="43">20*LOG10(((D78*H78*L78)/(B78*F78*P78*J78*N78))*Adc)</f>
        <v>27.143300909481219</v>
      </c>
      <c r="S78" s="108">
        <f t="shared" ref="S78:S141" ca="1" si="44">((E78+I78+M78)-(C78+G78+Q78+K78+O78))*radconv</f>
        <v>-92.230588138568152</v>
      </c>
      <c r="T78" s="116">
        <f t="shared" ref="T78:T141" ca="1" si="45">IF(S78&gt;0,S78,S78+180)</f>
        <v>87.769411861431848</v>
      </c>
      <c r="V78" s="72">
        <f t="shared" ref="V78:V141" ca="1" si="46">IF(R78&lt;0,A78,1000000000)</f>
        <v>1000000000</v>
      </c>
      <c r="W78" s="72">
        <f t="shared" ref="W78:W141" si="47">A78^2</f>
        <v>131827.0864</v>
      </c>
      <c r="Y78" s="110">
        <f t="shared" ref="Y78:Y141" si="48">20*LOG10(((H78*L78)/(F78*J78*N78))*Aea)</f>
        <v>46.036067804086905</v>
      </c>
      <c r="Z78" s="111">
        <f t="shared" ref="Z78:Z141" si="49">(I78+M78-(G78+K78+O78))*radconv</f>
        <v>-4.5335316099661753</v>
      </c>
      <c r="AA78" s="72">
        <f t="shared" ref="AA78:AA141" si="50">IF(Z78&gt;0,Z78,Z78+180)</f>
        <v>175.46646839003381</v>
      </c>
      <c r="AB78" s="110">
        <f t="shared" ref="AB78:AB141" ca="1" si="51">20*LOG10((D78/(B78*P78))*Acs*Am)</f>
        <v>-1.3915416267716905</v>
      </c>
      <c r="AC78" s="111">
        <f t="shared" ref="AC78:AC141" ca="1" si="52">(E78-(C78+Q78))*radconv</f>
        <v>-87.697056528601976</v>
      </c>
      <c r="AD78" s="72">
        <f t="shared" ref="AD78:AD141" ca="1" si="53">IF(AC78&gt;0,AC78,AC78+180)</f>
        <v>92.302943471398024</v>
      </c>
    </row>
    <row r="79" spans="1:30">
      <c r="A79" s="115">
        <v>398.11</v>
      </c>
      <c r="B79" s="101">
        <f t="shared" ca="1" si="27"/>
        <v>22.216817457495274</v>
      </c>
      <c r="C79" s="102">
        <f t="shared" ca="1" si="28"/>
        <v>1.5257701670237467</v>
      </c>
      <c r="D79" s="102">
        <f t="shared" si="29"/>
        <v>1.0000691061380256</v>
      </c>
      <c r="E79" s="103">
        <f t="shared" si="30"/>
        <v>1.1756033220858057E-2</v>
      </c>
      <c r="F79" s="101">
        <f t="shared" si="31"/>
        <v>136.07977451312027</v>
      </c>
      <c r="G79" s="104">
        <f t="shared" si="32"/>
        <v>1.5634476300161724</v>
      </c>
      <c r="H79" s="113">
        <f t="shared" si="33"/>
        <v>17.038882478550004</v>
      </c>
      <c r="I79" s="114">
        <f t="shared" si="34"/>
        <v>1.5120732875860974</v>
      </c>
      <c r="J79" s="101">
        <f t="shared" si="35"/>
        <v>1.0003128009005902</v>
      </c>
      <c r="K79" s="104">
        <f t="shared" si="36"/>
        <v>2.5008773874200453E-2</v>
      </c>
      <c r="L79" s="102">
        <f t="shared" si="37"/>
        <v>1</v>
      </c>
      <c r="M79" s="103">
        <f t="shared" si="38"/>
        <v>1.6259092848589501E-11</v>
      </c>
      <c r="N79" s="101">
        <f t="shared" si="39"/>
        <v>1</v>
      </c>
      <c r="O79" s="104">
        <f t="shared" si="40"/>
        <v>2.1678790464785997E-12</v>
      </c>
      <c r="P79" s="105">
        <f t="shared" ca="1" si="41"/>
        <v>1.0002220296843505</v>
      </c>
      <c r="Q79" s="106">
        <f t="shared" ca="1" si="42"/>
        <v>2.1809881457218398E-2</v>
      </c>
      <c r="R79" s="107">
        <f t="shared" ca="1" si="43"/>
        <v>26.341407526008563</v>
      </c>
      <c r="S79" s="108">
        <f t="shared" ca="1" si="44"/>
        <v>-92.372664444275557</v>
      </c>
      <c r="T79" s="116">
        <f t="shared" ca="1" si="45"/>
        <v>87.627335555724443</v>
      </c>
      <c r="V79" s="72">
        <f t="shared" ca="1" si="46"/>
        <v>1000000000</v>
      </c>
      <c r="W79" s="72">
        <f t="shared" si="47"/>
        <v>158491.57210000002</v>
      </c>
      <c r="Y79" s="110">
        <f t="shared" si="48"/>
        <v>46.032633654244236</v>
      </c>
      <c r="Z79" s="111">
        <f t="shared" si="49"/>
        <v>-4.376430194485323</v>
      </c>
      <c r="AA79" s="72">
        <f t="shared" si="50"/>
        <v>175.62356980551468</v>
      </c>
      <c r="AB79" s="110">
        <f t="shared" ca="1" si="51"/>
        <v>-2.190000860401669</v>
      </c>
      <c r="AC79" s="111">
        <f t="shared" ca="1" si="52"/>
        <v>-87.996234249790206</v>
      </c>
      <c r="AD79" s="72">
        <f t="shared" ca="1" si="53"/>
        <v>92.003765750209794</v>
      </c>
    </row>
    <row r="80" spans="1:30">
      <c r="A80" s="115">
        <v>436.52</v>
      </c>
      <c r="B80" s="101">
        <f t="shared" ca="1" si="27"/>
        <v>24.356163392153611</v>
      </c>
      <c r="C80" s="102">
        <f t="shared" ca="1" si="28"/>
        <v>1.529727413415783</v>
      </c>
      <c r="D80" s="102">
        <f t="shared" si="29"/>
        <v>1.0000830836768655</v>
      </c>
      <c r="E80" s="103">
        <f t="shared" si="30"/>
        <v>1.2890145449824192E-2</v>
      </c>
      <c r="F80" s="101">
        <f t="shared" si="31"/>
        <v>149.20819202535904</v>
      </c>
      <c r="G80" s="104">
        <f t="shared" si="32"/>
        <v>1.5640942317369011</v>
      </c>
      <c r="H80" s="113">
        <f t="shared" si="33"/>
        <v>18.677394662179704</v>
      </c>
      <c r="I80" s="114">
        <f t="shared" si="34"/>
        <v>1.5172300557777181</v>
      </c>
      <c r="J80" s="101">
        <f t="shared" si="35"/>
        <v>1.0003760593409043</v>
      </c>
      <c r="K80" s="104">
        <f t="shared" si="36"/>
        <v>2.7420486071096362E-2</v>
      </c>
      <c r="L80" s="102">
        <f t="shared" si="37"/>
        <v>1</v>
      </c>
      <c r="M80" s="103">
        <f t="shared" si="38"/>
        <v>1.7827784306513997E-11</v>
      </c>
      <c r="N80" s="101">
        <f t="shared" si="39"/>
        <v>1</v>
      </c>
      <c r="O80" s="104">
        <f t="shared" si="40"/>
        <v>2.3770379075351995E-12</v>
      </c>
      <c r="P80" s="105">
        <f t="shared" ca="1" si="41"/>
        <v>1.000266933733865</v>
      </c>
      <c r="Q80" s="106">
        <f t="shared" ca="1" si="42"/>
        <v>2.3913427633808056E-2</v>
      </c>
      <c r="R80" s="107">
        <f t="shared" ca="1" si="43"/>
        <v>25.539571102675893</v>
      </c>
      <c r="S80" s="108">
        <f t="shared" ca="1" si="44"/>
        <v>-92.534709861454274</v>
      </c>
      <c r="T80" s="116">
        <f t="shared" ca="1" si="45"/>
        <v>87.465290138545726</v>
      </c>
      <c r="V80" s="72">
        <f t="shared" ca="1" si="46"/>
        <v>1000000000</v>
      </c>
      <c r="W80" s="72">
        <f t="shared" si="47"/>
        <v>190549.71039999998</v>
      </c>
      <c r="Y80" s="110">
        <f t="shared" si="48"/>
        <v>46.02960641178985</v>
      </c>
      <c r="Z80" s="111">
        <f t="shared" si="49"/>
        <v>-4.2561976208688712</v>
      </c>
      <c r="AA80" s="72">
        <f t="shared" si="50"/>
        <v>175.74380237913113</v>
      </c>
      <c r="AB80" s="110">
        <f t="shared" ca="1" si="51"/>
        <v>-2.9888100412799523</v>
      </c>
      <c r="AC80" s="111">
        <f t="shared" ca="1" si="52"/>
        <v>-88.278512240585357</v>
      </c>
      <c r="AD80" s="72">
        <f t="shared" ca="1" si="53"/>
        <v>91.721487759414643</v>
      </c>
    </row>
    <row r="81" spans="1:30">
      <c r="A81" s="115">
        <v>478.63</v>
      </c>
      <c r="B81" s="101">
        <f t="shared" ca="1" si="27"/>
        <v>26.701955230117623</v>
      </c>
      <c r="C81" s="102">
        <f t="shared" ca="1" si="28"/>
        <v>1.533337125962652</v>
      </c>
      <c r="D81" s="102">
        <f t="shared" si="29"/>
        <v>1.000099885764747</v>
      </c>
      <c r="E81" s="103">
        <f t="shared" si="30"/>
        <v>1.4133467454983149E-2</v>
      </c>
      <c r="F81" s="101">
        <f t="shared" si="31"/>
        <v>163.60131755821396</v>
      </c>
      <c r="G81" s="104">
        <f t="shared" si="32"/>
        <v>1.5646838685214743</v>
      </c>
      <c r="H81" s="113">
        <f t="shared" si="33"/>
        <v>20.474218203474663</v>
      </c>
      <c r="I81" s="114">
        <f t="shared" si="34"/>
        <v>1.5219349731534932</v>
      </c>
      <c r="J81" s="101">
        <f t="shared" si="35"/>
        <v>1.0004520967781307</v>
      </c>
      <c r="K81" s="104">
        <f t="shared" si="36"/>
        <v>3.0064148668061959E-2</v>
      </c>
      <c r="L81" s="102">
        <f t="shared" si="37"/>
        <v>1</v>
      </c>
      <c r="M81" s="103">
        <f t="shared" si="38"/>
        <v>1.9547586370903498E-11</v>
      </c>
      <c r="N81" s="101">
        <f t="shared" si="39"/>
        <v>1</v>
      </c>
      <c r="O81" s="104">
        <f t="shared" si="40"/>
        <v>2.6063448494537994E-12</v>
      </c>
      <c r="P81" s="105">
        <f t="shared" ca="1" si="41"/>
        <v>1.0003209100671815</v>
      </c>
      <c r="Q81" s="106">
        <f t="shared" ca="1" si="42"/>
        <v>2.6219386965650793E-2</v>
      </c>
      <c r="R81" s="107">
        <f t="shared" ca="1" si="43"/>
        <v>24.737842520879489</v>
      </c>
      <c r="S81" s="108">
        <f t="shared" ca="1" si="44"/>
        <v>-92.718098289616208</v>
      </c>
      <c r="T81" s="116">
        <f t="shared" ca="1" si="45"/>
        <v>87.281901710383792</v>
      </c>
      <c r="V81" s="72">
        <f t="shared" ca="1" si="46"/>
        <v>1000000000</v>
      </c>
      <c r="W81" s="72">
        <f t="shared" si="47"/>
        <v>229086.67689999999</v>
      </c>
      <c r="Y81" s="110">
        <f t="shared" si="48"/>
        <v>46.02688428841951</v>
      </c>
      <c r="Z81" s="111">
        <f t="shared" si="49"/>
        <v>-4.1718801205618767</v>
      </c>
      <c r="AA81" s="72">
        <f t="shared" si="50"/>
        <v>175.82811987943813</v>
      </c>
      <c r="AB81" s="110">
        <f t="shared" ca="1" si="51"/>
        <v>-3.7878164997060191</v>
      </c>
      <c r="AC81" s="111">
        <f t="shared" ca="1" si="52"/>
        <v>-88.546218169054328</v>
      </c>
      <c r="AD81" s="72">
        <f t="shared" ca="1" si="53"/>
        <v>91.453781830945672</v>
      </c>
    </row>
    <row r="82" spans="1:30">
      <c r="A82" s="115">
        <v>524.80999999999995</v>
      </c>
      <c r="B82" s="101">
        <f t="shared" ca="1" si="27"/>
        <v>29.274804455004759</v>
      </c>
      <c r="C82" s="102">
        <f t="shared" ca="1" si="28"/>
        <v>1.5366306134982399</v>
      </c>
      <c r="D82" s="102">
        <f t="shared" si="29"/>
        <v>1.0001200890980884</v>
      </c>
      <c r="E82" s="103">
        <f t="shared" si="30"/>
        <v>1.5496908175092418E-2</v>
      </c>
      <c r="F82" s="101">
        <f t="shared" si="31"/>
        <v>179.38561647787154</v>
      </c>
      <c r="G82" s="104">
        <f t="shared" si="32"/>
        <v>1.5652217149668353</v>
      </c>
      <c r="H82" s="113">
        <f t="shared" si="33"/>
        <v>22.445141247309103</v>
      </c>
      <c r="I82" s="114">
        <f t="shared" si="34"/>
        <v>1.5262285018829427</v>
      </c>
      <c r="J82" s="101">
        <f t="shared" si="35"/>
        <v>1.0005435205081392</v>
      </c>
      <c r="K82" s="104">
        <f t="shared" si="36"/>
        <v>3.2962841002506224E-2</v>
      </c>
      <c r="L82" s="102">
        <f t="shared" si="37"/>
        <v>1</v>
      </c>
      <c r="M82" s="103">
        <f t="shared" si="38"/>
        <v>2.1433610102404495E-11</v>
      </c>
      <c r="N82" s="101">
        <f t="shared" si="39"/>
        <v>1</v>
      </c>
      <c r="O82" s="104">
        <f t="shared" si="40"/>
        <v>2.8578146803205992E-12</v>
      </c>
      <c r="P82" s="105">
        <f t="shared" ca="1" si="41"/>
        <v>1.0003858101898409</v>
      </c>
      <c r="Q82" s="106">
        <f t="shared" ca="1" si="42"/>
        <v>2.8747931653514438E-2</v>
      </c>
      <c r="R82" s="107">
        <f t="shared" ca="1" si="43"/>
        <v>23.935925875383472</v>
      </c>
      <c r="S82" s="108">
        <f t="shared" ca="1" si="44"/>
        <v>-92.924454858272995</v>
      </c>
      <c r="T82" s="116">
        <f t="shared" ca="1" si="45"/>
        <v>87.075545141727005</v>
      </c>
      <c r="V82" s="72">
        <f t="shared" ca="1" si="46"/>
        <v>1000000000</v>
      </c>
      <c r="W82" s="72">
        <f t="shared" si="47"/>
        <v>275425.53609999997</v>
      </c>
      <c r="Y82" s="110">
        <f t="shared" si="48"/>
        <v>46.024374482829622</v>
      </c>
      <c r="Z82" s="111">
        <f t="shared" si="49"/>
        <v>-4.1227782132123787</v>
      </c>
      <c r="AA82" s="72">
        <f t="shared" si="50"/>
        <v>175.87722178678763</v>
      </c>
      <c r="AB82" s="110">
        <f t="shared" ca="1" si="51"/>
        <v>-4.5872233396121445</v>
      </c>
      <c r="AC82" s="111">
        <f t="shared" ca="1" si="52"/>
        <v>-88.801676645060624</v>
      </c>
      <c r="AD82" s="72">
        <f t="shared" ca="1" si="53"/>
        <v>91.198323354939376</v>
      </c>
    </row>
    <row r="83" spans="1:30">
      <c r="A83" s="115">
        <v>575.44000000000005</v>
      </c>
      <c r="B83" s="101">
        <f t="shared" ca="1" si="27"/>
        <v>32.095882328125285</v>
      </c>
      <c r="C83" s="102">
        <f t="shared" ca="1" si="28"/>
        <v>1.5396346391395104</v>
      </c>
      <c r="D83" s="102">
        <f t="shared" si="29"/>
        <v>1.0001443757325639</v>
      </c>
      <c r="E83" s="103">
        <f t="shared" si="30"/>
        <v>1.699166645212587E-2</v>
      </c>
      <c r="F83" s="101">
        <f t="shared" si="31"/>
        <v>196.6909725824778</v>
      </c>
      <c r="G83" s="104">
        <f t="shared" si="32"/>
        <v>1.5657121874723741</v>
      </c>
      <c r="H83" s="113">
        <f t="shared" si="33"/>
        <v>24.606382141961994</v>
      </c>
      <c r="I83" s="114">
        <f t="shared" si="34"/>
        <v>1.5301452686496972</v>
      </c>
      <c r="J83" s="101">
        <f t="shared" si="35"/>
        <v>1.0006534133011737</v>
      </c>
      <c r="K83" s="104">
        <f t="shared" si="36"/>
        <v>3.6140218833243594E-2</v>
      </c>
      <c r="L83" s="102">
        <f t="shared" si="37"/>
        <v>1</v>
      </c>
      <c r="M83" s="103">
        <f t="shared" si="38"/>
        <v>2.3501374968708001E-11</v>
      </c>
      <c r="N83" s="101">
        <f t="shared" si="39"/>
        <v>1</v>
      </c>
      <c r="O83" s="104">
        <f t="shared" si="40"/>
        <v>3.1335166624943998E-12</v>
      </c>
      <c r="P83" s="105">
        <f t="shared" ca="1" si="41"/>
        <v>1.0004638234848473</v>
      </c>
      <c r="Q83" s="106">
        <f t="shared" ca="1" si="42"/>
        <v>3.1519750797120487E-2</v>
      </c>
      <c r="R83" s="107">
        <f t="shared" ca="1" si="43"/>
        <v>23.133971425666203</v>
      </c>
      <c r="S83" s="108">
        <f t="shared" ca="1" si="44"/>
        <v>-93.155481186146247</v>
      </c>
      <c r="T83" s="116">
        <f t="shared" ca="1" si="45"/>
        <v>86.844518813853753</v>
      </c>
      <c r="V83" s="72">
        <f t="shared" ca="1" si="46"/>
        <v>1000000000</v>
      </c>
      <c r="W83" s="72">
        <f t="shared" si="47"/>
        <v>331131.19360000006</v>
      </c>
      <c r="Y83" s="110">
        <f t="shared" si="48"/>
        <v>46.021992762722604</v>
      </c>
      <c r="Z83" s="111">
        <f t="shared" si="49"/>
        <v>-4.1085163521755259</v>
      </c>
      <c r="AA83" s="72">
        <f t="shared" si="50"/>
        <v>175.89148364782449</v>
      </c>
      <c r="AB83" s="110">
        <f t="shared" ca="1" si="51"/>
        <v>-5.3867960692224042</v>
      </c>
      <c r="AC83" s="111">
        <f t="shared" ca="1" si="52"/>
        <v>-89.046964833970719</v>
      </c>
      <c r="AD83" s="72">
        <f t="shared" ca="1" si="53"/>
        <v>90.953035166029281</v>
      </c>
    </row>
    <row r="84" spans="1:30">
      <c r="A84" s="115">
        <v>630.96</v>
      </c>
      <c r="B84" s="101">
        <f t="shared" ca="1" si="27"/>
        <v>35.189705503823582</v>
      </c>
      <c r="C84" s="102">
        <f t="shared" ca="1" si="28"/>
        <v>1.5423750988798461</v>
      </c>
      <c r="D84" s="102">
        <f t="shared" si="29"/>
        <v>1.000173576697641</v>
      </c>
      <c r="E84" s="103">
        <f t="shared" si="30"/>
        <v>1.8630705513620595E-2</v>
      </c>
      <c r="F84" s="101">
        <f t="shared" si="31"/>
        <v>215.66777806380222</v>
      </c>
      <c r="G84" s="104">
        <f t="shared" si="32"/>
        <v>1.5661595489123981</v>
      </c>
      <c r="H84" s="113">
        <f t="shared" si="33"/>
        <v>26.976723327417336</v>
      </c>
      <c r="I84" s="114">
        <f t="shared" si="34"/>
        <v>1.5337188378805533</v>
      </c>
      <c r="J84" s="101">
        <f t="shared" si="35"/>
        <v>1.0007855301406239</v>
      </c>
      <c r="K84" s="104">
        <f t="shared" si="36"/>
        <v>3.9623636138244676E-2</v>
      </c>
      <c r="L84" s="102">
        <f t="shared" si="37"/>
        <v>1</v>
      </c>
      <c r="M84" s="103">
        <f t="shared" si="38"/>
        <v>2.5768850879772E-11</v>
      </c>
      <c r="N84" s="101">
        <f t="shared" si="39"/>
        <v>1</v>
      </c>
      <c r="O84" s="104">
        <f t="shared" si="40"/>
        <v>3.4358467839695995E-12</v>
      </c>
      <c r="P84" s="105">
        <f t="shared" ca="1" si="41"/>
        <v>1.0005576170411312</v>
      </c>
      <c r="Q84" s="106">
        <f t="shared" ca="1" si="42"/>
        <v>3.4558778125458489E-2</v>
      </c>
      <c r="R84" s="107">
        <f t="shared" ca="1" si="43"/>
        <v>22.331749710559421</v>
      </c>
      <c r="S84" s="108">
        <f t="shared" ca="1" si="44"/>
        <v>-93.413177979996618</v>
      </c>
      <c r="T84" s="116">
        <f t="shared" ca="1" si="45"/>
        <v>86.586822020003382</v>
      </c>
      <c r="V84" s="72">
        <f t="shared" ca="1" si="46"/>
        <v>1000000000</v>
      </c>
      <c r="W84" s="72">
        <f t="shared" si="47"/>
        <v>398110.52160000004</v>
      </c>
      <c r="Y84" s="110">
        <f t="shared" si="48"/>
        <v>46.019657980455413</v>
      </c>
      <c r="Z84" s="111">
        <f t="shared" si="49"/>
        <v>-4.1289829496501271</v>
      </c>
      <c r="AA84" s="72">
        <f t="shared" si="50"/>
        <v>175.87101705034988</v>
      </c>
      <c r="AB84" s="110">
        <f t="shared" ca="1" si="51"/>
        <v>-6.1866830020619918</v>
      </c>
      <c r="AC84" s="111">
        <f t="shared" ca="1" si="52"/>
        <v>-89.28419503034651</v>
      </c>
      <c r="AD84" s="72">
        <f t="shared" ca="1" si="53"/>
        <v>90.71580496965349</v>
      </c>
    </row>
    <row r="85" spans="1:30">
      <c r="A85" s="115">
        <v>691.83</v>
      </c>
      <c r="B85" s="101">
        <f t="shared" ca="1" si="27"/>
        <v>38.581907301974326</v>
      </c>
      <c r="C85" s="102">
        <f t="shared" ca="1" si="28"/>
        <v>1.5448745393934653</v>
      </c>
      <c r="D85" s="102">
        <f t="shared" si="29"/>
        <v>1.0002086790856877</v>
      </c>
      <c r="E85" s="103">
        <f t="shared" si="30"/>
        <v>2.0427569753377492E-2</v>
      </c>
      <c r="F85" s="101">
        <f t="shared" si="31"/>
        <v>236.47326149719629</v>
      </c>
      <c r="G85" s="104">
        <f t="shared" si="32"/>
        <v>1.5665675062755617</v>
      </c>
      <c r="H85" s="113">
        <f t="shared" si="33"/>
        <v>29.57580393114905</v>
      </c>
      <c r="I85" s="114">
        <f t="shared" si="34"/>
        <v>1.5369784587904907</v>
      </c>
      <c r="J85" s="101">
        <f t="shared" si="35"/>
        <v>1.0009443294001592</v>
      </c>
      <c r="K85" s="104">
        <f t="shared" si="36"/>
        <v>4.3441612926395617E-2</v>
      </c>
      <c r="L85" s="102">
        <f t="shared" si="37"/>
        <v>1</v>
      </c>
      <c r="M85" s="103">
        <f t="shared" si="38"/>
        <v>2.8254824559643499E-11</v>
      </c>
      <c r="N85" s="101">
        <f t="shared" si="39"/>
        <v>1</v>
      </c>
      <c r="O85" s="104">
        <f t="shared" si="40"/>
        <v>3.7673099412858001E-12</v>
      </c>
      <c r="P85" s="105">
        <f t="shared" ca="1" si="41"/>
        <v>1.000670358026734</v>
      </c>
      <c r="Q85" s="106">
        <f t="shared" ca="1" si="42"/>
        <v>3.7889989016781311E-2</v>
      </c>
      <c r="R85" s="107">
        <f t="shared" ca="1" si="43"/>
        <v>21.529348219866495</v>
      </c>
      <c r="S85" s="108">
        <f t="shared" ca="1" si="44"/>
        <v>-93.699662630638187</v>
      </c>
      <c r="T85" s="116">
        <f t="shared" ca="1" si="45"/>
        <v>86.300337369361813</v>
      </c>
      <c r="V85" s="72">
        <f t="shared" ca="1" si="46"/>
        <v>1000000000</v>
      </c>
      <c r="W85" s="72">
        <f t="shared" si="47"/>
        <v>478628.74890000006</v>
      </c>
      <c r="Y85" s="110">
        <f t="shared" si="48"/>
        <v>46.017291525978251</v>
      </c>
      <c r="Z85" s="111">
        <f t="shared" si="49"/>
        <v>-4.1843486200084739</v>
      </c>
      <c r="AA85" s="72">
        <f t="shared" si="50"/>
        <v>175.81565137999152</v>
      </c>
      <c r="AB85" s="110">
        <f t="shared" ca="1" si="51"/>
        <v>-6.9867180382777585</v>
      </c>
      <c r="AC85" s="111">
        <f t="shared" ca="1" si="52"/>
        <v>-89.515314010629737</v>
      </c>
      <c r="AD85" s="72">
        <f t="shared" ca="1" si="53"/>
        <v>90.484685989370263</v>
      </c>
    </row>
    <row r="86" spans="1:30">
      <c r="A86" s="115">
        <v>758.58</v>
      </c>
      <c r="B86" s="101">
        <f t="shared" ca="1" si="27"/>
        <v>42.302023946445026</v>
      </c>
      <c r="C86" s="102">
        <f t="shared" ca="1" si="28"/>
        <v>1.5471545936570532</v>
      </c>
      <c r="D86" s="102">
        <f t="shared" si="29"/>
        <v>1.00025088445743</v>
      </c>
      <c r="E86" s="103">
        <f t="shared" si="30"/>
        <v>2.2397857761302424E-2</v>
      </c>
      <c r="F86" s="101">
        <f t="shared" si="31"/>
        <v>259.28857790567474</v>
      </c>
      <c r="G86" s="104">
        <f t="shared" si="32"/>
        <v>1.5669396105171303</v>
      </c>
      <c r="H86" s="113">
        <f t="shared" si="33"/>
        <v>32.426254465023007</v>
      </c>
      <c r="I86" s="114">
        <f t="shared" si="34"/>
        <v>1.5399522285839287</v>
      </c>
      <c r="J86" s="101">
        <f t="shared" si="35"/>
        <v>1.0011352357870582</v>
      </c>
      <c r="K86" s="104">
        <f t="shared" si="36"/>
        <v>4.7626943204652168E-2</v>
      </c>
      <c r="L86" s="102">
        <f t="shared" si="37"/>
        <v>1</v>
      </c>
      <c r="M86" s="103">
        <f t="shared" si="38"/>
        <v>3.0980941581681E-11</v>
      </c>
      <c r="N86" s="101">
        <f t="shared" si="39"/>
        <v>1</v>
      </c>
      <c r="O86" s="104">
        <f t="shared" si="40"/>
        <v>4.1307922108907994E-12</v>
      </c>
      <c r="P86" s="105">
        <f t="shared" ca="1" si="41"/>
        <v>1.0008059007087649</v>
      </c>
      <c r="Q86" s="106">
        <f t="shared" ca="1" si="42"/>
        <v>4.1542119938491898E-2</v>
      </c>
      <c r="R86" s="107">
        <f t="shared" ca="1" si="43"/>
        <v>20.72651041765717</v>
      </c>
      <c r="S86" s="108">
        <f t="shared" ca="1" si="44"/>
        <v>-94.017399922979934</v>
      </c>
      <c r="T86" s="116">
        <f t="shared" ca="1" si="45"/>
        <v>85.982600077020066</v>
      </c>
      <c r="V86" s="72">
        <f t="shared" ca="1" si="46"/>
        <v>1000000000</v>
      </c>
      <c r="W86" s="72">
        <f t="shared" si="47"/>
        <v>575443.61640000006</v>
      </c>
      <c r="Y86" s="110">
        <f t="shared" si="48"/>
        <v>46.014812727347277</v>
      </c>
      <c r="Z86" s="111">
        <f t="shared" si="49"/>
        <v>-4.2750859249624904</v>
      </c>
      <c r="AA86" s="72">
        <f t="shared" si="50"/>
        <v>175.7249140750375</v>
      </c>
      <c r="AB86" s="110">
        <f t="shared" ca="1" si="51"/>
        <v>-7.7870770418561106</v>
      </c>
      <c r="AC86" s="111">
        <f t="shared" ca="1" si="52"/>
        <v>-89.742313998017423</v>
      </c>
      <c r="AD86" s="72">
        <f t="shared" ca="1" si="53"/>
        <v>90.257686001982577</v>
      </c>
    </row>
    <row r="87" spans="1:30">
      <c r="A87" s="115">
        <v>831.76</v>
      </c>
      <c r="B87" s="101">
        <f t="shared" ca="1" si="27"/>
        <v>46.380708112369746</v>
      </c>
      <c r="C87" s="102">
        <f t="shared" ca="1" si="28"/>
        <v>1.5492339674837012</v>
      </c>
      <c r="D87" s="102">
        <f t="shared" si="29"/>
        <v>1.0003016171468828</v>
      </c>
      <c r="E87" s="103">
        <f t="shared" si="30"/>
        <v>2.4557742389607659E-2</v>
      </c>
      <c r="F87" s="101">
        <f t="shared" si="31"/>
        <v>284.30171865936387</v>
      </c>
      <c r="G87" s="104">
        <f t="shared" si="32"/>
        <v>1.5672789296200489</v>
      </c>
      <c r="H87" s="113">
        <f t="shared" si="33"/>
        <v>35.551561857539234</v>
      </c>
      <c r="I87" s="114">
        <f t="shared" si="34"/>
        <v>1.5426644569058134</v>
      </c>
      <c r="J87" s="101">
        <f t="shared" si="35"/>
        <v>1.0013646760425716</v>
      </c>
      <c r="K87" s="104">
        <f t="shared" si="36"/>
        <v>5.2213521182273244E-2</v>
      </c>
      <c r="L87" s="102">
        <f t="shared" si="37"/>
        <v>1</v>
      </c>
      <c r="M87" s="103">
        <f t="shared" si="38"/>
        <v>3.3969664333331996E-11</v>
      </c>
      <c r="N87" s="101">
        <f t="shared" si="39"/>
        <v>1</v>
      </c>
      <c r="O87" s="104">
        <f t="shared" si="40"/>
        <v>4.529288577777599E-12</v>
      </c>
      <c r="P87" s="105">
        <f t="shared" ca="1" si="41"/>
        <v>1.0009688122984721</v>
      </c>
      <c r="Q87" s="106">
        <f t="shared" ca="1" si="42"/>
        <v>4.554490956802662E-2</v>
      </c>
      <c r="R87" s="107">
        <f t="shared" ca="1" si="43"/>
        <v>19.923338192948705</v>
      </c>
      <c r="S87" s="108">
        <f t="shared" ca="1" si="44"/>
        <v>-94.368963823255029</v>
      </c>
      <c r="T87" s="116">
        <f t="shared" ca="1" si="45"/>
        <v>85.631036176744971</v>
      </c>
      <c r="V87" s="72">
        <f t="shared" ca="1" si="46"/>
        <v>1000000000</v>
      </c>
      <c r="W87" s="72">
        <f t="shared" si="47"/>
        <v>691824.69759999996</v>
      </c>
      <c r="Y87" s="110">
        <f t="shared" si="48"/>
        <v>46.012138306194366</v>
      </c>
      <c r="Z87" s="111">
        <f t="shared" si="49"/>
        <v>-4.401919802069906</v>
      </c>
      <c r="AA87" s="72">
        <f t="shared" si="50"/>
        <v>175.5980801979301</v>
      </c>
      <c r="AB87" s="110">
        <f t="shared" ca="1" si="51"/>
        <v>-8.5875748454116589</v>
      </c>
      <c r="AC87" s="111">
        <f t="shared" ca="1" si="52"/>
        <v>-89.967044021185117</v>
      </c>
      <c r="AD87" s="72">
        <f t="shared" ca="1" si="53"/>
        <v>90.032955978814883</v>
      </c>
    </row>
    <row r="88" spans="1:30">
      <c r="A88" s="115">
        <v>912.01</v>
      </c>
      <c r="B88" s="101">
        <f t="shared" ca="1" si="27"/>
        <v>50.853630196489043</v>
      </c>
      <c r="C88" s="102">
        <f t="shared" ca="1" si="28"/>
        <v>1.5511307797205216</v>
      </c>
      <c r="D88" s="102">
        <f t="shared" si="29"/>
        <v>1.0003626151315563</v>
      </c>
      <c r="E88" s="103">
        <f t="shared" si="30"/>
        <v>2.6926031667274863E-2</v>
      </c>
      <c r="F88" s="101">
        <f t="shared" si="31"/>
        <v>311.73143765351051</v>
      </c>
      <c r="G88" s="104">
        <f t="shared" si="32"/>
        <v>1.5675884318112283</v>
      </c>
      <c r="H88" s="113">
        <f t="shared" si="33"/>
        <v>38.979058724991305</v>
      </c>
      <c r="I88" s="114">
        <f t="shared" si="34"/>
        <v>1.5451387106281926</v>
      </c>
      <c r="J88" s="101">
        <f t="shared" si="35"/>
        <v>1.001640487250149</v>
      </c>
      <c r="K88" s="104">
        <f t="shared" si="36"/>
        <v>5.724067993641814E-2</v>
      </c>
      <c r="L88" s="102">
        <f t="shared" si="37"/>
        <v>1</v>
      </c>
      <c r="M88" s="103">
        <f t="shared" si="38"/>
        <v>3.72471308654445E-11</v>
      </c>
      <c r="N88" s="101">
        <f t="shared" si="39"/>
        <v>1</v>
      </c>
      <c r="O88" s="104">
        <f t="shared" si="40"/>
        <v>4.966284115392599E-12</v>
      </c>
      <c r="P88" s="105">
        <f t="shared" ca="1" si="41"/>
        <v>1.0011646635746603</v>
      </c>
      <c r="Q88" s="106">
        <f t="shared" ca="1" si="42"/>
        <v>4.9932898489191163E-2</v>
      </c>
      <c r="R88" s="107">
        <f t="shared" ca="1" si="43"/>
        <v>19.119515626858497</v>
      </c>
      <c r="S88" s="108">
        <f t="shared" ca="1" si="44"/>
        <v>-94.757367277813657</v>
      </c>
      <c r="T88" s="116">
        <f t="shared" ca="1" si="45"/>
        <v>85.242632722186343</v>
      </c>
      <c r="V88" s="72">
        <f t="shared" ca="1" si="46"/>
        <v>1000000000</v>
      </c>
      <c r="W88" s="72">
        <f t="shared" si="47"/>
        <v>831762.24009999994</v>
      </c>
      <c r="Y88" s="110">
        <f t="shared" si="48"/>
        <v>46.00917713742669</v>
      </c>
      <c r="Z88" s="111">
        <f t="shared" si="49"/>
        <v>-4.5659236552170919</v>
      </c>
      <c r="AA88" s="72">
        <f t="shared" si="50"/>
        <v>175.43407634478291</v>
      </c>
      <c r="AB88" s="110">
        <f t="shared" ca="1" si="51"/>
        <v>-9.3884362427341994</v>
      </c>
      <c r="AC88" s="111">
        <f t="shared" ca="1" si="52"/>
        <v>-90.19144362259658</v>
      </c>
      <c r="AD88" s="72">
        <f t="shared" ca="1" si="53"/>
        <v>89.80855637740342</v>
      </c>
    </row>
    <row r="89" spans="1:30">
      <c r="A89" s="117">
        <v>1000</v>
      </c>
      <c r="B89" s="101">
        <f t="shared" ca="1" si="27"/>
        <v>55.75813426652725</v>
      </c>
      <c r="C89" s="102">
        <f t="shared" ca="1" si="28"/>
        <v>1.5528607622490826</v>
      </c>
      <c r="D89" s="102">
        <f t="shared" si="29"/>
        <v>1.0004359440978154</v>
      </c>
      <c r="E89" s="103">
        <f t="shared" si="30"/>
        <v>2.9522390959911455E-2</v>
      </c>
      <c r="F89" s="101">
        <f t="shared" si="31"/>
        <v>341.80674313803962</v>
      </c>
      <c r="G89" s="104">
        <f t="shared" si="32"/>
        <v>1.5678706928024939</v>
      </c>
      <c r="H89" s="113">
        <f t="shared" si="33"/>
        <v>42.737361007128797</v>
      </c>
      <c r="I89" s="114">
        <f t="shared" si="34"/>
        <v>1.5473954604563827</v>
      </c>
      <c r="J89" s="101">
        <f t="shared" si="35"/>
        <v>1.0019719765299895</v>
      </c>
      <c r="K89" s="104">
        <f t="shared" si="36"/>
        <v>6.2749364897807955E-2</v>
      </c>
      <c r="L89" s="102">
        <f t="shared" si="37"/>
        <v>1</v>
      </c>
      <c r="M89" s="103">
        <f t="shared" si="38"/>
        <v>4.0840704449999996E-11</v>
      </c>
      <c r="N89" s="101">
        <f t="shared" si="39"/>
        <v>1</v>
      </c>
      <c r="O89" s="104">
        <f t="shared" si="40"/>
        <v>5.4454272599999995E-12</v>
      </c>
      <c r="P89" s="105">
        <f t="shared" ca="1" si="41"/>
        <v>1.0014000723134611</v>
      </c>
      <c r="Q89" s="106">
        <f t="shared" ca="1" si="42"/>
        <v>5.4742107700560032E-2</v>
      </c>
      <c r="R89" s="107">
        <f t="shared" ca="1" si="43"/>
        <v>18.315037243974828</v>
      </c>
      <c r="S89" s="108">
        <f t="shared" ca="1" si="44"/>
        <v>-95.18576945858527</v>
      </c>
      <c r="T89" s="116">
        <f t="shared" ca="1" si="45"/>
        <v>84.81423054141473</v>
      </c>
      <c r="V89" s="72">
        <f t="shared" ca="1" si="46"/>
        <v>1000000000</v>
      </c>
      <c r="W89" s="72">
        <f t="shared" si="47"/>
        <v>1000000</v>
      </c>
      <c r="Y89" s="110">
        <f t="shared" si="48"/>
        <v>46.005829652238397</v>
      </c>
      <c r="Z89" s="111">
        <f t="shared" si="49"/>
        <v>-4.7684181771733858</v>
      </c>
      <c r="AA89" s="72">
        <f t="shared" si="50"/>
        <v>175.23158182282663</v>
      </c>
      <c r="AB89" s="110">
        <f t="shared" ca="1" si="51"/>
        <v>-10.189567140429565</v>
      </c>
      <c r="AC89" s="111">
        <f t="shared" ca="1" si="52"/>
        <v>-90.417351281411868</v>
      </c>
      <c r="AD89" s="72">
        <f t="shared" ca="1" si="53"/>
        <v>89.582648718588132</v>
      </c>
    </row>
    <row r="90" spans="1:30">
      <c r="A90" s="118">
        <v>1096.5</v>
      </c>
      <c r="B90" s="101">
        <f t="shared" ca="1" si="27"/>
        <v>61.137139668310923</v>
      </c>
      <c r="C90" s="102">
        <f t="shared" ca="1" si="28"/>
        <v>1.5544389276607196</v>
      </c>
      <c r="D90" s="102">
        <f t="shared" si="29"/>
        <v>1.0005241178274424</v>
      </c>
      <c r="E90" s="103">
        <f t="shared" si="30"/>
        <v>3.2369399547422024E-2</v>
      </c>
      <c r="F90" s="101">
        <f t="shared" si="31"/>
        <v>374.79082395073993</v>
      </c>
      <c r="G90" s="104">
        <f t="shared" si="32"/>
        <v>1.568128168658123</v>
      </c>
      <c r="H90" s="113">
        <f t="shared" si="33"/>
        <v>46.85935767633466</v>
      </c>
      <c r="I90" s="114">
        <f t="shared" si="34"/>
        <v>1.5494542519639036</v>
      </c>
      <c r="J90" s="101">
        <f t="shared" si="35"/>
        <v>1.0023704597097753</v>
      </c>
      <c r="K90" s="104">
        <f t="shared" si="36"/>
        <v>6.8786431744915874E-2</v>
      </c>
      <c r="L90" s="102">
        <f t="shared" si="37"/>
        <v>1</v>
      </c>
      <c r="M90" s="103">
        <f t="shared" si="38"/>
        <v>4.4781832429424996E-11</v>
      </c>
      <c r="N90" s="101">
        <f t="shared" si="39"/>
        <v>1</v>
      </c>
      <c r="O90" s="104">
        <f t="shared" si="40"/>
        <v>5.9709109905899988E-12</v>
      </c>
      <c r="P90" s="105">
        <f t="shared" ca="1" si="41"/>
        <v>1.0016830873058618</v>
      </c>
      <c r="Q90" s="106">
        <f t="shared" ca="1" si="42"/>
        <v>6.0013813755534433E-2</v>
      </c>
      <c r="R90" s="107">
        <f t="shared" ca="1" si="43"/>
        <v>17.509563082841311</v>
      </c>
      <c r="S90" s="108">
        <f t="shared" ca="1" si="44"/>
        <v>-95.657807274424385</v>
      </c>
      <c r="T90" s="116">
        <f t="shared" ca="1" si="45"/>
        <v>84.342192725575615</v>
      </c>
      <c r="V90" s="72">
        <f t="shared" ca="1" si="46"/>
        <v>1000000000</v>
      </c>
      <c r="W90" s="72">
        <f t="shared" si="47"/>
        <v>1202312.25</v>
      </c>
      <c r="Y90" s="110">
        <f t="shared" si="48"/>
        <v>46.001982101699809</v>
      </c>
      <c r="Z90" s="111">
        <f t="shared" si="49"/>
        <v>-5.0111088438083788</v>
      </c>
      <c r="AA90" s="72">
        <f t="shared" si="50"/>
        <v>174.98889115619161</v>
      </c>
      <c r="AB90" s="110">
        <f t="shared" ca="1" si="51"/>
        <v>-10.991193751024495</v>
      </c>
      <c r="AC90" s="111">
        <f t="shared" ca="1" si="52"/>
        <v>-90.646698430615984</v>
      </c>
      <c r="AD90" s="72">
        <f t="shared" ca="1" si="53"/>
        <v>89.353301569384016</v>
      </c>
    </row>
    <row r="91" spans="1:30">
      <c r="A91" s="118">
        <v>1202.3</v>
      </c>
      <c r="B91" s="101">
        <f t="shared" ca="1" si="27"/>
        <v>67.034681815576079</v>
      </c>
      <c r="C91" s="102">
        <f t="shared" ca="1" si="28"/>
        <v>1.5558781222772404</v>
      </c>
      <c r="D91" s="102">
        <f t="shared" si="29"/>
        <v>1.0006301070600225</v>
      </c>
      <c r="E91" s="103">
        <f t="shared" si="30"/>
        <v>3.549017823016299E-2</v>
      </c>
      <c r="F91" s="101">
        <f t="shared" si="31"/>
        <v>410.95370521259559</v>
      </c>
      <c r="G91" s="104">
        <f t="shared" si="32"/>
        <v>1.5683629602764901</v>
      </c>
      <c r="H91" s="113">
        <f t="shared" si="33"/>
        <v>51.378793629394309</v>
      </c>
      <c r="I91" s="114">
        <f t="shared" si="34"/>
        <v>1.5513318147523794</v>
      </c>
      <c r="J91" s="101">
        <f t="shared" si="35"/>
        <v>1.0028492933101096</v>
      </c>
      <c r="K91" s="104">
        <f t="shared" si="36"/>
        <v>7.5399526856995497E-2</v>
      </c>
      <c r="L91" s="102">
        <f t="shared" si="37"/>
        <v>1</v>
      </c>
      <c r="M91" s="103">
        <f t="shared" si="38"/>
        <v>4.9102778960234997E-11</v>
      </c>
      <c r="N91" s="101">
        <f t="shared" si="39"/>
        <v>1</v>
      </c>
      <c r="O91" s="104">
        <f t="shared" si="40"/>
        <v>6.5470371946979992E-12</v>
      </c>
      <c r="P91" s="105">
        <f t="shared" ca="1" si="41"/>
        <v>1.0020232132222868</v>
      </c>
      <c r="Q91" s="106">
        <f t="shared" ca="1" si="42"/>
        <v>6.5790109388769169E-2</v>
      </c>
      <c r="R91" s="107">
        <f t="shared" ca="1" si="43"/>
        <v>16.703169751563255</v>
      </c>
      <c r="S91" s="108">
        <f t="shared" ca="1" si="44"/>
        <v>-96.177195550604381</v>
      </c>
      <c r="T91" s="116">
        <f t="shared" ca="1" si="45"/>
        <v>83.822804449395619</v>
      </c>
      <c r="V91" s="72">
        <f t="shared" ca="1" si="46"/>
        <v>1000000000</v>
      </c>
      <c r="W91" s="72">
        <f t="shared" si="47"/>
        <v>1445525.2899999998</v>
      </c>
      <c r="Y91" s="110">
        <f t="shared" si="48"/>
        <v>45.997506244880512</v>
      </c>
      <c r="Z91" s="111">
        <f t="shared" si="49"/>
        <v>-5.2958874286069868</v>
      </c>
      <c r="AA91" s="72">
        <f t="shared" si="50"/>
        <v>174.70411257139301</v>
      </c>
      <c r="AB91" s="110">
        <f t="shared" ca="1" si="51"/>
        <v>-11.793111225483255</v>
      </c>
      <c r="AC91" s="111">
        <f t="shared" ca="1" si="52"/>
        <v>-90.881308121997407</v>
      </c>
      <c r="AD91" s="72">
        <f t="shared" ca="1" si="53"/>
        <v>89.118691878002593</v>
      </c>
    </row>
    <row r="92" spans="1:30">
      <c r="A92" s="118">
        <v>1318.3</v>
      </c>
      <c r="B92" s="101">
        <f t="shared" ca="1" si="27"/>
        <v>73.500928809214685</v>
      </c>
      <c r="C92" s="102">
        <f t="shared" ca="1" si="28"/>
        <v>1.557190636780708</v>
      </c>
      <c r="D92" s="102">
        <f t="shared" si="29"/>
        <v>1.0007575119695873</v>
      </c>
      <c r="E92" s="103">
        <f t="shared" si="30"/>
        <v>3.891102906636891E-2</v>
      </c>
      <c r="F92" s="101">
        <f t="shared" si="31"/>
        <v>450.60301067141069</v>
      </c>
      <c r="G92" s="104">
        <f t="shared" si="32"/>
        <v>1.5685770765964666</v>
      </c>
      <c r="H92" s="113">
        <f t="shared" si="33"/>
        <v>56.334113946688014</v>
      </c>
      <c r="I92" s="114">
        <f t="shared" si="34"/>
        <v>1.5530441610981272</v>
      </c>
      <c r="J92" s="101">
        <f t="shared" si="35"/>
        <v>1.00342464239381</v>
      </c>
      <c r="K92" s="104">
        <f t="shared" si="36"/>
        <v>8.2642572454555821E-2</v>
      </c>
      <c r="L92" s="102">
        <f t="shared" si="37"/>
        <v>1</v>
      </c>
      <c r="M92" s="103">
        <f t="shared" si="38"/>
        <v>5.3840300676434995E-11</v>
      </c>
      <c r="N92" s="101">
        <f t="shared" si="39"/>
        <v>1</v>
      </c>
      <c r="O92" s="104">
        <f t="shared" si="40"/>
        <v>7.1787067568579989E-12</v>
      </c>
      <c r="P92" s="105">
        <f t="shared" ca="1" si="41"/>
        <v>1.0024319590529307</v>
      </c>
      <c r="Q92" s="106">
        <f t="shared" ca="1" si="42"/>
        <v>7.2118732524139278E-2</v>
      </c>
      <c r="R92" s="107">
        <f t="shared" ca="1" si="43"/>
        <v>15.895613418933603</v>
      </c>
      <c r="S92" s="108">
        <f t="shared" ca="1" si="44"/>
        <v>-96.748153859491651</v>
      </c>
      <c r="T92" s="116">
        <f t="shared" ca="1" si="45"/>
        <v>83.251846140508349</v>
      </c>
      <c r="V92" s="72">
        <f t="shared" ca="1" si="46"/>
        <v>1000000000</v>
      </c>
      <c r="W92" s="72">
        <f t="shared" si="47"/>
        <v>1737914.89</v>
      </c>
      <c r="Y92" s="110">
        <f t="shared" si="48"/>
        <v>45.992251981752858</v>
      </c>
      <c r="Z92" s="111">
        <f t="shared" si="49"/>
        <v>-5.6250411150923956</v>
      </c>
      <c r="AA92" s="72">
        <f t="shared" si="50"/>
        <v>174.37495888490761</v>
      </c>
      <c r="AB92" s="110">
        <f t="shared" ca="1" si="51"/>
        <v>-12.595413294985249</v>
      </c>
      <c r="AC92" s="111">
        <f t="shared" ca="1" si="52"/>
        <v>-91.123112744399265</v>
      </c>
      <c r="AD92" s="72">
        <f t="shared" ca="1" si="53"/>
        <v>88.876887255600735</v>
      </c>
    </row>
    <row r="93" spans="1:30">
      <c r="A93" s="118">
        <v>1445.4</v>
      </c>
      <c r="B93" s="101">
        <f t="shared" ca="1" si="27"/>
        <v>80.586049675561995</v>
      </c>
      <c r="C93" s="102">
        <f t="shared" ca="1" si="28"/>
        <v>1.5583869126335064</v>
      </c>
      <c r="D93" s="102">
        <f t="shared" si="29"/>
        <v>1.0009105501667399</v>
      </c>
      <c r="E93" s="103">
        <f t="shared" si="30"/>
        <v>4.2658171202123153E-2</v>
      </c>
      <c r="F93" s="101">
        <f t="shared" si="31"/>
        <v>494.04636422632797</v>
      </c>
      <c r="G93" s="104">
        <f t="shared" si="32"/>
        <v>1.5687722238862589</v>
      </c>
      <c r="H93" s="113">
        <f t="shared" si="33"/>
        <v>61.763764913839942</v>
      </c>
      <c r="I93" s="114">
        <f t="shared" si="34"/>
        <v>1.5546048964883505</v>
      </c>
      <c r="J93" s="101">
        <f t="shared" si="35"/>
        <v>1.0041154100051024</v>
      </c>
      <c r="K93" s="104">
        <f t="shared" si="36"/>
        <v>9.0568709391718114E-2</v>
      </c>
      <c r="L93" s="102">
        <f t="shared" si="37"/>
        <v>1</v>
      </c>
      <c r="M93" s="103">
        <f t="shared" si="38"/>
        <v>5.903115421203E-11</v>
      </c>
      <c r="N93" s="101">
        <f t="shared" si="39"/>
        <v>1</v>
      </c>
      <c r="O93" s="104">
        <f t="shared" si="40"/>
        <v>7.8708205616039995E-12</v>
      </c>
      <c r="P93" s="105">
        <f t="shared" ca="1" si="41"/>
        <v>1.0029227923289536</v>
      </c>
      <c r="Q93" s="106">
        <f t="shared" ca="1" si="42"/>
        <v>7.9046950906781543E-2</v>
      </c>
      <c r="R93" s="107">
        <f t="shared" ca="1" si="43"/>
        <v>15.087144945347559</v>
      </c>
      <c r="S93" s="108">
        <f t="shared" ca="1" si="44"/>
        <v>-97.374849420338919</v>
      </c>
      <c r="T93" s="116">
        <f t="shared" ca="1" si="45"/>
        <v>82.625150579661081</v>
      </c>
      <c r="V93" s="72">
        <f t="shared" ca="1" si="46"/>
        <v>1000000000</v>
      </c>
      <c r="W93" s="72">
        <f t="shared" si="47"/>
        <v>2089181.1600000001</v>
      </c>
      <c r="Y93" s="110">
        <f t="shared" si="48"/>
        <v>45.986048083322629</v>
      </c>
      <c r="Z93" s="111">
        <f t="shared" si="49"/>
        <v>-6.000932874898302</v>
      </c>
      <c r="AA93" s="72">
        <f t="shared" si="50"/>
        <v>173.9990671251017</v>
      </c>
      <c r="AB93" s="110">
        <f t="shared" ca="1" si="51"/>
        <v>-13.397677870141075</v>
      </c>
      <c r="AC93" s="111">
        <f t="shared" ca="1" si="52"/>
        <v>-91.373916545440608</v>
      </c>
      <c r="AD93" s="72">
        <f t="shared" ca="1" si="53"/>
        <v>88.626083454559392</v>
      </c>
    </row>
    <row r="94" spans="1:30">
      <c r="A94" s="118">
        <v>1584.9</v>
      </c>
      <c r="B94" s="101">
        <f t="shared" ca="1" si="27"/>
        <v>88.362512269259938</v>
      </c>
      <c r="C94" s="102">
        <f t="shared" ca="1" si="28"/>
        <v>1.559479068815709</v>
      </c>
      <c r="D94" s="102">
        <f t="shared" si="29"/>
        <v>1.0010946909876484</v>
      </c>
      <c r="E94" s="103">
        <f t="shared" si="30"/>
        <v>4.6769504935991184E-2</v>
      </c>
      <c r="F94" s="101">
        <f t="shared" si="31"/>
        <v>541.72811175217805</v>
      </c>
      <c r="G94" s="104">
        <f t="shared" si="32"/>
        <v>1.5689503812989449</v>
      </c>
      <c r="H94" s="113">
        <f t="shared" si="33"/>
        <v>67.723281985243588</v>
      </c>
      <c r="I94" s="114">
        <f t="shared" si="34"/>
        <v>1.5560298194250126</v>
      </c>
      <c r="J94" s="101">
        <f t="shared" si="35"/>
        <v>1.0049460758257571</v>
      </c>
      <c r="K94" s="104">
        <f t="shared" si="36"/>
        <v>9.9254975818170832E-2</v>
      </c>
      <c r="L94" s="102">
        <f t="shared" si="37"/>
        <v>1</v>
      </c>
      <c r="M94" s="103">
        <f t="shared" si="38"/>
        <v>6.4728432482804998E-11</v>
      </c>
      <c r="N94" s="101">
        <f t="shared" si="39"/>
        <v>1</v>
      </c>
      <c r="O94" s="104">
        <f t="shared" si="40"/>
        <v>8.6304576643739993E-12</v>
      </c>
      <c r="P94" s="105">
        <f t="shared" ca="1" si="41"/>
        <v>1.003513162616007</v>
      </c>
      <c r="Q94" s="106">
        <f t="shared" ca="1" si="42"/>
        <v>8.6643205124885381E-2</v>
      </c>
      <c r="R94" s="107">
        <f t="shared" ca="1" si="43"/>
        <v>14.276096442181794</v>
      </c>
      <c r="S94" s="108">
        <f t="shared" ca="1" si="44"/>
        <v>-98.06334859973316</v>
      </c>
      <c r="T94" s="116">
        <f t="shared" ca="1" si="45"/>
        <v>81.93665140026684</v>
      </c>
      <c r="V94" s="72">
        <f t="shared" ca="1" si="46"/>
        <v>1000000000</v>
      </c>
      <c r="W94" s="72">
        <f t="shared" si="47"/>
        <v>2511908.0100000002</v>
      </c>
      <c r="Y94" s="110">
        <f t="shared" si="48"/>
        <v>45.978676953581342</v>
      </c>
      <c r="Z94" s="111">
        <f t="shared" si="49"/>
        <v>-6.4271848784981502</v>
      </c>
      <c r="AA94" s="72">
        <f t="shared" si="50"/>
        <v>173.57281512150186</v>
      </c>
      <c r="AB94" s="110">
        <f t="shared" ca="1" si="51"/>
        <v>-14.201355243565555</v>
      </c>
      <c r="AC94" s="111">
        <f t="shared" ca="1" si="52"/>
        <v>-91.636163721235008</v>
      </c>
      <c r="AD94" s="72">
        <f t="shared" ca="1" si="53"/>
        <v>88.363836278764992</v>
      </c>
    </row>
    <row r="95" spans="1:30">
      <c r="A95" s="118">
        <v>1737.8</v>
      </c>
      <c r="B95" s="101">
        <f t="shared" ca="1" si="27"/>
        <v>96.886061937042385</v>
      </c>
      <c r="C95" s="102">
        <f t="shared" ca="1" si="28"/>
        <v>1.5604747414596964</v>
      </c>
      <c r="D95" s="102">
        <f t="shared" si="29"/>
        <v>1.0013159499768276</v>
      </c>
      <c r="E95" s="103">
        <f t="shared" si="30"/>
        <v>5.1273940591295954E-2</v>
      </c>
      <c r="F95" s="101">
        <f t="shared" si="31"/>
        <v>593.9900579056233</v>
      </c>
      <c r="G95" s="104">
        <f t="shared" si="32"/>
        <v>1.569112796137994</v>
      </c>
      <c r="H95" s="113">
        <f t="shared" si="33"/>
        <v>74.255385841146833</v>
      </c>
      <c r="I95" s="114">
        <f t="shared" si="34"/>
        <v>1.5573288830804115</v>
      </c>
      <c r="J95" s="101">
        <f t="shared" si="35"/>
        <v>1.0059434775958762</v>
      </c>
      <c r="K95" s="104">
        <f t="shared" si="36"/>
        <v>0.10875834394662852</v>
      </c>
      <c r="L95" s="102">
        <f t="shared" si="37"/>
        <v>1</v>
      </c>
      <c r="M95" s="103">
        <f t="shared" si="38"/>
        <v>7.0972976193209992E-11</v>
      </c>
      <c r="N95" s="101">
        <f t="shared" si="39"/>
        <v>1</v>
      </c>
      <c r="O95" s="104">
        <f t="shared" si="40"/>
        <v>9.4630634924279982E-12</v>
      </c>
      <c r="P95" s="105">
        <f t="shared" ca="1" si="41"/>
        <v>1.0042222235295042</v>
      </c>
      <c r="Q95" s="106">
        <f t="shared" ca="1" si="42"/>
        <v>9.4958763009196936E-2</v>
      </c>
      <c r="R95" s="107">
        <f t="shared" ca="1" si="43"/>
        <v>13.463242668702623</v>
      </c>
      <c r="S95" s="108">
        <f t="shared" ca="1" si="44"/>
        <v>-98.818135364447627</v>
      </c>
      <c r="T95" s="116">
        <f t="shared" ca="1" si="45"/>
        <v>81.181864635552373</v>
      </c>
      <c r="V95" s="72">
        <f t="shared" ca="1" si="46"/>
        <v>1000000000</v>
      </c>
      <c r="W95" s="72">
        <f t="shared" si="47"/>
        <v>3019948.84</v>
      </c>
      <c r="Y95" s="110">
        <f t="shared" si="48"/>
        <v>45.969903735306978</v>
      </c>
      <c r="Z95" s="111">
        <f t="shared" si="49"/>
        <v>-6.9065625836902136</v>
      </c>
      <c r="AA95" s="72">
        <f t="shared" si="50"/>
        <v>173.0934374163098</v>
      </c>
      <c r="AB95" s="110">
        <f t="shared" ca="1" si="51"/>
        <v>-15.005435798770359</v>
      </c>
      <c r="AC95" s="111">
        <f t="shared" ca="1" si="52"/>
        <v>-91.91157278075741</v>
      </c>
      <c r="AD95" s="72">
        <f t="shared" ca="1" si="53"/>
        <v>88.08842721924259</v>
      </c>
    </row>
    <row r="96" spans="1:30">
      <c r="A96" s="118">
        <v>1905.5</v>
      </c>
      <c r="B96" s="101">
        <f t="shared" ca="1" si="27"/>
        <v>106.23474294010833</v>
      </c>
      <c r="C96" s="102">
        <f t="shared" ca="1" si="28"/>
        <v>1.5613830713879908</v>
      </c>
      <c r="D96" s="102">
        <f t="shared" si="29"/>
        <v>1.0015819763117078</v>
      </c>
      <c r="E96" s="103">
        <f t="shared" si="30"/>
        <v>5.6211984173174669E-2</v>
      </c>
      <c r="F96" s="101">
        <f t="shared" si="31"/>
        <v>651.31072933294445</v>
      </c>
      <c r="G96" s="104">
        <f t="shared" si="32"/>
        <v>1.5692609607278953</v>
      </c>
      <c r="H96" s="113">
        <f t="shared" si="33"/>
        <v>81.41988644368962</v>
      </c>
      <c r="I96" s="114">
        <f t="shared" si="34"/>
        <v>1.5585140062625484</v>
      </c>
      <c r="J96" s="101">
        <f t="shared" si="35"/>
        <v>1.0071416673127076</v>
      </c>
      <c r="K96" s="104">
        <f t="shared" si="36"/>
        <v>0.11915890139575827</v>
      </c>
      <c r="L96" s="102">
        <f t="shared" si="37"/>
        <v>1</v>
      </c>
      <c r="M96" s="103">
        <f t="shared" si="38"/>
        <v>7.7821962329474999E-11</v>
      </c>
      <c r="N96" s="101">
        <f t="shared" si="39"/>
        <v>1</v>
      </c>
      <c r="O96" s="104">
        <f t="shared" si="40"/>
        <v>1.0376261643929998E-11</v>
      </c>
      <c r="P96" s="105">
        <f t="shared" ca="1" si="41"/>
        <v>1.0050742971124071</v>
      </c>
      <c r="Q96" s="106">
        <f t="shared" ca="1" si="42"/>
        <v>0.10406558948304133</v>
      </c>
      <c r="R96" s="107">
        <f t="shared" ca="1" si="43"/>
        <v>12.647607709808625</v>
      </c>
      <c r="S96" s="108">
        <f t="shared" ca="1" si="44"/>
        <v>-99.645527197319154</v>
      </c>
      <c r="T96" s="116">
        <f t="shared" ca="1" si="45"/>
        <v>80.354472802680846</v>
      </c>
      <c r="V96" s="72">
        <f t="shared" ca="1" si="46"/>
        <v>1000000000</v>
      </c>
      <c r="W96" s="72">
        <f t="shared" si="47"/>
        <v>3630930.25</v>
      </c>
      <c r="Y96" s="110">
        <f t="shared" si="48"/>
        <v>45.959433570480428</v>
      </c>
      <c r="Z96" s="111">
        <f t="shared" si="49"/>
        <v>-7.443057279516724</v>
      </c>
      <c r="AA96" s="72">
        <f t="shared" si="50"/>
        <v>172.55694272048328</v>
      </c>
      <c r="AB96" s="110">
        <f t="shared" ca="1" si="51"/>
        <v>-15.810600592837805</v>
      </c>
      <c r="AC96" s="111">
        <f t="shared" ca="1" si="52"/>
        <v>-92.20246991780246</v>
      </c>
      <c r="AD96" s="72">
        <f t="shared" ca="1" si="53"/>
        <v>87.79753008219754</v>
      </c>
    </row>
    <row r="97" spans="1:30">
      <c r="A97" s="118">
        <v>2089.3000000000002</v>
      </c>
      <c r="B97" s="101">
        <f t="shared" ca="1" si="27"/>
        <v>116.48102565698632</v>
      </c>
      <c r="C97" s="102">
        <f t="shared" ca="1" si="28"/>
        <v>1.5622111320927843</v>
      </c>
      <c r="D97" s="102">
        <f t="shared" si="29"/>
        <v>1.0019015788485093</v>
      </c>
      <c r="E97" s="103">
        <f t="shared" si="30"/>
        <v>6.1620944410343909E-2</v>
      </c>
      <c r="F97" s="101">
        <f t="shared" si="31"/>
        <v>714.13447232116789</v>
      </c>
      <c r="G97" s="104">
        <f t="shared" si="32"/>
        <v>1.5693960298402418</v>
      </c>
      <c r="H97" s="113">
        <f t="shared" si="33"/>
        <v>89.272322537334546</v>
      </c>
      <c r="I97" s="114">
        <f t="shared" si="34"/>
        <v>1.5595944124086962</v>
      </c>
      <c r="J97" s="101">
        <f t="shared" si="35"/>
        <v>1.0085797033967259</v>
      </c>
      <c r="K97" s="104">
        <f t="shared" si="36"/>
        <v>0.13052820707101837</v>
      </c>
      <c r="L97" s="102">
        <f t="shared" si="37"/>
        <v>1</v>
      </c>
      <c r="M97" s="103">
        <f t="shared" si="38"/>
        <v>8.5328483807385005E-11</v>
      </c>
      <c r="N97" s="101">
        <f t="shared" si="39"/>
        <v>1</v>
      </c>
      <c r="O97" s="104">
        <f t="shared" si="40"/>
        <v>1.1377131174317999E-11</v>
      </c>
      <c r="P97" s="105">
        <f t="shared" ca="1" si="41"/>
        <v>1.0060973230335932</v>
      </c>
      <c r="Q97" s="106">
        <f t="shared" ca="1" si="42"/>
        <v>0.11402880673351452</v>
      </c>
      <c r="R97" s="107">
        <f t="shared" ca="1" si="43"/>
        <v>11.829268408397722</v>
      </c>
      <c r="S97" s="108">
        <f t="shared" ca="1" si="44"/>
        <v>-100.55116069615903</v>
      </c>
      <c r="T97" s="116">
        <f t="shared" ca="1" si="45"/>
        <v>79.44883930384097</v>
      </c>
      <c r="V97" s="72">
        <f t="shared" ca="1" si="46"/>
        <v>1000000000</v>
      </c>
      <c r="W97" s="72">
        <f t="shared" si="47"/>
        <v>4365174.4900000012</v>
      </c>
      <c r="Y97" s="110">
        <f t="shared" si="48"/>
        <v>45.946931890291665</v>
      </c>
      <c r="Z97" s="111">
        <f t="shared" si="49"/>
        <v>-8.0403066887587329</v>
      </c>
      <c r="AA97" s="72">
        <f t="shared" si="50"/>
        <v>171.95969331124127</v>
      </c>
      <c r="AB97" s="110">
        <f t="shared" ca="1" si="51"/>
        <v>-16.616438214059954</v>
      </c>
      <c r="AC97" s="111">
        <f t="shared" ca="1" si="52"/>
        <v>-92.510854007400297</v>
      </c>
      <c r="AD97" s="72">
        <f t="shared" ca="1" si="53"/>
        <v>87.489145992599703</v>
      </c>
    </row>
    <row r="98" spans="1:30">
      <c r="A98" s="118">
        <v>2290.9</v>
      </c>
      <c r="B98" s="101">
        <f t="shared" ca="1" si="27"/>
        <v>127.71967983149726</v>
      </c>
      <c r="C98" s="102">
        <f t="shared" ca="1" si="28"/>
        <v>1.5629665998582982</v>
      </c>
      <c r="D98" s="102">
        <f t="shared" si="29"/>
        <v>1.002285817981291</v>
      </c>
      <c r="E98" s="103">
        <f t="shared" si="30"/>
        <v>6.7549571736815764E-2</v>
      </c>
      <c r="F98" s="101">
        <f t="shared" si="31"/>
        <v>783.04235522041199</v>
      </c>
      <c r="G98" s="104">
        <f t="shared" si="32"/>
        <v>1.5695192563208011</v>
      </c>
      <c r="H98" s="113">
        <f t="shared" si="33"/>
        <v>97.885322737017901</v>
      </c>
      <c r="I98" s="114">
        <f t="shared" si="34"/>
        <v>1.5605801128884502</v>
      </c>
      <c r="J98" s="101">
        <f t="shared" si="35"/>
        <v>1.0103064649550844</v>
      </c>
      <c r="K98" s="104">
        <f t="shared" si="36"/>
        <v>0.14295955510421102</v>
      </c>
      <c r="L98" s="102">
        <f t="shared" si="37"/>
        <v>1</v>
      </c>
      <c r="M98" s="103">
        <f t="shared" si="38"/>
        <v>9.3561969824504997E-11</v>
      </c>
      <c r="N98" s="101">
        <f t="shared" si="39"/>
        <v>1</v>
      </c>
      <c r="O98" s="104">
        <f t="shared" si="40"/>
        <v>1.2474929309933999E-11</v>
      </c>
      <c r="P98" s="105">
        <f t="shared" ca="1" si="41"/>
        <v>1.0073263093148577</v>
      </c>
      <c r="Q98" s="106">
        <f t="shared" ca="1" si="42"/>
        <v>0.12493338785378555</v>
      </c>
      <c r="R98" s="107">
        <f t="shared" ca="1" si="43"/>
        <v>11.006994106533107</v>
      </c>
      <c r="S98" s="108">
        <f t="shared" ca="1" si="44"/>
        <v>-101.54239461870831</v>
      </c>
      <c r="T98" s="116">
        <f t="shared" ca="1" si="45"/>
        <v>78.457605381291685</v>
      </c>
      <c r="V98" s="72">
        <f t="shared" ca="1" si="46"/>
        <v>1000000000</v>
      </c>
      <c r="W98" s="72">
        <f t="shared" si="47"/>
        <v>5248222.8100000005</v>
      </c>
      <c r="Y98" s="110">
        <f t="shared" si="48"/>
        <v>45.931983474819503</v>
      </c>
      <c r="Z98" s="111">
        <f t="shared" si="49"/>
        <v>-8.7031543449738695</v>
      </c>
      <c r="AA98" s="72">
        <f t="shared" si="50"/>
        <v>171.29684565502612</v>
      </c>
      <c r="AB98" s="110">
        <f t="shared" ca="1" si="51"/>
        <v>-17.423764100452402</v>
      </c>
      <c r="AC98" s="111">
        <f t="shared" ca="1" si="52"/>
        <v>-92.839240273734475</v>
      </c>
      <c r="AD98" s="72">
        <f t="shared" ca="1" si="53"/>
        <v>87.160759726265525</v>
      </c>
    </row>
    <row r="99" spans="1:30">
      <c r="A99" s="118">
        <v>2511.9</v>
      </c>
      <c r="B99" s="101">
        <f t="shared" ca="1" si="27"/>
        <v>140.03990114441035</v>
      </c>
      <c r="C99" s="102">
        <f t="shared" ca="1" si="28"/>
        <v>1.5636554441565966</v>
      </c>
      <c r="D99" s="102">
        <f t="shared" si="29"/>
        <v>1.002747476271318</v>
      </c>
      <c r="E99" s="103">
        <f t="shared" si="30"/>
        <v>7.404323686587308E-2</v>
      </c>
      <c r="F99" s="101">
        <f t="shared" si="31"/>
        <v>858.58126599206184</v>
      </c>
      <c r="G99" s="104">
        <f t="shared" si="32"/>
        <v>1.5696316144191413</v>
      </c>
      <c r="H99" s="113">
        <f t="shared" si="33"/>
        <v>107.32724420497019</v>
      </c>
      <c r="I99" s="114">
        <f t="shared" si="34"/>
        <v>1.5614788932145514</v>
      </c>
      <c r="J99" s="101">
        <f t="shared" si="35"/>
        <v>1.0123781243114722</v>
      </c>
      <c r="K99" s="104">
        <f t="shared" si="36"/>
        <v>0.15653611059595224</v>
      </c>
      <c r="L99" s="102">
        <f t="shared" si="37"/>
        <v>1</v>
      </c>
      <c r="M99" s="103">
        <f t="shared" si="38"/>
        <v>1.0258776550795499E-10</v>
      </c>
      <c r="N99" s="101">
        <f t="shared" si="39"/>
        <v>1</v>
      </c>
      <c r="O99" s="104">
        <f t="shared" si="40"/>
        <v>1.3678368734393999E-11</v>
      </c>
      <c r="P99" s="105">
        <f t="shared" ca="1" si="41"/>
        <v>1.0088015722859236</v>
      </c>
      <c r="Q99" s="106">
        <f t="shared" ca="1" si="42"/>
        <v>0.13685647402785964</v>
      </c>
      <c r="R99" s="107">
        <f t="shared" ca="1" si="43"/>
        <v>10.180535535587845</v>
      </c>
      <c r="S99" s="108">
        <f t="shared" ca="1" si="44"/>
        <v>-102.62576605704719</v>
      </c>
      <c r="T99" s="116">
        <f t="shared" ca="1" si="45"/>
        <v>77.374233942952813</v>
      </c>
      <c r="V99" s="72">
        <f t="shared" ca="1" si="46"/>
        <v>1000000000</v>
      </c>
      <c r="W99" s="72">
        <f t="shared" si="47"/>
        <v>6309641.6100000003</v>
      </c>
      <c r="Y99" s="110">
        <f t="shared" si="48"/>
        <v>45.914116013027204</v>
      </c>
      <c r="Z99" s="111">
        <f t="shared" si="49"/>
        <v>-9.435975000799008</v>
      </c>
      <c r="AA99" s="72">
        <f t="shared" si="50"/>
        <v>170.564024999201</v>
      </c>
      <c r="AB99" s="110">
        <f t="shared" ca="1" si="51"/>
        <v>-18.232355209605352</v>
      </c>
      <c r="AC99" s="111">
        <f t="shared" ca="1" si="52"/>
        <v>-93.189791056248168</v>
      </c>
      <c r="AD99" s="72">
        <f t="shared" ca="1" si="53"/>
        <v>86.810208943751832</v>
      </c>
    </row>
    <row r="100" spans="1:30">
      <c r="A100" s="118">
        <v>2754.2</v>
      </c>
      <c r="B100" s="101">
        <f t="shared" ca="1" si="27"/>
        <v>153.54761002233315</v>
      </c>
      <c r="C100" s="102">
        <f t="shared" ca="1" si="28"/>
        <v>1.5642836427546494</v>
      </c>
      <c r="D100" s="102">
        <f t="shared" si="29"/>
        <v>1.0033021738752019</v>
      </c>
      <c r="E100" s="103">
        <f t="shared" si="30"/>
        <v>8.1155559850125236E-2</v>
      </c>
      <c r="F100" s="101">
        <f t="shared" si="31"/>
        <v>941.40063418099419</v>
      </c>
      <c r="G100" s="104">
        <f t="shared" si="32"/>
        <v>1.5697340795945518</v>
      </c>
      <c r="H100" s="113">
        <f t="shared" si="33"/>
        <v>117.67926179585938</v>
      </c>
      <c r="I100" s="114">
        <f t="shared" si="34"/>
        <v>1.5622985505494695</v>
      </c>
      <c r="J100" s="101">
        <f t="shared" si="35"/>
        <v>1.01486295529468</v>
      </c>
      <c r="K100" s="104">
        <f t="shared" si="36"/>
        <v>0.1713544324585328</v>
      </c>
      <c r="L100" s="102">
        <f t="shared" si="37"/>
        <v>1</v>
      </c>
      <c r="M100" s="103">
        <f t="shared" si="38"/>
        <v>1.1248346819618998E-10</v>
      </c>
      <c r="N100" s="101">
        <f t="shared" si="39"/>
        <v>1</v>
      </c>
      <c r="O100" s="104">
        <f t="shared" si="40"/>
        <v>1.4997795759491997E-11</v>
      </c>
      <c r="P100" s="105">
        <f t="shared" ca="1" si="41"/>
        <v>1.0105722118596157</v>
      </c>
      <c r="Q100" s="106">
        <f t="shared" ca="1" si="42"/>
        <v>0.14988829666209544</v>
      </c>
      <c r="R100" s="107">
        <f t="shared" ca="1" si="43"/>
        <v>9.3489263205556163</v>
      </c>
      <c r="S100" s="108">
        <f t="shared" ca="1" si="44"/>
        <v>-103.80885675139798</v>
      </c>
      <c r="T100" s="116">
        <f t="shared" ca="1" si="45"/>
        <v>76.191143248602017</v>
      </c>
      <c r="V100" s="72">
        <f t="shared" ca="1" si="46"/>
        <v>1000000000</v>
      </c>
      <c r="W100" s="72">
        <f t="shared" si="47"/>
        <v>7585617.6399999987</v>
      </c>
      <c r="Y100" s="110">
        <f t="shared" si="48"/>
        <v>45.892760628138511</v>
      </c>
      <c r="Z100" s="111">
        <f t="shared" si="49"/>
        <v>-10.243910219583451</v>
      </c>
      <c r="AA100" s="72">
        <f t="shared" si="50"/>
        <v>169.75608978041654</v>
      </c>
      <c r="AB100" s="110">
        <f t="shared" ca="1" si="51"/>
        <v>-19.042609039748896</v>
      </c>
      <c r="AC100" s="111">
        <f t="shared" ca="1" si="52"/>
        <v>-93.564946531814513</v>
      </c>
      <c r="AD100" s="72">
        <f t="shared" ca="1" si="53"/>
        <v>86.435053468185487</v>
      </c>
    </row>
    <row r="101" spans="1:30">
      <c r="A101" s="118">
        <v>3020</v>
      </c>
      <c r="B101" s="101">
        <f t="shared" ca="1" si="27"/>
        <v>168.36545181300576</v>
      </c>
      <c r="C101" s="102">
        <f t="shared" ca="1" si="28"/>
        <v>1.5648568310797282</v>
      </c>
      <c r="D101" s="102">
        <f t="shared" si="29"/>
        <v>1.0039689748226432</v>
      </c>
      <c r="E101" s="103">
        <f t="shared" si="30"/>
        <v>8.8948207727005096E-2</v>
      </c>
      <c r="F101" s="101">
        <f t="shared" si="31"/>
        <v>1032.2524309441574</v>
      </c>
      <c r="G101" s="104">
        <f t="shared" si="32"/>
        <v>1.5698275713563652</v>
      </c>
      <c r="H101" s="113">
        <f t="shared" si="33"/>
        <v>129.03536828558154</v>
      </c>
      <c r="I101" s="114">
        <f t="shared" si="34"/>
        <v>1.5630464360208305</v>
      </c>
      <c r="J101" s="101">
        <f t="shared" si="35"/>
        <v>1.0178437482784835</v>
      </c>
      <c r="K101" s="104">
        <f t="shared" si="36"/>
        <v>0.18752276574285442</v>
      </c>
      <c r="L101" s="102">
        <f t="shared" si="37"/>
        <v>1</v>
      </c>
      <c r="M101" s="103">
        <f t="shared" si="38"/>
        <v>1.2333892743899999E-10</v>
      </c>
      <c r="N101" s="101">
        <f t="shared" si="39"/>
        <v>1</v>
      </c>
      <c r="O101" s="104">
        <f t="shared" si="40"/>
        <v>1.6445190325199997E-11</v>
      </c>
      <c r="P101" s="105">
        <f t="shared" ca="1" si="41"/>
        <v>1.0126979102867082</v>
      </c>
      <c r="Q101" s="106">
        <f t="shared" ca="1" si="42"/>
        <v>0.16413110662472188</v>
      </c>
      <c r="R101" s="107">
        <f t="shared" ca="1" si="43"/>
        <v>8.5107212663268683</v>
      </c>
      <c r="S101" s="108">
        <f t="shared" ca="1" si="44"/>
        <v>-105.10014835017174</v>
      </c>
      <c r="T101" s="116">
        <f t="shared" ca="1" si="45"/>
        <v>74.899851649828264</v>
      </c>
      <c r="V101" s="72">
        <f t="shared" ca="1" si="46"/>
        <v>1000000000</v>
      </c>
      <c r="W101" s="72">
        <f t="shared" si="47"/>
        <v>9120400</v>
      </c>
      <c r="Y101" s="110">
        <f t="shared" si="48"/>
        <v>45.867234411001419</v>
      </c>
      <c r="Z101" s="111">
        <f t="shared" si="49"/>
        <v>-11.132793481315661</v>
      </c>
      <c r="AA101" s="72">
        <f t="shared" si="50"/>
        <v>168.86720651868433</v>
      </c>
      <c r="AB101" s="110">
        <f t="shared" ca="1" si="51"/>
        <v>-19.855287876840556</v>
      </c>
      <c r="AC101" s="111">
        <f t="shared" ca="1" si="52"/>
        <v>-93.967354868856106</v>
      </c>
      <c r="AD101" s="72">
        <f t="shared" ca="1" si="53"/>
        <v>86.032645131143894</v>
      </c>
    </row>
    <row r="102" spans="1:30">
      <c r="A102" s="118">
        <v>3311.3</v>
      </c>
      <c r="B102" s="101">
        <f t="shared" ca="1" si="27"/>
        <v>184.60492268993968</v>
      </c>
      <c r="C102" s="102">
        <f t="shared" ca="1" si="28"/>
        <v>1.5653793266624314</v>
      </c>
      <c r="D102" s="102">
        <f t="shared" si="29"/>
        <v>1.004769666648067</v>
      </c>
      <c r="E102" s="103">
        <f t="shared" si="30"/>
        <v>9.7476001053986142E-2</v>
      </c>
      <c r="F102" s="101">
        <f t="shared" si="31"/>
        <v>1131.820266489957</v>
      </c>
      <c r="G102" s="104">
        <f t="shared" si="32"/>
        <v>1.5699127941707582</v>
      </c>
      <c r="H102" s="113">
        <f t="shared" si="33"/>
        <v>141.48101217772771</v>
      </c>
      <c r="I102" s="114">
        <f t="shared" si="34"/>
        <v>1.5637281816699646</v>
      </c>
      <c r="J102" s="101">
        <f t="shared" si="35"/>
        <v>1.0214141818139337</v>
      </c>
      <c r="K102" s="104">
        <f t="shared" si="36"/>
        <v>0.20512872903707269</v>
      </c>
      <c r="L102" s="102">
        <f t="shared" si="37"/>
        <v>1</v>
      </c>
      <c r="M102" s="103">
        <f t="shared" si="38"/>
        <v>1.35235824645285E-10</v>
      </c>
      <c r="N102" s="101">
        <f t="shared" si="39"/>
        <v>1</v>
      </c>
      <c r="O102" s="104">
        <f t="shared" si="40"/>
        <v>1.8031443286038E-11</v>
      </c>
      <c r="P102" s="105">
        <f t="shared" ca="1" si="41"/>
        <v>1.0152464493768163</v>
      </c>
      <c r="Q102" s="106">
        <f t="shared" ca="1" si="42"/>
        <v>0.17967117258147852</v>
      </c>
      <c r="R102" s="107">
        <f t="shared" ca="1" si="43"/>
        <v>7.6655498804858322</v>
      </c>
      <c r="S102" s="108">
        <f t="shared" ca="1" si="44"/>
        <v>-106.50642791957935</v>
      </c>
      <c r="T102" s="116">
        <f t="shared" ca="1" si="45"/>
        <v>73.493572080420648</v>
      </c>
      <c r="V102" s="72">
        <f t="shared" ca="1" si="46"/>
        <v>1000000000</v>
      </c>
      <c r="W102" s="72">
        <f t="shared" si="47"/>
        <v>10964707.690000001</v>
      </c>
      <c r="Y102" s="110">
        <f t="shared" si="48"/>
        <v>45.836775822257692</v>
      </c>
      <c r="Z102" s="111">
        <f t="shared" si="49"/>
        <v>-12.107362632045604</v>
      </c>
      <c r="AA102" s="72">
        <f t="shared" si="50"/>
        <v>167.89263736795439</v>
      </c>
      <c r="AB102" s="110">
        <f t="shared" ca="1" si="51"/>
        <v>-20.670000673937864</v>
      </c>
      <c r="AC102" s="111">
        <f t="shared" ca="1" si="52"/>
        <v>-94.399065287533773</v>
      </c>
      <c r="AD102" s="72">
        <f t="shared" ca="1" si="53"/>
        <v>85.600934712466227</v>
      </c>
    </row>
    <row r="103" spans="1:30">
      <c r="A103" s="118">
        <v>3630.8</v>
      </c>
      <c r="B103" s="101">
        <f t="shared" ca="1" si="27"/>
        <v>202.41654296706722</v>
      </c>
      <c r="C103" s="102">
        <f t="shared" ca="1" si="28"/>
        <v>1.5658559990274143</v>
      </c>
      <c r="D103" s="102">
        <f t="shared" si="29"/>
        <v>1.0057317502133787</v>
      </c>
      <c r="E103" s="103">
        <f t="shared" si="30"/>
        <v>0.10681297662048145</v>
      </c>
      <c r="F103" s="101">
        <f t="shared" si="31"/>
        <v>1241.0270146780376</v>
      </c>
      <c r="G103" s="104">
        <f t="shared" si="32"/>
        <v>1.5699905424756293</v>
      </c>
      <c r="H103" s="113">
        <f t="shared" si="33"/>
        <v>155.13154957772343</v>
      </c>
      <c r="I103" s="114">
        <f t="shared" si="34"/>
        <v>1.5643501401339022</v>
      </c>
      <c r="J103" s="101">
        <f t="shared" si="35"/>
        <v>1.0256915947621452</v>
      </c>
      <c r="K103" s="104">
        <f t="shared" si="36"/>
        <v>0.22429151418149529</v>
      </c>
      <c r="L103" s="102">
        <f t="shared" si="37"/>
        <v>1</v>
      </c>
      <c r="M103" s="103">
        <f t="shared" si="38"/>
        <v>1.4828442971705999E-10</v>
      </c>
      <c r="N103" s="101">
        <f t="shared" si="39"/>
        <v>1</v>
      </c>
      <c r="O103" s="104">
        <f t="shared" si="40"/>
        <v>1.9771257295607999E-11</v>
      </c>
      <c r="P103" s="105">
        <f t="shared" ca="1" si="41"/>
        <v>1.0183029694328529</v>
      </c>
      <c r="Q103" s="106">
        <f t="shared" ca="1" si="42"/>
        <v>0.19662536885737725</v>
      </c>
      <c r="R103" s="107">
        <f t="shared" ca="1" si="43"/>
        <v>6.8113634586606615</v>
      </c>
      <c r="S103" s="108">
        <f t="shared" ca="1" si="44"/>
        <v>-108.03693960088154</v>
      </c>
      <c r="T103" s="116">
        <f t="shared" ca="1" si="45"/>
        <v>71.963060399118461</v>
      </c>
      <c r="V103" s="72">
        <f t="shared" ca="1" si="46"/>
        <v>1000000000</v>
      </c>
      <c r="W103" s="72">
        <f t="shared" si="47"/>
        <v>13182708.640000001</v>
      </c>
      <c r="Y103" s="110">
        <f t="shared" si="48"/>
        <v>45.800441626160065</v>
      </c>
      <c r="Z103" s="111">
        <f t="shared" si="49"/>
        <v>-13.17412839982538</v>
      </c>
      <c r="AA103" s="72">
        <f t="shared" si="50"/>
        <v>166.82587160017462</v>
      </c>
      <c r="AB103" s="110">
        <f t="shared" ca="1" si="51"/>
        <v>-21.487852899665413</v>
      </c>
      <c r="AC103" s="111">
        <f t="shared" ca="1" si="52"/>
        <v>-94.862811201056189</v>
      </c>
      <c r="AD103" s="72">
        <f t="shared" ca="1" si="53"/>
        <v>85.137188798943811</v>
      </c>
    </row>
    <row r="104" spans="1:30">
      <c r="A104" s="118">
        <v>3981.1</v>
      </c>
      <c r="B104" s="101">
        <f t="shared" ca="1" si="27"/>
        <v>221.94525855256896</v>
      </c>
      <c r="C104" s="102">
        <f t="shared" ca="1" si="28"/>
        <v>1.5662906960371998</v>
      </c>
      <c r="D104" s="102">
        <f t="shared" si="29"/>
        <v>1.0068871362625211</v>
      </c>
      <c r="E104" s="103">
        <f t="shared" si="30"/>
        <v>0.11702854331799691</v>
      </c>
      <c r="F104" s="101">
        <f t="shared" si="31"/>
        <v>1360.7613689233556</v>
      </c>
      <c r="G104" s="104">
        <f t="shared" si="32"/>
        <v>1.5700614440205569</v>
      </c>
      <c r="H104" s="113">
        <f t="shared" si="33"/>
        <v>170.09806469147091</v>
      </c>
      <c r="I104" s="114">
        <f t="shared" si="34"/>
        <v>1.5649173312738809</v>
      </c>
      <c r="J104" s="101">
        <f t="shared" si="35"/>
        <v>1.0308103436415237</v>
      </c>
      <c r="K104" s="104">
        <f t="shared" si="36"/>
        <v>0.24511031994862817</v>
      </c>
      <c r="L104" s="102">
        <f t="shared" si="37"/>
        <v>1</v>
      </c>
      <c r="M104" s="103">
        <f t="shared" si="38"/>
        <v>1.6259092848589499E-10</v>
      </c>
      <c r="N104" s="101">
        <f t="shared" si="39"/>
        <v>1</v>
      </c>
      <c r="O104" s="104">
        <f t="shared" si="40"/>
        <v>2.1678790464785997E-11</v>
      </c>
      <c r="P104" s="105">
        <f t="shared" ca="1" si="41"/>
        <v>1.0219654365126096</v>
      </c>
      <c r="Q104" s="106">
        <f t="shared" ca="1" si="42"/>
        <v>0.21509639908996026</v>
      </c>
      <c r="R104" s="107">
        <f t="shared" ca="1" si="43"/>
        <v>5.94688546410692</v>
      </c>
      <c r="S104" s="108">
        <f t="shared" ca="1" si="44"/>
        <v>-109.69924353032845</v>
      </c>
      <c r="T104" s="116">
        <f t="shared" ca="1" si="45"/>
        <v>70.300756469671555</v>
      </c>
      <c r="V104" s="72">
        <f t="shared" ca="1" si="46"/>
        <v>1000000000</v>
      </c>
      <c r="W104" s="72">
        <f t="shared" si="47"/>
        <v>15849157.209999999</v>
      </c>
      <c r="Y104" s="110">
        <f t="shared" si="48"/>
        <v>45.757172315774326</v>
      </c>
      <c r="Z104" s="111">
        <f t="shared" si="49"/>
        <v>-14.338522806192142</v>
      </c>
      <c r="AA104" s="72">
        <f t="shared" si="50"/>
        <v>165.66147719380785</v>
      </c>
      <c r="AB104" s="110">
        <f t="shared" ca="1" si="51"/>
        <v>-22.309061583833412</v>
      </c>
      <c r="AC104" s="111">
        <f t="shared" ca="1" si="52"/>
        <v>-95.360720724136314</v>
      </c>
      <c r="AD104" s="72">
        <f t="shared" ca="1" si="53"/>
        <v>84.639279275863686</v>
      </c>
    </row>
    <row r="105" spans="1:30">
      <c r="A105" s="118">
        <v>4365.2</v>
      </c>
      <c r="B105" s="101">
        <f t="shared" ca="1" si="27"/>
        <v>243.35831507990096</v>
      </c>
      <c r="C105" s="102">
        <f t="shared" ca="1" si="28"/>
        <v>1.5666871480561213</v>
      </c>
      <c r="D105" s="102">
        <f t="shared" si="29"/>
        <v>1.0082744793273462</v>
      </c>
      <c r="E105" s="103">
        <f t="shared" si="30"/>
        <v>0.12820158713022298</v>
      </c>
      <c r="F105" s="101">
        <f t="shared" si="31"/>
        <v>1492.0487447625969</v>
      </c>
      <c r="G105" s="104">
        <f t="shared" si="32"/>
        <v>1.5701261073544286</v>
      </c>
      <c r="H105" s="113">
        <f t="shared" si="33"/>
        <v>186.50873206550384</v>
      </c>
      <c r="I105" s="114">
        <f t="shared" si="34"/>
        <v>1.5654346218481374</v>
      </c>
      <c r="J105" s="101">
        <f t="shared" si="35"/>
        <v>1.0369310537560774</v>
      </c>
      <c r="K105" s="104">
        <f t="shared" si="36"/>
        <v>0.26769076165472883</v>
      </c>
      <c r="L105" s="102">
        <f t="shared" si="37"/>
        <v>1</v>
      </c>
      <c r="M105" s="103">
        <f t="shared" si="38"/>
        <v>1.7827784306513999E-10</v>
      </c>
      <c r="N105" s="101">
        <f t="shared" si="39"/>
        <v>1</v>
      </c>
      <c r="O105" s="104">
        <f t="shared" si="40"/>
        <v>2.3770379075351997E-11</v>
      </c>
      <c r="P105" s="105">
        <f t="shared" ca="1" si="41"/>
        <v>1.0263515317593954</v>
      </c>
      <c r="Q105" s="106">
        <f t="shared" ca="1" si="42"/>
        <v>0.2351969281109032</v>
      </c>
      <c r="R105" s="107">
        <f t="shared" ca="1" si="43"/>
        <v>5.070193089908873</v>
      </c>
      <c r="S105" s="108">
        <f t="shared" ca="1" si="44"/>
        <v>-111.50129616193124</v>
      </c>
      <c r="T105" s="116">
        <f t="shared" ca="1" si="45"/>
        <v>68.498703838068764</v>
      </c>
      <c r="V105" s="72">
        <f t="shared" ca="1" si="46"/>
        <v>1000000000</v>
      </c>
      <c r="W105" s="72">
        <f t="shared" si="47"/>
        <v>19054971.039999999</v>
      </c>
      <c r="Y105" s="110">
        <f t="shared" si="48"/>
        <v>45.705725197178737</v>
      </c>
      <c r="Z105" s="111">
        <f t="shared" si="49"/>
        <v>-15.606353185595923</v>
      </c>
      <c r="AA105" s="72">
        <f t="shared" si="50"/>
        <v>164.39364681440406</v>
      </c>
      <c r="AB105" s="110">
        <f t="shared" ca="1" si="51"/>
        <v>-23.134306839435865</v>
      </c>
      <c r="AC105" s="111">
        <f t="shared" ca="1" si="52"/>
        <v>-95.894942976335344</v>
      </c>
      <c r="AD105" s="72">
        <f t="shared" ca="1" si="53"/>
        <v>84.105057023664656</v>
      </c>
    </row>
    <row r="106" spans="1:30">
      <c r="A106" s="118">
        <v>4786.3</v>
      </c>
      <c r="B106" s="101">
        <f t="shared" ca="1" si="27"/>
        <v>266.83410822291927</v>
      </c>
      <c r="C106" s="102">
        <f t="shared" ca="1" si="28"/>
        <v>1.56704867119163</v>
      </c>
      <c r="D106" s="102">
        <f t="shared" si="29"/>
        <v>1.0099396767460835</v>
      </c>
      <c r="E106" s="103">
        <f t="shared" si="30"/>
        <v>0.14041394587267467</v>
      </c>
      <c r="F106" s="101">
        <f t="shared" si="31"/>
        <v>1635.9829188223077</v>
      </c>
      <c r="G106" s="104">
        <f t="shared" si="32"/>
        <v>1.5701850734310829</v>
      </c>
      <c r="H106" s="113">
        <f t="shared" si="33"/>
        <v>204.50027164859546</v>
      </c>
      <c r="I106" s="114">
        <f t="shared" si="34"/>
        <v>1.5659063382521881</v>
      </c>
      <c r="J106" s="101">
        <f t="shared" si="35"/>
        <v>1.0442412531478737</v>
      </c>
      <c r="K106" s="104">
        <f t="shared" si="36"/>
        <v>0.29212830862429479</v>
      </c>
      <c r="L106" s="102">
        <f t="shared" si="37"/>
        <v>1</v>
      </c>
      <c r="M106" s="103">
        <f t="shared" si="38"/>
        <v>1.95475863709035E-10</v>
      </c>
      <c r="N106" s="101">
        <f t="shared" si="39"/>
        <v>1</v>
      </c>
      <c r="O106" s="104">
        <f t="shared" si="40"/>
        <v>2.6063448494537996E-11</v>
      </c>
      <c r="P106" s="105">
        <f t="shared" ca="1" si="41"/>
        <v>1.0315994897988545</v>
      </c>
      <c r="Q106" s="106">
        <f t="shared" ca="1" si="42"/>
        <v>0.25703584750645064</v>
      </c>
      <c r="R106" s="107">
        <f t="shared" ca="1" si="43"/>
        <v>4.1792835638988866</v>
      </c>
      <c r="S106" s="108">
        <f t="shared" ca="1" si="44"/>
        <v>-113.45009066107058</v>
      </c>
      <c r="T106" s="116">
        <f t="shared" ca="1" si="45"/>
        <v>66.549909338929425</v>
      </c>
      <c r="V106" s="72">
        <f t="shared" ca="1" si="46"/>
        <v>1000000000</v>
      </c>
      <c r="W106" s="72">
        <f t="shared" si="47"/>
        <v>22908667.690000001</v>
      </c>
      <c r="Y106" s="110">
        <f t="shared" si="48"/>
        <v>45.644685215834365</v>
      </c>
      <c r="Z106" s="111">
        <f t="shared" si="49"/>
        <v>-16.982872637571226</v>
      </c>
      <c r="AA106" s="72">
        <f t="shared" si="50"/>
        <v>163.01712736242877</v>
      </c>
      <c r="AB106" s="110">
        <f t="shared" ca="1" si="51"/>
        <v>-23.964176384101485</v>
      </c>
      <c r="AC106" s="111">
        <f t="shared" ca="1" si="52"/>
        <v>-96.467218023499342</v>
      </c>
      <c r="AD106" s="72">
        <f t="shared" ca="1" si="53"/>
        <v>83.532781976500658</v>
      </c>
    </row>
    <row r="107" spans="1:30">
      <c r="A107" s="118">
        <v>5248.1</v>
      </c>
      <c r="B107" s="101">
        <f t="shared" ca="1" si="27"/>
        <v>292.57890831000901</v>
      </c>
      <c r="C107" s="102">
        <f t="shared" ca="1" si="28"/>
        <v>1.5673784387701859</v>
      </c>
      <c r="D107" s="102">
        <f t="shared" si="29"/>
        <v>1.0119383685565229</v>
      </c>
      <c r="E107" s="103">
        <f t="shared" si="30"/>
        <v>0.15375822280782517</v>
      </c>
      <c r="F107" s="101">
        <f t="shared" si="31"/>
        <v>1793.8285703808494</v>
      </c>
      <c r="G107" s="104">
        <f t="shared" si="32"/>
        <v>1.5702388598951569</v>
      </c>
      <c r="H107" s="113">
        <f t="shared" si="33"/>
        <v>224.2307663126665</v>
      </c>
      <c r="I107" s="114">
        <f t="shared" si="34"/>
        <v>1.5663366207015632</v>
      </c>
      <c r="J107" s="101">
        <f t="shared" si="35"/>
        <v>1.0529642173797293</v>
      </c>
      <c r="K107" s="104">
        <f t="shared" si="36"/>
        <v>0.31852015381146959</v>
      </c>
      <c r="L107" s="102">
        <f t="shared" si="37"/>
        <v>1</v>
      </c>
      <c r="M107" s="103">
        <f t="shared" si="38"/>
        <v>2.14336101024045E-10</v>
      </c>
      <c r="N107" s="101">
        <f t="shared" si="39"/>
        <v>1</v>
      </c>
      <c r="O107" s="104">
        <f t="shared" si="40"/>
        <v>2.8578146803205996E-11</v>
      </c>
      <c r="P107" s="105">
        <f t="shared" ca="1" si="41"/>
        <v>1.0378749601863324</v>
      </c>
      <c r="Q107" s="106">
        <f t="shared" ca="1" si="42"/>
        <v>0.28072994393201711</v>
      </c>
      <c r="R107" s="107">
        <f t="shared" ca="1" si="43"/>
        <v>3.271471841997343</v>
      </c>
      <c r="S107" s="108">
        <f t="shared" ca="1" si="44"/>
        <v>-115.55255564035743</v>
      </c>
      <c r="T107" s="116">
        <f t="shared" ca="1" si="45"/>
        <v>64.447444359642574</v>
      </c>
      <c r="V107" s="72">
        <f t="shared" ca="1" si="46"/>
        <v>1000000000</v>
      </c>
      <c r="W107" s="72">
        <f t="shared" si="47"/>
        <v>27542553.610000003</v>
      </c>
      <c r="Y107" s="110">
        <f t="shared" si="48"/>
        <v>45.572412682342993</v>
      </c>
      <c r="Z107" s="111">
        <f t="shared" si="49"/>
        <v>-18.473442350164316</v>
      </c>
      <c r="AA107" s="72">
        <f t="shared" si="50"/>
        <v>161.52655764983569</v>
      </c>
      <c r="AB107" s="110">
        <f t="shared" ca="1" si="51"/>
        <v>-24.799715572511648</v>
      </c>
      <c r="AC107" s="111">
        <f t="shared" ca="1" si="52"/>
        <v>-97.079113290193106</v>
      </c>
      <c r="AD107" s="72">
        <f t="shared" ca="1" si="53"/>
        <v>82.920886709806894</v>
      </c>
    </row>
    <row r="108" spans="1:30">
      <c r="A108" s="118">
        <v>5370.3</v>
      </c>
      <c r="B108" s="101">
        <f t="shared" ca="1" si="27"/>
        <v>299.3914175385421</v>
      </c>
      <c r="C108" s="102">
        <f t="shared" ca="1" si="28"/>
        <v>1.5674562114782351</v>
      </c>
      <c r="D108" s="102">
        <f t="shared" si="29"/>
        <v>1.0124973298714923</v>
      </c>
      <c r="E108" s="103">
        <f t="shared" si="30"/>
        <v>0.15728032441191905</v>
      </c>
      <c r="F108" s="101">
        <f t="shared" si="31"/>
        <v>1835.5971692934354</v>
      </c>
      <c r="G108" s="104">
        <f t="shared" si="32"/>
        <v>1.570251544929794</v>
      </c>
      <c r="H108" s="113">
        <f t="shared" si="33"/>
        <v>229.45179123014032</v>
      </c>
      <c r="I108" s="114">
        <f t="shared" si="34"/>
        <v>1.5664380990367375</v>
      </c>
      <c r="J108" s="101">
        <f t="shared" si="35"/>
        <v>1.0553938781813963</v>
      </c>
      <c r="K108" s="104">
        <f t="shared" si="36"/>
        <v>0.3254293312380096</v>
      </c>
      <c r="L108" s="102">
        <f t="shared" si="37"/>
        <v>1</v>
      </c>
      <c r="M108" s="103">
        <f t="shared" si="38"/>
        <v>2.1932683510783498E-10</v>
      </c>
      <c r="N108" s="101">
        <f t="shared" si="39"/>
        <v>1</v>
      </c>
      <c r="O108" s="104">
        <f t="shared" si="40"/>
        <v>2.9243578014378E-11</v>
      </c>
      <c r="P108" s="105">
        <f t="shared" ca="1" si="41"/>
        <v>1.0396254491470551</v>
      </c>
      <c r="Q108" s="106">
        <f t="shared" ca="1" si="42"/>
        <v>0.28695275426255107</v>
      </c>
      <c r="R108" s="107">
        <f t="shared" ca="1" si="43"/>
        <v>3.0416813485543432</v>
      </c>
      <c r="S108" s="108">
        <f t="shared" ca="1" si="44"/>
        <v>-116.10253012546774</v>
      </c>
      <c r="T108" s="116">
        <f t="shared" ca="1" si="45"/>
        <v>63.897469874532263</v>
      </c>
      <c r="V108" s="72">
        <f t="shared" ca="1" si="46"/>
        <v>1000000000</v>
      </c>
      <c r="W108" s="72">
        <f t="shared" si="47"/>
        <v>28840122.090000004</v>
      </c>
      <c r="Y108" s="110">
        <f t="shared" si="48"/>
        <v>45.552389700739155</v>
      </c>
      <c r="Z108" s="111">
        <f t="shared" si="49"/>
        <v>-18.864221575441018</v>
      </c>
      <c r="AA108" s="72">
        <f t="shared" si="50"/>
        <v>161.13577842455899</v>
      </c>
      <c r="AB108" s="110">
        <f t="shared" ca="1" si="51"/>
        <v>-25.009483084350808</v>
      </c>
      <c r="AC108" s="111">
        <f t="shared" ca="1" si="52"/>
        <v>-97.238308550026716</v>
      </c>
      <c r="AD108" s="72">
        <f t="shared" ca="1" si="53"/>
        <v>82.761691449973284</v>
      </c>
    </row>
    <row r="109" spans="1:30">
      <c r="A109" s="118">
        <v>5432.85</v>
      </c>
      <c r="B109" s="101">
        <f t="shared" ca="1" si="27"/>
        <v>302.87850865931722</v>
      </c>
      <c r="C109" s="102">
        <f t="shared" ca="1" si="28"/>
        <v>1.5674946669271987</v>
      </c>
      <c r="D109" s="102">
        <f t="shared" si="29"/>
        <v>1.0127882989849646</v>
      </c>
      <c r="E109" s="103">
        <f t="shared" si="30"/>
        <v>0.15908165205168501</v>
      </c>
      <c r="F109" s="101">
        <f t="shared" si="31"/>
        <v>1856.9770864413351</v>
      </c>
      <c r="G109" s="104">
        <f t="shared" si="32"/>
        <v>1.5702578171624226</v>
      </c>
      <c r="H109" s="113">
        <f t="shared" si="33"/>
        <v>232.12425617705776</v>
      </c>
      <c r="I109" s="114">
        <f t="shared" si="34"/>
        <v>1.5664882759703378</v>
      </c>
      <c r="J109" s="101">
        <f t="shared" si="35"/>
        <v>1.0566569646638628</v>
      </c>
      <c r="K109" s="104">
        <f t="shared" si="36"/>
        <v>0.32895352266383321</v>
      </c>
      <c r="L109" s="102">
        <f t="shared" si="37"/>
        <v>1</v>
      </c>
      <c r="M109" s="103">
        <f t="shared" si="38"/>
        <v>2.2188142117118249E-10</v>
      </c>
      <c r="N109" s="101">
        <f t="shared" si="39"/>
        <v>1</v>
      </c>
      <c r="O109" s="104">
        <f t="shared" si="40"/>
        <v>2.9584189489491001E-11</v>
      </c>
      <c r="P109" s="105">
        <f t="shared" ca="1" si="41"/>
        <v>1.0405358946677417</v>
      </c>
      <c r="Q109" s="106">
        <f t="shared" ca="1" si="42"/>
        <v>0.2901301516474572</v>
      </c>
      <c r="R109" s="107">
        <f t="shared" ca="1" si="43"/>
        <v>2.925600759395353</v>
      </c>
      <c r="S109" s="108">
        <f t="shared" ca="1" si="44"/>
        <v>-116.38298219012783</v>
      </c>
      <c r="T109" s="116">
        <f t="shared" ca="1" si="45"/>
        <v>63.617017809872166</v>
      </c>
      <c r="V109" s="72">
        <f t="shared" ca="1" si="46"/>
        <v>1000000000</v>
      </c>
      <c r="W109" s="72">
        <f t="shared" si="47"/>
        <v>29515859.122500002</v>
      </c>
      <c r="Y109" s="110">
        <f t="shared" si="48"/>
        <v>45.541998857821405</v>
      </c>
      <c r="Z109" s="111">
        <f t="shared" si="49"/>
        <v>-19.063627316371434</v>
      </c>
      <c r="AA109" s="72">
        <f t="shared" si="50"/>
        <v>160.93637268362858</v>
      </c>
      <c r="AB109" s="110">
        <f t="shared" ca="1" si="51"/>
        <v>-25.115172830592055</v>
      </c>
      <c r="AC109" s="111">
        <f t="shared" ca="1" si="52"/>
        <v>-97.319354873756382</v>
      </c>
      <c r="AD109" s="72">
        <f t="shared" ca="1" si="53"/>
        <v>82.680645126243618</v>
      </c>
    </row>
    <row r="110" spans="1:30">
      <c r="A110" s="118">
        <v>5495.4</v>
      </c>
      <c r="B110" s="101">
        <f t="shared" ca="1" si="27"/>
        <v>306.3656002177994</v>
      </c>
      <c r="C110" s="102">
        <f t="shared" ca="1" si="28"/>
        <v>1.5675322469667627</v>
      </c>
      <c r="D110" s="102">
        <f t="shared" si="29"/>
        <v>1.0130825524810034</v>
      </c>
      <c r="E110" s="103">
        <f t="shared" si="30"/>
        <v>0.16088193912590321</v>
      </c>
      <c r="F110" s="101">
        <f t="shared" si="31"/>
        <v>1878.3570036606263</v>
      </c>
      <c r="G110" s="104">
        <f t="shared" si="32"/>
        <v>1.5702639466108905</v>
      </c>
      <c r="H110" s="113">
        <f t="shared" si="33"/>
        <v>234.79672169509624</v>
      </c>
      <c r="I110" s="114">
        <f t="shared" si="34"/>
        <v>1.566537310672397</v>
      </c>
      <c r="J110" s="101">
        <f t="shared" si="35"/>
        <v>1.0579331433148182</v>
      </c>
      <c r="K110" s="104">
        <f t="shared" si="36"/>
        <v>0.33246925524385679</v>
      </c>
      <c r="L110" s="102">
        <f t="shared" si="37"/>
        <v>1</v>
      </c>
      <c r="M110" s="103">
        <f t="shared" si="38"/>
        <v>2.2443600723452998E-10</v>
      </c>
      <c r="N110" s="101">
        <f t="shared" si="39"/>
        <v>1</v>
      </c>
      <c r="O110" s="104">
        <f t="shared" si="40"/>
        <v>2.9924800964603996E-11</v>
      </c>
      <c r="P110" s="105">
        <f t="shared" ca="1" si="41"/>
        <v>1.0414560777746895</v>
      </c>
      <c r="Q110" s="106">
        <f t="shared" ca="1" si="42"/>
        <v>0.29330217886094451</v>
      </c>
      <c r="R110" s="107">
        <f t="shared" ca="1" si="43"/>
        <v>2.8105294379871744</v>
      </c>
      <c r="S110" s="108">
        <f t="shared" ca="1" si="44"/>
        <v>-116.66270863733266</v>
      </c>
      <c r="T110" s="116">
        <f t="shared" ca="1" si="45"/>
        <v>63.337291362667344</v>
      </c>
      <c r="V110" s="72">
        <f t="shared" ca="1" si="46"/>
        <v>1000000000</v>
      </c>
      <c r="W110" s="72">
        <f t="shared" si="47"/>
        <v>30199421.159999996</v>
      </c>
      <c r="Y110" s="110">
        <f t="shared" si="48"/>
        <v>45.53151299862342</v>
      </c>
      <c r="Z110" s="111">
        <f t="shared" si="49"/>
        <v>-19.262605665254224</v>
      </c>
      <c r="AA110" s="72">
        <f t="shared" si="50"/>
        <v>160.73739433474577</v>
      </c>
      <c r="AB110" s="110">
        <f t="shared" ca="1" si="51"/>
        <v>-25.21975829280224</v>
      </c>
      <c r="AC110" s="111">
        <f t="shared" ca="1" si="52"/>
        <v>-97.4001029720784</v>
      </c>
      <c r="AD110" s="72">
        <f t="shared" ca="1" si="53"/>
        <v>82.5998970279216</v>
      </c>
    </row>
    <row r="111" spans="1:30">
      <c r="A111" s="118">
        <v>5559.4</v>
      </c>
      <c r="B111" s="101">
        <f t="shared" ca="1" si="27"/>
        <v>309.93352806938884</v>
      </c>
      <c r="C111" s="102">
        <f t="shared" ca="1" si="28"/>
        <v>1.5675698229013495</v>
      </c>
      <c r="D111" s="102">
        <f t="shared" si="29"/>
        <v>1.0133870236870173</v>
      </c>
      <c r="E111" s="103">
        <f t="shared" si="30"/>
        <v>0.16272287122496795</v>
      </c>
      <c r="F111" s="101">
        <f t="shared" si="31"/>
        <v>1900.2325385367174</v>
      </c>
      <c r="G111" s="104">
        <f t="shared" si="32"/>
        <v>1.5702700753883574</v>
      </c>
      <c r="H111" s="113">
        <f t="shared" si="33"/>
        <v>237.53113942286916</v>
      </c>
      <c r="I111" s="114">
        <f t="shared" si="34"/>
        <v>1.5665863400267031</v>
      </c>
      <c r="J111" s="101">
        <f t="shared" si="35"/>
        <v>1.0592524072134826</v>
      </c>
      <c r="K111" s="104">
        <f t="shared" si="36"/>
        <v>0.33605767377838264</v>
      </c>
      <c r="L111" s="102">
        <f t="shared" si="37"/>
        <v>1</v>
      </c>
      <c r="M111" s="103">
        <f t="shared" si="38"/>
        <v>2.2704981231932998E-10</v>
      </c>
      <c r="N111" s="101">
        <f t="shared" si="39"/>
        <v>1</v>
      </c>
      <c r="O111" s="104">
        <f t="shared" si="40"/>
        <v>3.0273308309243992E-11</v>
      </c>
      <c r="P111" s="105">
        <f t="shared" ca="1" si="41"/>
        <v>1.0424076441261112</v>
      </c>
      <c r="Q111" s="106">
        <f t="shared" ca="1" si="42"/>
        <v>0.29654213541575924</v>
      </c>
      <c r="R111" s="107">
        <f t="shared" ca="1" si="43"/>
        <v>2.6938092105606044</v>
      </c>
      <c r="S111" s="108">
        <f t="shared" ca="1" si="44"/>
        <v>-116.94816299190545</v>
      </c>
      <c r="T111" s="116">
        <f t="shared" ca="1" si="45"/>
        <v>63.051837008094552</v>
      </c>
      <c r="V111" s="72">
        <f t="shared" ca="1" si="46"/>
        <v>1000000000</v>
      </c>
      <c r="W111" s="72">
        <f t="shared" si="47"/>
        <v>30906928.359999996</v>
      </c>
      <c r="Y111" s="110">
        <f t="shared" si="48"/>
        <v>45.520686492395114</v>
      </c>
      <c r="Z111" s="111">
        <f t="shared" si="49"/>
        <v>-19.465748880519858</v>
      </c>
      <c r="AA111" s="72">
        <f t="shared" si="50"/>
        <v>160.53425111948013</v>
      </c>
      <c r="AB111" s="110">
        <f t="shared" ca="1" si="51"/>
        <v>-25.325652014000511</v>
      </c>
      <c r="AC111" s="111">
        <f t="shared" ca="1" si="52"/>
        <v>-97.482414111385594</v>
      </c>
      <c r="AD111" s="72">
        <f t="shared" ca="1" si="53"/>
        <v>82.517585888614406</v>
      </c>
    </row>
    <row r="112" spans="1:30">
      <c r="A112" s="118">
        <v>5623.4</v>
      </c>
      <c r="B112" s="101">
        <f t="shared" ca="1" si="27"/>
        <v>313.50145634862838</v>
      </c>
      <c r="C112" s="102">
        <f t="shared" ca="1" si="28"/>
        <v>1.567606543540186</v>
      </c>
      <c r="D112" s="102">
        <f t="shared" si="29"/>
        <v>1.0136949272231774</v>
      </c>
      <c r="E112" s="103">
        <f t="shared" si="30"/>
        <v>0.16456269121272418</v>
      </c>
      <c r="F112" s="101">
        <f t="shared" si="31"/>
        <v>1922.10807348256</v>
      </c>
      <c r="G112" s="104">
        <f t="shared" si="32"/>
        <v>1.5702760646624452</v>
      </c>
      <c r="H112" s="113">
        <f t="shared" si="33"/>
        <v>240.2655577086411</v>
      </c>
      <c r="I112" s="114">
        <f t="shared" si="34"/>
        <v>1.5666342533929278</v>
      </c>
      <c r="J112" s="101">
        <f t="shared" si="35"/>
        <v>1.0605852768027524</v>
      </c>
      <c r="K112" s="104">
        <f t="shared" si="36"/>
        <v>0.33963711896029969</v>
      </c>
      <c r="L112" s="102">
        <f t="shared" si="37"/>
        <v>1</v>
      </c>
      <c r="M112" s="103">
        <f t="shared" si="38"/>
        <v>2.2966361740412997E-10</v>
      </c>
      <c r="N112" s="101">
        <f t="shared" si="39"/>
        <v>1</v>
      </c>
      <c r="O112" s="104">
        <f t="shared" si="40"/>
        <v>3.0621815653883994E-11</v>
      </c>
      <c r="P112" s="105">
        <f t="shared" ca="1" si="41"/>
        <v>1.043369350270464</v>
      </c>
      <c r="Q112" s="106">
        <f t="shared" ca="1" si="42"/>
        <v>0.29977638013171715</v>
      </c>
      <c r="R112" s="107">
        <f t="shared" ca="1" si="43"/>
        <v>2.5780936953534761</v>
      </c>
      <c r="S112" s="108">
        <f t="shared" ca="1" si="44"/>
        <v>-117.23284660988485</v>
      </c>
      <c r="T112" s="116">
        <f t="shared" ca="1" si="45"/>
        <v>62.767153390115155</v>
      </c>
      <c r="V112" s="72">
        <f t="shared" ca="1" si="46"/>
        <v>1000000000</v>
      </c>
      <c r="W112" s="72">
        <f t="shared" si="47"/>
        <v>31622627.559999995</v>
      </c>
      <c r="Y112" s="110">
        <f t="shared" si="48"/>
        <v>45.509762092464157</v>
      </c>
      <c r="Z112" s="111">
        <f t="shared" si="49"/>
        <v>-19.668433909004573</v>
      </c>
      <c r="AA112" s="72">
        <f t="shared" si="50"/>
        <v>160.33156609099544</v>
      </c>
      <c r="AB112" s="110">
        <f t="shared" ca="1" si="51"/>
        <v>-25.430443129276689</v>
      </c>
      <c r="AC112" s="111">
        <f t="shared" ca="1" si="52"/>
        <v>-97.564412700880283</v>
      </c>
      <c r="AD112" s="72">
        <f t="shared" ca="1" si="53"/>
        <v>82.435587299119717</v>
      </c>
    </row>
    <row r="113" spans="1:30">
      <c r="A113" s="118">
        <v>5688.9</v>
      </c>
      <c r="B113" s="101">
        <f t="shared" ca="1" si="27"/>
        <v>317.15300837465355</v>
      </c>
      <c r="C113" s="102">
        <f t="shared" ca="1" si="28"/>
        <v>1.5676432693413709</v>
      </c>
      <c r="D113" s="102">
        <f t="shared" si="29"/>
        <v>1.0140135979262372</v>
      </c>
      <c r="E113" s="103">
        <f t="shared" si="30"/>
        <v>0.16644446853302122</v>
      </c>
      <c r="F113" s="101">
        <f t="shared" si="31"/>
        <v>1944.4963163484624</v>
      </c>
      <c r="G113" s="104">
        <f t="shared" si="32"/>
        <v>1.5702820547771654</v>
      </c>
      <c r="H113" s="113">
        <f t="shared" si="33"/>
        <v>243.06406448110354</v>
      </c>
      <c r="I113" s="114">
        <f t="shared" si="34"/>
        <v>1.5666821735029106</v>
      </c>
      <c r="J113" s="101">
        <f t="shared" si="35"/>
        <v>1.0619634198134069</v>
      </c>
      <c r="K113" s="104">
        <f t="shared" si="36"/>
        <v>0.34329110583499117</v>
      </c>
      <c r="L113" s="102">
        <f t="shared" si="37"/>
        <v>1</v>
      </c>
      <c r="M113" s="103">
        <f t="shared" si="38"/>
        <v>2.3233868354560496E-10</v>
      </c>
      <c r="N113" s="101">
        <f t="shared" si="39"/>
        <v>1</v>
      </c>
      <c r="O113" s="104">
        <f t="shared" si="40"/>
        <v>3.0978491139413997E-11</v>
      </c>
      <c r="P113" s="105">
        <f t="shared" ca="1" si="41"/>
        <v>1.0443640664006673</v>
      </c>
      <c r="Q113" s="106">
        <f t="shared" ca="1" si="42"/>
        <v>0.30308046679654987</v>
      </c>
      <c r="R113" s="107">
        <f t="shared" ca="1" si="43"/>
        <v>2.4606804781387552</v>
      </c>
      <c r="S113" s="108">
        <f t="shared" ca="1" si="44"/>
        <v>-117.52339878064755</v>
      </c>
      <c r="T113" s="116">
        <f t="shared" ca="1" si="45"/>
        <v>62.476601219352446</v>
      </c>
      <c r="V113" s="72">
        <f t="shared" ca="1" si="46"/>
        <v>1000000000</v>
      </c>
      <c r="W113" s="72">
        <f t="shared" si="47"/>
        <v>32363583.209999997</v>
      </c>
      <c r="Y113" s="110">
        <f t="shared" si="48"/>
        <v>45.498481127097953</v>
      </c>
      <c r="Z113" s="111">
        <f t="shared" si="49"/>
        <v>-19.875389523660704</v>
      </c>
      <c r="AA113" s="72">
        <f t="shared" si="50"/>
        <v>160.12461047633929</v>
      </c>
      <c r="AB113" s="110">
        <f t="shared" ca="1" si="51"/>
        <v>-25.536575381125193</v>
      </c>
      <c r="AC113" s="111">
        <f t="shared" ca="1" si="52"/>
        <v>-97.648009256986853</v>
      </c>
      <c r="AD113" s="72">
        <f t="shared" ca="1" si="53"/>
        <v>82.351990743013147</v>
      </c>
    </row>
    <row r="114" spans="1:30">
      <c r="A114" s="118">
        <v>5754.4</v>
      </c>
      <c r="B114" s="101">
        <f t="shared" ca="1" si="27"/>
        <v>320.80456081871165</v>
      </c>
      <c r="C114" s="102">
        <f t="shared" ca="1" si="28"/>
        <v>1.5676791590809915</v>
      </c>
      <c r="D114" s="102">
        <f t="shared" si="29"/>
        <v>1.0143358570749559</v>
      </c>
      <c r="E114" s="103">
        <f t="shared" si="30"/>
        <v>0.16832505681058374</v>
      </c>
      <c r="F114" s="101">
        <f t="shared" si="31"/>
        <v>1966.884559282548</v>
      </c>
      <c r="G114" s="104">
        <f t="shared" si="32"/>
        <v>1.5702879085258314</v>
      </c>
      <c r="H114" s="113">
        <f t="shared" si="33"/>
        <v>245.86257179901665</v>
      </c>
      <c r="I114" s="114">
        <f t="shared" si="34"/>
        <v>1.5667290027208187</v>
      </c>
      <c r="J114" s="101">
        <f t="shared" si="35"/>
        <v>1.063355704893217</v>
      </c>
      <c r="K114" s="104">
        <f t="shared" si="36"/>
        <v>0.34693557270361985</v>
      </c>
      <c r="L114" s="102">
        <f t="shared" si="37"/>
        <v>1</v>
      </c>
      <c r="M114" s="103">
        <f t="shared" si="38"/>
        <v>2.3501374968707996E-10</v>
      </c>
      <c r="N114" s="101">
        <f t="shared" si="39"/>
        <v>1</v>
      </c>
      <c r="O114" s="104">
        <f t="shared" si="40"/>
        <v>3.1335166624943993E-11</v>
      </c>
      <c r="P114" s="105">
        <f t="shared" ca="1" si="41"/>
        <v>1.0453693439788925</v>
      </c>
      <c r="Q114" s="106">
        <f t="shared" ca="1" si="42"/>
        <v>0.30637847706348786</v>
      </c>
      <c r="R114" s="107">
        <f t="shared" ca="1" si="43"/>
        <v>2.34426790281834</v>
      </c>
      <c r="S114" s="108">
        <f t="shared" ca="1" si="44"/>
        <v>-117.81313225793069</v>
      </c>
      <c r="T114" s="116">
        <f t="shared" ca="1" si="45"/>
        <v>62.18686774206931</v>
      </c>
      <c r="V114" s="72">
        <f t="shared" ca="1" si="46"/>
        <v>1000000000</v>
      </c>
      <c r="W114" s="72">
        <f t="shared" si="47"/>
        <v>33113119.359999996</v>
      </c>
      <c r="Y114" s="110">
        <f t="shared" si="48"/>
        <v>45.487099328758816</v>
      </c>
      <c r="Z114" s="111">
        <f t="shared" si="49"/>
        <v>-20.08185437246032</v>
      </c>
      <c r="AA114" s="72">
        <f t="shared" si="50"/>
        <v>159.91814562753967</v>
      </c>
      <c r="AB114" s="110">
        <f t="shared" ca="1" si="51"/>
        <v>-25.64160615810648</v>
      </c>
      <c r="AC114" s="111">
        <f t="shared" ca="1" si="52"/>
        <v>-97.731277885470348</v>
      </c>
      <c r="AD114" s="72">
        <f t="shared" ca="1" si="53"/>
        <v>82.268722114529652</v>
      </c>
    </row>
    <row r="115" spans="1:30">
      <c r="A115" s="118">
        <v>5821.4</v>
      </c>
      <c r="B115" s="101">
        <f t="shared" ca="1" si="27"/>
        <v>324.5397370189753</v>
      </c>
      <c r="C115" s="102">
        <f t="shared" ca="1" si="28"/>
        <v>1.5677150351429707</v>
      </c>
      <c r="D115" s="102">
        <f t="shared" si="29"/>
        <v>1.0146692052933775</v>
      </c>
      <c r="E115" s="103">
        <f t="shared" si="30"/>
        <v>0.17024746911650843</v>
      </c>
      <c r="F115" s="101">
        <f t="shared" si="31"/>
        <v>1989.7855101382295</v>
      </c>
      <c r="G115" s="104">
        <f t="shared" si="32"/>
        <v>1.5702937600423494</v>
      </c>
      <c r="H115" s="113">
        <f t="shared" si="33"/>
        <v>248.72516761591166</v>
      </c>
      <c r="I115" s="114">
        <f t="shared" si="34"/>
        <v>1.5667758140993886</v>
      </c>
      <c r="J115" s="101">
        <f t="shared" si="35"/>
        <v>1.0647944481013851</v>
      </c>
      <c r="K115" s="104">
        <f t="shared" si="36"/>
        <v>0.35065358933153873</v>
      </c>
      <c r="L115" s="102">
        <f t="shared" si="37"/>
        <v>1</v>
      </c>
      <c r="M115" s="103">
        <f t="shared" si="38"/>
        <v>2.3775007688522997E-10</v>
      </c>
      <c r="N115" s="101">
        <f t="shared" si="39"/>
        <v>1</v>
      </c>
      <c r="O115" s="104">
        <f t="shared" si="40"/>
        <v>3.1700010251363991E-11</v>
      </c>
      <c r="P115" s="105">
        <f t="shared" ca="1" si="41"/>
        <v>1.0464085386537487</v>
      </c>
      <c r="Q115" s="106">
        <f t="shared" ca="1" si="42"/>
        <v>0.30974567920515972</v>
      </c>
      <c r="R115" s="107">
        <f t="shared" ca="1" si="43"/>
        <v>2.2261988514122519</v>
      </c>
      <c r="S115" s="108">
        <f t="shared" ca="1" si="44"/>
        <v>-118.10864799865534</v>
      </c>
      <c r="T115" s="116">
        <f t="shared" ca="1" si="45"/>
        <v>61.891352001344657</v>
      </c>
      <c r="V115" s="72">
        <f t="shared" ca="1" si="46"/>
        <v>1000000000</v>
      </c>
      <c r="W115" s="72">
        <f t="shared" si="47"/>
        <v>33888697.959999993</v>
      </c>
      <c r="Y115" s="110">
        <f t="shared" si="48"/>
        <v>45.475353457455682</v>
      </c>
      <c r="Z115" s="111">
        <f t="shared" si="49"/>
        <v>-20.292534206279388</v>
      </c>
      <c r="AA115" s="72">
        <f t="shared" si="50"/>
        <v>159.70746579372062</v>
      </c>
      <c r="AB115" s="110">
        <f t="shared" ca="1" si="51"/>
        <v>-25.747929338209428</v>
      </c>
      <c r="AC115" s="111">
        <f t="shared" ca="1" si="52"/>
        <v>-97.816113792375972</v>
      </c>
      <c r="AD115" s="72">
        <f t="shared" ca="1" si="53"/>
        <v>82.183886207624028</v>
      </c>
    </row>
    <row r="116" spans="1:30">
      <c r="A116" s="118">
        <v>5888.4</v>
      </c>
      <c r="B116" s="101">
        <f t="shared" ca="1" si="27"/>
        <v>328.27491362744581</v>
      </c>
      <c r="C116" s="102">
        <f t="shared" ca="1" si="28"/>
        <v>1.567750094795199</v>
      </c>
      <c r="D116" s="102">
        <f t="shared" si="29"/>
        <v>1.0150063009222492</v>
      </c>
      <c r="E116" s="103">
        <f t="shared" si="30"/>
        <v>0.17216861160658326</v>
      </c>
      <c r="F116" s="101">
        <f t="shared" si="31"/>
        <v>2012.6864610604914</v>
      </c>
      <c r="G116" s="104">
        <f t="shared" si="32"/>
        <v>1.5702994783982436</v>
      </c>
      <c r="H116" s="113">
        <f t="shared" si="33"/>
        <v>251.58776396543655</v>
      </c>
      <c r="I116" s="114">
        <f t="shared" si="34"/>
        <v>1.5668215602268754</v>
      </c>
      <c r="J116" s="101">
        <f t="shared" si="35"/>
        <v>1.0662478708111733</v>
      </c>
      <c r="K116" s="104">
        <f t="shared" si="36"/>
        <v>0.35436152090267486</v>
      </c>
      <c r="L116" s="102">
        <f t="shared" si="37"/>
        <v>1</v>
      </c>
      <c r="M116" s="103">
        <f t="shared" si="38"/>
        <v>2.4048640408337999E-10</v>
      </c>
      <c r="N116" s="101">
        <f t="shared" si="39"/>
        <v>1</v>
      </c>
      <c r="O116" s="104">
        <f t="shared" si="40"/>
        <v>3.2064853877783994E-11</v>
      </c>
      <c r="P116" s="105">
        <f t="shared" ca="1" si="41"/>
        <v>1.0474587197913972</v>
      </c>
      <c r="Q116" s="106">
        <f t="shared" ca="1" si="42"/>
        <v>0.31310642599794025</v>
      </c>
      <c r="R116" s="107">
        <f t="shared" ca="1" si="43"/>
        <v>2.1091253259760361</v>
      </c>
      <c r="S116" s="108">
        <f t="shared" ca="1" si="44"/>
        <v>-118.40329542704781</v>
      </c>
      <c r="T116" s="116">
        <f t="shared" ca="1" si="45"/>
        <v>61.596704572952191</v>
      </c>
      <c r="V116" s="72">
        <f t="shared" ca="1" si="46"/>
        <v>1000000000</v>
      </c>
      <c r="W116" s="72">
        <f t="shared" si="47"/>
        <v>34673254.559999995</v>
      </c>
      <c r="Y116" s="110">
        <f t="shared" si="48"/>
        <v>45.463503915862809</v>
      </c>
      <c r="Z116" s="111">
        <f t="shared" si="49"/>
        <v>-20.502689613757497</v>
      </c>
      <c r="AA116" s="72">
        <f t="shared" si="50"/>
        <v>159.4973103862425</v>
      </c>
      <c r="AB116" s="110">
        <f t="shared" ca="1" si="51"/>
        <v>-25.853153322052769</v>
      </c>
      <c r="AC116" s="111">
        <f t="shared" ca="1" si="52"/>
        <v>-97.900605813290298</v>
      </c>
      <c r="AD116" s="72">
        <f t="shared" ca="1" si="53"/>
        <v>82.099394186709702</v>
      </c>
    </row>
    <row r="117" spans="1:30">
      <c r="A117" s="118">
        <v>5957</v>
      </c>
      <c r="B117" s="101">
        <f t="shared" ca="1" si="27"/>
        <v>332.09928889184391</v>
      </c>
      <c r="C117" s="102">
        <f t="shared" ca="1" si="28"/>
        <v>1.5677851745743925</v>
      </c>
      <c r="D117" s="102">
        <f t="shared" si="29"/>
        <v>1.0153553254123813</v>
      </c>
      <c r="E117" s="103">
        <f t="shared" si="30"/>
        <v>0.17413430298097629</v>
      </c>
      <c r="F117" s="101">
        <f t="shared" si="31"/>
        <v>2036.1343004296245</v>
      </c>
      <c r="G117" s="104">
        <f t="shared" si="32"/>
        <v>1.5703052000357285</v>
      </c>
      <c r="H117" s="113">
        <f t="shared" si="33"/>
        <v>254.5187213578931</v>
      </c>
      <c r="I117" s="114">
        <f t="shared" si="34"/>
        <v>1.5668673326230651</v>
      </c>
      <c r="J117" s="101">
        <f t="shared" si="35"/>
        <v>1.0677511490354665</v>
      </c>
      <c r="K117" s="104">
        <f t="shared" si="36"/>
        <v>0.35814748766308341</v>
      </c>
      <c r="L117" s="102">
        <f t="shared" si="37"/>
        <v>1</v>
      </c>
      <c r="M117" s="103">
        <f t="shared" si="38"/>
        <v>2.4328807640864997E-10</v>
      </c>
      <c r="N117" s="101">
        <f t="shared" si="39"/>
        <v>1</v>
      </c>
      <c r="O117" s="104">
        <f t="shared" si="40"/>
        <v>3.2438410187819998E-11</v>
      </c>
      <c r="P117" s="105">
        <f t="shared" ca="1" si="41"/>
        <v>1.0485453287553832</v>
      </c>
      <c r="Q117" s="106">
        <f t="shared" ca="1" si="42"/>
        <v>0.31654069068443275</v>
      </c>
      <c r="R117" s="107">
        <f t="shared" ca="1" si="43"/>
        <v>1.9902617582782884</v>
      </c>
      <c r="S117" s="108">
        <f t="shared" ca="1" si="44"/>
        <v>-118.70407358054335</v>
      </c>
      <c r="T117" s="116">
        <f t="shared" ca="1" si="45"/>
        <v>61.295926419456649</v>
      </c>
      <c r="V117" s="72">
        <f t="shared" ca="1" si="46"/>
        <v>1000000000</v>
      </c>
      <c r="W117" s="72">
        <f t="shared" si="47"/>
        <v>35485849</v>
      </c>
      <c r="Y117" s="110">
        <f t="shared" si="48"/>
        <v>45.451264958828681</v>
      </c>
      <c r="Z117" s="111">
        <f t="shared" si="49"/>
        <v>-20.717314791171766</v>
      </c>
      <c r="AA117" s="72">
        <f t="shared" si="50"/>
        <v>159.28268520882824</v>
      </c>
      <c r="AB117" s="110">
        <f t="shared" ca="1" si="51"/>
        <v>-25.959777932716396</v>
      </c>
      <c r="AC117" s="111">
        <f t="shared" ca="1" si="52"/>
        <v>-97.986758789371621</v>
      </c>
      <c r="AD117" s="72">
        <f t="shared" ca="1" si="53"/>
        <v>82.013241210628379</v>
      </c>
    </row>
    <row r="118" spans="1:30">
      <c r="A118" s="118">
        <v>6025.6</v>
      </c>
      <c r="B118" s="101">
        <f t="shared" ca="1" si="27"/>
        <v>335.92366455561506</v>
      </c>
      <c r="C118" s="102">
        <f t="shared" ca="1" si="28"/>
        <v>1.5678194556111271</v>
      </c>
      <c r="D118" s="102">
        <f t="shared" si="29"/>
        <v>1.015708270472065</v>
      </c>
      <c r="E118" s="103">
        <f t="shared" si="30"/>
        <v>0.1760986358380621</v>
      </c>
      <c r="F118" s="101">
        <f t="shared" si="31"/>
        <v>2059.5821398638973</v>
      </c>
      <c r="G118" s="104">
        <f t="shared" si="32"/>
        <v>1.5703107913943242</v>
      </c>
      <c r="H118" s="113">
        <f t="shared" si="33"/>
        <v>257.44967927145342</v>
      </c>
      <c r="I118" s="114">
        <f t="shared" si="34"/>
        <v>1.566912062819821</v>
      </c>
      <c r="J118" s="101">
        <f t="shared" si="35"/>
        <v>1.0692696887570012</v>
      </c>
      <c r="K118" s="104">
        <f t="shared" si="36"/>
        <v>0.36192275501168875</v>
      </c>
      <c r="L118" s="102">
        <f t="shared" si="37"/>
        <v>1</v>
      </c>
      <c r="M118" s="103">
        <f t="shared" si="38"/>
        <v>2.4608974873391999E-10</v>
      </c>
      <c r="N118" s="101">
        <f t="shared" si="39"/>
        <v>1</v>
      </c>
      <c r="O118" s="104">
        <f t="shared" si="40"/>
        <v>3.2811966497855995E-11</v>
      </c>
      <c r="P118" s="105">
        <f t="shared" ca="1" si="41"/>
        <v>1.0496433853336307</v>
      </c>
      <c r="Q118" s="106">
        <f t="shared" ca="1" si="42"/>
        <v>0.31996808658831394</v>
      </c>
      <c r="R118" s="107">
        <f t="shared" ca="1" si="43"/>
        <v>1.8723905103587115</v>
      </c>
      <c r="S118" s="108">
        <f t="shared" ca="1" si="44"/>
        <v>-119.00392947257903</v>
      </c>
      <c r="T118" s="116">
        <f t="shared" ca="1" si="45"/>
        <v>60.996070527420969</v>
      </c>
      <c r="V118" s="72">
        <f t="shared" ca="1" si="46"/>
        <v>1000000000</v>
      </c>
      <c r="W118" s="72">
        <f t="shared" si="47"/>
        <v>36307855.360000007</v>
      </c>
      <c r="Y118" s="110">
        <f t="shared" si="48"/>
        <v>45.438919298101801</v>
      </c>
      <c r="Z118" s="111">
        <f t="shared" si="49"/>
        <v>-20.931379186644246</v>
      </c>
      <c r="AA118" s="72">
        <f t="shared" si="50"/>
        <v>159.06862081335575</v>
      </c>
      <c r="AB118" s="110">
        <f t="shared" ca="1" si="51"/>
        <v>-26.065303519909094</v>
      </c>
      <c r="AC118" s="111">
        <f t="shared" ca="1" si="52"/>
        <v>-98.072550285934796</v>
      </c>
      <c r="AD118" s="72">
        <f t="shared" ca="1" si="53"/>
        <v>81.927449714065204</v>
      </c>
    </row>
    <row r="119" spans="1:30">
      <c r="A119" s="118">
        <v>6095.8</v>
      </c>
      <c r="B119" s="101">
        <f t="shared" ca="1" si="27"/>
        <v>339.83723888498349</v>
      </c>
      <c r="C119" s="102">
        <f t="shared" ca="1" si="28"/>
        <v>1.5678537374352925</v>
      </c>
      <c r="D119" s="102">
        <f t="shared" si="29"/>
        <v>1.0160735020224323</v>
      </c>
      <c r="E119" s="103">
        <f t="shared" si="30"/>
        <v>0.17810736329368157</v>
      </c>
      <c r="F119" s="101">
        <f t="shared" si="31"/>
        <v>2083.5768677466181</v>
      </c>
      <c r="G119" s="104">
        <f t="shared" si="32"/>
        <v>1.5703163828802416</v>
      </c>
      <c r="H119" s="113">
        <f t="shared" si="33"/>
        <v>260.44899824056267</v>
      </c>
      <c r="I119" s="114">
        <f t="shared" si="34"/>
        <v>1.5669567940504376</v>
      </c>
      <c r="J119" s="101">
        <f t="shared" si="35"/>
        <v>1.0708393781509375</v>
      </c>
      <c r="K119" s="104">
        <f t="shared" si="36"/>
        <v>0.36577493406265299</v>
      </c>
      <c r="L119" s="102">
        <f t="shared" si="37"/>
        <v>1</v>
      </c>
      <c r="M119" s="103">
        <f t="shared" si="38"/>
        <v>2.4895676618630997E-10</v>
      </c>
      <c r="N119" s="101">
        <f t="shared" si="39"/>
        <v>1</v>
      </c>
      <c r="O119" s="104">
        <f t="shared" si="40"/>
        <v>3.3194235491507999E-11</v>
      </c>
      <c r="P119" s="105">
        <f t="shared" ca="1" si="41"/>
        <v>1.0507788665745075</v>
      </c>
      <c r="Q119" s="106">
        <f t="shared" ca="1" si="42"/>
        <v>0.32346825851687849</v>
      </c>
      <c r="R119" s="107">
        <f t="shared" ca="1" si="43"/>
        <v>1.7527717527131894</v>
      </c>
      <c r="S119" s="108">
        <f t="shared" ca="1" si="44"/>
        <v>-119.30981820966926</v>
      </c>
      <c r="T119" s="116">
        <f t="shared" ca="1" si="45"/>
        <v>60.69018179033074</v>
      </c>
      <c r="V119" s="72">
        <f t="shared" ca="1" si="46"/>
        <v>1000000000</v>
      </c>
      <c r="W119" s="72">
        <f t="shared" si="47"/>
        <v>37158777.640000001</v>
      </c>
      <c r="Y119" s="110">
        <f t="shared" si="48"/>
        <v>45.426176272993722</v>
      </c>
      <c r="Z119" s="111">
        <f t="shared" si="49"/>
        <v>-21.149850246117996</v>
      </c>
      <c r="AA119" s="72">
        <f t="shared" si="50"/>
        <v>158.85014975388199</v>
      </c>
      <c r="AB119" s="110">
        <f t="shared" ca="1" si="51"/>
        <v>-26.172179252446533</v>
      </c>
      <c r="AC119" s="111">
        <f t="shared" ca="1" si="52"/>
        <v>-98.159967963551239</v>
      </c>
      <c r="AD119" s="72">
        <f t="shared" ca="1" si="53"/>
        <v>81.840032036448761</v>
      </c>
    </row>
    <row r="120" spans="1:30">
      <c r="A120" s="118">
        <v>6166</v>
      </c>
      <c r="B120" s="101">
        <f t="shared" ca="1" si="27"/>
        <v>343.7508136046493</v>
      </c>
      <c r="C120" s="102">
        <f t="shared" ca="1" si="28"/>
        <v>1.5678872386680038</v>
      </c>
      <c r="D120" s="102">
        <f t="shared" si="29"/>
        <v>1.0164428304591626</v>
      </c>
      <c r="E120" s="103">
        <f t="shared" si="30"/>
        <v>0.18011463908595893</v>
      </c>
      <c r="F120" s="101">
        <f t="shared" si="31"/>
        <v>2107.5715956929985</v>
      </c>
      <c r="G120" s="104">
        <f t="shared" si="32"/>
        <v>1.5703218470478904</v>
      </c>
      <c r="H120" s="113">
        <f t="shared" si="33"/>
        <v>263.44831771893405</v>
      </c>
      <c r="I120" s="114">
        <f t="shared" si="34"/>
        <v>1.5670005067644728</v>
      </c>
      <c r="J120" s="101">
        <f t="shared" si="35"/>
        <v>1.0724249113793505</v>
      </c>
      <c r="K120" s="104">
        <f t="shared" si="36"/>
        <v>0.36961577941350032</v>
      </c>
      <c r="L120" s="102">
        <f t="shared" si="37"/>
        <v>1</v>
      </c>
      <c r="M120" s="103">
        <f t="shared" si="38"/>
        <v>2.518237836387E-10</v>
      </c>
      <c r="N120" s="101">
        <f t="shared" si="39"/>
        <v>1</v>
      </c>
      <c r="O120" s="104">
        <f t="shared" si="40"/>
        <v>3.3576504485159996E-11</v>
      </c>
      <c r="P120" s="105">
        <f t="shared" ca="1" si="41"/>
        <v>1.0519262598444121</v>
      </c>
      <c r="Q120" s="106">
        <f t="shared" ca="1" si="42"/>
        <v>0.3269611322136885</v>
      </c>
      <c r="R120" s="107">
        <f t="shared" ca="1" si="43"/>
        <v>1.6341410332243369</v>
      </c>
      <c r="S120" s="108">
        <f t="shared" ca="1" si="44"/>
        <v>-119.61472892718687</v>
      </c>
      <c r="T120" s="116">
        <f t="shared" ca="1" si="45"/>
        <v>60.385271072813126</v>
      </c>
      <c r="V120" s="72">
        <f t="shared" ca="1" si="46"/>
        <v>1000000000</v>
      </c>
      <c r="W120" s="72">
        <f t="shared" si="47"/>
        <v>38019556</v>
      </c>
      <c r="Y120" s="110">
        <f t="shared" si="48"/>
        <v>45.413323636670171</v>
      </c>
      <c r="Z120" s="111">
        <f t="shared" si="49"/>
        <v>-21.367722994310142</v>
      </c>
      <c r="AA120" s="72">
        <f t="shared" si="50"/>
        <v>158.63227700568984</v>
      </c>
      <c r="AB120" s="110">
        <f t="shared" ca="1" si="51"/>
        <v>-26.277957335611831</v>
      </c>
      <c r="AC120" s="111">
        <f t="shared" ca="1" si="52"/>
        <v>-98.247005932876746</v>
      </c>
      <c r="AD120" s="72">
        <f t="shared" ca="1" si="53"/>
        <v>81.752994067123254</v>
      </c>
    </row>
    <row r="121" spans="1:30">
      <c r="A121" s="118">
        <v>6237.8</v>
      </c>
      <c r="B121" s="101">
        <f t="shared" ca="1" si="27"/>
        <v>347.75358699853183</v>
      </c>
      <c r="C121" s="102">
        <f t="shared" ca="1" si="28"/>
        <v>1.5679207234493933</v>
      </c>
      <c r="D121" s="102">
        <f t="shared" si="29"/>
        <v>1.0168248099996722</v>
      </c>
      <c r="E121" s="103">
        <f t="shared" si="30"/>
        <v>0.1821661478827678</v>
      </c>
      <c r="F121" s="101">
        <f t="shared" si="31"/>
        <v>2132.1132120892325</v>
      </c>
      <c r="G121" s="104">
        <f t="shared" si="32"/>
        <v>1.5703273085312355</v>
      </c>
      <c r="H121" s="113">
        <f t="shared" si="33"/>
        <v>266.5159982641012</v>
      </c>
      <c r="I121" s="114">
        <f t="shared" si="34"/>
        <v>1.5670441980186547</v>
      </c>
      <c r="J121" s="101">
        <f t="shared" si="35"/>
        <v>1.0740628985977823</v>
      </c>
      <c r="K121" s="104">
        <f t="shared" si="36"/>
        <v>0.37353237575387516</v>
      </c>
      <c r="L121" s="102">
        <f t="shared" si="37"/>
        <v>1</v>
      </c>
      <c r="M121" s="103">
        <f t="shared" si="38"/>
        <v>2.5475614621820998E-10</v>
      </c>
      <c r="N121" s="101">
        <f t="shared" si="39"/>
        <v>1</v>
      </c>
      <c r="O121" s="104">
        <f t="shared" si="40"/>
        <v>3.3967486162427999E-11</v>
      </c>
      <c r="P121" s="105">
        <f t="shared" ca="1" si="41"/>
        <v>1.053112086566651</v>
      </c>
      <c r="Q121" s="106">
        <f t="shared" ca="1" si="42"/>
        <v>0.33052601179722985</v>
      </c>
      <c r="R121" s="107">
        <f t="shared" ca="1" si="43"/>
        <v>1.5138030639363591</v>
      </c>
      <c r="S121" s="108">
        <f t="shared" ca="1" si="44"/>
        <v>-119.92557125880528</v>
      </c>
      <c r="T121" s="116">
        <f t="shared" ca="1" si="45"/>
        <v>60.074428741194723</v>
      </c>
      <c r="V121" s="72">
        <f t="shared" ca="1" si="46"/>
        <v>1000000000</v>
      </c>
      <c r="W121" s="72">
        <f t="shared" si="47"/>
        <v>38910148.840000004</v>
      </c>
      <c r="Y121" s="110">
        <f t="shared" si="48"/>
        <v>45.400065800303963</v>
      </c>
      <c r="Z121" s="111">
        <f t="shared" si="49"/>
        <v>-21.589937030257595</v>
      </c>
      <c r="AA121" s="72">
        <f t="shared" si="50"/>
        <v>158.4100629697424</v>
      </c>
      <c r="AB121" s="110">
        <f t="shared" ca="1" si="51"/>
        <v>-26.3850374685336</v>
      </c>
      <c r="AC121" s="111">
        <f t="shared" ca="1" si="52"/>
        <v>-98.335634228547704</v>
      </c>
      <c r="AD121" s="72">
        <f t="shared" ca="1" si="53"/>
        <v>81.664365771452296</v>
      </c>
    </row>
    <row r="122" spans="1:30">
      <c r="A122" s="118">
        <v>6309.6</v>
      </c>
      <c r="B122" s="101">
        <f t="shared" ca="1" si="27"/>
        <v>351.75636077345234</v>
      </c>
      <c r="C122" s="102">
        <f t="shared" ca="1" si="28"/>
        <v>1.5679534461578628</v>
      </c>
      <c r="D122" s="102">
        <f t="shared" si="29"/>
        <v>1.01721106581436</v>
      </c>
      <c r="E122" s="103">
        <f t="shared" si="30"/>
        <v>0.18421610730221469</v>
      </c>
      <c r="F122" s="101">
        <f t="shared" si="31"/>
        <v>2156.6548285476156</v>
      </c>
      <c r="G122" s="104">
        <f t="shared" si="32"/>
        <v>1.5703326457168696</v>
      </c>
      <c r="H122" s="113">
        <f t="shared" si="33"/>
        <v>269.58367930644886</v>
      </c>
      <c r="I122" s="114">
        <f t="shared" si="34"/>
        <v>1.5670868949187144</v>
      </c>
      <c r="J122" s="101">
        <f t="shared" si="35"/>
        <v>1.0757173113253096</v>
      </c>
      <c r="K122" s="104">
        <f t="shared" si="36"/>
        <v>0.3774369846816864</v>
      </c>
      <c r="L122" s="102">
        <f t="shared" si="37"/>
        <v>1</v>
      </c>
      <c r="M122" s="103">
        <f t="shared" si="38"/>
        <v>2.5768850879772002E-10</v>
      </c>
      <c r="N122" s="101">
        <f t="shared" si="39"/>
        <v>1</v>
      </c>
      <c r="O122" s="104">
        <f t="shared" si="40"/>
        <v>3.4358467839695996E-11</v>
      </c>
      <c r="P122" s="105">
        <f t="shared" ca="1" si="41"/>
        <v>1.0543102923757524</v>
      </c>
      <c r="Q122" s="106">
        <f t="shared" ca="1" si="42"/>
        <v>0.33408314773474035</v>
      </c>
      <c r="R122" s="107">
        <f t="shared" ca="1" si="43"/>
        <v>1.3944478806063461</v>
      </c>
      <c r="S122" s="108">
        <f t="shared" ca="1" si="44"/>
        <v>-120.2353780438218</v>
      </c>
      <c r="T122" s="116">
        <f t="shared" ca="1" si="45"/>
        <v>59.764621956178203</v>
      </c>
      <c r="V122" s="72">
        <f t="shared" ca="1" si="46"/>
        <v>1000000000</v>
      </c>
      <c r="W122" s="72">
        <f t="shared" si="47"/>
        <v>39811052.160000004</v>
      </c>
      <c r="Y122" s="110">
        <f t="shared" si="48"/>
        <v>45.386695584015314</v>
      </c>
      <c r="Z122" s="111">
        <f t="shared" si="49"/>
        <v>-21.811514088617468</v>
      </c>
      <c r="AA122" s="72">
        <f t="shared" si="50"/>
        <v>158.18848591138254</v>
      </c>
      <c r="AB122" s="110">
        <f t="shared" ca="1" si="51"/>
        <v>-26.491022435574973</v>
      </c>
      <c r="AC122" s="111">
        <f t="shared" ca="1" si="52"/>
        <v>-98.42386395520434</v>
      </c>
      <c r="AD122" s="72">
        <f t="shared" ca="1" si="53"/>
        <v>81.57613604479566</v>
      </c>
    </row>
    <row r="123" spans="1:30">
      <c r="A123" s="118">
        <v>6383.05</v>
      </c>
      <c r="B123" s="101">
        <f t="shared" ca="1" si="27"/>
        <v>355.85112067754886</v>
      </c>
      <c r="C123" s="102">
        <f t="shared" ca="1" si="28"/>
        <v>1.567986159120643</v>
      </c>
      <c r="D123" s="102">
        <f t="shared" si="29"/>
        <v>1.0176106177135462</v>
      </c>
      <c r="E123" s="103">
        <f t="shared" si="30"/>
        <v>0.18631155650838169</v>
      </c>
      <c r="F123" s="101">
        <f t="shared" si="31"/>
        <v>2181.7604237193218</v>
      </c>
      <c r="G123" s="104">
        <f t="shared" si="32"/>
        <v>1.570337981311982</v>
      </c>
      <c r="H123" s="113">
        <f t="shared" si="33"/>
        <v>272.72185769421958</v>
      </c>
      <c r="I123" s="114">
        <f t="shared" si="34"/>
        <v>1.5671295791080848</v>
      </c>
      <c r="J123" s="101">
        <f t="shared" si="35"/>
        <v>1.0774266604350939</v>
      </c>
      <c r="K123" s="104">
        <f t="shared" si="36"/>
        <v>0.38141885342630222</v>
      </c>
      <c r="L123" s="102">
        <f t="shared" si="37"/>
        <v>1</v>
      </c>
      <c r="M123" s="103">
        <f t="shared" si="38"/>
        <v>2.6068825853957247E-10</v>
      </c>
      <c r="N123" s="101">
        <f t="shared" si="39"/>
        <v>1</v>
      </c>
      <c r="O123" s="104">
        <f t="shared" si="40"/>
        <v>3.4758434471942999E-11</v>
      </c>
      <c r="P123" s="105">
        <f t="shared" ca="1" si="41"/>
        <v>1.0555487989450238</v>
      </c>
      <c r="Q123" s="106">
        <f t="shared" ca="1" si="42"/>
        <v>0.33771395989792924</v>
      </c>
      <c r="R123" s="107">
        <f t="shared" ca="1" si="43"/>
        <v>1.2733414450517508</v>
      </c>
      <c r="S123" s="108">
        <f t="shared" ca="1" si="44"/>
        <v>-120.5512265330143</v>
      </c>
      <c r="T123" s="116">
        <f t="shared" ca="1" si="45"/>
        <v>59.448773466985699</v>
      </c>
      <c r="V123" s="72">
        <f t="shared" ca="1" si="46"/>
        <v>1000000000</v>
      </c>
      <c r="W123" s="72">
        <f t="shared" si="47"/>
        <v>40743327.302500002</v>
      </c>
      <c r="Y123" s="110">
        <f t="shared" si="48"/>
        <v>45.372903036836803</v>
      </c>
      <c r="Z123" s="111">
        <f t="shared" si="49"/>
        <v>-22.037518445546564</v>
      </c>
      <c r="AA123" s="72">
        <f t="shared" si="50"/>
        <v>157.96248155445343</v>
      </c>
      <c r="AB123" s="110">
        <f t="shared" ca="1" si="51"/>
        <v>-26.598336323951056</v>
      </c>
      <c r="AC123" s="111">
        <f t="shared" ca="1" si="52"/>
        <v>-98.513708087467762</v>
      </c>
      <c r="AD123" s="72">
        <f t="shared" ca="1" si="53"/>
        <v>81.486291912532238</v>
      </c>
    </row>
    <row r="124" spans="1:30">
      <c r="A124" s="118">
        <v>6456.5</v>
      </c>
      <c r="B124" s="101">
        <f t="shared" ca="1" si="27"/>
        <v>359.94588095379089</v>
      </c>
      <c r="C124" s="102">
        <f t="shared" ca="1" si="28"/>
        <v>1.5680181277952314</v>
      </c>
      <c r="D124" s="102">
        <f t="shared" si="29"/>
        <v>1.0180146343278613</v>
      </c>
      <c r="E124" s="103">
        <f t="shared" si="30"/>
        <v>0.18840535167205411</v>
      </c>
      <c r="F124" s="101">
        <f t="shared" si="31"/>
        <v>2206.8660189517263</v>
      </c>
      <c r="G124" s="104">
        <f t="shared" si="32"/>
        <v>1.5703431955102451</v>
      </c>
      <c r="H124" s="113">
        <f t="shared" si="33"/>
        <v>275.8600365675681</v>
      </c>
      <c r="I124" s="114">
        <f t="shared" si="34"/>
        <v>1.5671712921483705</v>
      </c>
      <c r="J124" s="101">
        <f t="shared" si="35"/>
        <v>1.0791530381694501</v>
      </c>
      <c r="K124" s="104">
        <f t="shared" si="36"/>
        <v>0.38538804492792222</v>
      </c>
      <c r="L124" s="102">
        <f t="shared" si="37"/>
        <v>1</v>
      </c>
      <c r="M124" s="103">
        <f t="shared" si="38"/>
        <v>2.6368800828142497E-10</v>
      </c>
      <c r="N124" s="101">
        <f t="shared" si="39"/>
        <v>1</v>
      </c>
      <c r="O124" s="104">
        <f t="shared" si="40"/>
        <v>3.5158401104189995E-11</v>
      </c>
      <c r="P124" s="105">
        <f t="shared" ca="1" si="41"/>
        <v>1.0568001711455466</v>
      </c>
      <c r="Q124" s="106">
        <f t="shared" ca="1" si="42"/>
        <v>0.34133655591973228</v>
      </c>
      <c r="R124" s="107">
        <f t="shared" ca="1" si="43"/>
        <v>1.1532129897351513</v>
      </c>
      <c r="S124" s="108">
        <f t="shared" ca="1" si="44"/>
        <v>-120.86597873175941</v>
      </c>
      <c r="T124" s="116">
        <f t="shared" ca="1" si="45"/>
        <v>59.134021268240588</v>
      </c>
      <c r="V124" s="72">
        <f t="shared" ca="1" si="46"/>
        <v>1000000000</v>
      </c>
      <c r="W124" s="72">
        <f t="shared" si="47"/>
        <v>41686392.25</v>
      </c>
      <c r="Y124" s="110">
        <f t="shared" si="48"/>
        <v>45.358995336773226</v>
      </c>
      <c r="Z124" s="111">
        <f t="shared" si="49"/>
        <v>-22.262845137172089</v>
      </c>
      <c r="AA124" s="72">
        <f t="shared" si="50"/>
        <v>157.73715486282791</v>
      </c>
      <c r="AB124" s="110">
        <f t="shared" ca="1" si="51"/>
        <v>-26.704557079204076</v>
      </c>
      <c r="AC124" s="111">
        <f t="shared" ca="1" si="52"/>
        <v>-98.603133594587348</v>
      </c>
      <c r="AD124" s="72">
        <f t="shared" ca="1" si="53"/>
        <v>81.396866405412652</v>
      </c>
    </row>
    <row r="125" spans="1:30">
      <c r="A125" s="118">
        <v>6531.7</v>
      </c>
      <c r="B125" s="101">
        <f t="shared" ca="1" si="27"/>
        <v>364.13820226256161</v>
      </c>
      <c r="C125" s="102">
        <f t="shared" ca="1" si="28"/>
        <v>1.5680501132673519</v>
      </c>
      <c r="D125" s="102">
        <f t="shared" si="29"/>
        <v>1.018432896929683</v>
      </c>
      <c r="E125" s="103">
        <f t="shared" si="30"/>
        <v>0.19054730230957986</v>
      </c>
      <c r="F125" s="101">
        <f t="shared" si="31"/>
        <v>2232.5697734233213</v>
      </c>
      <c r="G125" s="104">
        <f t="shared" si="32"/>
        <v>1.5703484124473399</v>
      </c>
      <c r="H125" s="113">
        <f t="shared" si="33"/>
        <v>279.07298533502677</v>
      </c>
      <c r="I125" s="114">
        <f t="shared" si="34"/>
        <v>1.5672130271114506</v>
      </c>
      <c r="J125" s="101">
        <f t="shared" si="35"/>
        <v>1.0809381049485118</v>
      </c>
      <c r="K125" s="104">
        <f t="shared" si="36"/>
        <v>0.38943860457236928</v>
      </c>
      <c r="L125" s="102">
        <f t="shared" si="37"/>
        <v>1</v>
      </c>
      <c r="M125" s="103">
        <f t="shared" si="38"/>
        <v>2.6675922925606498E-10</v>
      </c>
      <c r="N125" s="101">
        <f t="shared" si="39"/>
        <v>1</v>
      </c>
      <c r="O125" s="104">
        <f t="shared" si="40"/>
        <v>3.5567897234141997E-11</v>
      </c>
      <c r="P125" s="105">
        <f t="shared" ca="1" si="41"/>
        <v>1.0580946399182898</v>
      </c>
      <c r="Q125" s="106">
        <f t="shared" ca="1" si="42"/>
        <v>0.34503689308638463</v>
      </c>
      <c r="R125" s="107">
        <f t="shared" ca="1" si="43"/>
        <v>1.0312103824127044</v>
      </c>
      <c r="S125" s="108">
        <f t="shared" ca="1" si="44"/>
        <v>-121.18708797902882</v>
      </c>
      <c r="T125" s="116">
        <f t="shared" ca="1" si="45"/>
        <v>58.812912020971183</v>
      </c>
      <c r="V125" s="72">
        <f t="shared" ca="1" si="46"/>
        <v>1000000000</v>
      </c>
      <c r="W125" s="72">
        <f t="shared" si="47"/>
        <v>42663104.890000001</v>
      </c>
      <c r="Y125" s="110">
        <f t="shared" si="48"/>
        <v>45.344638270695647</v>
      </c>
      <c r="Z125" s="111">
        <f t="shared" si="49"/>
        <v>-22.492832780810108</v>
      </c>
      <c r="AA125" s="72">
        <f t="shared" si="50"/>
        <v>157.50716721918988</v>
      </c>
      <c r="AB125" s="110">
        <f t="shared" ca="1" si="51"/>
        <v>-26.812202620448943</v>
      </c>
      <c r="AC125" s="111">
        <f t="shared" ca="1" si="52"/>
        <v>-98.694255198218713</v>
      </c>
      <c r="AD125" s="72">
        <f t="shared" ca="1" si="53"/>
        <v>81.305744801781287</v>
      </c>
    </row>
    <row r="126" spans="1:30">
      <c r="A126" s="118">
        <v>6606.9</v>
      </c>
      <c r="B126" s="101">
        <f t="shared" ca="1" si="27"/>
        <v>368.33052393539089</v>
      </c>
      <c r="C126" s="102">
        <f t="shared" ca="1" si="28"/>
        <v>1.5680813706250563</v>
      </c>
      <c r="D126" s="102">
        <f t="shared" si="29"/>
        <v>1.0188558282044504</v>
      </c>
      <c r="E126" s="103">
        <f t="shared" si="30"/>
        <v>0.19268748449423678</v>
      </c>
      <c r="F126" s="101">
        <f t="shared" si="31"/>
        <v>2258.2735279542962</v>
      </c>
      <c r="G126" s="104">
        <f t="shared" si="32"/>
        <v>1.570353510625685</v>
      </c>
      <c r="H126" s="113">
        <f t="shared" si="33"/>
        <v>282.28593457751151</v>
      </c>
      <c r="I126" s="114">
        <f t="shared" si="34"/>
        <v>1.5672538120285544</v>
      </c>
      <c r="J126" s="101">
        <f t="shared" si="35"/>
        <v>1.0827408480680136</v>
      </c>
      <c r="K126" s="104">
        <f t="shared" si="36"/>
        <v>0.39347574206035285</v>
      </c>
      <c r="L126" s="102">
        <f t="shared" si="37"/>
        <v>1</v>
      </c>
      <c r="M126" s="103">
        <f t="shared" si="38"/>
        <v>2.6983045023070499E-10</v>
      </c>
      <c r="N126" s="101">
        <f t="shared" si="39"/>
        <v>1</v>
      </c>
      <c r="O126" s="104">
        <f t="shared" si="40"/>
        <v>3.5977393364093992E-11</v>
      </c>
      <c r="P126" s="105">
        <f t="shared" ca="1" si="41"/>
        <v>1.0594024981956054</v>
      </c>
      <c r="Q126" s="106">
        <f t="shared" ca="1" si="42"/>
        <v>0.34872850176099879</v>
      </c>
      <c r="R126" s="107">
        <f t="shared" ca="1" si="43"/>
        <v>0.91018263449713399</v>
      </c>
      <c r="S126" s="108">
        <f t="shared" ca="1" si="44"/>
        <v>-121.50703532387647</v>
      </c>
      <c r="T126" s="116">
        <f t="shared" ca="1" si="45"/>
        <v>58.492964676123535</v>
      </c>
      <c r="V126" s="72">
        <f t="shared" ca="1" si="46"/>
        <v>1000000000</v>
      </c>
      <c r="W126" s="72">
        <f t="shared" si="47"/>
        <v>43651127.609999992</v>
      </c>
      <c r="Y126" s="110">
        <f t="shared" si="48"/>
        <v>45.330163132856605</v>
      </c>
      <c r="Z126" s="111">
        <f t="shared" si="49"/>
        <v>-22.722099020779634</v>
      </c>
      <c r="AA126" s="72">
        <f t="shared" si="50"/>
        <v>157.27790097922036</v>
      </c>
      <c r="AB126" s="110">
        <f t="shared" ca="1" si="51"/>
        <v>-26.918755230525466</v>
      </c>
      <c r="AC126" s="111">
        <f t="shared" ca="1" si="52"/>
        <v>-98.784936303096856</v>
      </c>
      <c r="AD126" s="72">
        <f t="shared" ca="1" si="53"/>
        <v>81.215063696903144</v>
      </c>
    </row>
    <row r="127" spans="1:30">
      <c r="A127" s="118">
        <v>6683.85</v>
      </c>
      <c r="B127" s="101">
        <f t="shared" ca="1" si="27"/>
        <v>372.62040664949342</v>
      </c>
      <c r="C127" s="102">
        <f t="shared" ca="1" si="28"/>
        <v>1.5681126272912473</v>
      </c>
      <c r="D127" s="102">
        <f t="shared" si="29"/>
        <v>1.0192934284730251</v>
      </c>
      <c r="E127" s="103">
        <f t="shared" si="30"/>
        <v>0.19487562264458574</v>
      </c>
      <c r="F127" s="101">
        <f t="shared" si="31"/>
        <v>2284.5754417258881</v>
      </c>
      <c r="G127" s="104">
        <f t="shared" si="32"/>
        <v>1.5703586086903996</v>
      </c>
      <c r="H127" s="113">
        <f t="shared" si="33"/>
        <v>285.57365372551652</v>
      </c>
      <c r="I127" s="114">
        <f t="shared" si="34"/>
        <v>1.5672945960482274</v>
      </c>
      <c r="J127" s="101">
        <f t="shared" si="35"/>
        <v>1.0846037495202978</v>
      </c>
      <c r="K127" s="104">
        <f t="shared" si="36"/>
        <v>0.39759286746952821</v>
      </c>
      <c r="L127" s="102">
        <f t="shared" si="37"/>
        <v>1</v>
      </c>
      <c r="M127" s="103">
        <f t="shared" si="38"/>
        <v>2.729731424381325E-10</v>
      </c>
      <c r="N127" s="101">
        <f t="shared" si="39"/>
        <v>1</v>
      </c>
      <c r="O127" s="104">
        <f t="shared" si="40"/>
        <v>3.6396418991750999E-11</v>
      </c>
      <c r="P127" s="105">
        <f t="shared" ca="1" si="41"/>
        <v>1.0607546011820099</v>
      </c>
      <c r="Q127" s="106">
        <f t="shared" ca="1" si="42"/>
        <v>0.35249692384502784</v>
      </c>
      <c r="R127" s="107">
        <f t="shared" ca="1" si="43"/>
        <v>0.78732248589774012</v>
      </c>
      <c r="S127" s="108">
        <f t="shared" ca="1" si="44"/>
        <v>-121.83321905404451</v>
      </c>
      <c r="T127" s="116">
        <f t="shared" ca="1" si="45"/>
        <v>58.166780945955495</v>
      </c>
      <c r="V127" s="72">
        <f t="shared" ca="1" si="46"/>
        <v>1000000000</v>
      </c>
      <c r="W127" s="72">
        <f t="shared" si="47"/>
        <v>44673850.822500005</v>
      </c>
      <c r="Y127" s="110">
        <f t="shared" si="48"/>
        <v>45.315230305472866</v>
      </c>
      <c r="Z127" s="111">
        <f t="shared" si="49"/>
        <v>-22.955948275955581</v>
      </c>
      <c r="AA127" s="72">
        <f t="shared" si="50"/>
        <v>157.04405172404441</v>
      </c>
      <c r="AB127" s="110">
        <f t="shared" ca="1" si="51"/>
        <v>-27.026682551741125</v>
      </c>
      <c r="AC127" s="111">
        <f t="shared" ca="1" si="52"/>
        <v>-98.877270778088956</v>
      </c>
      <c r="AD127" s="72">
        <f t="shared" ca="1" si="53"/>
        <v>81.122729221911044</v>
      </c>
    </row>
    <row r="128" spans="1:30">
      <c r="A128" s="118">
        <v>6760.8</v>
      </c>
      <c r="B128" s="101">
        <f t="shared" ca="1" si="27"/>
        <v>376.9102897193514</v>
      </c>
      <c r="C128" s="102">
        <f t="shared" ca="1" si="28"/>
        <v>1.5681431724489374</v>
      </c>
      <c r="D128" s="102">
        <f t="shared" si="29"/>
        <v>1.019735904863887</v>
      </c>
      <c r="E128" s="103">
        <f t="shared" si="30"/>
        <v>0.19706187233305544</v>
      </c>
      <c r="F128" s="101">
        <f t="shared" si="31"/>
        <v>2310.8773555555044</v>
      </c>
      <c r="G128" s="104">
        <f t="shared" si="32"/>
        <v>1.5703635907049409</v>
      </c>
      <c r="H128" s="113">
        <f t="shared" si="33"/>
        <v>288.8613733377137</v>
      </c>
      <c r="I128" s="114">
        <f t="shared" si="34"/>
        <v>1.5673344516889318</v>
      </c>
      <c r="J128" s="101">
        <f t="shared" si="35"/>
        <v>1.0864849725617012</v>
      </c>
      <c r="K128" s="104">
        <f t="shared" si="36"/>
        <v>0.40169580481616529</v>
      </c>
      <c r="L128" s="102">
        <f t="shared" si="37"/>
        <v>1</v>
      </c>
      <c r="M128" s="103">
        <f t="shared" si="38"/>
        <v>2.7611583464556001E-10</v>
      </c>
      <c r="N128" s="101">
        <f t="shared" si="39"/>
        <v>1</v>
      </c>
      <c r="O128" s="104">
        <f t="shared" si="40"/>
        <v>3.6815444619407999E-11</v>
      </c>
      <c r="P128" s="105">
        <f t="shared" ca="1" si="41"/>
        <v>1.0621206195723465</v>
      </c>
      <c r="Q128" s="106">
        <f t="shared" ca="1" si="42"/>
        <v>0.35625608688911192</v>
      </c>
      <c r="R128" s="107">
        <f t="shared" ca="1" si="43"/>
        <v>0.66543310066834216</v>
      </c>
      <c r="S128" s="108">
        <f t="shared" ca="1" si="44"/>
        <v>-122.15817334166994</v>
      </c>
      <c r="T128" s="116">
        <f t="shared" ca="1" si="45"/>
        <v>57.841826658330064</v>
      </c>
      <c r="V128" s="72">
        <f t="shared" ca="1" si="46"/>
        <v>1000000000</v>
      </c>
      <c r="W128" s="72">
        <f t="shared" si="47"/>
        <v>45708416.640000001</v>
      </c>
      <c r="Y128" s="110">
        <f t="shared" si="48"/>
        <v>45.30017667118139</v>
      </c>
      <c r="Z128" s="111">
        <f t="shared" si="49"/>
        <v>-23.189031158039327</v>
      </c>
      <c r="AA128" s="72">
        <f t="shared" si="50"/>
        <v>156.81096884196069</v>
      </c>
      <c r="AB128" s="110">
        <f t="shared" ca="1" si="51"/>
        <v>-27.13351830267905</v>
      </c>
      <c r="AC128" s="111">
        <f t="shared" ca="1" si="52"/>
        <v>-98.969142183630609</v>
      </c>
      <c r="AD128" s="72">
        <f t="shared" ca="1" si="53"/>
        <v>81.030857816369391</v>
      </c>
    </row>
    <row r="129" spans="1:30">
      <c r="A129" s="118">
        <v>6839.55</v>
      </c>
      <c r="B129" s="101">
        <f t="shared" ca="1" si="27"/>
        <v>381.30052128700089</v>
      </c>
      <c r="C129" s="102">
        <f t="shared" ca="1" si="28"/>
        <v>1.5681737205027007</v>
      </c>
      <c r="D129" s="102">
        <f t="shared" si="29"/>
        <v>1.0201937735074444</v>
      </c>
      <c r="E129" s="103">
        <f t="shared" si="30"/>
        <v>0.19929728789670784</v>
      </c>
      <c r="F129" s="101">
        <f t="shared" si="31"/>
        <v>2337.7945188894614</v>
      </c>
      <c r="G129" s="104">
        <f t="shared" si="32"/>
        <v>1.5703685731910553</v>
      </c>
      <c r="H129" s="113">
        <f t="shared" si="33"/>
        <v>292.2259991360927</v>
      </c>
      <c r="I129" s="114">
        <f t="shared" si="34"/>
        <v>1.5673743111130014</v>
      </c>
      <c r="J129" s="101">
        <f t="shared" si="35"/>
        <v>1.0884290711528026</v>
      </c>
      <c r="K129" s="104">
        <f t="shared" si="36"/>
        <v>0.40587996055154729</v>
      </c>
      <c r="L129" s="102">
        <f t="shared" si="37"/>
        <v>1</v>
      </c>
      <c r="M129" s="103">
        <f t="shared" si="38"/>
        <v>2.7933204012099749E-10</v>
      </c>
      <c r="N129" s="101">
        <f t="shared" si="39"/>
        <v>1</v>
      </c>
      <c r="O129" s="104">
        <f t="shared" si="40"/>
        <v>3.7244272016132997E-11</v>
      </c>
      <c r="P129" s="105">
        <f t="shared" ca="1" si="41"/>
        <v>1.0635329434889442</v>
      </c>
      <c r="Q129" s="106">
        <f t="shared" ca="1" si="42"/>
        <v>0.36009353600158706</v>
      </c>
      <c r="R129" s="107">
        <f t="shared" ca="1" si="43"/>
        <v>0.54167265868912284</v>
      </c>
      <c r="S129" s="108">
        <f t="shared" ca="1" si="44"/>
        <v>-122.48944954054329</v>
      </c>
      <c r="T129" s="116">
        <f t="shared" ca="1" si="45"/>
        <v>57.510550459456709</v>
      </c>
      <c r="V129" s="72">
        <f t="shared" ca="1" si="46"/>
        <v>1000000000</v>
      </c>
      <c r="W129" s="72">
        <f t="shared" si="47"/>
        <v>46779444.202500001</v>
      </c>
      <c r="Y129" s="110">
        <f t="shared" si="48"/>
        <v>45.284647316372364</v>
      </c>
      <c r="Z129" s="111">
        <f t="shared" si="49"/>
        <v>-23.426767321266929</v>
      </c>
      <c r="AA129" s="72">
        <f t="shared" si="50"/>
        <v>156.57323267873306</v>
      </c>
      <c r="AB129" s="110">
        <f t="shared" ca="1" si="51"/>
        <v>-27.241749389849247</v>
      </c>
      <c r="AC129" s="111">
        <f t="shared" ca="1" si="52"/>
        <v>-99.062682219276368</v>
      </c>
      <c r="AD129" s="72">
        <f t="shared" ca="1" si="53"/>
        <v>80.937317780723632</v>
      </c>
    </row>
    <row r="130" spans="1:30">
      <c r="A130" s="118">
        <v>6918.3</v>
      </c>
      <c r="B130" s="101">
        <f t="shared" ca="1" si="27"/>
        <v>385.69075320237317</v>
      </c>
      <c r="C130" s="102">
        <f t="shared" ca="1" si="28"/>
        <v>1.568203573113111</v>
      </c>
      <c r="D130" s="102">
        <f t="shared" si="29"/>
        <v>1.0206567355549094</v>
      </c>
      <c r="E130" s="103">
        <f t="shared" si="30"/>
        <v>0.20153068667782148</v>
      </c>
      <c r="F130" s="101">
        <f t="shared" si="31"/>
        <v>2364.7116822801331</v>
      </c>
      <c r="G130" s="104">
        <f t="shared" si="32"/>
        <v>1.5703734422473643</v>
      </c>
      <c r="H130" s="113">
        <f t="shared" si="33"/>
        <v>295.59062538818301</v>
      </c>
      <c r="I130" s="114">
        <f t="shared" si="34"/>
        <v>1.5674132631195541</v>
      </c>
      <c r="J130" s="101">
        <f t="shared" si="35"/>
        <v>1.0903921569020147</v>
      </c>
      <c r="K130" s="104">
        <f t="shared" si="36"/>
        <v>0.41004912318325032</v>
      </c>
      <c r="L130" s="102">
        <f t="shared" si="37"/>
        <v>1</v>
      </c>
      <c r="M130" s="103">
        <f t="shared" si="38"/>
        <v>2.8254824559643497E-10</v>
      </c>
      <c r="N130" s="101">
        <f t="shared" si="39"/>
        <v>1</v>
      </c>
      <c r="O130" s="104">
        <f t="shared" si="40"/>
        <v>3.7673099412857996E-11</v>
      </c>
      <c r="P130" s="105">
        <f t="shared" ca="1" si="41"/>
        <v>1.0649597282515657</v>
      </c>
      <c r="Q130" s="106">
        <f t="shared" ca="1" si="42"/>
        <v>0.36392116507471334</v>
      </c>
      <c r="R130" s="107">
        <f t="shared" ca="1" si="43"/>
        <v>0.4188792292673823</v>
      </c>
      <c r="S130" s="108">
        <f t="shared" ca="1" si="44"/>
        <v>-122.81942525034677</v>
      </c>
      <c r="T130" s="116">
        <f t="shared" ca="1" si="45"/>
        <v>57.180574749653232</v>
      </c>
      <c r="V130" s="72">
        <f t="shared" ca="1" si="46"/>
        <v>1000000000</v>
      </c>
      <c r="W130" s="72">
        <f t="shared" si="47"/>
        <v>47862874.890000001</v>
      </c>
      <c r="Y130" s="110">
        <f t="shared" si="48"/>
        <v>45.26899446235155</v>
      </c>
      <c r="Z130" s="111">
        <f t="shared" si="49"/>
        <v>-23.66368993507589</v>
      </c>
      <c r="AA130" s="72">
        <f t="shared" si="50"/>
        <v>156.33631006492411</v>
      </c>
      <c r="AB130" s="110">
        <f t="shared" ca="1" si="51"/>
        <v>-27.348889965250169</v>
      </c>
      <c r="AC130" s="111">
        <f t="shared" ca="1" si="52"/>
        <v>-99.155735315270903</v>
      </c>
      <c r="AD130" s="72">
        <f t="shared" ca="1" si="53"/>
        <v>80.844264684729097</v>
      </c>
    </row>
    <row r="131" spans="1:30">
      <c r="A131" s="118">
        <v>6998.9</v>
      </c>
      <c r="B131" s="101">
        <f t="shared" ca="1" si="27"/>
        <v>390.18412107246888</v>
      </c>
      <c r="C131" s="102">
        <f t="shared" ca="1" si="28"/>
        <v>1.5682334313803139</v>
      </c>
      <c r="D131" s="102">
        <f t="shared" si="29"/>
        <v>1.0211358405970041</v>
      </c>
      <c r="E131" s="103">
        <f t="shared" si="30"/>
        <v>0.20381444382509065</v>
      </c>
      <c r="F131" s="101">
        <f t="shared" si="31"/>
        <v>2392.2611854389356</v>
      </c>
      <c r="G131" s="104">
        <f t="shared" si="32"/>
        <v>1.5703783122255806</v>
      </c>
      <c r="H131" s="113">
        <f t="shared" si="33"/>
        <v>299.03429410765597</v>
      </c>
      <c r="I131" s="114">
        <f t="shared" si="34"/>
        <v>1.567452222511388</v>
      </c>
      <c r="J131" s="101">
        <f t="shared" si="35"/>
        <v>1.0924209142236263</v>
      </c>
      <c r="K131" s="104">
        <f t="shared" si="36"/>
        <v>0.41430063600306255</v>
      </c>
      <c r="L131" s="102">
        <f t="shared" si="37"/>
        <v>1</v>
      </c>
      <c r="M131" s="103">
        <f t="shared" si="38"/>
        <v>2.8584000637510499E-10</v>
      </c>
      <c r="N131" s="101">
        <f t="shared" si="39"/>
        <v>1</v>
      </c>
      <c r="O131" s="104">
        <f t="shared" si="40"/>
        <v>3.8112000850013992E-11</v>
      </c>
      <c r="P131" s="105">
        <f t="shared" ca="1" si="41"/>
        <v>1.0664349453588613</v>
      </c>
      <c r="Q131" s="106">
        <f t="shared" ca="1" si="42"/>
        <v>0.36782848163173948</v>
      </c>
      <c r="R131" s="107">
        <f t="shared" ca="1" si="43"/>
        <v>0.29417770054663167</v>
      </c>
      <c r="S131" s="108">
        <f t="shared" ca="1" si="44"/>
        <v>-123.15579966682444</v>
      </c>
      <c r="T131" s="116">
        <f t="shared" ca="1" si="45"/>
        <v>56.844200333175564</v>
      </c>
      <c r="V131" s="72">
        <f t="shared" ca="1" si="46"/>
        <v>1000000000</v>
      </c>
      <c r="W131" s="72">
        <f t="shared" si="47"/>
        <v>48984601.209999993</v>
      </c>
      <c r="Y131" s="110">
        <f t="shared" si="48"/>
        <v>45.252847600884564</v>
      </c>
      <c r="Z131" s="111">
        <f t="shared" si="49"/>
        <v>-23.905330496783169</v>
      </c>
      <c r="AA131" s="72">
        <f t="shared" si="50"/>
        <v>156.09466950321683</v>
      </c>
      <c r="AB131" s="110">
        <f t="shared" ca="1" si="51"/>
        <v>-27.457444632503929</v>
      </c>
      <c r="AC131" s="111">
        <f t="shared" ca="1" si="52"/>
        <v>-99.250469170041271</v>
      </c>
      <c r="AD131" s="72">
        <f t="shared" ca="1" si="53"/>
        <v>80.749530829958729</v>
      </c>
    </row>
    <row r="132" spans="1:30">
      <c r="A132" s="118">
        <v>7079.5</v>
      </c>
      <c r="B132" s="101">
        <f t="shared" ca="1" si="27"/>
        <v>394.67748928249938</v>
      </c>
      <c r="C132" s="102">
        <f t="shared" ca="1" si="28"/>
        <v>1.5682626097800945</v>
      </c>
      <c r="D132" s="102">
        <f t="shared" si="29"/>
        <v>1.0216202664093563</v>
      </c>
      <c r="E132" s="103">
        <f t="shared" si="30"/>
        <v>0.20609604706609158</v>
      </c>
      <c r="F132" s="101">
        <f t="shared" si="31"/>
        <v>2419.8106886531832</v>
      </c>
      <c r="G132" s="104">
        <f t="shared" si="32"/>
        <v>1.5703830713145599</v>
      </c>
      <c r="H132" s="113">
        <f t="shared" si="33"/>
        <v>302.47796327067863</v>
      </c>
      <c r="I132" s="114">
        <f t="shared" si="34"/>
        <v>1.5674902948088616</v>
      </c>
      <c r="J132" s="101">
        <f t="shared" si="35"/>
        <v>1.094469344036378</v>
      </c>
      <c r="K132" s="104">
        <f t="shared" si="36"/>
        <v>0.41853631072076314</v>
      </c>
      <c r="L132" s="102">
        <f t="shared" si="37"/>
        <v>1</v>
      </c>
      <c r="M132" s="103">
        <f t="shared" si="38"/>
        <v>2.89131767153775E-10</v>
      </c>
      <c r="N132" s="101">
        <f t="shared" si="39"/>
        <v>1</v>
      </c>
      <c r="O132" s="104">
        <f t="shared" si="40"/>
        <v>3.8550902287169995E-11</v>
      </c>
      <c r="P132" s="105">
        <f t="shared" ca="1" si="41"/>
        <v>1.0679251881983283</v>
      </c>
      <c r="Q132" s="106">
        <f t="shared" ca="1" si="42"/>
        <v>0.37172538562353291</v>
      </c>
      <c r="R132" s="107">
        <f t="shared" ca="1" si="43"/>
        <v>0.17043975652412255</v>
      </c>
      <c r="S132" s="108">
        <f t="shared" ca="1" si="44"/>
        <v>-123.4907989603346</v>
      </c>
      <c r="T132" s="116">
        <f t="shared" ca="1" si="45"/>
        <v>56.509201039665399</v>
      </c>
      <c r="V132" s="72">
        <f t="shared" ca="1" si="46"/>
        <v>1000000000</v>
      </c>
      <c r="W132" s="72">
        <f t="shared" si="47"/>
        <v>50119320.25</v>
      </c>
      <c r="Y132" s="110">
        <f t="shared" si="48"/>
        <v>45.236574608710839</v>
      </c>
      <c r="Z132" s="111">
        <f t="shared" si="49"/>
        <v>-24.146108075360594</v>
      </c>
      <c r="AA132" s="72">
        <f t="shared" si="50"/>
        <v>155.85389192463941</v>
      </c>
      <c r="AB132" s="110">
        <f t="shared" ca="1" si="51"/>
        <v>-27.564909584352716</v>
      </c>
      <c r="AC132" s="111">
        <f t="shared" ca="1" si="52"/>
        <v>-99.344690884974028</v>
      </c>
      <c r="AD132" s="72">
        <f t="shared" ca="1" si="53"/>
        <v>80.655309115025972</v>
      </c>
    </row>
    <row r="133" spans="1:30">
      <c r="A133" s="118">
        <v>7161.95</v>
      </c>
      <c r="B133" s="101">
        <f t="shared" ca="1" si="27"/>
        <v>399.27399345497901</v>
      </c>
      <c r="C133" s="102">
        <f t="shared" ca="1" si="28"/>
        <v>1.5682917783848986</v>
      </c>
      <c r="D133" s="102">
        <f t="shared" si="29"/>
        <v>1.0221213086505403</v>
      </c>
      <c r="E133" s="103">
        <f t="shared" si="30"/>
        <v>0.20842776942578223</v>
      </c>
      <c r="F133" s="101">
        <f t="shared" si="31"/>
        <v>2447.9925316368222</v>
      </c>
      <c r="G133" s="104">
        <f t="shared" si="32"/>
        <v>1.5703878288052631</v>
      </c>
      <c r="H133" s="113">
        <f t="shared" si="33"/>
        <v>306.00067491116482</v>
      </c>
      <c r="I133" s="114">
        <f t="shared" si="34"/>
        <v>1.5675283543296947</v>
      </c>
      <c r="J133" s="101">
        <f t="shared" si="35"/>
        <v>1.0965850311927499</v>
      </c>
      <c r="K133" s="104">
        <f t="shared" si="36"/>
        <v>0.42285275323697863</v>
      </c>
      <c r="L133" s="102">
        <f t="shared" si="37"/>
        <v>1</v>
      </c>
      <c r="M133" s="103">
        <f t="shared" si="38"/>
        <v>2.9249908323567745E-10</v>
      </c>
      <c r="N133" s="101">
        <f t="shared" si="39"/>
        <v>1</v>
      </c>
      <c r="O133" s="104">
        <f t="shared" si="40"/>
        <v>3.8999877764756996E-11</v>
      </c>
      <c r="P133" s="105">
        <f t="shared" ca="1" si="41"/>
        <v>1.0694651183172197</v>
      </c>
      <c r="Q133" s="106">
        <f t="shared" ca="1" si="42"/>
        <v>0.37570089693844566</v>
      </c>
      <c r="R133" s="107">
        <f t="shared" ca="1" si="43"/>
        <v>4.4834085508718438E-2</v>
      </c>
      <c r="S133" s="108">
        <f t="shared" ca="1" si="44"/>
        <v>-123.83205824096571</v>
      </c>
      <c r="T133" s="116">
        <f t="shared" ca="1" si="45"/>
        <v>56.167941759034292</v>
      </c>
      <c r="V133" s="72">
        <f t="shared" ca="1" si="46"/>
        <v>1000000000</v>
      </c>
      <c r="W133" s="72">
        <f t="shared" si="47"/>
        <v>51293527.802499995</v>
      </c>
      <c r="Y133" s="110">
        <f t="shared" si="48"/>
        <v>45.219799303731357</v>
      </c>
      <c r="Z133" s="111">
        <f t="shared" si="49"/>
        <v>-24.391513948388113</v>
      </c>
      <c r="AA133" s="72">
        <f t="shared" si="50"/>
        <v>155.60848605161189</v>
      </c>
      <c r="AB133" s="110">
        <f t="shared" ca="1" si="51"/>
        <v>-27.673739950388644</v>
      </c>
      <c r="AC133" s="111">
        <f t="shared" ca="1" si="52"/>
        <v>-99.440544292577556</v>
      </c>
      <c r="AD133" s="72">
        <f t="shared" ca="1" si="53"/>
        <v>80.559455707422444</v>
      </c>
    </row>
    <row r="134" spans="1:30">
      <c r="A134" s="118">
        <v>7244.4</v>
      </c>
      <c r="B134" s="101">
        <f t="shared" ca="1" si="27"/>
        <v>403.87049795943148</v>
      </c>
      <c r="C134" s="102">
        <f t="shared" ca="1" si="28"/>
        <v>1.5683202830460909</v>
      </c>
      <c r="D134" s="102">
        <f t="shared" si="29"/>
        <v>1.0226279026296972</v>
      </c>
      <c r="E134" s="103">
        <f t="shared" si="30"/>
        <v>0.21075719424190775</v>
      </c>
      <c r="F134" s="101">
        <f t="shared" si="31"/>
        <v>2476.174374674606</v>
      </c>
      <c r="G134" s="104">
        <f t="shared" si="32"/>
        <v>1.5703924780040319</v>
      </c>
      <c r="H134" s="113">
        <f t="shared" si="33"/>
        <v>309.52338698481191</v>
      </c>
      <c r="I134" s="114">
        <f t="shared" si="34"/>
        <v>1.5675655475332735</v>
      </c>
      <c r="J134" s="101">
        <f t="shared" si="35"/>
        <v>1.0987210706602382</v>
      </c>
      <c r="K134" s="104">
        <f t="shared" si="36"/>
        <v>0.42715249229007235</v>
      </c>
      <c r="L134" s="102">
        <f t="shared" si="37"/>
        <v>1</v>
      </c>
      <c r="M134" s="103">
        <f t="shared" si="38"/>
        <v>2.9586639931757995E-10</v>
      </c>
      <c r="N134" s="101">
        <f t="shared" si="39"/>
        <v>1</v>
      </c>
      <c r="O134" s="104">
        <f t="shared" si="40"/>
        <v>3.944885324234399E-11</v>
      </c>
      <c r="P134" s="105">
        <f t="shared" ca="1" si="41"/>
        <v>1.0710206394582473</v>
      </c>
      <c r="Q134" s="106">
        <f t="shared" ca="1" si="42"/>
        <v>0.37966538401087907</v>
      </c>
      <c r="R134" s="107">
        <f t="shared" ca="1" si="43"/>
        <v>-7.9812271611893817E-2</v>
      </c>
      <c r="S134" s="108">
        <f t="shared" ca="1" si="44"/>
        <v>-124.17186587112292</v>
      </c>
      <c r="T134" s="116">
        <f t="shared" ca="1" si="45"/>
        <v>55.828134128877082</v>
      </c>
      <c r="V134" s="72">
        <f t="shared" ca="1" si="46"/>
        <v>7244.4</v>
      </c>
      <c r="W134" s="72">
        <f t="shared" si="47"/>
        <v>52481331.359999992</v>
      </c>
      <c r="Y134" s="110">
        <f t="shared" si="48"/>
        <v>45.202895471362325</v>
      </c>
      <c r="Z134" s="111">
        <f t="shared" si="49"/>
        <v>-24.636006215126063</v>
      </c>
      <c r="AA134" s="72">
        <f t="shared" si="50"/>
        <v>155.36399378487394</v>
      </c>
      <c r="AB134" s="110">
        <f t="shared" ca="1" si="51"/>
        <v>-27.781482475140216</v>
      </c>
      <c r="AC134" s="111">
        <f t="shared" ca="1" si="52"/>
        <v>-99.53585965599683</v>
      </c>
      <c r="AD134" s="72">
        <f t="shared" ca="1" si="53"/>
        <v>80.46414034400317</v>
      </c>
    </row>
    <row r="135" spans="1:30">
      <c r="A135" s="118">
        <v>7328.75</v>
      </c>
      <c r="B135" s="101">
        <f t="shared" ca="1" si="27"/>
        <v>408.57292588316471</v>
      </c>
      <c r="C135" s="102">
        <f t="shared" ca="1" si="28"/>
        <v>1.5683487808733145</v>
      </c>
      <c r="D135" s="102">
        <f t="shared" si="29"/>
        <v>1.0231519072127497</v>
      </c>
      <c r="E135" s="103">
        <f t="shared" si="30"/>
        <v>0.21313789859723301</v>
      </c>
      <c r="F135" s="101">
        <f t="shared" si="31"/>
        <v>2505.0056477455564</v>
      </c>
      <c r="G135" s="104">
        <f t="shared" si="32"/>
        <v>1.5703971260875209</v>
      </c>
      <c r="H135" s="113">
        <f t="shared" si="33"/>
        <v>313.12727781699289</v>
      </c>
      <c r="I135" s="114">
        <f t="shared" si="34"/>
        <v>1.5676027318235</v>
      </c>
      <c r="J135" s="101">
        <f t="shared" si="35"/>
        <v>1.1009272712790499</v>
      </c>
      <c r="K135" s="104">
        <f t="shared" si="36"/>
        <v>0.43153396651540038</v>
      </c>
      <c r="L135" s="102">
        <f t="shared" si="37"/>
        <v>1</v>
      </c>
      <c r="M135" s="103">
        <f t="shared" si="38"/>
        <v>2.993113127379375E-10</v>
      </c>
      <c r="N135" s="101">
        <f t="shared" si="39"/>
        <v>1</v>
      </c>
      <c r="O135" s="104">
        <f t="shared" si="40"/>
        <v>3.9908175031724995E-11</v>
      </c>
      <c r="P135" s="105">
        <f t="shared" ca="1" si="41"/>
        <v>1.0726280702696918</v>
      </c>
      <c r="Q135" s="106">
        <f t="shared" ca="1" si="42"/>
        <v>0.38370975652306782</v>
      </c>
      <c r="R135" s="107">
        <f t="shared" ca="1" si="43"/>
        <v>-0.20636268535598354</v>
      </c>
      <c r="S135" s="108">
        <f t="shared" ca="1" si="44"/>
        <v>-124.51799563430039</v>
      </c>
      <c r="T135" s="116">
        <f t="shared" ca="1" si="45"/>
        <v>55.482004365699609</v>
      </c>
      <c r="V135" s="72">
        <f t="shared" ca="1" si="46"/>
        <v>7328.75</v>
      </c>
      <c r="W135" s="72">
        <f t="shared" si="47"/>
        <v>53710576.5625</v>
      </c>
      <c r="Y135" s="110">
        <f t="shared" si="48"/>
        <v>45.185470918208068</v>
      </c>
      <c r="Z135" s="111">
        <f t="shared" si="49"/>
        <v>-24.885182009068952</v>
      </c>
      <c r="AA135" s="72">
        <f t="shared" si="50"/>
        <v>155.11481799093104</v>
      </c>
      <c r="AB135" s="110">
        <f t="shared" ca="1" si="51"/>
        <v>-27.89060833573005</v>
      </c>
      <c r="AC135" s="111">
        <f t="shared" ca="1" si="52"/>
        <v>-99.632813625231407</v>
      </c>
      <c r="AD135" s="72">
        <f t="shared" ca="1" si="53"/>
        <v>80.367186374768593</v>
      </c>
    </row>
    <row r="136" spans="1:30">
      <c r="A136" s="118">
        <v>7413.1</v>
      </c>
      <c r="B136" s="101">
        <f t="shared" ca="1" si="27"/>
        <v>413.27535413115982</v>
      </c>
      <c r="C136" s="102">
        <f t="shared" ca="1" si="28"/>
        <v>1.568376630179005</v>
      </c>
      <c r="D136" s="102">
        <f t="shared" si="29"/>
        <v>1.0236817048123821</v>
      </c>
      <c r="E136" s="103">
        <f t="shared" si="30"/>
        <v>0.21551615219450851</v>
      </c>
      <c r="F136" s="101">
        <f t="shared" si="31"/>
        <v>2533.8369208693953</v>
      </c>
      <c r="G136" s="104">
        <f t="shared" si="32"/>
        <v>1.5704016683945383</v>
      </c>
      <c r="H136" s="113">
        <f t="shared" si="33"/>
        <v>316.73116907227336</v>
      </c>
      <c r="I136" s="114">
        <f t="shared" si="34"/>
        <v>1.5676390699189489</v>
      </c>
      <c r="J136" s="101">
        <f t="shared" si="35"/>
        <v>1.1031545219756371</v>
      </c>
      <c r="K136" s="104">
        <f t="shared" si="36"/>
        <v>0.43589783198707133</v>
      </c>
      <c r="L136" s="102">
        <f t="shared" si="37"/>
        <v>1</v>
      </c>
      <c r="M136" s="103">
        <f t="shared" si="38"/>
        <v>3.02756226158295E-10</v>
      </c>
      <c r="N136" s="101">
        <f t="shared" si="39"/>
        <v>1</v>
      </c>
      <c r="O136" s="104">
        <f t="shared" si="40"/>
        <v>4.0367496821105999E-11</v>
      </c>
      <c r="P136" s="105">
        <f t="shared" ca="1" si="41"/>
        <v>1.0742516759815239</v>
      </c>
      <c r="Q136" s="106">
        <f t="shared" ca="1" si="42"/>
        <v>0.38774246056930028</v>
      </c>
      <c r="R136" s="107">
        <f t="shared" ca="1" si="43"/>
        <v>-0.33195767207584181</v>
      </c>
      <c r="S136" s="108">
        <f t="shared" ca="1" si="44"/>
        <v>-124.86259361974645</v>
      </c>
      <c r="T136" s="116">
        <f t="shared" ca="1" si="45"/>
        <v>55.137406380253552</v>
      </c>
      <c r="V136" s="72">
        <f t="shared" ca="1" si="46"/>
        <v>7413.1</v>
      </c>
      <c r="W136" s="72">
        <f t="shared" si="47"/>
        <v>54954051.610000007</v>
      </c>
      <c r="Y136" s="110">
        <f t="shared" si="48"/>
        <v>45.167915537402564</v>
      </c>
      <c r="Z136" s="111">
        <f t="shared" si="49"/>
        <v>-25.133391318587726</v>
      </c>
      <c r="AA136" s="72">
        <f t="shared" si="50"/>
        <v>154.86660868141229</v>
      </c>
      <c r="AB136" s="110">
        <f t="shared" ca="1" si="51"/>
        <v>-27.998647941644414</v>
      </c>
      <c r="AC136" s="111">
        <f t="shared" ca="1" si="52"/>
        <v>-99.729202301158736</v>
      </c>
      <c r="AD136" s="72">
        <f t="shared" ca="1" si="53"/>
        <v>80.270797698841264</v>
      </c>
    </row>
    <row r="137" spans="1:30">
      <c r="A137" s="118">
        <v>7499.45</v>
      </c>
      <c r="B137" s="101">
        <f t="shared" ca="1" si="27"/>
        <v>418.08928070594084</v>
      </c>
      <c r="C137" s="102">
        <f t="shared" ca="1" si="28"/>
        <v>1.5684044908889581</v>
      </c>
      <c r="D137" s="102">
        <f t="shared" si="29"/>
        <v>1.0242300555933264</v>
      </c>
      <c r="E137" s="103">
        <f t="shared" si="30"/>
        <v>0.21794823321337164</v>
      </c>
      <c r="F137" s="101">
        <f t="shared" si="31"/>
        <v>2563.3518045529436</v>
      </c>
      <c r="G137" s="104">
        <f t="shared" si="32"/>
        <v>1.5704062125610296</v>
      </c>
      <c r="H137" s="113">
        <f t="shared" si="33"/>
        <v>320.4205116401929</v>
      </c>
      <c r="I137" s="114">
        <f t="shared" si="34"/>
        <v>1.5676754228982541</v>
      </c>
      <c r="J137" s="101">
        <f t="shared" si="35"/>
        <v>1.105456254230256</v>
      </c>
      <c r="K137" s="104">
        <f t="shared" si="36"/>
        <v>0.4403468660603812</v>
      </c>
      <c r="L137" s="102">
        <f t="shared" si="37"/>
        <v>1</v>
      </c>
      <c r="M137" s="103">
        <f t="shared" si="38"/>
        <v>3.0628282098755248E-10</v>
      </c>
      <c r="N137" s="101">
        <f t="shared" si="39"/>
        <v>1</v>
      </c>
      <c r="O137" s="104">
        <f t="shared" si="40"/>
        <v>4.0837709465006994E-11</v>
      </c>
      <c r="P137" s="105">
        <f t="shared" ca="1" si="41"/>
        <v>1.0759304573549753</v>
      </c>
      <c r="Q137" s="106">
        <f t="shared" ca="1" si="42"/>
        <v>0.39185863023296513</v>
      </c>
      <c r="R137" s="107">
        <f t="shared" ca="1" si="43"/>
        <v>-0.45956515374234819</v>
      </c>
      <c r="S137" s="108">
        <f t="shared" ca="1" si="44"/>
        <v>-125.21376945732516</v>
      </c>
      <c r="T137" s="116">
        <f t="shared" ca="1" si="45"/>
        <v>54.786230542674843</v>
      </c>
      <c r="V137" s="72">
        <f t="shared" ca="1" si="46"/>
        <v>7499.45</v>
      </c>
      <c r="W137" s="72">
        <f t="shared" si="47"/>
        <v>56241750.302499995</v>
      </c>
      <c r="Y137" s="110">
        <f t="shared" si="48"/>
        <v>45.149810330935154</v>
      </c>
      <c r="Z137" s="111">
        <f t="shared" si="49"/>
        <v>-25.38647968328678</v>
      </c>
      <c r="AA137" s="72">
        <f t="shared" si="50"/>
        <v>154.61352031671322</v>
      </c>
      <c r="AB137" s="110">
        <f t="shared" ca="1" si="51"/>
        <v>-28.108150216843498</v>
      </c>
      <c r="AC137" s="111">
        <f t="shared" ca="1" si="52"/>
        <v>-99.827289774038405</v>
      </c>
      <c r="AD137" s="72">
        <f t="shared" ca="1" si="53"/>
        <v>80.172710225961595</v>
      </c>
    </row>
    <row r="138" spans="1:30">
      <c r="A138" s="118">
        <v>7585.8</v>
      </c>
      <c r="B138" s="101">
        <f t="shared" ca="1" si="27"/>
        <v>422.90320759786255</v>
      </c>
      <c r="C138" s="102">
        <f t="shared" ca="1" si="28"/>
        <v>1.5684317173194162</v>
      </c>
      <c r="D138" s="102">
        <f t="shared" si="29"/>
        <v>1.0247844582091792</v>
      </c>
      <c r="E138" s="103">
        <f t="shared" si="30"/>
        <v>0.22037769710542066</v>
      </c>
      <c r="F138" s="101">
        <f t="shared" si="31"/>
        <v>2592.8666882882189</v>
      </c>
      <c r="G138" s="104">
        <f t="shared" si="32"/>
        <v>1.5704106532740374</v>
      </c>
      <c r="H138" s="113">
        <f t="shared" si="33"/>
        <v>324.10985462192048</v>
      </c>
      <c r="I138" s="114">
        <f t="shared" si="34"/>
        <v>1.5677109482655651</v>
      </c>
      <c r="J138" s="101">
        <f t="shared" si="35"/>
        <v>1.1077797765985962</v>
      </c>
      <c r="K138" s="104">
        <f t="shared" si="36"/>
        <v>0.44477732419398341</v>
      </c>
      <c r="L138" s="102">
        <f t="shared" si="37"/>
        <v>1</v>
      </c>
      <c r="M138" s="103">
        <f t="shared" si="38"/>
        <v>3.0980941581681001E-10</v>
      </c>
      <c r="N138" s="101">
        <f t="shared" si="39"/>
        <v>1</v>
      </c>
      <c r="O138" s="104">
        <f t="shared" si="40"/>
        <v>4.1307922108907995E-11</v>
      </c>
      <c r="P138" s="105">
        <f t="shared" ca="1" si="41"/>
        <v>1.0776260352034994</v>
      </c>
      <c r="Q138" s="106">
        <f t="shared" ca="1" si="42"/>
        <v>0.39596243940809017</v>
      </c>
      <c r="R138" s="107">
        <f t="shared" ca="1" si="43"/>
        <v>-0.58621963287785328</v>
      </c>
      <c r="S138" s="108">
        <f t="shared" ca="1" si="44"/>
        <v>-125.56332786813948</v>
      </c>
      <c r="T138" s="116">
        <f t="shared" ca="1" si="45"/>
        <v>54.436672131860519</v>
      </c>
      <c r="V138" s="72">
        <f t="shared" ca="1" si="46"/>
        <v>7585.8</v>
      </c>
      <c r="W138" s="72">
        <f t="shared" si="47"/>
        <v>57544361.640000001</v>
      </c>
      <c r="Y138" s="110">
        <f t="shared" si="48"/>
        <v>45.131571960451609</v>
      </c>
      <c r="Z138" s="111">
        <f t="shared" si="49"/>
        <v>-25.638545216265296</v>
      </c>
      <c r="AA138" s="72">
        <f t="shared" si="50"/>
        <v>154.3614547837347</v>
      </c>
      <c r="AB138" s="110">
        <f t="shared" ca="1" si="51"/>
        <v>-28.216566325495471</v>
      </c>
      <c r="AC138" s="111">
        <f t="shared" ca="1" si="52"/>
        <v>-99.924782651874182</v>
      </c>
      <c r="AD138" s="72">
        <f t="shared" ca="1" si="53"/>
        <v>80.075217348125818</v>
      </c>
    </row>
    <row r="139" spans="1:30">
      <c r="A139" s="118">
        <v>7674.15</v>
      </c>
      <c r="B139" s="101">
        <f t="shared" ca="1" si="27"/>
        <v>427.82863282404651</v>
      </c>
      <c r="C139" s="102">
        <f t="shared" ca="1" si="28"/>
        <v>1.5684589402016655</v>
      </c>
      <c r="D139" s="102">
        <f t="shared" si="29"/>
        <v>1.0253579551236625</v>
      </c>
      <c r="E139" s="103">
        <f t="shared" si="30"/>
        <v>0.22286069693868324</v>
      </c>
      <c r="F139" s="101">
        <f t="shared" si="31"/>
        <v>2623.0651825844238</v>
      </c>
      <c r="G139" s="104">
        <f t="shared" si="32"/>
        <v>1.5704150934077652</v>
      </c>
      <c r="H139" s="113">
        <f t="shared" si="33"/>
        <v>327.8846489260423</v>
      </c>
      <c r="I139" s="114">
        <f t="shared" si="34"/>
        <v>1.5677464690063445</v>
      </c>
      <c r="J139" s="101">
        <f t="shared" si="35"/>
        <v>1.1101795256422167</v>
      </c>
      <c r="K139" s="104">
        <f t="shared" si="36"/>
        <v>0.44929111315731607</v>
      </c>
      <c r="L139" s="102">
        <f t="shared" si="37"/>
        <v>1</v>
      </c>
      <c r="M139" s="103">
        <f t="shared" si="38"/>
        <v>3.1341769205496747E-10</v>
      </c>
      <c r="N139" s="101">
        <f t="shared" si="39"/>
        <v>1</v>
      </c>
      <c r="O139" s="104">
        <f t="shared" si="40"/>
        <v>4.1789025607328993E-11</v>
      </c>
      <c r="P139" s="105">
        <f t="shared" ca="1" si="41"/>
        <v>1.0793781877939197</v>
      </c>
      <c r="Q139" s="106">
        <f t="shared" ca="1" si="42"/>
        <v>0.40014843925927768</v>
      </c>
      <c r="R139" s="107">
        <f t="shared" ca="1" si="43"/>
        <v>-0.71484528704326633</v>
      </c>
      <c r="S139" s="108">
        <f t="shared" ca="1" si="44"/>
        <v>-125.91930260776685</v>
      </c>
      <c r="T139" s="116">
        <f t="shared" ca="1" si="45"/>
        <v>54.080697392233148</v>
      </c>
      <c r="V139" s="72">
        <f t="shared" ca="1" si="46"/>
        <v>7674.15</v>
      </c>
      <c r="W139" s="72">
        <f t="shared" si="47"/>
        <v>58892578.222499996</v>
      </c>
      <c r="Y139" s="110">
        <f t="shared" si="48"/>
        <v>45.112775405743555</v>
      </c>
      <c r="Z139" s="111">
        <f t="shared" si="49"/>
        <v>-25.895385485982555</v>
      </c>
      <c r="AA139" s="72">
        <f t="shared" si="50"/>
        <v>154.10461451401744</v>
      </c>
      <c r="AB139" s="110">
        <f t="shared" ca="1" si="51"/>
        <v>-28.326395424952828</v>
      </c>
      <c r="AC139" s="111">
        <f t="shared" ca="1" si="52"/>
        <v>-100.02391712178431</v>
      </c>
      <c r="AD139" s="72">
        <f t="shared" ca="1" si="53"/>
        <v>79.976082878215692</v>
      </c>
    </row>
    <row r="140" spans="1:30">
      <c r="A140" s="118">
        <v>7762.5</v>
      </c>
      <c r="B140" s="101">
        <f t="shared" ca="1" si="27"/>
        <v>432.7540583600707</v>
      </c>
      <c r="C140" s="102">
        <f t="shared" ca="1" si="28"/>
        <v>1.5684855434050344</v>
      </c>
      <c r="D140" s="102">
        <f t="shared" si="29"/>
        <v>1.0259377665751472</v>
      </c>
      <c r="E140" s="103">
        <f t="shared" si="30"/>
        <v>0.22534090550092642</v>
      </c>
      <c r="F140" s="101">
        <f t="shared" si="31"/>
        <v>2653.2636769311653</v>
      </c>
      <c r="G140" s="104">
        <f t="shared" si="32"/>
        <v>1.570419432469478</v>
      </c>
      <c r="H140" s="113">
        <f t="shared" si="33"/>
        <v>331.65944363444675</v>
      </c>
      <c r="I140" s="114">
        <f t="shared" si="34"/>
        <v>1.5677811811858131</v>
      </c>
      <c r="J140" s="101">
        <f t="shared" si="35"/>
        <v>1.1126017959647063</v>
      </c>
      <c r="K140" s="104">
        <f t="shared" si="36"/>
        <v>0.45378533921437297</v>
      </c>
      <c r="L140" s="102">
        <f t="shared" si="37"/>
        <v>1</v>
      </c>
      <c r="M140" s="103">
        <f t="shared" si="38"/>
        <v>3.1702596829312498E-10</v>
      </c>
      <c r="N140" s="101">
        <f t="shared" si="39"/>
        <v>1</v>
      </c>
      <c r="O140" s="104">
        <f t="shared" si="40"/>
        <v>4.2270129105749991E-11</v>
      </c>
      <c r="P140" s="105">
        <f t="shared" ca="1" si="41"/>
        <v>1.0811477571250778</v>
      </c>
      <c r="Q140" s="106">
        <f t="shared" ca="1" si="42"/>
        <v>0.40432136609986208</v>
      </c>
      <c r="R140" s="107">
        <f t="shared" ca="1" si="43"/>
        <v>-0.84252114107912979</v>
      </c>
      <c r="S140" s="108">
        <f t="shared" ca="1" si="44"/>
        <v>-126.27357240630968</v>
      </c>
      <c r="T140" s="116">
        <f t="shared" ca="1" si="45"/>
        <v>53.726427593690318</v>
      </c>
      <c r="V140" s="72">
        <f t="shared" ca="1" si="46"/>
        <v>7762.5</v>
      </c>
      <c r="W140" s="72">
        <f t="shared" si="47"/>
        <v>60256406.25</v>
      </c>
      <c r="Y140" s="110">
        <f t="shared" si="48"/>
        <v>45.093843645692786</v>
      </c>
      <c r="Z140" s="111">
        <f t="shared" si="49"/>
        <v>-26.151145419884656</v>
      </c>
      <c r="AA140" s="72">
        <f t="shared" si="50"/>
        <v>153.84885458011536</v>
      </c>
      <c r="AB140" s="110">
        <f t="shared" ca="1" si="51"/>
        <v>-28.43513951893792</v>
      </c>
      <c r="AC140" s="111">
        <f t="shared" ca="1" si="52"/>
        <v>-100.12242698642505</v>
      </c>
      <c r="AD140" s="72">
        <f t="shared" ca="1" si="53"/>
        <v>79.877573013574946</v>
      </c>
    </row>
    <row r="141" spans="1:30">
      <c r="A141" s="118">
        <v>7852.9</v>
      </c>
      <c r="B141" s="101">
        <f t="shared" ca="1" si="27"/>
        <v>437.79376968805457</v>
      </c>
      <c r="C141" s="102">
        <f t="shared" ca="1" si="28"/>
        <v>1.5685121442897534</v>
      </c>
      <c r="D141" s="102">
        <f t="shared" si="29"/>
        <v>1.0265375563411683</v>
      </c>
      <c r="E141" s="103">
        <f t="shared" si="30"/>
        <v>0.22787574672392025</v>
      </c>
      <c r="F141" s="101">
        <f t="shared" si="31"/>
        <v>2684.1628721027514</v>
      </c>
      <c r="G141" s="104">
        <f t="shared" si="32"/>
        <v>1.5704237711524927</v>
      </c>
      <c r="H141" s="113">
        <f t="shared" si="33"/>
        <v>335.52182594744517</v>
      </c>
      <c r="I141" s="114">
        <f t="shared" si="34"/>
        <v>1.5678158903428776</v>
      </c>
      <c r="J141" s="101">
        <f t="shared" si="35"/>
        <v>1.1151034287288224</v>
      </c>
      <c r="K141" s="104">
        <f t="shared" si="36"/>
        <v>0.45836354075979135</v>
      </c>
      <c r="L141" s="102">
        <f t="shared" si="37"/>
        <v>1</v>
      </c>
      <c r="M141" s="103">
        <f t="shared" si="38"/>
        <v>3.2071796797540494E-10</v>
      </c>
      <c r="N141" s="101">
        <f t="shared" si="39"/>
        <v>1</v>
      </c>
      <c r="O141" s="104">
        <f t="shared" si="40"/>
        <v>4.2762395730053992E-11</v>
      </c>
      <c r="P141" s="105">
        <f t="shared" ca="1" si="41"/>
        <v>1.0829763252434541</v>
      </c>
      <c r="Q141" s="106">
        <f t="shared" ca="1" si="42"/>
        <v>0.40857751950040339</v>
      </c>
      <c r="R141" s="107">
        <f t="shared" ca="1" si="43"/>
        <v>-0.97220017733905761</v>
      </c>
      <c r="S141" s="108">
        <f t="shared" ca="1" si="44"/>
        <v>-126.63429197429004</v>
      </c>
      <c r="T141" s="116">
        <f t="shared" ca="1" si="45"/>
        <v>53.365708025709964</v>
      </c>
      <c r="V141" s="72">
        <f t="shared" ca="1" si="46"/>
        <v>7852.9</v>
      </c>
      <c r="W141" s="72">
        <f t="shared" si="47"/>
        <v>61668038.409999996</v>
      </c>
      <c r="Y141" s="110">
        <f t="shared" si="48"/>
        <v>45.074334865140216</v>
      </c>
      <c r="Z141" s="111">
        <f t="shared" si="49"/>
        <v>-26.411716946326923</v>
      </c>
      <c r="AA141" s="72">
        <f t="shared" si="50"/>
        <v>153.58828305367308</v>
      </c>
      <c r="AB141" s="110">
        <f t="shared" ca="1" si="51"/>
        <v>-28.545309774645272</v>
      </c>
      <c r="AC141" s="111">
        <f t="shared" ca="1" si="52"/>
        <v>-100.22257502796313</v>
      </c>
      <c r="AD141" s="72">
        <f t="shared" ca="1" si="53"/>
        <v>79.777424972036869</v>
      </c>
    </row>
    <row r="142" spans="1:30">
      <c r="A142" s="118">
        <v>7943.3</v>
      </c>
      <c r="B142" s="101">
        <f t="shared" ref="B142:B205" ca="1" si="54">SQRT(1+(A142/Pole1)^2)</f>
        <v>442.83348131877329</v>
      </c>
      <c r="C142" s="102">
        <f t="shared" ref="C142:C205" ca="1" si="55">ATAN(A142/Pole1)</f>
        <v>1.5685381397063234</v>
      </c>
      <c r="D142" s="102">
        <f t="shared" ref="D142:D205" si="56">SQRT(1+(A142/Zero1)^2)</f>
        <v>1.027143934314203</v>
      </c>
      <c r="E142" s="103">
        <f t="shared" ref="E142:E205" si="57">ATAN(A142/Zero1)</f>
        <v>0.23040761129472195</v>
      </c>
      <c r="F142" s="101">
        <f t="shared" ref="F142:F205" si="58">SQRT(1+(A142/Pole2)^2)</f>
        <v>2715.0620673237149</v>
      </c>
      <c r="G142" s="104">
        <f t="shared" ref="G142:G205" si="59">ATAN(A142/Pole2)</f>
        <v>1.5704280110813649</v>
      </c>
      <c r="H142" s="113">
        <f t="shared" ref="H142:H205" si="60">SQRT(1+(A142/Zero2)^2)</f>
        <v>339.38420865545504</v>
      </c>
      <c r="I142" s="114">
        <f t="shared" ref="I142:I205" si="61">ATAN(A142/Zero2)</f>
        <v>1.5678498094806195</v>
      </c>
      <c r="J142" s="101">
        <f t="shared" ref="J142:J205" si="62">SQRT(1+(A142/pole4)^2)</f>
        <v>1.1176283290658646</v>
      </c>
      <c r="K142" s="104">
        <f t="shared" ref="K142:K205" si="63">ATAN(A142/pole4)</f>
        <v>0.46292115170213394</v>
      </c>
      <c r="L142" s="102">
        <f t="shared" ref="L142:L205" si="64">SQRT(1+(A142/Zerofeed)^2)</f>
        <v>1</v>
      </c>
      <c r="M142" s="103">
        <f t="shared" ref="M142:M205" si="65">ATAN(A142/Zerofeed)</f>
        <v>3.2440996765768501E-10</v>
      </c>
      <c r="N142" s="101">
        <f t="shared" ref="N142:N205" si="66">SQRT(1+(A142/Polefeed)^2)</f>
        <v>1</v>
      </c>
      <c r="O142" s="104">
        <f t="shared" ref="O142:O205" si="67">ATAN(A142/Polefeed)</f>
        <v>4.3254662354357992E-11</v>
      </c>
      <c r="P142" s="105">
        <f t="shared" ref="P142:P205" ca="1" si="68">SQRT((1-(W142/pterm2))^2+(A142/pterm1)^2)</f>
        <v>1.084822947835393</v>
      </c>
      <c r="Q142" s="106">
        <f t="shared" ref="Q142:Q205" ca="1" si="69">IF((ATAN((A142/pterm1)/(1-A142^2/pterm2))&gt;0),ATAN((A142/pterm1)/(1-A142^2/pterm2)),PI()+ATAN((A142/pterm1)/(1-A142^2/pterm2)))</f>
        <v>0.41281985230775498</v>
      </c>
      <c r="R142" s="107">
        <f t="shared" ref="R142:R205" ca="1" si="70">20*LOG10(((D142*H142*L142)/(B142*F142*P142*J142*N142))*Adc)</f>
        <v>-1.100932247879435</v>
      </c>
      <c r="S142" s="108">
        <f t="shared" ref="S142:S205" ca="1" si="71">((E142+I142+M142)-(C142+G142+Q142+K142+O142))*radconv</f>
        <v>-126.99321539136983</v>
      </c>
      <c r="T142" s="116">
        <f t="shared" ref="T142:T205" ca="1" si="72">IF(S142&gt;0,S142,S142+180)</f>
        <v>53.00678460863017</v>
      </c>
      <c r="V142" s="72">
        <f t="shared" ref="V142:V205" ca="1" si="73">IF(R142&lt;0,A142,1000000000)</f>
        <v>7943.3</v>
      </c>
      <c r="W142" s="72">
        <f t="shared" ref="W142:W205" si="74">A142^2</f>
        <v>63096014.890000001</v>
      </c>
      <c r="Y142" s="110">
        <f t="shared" ref="Y142:Y205" si="75">20*LOG10(((H142*L142)/(F142*J142*N142))*Aea)</f>
        <v>45.054688999118454</v>
      </c>
      <c r="Z142" s="111">
        <f t="shared" ref="Z142:Z205" si="76">(I142+M142-(G142+K142+O142))*radconv</f>
        <v>-26.671148324691409</v>
      </c>
      <c r="AA142" s="72">
        <f t="shared" ref="AA142:AA205" si="77">IF(Z142&gt;0,Z142,Z142+180)</f>
        <v>153.32885167530858</v>
      </c>
      <c r="AB142" s="110">
        <f t="shared" ref="AB142:AB205" ca="1" si="78">20*LOG10((D142/(B142*P142))*Acs*Am)</f>
        <v>-28.654395979163883</v>
      </c>
      <c r="AC142" s="111">
        <f t="shared" ref="AC142:AC205" ca="1" si="79">(E142-(C142+Q142))*radconv</f>
        <v>-100.32206706667847</v>
      </c>
      <c r="AD142" s="72">
        <f t="shared" ref="AD142:AD205" ca="1" si="80">IF(AC142&gt;0,AC142,AC142+180)</f>
        <v>79.677932933321529</v>
      </c>
    </row>
    <row r="143" spans="1:30">
      <c r="A143" s="118">
        <v>8035.8</v>
      </c>
      <c r="B143" s="101">
        <f t="shared" ca="1" si="54"/>
        <v>447.99026619937354</v>
      </c>
      <c r="C143" s="102">
        <f t="shared" ca="1" si="55"/>
        <v>1.5685641335846914</v>
      </c>
      <c r="D143" s="102">
        <f t="shared" si="56"/>
        <v>1.0277712058880955</v>
      </c>
      <c r="E143" s="103">
        <f t="shared" si="57"/>
        <v>0.23299518179358875</v>
      </c>
      <c r="F143" s="101">
        <f t="shared" si="58"/>
        <v>2746.6790536334761</v>
      </c>
      <c r="G143" s="104">
        <f t="shared" si="59"/>
        <v>1.5704322507588673</v>
      </c>
      <c r="H143" s="113">
        <f t="shared" si="60"/>
        <v>343.33631525055193</v>
      </c>
      <c r="I143" s="114">
        <f t="shared" si="61"/>
        <v>1.5678837266140944</v>
      </c>
      <c r="J143" s="101">
        <f t="shared" si="62"/>
        <v>1.1202358035510127</v>
      </c>
      <c r="K143" s="104">
        <f t="shared" si="63"/>
        <v>0.46756327113627516</v>
      </c>
      <c r="L143" s="102">
        <f t="shared" si="64"/>
        <v>1</v>
      </c>
      <c r="M143" s="103">
        <f t="shared" si="65"/>
        <v>3.2818773281930998E-10</v>
      </c>
      <c r="N143" s="101">
        <f t="shared" si="66"/>
        <v>1</v>
      </c>
      <c r="O143" s="104">
        <f t="shared" si="67"/>
        <v>4.3758364375907995E-11</v>
      </c>
      <c r="P143" s="105">
        <f t="shared" ca="1" si="68"/>
        <v>1.0867310607492586</v>
      </c>
      <c r="Q143" s="106">
        <f t="shared" ca="1" si="69"/>
        <v>0.41714636191543647</v>
      </c>
      <c r="R143" s="107">
        <f t="shared" ca="1" si="70"/>
        <v>-1.2316981439891792</v>
      </c>
      <c r="S143" s="108">
        <f t="shared" ca="1" si="71"/>
        <v>-127.35861206148684</v>
      </c>
      <c r="T143" s="116">
        <f t="shared" ca="1" si="72"/>
        <v>52.641387938513162</v>
      </c>
      <c r="V143" s="72">
        <f t="shared" ca="1" si="73"/>
        <v>8035.8</v>
      </c>
      <c r="W143" s="72">
        <f t="shared" si="74"/>
        <v>64574081.640000001</v>
      </c>
      <c r="Y143" s="110">
        <f t="shared" si="75"/>
        <v>45.034447201470101</v>
      </c>
      <c r="Z143" s="111">
        <f t="shared" si="76"/>
        <v>-26.935421783403839</v>
      </c>
      <c r="AA143" s="72">
        <f t="shared" si="77"/>
        <v>153.06457821659615</v>
      </c>
      <c r="AB143" s="110">
        <f t="shared" ca="1" si="78"/>
        <v>-28.764920077625284</v>
      </c>
      <c r="AC143" s="111">
        <f t="shared" ca="1" si="79"/>
        <v>-100.423190278083</v>
      </c>
      <c r="AD143" s="72">
        <f t="shared" ca="1" si="80"/>
        <v>79.576809721917002</v>
      </c>
    </row>
    <row r="144" spans="1:30">
      <c r="A144" s="118">
        <v>8128.3</v>
      </c>
      <c r="B144" s="101">
        <f t="shared" ca="1" si="54"/>
        <v>453.14705137578329</v>
      </c>
      <c r="C144" s="102">
        <f t="shared" ca="1" si="55"/>
        <v>1.5685895358456479</v>
      </c>
      <c r="D144" s="102">
        <f t="shared" si="56"/>
        <v>1.0284053505042705</v>
      </c>
      <c r="E144" s="103">
        <f t="shared" si="57"/>
        <v>0.23557957843635888</v>
      </c>
      <c r="F144" s="101">
        <f t="shared" si="58"/>
        <v>2778.296039991485</v>
      </c>
      <c r="G144" s="104">
        <f t="shared" si="59"/>
        <v>1.5704363939413786</v>
      </c>
      <c r="H144" s="113">
        <f t="shared" si="60"/>
        <v>347.288422231624</v>
      </c>
      <c r="I144" s="114">
        <f t="shared" si="61"/>
        <v>1.5679168718005367</v>
      </c>
      <c r="J144" s="101">
        <f t="shared" si="62"/>
        <v>1.1228673058855085</v>
      </c>
      <c r="K144" s="104">
        <f t="shared" si="63"/>
        <v>0.47218373161796923</v>
      </c>
      <c r="L144" s="102">
        <f t="shared" si="64"/>
        <v>1</v>
      </c>
      <c r="M144" s="103">
        <f t="shared" si="65"/>
        <v>3.31965497980935E-10</v>
      </c>
      <c r="N144" s="101">
        <f t="shared" si="66"/>
        <v>1</v>
      </c>
      <c r="O144" s="104">
        <f t="shared" si="67"/>
        <v>4.4262066397457998E-11</v>
      </c>
      <c r="P144" s="105">
        <f t="shared" ca="1" si="68"/>
        <v>1.0886578828056204</v>
      </c>
      <c r="Q144" s="106">
        <f t="shared" ca="1" si="69"/>
        <v>0.42145826761364652</v>
      </c>
      <c r="R144" s="107">
        <f t="shared" ca="1" si="70"/>
        <v>-1.3615195374069808</v>
      </c>
      <c r="S144" s="108">
        <f t="shared" ca="1" si="71"/>
        <v>-127.72211767459024</v>
      </c>
      <c r="T144" s="116">
        <f t="shared" ca="1" si="72"/>
        <v>52.277882325409763</v>
      </c>
      <c r="V144" s="72">
        <f t="shared" ca="1" si="73"/>
        <v>8128.3</v>
      </c>
      <c r="W144" s="72">
        <f t="shared" si="74"/>
        <v>66069260.890000001</v>
      </c>
      <c r="Y144" s="110">
        <f t="shared" si="75"/>
        <v>45.014066622674456</v>
      </c>
      <c r="Z144" s="111">
        <f t="shared" si="76"/>
        <v>-27.198492976102202</v>
      </c>
      <c r="AA144" s="72">
        <f t="shared" si="77"/>
        <v>152.80150702389778</v>
      </c>
      <c r="AB144" s="110">
        <f t="shared" ca="1" si="78"/>
        <v>-28.874360892247438</v>
      </c>
      <c r="AC144" s="111">
        <f t="shared" ca="1" si="79"/>
        <v>-100.52362469848799</v>
      </c>
      <c r="AD144" s="72">
        <f t="shared" ca="1" si="80"/>
        <v>79.476375301512007</v>
      </c>
    </row>
    <row r="145" spans="1:30">
      <c r="A145" s="118">
        <v>8222.9500000000007</v>
      </c>
      <c r="B145" s="101">
        <f t="shared" ca="1" si="54"/>
        <v>458.42369726019075</v>
      </c>
      <c r="C145" s="102">
        <f t="shared" ca="1" si="55"/>
        <v>1.5686149369604401</v>
      </c>
      <c r="D145" s="102">
        <f t="shared" si="56"/>
        <v>1.0290613359691387</v>
      </c>
      <c r="E145" s="103">
        <f t="shared" si="57"/>
        <v>0.23822072961253121</v>
      </c>
      <c r="F145" s="101">
        <f t="shared" si="58"/>
        <v>2810.6479077022759</v>
      </c>
      <c r="G145" s="104">
        <f t="shared" si="59"/>
        <v>1.5704405369364951</v>
      </c>
      <c r="H145" s="113">
        <f t="shared" si="60"/>
        <v>351.3323893825293</v>
      </c>
      <c r="I145" s="114">
        <f t="shared" si="61"/>
        <v>1.5679500154940604</v>
      </c>
      <c r="J145" s="101">
        <f t="shared" si="62"/>
        <v>1.1255846691304783</v>
      </c>
      <c r="K145" s="104">
        <f t="shared" si="63"/>
        <v>0.47688912007445217</v>
      </c>
      <c r="L145" s="102">
        <f t="shared" si="64"/>
        <v>1</v>
      </c>
      <c r="M145" s="103">
        <f t="shared" si="65"/>
        <v>3.3583107065712751E-10</v>
      </c>
      <c r="N145" s="101">
        <f t="shared" si="66"/>
        <v>1</v>
      </c>
      <c r="O145" s="104">
        <f t="shared" si="67"/>
        <v>4.4777476087616996E-11</v>
      </c>
      <c r="P145" s="105">
        <f t="shared" ca="1" si="68"/>
        <v>1.0906487542339869</v>
      </c>
      <c r="Q145" s="106">
        <f t="shared" ca="1" si="69"/>
        <v>0.42585521225322748</v>
      </c>
      <c r="R145" s="107">
        <f t="shared" ca="1" si="70"/>
        <v>-1.4934040668391082</v>
      </c>
      <c r="S145" s="108">
        <f t="shared" ca="1" si="71"/>
        <v>-128.0921098885479</v>
      </c>
      <c r="T145" s="116">
        <f t="shared" ca="1" si="72"/>
        <v>51.907890111452105</v>
      </c>
      <c r="V145" s="72">
        <f t="shared" ca="1" si="73"/>
        <v>8222.9500000000007</v>
      </c>
      <c r="W145" s="72">
        <f t="shared" si="74"/>
        <v>67616906.702500015</v>
      </c>
      <c r="Y145" s="110">
        <f t="shared" si="75"/>
        <v>44.993071163497653</v>
      </c>
      <c r="Z145" s="111">
        <f t="shared" si="76"/>
        <v>-27.466430258120827</v>
      </c>
      <c r="AA145" s="72">
        <f t="shared" si="77"/>
        <v>152.53356974187918</v>
      </c>
      <c r="AB145" s="110">
        <f t="shared" ca="1" si="78"/>
        <v>-28.985249962502767</v>
      </c>
      <c r="AC145" s="111">
        <f t="shared" ca="1" si="79"/>
        <v>-100.62567963042711</v>
      </c>
      <c r="AD145" s="72">
        <f t="shared" ca="1" si="80"/>
        <v>79.374320369572885</v>
      </c>
    </row>
    <row r="146" spans="1:30">
      <c r="A146" s="118">
        <v>8270.2750000000015</v>
      </c>
      <c r="B146" s="101">
        <f t="shared" ca="1" si="54"/>
        <v>461.06202031140884</v>
      </c>
      <c r="C146" s="102">
        <f t="shared" ca="1" si="55"/>
        <v>1.5686274194896463</v>
      </c>
      <c r="D146" s="102">
        <f t="shared" si="56"/>
        <v>1.029392018024136</v>
      </c>
      <c r="E146" s="103">
        <f t="shared" si="57"/>
        <v>0.23954003828386289</v>
      </c>
      <c r="F146" s="101">
        <f t="shared" si="58"/>
        <v>2826.8238415754518</v>
      </c>
      <c r="G146" s="104">
        <f t="shared" si="59"/>
        <v>1.5704425728728624</v>
      </c>
      <c r="H146" s="113">
        <f t="shared" si="60"/>
        <v>353.35437310022502</v>
      </c>
      <c r="I146" s="114">
        <f t="shared" si="61"/>
        <v>1.5679663028558499</v>
      </c>
      <c r="J146" s="101">
        <f t="shared" si="62"/>
        <v>1.1269526623496737</v>
      </c>
      <c r="K146" s="104">
        <f t="shared" si="63"/>
        <v>0.4792332789632357</v>
      </c>
      <c r="L146" s="102">
        <f t="shared" si="64"/>
        <v>1</v>
      </c>
      <c r="M146" s="103">
        <f t="shared" si="65"/>
        <v>3.3776385699522378E-10</v>
      </c>
      <c r="N146" s="101">
        <f t="shared" si="66"/>
        <v>1</v>
      </c>
      <c r="O146" s="104">
        <f t="shared" si="67"/>
        <v>4.5035180932696498E-11</v>
      </c>
      <c r="P146" s="105">
        <f t="shared" ca="1" si="68"/>
        <v>1.0916514641166204</v>
      </c>
      <c r="Q146" s="106">
        <f t="shared" ca="1" si="69"/>
        <v>0.42804790476202276</v>
      </c>
      <c r="R146" s="107">
        <f t="shared" ca="1" si="70"/>
        <v>-1.5589915189461769</v>
      </c>
      <c r="S146" s="108">
        <f t="shared" ca="1" si="71"/>
        <v>-128.2763601569919</v>
      </c>
      <c r="T146" s="116">
        <f t="shared" ca="1" si="72"/>
        <v>51.723639843008101</v>
      </c>
      <c r="V146" s="72">
        <f t="shared" ca="1" si="73"/>
        <v>8270.2750000000015</v>
      </c>
      <c r="W146" s="72">
        <f t="shared" si="74"/>
        <v>68397448.575625017</v>
      </c>
      <c r="Y146" s="110">
        <f t="shared" si="75"/>
        <v>44.982520674879567</v>
      </c>
      <c r="Z146" s="111">
        <f t="shared" si="76"/>
        <v>-27.599924122484026</v>
      </c>
      <c r="AA146" s="72">
        <f t="shared" si="77"/>
        <v>152.40007587751597</v>
      </c>
      <c r="AB146" s="110">
        <f t="shared" ca="1" si="78"/>
        <v>-29.040286925991747</v>
      </c>
      <c r="AC146" s="111">
        <f t="shared" ca="1" si="79"/>
        <v>-100.67643603450787</v>
      </c>
      <c r="AD146" s="72">
        <f t="shared" ca="1" si="80"/>
        <v>79.323563965492127</v>
      </c>
    </row>
    <row r="147" spans="1:30">
      <c r="A147" s="118">
        <v>8317.6</v>
      </c>
      <c r="B147" s="101">
        <f t="shared" ca="1" si="54"/>
        <v>463.70034343364904</v>
      </c>
      <c r="C147" s="102">
        <f t="shared" ca="1" si="55"/>
        <v>1.5686397599747697</v>
      </c>
      <c r="D147" s="102">
        <f t="shared" si="56"/>
        <v>1.0297244906609253</v>
      </c>
      <c r="E147" s="103">
        <f t="shared" si="57"/>
        <v>0.24085849730438949</v>
      </c>
      <c r="F147" s="101">
        <f t="shared" si="58"/>
        <v>2842.9997754602109</v>
      </c>
      <c r="G147" s="104">
        <f t="shared" si="59"/>
        <v>1.5704445856413263</v>
      </c>
      <c r="H147" s="113">
        <f t="shared" si="60"/>
        <v>355.3763569105912</v>
      </c>
      <c r="I147" s="114">
        <f t="shared" si="61"/>
        <v>1.5679824048773348</v>
      </c>
      <c r="J147" s="101">
        <f t="shared" si="62"/>
        <v>1.1283268332289353</v>
      </c>
      <c r="K147" s="104">
        <f t="shared" si="63"/>
        <v>0.48157174085015059</v>
      </c>
      <c r="L147" s="102">
        <f t="shared" si="64"/>
        <v>1</v>
      </c>
      <c r="M147" s="103">
        <f t="shared" si="65"/>
        <v>3.3969664333332001E-10</v>
      </c>
      <c r="N147" s="101">
        <f t="shared" si="66"/>
        <v>1</v>
      </c>
      <c r="O147" s="104">
        <f t="shared" si="67"/>
        <v>4.5292885777775994E-11</v>
      </c>
      <c r="P147" s="105">
        <f t="shared" ca="1" si="68"/>
        <v>1.0926590057932877</v>
      </c>
      <c r="Q147" s="106">
        <f t="shared" ca="1" si="69"/>
        <v>0.43023673336097668</v>
      </c>
      <c r="R147" s="107">
        <f t="shared" ca="1" si="70"/>
        <v>-1.6243461775064818</v>
      </c>
      <c r="S147" s="108">
        <f t="shared" ca="1" si="71"/>
        <v>-128.46011246021885</v>
      </c>
      <c r="T147" s="116">
        <f t="shared" ca="1" si="72"/>
        <v>51.539887539781148</v>
      </c>
      <c r="V147" s="72">
        <f t="shared" ca="1" si="73"/>
        <v>8317.6</v>
      </c>
      <c r="W147" s="72">
        <f t="shared" si="74"/>
        <v>69182469.760000005</v>
      </c>
      <c r="Y147" s="110">
        <f t="shared" si="75"/>
        <v>44.971935435925346</v>
      </c>
      <c r="Z147" s="111">
        <f t="shared" si="76"/>
        <v>-27.733100864478068</v>
      </c>
      <c r="AA147" s="72">
        <f t="shared" si="77"/>
        <v>152.26689913552192</v>
      </c>
      <c r="AB147" s="110">
        <f t="shared" ca="1" si="78"/>
        <v>-29.095056345597825</v>
      </c>
      <c r="AC147" s="111">
        <f t="shared" ca="1" si="79"/>
        <v>-100.72701159574085</v>
      </c>
      <c r="AD147" s="72">
        <f t="shared" ca="1" si="80"/>
        <v>79.272988404259152</v>
      </c>
    </row>
    <row r="148" spans="1:30">
      <c r="A148" s="118">
        <v>8366.0499999999993</v>
      </c>
      <c r="B148" s="101">
        <f t="shared" ca="1" si="54"/>
        <v>466.40138429355198</v>
      </c>
      <c r="C148" s="102">
        <f t="shared" ca="1" si="55"/>
        <v>1.5686522491830919</v>
      </c>
      <c r="D148" s="102">
        <f t="shared" si="56"/>
        <v>1.0300667198929763</v>
      </c>
      <c r="E148" s="103">
        <f t="shared" si="57"/>
        <v>0.24220741434474891</v>
      </c>
      <c r="F148" s="101">
        <f t="shared" si="58"/>
        <v>2859.560240273202</v>
      </c>
      <c r="G148" s="104">
        <f t="shared" si="59"/>
        <v>1.5704466226668639</v>
      </c>
      <c r="H148" s="113">
        <f t="shared" si="60"/>
        <v>357.44640699147413</v>
      </c>
      <c r="I148" s="114">
        <f t="shared" si="61"/>
        <v>1.5679987009553487</v>
      </c>
      <c r="J148" s="101">
        <f t="shared" si="62"/>
        <v>1.1297400467588463</v>
      </c>
      <c r="K148" s="104">
        <f t="shared" si="63"/>
        <v>0.48395988546369717</v>
      </c>
      <c r="L148" s="102">
        <f t="shared" si="64"/>
        <v>1</v>
      </c>
      <c r="M148" s="103">
        <f t="shared" si="65"/>
        <v>3.4167537546392247E-10</v>
      </c>
      <c r="N148" s="101">
        <f t="shared" si="66"/>
        <v>1</v>
      </c>
      <c r="O148" s="104">
        <f t="shared" si="67"/>
        <v>4.5556716728522988E-11</v>
      </c>
      <c r="P148" s="105">
        <f t="shared" ca="1" si="68"/>
        <v>1.0936954901470086</v>
      </c>
      <c r="Q148" s="106">
        <f t="shared" ca="1" si="69"/>
        <v>0.43247358339183289</v>
      </c>
      <c r="R148" s="107">
        <f t="shared" ca="1" si="70"/>
        <v>-1.6910161361671714</v>
      </c>
      <c r="S148" s="108">
        <f t="shared" ca="1" si="71"/>
        <v>-128.64771647580358</v>
      </c>
      <c r="T148" s="116">
        <f t="shared" ca="1" si="72"/>
        <v>51.352283524196423</v>
      </c>
      <c r="V148" s="72">
        <f t="shared" ca="1" si="73"/>
        <v>8366.0499999999993</v>
      </c>
      <c r="W148" s="72">
        <f t="shared" si="74"/>
        <v>69990792.602499992</v>
      </c>
      <c r="Y148" s="110">
        <f t="shared" si="75"/>
        <v>44.961062897247892</v>
      </c>
      <c r="Z148" s="111">
        <f t="shared" si="76"/>
        <v>-27.869114488231588</v>
      </c>
      <c r="AA148" s="72">
        <f t="shared" si="77"/>
        <v>152.13088551176841</v>
      </c>
      <c r="AB148" s="110">
        <f t="shared" ca="1" si="78"/>
        <v>-29.150853765581065</v>
      </c>
      <c r="AC148" s="111">
        <f t="shared" ca="1" si="79"/>
        <v>-100.778601987572</v>
      </c>
      <c r="AD148" s="72">
        <f t="shared" ca="1" si="80"/>
        <v>79.221398012427997</v>
      </c>
    </row>
    <row r="149" spans="1:30">
      <c r="A149" s="119">
        <v>8414.5</v>
      </c>
      <c r="B149" s="101">
        <f t="shared" ca="1" si="54"/>
        <v>469.10242522536674</v>
      </c>
      <c r="C149" s="102">
        <f t="shared" ca="1" si="55"/>
        <v>1.5686645945683997</v>
      </c>
      <c r="D149" s="102">
        <f t="shared" si="56"/>
        <v>1.0304108221639288</v>
      </c>
      <c r="E149" s="103">
        <f t="shared" si="57"/>
        <v>0.24355543290384171</v>
      </c>
      <c r="F149" s="101">
        <f t="shared" si="58"/>
        <v>2876.1207050979224</v>
      </c>
      <c r="G149" s="104">
        <f t="shared" si="59"/>
        <v>1.5704486362343524</v>
      </c>
      <c r="H149" s="113">
        <f t="shared" si="60"/>
        <v>359.51645716618822</v>
      </c>
      <c r="I149" s="114">
        <f t="shared" si="61"/>
        <v>1.5680148093718649</v>
      </c>
      <c r="J149" s="101">
        <f t="shared" si="62"/>
        <v>1.1311596873404377</v>
      </c>
      <c r="K149" s="104">
        <f t="shared" si="63"/>
        <v>0.48634204924343571</v>
      </c>
      <c r="L149" s="102">
        <f t="shared" si="64"/>
        <v>1</v>
      </c>
      <c r="M149" s="103">
        <f t="shared" si="65"/>
        <v>3.4365410759452497E-10</v>
      </c>
      <c r="N149" s="101">
        <f t="shared" si="66"/>
        <v>1</v>
      </c>
      <c r="O149" s="104">
        <f t="shared" si="67"/>
        <v>4.5820547679269994E-11</v>
      </c>
      <c r="P149" s="105">
        <f t="shared" ca="1" si="68"/>
        <v>1.0947370106099219</v>
      </c>
      <c r="Q149" s="106">
        <f t="shared" ca="1" si="69"/>
        <v>0.43470636721807482</v>
      </c>
      <c r="R149" s="107">
        <f t="shared" ca="1" si="70"/>
        <v>-1.7574478603373167</v>
      </c>
      <c r="S149" s="108">
        <f t="shared" ca="1" si="71"/>
        <v>-128.83479748538687</v>
      </c>
      <c r="T149" s="116">
        <f t="shared" ca="1" si="72"/>
        <v>51.165202514613128</v>
      </c>
      <c r="V149" s="72">
        <f t="shared" ca="1" si="73"/>
        <v>8414.5</v>
      </c>
      <c r="W149" s="72">
        <f t="shared" si="74"/>
        <v>70803810.25</v>
      </c>
      <c r="Y149" s="110">
        <f t="shared" si="75"/>
        <v>44.950154605137627</v>
      </c>
      <c r="Z149" s="111">
        <f t="shared" si="76"/>
        <v>-28.004794843614164</v>
      </c>
      <c r="AA149" s="72">
        <f t="shared" si="77"/>
        <v>151.99520515638585</v>
      </c>
      <c r="AB149" s="110">
        <f t="shared" ca="1" si="78"/>
        <v>-29.206377197640943</v>
      </c>
      <c r="AC149" s="111">
        <f t="shared" ca="1" si="79"/>
        <v>-100.83000264177275</v>
      </c>
      <c r="AD149" s="72">
        <f t="shared" ca="1" si="80"/>
        <v>79.169997358227249</v>
      </c>
    </row>
    <row r="150" spans="1:30">
      <c r="A150" s="119">
        <v>8462.9500000000007</v>
      </c>
      <c r="B150" s="101">
        <f t="shared" ca="1" si="54"/>
        <v>471.80346622785805</v>
      </c>
      <c r="C150" s="102">
        <f t="shared" ca="1" si="55"/>
        <v>1.5686767986008185</v>
      </c>
      <c r="D150" s="102">
        <f t="shared" si="56"/>
        <v>1.0307567955979269</v>
      </c>
      <c r="E150" s="103">
        <f t="shared" si="57"/>
        <v>0.2449025489848482</v>
      </c>
      <c r="F150" s="101">
        <f t="shared" si="58"/>
        <v>2892.6811699341702</v>
      </c>
      <c r="G150" s="104">
        <f t="shared" si="59"/>
        <v>1.5704506267466811</v>
      </c>
      <c r="H150" s="113">
        <f t="shared" si="60"/>
        <v>361.58650743312194</v>
      </c>
      <c r="I150" s="114">
        <f t="shared" si="61"/>
        <v>1.5680307333499108</v>
      </c>
      <c r="J150" s="101">
        <f t="shared" si="62"/>
        <v>1.132585730805729</v>
      </c>
      <c r="K150" s="104">
        <f t="shared" si="63"/>
        <v>0.48871822769415663</v>
      </c>
      <c r="L150" s="102">
        <f t="shared" si="64"/>
        <v>1</v>
      </c>
      <c r="M150" s="103">
        <f t="shared" si="65"/>
        <v>3.4563283972512753E-10</v>
      </c>
      <c r="N150" s="101">
        <f t="shared" si="66"/>
        <v>1</v>
      </c>
      <c r="O150" s="104">
        <f t="shared" si="67"/>
        <v>4.6084378630017E-11</v>
      </c>
      <c r="P150" s="105">
        <f t="shared" ca="1" si="68"/>
        <v>1.0957835529263622</v>
      </c>
      <c r="Q150" s="106">
        <f t="shared" ca="1" si="69"/>
        <v>0.43693507680804683</v>
      </c>
      <c r="R150" s="107">
        <f t="shared" ca="1" si="70"/>
        <v>-1.8236441770764131</v>
      </c>
      <c r="S150" s="108">
        <f t="shared" ca="1" si="71"/>
        <v>-129.02135498017896</v>
      </c>
      <c r="T150" s="116">
        <f t="shared" ca="1" si="72"/>
        <v>50.978645019821045</v>
      </c>
      <c r="V150" s="72">
        <f t="shared" ca="1" si="73"/>
        <v>8462.9500000000007</v>
      </c>
      <c r="W150" s="72">
        <f t="shared" si="74"/>
        <v>71621522.702500015</v>
      </c>
      <c r="Y150" s="110">
        <f t="shared" si="75"/>
        <v>44.939210896428357</v>
      </c>
      <c r="Z150" s="111">
        <f t="shared" si="76"/>
        <v>-28.140141511487215</v>
      </c>
      <c r="AA150" s="72">
        <f t="shared" si="77"/>
        <v>151.85985848851277</v>
      </c>
      <c r="AB150" s="110">
        <f t="shared" ca="1" si="78"/>
        <v>-29.261629805670772</v>
      </c>
      <c r="AC150" s="111">
        <f t="shared" ca="1" si="79"/>
        <v>-100.88121346869177</v>
      </c>
      <c r="AD150" s="72">
        <f t="shared" ca="1" si="80"/>
        <v>79.118786531308231</v>
      </c>
    </row>
    <row r="151" spans="1:30">
      <c r="A151" s="119">
        <v>8511.4</v>
      </c>
      <c r="B151" s="101">
        <f t="shared" ca="1" si="54"/>
        <v>474.5045072998189</v>
      </c>
      <c r="C151" s="102">
        <f t="shared" ca="1" si="55"/>
        <v>1.5686888636942311</v>
      </c>
      <c r="D151" s="102">
        <f t="shared" si="56"/>
        <v>1.0311046383114397</v>
      </c>
      <c r="E151" s="103">
        <f t="shared" si="57"/>
        <v>0.2462487586094004</v>
      </c>
      <c r="F151" s="101">
        <f t="shared" si="58"/>
        <v>2909.2416347817484</v>
      </c>
      <c r="G151" s="104">
        <f t="shared" si="59"/>
        <v>1.5704525945975651</v>
      </c>
      <c r="H151" s="113">
        <f t="shared" si="60"/>
        <v>363.65655779070033</v>
      </c>
      <c r="I151" s="114">
        <f t="shared" si="61"/>
        <v>1.5680464760391279</v>
      </c>
      <c r="J151" s="101">
        <f t="shared" si="62"/>
        <v>1.1340181529995768</v>
      </c>
      <c r="K151" s="104">
        <f t="shared" si="63"/>
        <v>0.49108841661356478</v>
      </c>
      <c r="L151" s="102">
        <f t="shared" si="64"/>
        <v>1</v>
      </c>
      <c r="M151" s="103">
        <f t="shared" si="65"/>
        <v>3.4761157185572999E-10</v>
      </c>
      <c r="N151" s="101">
        <f t="shared" si="66"/>
        <v>1</v>
      </c>
      <c r="O151" s="104">
        <f t="shared" si="67"/>
        <v>4.6348209580763993E-11</v>
      </c>
      <c r="P151" s="105">
        <f t="shared" ca="1" si="68"/>
        <v>1.0968351028265668</v>
      </c>
      <c r="Q151" s="106">
        <f t="shared" ca="1" si="69"/>
        <v>0.43915970430947893</v>
      </c>
      <c r="R151" s="107">
        <f t="shared" ca="1" si="70"/>
        <v>-1.8896078574248942</v>
      </c>
      <c r="S151" s="108">
        <f t="shared" ca="1" si="71"/>
        <v>-129.20738847785009</v>
      </c>
      <c r="T151" s="116">
        <f t="shared" ca="1" si="72"/>
        <v>50.792611522149912</v>
      </c>
      <c r="V151" s="72">
        <f t="shared" ca="1" si="73"/>
        <v>8511.4</v>
      </c>
      <c r="W151" s="72">
        <f t="shared" si="74"/>
        <v>72443929.959999993</v>
      </c>
      <c r="Y151" s="110">
        <f t="shared" si="75"/>
        <v>44.928232106958099</v>
      </c>
      <c r="Z151" s="111">
        <f t="shared" si="76"/>
        <v>-28.275154093174031</v>
      </c>
      <c r="AA151" s="72">
        <f t="shared" si="77"/>
        <v>151.72484590682598</v>
      </c>
      <c r="AB151" s="110">
        <f t="shared" ca="1" si="78"/>
        <v>-29.316614696548989</v>
      </c>
      <c r="AC151" s="111">
        <f t="shared" ca="1" si="79"/>
        <v>-100.93223438467609</v>
      </c>
      <c r="AD151" s="72">
        <f t="shared" ca="1" si="80"/>
        <v>79.067765615323907</v>
      </c>
    </row>
    <row r="152" spans="1:30">
      <c r="A152" s="119">
        <v>8560.9500000000007</v>
      </c>
      <c r="B152" s="101">
        <f t="shared" ca="1" si="54"/>
        <v>477.26687238831045</v>
      </c>
      <c r="C152" s="102">
        <f t="shared" ca="1" si="55"/>
        <v>1.5687010614631847</v>
      </c>
      <c r="D152" s="102">
        <f t="shared" si="56"/>
        <v>1.0314623098328011</v>
      </c>
      <c r="E152" s="103">
        <f t="shared" si="57"/>
        <v>0.24762459064600731</v>
      </c>
      <c r="F152" s="101">
        <f t="shared" si="58"/>
        <v>2926.1780854268595</v>
      </c>
      <c r="G152" s="104">
        <f t="shared" si="59"/>
        <v>1.5704545840881061</v>
      </c>
      <c r="H152" s="113">
        <f t="shared" si="60"/>
        <v>365.77360628776415</v>
      </c>
      <c r="I152" s="114">
        <f t="shared" si="61"/>
        <v>1.5680623918456709</v>
      </c>
      <c r="J152" s="101">
        <f t="shared" si="62"/>
        <v>1.1354896690932739</v>
      </c>
      <c r="K152" s="104">
        <f t="shared" si="63"/>
        <v>0.49350621874374512</v>
      </c>
      <c r="L152" s="102">
        <f t="shared" si="64"/>
        <v>1</v>
      </c>
      <c r="M152" s="103">
        <f t="shared" si="65"/>
        <v>3.4963522876122749E-10</v>
      </c>
      <c r="N152" s="101">
        <f t="shared" si="66"/>
        <v>1</v>
      </c>
      <c r="O152" s="104">
        <f t="shared" si="67"/>
        <v>4.6618030501496997E-11</v>
      </c>
      <c r="P152" s="105">
        <f t="shared" ca="1" si="68"/>
        <v>1.0979156914508743</v>
      </c>
      <c r="Q152" s="106">
        <f t="shared" ca="1" si="69"/>
        <v>0.44143060919446359</v>
      </c>
      <c r="R152" s="107">
        <f t="shared" ca="1" si="70"/>
        <v>-1.956831376746645</v>
      </c>
      <c r="S152" s="108">
        <f t="shared" ca="1" si="71"/>
        <v>-129.3971031938417</v>
      </c>
      <c r="T152" s="116">
        <f t="shared" ca="1" si="72"/>
        <v>50.602896806158299</v>
      </c>
      <c r="V152" s="72">
        <f t="shared" ca="1" si="73"/>
        <v>8560.9500000000007</v>
      </c>
      <c r="W152" s="72">
        <f t="shared" si="74"/>
        <v>73289864.902500018</v>
      </c>
      <c r="Y152" s="110">
        <f t="shared" si="75"/>
        <v>44.916968121469331</v>
      </c>
      <c r="Z152" s="111">
        <f t="shared" si="76"/>
        <v>-28.412886031856921</v>
      </c>
      <c r="AA152" s="72">
        <f t="shared" si="77"/>
        <v>151.58711396814309</v>
      </c>
      <c r="AB152" s="110">
        <f t="shared" ca="1" si="78"/>
        <v>-29.372574230381975</v>
      </c>
      <c r="AC152" s="111">
        <f t="shared" ca="1" si="79"/>
        <v>-100.98421716198482</v>
      </c>
      <c r="AD152" s="72">
        <f t="shared" ca="1" si="80"/>
        <v>79.015782838015184</v>
      </c>
    </row>
    <row r="153" spans="1:30">
      <c r="A153" s="119">
        <v>8610.5</v>
      </c>
      <c r="B153" s="101">
        <f t="shared" ca="1" si="54"/>
        <v>480.02923754699492</v>
      </c>
      <c r="C153" s="102">
        <f t="shared" ca="1" si="55"/>
        <v>1.5687131188461412</v>
      </c>
      <c r="D153" s="102">
        <f t="shared" si="56"/>
        <v>1.0318219324676299</v>
      </c>
      <c r="E153" s="103">
        <f t="shared" si="57"/>
        <v>0.24899946624151645</v>
      </c>
      <c r="F153" s="101">
        <f t="shared" si="58"/>
        <v>2943.1145360834184</v>
      </c>
      <c r="G153" s="104">
        <f t="shared" si="59"/>
        <v>1.5704565506811976</v>
      </c>
      <c r="H153" s="113">
        <f t="shared" si="60"/>
        <v>367.89065487641665</v>
      </c>
      <c r="I153" s="114">
        <f t="shared" si="61"/>
        <v>1.5680781244753126</v>
      </c>
      <c r="J153" s="101">
        <f t="shared" si="62"/>
        <v>1.1369678057906516</v>
      </c>
      <c r="K153" s="104">
        <f t="shared" si="63"/>
        <v>0.49591774832108104</v>
      </c>
      <c r="L153" s="102">
        <f t="shared" si="64"/>
        <v>1</v>
      </c>
      <c r="M153" s="103">
        <f t="shared" si="65"/>
        <v>3.51658885666725E-10</v>
      </c>
      <c r="N153" s="101">
        <f t="shared" si="66"/>
        <v>1</v>
      </c>
      <c r="O153" s="104">
        <f t="shared" si="67"/>
        <v>4.6887851422229994E-11</v>
      </c>
      <c r="P153" s="105">
        <f t="shared" ca="1" si="68"/>
        <v>1.0990014873916658</v>
      </c>
      <c r="Q153" s="106">
        <f t="shared" ca="1" si="69"/>
        <v>0.44369722848716381</v>
      </c>
      <c r="R153" s="107">
        <f t="shared" ca="1" si="70"/>
        <v>-2.0238172650297721</v>
      </c>
      <c r="S153" s="108">
        <f t="shared" ca="1" si="71"/>
        <v>-129.58626891252655</v>
      </c>
      <c r="T153" s="116">
        <f t="shared" ca="1" si="72"/>
        <v>50.413731087473451</v>
      </c>
      <c r="V153" s="72">
        <f t="shared" ca="1" si="73"/>
        <v>8610.5</v>
      </c>
      <c r="W153" s="72">
        <f t="shared" si="74"/>
        <v>74140710.25</v>
      </c>
      <c r="Y153" s="110">
        <f t="shared" si="75"/>
        <v>44.90566815142892</v>
      </c>
      <c r="Z153" s="111">
        <f t="shared" si="76"/>
        <v>-28.550267763070774</v>
      </c>
      <c r="AA153" s="72">
        <f t="shared" si="77"/>
        <v>151.44973223692924</v>
      </c>
      <c r="AB153" s="110">
        <f t="shared" ca="1" si="78"/>
        <v>-29.428260148624695</v>
      </c>
      <c r="AC153" s="111">
        <f t="shared" ca="1" si="79"/>
        <v>-101.03600114945579</v>
      </c>
      <c r="AD153" s="72">
        <f t="shared" ca="1" si="80"/>
        <v>78.963998850544215</v>
      </c>
    </row>
    <row r="154" spans="1:30">
      <c r="A154" s="119">
        <v>8660.0499999999993</v>
      </c>
      <c r="B154" s="101">
        <f t="shared" ca="1" si="54"/>
        <v>482.79160277466775</v>
      </c>
      <c r="C154" s="102">
        <f t="shared" ca="1" si="55"/>
        <v>1.5687250382528164</v>
      </c>
      <c r="D154" s="102">
        <f t="shared" si="56"/>
        <v>1.0321835041765659</v>
      </c>
      <c r="E154" s="103">
        <f t="shared" si="57"/>
        <v>0.2503733812005467</v>
      </c>
      <c r="F154" s="101">
        <f t="shared" si="58"/>
        <v>2960.0509867512301</v>
      </c>
      <c r="G154" s="104">
        <f t="shared" si="59"/>
        <v>1.570458494769875</v>
      </c>
      <c r="H154" s="113">
        <f t="shared" si="60"/>
        <v>370.00770355508587</v>
      </c>
      <c r="I154" s="114">
        <f t="shared" si="61"/>
        <v>1.5680936770722589</v>
      </c>
      <c r="J154" s="101">
        <f t="shared" si="62"/>
        <v>1.1384525373036598</v>
      </c>
      <c r="K154" s="104">
        <f t="shared" si="63"/>
        <v>0.49832300178423067</v>
      </c>
      <c r="L154" s="102">
        <f t="shared" si="64"/>
        <v>1</v>
      </c>
      <c r="M154" s="103">
        <f t="shared" si="65"/>
        <v>3.5368254257222245E-10</v>
      </c>
      <c r="N154" s="101">
        <f t="shared" si="66"/>
        <v>1</v>
      </c>
      <c r="O154" s="104">
        <f t="shared" si="67"/>
        <v>4.7157672342962991E-11</v>
      </c>
      <c r="P154" s="105">
        <f t="shared" ca="1" si="68"/>
        <v>1.1000924753439467</v>
      </c>
      <c r="Q154" s="106">
        <f t="shared" ca="1" si="69"/>
        <v>0.44595955436481244</v>
      </c>
      <c r="R154" s="107">
        <f t="shared" ca="1" si="70"/>
        <v>-2.0905683131250141</v>
      </c>
      <c r="S154" s="108">
        <f t="shared" ca="1" si="71"/>
        <v>-129.774885202457</v>
      </c>
      <c r="T154" s="116">
        <f t="shared" ca="1" si="72"/>
        <v>50.225114797543</v>
      </c>
      <c r="V154" s="72">
        <f t="shared" ca="1" si="73"/>
        <v>8660.0499999999993</v>
      </c>
      <c r="W154" s="72">
        <f t="shared" si="74"/>
        <v>74996466.002499983</v>
      </c>
      <c r="Y154" s="110">
        <f t="shared" si="75"/>
        <v>44.894332552717131</v>
      </c>
      <c r="Z154" s="111">
        <f t="shared" si="76"/>
        <v>-28.687298925135305</v>
      </c>
      <c r="AA154" s="72">
        <f t="shared" si="77"/>
        <v>151.31270107486469</v>
      </c>
      <c r="AB154" s="110">
        <f t="shared" ca="1" si="78"/>
        <v>-29.483675598008144</v>
      </c>
      <c r="AC154" s="111">
        <f t="shared" ca="1" si="79"/>
        <v>-101.08758627732171</v>
      </c>
      <c r="AD154" s="72">
        <f t="shared" ca="1" si="80"/>
        <v>78.912413722678295</v>
      </c>
    </row>
    <row r="155" spans="1:30">
      <c r="A155" s="119">
        <v>8709.6</v>
      </c>
      <c r="B155" s="101">
        <f t="shared" ca="1" si="54"/>
        <v>485.55396807015148</v>
      </c>
      <c r="C155" s="102">
        <f t="shared" ca="1" si="55"/>
        <v>1.5687368220380897</v>
      </c>
      <c r="D155" s="102">
        <f t="shared" si="56"/>
        <v>1.032547022912061</v>
      </c>
      <c r="E155" s="103">
        <f t="shared" si="57"/>
        <v>0.25174633134808433</v>
      </c>
      <c r="F155" s="101">
        <f t="shared" si="58"/>
        <v>2976.9874374301021</v>
      </c>
      <c r="G155" s="104">
        <f t="shared" si="59"/>
        <v>1.570460416738229</v>
      </c>
      <c r="H155" s="113">
        <f t="shared" si="60"/>
        <v>372.12475232223551</v>
      </c>
      <c r="I155" s="114">
        <f t="shared" si="61"/>
        <v>1.5681090527091655</v>
      </c>
      <c r="J155" s="101">
        <f t="shared" si="62"/>
        <v>1.1399438378638431</v>
      </c>
      <c r="K155" s="104">
        <f t="shared" si="63"/>
        <v>0.50072197588083389</v>
      </c>
      <c r="L155" s="102">
        <f t="shared" si="64"/>
        <v>1</v>
      </c>
      <c r="M155" s="103">
        <f t="shared" si="65"/>
        <v>3.5570619947772001E-10</v>
      </c>
      <c r="N155" s="101">
        <f t="shared" si="66"/>
        <v>1</v>
      </c>
      <c r="O155" s="104">
        <f t="shared" si="67"/>
        <v>4.7427493263695995E-11</v>
      </c>
      <c r="P155" s="105">
        <f t="shared" ca="1" si="68"/>
        <v>1.1011886399904485</v>
      </c>
      <c r="Q155" s="106">
        <f t="shared" ca="1" si="69"/>
        <v>0.44821757919704563</v>
      </c>
      <c r="R155" s="107">
        <f t="shared" ca="1" si="70"/>
        <v>-2.1570872562474857</v>
      </c>
      <c r="S155" s="108">
        <f t="shared" ca="1" si="71"/>
        <v>-129.96295166019078</v>
      </c>
      <c r="T155" s="116">
        <f t="shared" ca="1" si="72"/>
        <v>50.037048339809218</v>
      </c>
      <c r="V155" s="72">
        <f t="shared" ca="1" si="73"/>
        <v>8709.6</v>
      </c>
      <c r="W155" s="72">
        <f t="shared" si="74"/>
        <v>75857132.160000011</v>
      </c>
      <c r="Y155" s="110">
        <f t="shared" si="75"/>
        <v>44.882961680042818</v>
      </c>
      <c r="Z155" s="111">
        <f t="shared" si="76"/>
        <v>-28.823979177660526</v>
      </c>
      <c r="AA155" s="72">
        <f t="shared" si="77"/>
        <v>151.17602082233947</v>
      </c>
      <c r="AB155" s="110">
        <f t="shared" ca="1" si="78"/>
        <v>-29.538823668456295</v>
      </c>
      <c r="AC155" s="111">
        <f t="shared" ca="1" si="79"/>
        <v>-101.13897248253021</v>
      </c>
      <c r="AD155" s="72">
        <f t="shared" ca="1" si="80"/>
        <v>78.861027517469793</v>
      </c>
    </row>
    <row r="156" spans="1:30">
      <c r="A156" s="119">
        <v>8760.3250000000007</v>
      </c>
      <c r="B156" s="101">
        <f t="shared" ca="1" si="54"/>
        <v>488.38183856529525</v>
      </c>
      <c r="C156" s="102">
        <f t="shared" ca="1" si="55"/>
        <v>1.5687487471762487</v>
      </c>
      <c r="D156" s="102">
        <f t="shared" si="56"/>
        <v>1.0329211766040107</v>
      </c>
      <c r="E156" s="103">
        <f t="shared" si="57"/>
        <v>0.25315083510151509</v>
      </c>
      <c r="F156" s="101">
        <f t="shared" si="58"/>
        <v>2994.3255093018229</v>
      </c>
      <c r="G156" s="104">
        <f t="shared" si="59"/>
        <v>1.5704623617615419</v>
      </c>
      <c r="H156" s="113">
        <f t="shared" si="60"/>
        <v>374.29200364771231</v>
      </c>
      <c r="I156" s="114">
        <f t="shared" si="61"/>
        <v>1.5681246127856971</v>
      </c>
      <c r="J156" s="101">
        <f t="shared" si="62"/>
        <v>1.1414772799364867</v>
      </c>
      <c r="K156" s="104">
        <f t="shared" si="63"/>
        <v>0.50317133029551286</v>
      </c>
      <c r="L156" s="102">
        <f t="shared" si="64"/>
        <v>1</v>
      </c>
      <c r="M156" s="103">
        <f t="shared" si="65"/>
        <v>3.5777784421094626E-10</v>
      </c>
      <c r="N156" s="101">
        <f t="shared" si="66"/>
        <v>1</v>
      </c>
      <c r="O156" s="104">
        <f t="shared" si="67"/>
        <v>4.7703712561459495E-11</v>
      </c>
      <c r="P156" s="105">
        <f t="shared" ca="1" si="68"/>
        <v>1.102316144731978</v>
      </c>
      <c r="Q156" s="106">
        <f t="shared" ca="1" si="69"/>
        <v>0.45052468651342598</v>
      </c>
      <c r="R156" s="107">
        <f t="shared" ca="1" si="70"/>
        <v>-2.2249459634658448</v>
      </c>
      <c r="S156" s="108">
        <f t="shared" ca="1" si="71"/>
        <v>-130.15490788052992</v>
      </c>
      <c r="T156" s="116">
        <f t="shared" ca="1" si="72"/>
        <v>49.845092119470081</v>
      </c>
      <c r="V156" s="72">
        <f t="shared" ca="1" si="73"/>
        <v>8760.3250000000007</v>
      </c>
      <c r="W156" s="72">
        <f t="shared" si="74"/>
        <v>76743294.105625018</v>
      </c>
      <c r="Y156" s="110">
        <f t="shared" si="75"/>
        <v>44.871284995579252</v>
      </c>
      <c r="Z156" s="111">
        <f t="shared" si="76"/>
        <v>-28.963536763122686</v>
      </c>
      <c r="AA156" s="72">
        <f t="shared" si="77"/>
        <v>151.03646323687732</v>
      </c>
      <c r="AB156" s="110">
        <f t="shared" ca="1" si="78"/>
        <v>-29.595005691211096</v>
      </c>
      <c r="AC156" s="111">
        <f t="shared" ca="1" si="79"/>
        <v>-101.19137111740717</v>
      </c>
      <c r="AD156" s="72">
        <f t="shared" ca="1" si="80"/>
        <v>78.808628882592828</v>
      </c>
    </row>
    <row r="157" spans="1:30">
      <c r="A157" s="119">
        <v>8811.0499999999993</v>
      </c>
      <c r="B157" s="101">
        <f t="shared" ca="1" si="54"/>
        <v>491.20970912909149</v>
      </c>
      <c r="C157" s="102">
        <f t="shared" ca="1" si="55"/>
        <v>1.5687605350095211</v>
      </c>
      <c r="D157" s="102">
        <f t="shared" si="56"/>
        <v>1.0332973663901406</v>
      </c>
      <c r="E157" s="103">
        <f t="shared" si="57"/>
        <v>0.25455431895403652</v>
      </c>
      <c r="F157" s="101">
        <f t="shared" si="58"/>
        <v>3011.6635811847405</v>
      </c>
      <c r="G157" s="104">
        <f t="shared" si="59"/>
        <v>1.5704642843899537</v>
      </c>
      <c r="H157" s="113">
        <f t="shared" si="60"/>
        <v>376.45925506276768</v>
      </c>
      <c r="I157" s="114">
        <f t="shared" si="61"/>
        <v>1.568139993705538</v>
      </c>
      <c r="J157" s="101">
        <f t="shared" si="62"/>
        <v>1.1430175517176595</v>
      </c>
      <c r="K157" s="104">
        <f t="shared" si="63"/>
        <v>0.50561409808378266</v>
      </c>
      <c r="L157" s="102">
        <f t="shared" si="64"/>
        <v>1</v>
      </c>
      <c r="M157" s="103">
        <f t="shared" si="65"/>
        <v>3.5984948894417246E-10</v>
      </c>
      <c r="N157" s="101">
        <f t="shared" si="66"/>
        <v>1</v>
      </c>
      <c r="O157" s="104">
        <f t="shared" si="67"/>
        <v>4.7979931859222989E-11</v>
      </c>
      <c r="P157" s="105">
        <f t="shared" ca="1" si="68"/>
        <v>1.1034490420716112</v>
      </c>
      <c r="Q157" s="106">
        <f t="shared" ca="1" si="69"/>
        <v>0.4528272708114966</v>
      </c>
      <c r="R157" s="107">
        <f t="shared" ca="1" si="70"/>
        <v>-2.2925670551806343</v>
      </c>
      <c r="S157" s="108">
        <f t="shared" ca="1" si="71"/>
        <v>-130.34628711593015</v>
      </c>
      <c r="T157" s="116">
        <f t="shared" ca="1" si="72"/>
        <v>49.653712884069847</v>
      </c>
      <c r="V157" s="72">
        <f t="shared" ca="1" si="73"/>
        <v>8811.0499999999993</v>
      </c>
      <c r="W157" s="72">
        <f t="shared" si="74"/>
        <v>77634602.102499992</v>
      </c>
      <c r="Y157" s="110">
        <f t="shared" si="75"/>
        <v>44.85957209281694</v>
      </c>
      <c r="Z157" s="111">
        <f t="shared" si="76"/>
        <v>-29.102725944478863</v>
      </c>
      <c r="AA157" s="72">
        <f t="shared" si="77"/>
        <v>150.89727405552114</v>
      </c>
      <c r="AB157" s="110">
        <f t="shared" ca="1" si="78"/>
        <v>-29.650913880163571</v>
      </c>
      <c r="AC157" s="111">
        <f t="shared" ca="1" si="79"/>
        <v>-101.24356117145123</v>
      </c>
      <c r="AD157" s="72">
        <f t="shared" ca="1" si="80"/>
        <v>78.756438828548767</v>
      </c>
    </row>
    <row r="158" spans="1:30">
      <c r="A158" s="119">
        <v>8861.7749999999996</v>
      </c>
      <c r="B158" s="101">
        <f t="shared" ca="1" si="54"/>
        <v>494.03757976036161</v>
      </c>
      <c r="C158" s="102">
        <f t="shared" ca="1" si="55"/>
        <v>1.5687721878957024</v>
      </c>
      <c r="D158" s="102">
        <f t="shared" si="56"/>
        <v>1.0336755900474375</v>
      </c>
      <c r="E158" s="103">
        <f t="shared" si="57"/>
        <v>0.25595677849313642</v>
      </c>
      <c r="F158" s="101">
        <f t="shared" si="58"/>
        <v>3029.0016530786634</v>
      </c>
      <c r="G158" s="104">
        <f t="shared" si="59"/>
        <v>1.5704661850080313</v>
      </c>
      <c r="H158" s="113">
        <f t="shared" si="60"/>
        <v>378.62650656586356</v>
      </c>
      <c r="I158" s="114">
        <f t="shared" si="61"/>
        <v>1.5681551985451498</v>
      </c>
      <c r="J158" s="101">
        <f t="shared" si="62"/>
        <v>1.1445646256345876</v>
      </c>
      <c r="K158" s="104">
        <f t="shared" si="63"/>
        <v>0.50805027674340597</v>
      </c>
      <c r="L158" s="102">
        <f t="shared" si="64"/>
        <v>1</v>
      </c>
      <c r="M158" s="103">
        <f t="shared" si="65"/>
        <v>3.6192113367739871E-10</v>
      </c>
      <c r="N158" s="101">
        <f t="shared" si="66"/>
        <v>1</v>
      </c>
      <c r="O158" s="104">
        <f t="shared" si="67"/>
        <v>4.825615115698649E-11</v>
      </c>
      <c r="P158" s="105">
        <f t="shared" ca="1" si="68"/>
        <v>1.1045873155414974</v>
      </c>
      <c r="Q158" s="106">
        <f t="shared" ca="1" si="69"/>
        <v>0.45512532452505788</v>
      </c>
      <c r="R158" s="107">
        <f t="shared" ca="1" si="70"/>
        <v>-2.359953293230709</v>
      </c>
      <c r="S158" s="108">
        <f t="shared" ca="1" si="71"/>
        <v>-130.5370890231884</v>
      </c>
      <c r="T158" s="116">
        <f t="shared" ca="1" si="72"/>
        <v>49.4629109768116</v>
      </c>
      <c r="V158" s="72">
        <f t="shared" ca="1" si="73"/>
        <v>8861.7749999999996</v>
      </c>
      <c r="W158" s="72">
        <f t="shared" si="74"/>
        <v>78531056.15062499</v>
      </c>
      <c r="Y158" s="110">
        <f t="shared" si="75"/>
        <v>44.84782334835969</v>
      </c>
      <c r="Z158" s="111">
        <f t="shared" si="76"/>
        <v>-29.241546424127261</v>
      </c>
      <c r="AA158" s="72">
        <f t="shared" si="77"/>
        <v>150.75845357587275</v>
      </c>
      <c r="AB158" s="110">
        <f t="shared" ca="1" si="78"/>
        <v>-29.706551373756398</v>
      </c>
      <c r="AC158" s="111">
        <f t="shared" ca="1" si="79"/>
        <v>-101.29554259906111</v>
      </c>
      <c r="AD158" s="72">
        <f t="shared" ca="1" si="80"/>
        <v>78.704457400938892</v>
      </c>
    </row>
    <row r="159" spans="1:30">
      <c r="A159" s="118">
        <v>8912.5</v>
      </c>
      <c r="B159" s="101">
        <f t="shared" ca="1" si="54"/>
        <v>496.86545045795327</v>
      </c>
      <c r="C159" s="102">
        <f t="shared" ca="1" si="55"/>
        <v>1.5687837081389118</v>
      </c>
      <c r="D159" s="102">
        <f t="shared" si="56"/>
        <v>1.0340558453441324</v>
      </c>
      <c r="E159" s="103">
        <f t="shared" si="57"/>
        <v>0.25735820932885861</v>
      </c>
      <c r="F159" s="101">
        <f t="shared" si="58"/>
        <v>3046.3397249834034</v>
      </c>
      <c r="G159" s="104">
        <f t="shared" si="59"/>
        <v>1.570468063991586</v>
      </c>
      <c r="H159" s="113">
        <f t="shared" si="60"/>
        <v>380.79375815549662</v>
      </c>
      <c r="I159" s="114">
        <f t="shared" si="61"/>
        <v>1.5681702303109577</v>
      </c>
      <c r="J159" s="101">
        <f t="shared" si="62"/>
        <v>1.1461184741419341</v>
      </c>
      <c r="K159" s="104">
        <f t="shared" si="63"/>
        <v>0.51047986409847379</v>
      </c>
      <c r="L159" s="102">
        <f t="shared" si="64"/>
        <v>1</v>
      </c>
      <c r="M159" s="103">
        <f t="shared" si="65"/>
        <v>3.6399277841062496E-10</v>
      </c>
      <c r="N159" s="101">
        <f t="shared" si="66"/>
        <v>1</v>
      </c>
      <c r="O159" s="104">
        <f t="shared" si="67"/>
        <v>4.853237045474999E-11</v>
      </c>
      <c r="P159" s="105">
        <f t="shared" ca="1" si="68"/>
        <v>1.1057309486637377</v>
      </c>
      <c r="Q159" s="106">
        <f t="shared" ca="1" si="69"/>
        <v>0.45741884029469759</v>
      </c>
      <c r="R159" s="107">
        <f t="shared" ca="1" si="70"/>
        <v>-2.4271073840124937</v>
      </c>
      <c r="S159" s="108">
        <f t="shared" ca="1" si="71"/>
        <v>-130.72731328879021</v>
      </c>
      <c r="T159" s="116">
        <f t="shared" ca="1" si="72"/>
        <v>49.272686711209786</v>
      </c>
      <c r="V159" s="72">
        <f t="shared" ca="1" si="73"/>
        <v>8912.5</v>
      </c>
      <c r="W159" s="72">
        <f t="shared" si="74"/>
        <v>79432656.25</v>
      </c>
      <c r="Y159" s="110">
        <f t="shared" si="75"/>
        <v>44.836039137440352</v>
      </c>
      <c r="Z159" s="111">
        <f t="shared" si="76"/>
        <v>-29.379997926674392</v>
      </c>
      <c r="AA159" s="72">
        <f t="shared" si="77"/>
        <v>150.62000207332562</v>
      </c>
      <c r="AB159" s="110">
        <f t="shared" ca="1" si="78"/>
        <v>-29.761921253618844</v>
      </c>
      <c r="AC159" s="111">
        <f t="shared" ca="1" si="79"/>
        <v>-101.34731536211579</v>
      </c>
      <c r="AD159" s="72">
        <f t="shared" ca="1" si="80"/>
        <v>78.652684637884207</v>
      </c>
    </row>
    <row r="160" spans="1:30">
      <c r="A160" s="118">
        <v>8964.4</v>
      </c>
      <c r="B160" s="101">
        <f t="shared" ca="1" si="54"/>
        <v>499.75882635992275</v>
      </c>
      <c r="C160" s="102">
        <f t="shared" ca="1" si="55"/>
        <v>1.568795360299527</v>
      </c>
      <c r="D160" s="102">
        <f t="shared" si="56"/>
        <v>1.0344470093595459</v>
      </c>
      <c r="E160" s="103">
        <f t="shared" si="57"/>
        <v>0.2587910337990682</v>
      </c>
      <c r="F160" s="101">
        <f t="shared" si="58"/>
        <v>3064.0794180817616</v>
      </c>
      <c r="G160" s="104">
        <f t="shared" si="59"/>
        <v>1.5704699644911486</v>
      </c>
      <c r="H160" s="113">
        <f t="shared" si="60"/>
        <v>383.01121230961263</v>
      </c>
      <c r="I160" s="114">
        <f t="shared" si="61"/>
        <v>1.5681854342048405</v>
      </c>
      <c r="J160" s="101">
        <f t="shared" si="62"/>
        <v>1.1477152992824129</v>
      </c>
      <c r="K160" s="104">
        <f t="shared" si="63"/>
        <v>0.51295890668098432</v>
      </c>
      <c r="L160" s="102">
        <f t="shared" si="64"/>
        <v>1</v>
      </c>
      <c r="M160" s="103">
        <f t="shared" si="65"/>
        <v>3.6611241097157995E-10</v>
      </c>
      <c r="N160" s="101">
        <f t="shared" si="66"/>
        <v>1</v>
      </c>
      <c r="O160" s="104">
        <f t="shared" si="67"/>
        <v>4.8814988129543994E-11</v>
      </c>
      <c r="P160" s="105">
        <f t="shared" ca="1" si="68"/>
        <v>1.1069066031626871</v>
      </c>
      <c r="Q160" s="106">
        <f t="shared" ca="1" si="69"/>
        <v>0.45976077904159557</v>
      </c>
      <c r="R160" s="107">
        <f t="shared" ca="1" si="70"/>
        <v>-2.4955795304785267</v>
      </c>
      <c r="S160" s="108">
        <f t="shared" ca="1" si="71"/>
        <v>-130.92134576854474</v>
      </c>
      <c r="T160" s="116">
        <f t="shared" ca="1" si="72"/>
        <v>49.078654231455261</v>
      </c>
      <c r="V160" s="72">
        <f t="shared" ca="1" si="73"/>
        <v>8964.4</v>
      </c>
      <c r="W160" s="72">
        <f t="shared" si="74"/>
        <v>80360467.359999999</v>
      </c>
      <c r="Y160" s="110">
        <f t="shared" si="75"/>
        <v>44.823945637251555</v>
      </c>
      <c r="Z160" s="111">
        <f t="shared" si="76"/>
        <v>-29.521274375593908</v>
      </c>
      <c r="AA160" s="72">
        <f t="shared" si="77"/>
        <v>150.47872562440608</v>
      </c>
      <c r="AB160" s="110">
        <f t="shared" ca="1" si="78"/>
        <v>-29.81829989989609</v>
      </c>
      <c r="AC160" s="111">
        <f t="shared" ca="1" si="79"/>
        <v>-101.40007139295089</v>
      </c>
      <c r="AD160" s="72">
        <f t="shared" ca="1" si="80"/>
        <v>78.599928607049108</v>
      </c>
    </row>
    <row r="161" spans="1:30">
      <c r="A161" s="118">
        <v>9016.2999999999993</v>
      </c>
      <c r="B161" s="101">
        <f t="shared" ca="1" si="54"/>
        <v>502.65220232896468</v>
      </c>
      <c r="C161" s="102">
        <f t="shared" ca="1" si="55"/>
        <v>1.5688068783153757</v>
      </c>
      <c r="D161" s="102">
        <f t="shared" si="56"/>
        <v>1.0348402954721081</v>
      </c>
      <c r="E161" s="103">
        <f t="shared" si="57"/>
        <v>0.26022277213056416</v>
      </c>
      <c r="F161" s="101">
        <f t="shared" si="58"/>
        <v>3081.8191111910592</v>
      </c>
      <c r="G161" s="104">
        <f t="shared" si="59"/>
        <v>1.5704718431112448</v>
      </c>
      <c r="H161" s="113">
        <f t="shared" si="60"/>
        <v>385.22866655124562</v>
      </c>
      <c r="I161" s="114">
        <f t="shared" si="61"/>
        <v>1.5682004630653406</v>
      </c>
      <c r="J161" s="101">
        <f t="shared" si="62"/>
        <v>1.1493191582569404</v>
      </c>
      <c r="K161" s="104">
        <f t="shared" si="63"/>
        <v>0.51543104548194385</v>
      </c>
      <c r="L161" s="102">
        <f t="shared" si="64"/>
        <v>1</v>
      </c>
      <c r="M161" s="103">
        <f t="shared" si="65"/>
        <v>3.6823204353253495E-10</v>
      </c>
      <c r="N161" s="101">
        <f t="shared" si="66"/>
        <v>1</v>
      </c>
      <c r="O161" s="104">
        <f t="shared" si="67"/>
        <v>4.9097605804337992E-11</v>
      </c>
      <c r="P161" s="105">
        <f t="shared" ca="1" si="68"/>
        <v>1.1080878335647091</v>
      </c>
      <c r="Q161" s="106">
        <f t="shared" ca="1" si="69"/>
        <v>0.46209795224537498</v>
      </c>
      <c r="R161" s="107">
        <f t="shared" ca="1" si="70"/>
        <v>-2.563814210200936</v>
      </c>
      <c r="S161" s="108">
        <f t="shared" ca="1" si="71"/>
        <v>-131.11477296555364</v>
      </c>
      <c r="T161" s="116">
        <f t="shared" ca="1" si="72"/>
        <v>48.885227034446359</v>
      </c>
      <c r="V161" s="72">
        <f t="shared" ca="1" si="73"/>
        <v>9016.2999999999993</v>
      </c>
      <c r="W161" s="72">
        <f t="shared" si="74"/>
        <v>81293665.689999983</v>
      </c>
      <c r="Y161" s="110">
        <f t="shared" si="75"/>
        <v>44.811815798726073</v>
      </c>
      <c r="Z161" s="111">
        <f t="shared" si="76"/>
        <v>-29.662164042040413</v>
      </c>
      <c r="AA161" s="72">
        <f t="shared" si="77"/>
        <v>150.33783595795958</v>
      </c>
      <c r="AB161" s="110">
        <f t="shared" ca="1" si="78"/>
        <v>-29.874404741093006</v>
      </c>
      <c r="AC161" s="111">
        <f t="shared" ca="1" si="79"/>
        <v>-101.45260892351321</v>
      </c>
      <c r="AD161" s="72">
        <f t="shared" ca="1" si="80"/>
        <v>78.54739107648679</v>
      </c>
    </row>
    <row r="162" spans="1:30">
      <c r="A162" s="118">
        <v>9068.2000000000007</v>
      </c>
      <c r="B162" s="101">
        <f t="shared" ca="1" si="54"/>
        <v>505.54557836392769</v>
      </c>
      <c r="C162" s="102">
        <f t="shared" ca="1" si="55"/>
        <v>1.5688182644896969</v>
      </c>
      <c r="D162" s="102">
        <f t="shared" si="56"/>
        <v>1.0352357012632647</v>
      </c>
      <c r="E162" s="103">
        <f t="shared" si="57"/>
        <v>0.26165341969480832</v>
      </c>
      <c r="F162" s="101">
        <f t="shared" si="58"/>
        <v>3099.5588043111093</v>
      </c>
      <c r="G162" s="104">
        <f t="shared" si="59"/>
        <v>1.5704737002275422</v>
      </c>
      <c r="H162" s="113">
        <f t="shared" si="60"/>
        <v>387.446120878893</v>
      </c>
      <c r="I162" s="114">
        <f t="shared" si="61"/>
        <v>1.5682153198977349</v>
      </c>
      <c r="J162" s="101">
        <f t="shared" si="62"/>
        <v>1.1509300216598772</v>
      </c>
      <c r="K162" s="104">
        <f t="shared" si="63"/>
        <v>0.51789627920970505</v>
      </c>
      <c r="L162" s="102">
        <f t="shared" si="64"/>
        <v>1</v>
      </c>
      <c r="M162" s="103">
        <f t="shared" si="65"/>
        <v>3.7035167609349E-10</v>
      </c>
      <c r="N162" s="101">
        <f t="shared" si="66"/>
        <v>1</v>
      </c>
      <c r="O162" s="104">
        <f t="shared" si="67"/>
        <v>4.9380223479131996E-11</v>
      </c>
      <c r="P162" s="105">
        <f t="shared" ca="1" si="68"/>
        <v>1.1092746221929748</v>
      </c>
      <c r="Q162" s="106">
        <f t="shared" ca="1" si="69"/>
        <v>0.46443035268766314</v>
      </c>
      <c r="R162" s="107">
        <f t="shared" ca="1" si="70"/>
        <v>-2.631814150405023</v>
      </c>
      <c r="S162" s="108">
        <f t="shared" ca="1" si="71"/>
        <v>-131.30759463872459</v>
      </c>
      <c r="T162" s="116">
        <f t="shared" ca="1" si="72"/>
        <v>48.692405361275405</v>
      </c>
      <c r="V162" s="72">
        <f t="shared" ca="1" si="73"/>
        <v>9068.2000000000007</v>
      </c>
      <c r="W162" s="72">
        <f t="shared" si="74"/>
        <v>82232251.24000001</v>
      </c>
      <c r="Y162" s="110">
        <f t="shared" si="75"/>
        <v>44.799650019194985</v>
      </c>
      <c r="Z162" s="111">
        <f t="shared" si="76"/>
        <v>-29.802666701342474</v>
      </c>
      <c r="AA162" s="72">
        <f t="shared" si="77"/>
        <v>150.19733329865753</v>
      </c>
      <c r="AB162" s="110">
        <f t="shared" ca="1" si="78"/>
        <v>-29.930238901766003</v>
      </c>
      <c r="AC162" s="111">
        <f t="shared" ca="1" si="79"/>
        <v>-101.50492793738209</v>
      </c>
      <c r="AD162" s="72">
        <f t="shared" ca="1" si="80"/>
        <v>78.495072062617908</v>
      </c>
    </row>
    <row r="163" spans="1:30">
      <c r="A163" s="118">
        <v>9120.1</v>
      </c>
      <c r="B163" s="101">
        <f t="shared" ca="1" si="54"/>
        <v>508.43895446368606</v>
      </c>
      <c r="C163" s="102">
        <f t="shared" ca="1" si="55"/>
        <v>1.5688295210733014</v>
      </c>
      <c r="D163" s="102">
        <f t="shared" si="56"/>
        <v>1.0356332243051294</v>
      </c>
      <c r="E163" s="103">
        <f t="shared" si="57"/>
        <v>0.26308297188817192</v>
      </c>
      <c r="F163" s="101">
        <f t="shared" si="58"/>
        <v>3117.2984974417277</v>
      </c>
      <c r="G163" s="104">
        <f t="shared" si="59"/>
        <v>1.5704755362071581</v>
      </c>
      <c r="H163" s="113">
        <f t="shared" si="60"/>
        <v>389.66357529108632</v>
      </c>
      <c r="I163" s="114">
        <f t="shared" si="61"/>
        <v>1.5682300076388926</v>
      </c>
      <c r="J163" s="101">
        <f t="shared" si="62"/>
        <v>1.1525478601219166</v>
      </c>
      <c r="K163" s="104">
        <f t="shared" si="63"/>
        <v>0.52035460691554181</v>
      </c>
      <c r="L163" s="102">
        <f t="shared" si="64"/>
        <v>1</v>
      </c>
      <c r="M163" s="103">
        <f t="shared" si="65"/>
        <v>3.72471308654445E-10</v>
      </c>
      <c r="N163" s="101">
        <f t="shared" si="66"/>
        <v>1</v>
      </c>
      <c r="O163" s="104">
        <f t="shared" si="67"/>
        <v>4.9662841153925993E-11</v>
      </c>
      <c r="P163" s="105">
        <f t="shared" ca="1" si="68"/>
        <v>1.110466951363366</v>
      </c>
      <c r="Q163" s="106">
        <f t="shared" ca="1" si="69"/>
        <v>0.46675797337141456</v>
      </c>
      <c r="R163" s="107">
        <f t="shared" ca="1" si="70"/>
        <v>-2.699582023219194</v>
      </c>
      <c r="S163" s="108">
        <f t="shared" ca="1" si="71"/>
        <v>-131.49981057829299</v>
      </c>
      <c r="T163" s="116">
        <f t="shared" ca="1" si="72"/>
        <v>48.500189421707006</v>
      </c>
      <c r="V163" s="72">
        <f t="shared" ca="1" si="73"/>
        <v>9120.1</v>
      </c>
      <c r="W163" s="72">
        <f t="shared" si="74"/>
        <v>83176224.010000005</v>
      </c>
      <c r="Y163" s="110">
        <f t="shared" si="75"/>
        <v>44.787448694400993</v>
      </c>
      <c r="Z163" s="111">
        <f t="shared" si="76"/>
        <v>-29.942782151906222</v>
      </c>
      <c r="AA163" s="72">
        <f t="shared" si="77"/>
        <v>150.05721784809379</v>
      </c>
      <c r="AB163" s="110">
        <f t="shared" ca="1" si="78"/>
        <v>-29.985805449786188</v>
      </c>
      <c r="AC163" s="111">
        <f t="shared" ca="1" si="79"/>
        <v>-101.55702842638681</v>
      </c>
      <c r="AD163" s="72">
        <f t="shared" ca="1" si="80"/>
        <v>78.442971573613193</v>
      </c>
    </row>
    <row r="164" spans="1:30">
      <c r="A164" s="118">
        <v>9173.2000000000007</v>
      </c>
      <c r="B164" s="101">
        <f t="shared" ca="1" si="54"/>
        <v>511.39922949871607</v>
      </c>
      <c r="C164" s="102">
        <f t="shared" ca="1" si="55"/>
        <v>1.5688409060988997</v>
      </c>
      <c r="D164" s="102">
        <f t="shared" si="56"/>
        <v>1.0360421273366847</v>
      </c>
      <c r="E164" s="103">
        <f t="shared" si="57"/>
        <v>0.26454443888295986</v>
      </c>
      <c r="F164" s="101">
        <f t="shared" si="58"/>
        <v>3135.448356898255</v>
      </c>
      <c r="G164" s="104">
        <f t="shared" si="59"/>
        <v>1.5704773931359342</v>
      </c>
      <c r="H164" s="113">
        <f t="shared" si="60"/>
        <v>391.93230041153089</v>
      </c>
      <c r="I164" s="114">
        <f t="shared" si="61"/>
        <v>1.5682448629733503</v>
      </c>
      <c r="J164" s="101">
        <f t="shared" si="62"/>
        <v>1.154210293496402</v>
      </c>
      <c r="K164" s="104">
        <f t="shared" si="63"/>
        <v>0.5228626265515508</v>
      </c>
      <c r="L164" s="102">
        <f t="shared" si="64"/>
        <v>1</v>
      </c>
      <c r="M164" s="103">
        <f t="shared" si="65"/>
        <v>3.7463995006074002E-10</v>
      </c>
      <c r="N164" s="101">
        <f t="shared" si="66"/>
        <v>1</v>
      </c>
      <c r="O164" s="104">
        <f t="shared" si="67"/>
        <v>4.9951993341432E-11</v>
      </c>
      <c r="P164" s="105">
        <f t="shared" ca="1" si="68"/>
        <v>1.1116925645690172</v>
      </c>
      <c r="Q164" s="106">
        <f t="shared" ca="1" si="69"/>
        <v>0.46913445799962572</v>
      </c>
      <c r="R164" s="107">
        <f t="shared" ca="1" si="70"/>
        <v>-2.7686793357071089</v>
      </c>
      <c r="S164" s="108">
        <f t="shared" ca="1" si="71"/>
        <v>-131.69584372719427</v>
      </c>
      <c r="T164" s="116">
        <f t="shared" ca="1" si="72"/>
        <v>48.304156272805727</v>
      </c>
      <c r="V164" s="72">
        <f t="shared" ca="1" si="73"/>
        <v>9173.2000000000007</v>
      </c>
      <c r="W164" s="72">
        <f t="shared" si="74"/>
        <v>84147598.24000001</v>
      </c>
      <c r="Y164" s="110">
        <f t="shared" si="75"/>
        <v>44.774928881545939</v>
      </c>
      <c r="Z164" s="111">
        <f t="shared" si="76"/>
        <v>-30.085736338255188</v>
      </c>
      <c r="AA164" s="72">
        <f t="shared" si="77"/>
        <v>149.91426366174483</v>
      </c>
      <c r="AB164" s="110">
        <f t="shared" ca="1" si="78"/>
        <v>-30.04238294941905</v>
      </c>
      <c r="AC164" s="111">
        <f t="shared" ca="1" si="79"/>
        <v>-101.6101073889391</v>
      </c>
      <c r="AD164" s="72">
        <f t="shared" ca="1" si="80"/>
        <v>78.389892611060901</v>
      </c>
    </row>
    <row r="165" spans="1:30">
      <c r="A165" s="118">
        <v>9226.2999999999993</v>
      </c>
      <c r="B165" s="101">
        <f t="shared" ca="1" si="54"/>
        <v>514.35950459927005</v>
      </c>
      <c r="C165" s="102">
        <f t="shared" ca="1" si="55"/>
        <v>1.5688521600768277</v>
      </c>
      <c r="D165" s="102">
        <f t="shared" si="56"/>
        <v>1.0364532414870804</v>
      </c>
      <c r="E165" s="103">
        <f t="shared" si="57"/>
        <v>0.26600474959895887</v>
      </c>
      <c r="F165" s="101">
        <f t="shared" si="58"/>
        <v>3153.5982163654699</v>
      </c>
      <c r="G165" s="104">
        <f t="shared" si="59"/>
        <v>1.5704792286903984</v>
      </c>
      <c r="H165" s="113">
        <f t="shared" si="60"/>
        <v>394.20102561747194</v>
      </c>
      <c r="I165" s="114">
        <f t="shared" si="61"/>
        <v>1.5682595473155025</v>
      </c>
      <c r="J165" s="101">
        <f t="shared" si="62"/>
        <v>1.1558799661308492</v>
      </c>
      <c r="K165" s="104">
        <f t="shared" si="63"/>
        <v>0.52536341619396942</v>
      </c>
      <c r="L165" s="102">
        <f t="shared" si="64"/>
        <v>1</v>
      </c>
      <c r="M165" s="103">
        <f t="shared" si="65"/>
        <v>3.7680859146703495E-10</v>
      </c>
      <c r="N165" s="101">
        <f t="shared" si="66"/>
        <v>1</v>
      </c>
      <c r="O165" s="104">
        <f t="shared" si="67"/>
        <v>5.0241145528937988E-11</v>
      </c>
      <c r="P165" s="105">
        <f t="shared" ca="1" si="68"/>
        <v>1.1129239400187241</v>
      </c>
      <c r="Q165" s="106">
        <f t="shared" ca="1" si="69"/>
        <v>0.4715059251701848</v>
      </c>
      <c r="R165" s="107">
        <f t="shared" ca="1" si="70"/>
        <v>-2.8375392133238679</v>
      </c>
      <c r="S165" s="108">
        <f t="shared" ca="1" si="71"/>
        <v>-131.89124246272451</v>
      </c>
      <c r="T165" s="116">
        <f t="shared" ca="1" si="72"/>
        <v>48.108757537275494</v>
      </c>
      <c r="V165" s="72">
        <f t="shared" ca="1" si="73"/>
        <v>9226.2999999999993</v>
      </c>
      <c r="W165" s="72">
        <f t="shared" si="74"/>
        <v>85124611.689999983</v>
      </c>
      <c r="Y165" s="110">
        <f t="shared" si="75"/>
        <v>44.762372693622893</v>
      </c>
      <c r="Z165" s="111">
        <f t="shared" si="76"/>
        <v>-30.22828484896462</v>
      </c>
      <c r="AA165" s="72">
        <f t="shared" si="77"/>
        <v>149.77171515103538</v>
      </c>
      <c r="AB165" s="110">
        <f t="shared" ca="1" si="78"/>
        <v>-30.098686639112756</v>
      </c>
      <c r="AC165" s="111">
        <f t="shared" ca="1" si="79"/>
        <v>-101.66295761375989</v>
      </c>
      <c r="AD165" s="72">
        <f t="shared" ca="1" si="80"/>
        <v>78.337042386240114</v>
      </c>
    </row>
    <row r="166" spans="1:30">
      <c r="A166" s="118">
        <v>9279.4</v>
      </c>
      <c r="B166" s="101">
        <f t="shared" ca="1" si="54"/>
        <v>517.31977976422309</v>
      </c>
      <c r="C166" s="102">
        <f t="shared" ca="1" si="55"/>
        <v>1.5688632852567768</v>
      </c>
      <c r="D166" s="102">
        <f t="shared" si="56"/>
        <v>1.0368665641262129</v>
      </c>
      <c r="E166" s="103">
        <f t="shared" si="57"/>
        <v>0.26746389918702212</v>
      </c>
      <c r="F166" s="101">
        <f t="shared" si="58"/>
        <v>3171.748075843188</v>
      </c>
      <c r="G166" s="104">
        <f t="shared" si="59"/>
        <v>1.5704810432374843</v>
      </c>
      <c r="H166" s="113">
        <f t="shared" si="60"/>
        <v>396.46975090744166</v>
      </c>
      <c r="I166" s="114">
        <f t="shared" si="61"/>
        <v>1.568274063600759</v>
      </c>
      <c r="J166" s="101">
        <f t="shared" si="62"/>
        <v>1.1575568466992958</v>
      </c>
      <c r="K166" s="104">
        <f t="shared" si="63"/>
        <v>0.52785697591676695</v>
      </c>
      <c r="L166" s="102">
        <f t="shared" si="64"/>
        <v>1</v>
      </c>
      <c r="M166" s="103">
        <f t="shared" si="65"/>
        <v>3.7897723287332997E-10</v>
      </c>
      <c r="N166" s="101">
        <f t="shared" si="66"/>
        <v>1</v>
      </c>
      <c r="O166" s="104">
        <f t="shared" si="67"/>
        <v>5.0530297716443988E-11</v>
      </c>
      <c r="P166" s="105">
        <f t="shared" ca="1" si="68"/>
        <v>1.1141610587554702</v>
      </c>
      <c r="Q166" s="106">
        <f t="shared" ca="1" si="69"/>
        <v>0.47387236809967143</v>
      </c>
      <c r="R166" s="107">
        <f t="shared" ca="1" si="70"/>
        <v>-2.9061643473800416</v>
      </c>
      <c r="S166" s="108">
        <f t="shared" ca="1" si="71"/>
        <v>-132.08600666003107</v>
      </c>
      <c r="T166" s="116">
        <f t="shared" ca="1" si="72"/>
        <v>47.913993339968926</v>
      </c>
      <c r="V166" s="72">
        <f t="shared" ca="1" si="73"/>
        <v>9279.4</v>
      </c>
      <c r="W166" s="72">
        <f t="shared" si="74"/>
        <v>86107264.359999999</v>
      </c>
      <c r="Y166" s="110">
        <f t="shared" si="75"/>
        <v>44.749780549170808</v>
      </c>
      <c r="Z166" s="111">
        <f t="shared" si="76"/>
        <v>-30.370427541109791</v>
      </c>
      <c r="AA166" s="72">
        <f t="shared" si="77"/>
        <v>149.62957245889021</v>
      </c>
      <c r="AB166" s="110">
        <f t="shared" ca="1" si="78"/>
        <v>-30.154719628716855</v>
      </c>
      <c r="AC166" s="111">
        <f t="shared" ca="1" si="79"/>
        <v>-101.7155791189213</v>
      </c>
      <c r="AD166" s="72">
        <f t="shared" ca="1" si="80"/>
        <v>78.284420881078702</v>
      </c>
    </row>
    <row r="167" spans="1:30">
      <c r="A167" s="118">
        <v>9332.5</v>
      </c>
      <c r="B167" s="101">
        <f t="shared" ca="1" si="54"/>
        <v>520.28005499247604</v>
      </c>
      <c r="C167" s="102">
        <f t="shared" ca="1" si="55"/>
        <v>1.568874283837238</v>
      </c>
      <c r="D167" s="102">
        <f t="shared" si="56"/>
        <v>1.0372820926140531</v>
      </c>
      <c r="E167" s="103">
        <f t="shared" si="57"/>
        <v>0.26892188282548857</v>
      </c>
      <c r="F167" s="101">
        <f t="shared" si="58"/>
        <v>3189.8979353312311</v>
      </c>
      <c r="G167" s="104">
        <f t="shared" si="59"/>
        <v>1.5704828371357751</v>
      </c>
      <c r="H167" s="113">
        <f t="shared" si="60"/>
        <v>398.7384762800059</v>
      </c>
      <c r="I167" s="114">
        <f t="shared" si="61"/>
        <v>1.5682884146977227</v>
      </c>
      <c r="J167" s="101">
        <f t="shared" si="62"/>
        <v>1.1592409039221927</v>
      </c>
      <c r="K167" s="104">
        <f t="shared" si="63"/>
        <v>0.53034330615311909</v>
      </c>
      <c r="L167" s="102">
        <f t="shared" si="64"/>
        <v>1</v>
      </c>
      <c r="M167" s="103">
        <f t="shared" si="65"/>
        <v>3.81145874279625E-10</v>
      </c>
      <c r="N167" s="101">
        <f t="shared" si="66"/>
        <v>1</v>
      </c>
      <c r="O167" s="104">
        <f t="shared" si="67"/>
        <v>5.0819449903949995E-11</v>
      </c>
      <c r="P167" s="105">
        <f t="shared" ca="1" si="68"/>
        <v>1.1154039018182837</v>
      </c>
      <c r="Q167" s="106">
        <f t="shared" ca="1" si="69"/>
        <v>0.4762337802410212</v>
      </c>
      <c r="R167" s="107">
        <f t="shared" ca="1" si="70"/>
        <v>-2.9745573744774041</v>
      </c>
      <c r="S167" s="108">
        <f t="shared" ca="1" si="71"/>
        <v>-132.28013622722565</v>
      </c>
      <c r="T167" s="116">
        <f t="shared" ca="1" si="72"/>
        <v>47.719863772774346</v>
      </c>
      <c r="V167" s="72">
        <f t="shared" ca="1" si="73"/>
        <v>9332.5</v>
      </c>
      <c r="W167" s="72">
        <f t="shared" si="74"/>
        <v>87095556.25</v>
      </c>
      <c r="Y167" s="110">
        <f t="shared" si="75"/>
        <v>44.73715286490156</v>
      </c>
      <c r="Z167" s="111">
        <f t="shared" si="76"/>
        <v>-30.512164295696351</v>
      </c>
      <c r="AA167" s="72">
        <f t="shared" si="77"/>
        <v>149.48783570430365</v>
      </c>
      <c r="AB167" s="110">
        <f t="shared" ca="1" si="78"/>
        <v>-30.210484971544965</v>
      </c>
      <c r="AC167" s="111">
        <f t="shared" ca="1" si="79"/>
        <v>-101.76797193152927</v>
      </c>
      <c r="AD167" s="72">
        <f t="shared" ca="1" si="80"/>
        <v>78.232028068470726</v>
      </c>
    </row>
    <row r="168" spans="1:30">
      <c r="A168" s="118">
        <v>9386.85</v>
      </c>
      <c r="B168" s="101">
        <f t="shared" ca="1" si="54"/>
        <v>523.31001661350911</v>
      </c>
      <c r="C168" s="102">
        <f t="shared" ca="1" si="55"/>
        <v>1.5688854124671516</v>
      </c>
      <c r="D168" s="102">
        <f t="shared" si="56"/>
        <v>1.0377096844302178</v>
      </c>
      <c r="E168" s="103">
        <f t="shared" si="57"/>
        <v>0.27041297566597117</v>
      </c>
      <c r="F168" s="101">
        <f t="shared" si="58"/>
        <v>3208.4750514090683</v>
      </c>
      <c r="G168" s="104">
        <f t="shared" si="59"/>
        <v>1.570484652245409</v>
      </c>
      <c r="H168" s="113">
        <f t="shared" si="60"/>
        <v>401.06060864277464</v>
      </c>
      <c r="I168" s="114">
        <f t="shared" si="61"/>
        <v>1.5683029354854097</v>
      </c>
      <c r="J168" s="101">
        <f t="shared" si="62"/>
        <v>1.1609720041360978</v>
      </c>
      <c r="K168" s="104">
        <f t="shared" si="63"/>
        <v>0.53288067987741172</v>
      </c>
      <c r="L168" s="102">
        <f t="shared" si="64"/>
        <v>1</v>
      </c>
      <c r="M168" s="103">
        <f t="shared" si="65"/>
        <v>3.8336556656648247E-10</v>
      </c>
      <c r="N168" s="101">
        <f t="shared" si="66"/>
        <v>1</v>
      </c>
      <c r="O168" s="104">
        <f t="shared" si="67"/>
        <v>5.1115408875530992E-11</v>
      </c>
      <c r="P168" s="105">
        <f t="shared" ca="1" si="68"/>
        <v>1.1166819102647181</v>
      </c>
      <c r="Q168" s="106">
        <f t="shared" ca="1" si="69"/>
        <v>0.47864556477074738</v>
      </c>
      <c r="R168" s="107">
        <f t="shared" ca="1" si="70"/>
        <v>-3.0443227356102929</v>
      </c>
      <c r="S168" s="108">
        <f t="shared" ca="1" si="71"/>
        <v>-132.478178422615</v>
      </c>
      <c r="T168" s="116">
        <f t="shared" ca="1" si="72"/>
        <v>47.521821577384998</v>
      </c>
      <c r="V168" s="72">
        <f t="shared" ca="1" si="73"/>
        <v>9386.85</v>
      </c>
      <c r="W168" s="72">
        <f t="shared" si="74"/>
        <v>88112952.922499999</v>
      </c>
      <c r="Y168" s="110">
        <f t="shared" si="75"/>
        <v>44.724191547148344</v>
      </c>
      <c r="Z168" s="111">
        <f t="shared" si="76"/>
        <v>-30.656817119472514</v>
      </c>
      <c r="AA168" s="72">
        <f t="shared" si="77"/>
        <v>149.34318288052748</v>
      </c>
      <c r="AB168" s="110">
        <f t="shared" ca="1" si="78"/>
        <v>-30.267289014924632</v>
      </c>
      <c r="AC168" s="111">
        <f t="shared" ca="1" si="79"/>
        <v>-101.82136130314252</v>
      </c>
      <c r="AD168" s="72">
        <f t="shared" ca="1" si="80"/>
        <v>78.178638696857476</v>
      </c>
    </row>
    <row r="169" spans="1:30">
      <c r="A169" s="118">
        <v>9441.2000000000007</v>
      </c>
      <c r="B169" s="101">
        <f t="shared" ca="1" si="54"/>
        <v>526.33997829860596</v>
      </c>
      <c r="C169" s="102">
        <f t="shared" ca="1" si="55"/>
        <v>1.5688964129695306</v>
      </c>
      <c r="D169" s="102">
        <f t="shared" si="56"/>
        <v>1.0381395815427819</v>
      </c>
      <c r="E169" s="103">
        <f t="shared" si="57"/>
        <v>0.27190283688348937</v>
      </c>
      <c r="F169" s="101">
        <f t="shared" si="58"/>
        <v>3227.0521674973552</v>
      </c>
      <c r="G169" s="104">
        <f t="shared" si="59"/>
        <v>1.5704864464570216</v>
      </c>
      <c r="H169" s="113">
        <f t="shared" si="60"/>
        <v>403.38274108913487</v>
      </c>
      <c r="I169" s="114">
        <f t="shared" si="61"/>
        <v>1.5683172890909729</v>
      </c>
      <c r="J169" s="101">
        <f t="shared" si="62"/>
        <v>1.1627105567106475</v>
      </c>
      <c r="K169" s="104">
        <f t="shared" si="63"/>
        <v>0.5354104817906663</v>
      </c>
      <c r="L169" s="102">
        <f t="shared" si="64"/>
        <v>1</v>
      </c>
      <c r="M169" s="103">
        <f t="shared" si="65"/>
        <v>3.8558525885333999E-10</v>
      </c>
      <c r="N169" s="101">
        <f t="shared" si="66"/>
        <v>1</v>
      </c>
      <c r="O169" s="104">
        <f t="shared" si="67"/>
        <v>5.1411367847111995E-11</v>
      </c>
      <c r="P169" s="105">
        <f t="shared" ca="1" si="68"/>
        <v>1.1179658755118735</v>
      </c>
      <c r="Q169" s="106">
        <f t="shared" ca="1" si="69"/>
        <v>0.48105206574233822</v>
      </c>
      <c r="R169" s="107">
        <f t="shared" ca="1" si="70"/>
        <v>-3.1138503528975834</v>
      </c>
      <c r="S169" s="108">
        <f t="shared" ca="1" si="71"/>
        <v>-132.67555566669844</v>
      </c>
      <c r="T169" s="116">
        <f t="shared" ca="1" si="72"/>
        <v>47.324444333301557</v>
      </c>
      <c r="V169" s="72">
        <f t="shared" ca="1" si="73"/>
        <v>9441.2000000000007</v>
      </c>
      <c r="W169" s="72">
        <f t="shared" si="74"/>
        <v>89136257.440000013</v>
      </c>
      <c r="Y169" s="110">
        <f t="shared" si="75"/>
        <v>44.711193874084437</v>
      </c>
      <c r="Z169" s="111">
        <f t="shared" si="76"/>
        <v>-30.801044491894068</v>
      </c>
      <c r="AA169" s="72">
        <f t="shared" si="77"/>
        <v>149.19895550810594</v>
      </c>
      <c r="AB169" s="110">
        <f t="shared" ca="1" si="78"/>
        <v>-30.323818959148028</v>
      </c>
      <c r="AC169" s="111">
        <f t="shared" ca="1" si="79"/>
        <v>-101.87451117480437</v>
      </c>
      <c r="AD169" s="72">
        <f t="shared" ca="1" si="80"/>
        <v>78.125488825195632</v>
      </c>
    </row>
    <row r="170" spans="1:30">
      <c r="A170" s="118">
        <v>9495.5499999999993</v>
      </c>
      <c r="B170" s="101">
        <f t="shared" ca="1" si="54"/>
        <v>529.36994004666656</v>
      </c>
      <c r="C170" s="102">
        <f t="shared" ca="1" si="55"/>
        <v>1.5689072875444681</v>
      </c>
      <c r="D170" s="102">
        <f t="shared" si="56"/>
        <v>1.038571781089044</v>
      </c>
      <c r="E170" s="103">
        <f t="shared" si="57"/>
        <v>0.27339146139753617</v>
      </c>
      <c r="F170" s="101">
        <f t="shared" si="58"/>
        <v>3245.6292835959102</v>
      </c>
      <c r="G170" s="104">
        <f t="shared" si="59"/>
        <v>1.570488220129457</v>
      </c>
      <c r="H170" s="113">
        <f t="shared" si="60"/>
        <v>405.70487361765089</v>
      </c>
      <c r="I170" s="114">
        <f t="shared" si="61"/>
        <v>1.568331478385107</v>
      </c>
      <c r="J170" s="101">
        <f t="shared" si="62"/>
        <v>1.164456528266355</v>
      </c>
      <c r="K170" s="104">
        <f t="shared" si="63"/>
        <v>0.53793271349900673</v>
      </c>
      <c r="L170" s="102">
        <f t="shared" si="64"/>
        <v>1</v>
      </c>
      <c r="M170" s="103">
        <f t="shared" si="65"/>
        <v>3.8780495114019746E-10</v>
      </c>
      <c r="N170" s="101">
        <f t="shared" si="66"/>
        <v>1</v>
      </c>
      <c r="O170" s="104">
        <f t="shared" si="67"/>
        <v>5.1707326818692986E-11</v>
      </c>
      <c r="P170" s="105">
        <f t="shared" ca="1" si="68"/>
        <v>1.1192557772215845</v>
      </c>
      <c r="Q170" s="106">
        <f t="shared" ca="1" si="69"/>
        <v>0.48345327689416989</v>
      </c>
      <c r="R170" s="107">
        <f t="shared" ca="1" si="70"/>
        <v>-3.1831428840900826</v>
      </c>
      <c r="S170" s="108">
        <f t="shared" ca="1" si="71"/>
        <v>-132.8722679659646</v>
      </c>
      <c r="T170" s="116">
        <f t="shared" ca="1" si="72"/>
        <v>47.127732034035404</v>
      </c>
      <c r="V170" s="72">
        <f t="shared" ca="1" si="73"/>
        <v>9495.5499999999993</v>
      </c>
      <c r="W170" s="72">
        <f t="shared" si="74"/>
        <v>90165469.80249998</v>
      </c>
      <c r="Y170" s="110">
        <f t="shared" si="75"/>
        <v>44.698160286470625</v>
      </c>
      <c r="Z170" s="111">
        <f t="shared" si="76"/>
        <v>-30.944846361066784</v>
      </c>
      <c r="AA170" s="72">
        <f t="shared" si="77"/>
        <v>149.05515363893321</v>
      </c>
      <c r="AB170" s="110">
        <f t="shared" ca="1" si="78"/>
        <v>-30.380077902726704</v>
      </c>
      <c r="AC170" s="111">
        <f t="shared" ca="1" si="79"/>
        <v>-101.92742160489784</v>
      </c>
      <c r="AD170" s="72">
        <f t="shared" ca="1" si="80"/>
        <v>78.072578395102155</v>
      </c>
    </row>
    <row r="171" spans="1:30">
      <c r="A171" s="118">
        <v>9549.9</v>
      </c>
      <c r="B171" s="101">
        <f t="shared" ca="1" si="54"/>
        <v>532.39990185661622</v>
      </c>
      <c r="C171" s="102">
        <f t="shared" ca="1" si="55"/>
        <v>1.5689180383419732</v>
      </c>
      <c r="D171" s="102">
        <f t="shared" si="56"/>
        <v>1.0390062801957469</v>
      </c>
      <c r="E171" s="103">
        <f t="shared" si="57"/>
        <v>0.27487884415795999</v>
      </c>
      <c r="F171" s="101">
        <f t="shared" si="58"/>
        <v>3264.2063997045602</v>
      </c>
      <c r="G171" s="104">
        <f t="shared" si="59"/>
        <v>1.5704899736133906</v>
      </c>
      <c r="H171" s="113">
        <f t="shared" si="60"/>
        <v>408.02700622692026</v>
      </c>
      <c r="I171" s="114">
        <f t="shared" si="61"/>
        <v>1.5683455061731568</v>
      </c>
      <c r="J171" s="101">
        <f t="shared" si="62"/>
        <v>1.1662098854816112</v>
      </c>
      <c r="K171" s="104">
        <f t="shared" si="63"/>
        <v>0.54044737698422896</v>
      </c>
      <c r="L171" s="102">
        <f t="shared" si="64"/>
        <v>1</v>
      </c>
      <c r="M171" s="103">
        <f t="shared" si="65"/>
        <v>3.9002464342705498E-10</v>
      </c>
      <c r="N171" s="101">
        <f t="shared" si="66"/>
        <v>1</v>
      </c>
      <c r="O171" s="104">
        <f t="shared" si="67"/>
        <v>5.2003285790273989E-11</v>
      </c>
      <c r="P171" s="105">
        <f t="shared" ca="1" si="68"/>
        <v>1.1205515950557015</v>
      </c>
      <c r="Q171" s="106">
        <f t="shared" ca="1" si="69"/>
        <v>0.48584919221688599</v>
      </c>
      <c r="R171" s="107">
        <f t="shared" ca="1" si="70"/>
        <v>-3.252202932565246</v>
      </c>
      <c r="S171" s="108">
        <f t="shared" ca="1" si="71"/>
        <v>-133.06831536154795</v>
      </c>
      <c r="T171" s="116">
        <f t="shared" ca="1" si="72"/>
        <v>46.931684638452055</v>
      </c>
      <c r="V171" s="72">
        <f t="shared" ca="1" si="73"/>
        <v>9549.9</v>
      </c>
      <c r="W171" s="72">
        <f t="shared" si="74"/>
        <v>91200590.00999999</v>
      </c>
      <c r="Y171" s="110">
        <f t="shared" si="75"/>
        <v>44.685091222975799</v>
      </c>
      <c r="Z171" s="111">
        <f t="shared" si="76"/>
        <v>-31.08822269989696</v>
      </c>
      <c r="AA171" s="72">
        <f t="shared" si="77"/>
        <v>148.91177730010304</v>
      </c>
      <c r="AB171" s="110">
        <f t="shared" ca="1" si="78"/>
        <v>-30.436068887707052</v>
      </c>
      <c r="AC171" s="111">
        <f t="shared" ca="1" si="79"/>
        <v>-101.98009266165103</v>
      </c>
      <c r="AD171" s="72">
        <f t="shared" ca="1" si="80"/>
        <v>78.019907338348972</v>
      </c>
    </row>
    <row r="172" spans="1:30">
      <c r="A172" s="118">
        <v>9605.5249999999996</v>
      </c>
      <c r="B172" s="101">
        <f t="shared" ca="1" si="54"/>
        <v>535.50094379041207</v>
      </c>
      <c r="C172" s="102">
        <f t="shared" ca="1" si="55"/>
        <v>1.5689289153686417</v>
      </c>
      <c r="D172" s="102">
        <f t="shared" si="56"/>
        <v>1.0394533503458583</v>
      </c>
      <c r="E172" s="103">
        <f t="shared" si="57"/>
        <v>0.27639982849313705</v>
      </c>
      <c r="F172" s="101">
        <f t="shared" si="58"/>
        <v>3283.2193175353241</v>
      </c>
      <c r="G172" s="104">
        <f t="shared" si="59"/>
        <v>1.5704917476855693</v>
      </c>
      <c r="H172" s="113">
        <f t="shared" si="60"/>
        <v>410.40361397038765</v>
      </c>
      <c r="I172" s="114">
        <f t="shared" si="61"/>
        <v>1.5683596986671557</v>
      </c>
      <c r="J172" s="101">
        <f t="shared" si="62"/>
        <v>1.1680119876840327</v>
      </c>
      <c r="K172" s="104">
        <f t="shared" si="63"/>
        <v>0.54301319795192848</v>
      </c>
      <c r="L172" s="102">
        <f t="shared" si="64"/>
        <v>1</v>
      </c>
      <c r="M172" s="103">
        <f t="shared" si="65"/>
        <v>3.9229640761208623E-10</v>
      </c>
      <c r="N172" s="101">
        <f t="shared" si="66"/>
        <v>1</v>
      </c>
      <c r="O172" s="104">
        <f t="shared" si="67"/>
        <v>5.2306187681611489E-11</v>
      </c>
      <c r="P172" s="105">
        <f t="shared" ca="1" si="68"/>
        <v>1.1218839162697127</v>
      </c>
      <c r="Q172" s="106">
        <f t="shared" ca="1" si="69"/>
        <v>0.4882958238174589</v>
      </c>
      <c r="R172" s="107">
        <f t="shared" ca="1" si="70"/>
        <v>-3.3226449986619238</v>
      </c>
      <c r="S172" s="108">
        <f t="shared" ca="1" si="71"/>
        <v>-133.26827344028732</v>
      </c>
      <c r="T172" s="116">
        <f t="shared" ca="1" si="72"/>
        <v>46.731726559712683</v>
      </c>
      <c r="V172" s="72">
        <f t="shared" ca="1" si="73"/>
        <v>9605.5249999999996</v>
      </c>
      <c r="W172" s="72">
        <f t="shared" si="74"/>
        <v>92266110.52562499</v>
      </c>
      <c r="Y172" s="110">
        <f t="shared" si="75"/>
        <v>44.671679293086569</v>
      </c>
      <c r="Z172" s="111">
        <f t="shared" si="76"/>
        <v>-31.234521889228169</v>
      </c>
      <c r="AA172" s="72">
        <f t="shared" si="77"/>
        <v>148.76547811077182</v>
      </c>
      <c r="AB172" s="110">
        <f t="shared" ca="1" si="78"/>
        <v>-30.493099023914493</v>
      </c>
      <c r="AC172" s="111">
        <f t="shared" ca="1" si="79"/>
        <v>-102.0337515510591</v>
      </c>
      <c r="AD172" s="72">
        <f t="shared" ca="1" si="80"/>
        <v>77.966248448940902</v>
      </c>
    </row>
    <row r="173" spans="1:30">
      <c r="A173" s="118">
        <v>9661.15</v>
      </c>
      <c r="B173" s="101">
        <f t="shared" ca="1" si="54"/>
        <v>538.60198578683332</v>
      </c>
      <c r="C173" s="102">
        <f t="shared" ca="1" si="55"/>
        <v>1.5689396671446909</v>
      </c>
      <c r="D173" s="102">
        <f t="shared" si="56"/>
        <v>1.0399028230895879</v>
      </c>
      <c r="E173" s="103">
        <f t="shared" si="57"/>
        <v>0.27791950152429867</v>
      </c>
      <c r="F173" s="101">
        <f t="shared" si="58"/>
        <v>3302.2322353763025</v>
      </c>
      <c r="G173" s="104">
        <f t="shared" si="59"/>
        <v>1.5704935013289676</v>
      </c>
      <c r="H173" s="113">
        <f t="shared" si="60"/>
        <v>412.7802217955695</v>
      </c>
      <c r="I173" s="114">
        <f t="shared" si="61"/>
        <v>1.5683737277328216</v>
      </c>
      <c r="J173" s="101">
        <f t="shared" si="62"/>
        <v>1.1698217556992456</v>
      </c>
      <c r="K173" s="104">
        <f t="shared" si="63"/>
        <v>0.54557109683018579</v>
      </c>
      <c r="L173" s="102">
        <f t="shared" si="64"/>
        <v>1</v>
      </c>
      <c r="M173" s="103">
        <f t="shared" si="65"/>
        <v>3.9456817179711748E-10</v>
      </c>
      <c r="N173" s="101">
        <f t="shared" si="66"/>
        <v>1</v>
      </c>
      <c r="O173" s="104">
        <f t="shared" si="67"/>
        <v>5.2609089572948988E-11</v>
      </c>
      <c r="P173" s="105">
        <f t="shared" ca="1" si="68"/>
        <v>1.1232223913351542</v>
      </c>
      <c r="Q173" s="106">
        <f t="shared" ca="1" si="69"/>
        <v>0.49073689626862449</v>
      </c>
      <c r="R173" s="107">
        <f t="shared" ca="1" si="70"/>
        <v>-3.3928488955966971</v>
      </c>
      <c r="S173" s="108">
        <f t="shared" ca="1" si="71"/>
        <v>-133.46753525006184</v>
      </c>
      <c r="T173" s="116">
        <f t="shared" ca="1" si="72"/>
        <v>46.532464749938157</v>
      </c>
      <c r="V173" s="72">
        <f t="shared" ca="1" si="73"/>
        <v>9661.15</v>
      </c>
      <c r="W173" s="72">
        <f t="shared" si="74"/>
        <v>93337819.32249999</v>
      </c>
      <c r="Y173" s="110">
        <f t="shared" si="75"/>
        <v>44.658231126296769</v>
      </c>
      <c r="Z173" s="111">
        <f t="shared" si="76"/>
        <v>-31.380375369539742</v>
      </c>
      <c r="AA173" s="72">
        <f t="shared" si="77"/>
        <v>148.61962463046027</v>
      </c>
      <c r="AB173" s="110">
        <f t="shared" ca="1" si="78"/>
        <v>-30.549854754059464</v>
      </c>
      <c r="AC173" s="111">
        <f t="shared" ca="1" si="79"/>
        <v>-102.08715988052207</v>
      </c>
      <c r="AD173" s="72">
        <f t="shared" ca="1" si="80"/>
        <v>77.912840119477934</v>
      </c>
    </row>
    <row r="174" spans="1:30">
      <c r="A174" s="118">
        <v>9716.7749999999996</v>
      </c>
      <c r="B174" s="101">
        <f t="shared" ca="1" si="54"/>
        <v>541.70302784480452</v>
      </c>
      <c r="C174" s="102">
        <f t="shared" ca="1" si="55"/>
        <v>1.5689502958211534</v>
      </c>
      <c r="D174" s="102">
        <f t="shared" si="56"/>
        <v>1.0403546953129013</v>
      </c>
      <c r="E174" s="103">
        <f t="shared" si="57"/>
        <v>0.27943785793652504</v>
      </c>
      <c r="F174" s="101">
        <f t="shared" si="58"/>
        <v>3321.2451532273194</v>
      </c>
      <c r="G174" s="104">
        <f t="shared" si="59"/>
        <v>1.5704952348944274</v>
      </c>
      <c r="H174" s="113">
        <f t="shared" si="60"/>
        <v>415.15682970106235</v>
      </c>
      <c r="I174" s="114">
        <f t="shared" si="61"/>
        <v>1.5683875961768361</v>
      </c>
      <c r="J174" s="101">
        <f t="shared" si="62"/>
        <v>1.1716391540043436</v>
      </c>
      <c r="K174" s="104">
        <f t="shared" si="63"/>
        <v>0.54812107693518342</v>
      </c>
      <c r="L174" s="102">
        <f t="shared" si="64"/>
        <v>1</v>
      </c>
      <c r="M174" s="103">
        <f t="shared" si="65"/>
        <v>3.9683993598214873E-10</v>
      </c>
      <c r="N174" s="101">
        <f t="shared" si="66"/>
        <v>1</v>
      </c>
      <c r="O174" s="104">
        <f t="shared" si="67"/>
        <v>5.2911991464286487E-11</v>
      </c>
      <c r="P174" s="105">
        <f t="shared" ca="1" si="68"/>
        <v>1.1245669984557534</v>
      </c>
      <c r="Q174" s="106">
        <f t="shared" ca="1" si="69"/>
        <v>0.493172403936808</v>
      </c>
      <c r="R174" s="107">
        <f t="shared" ca="1" si="70"/>
        <v>-3.4628172459792603</v>
      </c>
      <c r="S174" s="108">
        <f t="shared" ca="1" si="71"/>
        <v>-133.66610094515309</v>
      </c>
      <c r="T174" s="116">
        <f t="shared" ca="1" si="72"/>
        <v>46.33389905484691</v>
      </c>
      <c r="V174" s="72">
        <f t="shared" ca="1" si="73"/>
        <v>9716.7749999999996</v>
      </c>
      <c r="W174" s="72">
        <f t="shared" si="74"/>
        <v>94415716.40062499</v>
      </c>
      <c r="Y174" s="110">
        <f t="shared" si="75"/>
        <v>44.644747185941284</v>
      </c>
      <c r="Z174" s="111">
        <f t="shared" si="76"/>
        <v>-31.525783190125686</v>
      </c>
      <c r="AA174" s="72">
        <f t="shared" si="77"/>
        <v>148.47421680987432</v>
      </c>
      <c r="AB174" s="110">
        <f t="shared" ca="1" si="78"/>
        <v>-30.606339164086545</v>
      </c>
      <c r="AC174" s="111">
        <f t="shared" ca="1" si="79"/>
        <v>-102.14031775502737</v>
      </c>
      <c r="AD174" s="72">
        <f t="shared" ca="1" si="80"/>
        <v>77.859682244972632</v>
      </c>
    </row>
    <row r="175" spans="1:30">
      <c r="A175" s="118">
        <v>9772.4</v>
      </c>
      <c r="B175" s="101">
        <f t="shared" ca="1" si="54"/>
        <v>544.80406996327463</v>
      </c>
      <c r="C175" s="102">
        <f t="shared" ca="1" si="55"/>
        <v>1.5689608035000873</v>
      </c>
      <c r="D175" s="102">
        <f t="shared" si="56"/>
        <v>1.0408089638905609</v>
      </c>
      <c r="E175" s="103">
        <f t="shared" si="57"/>
        <v>0.28095489244838434</v>
      </c>
      <c r="F175" s="101">
        <f t="shared" si="58"/>
        <v>3340.2580710882039</v>
      </c>
      <c r="G175" s="104">
        <f t="shared" si="59"/>
        <v>1.5704969487248028</v>
      </c>
      <c r="H175" s="113">
        <f t="shared" si="60"/>
        <v>417.5334376854949</v>
      </c>
      <c r="I175" s="114">
        <f t="shared" si="61"/>
        <v>1.568401306741978</v>
      </c>
      <c r="J175" s="101">
        <f t="shared" si="62"/>
        <v>1.1734641471471767</v>
      </c>
      <c r="K175" s="104">
        <f t="shared" si="63"/>
        <v>0.55066314197452915</v>
      </c>
      <c r="L175" s="102">
        <f t="shared" si="64"/>
        <v>1</v>
      </c>
      <c r="M175" s="103">
        <f t="shared" si="65"/>
        <v>3.9911170016717998E-10</v>
      </c>
      <c r="N175" s="101">
        <f t="shared" si="66"/>
        <v>1</v>
      </c>
      <c r="O175" s="104">
        <f t="shared" si="67"/>
        <v>5.3214893355623993E-11</v>
      </c>
      <c r="P175" s="105">
        <f t="shared" ca="1" si="68"/>
        <v>1.1259177158399492</v>
      </c>
      <c r="Q175" s="106">
        <f t="shared" ca="1" si="69"/>
        <v>0.49560234145697779</v>
      </c>
      <c r="R175" s="107">
        <f t="shared" ca="1" si="70"/>
        <v>-3.5325526184392952</v>
      </c>
      <c r="S175" s="108">
        <f t="shared" ca="1" si="71"/>
        <v>-133.86397071613496</v>
      </c>
      <c r="T175" s="116">
        <f t="shared" ca="1" si="72"/>
        <v>46.136029283865042</v>
      </c>
      <c r="V175" s="72">
        <f t="shared" ca="1" si="73"/>
        <v>9772.4</v>
      </c>
      <c r="W175" s="72">
        <f t="shared" si="74"/>
        <v>95499801.75999999</v>
      </c>
      <c r="Y175" s="110">
        <f t="shared" si="75"/>
        <v>44.631227932974667</v>
      </c>
      <c r="Z175" s="111">
        <f t="shared" si="76"/>
        <v>-31.670745425910745</v>
      </c>
      <c r="AA175" s="72">
        <f t="shared" si="77"/>
        <v>148.32925457408925</v>
      </c>
      <c r="AB175" s="110">
        <f t="shared" ca="1" si="78"/>
        <v>-30.662555283579973</v>
      </c>
      <c r="AC175" s="111">
        <f t="shared" ca="1" si="79"/>
        <v>-102.19322529022421</v>
      </c>
      <c r="AD175" s="72">
        <f t="shared" ca="1" si="80"/>
        <v>77.806774709775794</v>
      </c>
    </row>
    <row r="176" spans="1:30">
      <c r="A176" s="118">
        <v>9829.2999999999993</v>
      </c>
      <c r="B176" s="101">
        <f t="shared" ca="1" si="54"/>
        <v>547.97619220980437</v>
      </c>
      <c r="C176" s="102">
        <f t="shared" ca="1" si="55"/>
        <v>1.5689714289813446</v>
      </c>
      <c r="D176" s="102">
        <f t="shared" si="56"/>
        <v>1.0412761210220223</v>
      </c>
      <c r="E176" s="103">
        <f t="shared" si="57"/>
        <v>0.28250532626846536</v>
      </c>
      <c r="F176" s="101">
        <f t="shared" si="58"/>
        <v>3359.7067906718898</v>
      </c>
      <c r="G176" s="104">
        <f t="shared" si="59"/>
        <v>1.5704986817689848</v>
      </c>
      <c r="H176" s="113">
        <f t="shared" si="60"/>
        <v>419.9645208096232</v>
      </c>
      <c r="I176" s="114">
        <f t="shared" si="61"/>
        <v>1.5684151710176024</v>
      </c>
      <c r="J176" s="101">
        <f t="shared" si="62"/>
        <v>1.1753387926676417</v>
      </c>
      <c r="K176" s="104">
        <f t="shared" si="63"/>
        <v>0.55325528956150372</v>
      </c>
      <c r="L176" s="102">
        <f t="shared" si="64"/>
        <v>1</v>
      </c>
      <c r="M176" s="103">
        <f t="shared" si="65"/>
        <v>4.0143553625038495E-10</v>
      </c>
      <c r="N176" s="101">
        <f t="shared" si="66"/>
        <v>1</v>
      </c>
      <c r="O176" s="104">
        <f t="shared" si="67"/>
        <v>5.3524738166717989E-11</v>
      </c>
      <c r="P176" s="105">
        <f t="shared" ca="1" si="68"/>
        <v>1.1273056927270966</v>
      </c>
      <c r="Q176" s="106">
        <f t="shared" ca="1" si="69"/>
        <v>0.49808220798325109</v>
      </c>
      <c r="R176" s="107">
        <f t="shared" ca="1" si="70"/>
        <v>-3.6036479930169216</v>
      </c>
      <c r="S176" s="108">
        <f t="shared" ca="1" si="71"/>
        <v>-134.06565613113429</v>
      </c>
      <c r="T176" s="116">
        <f t="shared" ca="1" si="72"/>
        <v>45.93434386886571</v>
      </c>
      <c r="V176" s="72">
        <f t="shared" ca="1" si="73"/>
        <v>9829.2999999999993</v>
      </c>
      <c r="W176" s="72">
        <f t="shared" si="74"/>
        <v>96615138.48999998</v>
      </c>
      <c r="Y176" s="110">
        <f t="shared" si="75"/>
        <v>44.617362742546845</v>
      </c>
      <c r="Z176" s="111">
        <f t="shared" si="76"/>
        <v>-31.818569474210978</v>
      </c>
      <c r="AA176" s="72">
        <f t="shared" si="77"/>
        <v>148.18143052578901</v>
      </c>
      <c r="AB176" s="110">
        <f t="shared" ca="1" si="78"/>
        <v>-30.719785467729771</v>
      </c>
      <c r="AC176" s="111">
        <f t="shared" ca="1" si="79"/>
        <v>-102.24708665692334</v>
      </c>
      <c r="AD176" s="72">
        <f t="shared" ca="1" si="80"/>
        <v>77.752913343076656</v>
      </c>
    </row>
    <row r="177" spans="1:30">
      <c r="A177" s="118">
        <v>9886.2000000000007</v>
      </c>
      <c r="B177" s="101">
        <f t="shared" ca="1" si="54"/>
        <v>551.1483145174891</v>
      </c>
      <c r="C177" s="102">
        <f t="shared" ca="1" si="55"/>
        <v>1.568981932153144</v>
      </c>
      <c r="D177" s="102">
        <f t="shared" si="56"/>
        <v>1.0417457789714701</v>
      </c>
      <c r="E177" s="103">
        <f t="shared" si="57"/>
        <v>0.28405436582232896</v>
      </c>
      <c r="F177" s="101">
        <f t="shared" si="58"/>
        <v>3379.1555102655511</v>
      </c>
      <c r="G177" s="104">
        <f t="shared" si="59"/>
        <v>1.5705003948641056</v>
      </c>
      <c r="H177" s="113">
        <f t="shared" si="60"/>
        <v>422.3956040135472</v>
      </c>
      <c r="I177" s="114">
        <f t="shared" si="61"/>
        <v>1.5684288757025173</v>
      </c>
      <c r="J177" s="101">
        <f t="shared" si="62"/>
        <v>1.1772213103757827</v>
      </c>
      <c r="K177" s="104">
        <f t="shared" si="63"/>
        <v>0.55583916415577939</v>
      </c>
      <c r="L177" s="102">
        <f t="shared" si="64"/>
        <v>1</v>
      </c>
      <c r="M177" s="103">
        <f t="shared" si="65"/>
        <v>4.0375937233358998E-10</v>
      </c>
      <c r="N177" s="101">
        <f t="shared" si="66"/>
        <v>1</v>
      </c>
      <c r="O177" s="104">
        <f t="shared" si="67"/>
        <v>5.3834582977811997E-11</v>
      </c>
      <c r="P177" s="105">
        <f t="shared" ca="1" si="68"/>
        <v>1.1287000170924679</v>
      </c>
      <c r="Q177" s="106">
        <f t="shared" ca="1" si="69"/>
        <v>0.50055623557927975</v>
      </c>
      <c r="R177" s="107">
        <f t="shared" ca="1" si="70"/>
        <v>-3.6745048567899463</v>
      </c>
      <c r="S177" s="108">
        <f t="shared" ca="1" si="71"/>
        <v>-134.2666138711385</v>
      </c>
      <c r="T177" s="116">
        <f t="shared" ca="1" si="72"/>
        <v>45.733386128861497</v>
      </c>
      <c r="V177" s="72">
        <f t="shared" ca="1" si="73"/>
        <v>9886.2000000000007</v>
      </c>
      <c r="W177" s="72">
        <f t="shared" si="74"/>
        <v>97736950.440000013</v>
      </c>
      <c r="Y177" s="110">
        <f t="shared" si="75"/>
        <v>44.603461570132559</v>
      </c>
      <c r="Z177" s="111">
        <f t="shared" si="76"/>
        <v>-31.965927515822191</v>
      </c>
      <c r="AA177" s="72">
        <f t="shared" si="77"/>
        <v>148.03407248417781</v>
      </c>
      <c r="AB177" s="110">
        <f t="shared" ca="1" si="78"/>
        <v>-30.776741159088505</v>
      </c>
      <c r="AC177" s="111">
        <f t="shared" ca="1" si="79"/>
        <v>-102.30068635531632</v>
      </c>
      <c r="AD177" s="72">
        <f t="shared" ca="1" si="80"/>
        <v>77.699313644683684</v>
      </c>
    </row>
    <row r="178" spans="1:30">
      <c r="A178" s="118">
        <v>9943.1</v>
      </c>
      <c r="B178" s="101">
        <f t="shared" ca="1" si="54"/>
        <v>554.32043688527881</v>
      </c>
      <c r="C178" s="102">
        <f t="shared" ca="1" si="55"/>
        <v>1.5689923151152463</v>
      </c>
      <c r="D178" s="102">
        <f t="shared" si="56"/>
        <v>1.0422179343580502</v>
      </c>
      <c r="E178" s="103">
        <f t="shared" si="57"/>
        <v>0.28560200556601162</v>
      </c>
      <c r="F178" s="101">
        <f t="shared" si="58"/>
        <v>3398.6042298690145</v>
      </c>
      <c r="G178" s="104">
        <f t="shared" si="59"/>
        <v>1.5705020883526442</v>
      </c>
      <c r="H178" s="113">
        <f t="shared" si="60"/>
        <v>424.8266872958967</v>
      </c>
      <c r="I178" s="114">
        <f t="shared" si="61"/>
        <v>1.5684424235365053</v>
      </c>
      <c r="J178" s="101">
        <f t="shared" si="62"/>
        <v>1.1791116625664362</v>
      </c>
      <c r="K178" s="104">
        <f t="shared" si="63"/>
        <v>0.55841477096288983</v>
      </c>
      <c r="L178" s="102">
        <f t="shared" si="64"/>
        <v>1</v>
      </c>
      <c r="M178" s="103">
        <f t="shared" si="65"/>
        <v>4.0608320841679501E-10</v>
      </c>
      <c r="N178" s="101">
        <f t="shared" si="66"/>
        <v>1</v>
      </c>
      <c r="O178" s="104">
        <f t="shared" si="67"/>
        <v>5.4144427788905993E-11</v>
      </c>
      <c r="P178" s="105">
        <f t="shared" ca="1" si="68"/>
        <v>1.1301006656342356</v>
      </c>
      <c r="Q178" s="106">
        <f t="shared" ca="1" si="69"/>
        <v>0.50302441936086428</v>
      </c>
      <c r="R178" s="107">
        <f t="shared" ca="1" si="70"/>
        <v>-3.7451257923713843</v>
      </c>
      <c r="S178" s="108">
        <f t="shared" ca="1" si="71"/>
        <v>-134.46684425515633</v>
      </c>
      <c r="T178" s="116">
        <f t="shared" ca="1" si="72"/>
        <v>45.533155744843668</v>
      </c>
      <c r="V178" s="72">
        <f t="shared" ca="1" si="73"/>
        <v>9943.1</v>
      </c>
      <c r="W178" s="72">
        <f t="shared" si="74"/>
        <v>98865237.610000014</v>
      </c>
      <c r="Y178" s="110">
        <f t="shared" si="75"/>
        <v>44.589524901258635</v>
      </c>
      <c r="Z178" s="111">
        <f t="shared" si="76"/>
        <v>-32.112819711644079</v>
      </c>
      <c r="AA178" s="72">
        <f t="shared" si="77"/>
        <v>147.88718028835592</v>
      </c>
      <c r="AB178" s="110">
        <f t="shared" ca="1" si="78"/>
        <v>-30.833425425796023</v>
      </c>
      <c r="AC178" s="111">
        <f t="shared" ca="1" si="79"/>
        <v>-102.35402454351228</v>
      </c>
      <c r="AD178" s="72">
        <f t="shared" ca="1" si="80"/>
        <v>77.645975456487719</v>
      </c>
    </row>
    <row r="179" spans="1:30">
      <c r="A179" s="118">
        <v>10000</v>
      </c>
      <c r="B179" s="101">
        <f t="shared" ca="1" si="54"/>
        <v>557.49255931214725</v>
      </c>
      <c r="C179" s="102">
        <f t="shared" ca="1" si="55"/>
        <v>1.5690025799196223</v>
      </c>
      <c r="D179" s="102">
        <f t="shared" si="56"/>
        <v>1.0426925837890699</v>
      </c>
      <c r="E179" s="103">
        <f t="shared" si="57"/>
        <v>0.28714823999238759</v>
      </c>
      <c r="F179" s="101">
        <f t="shared" si="58"/>
        <v>3418.0529494821139</v>
      </c>
      <c r="G179" s="104">
        <f t="shared" si="59"/>
        <v>1.5705037625692848</v>
      </c>
      <c r="H179" s="113">
        <f t="shared" si="60"/>
        <v>427.25777065533322</v>
      </c>
      <c r="I179" s="114">
        <f t="shared" si="61"/>
        <v>1.568455817196992</v>
      </c>
      <c r="J179" s="101">
        <f t="shared" si="62"/>
        <v>1.1810098116194299</v>
      </c>
      <c r="K179" s="104">
        <f t="shared" si="63"/>
        <v>0.56098211559387845</v>
      </c>
      <c r="L179" s="102">
        <f t="shared" si="64"/>
        <v>1</v>
      </c>
      <c r="M179" s="103">
        <f t="shared" si="65"/>
        <v>4.0840704449999999E-10</v>
      </c>
      <c r="N179" s="101">
        <f t="shared" si="66"/>
        <v>1</v>
      </c>
      <c r="O179" s="104">
        <f t="shared" si="67"/>
        <v>5.4454272599999995E-11</v>
      </c>
      <c r="P179" s="105">
        <f t="shared" ca="1" si="68"/>
        <v>1.1315076150607593</v>
      </c>
      <c r="Q179" s="106">
        <f t="shared" ca="1" si="69"/>
        <v>0.50548675472838944</v>
      </c>
      <c r="R179" s="107">
        <f t="shared" ca="1" si="70"/>
        <v>-3.8155133289409369</v>
      </c>
      <c r="S179" s="108">
        <f t="shared" ca="1" si="71"/>
        <v>-134.66634764001364</v>
      </c>
      <c r="T179" s="116">
        <f t="shared" ca="1" si="72"/>
        <v>45.33365235998636</v>
      </c>
      <c r="V179" s="72">
        <f t="shared" ca="1" si="73"/>
        <v>10000</v>
      </c>
      <c r="W179" s="72">
        <f t="shared" si="74"/>
        <v>100000000</v>
      </c>
      <c r="Y179" s="110">
        <f t="shared" si="75"/>
        <v>44.575553218763361</v>
      </c>
      <c r="Z179" s="111">
        <f t="shared" si="76"/>
        <v>-32.259246248936591</v>
      </c>
      <c r="AA179" s="72">
        <f t="shared" si="77"/>
        <v>147.74075375106341</v>
      </c>
      <c r="AB179" s="110">
        <f t="shared" ca="1" si="78"/>
        <v>-30.889841279870296</v>
      </c>
      <c r="AC179" s="111">
        <f t="shared" ca="1" si="79"/>
        <v>-102.40710139107702</v>
      </c>
      <c r="AD179" s="72">
        <f t="shared" ca="1" si="80"/>
        <v>77.59289860892298</v>
      </c>
    </row>
    <row r="180" spans="1:30">
      <c r="A180" s="118">
        <v>10058.25</v>
      </c>
      <c r="B180" s="101">
        <f t="shared" ca="1" si="54"/>
        <v>560.73994305182566</v>
      </c>
      <c r="C180" s="102">
        <f t="shared" ca="1" si="55"/>
        <v>1.5690129679626024</v>
      </c>
      <c r="D180" s="102">
        <f t="shared" si="56"/>
        <v>1.0431810746259125</v>
      </c>
      <c r="E180" s="103">
        <f t="shared" si="57"/>
        <v>0.28872969868393478</v>
      </c>
      <c r="F180" s="101">
        <f t="shared" si="58"/>
        <v>3437.9631062135959</v>
      </c>
      <c r="G180" s="104">
        <f t="shared" si="59"/>
        <v>1.5705054568864052</v>
      </c>
      <c r="H180" s="113">
        <f t="shared" si="60"/>
        <v>429.74653357542184</v>
      </c>
      <c r="I180" s="114">
        <f t="shared" si="61"/>
        <v>1.5684693716612879</v>
      </c>
      <c r="J180" s="101">
        <f t="shared" si="62"/>
        <v>1.182961033194061</v>
      </c>
      <c r="K180" s="104">
        <f t="shared" si="63"/>
        <v>0.56360182035540107</v>
      </c>
      <c r="L180" s="102">
        <f t="shared" si="64"/>
        <v>1</v>
      </c>
      <c r="M180" s="103">
        <f t="shared" si="65"/>
        <v>4.1078601553421249E-10</v>
      </c>
      <c r="N180" s="101">
        <f t="shared" si="66"/>
        <v>1</v>
      </c>
      <c r="O180" s="104">
        <f t="shared" si="67"/>
        <v>5.4771468737894992E-11</v>
      </c>
      <c r="P180" s="105">
        <f t="shared" ca="1" si="68"/>
        <v>1.1329544481298355</v>
      </c>
      <c r="Q180" s="106">
        <f t="shared" ca="1" si="69"/>
        <v>0.50800144835421535</v>
      </c>
      <c r="R180" s="107">
        <f t="shared" ca="1" si="70"/>
        <v>-3.8873316834012934</v>
      </c>
      <c r="S180" s="108">
        <f t="shared" ca="1" si="71"/>
        <v>-134.86983174420448</v>
      </c>
      <c r="T180" s="116">
        <f t="shared" ca="1" si="72"/>
        <v>45.130168255795525</v>
      </c>
      <c r="V180" s="72">
        <f t="shared" ca="1" si="73"/>
        <v>10058.25</v>
      </c>
      <c r="W180" s="72">
        <f t="shared" si="74"/>
        <v>101168393.0625</v>
      </c>
      <c r="Y180" s="110">
        <f t="shared" si="75"/>
        <v>44.5612142781399</v>
      </c>
      <c r="Z180" s="111">
        <f t="shared" si="76"/>
        <v>-32.408664739017205</v>
      </c>
      <c r="AA180" s="72">
        <f t="shared" si="77"/>
        <v>147.59133526098279</v>
      </c>
      <c r="AB180" s="110">
        <f t="shared" ca="1" si="78"/>
        <v>-30.947320693707198</v>
      </c>
      <c r="AC180" s="111">
        <f t="shared" ca="1" si="79"/>
        <v>-102.46116700518728</v>
      </c>
      <c r="AD180" s="72">
        <f t="shared" ca="1" si="80"/>
        <v>77.538832994812722</v>
      </c>
    </row>
    <row r="181" spans="1:30">
      <c r="A181" s="118">
        <v>10116.5</v>
      </c>
      <c r="B181" s="101">
        <f t="shared" ca="1" si="54"/>
        <v>563.98732685131756</v>
      </c>
      <c r="C181" s="102">
        <f t="shared" ca="1" si="55"/>
        <v>1.5690232363789152</v>
      </c>
      <c r="D181" s="102">
        <f t="shared" si="56"/>
        <v>1.0436721720246189</v>
      </c>
      <c r="E181" s="103">
        <f t="shared" si="57"/>
        <v>0.29030967302085375</v>
      </c>
      <c r="F181" s="101">
        <f t="shared" si="58"/>
        <v>3457.8732629548331</v>
      </c>
      <c r="G181" s="104">
        <f t="shared" si="59"/>
        <v>1.5705071316920418</v>
      </c>
      <c r="H181" s="113">
        <f t="shared" si="60"/>
        <v>432.23529657355579</v>
      </c>
      <c r="I181" s="114">
        <f t="shared" si="61"/>
        <v>1.5684827700353754</v>
      </c>
      <c r="J181" s="101">
        <f t="shared" si="62"/>
        <v>1.1849203464863642</v>
      </c>
      <c r="K181" s="104">
        <f t="shared" si="63"/>
        <v>0.56621287941330234</v>
      </c>
      <c r="L181" s="102">
        <f t="shared" si="64"/>
        <v>1</v>
      </c>
      <c r="M181" s="103">
        <f t="shared" si="65"/>
        <v>4.1316498656842499E-10</v>
      </c>
      <c r="N181" s="101">
        <f t="shared" si="66"/>
        <v>1</v>
      </c>
      <c r="O181" s="104">
        <f t="shared" si="67"/>
        <v>5.5088664875789989E-11</v>
      </c>
      <c r="P181" s="105">
        <f t="shared" ca="1" si="68"/>
        <v>1.1344078352569493</v>
      </c>
      <c r="Q181" s="106">
        <f t="shared" ca="1" si="69"/>
        <v>0.51051000390479884</v>
      </c>
      <c r="R181" s="107">
        <f t="shared" ca="1" si="70"/>
        <v>-3.9589106305660282</v>
      </c>
      <c r="S181" s="108">
        <f t="shared" ca="1" si="71"/>
        <v>-135.07255481879719</v>
      </c>
      <c r="T181" s="116">
        <f t="shared" ca="1" si="72"/>
        <v>44.927445181202813</v>
      </c>
      <c r="V181" s="72">
        <f t="shared" ca="1" si="73"/>
        <v>10116.5</v>
      </c>
      <c r="W181" s="72">
        <f t="shared" si="74"/>
        <v>102343572.25</v>
      </c>
      <c r="Y181" s="110">
        <f t="shared" si="75"/>
        <v>44.546839658067185</v>
      </c>
      <c r="Z181" s="111">
        <f t="shared" si="76"/>
        <v>-32.557595692153356</v>
      </c>
      <c r="AA181" s="72">
        <f t="shared" si="77"/>
        <v>147.44240430784663</v>
      </c>
      <c r="AB181" s="110">
        <f t="shared" ca="1" si="78"/>
        <v>-31.004525020799214</v>
      </c>
      <c r="AC181" s="111">
        <f t="shared" ca="1" si="79"/>
        <v>-102.51495912664386</v>
      </c>
      <c r="AD181" s="72">
        <f t="shared" ca="1" si="80"/>
        <v>77.485040873356141</v>
      </c>
    </row>
    <row r="182" spans="1:30">
      <c r="A182" s="118">
        <v>10174.75</v>
      </c>
      <c r="B182" s="101">
        <f t="shared" ca="1" si="54"/>
        <v>567.23471070959556</v>
      </c>
      <c r="C182" s="102">
        <f t="shared" ca="1" si="55"/>
        <v>1.5690333872231241</v>
      </c>
      <c r="D182" s="102">
        <f t="shared" si="56"/>
        <v>1.0441658723073957</v>
      </c>
      <c r="E182" s="103">
        <f t="shared" si="57"/>
        <v>0.29188815721487693</v>
      </c>
      <c r="F182" s="101">
        <f t="shared" si="58"/>
        <v>3477.7834197056582</v>
      </c>
      <c r="G182" s="104">
        <f t="shared" si="59"/>
        <v>1.5705087873213015</v>
      </c>
      <c r="H182" s="113">
        <f t="shared" si="60"/>
        <v>434.72405964839464</v>
      </c>
      <c r="I182" s="114">
        <f t="shared" si="61"/>
        <v>1.5684960150000651</v>
      </c>
      <c r="J182" s="101">
        <f t="shared" si="62"/>
        <v>1.1868877114229364</v>
      </c>
      <c r="K182" s="104">
        <f t="shared" si="63"/>
        <v>0.56881530007024728</v>
      </c>
      <c r="L182" s="102">
        <f t="shared" si="64"/>
        <v>1</v>
      </c>
      <c r="M182" s="103">
        <f t="shared" si="65"/>
        <v>4.155439576026375E-10</v>
      </c>
      <c r="N182" s="101">
        <f t="shared" si="66"/>
        <v>1</v>
      </c>
      <c r="O182" s="104">
        <f t="shared" si="67"/>
        <v>5.5405861013684993E-11</v>
      </c>
      <c r="P182" s="105">
        <f t="shared" ca="1" si="68"/>
        <v>1.1358677514942124</v>
      </c>
      <c r="Q182" s="106">
        <f t="shared" ca="1" si="69"/>
        <v>0.5130124173562185</v>
      </c>
      <c r="R182" s="107">
        <f t="shared" ca="1" si="70"/>
        <v>-4.0302527185196375</v>
      </c>
      <c r="S182" s="108">
        <f t="shared" ca="1" si="71"/>
        <v>-135.27451736661212</v>
      </c>
      <c r="T182" s="116">
        <f t="shared" ca="1" si="72"/>
        <v>44.725482633387884</v>
      </c>
      <c r="V182" s="72">
        <f t="shared" ca="1" si="73"/>
        <v>10174.75</v>
      </c>
      <c r="W182" s="72">
        <f t="shared" si="74"/>
        <v>103525537.5625</v>
      </c>
      <c r="Y182" s="110">
        <f t="shared" si="75"/>
        <v>44.532429867696301</v>
      </c>
      <c r="Z182" s="111">
        <f t="shared" si="76"/>
        <v>-32.706039392357951</v>
      </c>
      <c r="AA182" s="72">
        <f t="shared" si="77"/>
        <v>147.29396060764205</v>
      </c>
      <c r="AB182" s="110">
        <f t="shared" ca="1" si="78"/>
        <v>-31.061457318381933</v>
      </c>
      <c r="AC182" s="111">
        <f t="shared" ca="1" si="79"/>
        <v>-102.56847797425418</v>
      </c>
      <c r="AD182" s="72">
        <f t="shared" ca="1" si="80"/>
        <v>77.431522025745821</v>
      </c>
    </row>
    <row r="183" spans="1:30">
      <c r="A183" s="118">
        <v>10233</v>
      </c>
      <c r="B183" s="101">
        <f t="shared" ca="1" si="54"/>
        <v>570.4820946256558</v>
      </c>
      <c r="C183" s="102">
        <f t="shared" ca="1" si="55"/>
        <v>1.5690434225030123</v>
      </c>
      <c r="D183" s="102">
        <f t="shared" si="56"/>
        <v>1.0446621717839262</v>
      </c>
      <c r="E183" s="103">
        <f t="shared" si="57"/>
        <v>0.29346514551835245</v>
      </c>
      <c r="F183" s="101">
        <f t="shared" si="58"/>
        <v>3497.6935764659079</v>
      </c>
      <c r="G183" s="104">
        <f t="shared" si="59"/>
        <v>1.5705104241016614</v>
      </c>
      <c r="H183" s="113">
        <f t="shared" si="60"/>
        <v>437.21282279862845</v>
      </c>
      <c r="I183" s="114">
        <f t="shared" si="61"/>
        <v>1.5685091091751262</v>
      </c>
      <c r="J183" s="101">
        <f t="shared" si="62"/>
        <v>1.1888630880314985</v>
      </c>
      <c r="K183" s="104">
        <f t="shared" si="63"/>
        <v>0.57140909004869433</v>
      </c>
      <c r="L183" s="102">
        <f t="shared" si="64"/>
        <v>1</v>
      </c>
      <c r="M183" s="103">
        <f t="shared" si="65"/>
        <v>4.1792292863684995E-10</v>
      </c>
      <c r="N183" s="101">
        <f t="shared" si="66"/>
        <v>1</v>
      </c>
      <c r="O183" s="104">
        <f t="shared" si="67"/>
        <v>5.5723057151579991E-11</v>
      </c>
      <c r="P183" s="105">
        <f t="shared" ca="1" si="68"/>
        <v>1.1373341719103123</v>
      </c>
      <c r="Q183" s="106">
        <f t="shared" ca="1" si="69"/>
        <v>0.51550868498632207</v>
      </c>
      <c r="R183" s="107">
        <f t="shared" ca="1" si="70"/>
        <v>-4.1013604423350394</v>
      </c>
      <c r="S183" s="108">
        <f t="shared" ca="1" si="71"/>
        <v>-135.47571992986488</v>
      </c>
      <c r="T183" s="116">
        <f t="shared" ca="1" si="72"/>
        <v>44.52428007013512</v>
      </c>
      <c r="V183" s="72">
        <f t="shared" ca="1" si="73"/>
        <v>10233</v>
      </c>
      <c r="W183" s="72">
        <f t="shared" si="74"/>
        <v>104714289</v>
      </c>
      <c r="Y183" s="110">
        <f t="shared" si="75"/>
        <v>44.517985413147187</v>
      </c>
      <c r="Z183" s="111">
        <f t="shared" si="76"/>
        <v>-32.853996150756622</v>
      </c>
      <c r="AA183" s="72">
        <f t="shared" si="77"/>
        <v>147.14600384924339</v>
      </c>
      <c r="AB183" s="110">
        <f t="shared" ca="1" si="78"/>
        <v>-31.118120587648225</v>
      </c>
      <c r="AC183" s="111">
        <f t="shared" ca="1" si="79"/>
        <v>-102.62172377910825</v>
      </c>
      <c r="AD183" s="72">
        <f t="shared" ca="1" si="80"/>
        <v>77.378276220891749</v>
      </c>
    </row>
    <row r="184" spans="1:30">
      <c r="A184" s="118">
        <v>10292.5</v>
      </c>
      <c r="B184" s="101">
        <f t="shared" ca="1" si="54"/>
        <v>573.79916495048155</v>
      </c>
      <c r="C184" s="102">
        <f t="shared" ca="1" si="55"/>
        <v>1.5690535558616296</v>
      </c>
      <c r="D184" s="102">
        <f t="shared" si="56"/>
        <v>1.0451718010708981</v>
      </c>
      <c r="E184" s="103">
        <f t="shared" si="57"/>
        <v>0.29507442445265053</v>
      </c>
      <c r="F184" s="101">
        <f t="shared" si="58"/>
        <v>3518.0309898185592</v>
      </c>
      <c r="G184" s="104">
        <f t="shared" si="59"/>
        <v>1.5705120768788612</v>
      </c>
      <c r="H184" s="113">
        <f t="shared" si="60"/>
        <v>439.75499295992495</v>
      </c>
      <c r="I184" s="114">
        <f t="shared" si="61"/>
        <v>1.5685223313250278</v>
      </c>
      <c r="J184" s="101">
        <f t="shared" si="62"/>
        <v>1.1908890846434754</v>
      </c>
      <c r="K184" s="104">
        <f t="shared" si="63"/>
        <v>0.57404963874100567</v>
      </c>
      <c r="L184" s="102">
        <f t="shared" si="64"/>
        <v>1</v>
      </c>
      <c r="M184" s="103">
        <f t="shared" si="65"/>
        <v>4.20352950551625E-10</v>
      </c>
      <c r="N184" s="101">
        <f t="shared" si="66"/>
        <v>1</v>
      </c>
      <c r="O184" s="104">
        <f t="shared" si="67"/>
        <v>5.6047060073549991E-11</v>
      </c>
      <c r="P184" s="105">
        <f t="shared" ca="1" si="68"/>
        <v>1.1388387497091212</v>
      </c>
      <c r="Q184" s="106">
        <f t="shared" ca="1" si="69"/>
        <v>0.51805217197032782</v>
      </c>
      <c r="R184" s="107">
        <f t="shared" ca="1" si="70"/>
        <v>-4.173754661331234</v>
      </c>
      <c r="S184" s="108">
        <f t="shared" ca="1" si="71"/>
        <v>-135.6804561265354</v>
      </c>
      <c r="T184" s="116">
        <f t="shared" ca="1" si="72"/>
        <v>44.319543873464596</v>
      </c>
      <c r="V184" s="72">
        <f t="shared" ca="1" si="73"/>
        <v>10292.5</v>
      </c>
      <c r="W184" s="72">
        <f t="shared" si="74"/>
        <v>105935556.25</v>
      </c>
      <c r="Y184" s="110">
        <f t="shared" si="75"/>
        <v>44.503195726881309</v>
      </c>
      <c r="Z184" s="111">
        <f t="shared" si="76"/>
        <v>-33.004625570248898</v>
      </c>
      <c r="AA184" s="72">
        <f t="shared" si="77"/>
        <v>146.99537442975111</v>
      </c>
      <c r="AB184" s="110">
        <f t="shared" ca="1" si="78"/>
        <v>-31.175725120378548</v>
      </c>
      <c r="AC184" s="111">
        <f t="shared" ca="1" si="79"/>
        <v>-102.67583055628656</v>
      </c>
      <c r="AD184" s="72">
        <f t="shared" ca="1" si="80"/>
        <v>77.324169443713444</v>
      </c>
    </row>
    <row r="185" spans="1:30">
      <c r="A185" s="118">
        <v>10352</v>
      </c>
      <c r="B185" s="101">
        <f t="shared" ca="1" si="54"/>
        <v>577.11623533355043</v>
      </c>
      <c r="C185" s="102">
        <f t="shared" ca="1" si="55"/>
        <v>1.5690635727339606</v>
      </c>
      <c r="D185" s="102">
        <f t="shared" si="56"/>
        <v>1.0456841344790786</v>
      </c>
      <c r="E185" s="103">
        <f t="shared" si="57"/>
        <v>0.29668213061329696</v>
      </c>
      <c r="F185" s="101">
        <f t="shared" si="58"/>
        <v>3538.3684031807102</v>
      </c>
      <c r="G185" s="104">
        <f t="shared" si="59"/>
        <v>1.5705137106567881</v>
      </c>
      <c r="H185" s="113">
        <f t="shared" si="60"/>
        <v>442.29716319721791</v>
      </c>
      <c r="I185" s="114">
        <f t="shared" si="61"/>
        <v>1.5685354014822952</v>
      </c>
      <c r="J185" s="101">
        <f t="shared" si="62"/>
        <v>1.1929233564884543</v>
      </c>
      <c r="K185" s="104">
        <f t="shared" si="63"/>
        <v>0.57668119996459388</v>
      </c>
      <c r="L185" s="102">
        <f t="shared" si="64"/>
        <v>1</v>
      </c>
      <c r="M185" s="103">
        <f t="shared" si="65"/>
        <v>4.2278297246639999E-10</v>
      </c>
      <c r="N185" s="101">
        <f t="shared" si="66"/>
        <v>1</v>
      </c>
      <c r="O185" s="104">
        <f t="shared" si="67"/>
        <v>5.6371062995519991E-11</v>
      </c>
      <c r="P185" s="105">
        <f t="shared" ca="1" si="68"/>
        <v>1.1403500613059332</v>
      </c>
      <c r="Q185" s="106">
        <f t="shared" ca="1" si="69"/>
        <v>0.5205892396340166</v>
      </c>
      <c r="R185" s="107">
        <f t="shared" ca="1" si="70"/>
        <v>-4.2459094487586508</v>
      </c>
      <c r="S185" s="108">
        <f t="shared" ca="1" si="71"/>
        <v>-135.88440063829529</v>
      </c>
      <c r="T185" s="116">
        <f t="shared" ca="1" si="72"/>
        <v>44.11559936170471</v>
      </c>
      <c r="V185" s="72">
        <f t="shared" ca="1" si="73"/>
        <v>10352</v>
      </c>
      <c r="W185" s="72">
        <f t="shared" si="74"/>
        <v>107163904</v>
      </c>
      <c r="Y185" s="110">
        <f t="shared" si="75"/>
        <v>44.488370930479249</v>
      </c>
      <c r="Z185" s="111">
        <f t="shared" si="76"/>
        <v>-33.154747665672531</v>
      </c>
      <c r="AA185" s="72">
        <f t="shared" si="77"/>
        <v>146.84525233432748</v>
      </c>
      <c r="AB185" s="110">
        <f t="shared" ca="1" si="78"/>
        <v>-31.2330551114039</v>
      </c>
      <c r="AC185" s="111">
        <f t="shared" ca="1" si="79"/>
        <v>-102.7296529726228</v>
      </c>
      <c r="AD185" s="72">
        <f t="shared" ca="1" si="80"/>
        <v>77.270347027377198</v>
      </c>
    </row>
    <row r="186" spans="1:30">
      <c r="A186" s="118">
        <v>10411.5</v>
      </c>
      <c r="B186" s="101">
        <f t="shared" ca="1" si="54"/>
        <v>580.43330577386416</v>
      </c>
      <c r="C186" s="102">
        <f t="shared" ca="1" si="55"/>
        <v>1.5690734751170972</v>
      </c>
      <c r="D186" s="102">
        <f t="shared" si="56"/>
        <v>1.0461991680357678</v>
      </c>
      <c r="E186" s="103">
        <f t="shared" si="57"/>
        <v>0.29828825800608533</v>
      </c>
      <c r="F186" s="101">
        <f t="shared" si="58"/>
        <v>3558.705816552198</v>
      </c>
      <c r="G186" s="104">
        <f t="shared" si="59"/>
        <v>1.5705153257611755</v>
      </c>
      <c r="H186" s="113">
        <f t="shared" si="60"/>
        <v>444.83933350920444</v>
      </c>
      <c r="I186" s="114">
        <f t="shared" si="61"/>
        <v>1.5685483222527492</v>
      </c>
      <c r="J186" s="101">
        <f t="shared" si="62"/>
        <v>1.1949658613039562</v>
      </c>
      <c r="K186" s="104">
        <f t="shared" si="63"/>
        <v>0.57930378326474274</v>
      </c>
      <c r="L186" s="102">
        <f t="shared" si="64"/>
        <v>1</v>
      </c>
      <c r="M186" s="103">
        <f t="shared" si="65"/>
        <v>4.2521299438117499E-10</v>
      </c>
      <c r="N186" s="101">
        <f t="shared" si="66"/>
        <v>1</v>
      </c>
      <c r="O186" s="104">
        <f t="shared" si="67"/>
        <v>5.6695065917489991E-11</v>
      </c>
      <c r="P186" s="105">
        <f t="shared" ca="1" si="68"/>
        <v>1.1418680801918357</v>
      </c>
      <c r="Q186" s="106">
        <f t="shared" ca="1" si="69"/>
        <v>0.52311988496762174</v>
      </c>
      <c r="R186" s="107">
        <f t="shared" ca="1" si="70"/>
        <v>-4.3178273010151624</v>
      </c>
      <c r="S186" s="108">
        <f t="shared" ca="1" si="71"/>
        <v>-136.08755416683039</v>
      </c>
      <c r="T186" s="116">
        <f t="shared" ca="1" si="72"/>
        <v>43.912445833169613</v>
      </c>
      <c r="V186" s="72">
        <f t="shared" ca="1" si="73"/>
        <v>10411.5</v>
      </c>
      <c r="W186" s="72">
        <f t="shared" si="74"/>
        <v>108399332.25</v>
      </c>
      <c r="Y186" s="110">
        <f t="shared" si="75"/>
        <v>44.473511553441661</v>
      </c>
      <c r="Z186" s="111">
        <f t="shared" si="76"/>
        <v>-33.304362853292631</v>
      </c>
      <c r="AA186" s="72">
        <f t="shared" si="77"/>
        <v>146.69563714670738</v>
      </c>
      <c r="AB186" s="110">
        <f t="shared" ca="1" si="78"/>
        <v>-31.29011358662283</v>
      </c>
      <c r="AC186" s="111">
        <f t="shared" ca="1" si="79"/>
        <v>-102.78319131353774</v>
      </c>
      <c r="AD186" s="72">
        <f t="shared" ca="1" si="80"/>
        <v>77.216808686462258</v>
      </c>
    </row>
    <row r="187" spans="1:30">
      <c r="A187" s="118">
        <v>10471</v>
      </c>
      <c r="B187" s="101">
        <f t="shared" ca="1" si="54"/>
        <v>583.75037627044662</v>
      </c>
      <c r="C187" s="102">
        <f t="shared" ca="1" si="55"/>
        <v>1.5690832649627382</v>
      </c>
      <c r="D187" s="102">
        <f t="shared" si="56"/>
        <v>1.0467168977551691</v>
      </c>
      <c r="E187" s="103">
        <f t="shared" si="57"/>
        <v>0.29989280068115698</v>
      </c>
      <c r="F187" s="101">
        <f t="shared" si="58"/>
        <v>3579.0432299328636</v>
      </c>
      <c r="G187" s="104">
        <f t="shared" si="59"/>
        <v>1.5705169225103528</v>
      </c>
      <c r="H187" s="113">
        <f t="shared" si="60"/>
        <v>447.38150389461134</v>
      </c>
      <c r="I187" s="114">
        <f t="shared" si="61"/>
        <v>1.5685610961829817</v>
      </c>
      <c r="J187" s="101">
        <f t="shared" si="62"/>
        <v>1.1970165569454971</v>
      </c>
      <c r="K187" s="104">
        <f t="shared" si="63"/>
        <v>0.58191739861571379</v>
      </c>
      <c r="L187" s="102">
        <f t="shared" si="64"/>
        <v>1</v>
      </c>
      <c r="M187" s="103">
        <f t="shared" si="65"/>
        <v>4.2764301629594999E-10</v>
      </c>
      <c r="N187" s="101">
        <f t="shared" si="66"/>
        <v>1</v>
      </c>
      <c r="O187" s="104">
        <f t="shared" si="67"/>
        <v>5.7019068839459991E-11</v>
      </c>
      <c r="P187" s="105">
        <f t="shared" ca="1" si="68"/>
        <v>1.1433927798816599</v>
      </c>
      <c r="Q187" s="106">
        <f t="shared" ca="1" si="69"/>
        <v>0.52564410527770855</v>
      </c>
      <c r="R187" s="107">
        <f t="shared" ca="1" si="70"/>
        <v>-4.3895106624152431</v>
      </c>
      <c r="S187" s="108">
        <f t="shared" ca="1" si="71"/>
        <v>-136.28991745435715</v>
      </c>
      <c r="T187" s="116">
        <f t="shared" ca="1" si="72"/>
        <v>43.710082545642848</v>
      </c>
      <c r="V187" s="72">
        <f t="shared" ca="1" si="73"/>
        <v>10471</v>
      </c>
      <c r="W187" s="72">
        <f t="shared" si="74"/>
        <v>109641841</v>
      </c>
      <c r="Y187" s="110">
        <f t="shared" si="75"/>
        <v>44.458618121897814</v>
      </c>
      <c r="Z187" s="111">
        <f t="shared" si="76"/>
        <v>-33.453471576922297</v>
      </c>
      <c r="AA187" s="72">
        <f t="shared" si="77"/>
        <v>146.54652842307769</v>
      </c>
      <c r="AB187" s="110">
        <f t="shared" ca="1" si="78"/>
        <v>-31.346903516479049</v>
      </c>
      <c r="AC187" s="111">
        <f t="shared" ca="1" si="79"/>
        <v>-102.83644587743485</v>
      </c>
      <c r="AD187" s="72">
        <f t="shared" ca="1" si="80"/>
        <v>77.163554122565145</v>
      </c>
    </row>
    <row r="188" spans="1:30">
      <c r="A188" s="118">
        <v>10532</v>
      </c>
      <c r="B188" s="101">
        <f t="shared" ca="1" si="54"/>
        <v>587.15107045040941</v>
      </c>
      <c r="C188" s="102">
        <f t="shared" ca="1" si="55"/>
        <v>1.5690931867790219</v>
      </c>
      <c r="D188" s="102">
        <f t="shared" si="56"/>
        <v>1.0472504742733049</v>
      </c>
      <c r="E188" s="103">
        <f t="shared" si="57"/>
        <v>0.30153614268240092</v>
      </c>
      <c r="F188" s="101">
        <f t="shared" si="58"/>
        <v>3599.8933512232466</v>
      </c>
      <c r="G188" s="104">
        <f t="shared" si="59"/>
        <v>1.5705185407842301</v>
      </c>
      <c r="H188" s="113">
        <f t="shared" si="60"/>
        <v>449.98776268397944</v>
      </c>
      <c r="I188" s="114">
        <f t="shared" si="61"/>
        <v>1.568574042310698</v>
      </c>
      <c r="J188" s="101">
        <f t="shared" si="62"/>
        <v>1.1991274099695386</v>
      </c>
      <c r="K188" s="104">
        <f t="shared" si="63"/>
        <v>0.58458760439234869</v>
      </c>
      <c r="L188" s="102">
        <f t="shared" si="64"/>
        <v>1</v>
      </c>
      <c r="M188" s="103">
        <f t="shared" si="65"/>
        <v>4.3013429926739996E-10</v>
      </c>
      <c r="N188" s="101">
        <f t="shared" si="66"/>
        <v>1</v>
      </c>
      <c r="O188" s="104">
        <f t="shared" si="67"/>
        <v>5.7351239902319992E-11</v>
      </c>
      <c r="P188" s="105">
        <f t="shared" ca="1" si="68"/>
        <v>1.1449628252414512</v>
      </c>
      <c r="Q188" s="106">
        <f t="shared" ca="1" si="69"/>
        <v>0.5282252888759531</v>
      </c>
      <c r="R188" s="107">
        <f t="shared" ca="1" si="70"/>
        <v>-4.4627602400860162</v>
      </c>
      <c r="S188" s="108">
        <f t="shared" ca="1" si="71"/>
        <v>-136.49656278124436</v>
      </c>
      <c r="T188" s="116">
        <f t="shared" ca="1" si="72"/>
        <v>43.503437218755636</v>
      </c>
      <c r="V188" s="72">
        <f t="shared" ca="1" si="73"/>
        <v>10532</v>
      </c>
      <c r="W188" s="72">
        <f t="shared" si="74"/>
        <v>110923024</v>
      </c>
      <c r="Y188" s="110">
        <f t="shared" si="75"/>
        <v>44.443314419803443</v>
      </c>
      <c r="Z188" s="111">
        <f t="shared" si="76"/>
        <v>-33.605814060189374</v>
      </c>
      <c r="AA188" s="72">
        <f t="shared" si="77"/>
        <v>146.39418593981063</v>
      </c>
      <c r="AB188" s="110">
        <f t="shared" ca="1" si="78"/>
        <v>-31.404849392055457</v>
      </c>
      <c r="AC188" s="111">
        <f t="shared" ca="1" si="79"/>
        <v>-102.89074872105499</v>
      </c>
      <c r="AD188" s="72">
        <f t="shared" ca="1" si="80"/>
        <v>77.10925127894501</v>
      </c>
    </row>
    <row r="189" spans="1:30">
      <c r="A189" s="118">
        <v>10593</v>
      </c>
      <c r="B189" s="101">
        <f t="shared" ca="1" si="54"/>
        <v>590.55176468750733</v>
      </c>
      <c r="C189" s="102">
        <f t="shared" ca="1" si="55"/>
        <v>1.5691029943256842</v>
      </c>
      <c r="D189" s="102">
        <f t="shared" si="56"/>
        <v>1.0477868760828237</v>
      </c>
      <c r="E189" s="103">
        <f t="shared" si="57"/>
        <v>0.30317780653520948</v>
      </c>
      <c r="F189" s="101">
        <f t="shared" si="58"/>
        <v>3620.7434725229482</v>
      </c>
      <c r="G189" s="104">
        <f t="shared" si="59"/>
        <v>1.5705201404203848</v>
      </c>
      <c r="H189" s="113">
        <f t="shared" si="60"/>
        <v>452.59402154789785</v>
      </c>
      <c r="I189" s="114">
        <f t="shared" si="61"/>
        <v>1.5685868393380815</v>
      </c>
      <c r="J189" s="101">
        <f t="shared" si="62"/>
        <v>1.2012467826875413</v>
      </c>
      <c r="K189" s="104">
        <f t="shared" si="63"/>
        <v>0.58724840693887304</v>
      </c>
      <c r="L189" s="102">
        <f t="shared" si="64"/>
        <v>1</v>
      </c>
      <c r="M189" s="103">
        <f t="shared" si="65"/>
        <v>4.3262558223884998E-10</v>
      </c>
      <c r="N189" s="101">
        <f t="shared" si="66"/>
        <v>1</v>
      </c>
      <c r="O189" s="104">
        <f t="shared" si="67"/>
        <v>5.7683410965179993E-11</v>
      </c>
      <c r="P189" s="105">
        <f t="shared" ca="1" si="68"/>
        <v>1.1465398362043979</v>
      </c>
      <c r="Q189" s="106">
        <f t="shared" ca="1" si="69"/>
        <v>0.53079971468971876</v>
      </c>
      <c r="R189" s="107">
        <f t="shared" ca="1" si="70"/>
        <v>-4.5357683955484482</v>
      </c>
      <c r="S189" s="108">
        <f t="shared" ca="1" si="71"/>
        <v>-136.70237922881469</v>
      </c>
      <c r="T189" s="116">
        <f t="shared" ca="1" si="72"/>
        <v>43.297620771185308</v>
      </c>
      <c r="V189" s="72">
        <f t="shared" ca="1" si="73"/>
        <v>10593</v>
      </c>
      <c r="W189" s="72">
        <f t="shared" si="74"/>
        <v>112211649</v>
      </c>
      <c r="Y189" s="110">
        <f t="shared" si="75"/>
        <v>44.427976033511484</v>
      </c>
      <c r="Z189" s="111">
        <f t="shared" si="76"/>
        <v>-33.757625253013664</v>
      </c>
      <c r="AA189" s="72">
        <f t="shared" si="77"/>
        <v>146.24237474698634</v>
      </c>
      <c r="AB189" s="110">
        <f t="shared" ca="1" si="78"/>
        <v>-31.462519161225934</v>
      </c>
      <c r="AC189" s="111">
        <f t="shared" ca="1" si="79"/>
        <v>-102.94475397580102</v>
      </c>
      <c r="AD189" s="72">
        <f t="shared" ca="1" si="80"/>
        <v>77.055246024198979</v>
      </c>
    </row>
    <row r="190" spans="1:30">
      <c r="A190" s="118">
        <v>10654</v>
      </c>
      <c r="B190" s="101">
        <f t="shared" ca="1" si="54"/>
        <v>593.95245898075859</v>
      </c>
      <c r="C190" s="102">
        <f t="shared" ca="1" si="55"/>
        <v>1.5691126895654872</v>
      </c>
      <c r="D190" s="102">
        <f t="shared" si="56"/>
        <v>1.0483260988468364</v>
      </c>
      <c r="E190" s="103">
        <f t="shared" si="57"/>
        <v>0.30481778597362891</v>
      </c>
      <c r="F190" s="101">
        <f t="shared" si="58"/>
        <v>3641.5935938318094</v>
      </c>
      <c r="G190" s="104">
        <f t="shared" si="59"/>
        <v>1.5705217217389502</v>
      </c>
      <c r="H190" s="113">
        <f t="shared" si="60"/>
        <v>455.20028048508618</v>
      </c>
      <c r="I190" s="114">
        <f t="shared" si="61"/>
        <v>1.5685994898261593</v>
      </c>
      <c r="J190" s="101">
        <f t="shared" si="62"/>
        <v>1.2033746300850781</v>
      </c>
      <c r="K190" s="104">
        <f t="shared" si="63"/>
        <v>0.58989981836118266</v>
      </c>
      <c r="L190" s="102">
        <f t="shared" si="64"/>
        <v>1</v>
      </c>
      <c r="M190" s="103">
        <f t="shared" si="65"/>
        <v>4.3511686521029995E-10</v>
      </c>
      <c r="N190" s="101">
        <f t="shared" si="66"/>
        <v>1</v>
      </c>
      <c r="O190" s="104">
        <f t="shared" si="67"/>
        <v>5.8015582028039994E-11</v>
      </c>
      <c r="P190" s="105">
        <f t="shared" ca="1" si="68"/>
        <v>1.1481237843181686</v>
      </c>
      <c r="Q190" s="106">
        <f t="shared" ca="1" si="69"/>
        <v>0.53336738083164281</v>
      </c>
      <c r="R190" s="107">
        <f t="shared" ca="1" si="70"/>
        <v>-4.6085376007666206</v>
      </c>
      <c r="S190" s="108">
        <f t="shared" ca="1" si="71"/>
        <v>-136.90736772562389</v>
      </c>
      <c r="T190" s="116">
        <f t="shared" ca="1" si="72"/>
        <v>43.092632274376115</v>
      </c>
      <c r="V190" s="72">
        <f t="shared" ca="1" si="73"/>
        <v>10654</v>
      </c>
      <c r="W190" s="72">
        <f t="shared" si="74"/>
        <v>113507716</v>
      </c>
      <c r="Y190" s="110">
        <f t="shared" si="75"/>
        <v>44.412603518818116</v>
      </c>
      <c r="Z190" s="111">
        <f t="shared" si="76"/>
        <v>-33.908905720618172</v>
      </c>
      <c r="AA190" s="72">
        <f t="shared" si="77"/>
        <v>146.09109427938182</v>
      </c>
      <c r="AB190" s="110">
        <f t="shared" ca="1" si="78"/>
        <v>-31.519915851750735</v>
      </c>
      <c r="AC190" s="111">
        <f t="shared" ca="1" si="79"/>
        <v>-102.99846200500568</v>
      </c>
      <c r="AD190" s="72">
        <f t="shared" ca="1" si="80"/>
        <v>77.001537994994322</v>
      </c>
    </row>
    <row r="191" spans="1:30">
      <c r="A191" s="118">
        <v>10715</v>
      </c>
      <c r="B191" s="101">
        <f t="shared" ca="1" si="54"/>
        <v>597.35315332920436</v>
      </c>
      <c r="C191" s="102">
        <f t="shared" ca="1" si="55"/>
        <v>1.5691222744164968</v>
      </c>
      <c r="D191" s="102">
        <f t="shared" si="56"/>
        <v>1.0488681382145872</v>
      </c>
      <c r="E191" s="103">
        <f t="shared" si="57"/>
        <v>0.30645607478079895</v>
      </c>
      <c r="F191" s="101">
        <f t="shared" si="58"/>
        <v>3662.4437151496722</v>
      </c>
      <c r="G191" s="104">
        <f t="shared" si="59"/>
        <v>1.5705232850527699</v>
      </c>
      <c r="H191" s="113">
        <f t="shared" si="60"/>
        <v>457.80653949429296</v>
      </c>
      <c r="I191" s="114">
        <f t="shared" si="61"/>
        <v>1.5686119962776399</v>
      </c>
      <c r="J191" s="101">
        <f t="shared" si="62"/>
        <v>1.2055109072861772</v>
      </c>
      <c r="K191" s="104">
        <f t="shared" si="63"/>
        <v>0.59254185120802538</v>
      </c>
      <c r="L191" s="102">
        <f t="shared" si="64"/>
        <v>1</v>
      </c>
      <c r="M191" s="103">
        <f t="shared" si="65"/>
        <v>4.3760814818174998E-10</v>
      </c>
      <c r="N191" s="101">
        <f t="shared" si="66"/>
        <v>1</v>
      </c>
      <c r="O191" s="104">
        <f t="shared" si="67"/>
        <v>5.8347753090899988E-11</v>
      </c>
      <c r="P191" s="105">
        <f t="shared" ca="1" si="68"/>
        <v>1.1497146411627539</v>
      </c>
      <c r="Q191" s="106">
        <f t="shared" ca="1" si="69"/>
        <v>0.53592828574991502</v>
      </c>
      <c r="R191" s="107">
        <f t="shared" ca="1" si="70"/>
        <v>-4.6810702758298168</v>
      </c>
      <c r="S191" s="108">
        <f t="shared" ca="1" si="71"/>
        <v>-137.11152924237695</v>
      </c>
      <c r="T191" s="116">
        <f t="shared" ca="1" si="72"/>
        <v>42.888470757623054</v>
      </c>
      <c r="V191" s="72">
        <f t="shared" ca="1" si="73"/>
        <v>10715</v>
      </c>
      <c r="W191" s="72">
        <f t="shared" si="74"/>
        <v>114811225</v>
      </c>
      <c r="Y191" s="110">
        <f t="shared" si="75"/>
        <v>44.39719742773093</v>
      </c>
      <c r="Z191" s="111">
        <f t="shared" si="76"/>
        <v>-34.059656056523117</v>
      </c>
      <c r="AA191" s="72">
        <f t="shared" si="77"/>
        <v>145.94034394347688</v>
      </c>
      <c r="AB191" s="110">
        <f t="shared" ca="1" si="78"/>
        <v>-31.577042435726742</v>
      </c>
      <c r="AC191" s="111">
        <f t="shared" ca="1" si="79"/>
        <v>-103.05187318585376</v>
      </c>
      <c r="AD191" s="72">
        <f t="shared" ca="1" si="80"/>
        <v>76.948126814146235</v>
      </c>
    </row>
    <row r="192" spans="1:30">
      <c r="A192" s="118">
        <v>10777.5</v>
      </c>
      <c r="B192" s="101">
        <f t="shared" ca="1" si="54"/>
        <v>600.83747136543627</v>
      </c>
      <c r="C192" s="102">
        <f t="shared" ca="1" si="55"/>
        <v>1.5691319824266912</v>
      </c>
      <c r="D192" s="102">
        <f t="shared" si="56"/>
        <v>1.0494264232017116</v>
      </c>
      <c r="E192" s="103">
        <f t="shared" si="57"/>
        <v>0.30813288942733691</v>
      </c>
      <c r="F192" s="101">
        <f t="shared" si="58"/>
        <v>3683.8065443779715</v>
      </c>
      <c r="G192" s="104">
        <f t="shared" si="59"/>
        <v>1.5705248684541193</v>
      </c>
      <c r="H192" s="113">
        <f t="shared" si="60"/>
        <v>460.47688691320957</v>
      </c>
      <c r="I192" s="114">
        <f t="shared" si="61"/>
        <v>1.568624663429284</v>
      </c>
      <c r="J192" s="101">
        <f t="shared" si="62"/>
        <v>1.2077084124028377</v>
      </c>
      <c r="K192" s="104">
        <f t="shared" si="63"/>
        <v>0.59523913831349506</v>
      </c>
      <c r="L192" s="102">
        <f t="shared" si="64"/>
        <v>1</v>
      </c>
      <c r="M192" s="103">
        <f t="shared" si="65"/>
        <v>4.4016069220987497E-10</v>
      </c>
      <c r="N192" s="101">
        <f t="shared" si="66"/>
        <v>1</v>
      </c>
      <c r="O192" s="104">
        <f t="shared" si="67"/>
        <v>5.8688092294649996E-11</v>
      </c>
      <c r="P192" s="105">
        <f t="shared" ca="1" si="68"/>
        <v>1.1513517534048501</v>
      </c>
      <c r="Q192" s="106">
        <f t="shared" ca="1" si="69"/>
        <v>0.53854514980931789</v>
      </c>
      <c r="R192" s="107">
        <f t="shared" ca="1" si="70"/>
        <v>-4.7551436926143138</v>
      </c>
      <c r="S192" s="108">
        <f t="shared" ca="1" si="71"/>
        <v>-137.31985444955615</v>
      </c>
      <c r="T192" s="116">
        <f t="shared" ca="1" si="72"/>
        <v>42.680145550443854</v>
      </c>
      <c r="V192" s="72">
        <f t="shared" ca="1" si="73"/>
        <v>10777.5</v>
      </c>
      <c r="W192" s="72">
        <f t="shared" si="74"/>
        <v>116154506.25</v>
      </c>
      <c r="Y192" s="110">
        <f t="shared" si="75"/>
        <v>44.381378246547442</v>
      </c>
      <c r="Z192" s="111">
        <f t="shared" si="76"/>
        <v>-34.213564171737659</v>
      </c>
      <c r="AA192" s="72">
        <f t="shared" si="77"/>
        <v>145.78643582826234</v>
      </c>
      <c r="AB192" s="110">
        <f t="shared" ca="1" si="78"/>
        <v>-31.635296671327751</v>
      </c>
      <c r="AC192" s="111">
        <f t="shared" ca="1" si="79"/>
        <v>-103.10629027781846</v>
      </c>
      <c r="AD192" s="72">
        <f t="shared" ca="1" si="80"/>
        <v>76.893709722181541</v>
      </c>
    </row>
    <row r="193" spans="1:30">
      <c r="A193" s="118">
        <v>10840</v>
      </c>
      <c r="B193" s="101">
        <f t="shared" ca="1" si="54"/>
        <v>604.32178945764144</v>
      </c>
      <c r="C193" s="102">
        <f t="shared" ca="1" si="55"/>
        <v>1.569141578490582</v>
      </c>
      <c r="D193" s="102">
        <f t="shared" si="56"/>
        <v>1.0499876557262062</v>
      </c>
      <c r="E193" s="103">
        <f t="shared" si="57"/>
        <v>0.30980791621941112</v>
      </c>
      <c r="F193" s="101">
        <f t="shared" si="58"/>
        <v>3705.1693736154007</v>
      </c>
      <c r="G193" s="104">
        <f t="shared" si="59"/>
        <v>1.5705264335966904</v>
      </c>
      <c r="H193" s="113">
        <f t="shared" si="60"/>
        <v>463.14723440516087</v>
      </c>
      <c r="I193" s="114">
        <f t="shared" si="61"/>
        <v>1.5686371845120601</v>
      </c>
      <c r="J193" s="101">
        <f t="shared" si="62"/>
        <v>1.2099146720760547</v>
      </c>
      <c r="K193" s="104">
        <f t="shared" si="63"/>
        <v>0.59792660799389641</v>
      </c>
      <c r="L193" s="102">
        <f t="shared" si="64"/>
        <v>1</v>
      </c>
      <c r="M193" s="103">
        <f t="shared" si="65"/>
        <v>4.4271323623799997E-10</v>
      </c>
      <c r="N193" s="101">
        <f t="shared" si="66"/>
        <v>1</v>
      </c>
      <c r="O193" s="104">
        <f t="shared" si="67"/>
        <v>5.9028431498399992E-11</v>
      </c>
      <c r="P193" s="105">
        <f t="shared" ca="1" si="68"/>
        <v>1.1529960580359462</v>
      </c>
      <c r="Q193" s="106">
        <f t="shared" ca="1" si="69"/>
        <v>0.54115491380404146</v>
      </c>
      <c r="R193" s="107">
        <f t="shared" ca="1" si="70"/>
        <v>-4.828973785965486</v>
      </c>
      <c r="S193" s="108">
        <f t="shared" ca="1" si="71"/>
        <v>-137.52731370141498</v>
      </c>
      <c r="T193" s="116">
        <f t="shared" ca="1" si="72"/>
        <v>42.472686298585018</v>
      </c>
      <c r="V193" s="72">
        <f t="shared" ca="1" si="73"/>
        <v>10840</v>
      </c>
      <c r="W193" s="72">
        <f t="shared" si="74"/>
        <v>117505600</v>
      </c>
      <c r="Y193" s="110">
        <f t="shared" si="75"/>
        <v>44.36552497834591</v>
      </c>
      <c r="Z193" s="111">
        <f t="shared" si="76"/>
        <v>-34.366917112908176</v>
      </c>
      <c r="AA193" s="72">
        <f t="shared" si="77"/>
        <v>145.63308288709183</v>
      </c>
      <c r="AB193" s="110">
        <f t="shared" ca="1" si="78"/>
        <v>-31.693273496477403</v>
      </c>
      <c r="AC193" s="111">
        <f t="shared" ca="1" si="79"/>
        <v>-103.16039658850686</v>
      </c>
      <c r="AD193" s="72">
        <f t="shared" ca="1" si="80"/>
        <v>76.839603411493144</v>
      </c>
    </row>
    <row r="194" spans="1:30">
      <c r="A194" s="118">
        <v>10902.5</v>
      </c>
      <c r="B194" s="101">
        <f t="shared" ca="1" si="54"/>
        <v>607.80610760485729</v>
      </c>
      <c r="C194" s="102">
        <f t="shared" ca="1" si="55"/>
        <v>1.5691510645334021</v>
      </c>
      <c r="D194" s="102">
        <f t="shared" si="56"/>
        <v>1.0505518310641138</v>
      </c>
      <c r="E194" s="103">
        <f t="shared" si="57"/>
        <v>0.31148114863064091</v>
      </c>
      <c r="F194" s="101">
        <f t="shared" si="58"/>
        <v>3726.5322028618016</v>
      </c>
      <c r="G194" s="104">
        <f t="shared" si="59"/>
        <v>1.5705279807944961</v>
      </c>
      <c r="H194" s="113">
        <f t="shared" si="60"/>
        <v>465.81758196889075</v>
      </c>
      <c r="I194" s="114">
        <f t="shared" si="61"/>
        <v>1.5686495620380287</v>
      </c>
      <c r="J194" s="101">
        <f t="shared" si="62"/>
        <v>1.2121296385019691</v>
      </c>
      <c r="K194" s="104">
        <f t="shared" si="63"/>
        <v>0.60060427514232129</v>
      </c>
      <c r="L194" s="102">
        <f t="shared" si="64"/>
        <v>1</v>
      </c>
      <c r="M194" s="103">
        <f t="shared" si="65"/>
        <v>4.4526578026612496E-10</v>
      </c>
      <c r="N194" s="101">
        <f t="shared" si="66"/>
        <v>1</v>
      </c>
      <c r="O194" s="104">
        <f t="shared" si="67"/>
        <v>5.9368770702149987E-11</v>
      </c>
      <c r="P194" s="105">
        <f t="shared" ca="1" si="68"/>
        <v>1.1546475246027894</v>
      </c>
      <c r="Q194" s="106">
        <f t="shared" ca="1" si="69"/>
        <v>0.54375757713769957</v>
      </c>
      <c r="R194" s="107">
        <f t="shared" ca="1" si="70"/>
        <v>-4.9025629981034156</v>
      </c>
      <c r="S194" s="108">
        <f t="shared" ca="1" si="71"/>
        <v>-137.73390817539737</v>
      </c>
      <c r="T194" s="116">
        <f t="shared" ca="1" si="72"/>
        <v>42.266091824602626</v>
      </c>
      <c r="V194" s="72">
        <f t="shared" ca="1" si="73"/>
        <v>10902.5</v>
      </c>
      <c r="W194" s="72">
        <f t="shared" si="74"/>
        <v>118864506.25</v>
      </c>
      <c r="Y194" s="110">
        <f t="shared" si="75"/>
        <v>44.349638204404592</v>
      </c>
      <c r="Z194" s="111">
        <f t="shared" si="76"/>
        <v>-34.519715607407136</v>
      </c>
      <c r="AA194" s="72">
        <f t="shared" si="77"/>
        <v>145.48028439259286</v>
      </c>
      <c r="AB194" s="110">
        <f t="shared" ca="1" si="78"/>
        <v>-31.75097593467401</v>
      </c>
      <c r="AC194" s="111">
        <f t="shared" ca="1" si="79"/>
        <v>-103.21419256799028</v>
      </c>
      <c r="AD194" s="72">
        <f t="shared" ca="1" si="80"/>
        <v>76.785807432009719</v>
      </c>
    </row>
    <row r="195" spans="1:30">
      <c r="A195" s="118">
        <v>10965</v>
      </c>
      <c r="B195" s="101">
        <f t="shared" ca="1" si="54"/>
        <v>611.29042580614293</v>
      </c>
      <c r="C195" s="102">
        <f t="shared" ca="1" si="55"/>
        <v>1.5691604424364904</v>
      </c>
      <c r="D195" s="102">
        <f t="shared" si="56"/>
        <v>1.0511189444768767</v>
      </c>
      <c r="E195" s="103">
        <f t="shared" si="57"/>
        <v>0.31315258018881059</v>
      </c>
      <c r="F195" s="101">
        <f t="shared" si="58"/>
        <v>3747.8950321170209</v>
      </c>
      <c r="G195" s="104">
        <f t="shared" si="59"/>
        <v>1.570529510354389</v>
      </c>
      <c r="H195" s="113">
        <f t="shared" si="60"/>
        <v>468.48792960317172</v>
      </c>
      <c r="I195" s="114">
        <f t="shared" si="61"/>
        <v>1.5686617984619768</v>
      </c>
      <c r="J195" s="101">
        <f t="shared" si="62"/>
        <v>1.2143532640375303</v>
      </c>
      <c r="K195" s="104">
        <f t="shared" si="63"/>
        <v>0.60327215510568077</v>
      </c>
      <c r="L195" s="102">
        <f t="shared" si="64"/>
        <v>1</v>
      </c>
      <c r="M195" s="103">
        <f t="shared" si="65"/>
        <v>4.4781832429424996E-10</v>
      </c>
      <c r="N195" s="101">
        <f t="shared" si="66"/>
        <v>1</v>
      </c>
      <c r="O195" s="104">
        <f t="shared" si="67"/>
        <v>5.9709109905899995E-11</v>
      </c>
      <c r="P195" s="105">
        <f t="shared" ca="1" si="68"/>
        <v>1.1563061226942302</v>
      </c>
      <c r="Q195" s="106">
        <f t="shared" ca="1" si="69"/>
        <v>0.54635313956791431</v>
      </c>
      <c r="R195" s="107">
        <f t="shared" ca="1" si="70"/>
        <v>-4.9759137197692302</v>
      </c>
      <c r="S195" s="108">
        <f t="shared" ca="1" si="71"/>
        <v>-137.93963909248512</v>
      </c>
      <c r="T195" s="116">
        <f t="shared" ca="1" si="72"/>
        <v>42.060360907514877</v>
      </c>
      <c r="V195" s="72">
        <f t="shared" ca="1" si="73"/>
        <v>10965</v>
      </c>
      <c r="W195" s="72">
        <f t="shared" si="74"/>
        <v>120231225</v>
      </c>
      <c r="Y195" s="110">
        <f t="shared" si="75"/>
        <v>44.33371850177241</v>
      </c>
      <c r="Z195" s="111">
        <f t="shared" si="76"/>
        <v>-34.671960411480171</v>
      </c>
      <c r="AA195" s="72">
        <f t="shared" si="77"/>
        <v>145.32803958851983</v>
      </c>
      <c r="AB195" s="110">
        <f t="shared" ca="1" si="78"/>
        <v>-31.808406953707639</v>
      </c>
      <c r="AC195" s="111">
        <f t="shared" ca="1" si="79"/>
        <v>-103.26767868100497</v>
      </c>
      <c r="AD195" s="72">
        <f t="shared" ca="1" si="80"/>
        <v>76.732321318995034</v>
      </c>
    </row>
    <row r="196" spans="1:30">
      <c r="A196" s="118">
        <v>11028.75</v>
      </c>
      <c r="B196" s="101">
        <f t="shared" ca="1" si="54"/>
        <v>614.84443042620399</v>
      </c>
      <c r="C196" s="102">
        <f t="shared" ca="1" si="55"/>
        <v>1.5691698983987166</v>
      </c>
      <c r="D196" s="102">
        <f t="shared" si="56"/>
        <v>1.051700422033365</v>
      </c>
      <c r="E196" s="103">
        <f t="shared" si="57"/>
        <v>0.31485557848365414</v>
      </c>
      <c r="F196" s="101">
        <f t="shared" si="58"/>
        <v>3769.6851179662758</v>
      </c>
      <c r="G196" s="104">
        <f t="shared" si="59"/>
        <v>1.5705310526458802</v>
      </c>
      <c r="H196" s="113">
        <f t="shared" si="60"/>
        <v>471.21168426157629</v>
      </c>
      <c r="I196" s="114">
        <f t="shared" si="61"/>
        <v>1.568674136738887</v>
      </c>
      <c r="J196" s="101">
        <f t="shared" si="62"/>
        <v>1.2166302334591079</v>
      </c>
      <c r="K196" s="104">
        <f t="shared" si="63"/>
        <v>0.60598332629012841</v>
      </c>
      <c r="L196" s="102">
        <f t="shared" si="64"/>
        <v>1</v>
      </c>
      <c r="M196" s="103">
        <f t="shared" si="65"/>
        <v>4.5042191920293745E-10</v>
      </c>
      <c r="N196" s="101">
        <f t="shared" si="66"/>
        <v>1</v>
      </c>
      <c r="O196" s="104">
        <f t="shared" si="67"/>
        <v>6.0056255893724993E-11</v>
      </c>
      <c r="P196" s="105">
        <f t="shared" ca="1" si="68"/>
        <v>1.1580052081512426</v>
      </c>
      <c r="Q196" s="106">
        <f t="shared" ca="1" si="69"/>
        <v>0.54899329800942476</v>
      </c>
      <c r="R196" s="107">
        <f t="shared" ca="1" si="70"/>
        <v>-5.0504881900903182</v>
      </c>
      <c r="S196" s="108">
        <f t="shared" ca="1" si="71"/>
        <v>-138.14859630245942</v>
      </c>
      <c r="T196" s="116">
        <f t="shared" ca="1" si="72"/>
        <v>41.851403697540576</v>
      </c>
      <c r="V196" s="72">
        <f t="shared" ca="1" si="73"/>
        <v>11028.75</v>
      </c>
      <c r="W196" s="72">
        <f t="shared" si="74"/>
        <v>121633326.5625</v>
      </c>
      <c r="Y196" s="110">
        <f t="shared" si="75"/>
        <v>44.31744707596981</v>
      </c>
      <c r="Z196" s="111">
        <f t="shared" si="76"/>
        <v>-34.826680513533837</v>
      </c>
      <c r="AA196" s="72">
        <f t="shared" si="77"/>
        <v>145.17331948646617</v>
      </c>
      <c r="AB196" s="110">
        <f t="shared" ca="1" si="78"/>
        <v>-31.866709998226131</v>
      </c>
      <c r="AC196" s="111">
        <f t="shared" ca="1" si="79"/>
        <v>-103.32191578892561</v>
      </c>
      <c r="AD196" s="72">
        <f t="shared" ca="1" si="80"/>
        <v>76.678084211074392</v>
      </c>
    </row>
    <row r="197" spans="1:30">
      <c r="A197" s="118">
        <v>11092.5</v>
      </c>
      <c r="B197" s="101">
        <f t="shared" ca="1" si="54"/>
        <v>618.39843510060962</v>
      </c>
      <c r="C197" s="102">
        <f t="shared" ca="1" si="55"/>
        <v>1.5691792456720075</v>
      </c>
      <c r="D197" s="102">
        <f t="shared" si="56"/>
        <v>1.052284946358685</v>
      </c>
      <c r="E197" s="103">
        <f t="shared" si="57"/>
        <v>0.31655668974101814</v>
      </c>
      <c r="F197" s="101">
        <f t="shared" si="58"/>
        <v>3791.4752038243937</v>
      </c>
      <c r="G197" s="104">
        <f t="shared" si="59"/>
        <v>1.5705325772098842</v>
      </c>
      <c r="H197" s="113">
        <f t="shared" si="60"/>
        <v>473.9354389908903</v>
      </c>
      <c r="I197" s="114">
        <f t="shared" si="61"/>
        <v>1.5686863331971572</v>
      </c>
      <c r="J197" s="101">
        <f t="shared" si="62"/>
        <v>1.2189161122104175</v>
      </c>
      <c r="K197" s="104">
        <f t="shared" si="63"/>
        <v>0.60868434854594888</v>
      </c>
      <c r="L197" s="102">
        <f t="shared" si="64"/>
        <v>1</v>
      </c>
      <c r="M197" s="103">
        <f t="shared" si="65"/>
        <v>4.5302551411162499E-10</v>
      </c>
      <c r="N197" s="101">
        <f t="shared" si="66"/>
        <v>1</v>
      </c>
      <c r="O197" s="104">
        <f t="shared" si="67"/>
        <v>6.040340188154999E-11</v>
      </c>
      <c r="P197" s="105">
        <f t="shared" ca="1" si="68"/>
        <v>1.1597116494745836</v>
      </c>
      <c r="Q197" s="106">
        <f t="shared" ca="1" si="69"/>
        <v>0.55162606926921764</v>
      </c>
      <c r="R197" s="107">
        <f t="shared" ca="1" si="70"/>
        <v>-5.1248194014386437</v>
      </c>
      <c r="S197" s="108">
        <f t="shared" ca="1" si="71"/>
        <v>-138.35665776908627</v>
      </c>
      <c r="T197" s="116">
        <f t="shared" ca="1" si="72"/>
        <v>41.643342230913731</v>
      </c>
      <c r="V197" s="72">
        <f t="shared" ca="1" si="73"/>
        <v>11092.5</v>
      </c>
      <c r="W197" s="72">
        <f t="shared" si="74"/>
        <v>123043556.25</v>
      </c>
      <c r="Y197" s="110">
        <f t="shared" si="75"/>
        <v>44.301142590406364</v>
      </c>
      <c r="Z197" s="111">
        <f t="shared" si="76"/>
        <v>-34.980826234709205</v>
      </c>
      <c r="AA197" s="72">
        <f t="shared" si="77"/>
        <v>145.01917376529079</v>
      </c>
      <c r="AB197" s="110">
        <f t="shared" ca="1" si="78"/>
        <v>-31.924736724011002</v>
      </c>
      <c r="AC197" s="111">
        <f t="shared" ca="1" si="79"/>
        <v>-103.37583153437706</v>
      </c>
      <c r="AD197" s="72">
        <f t="shared" ca="1" si="80"/>
        <v>76.624168465622944</v>
      </c>
    </row>
    <row r="198" spans="1:30">
      <c r="A198" s="118">
        <v>11156.25</v>
      </c>
      <c r="B198" s="101">
        <f t="shared" ca="1" si="54"/>
        <v>621.95243982842794</v>
      </c>
      <c r="C198" s="102">
        <f t="shared" ca="1" si="55"/>
        <v>1.5691884861195957</v>
      </c>
      <c r="D198" s="102">
        <f t="shared" si="56"/>
        <v>1.0528725123784033</v>
      </c>
      <c r="E198" s="103">
        <f t="shared" si="57"/>
        <v>0.31825590726673159</v>
      </c>
      <c r="F198" s="101">
        <f t="shared" si="58"/>
        <v>3813.2652896912236</v>
      </c>
      <c r="G198" s="104">
        <f t="shared" si="59"/>
        <v>1.5705340843503006</v>
      </c>
      <c r="H198" s="113">
        <f t="shared" si="60"/>
        <v>476.65919378989827</v>
      </c>
      <c r="I198" s="114">
        <f t="shared" si="61"/>
        <v>1.5686983902679501</v>
      </c>
      <c r="J198" s="101">
        <f t="shared" si="62"/>
        <v>1.2212108502616532</v>
      </c>
      <c r="K198" s="104">
        <f t="shared" si="63"/>
        <v>0.61137523956370754</v>
      </c>
      <c r="L198" s="102">
        <f t="shared" si="64"/>
        <v>1</v>
      </c>
      <c r="M198" s="103">
        <f t="shared" si="65"/>
        <v>4.5562910902031248E-10</v>
      </c>
      <c r="N198" s="101">
        <f t="shared" si="66"/>
        <v>1</v>
      </c>
      <c r="O198" s="104">
        <f t="shared" si="67"/>
        <v>6.0750547869374988E-11</v>
      </c>
      <c r="P198" s="105">
        <f t="shared" ca="1" si="68"/>
        <v>1.1614254145371912</v>
      </c>
      <c r="Q198" s="106">
        <f t="shared" ca="1" si="69"/>
        <v>0.5542514542024416</v>
      </c>
      <c r="R198" s="107">
        <f t="shared" ca="1" si="70"/>
        <v>-5.1989097338627559</v>
      </c>
      <c r="S198" s="108">
        <f t="shared" ca="1" si="71"/>
        <v>-138.56382492337676</v>
      </c>
      <c r="T198" s="116">
        <f t="shared" ca="1" si="72"/>
        <v>41.436175076623243</v>
      </c>
      <c r="V198" s="72">
        <f t="shared" ca="1" si="73"/>
        <v>11156.25</v>
      </c>
      <c r="W198" s="72">
        <f t="shared" si="74"/>
        <v>124461914.0625</v>
      </c>
      <c r="Y198" s="110">
        <f t="shared" si="75"/>
        <v>44.28480564378583</v>
      </c>
      <c r="Z198" s="111">
        <f t="shared" si="76"/>
        <v>-35.134398466717919</v>
      </c>
      <c r="AA198" s="72">
        <f t="shared" si="77"/>
        <v>144.86560153328207</v>
      </c>
      <c r="AB198" s="110">
        <f t="shared" ca="1" si="78"/>
        <v>-31.982490109814584</v>
      </c>
      <c r="AC198" s="111">
        <f t="shared" ca="1" si="79"/>
        <v>-103.42942645665885</v>
      </c>
      <c r="AD198" s="72">
        <f t="shared" ca="1" si="80"/>
        <v>76.570573543341155</v>
      </c>
    </row>
    <row r="199" spans="1:30">
      <c r="A199" s="118">
        <v>11220</v>
      </c>
      <c r="B199" s="101">
        <f t="shared" ca="1" si="54"/>
        <v>625.50644460874889</v>
      </c>
      <c r="C199" s="102">
        <f t="shared" ca="1" si="55"/>
        <v>1.5691976215623678</v>
      </c>
      <c r="D199" s="102">
        <f t="shared" si="56"/>
        <v>1.0534631150030309</v>
      </c>
      <c r="E199" s="103">
        <f t="shared" si="57"/>
        <v>0.31995322442526214</v>
      </c>
      <c r="F199" s="101">
        <f t="shared" si="58"/>
        <v>3835.0553755666165</v>
      </c>
      <c r="G199" s="104">
        <f t="shared" si="59"/>
        <v>1.5705355743641225</v>
      </c>
      <c r="H199" s="113">
        <f t="shared" si="60"/>
        <v>479.38294865741216</v>
      </c>
      <c r="I199" s="114">
        <f t="shared" si="61"/>
        <v>1.5687103103271747</v>
      </c>
      <c r="J199" s="101">
        <f t="shared" si="62"/>
        <v>1.2235143977651661</v>
      </c>
      <c r="K199" s="104">
        <f t="shared" si="63"/>
        <v>0.6140560174883829</v>
      </c>
      <c r="L199" s="102">
        <f t="shared" si="64"/>
        <v>1</v>
      </c>
      <c r="M199" s="103">
        <f t="shared" si="65"/>
        <v>4.5823270392899997E-10</v>
      </c>
      <c r="N199" s="101">
        <f t="shared" si="66"/>
        <v>1</v>
      </c>
      <c r="O199" s="104">
        <f t="shared" si="67"/>
        <v>6.1097693857199986E-11</v>
      </c>
      <c r="P199" s="105">
        <f t="shared" ca="1" si="68"/>
        <v>1.1631464712643023</v>
      </c>
      <c r="Q199" s="106">
        <f t="shared" ca="1" si="69"/>
        <v>0.55686945402994592</v>
      </c>
      <c r="R199" s="107">
        <f t="shared" ca="1" si="70"/>
        <v>-5.2727615172855593</v>
      </c>
      <c r="S199" s="108">
        <f t="shared" ca="1" si="71"/>
        <v>-138.77009924031509</v>
      </c>
      <c r="T199" s="116">
        <f t="shared" ca="1" si="72"/>
        <v>41.229900759684909</v>
      </c>
      <c r="V199" s="72">
        <f t="shared" ca="1" si="73"/>
        <v>11220</v>
      </c>
      <c r="W199" s="72">
        <f t="shared" si="74"/>
        <v>125888400</v>
      </c>
      <c r="Y199" s="110">
        <f t="shared" si="75"/>
        <v>44.268436830193451</v>
      </c>
      <c r="Z199" s="111">
        <f t="shared" si="76"/>
        <v>-35.287398130077499</v>
      </c>
      <c r="AA199" s="72">
        <f t="shared" si="77"/>
        <v>144.71260186992251</v>
      </c>
      <c r="AB199" s="110">
        <f t="shared" ca="1" si="78"/>
        <v>-32.039973079645009</v>
      </c>
      <c r="AC199" s="111">
        <f t="shared" ca="1" si="79"/>
        <v>-103.48270111023758</v>
      </c>
      <c r="AD199" s="72">
        <f t="shared" ca="1" si="80"/>
        <v>76.517298889762415</v>
      </c>
    </row>
    <row r="200" spans="1:30">
      <c r="A200" s="118">
        <v>11285.5</v>
      </c>
      <c r="B200" s="101">
        <f t="shared" ca="1" si="54"/>
        <v>629.15801035835705</v>
      </c>
      <c r="C200" s="102">
        <f t="shared" ca="1" si="55"/>
        <v>1.5692069002842548</v>
      </c>
      <c r="D200" s="102">
        <f t="shared" si="56"/>
        <v>1.0540730876692239</v>
      </c>
      <c r="E200" s="103">
        <f t="shared" si="57"/>
        <v>0.32169514835776591</v>
      </c>
      <c r="F200" s="101">
        <f t="shared" si="58"/>
        <v>3857.4436206708851</v>
      </c>
      <c r="G200" s="104">
        <f t="shared" si="59"/>
        <v>1.5705370877470872</v>
      </c>
      <c r="H200" s="113">
        <f t="shared" si="60"/>
        <v>482.1814733365195</v>
      </c>
      <c r="I200" s="114">
        <f t="shared" si="61"/>
        <v>1.5687224173393326</v>
      </c>
      <c r="J200" s="101">
        <f t="shared" si="62"/>
        <v>1.2258903032203958</v>
      </c>
      <c r="K200" s="104">
        <f t="shared" si="63"/>
        <v>0.61679987161344629</v>
      </c>
      <c r="L200" s="102">
        <f t="shared" si="64"/>
        <v>1</v>
      </c>
      <c r="M200" s="103">
        <f t="shared" si="65"/>
        <v>4.6090777007047497E-10</v>
      </c>
      <c r="N200" s="101">
        <f t="shared" si="66"/>
        <v>1</v>
      </c>
      <c r="O200" s="104">
        <f t="shared" si="67"/>
        <v>6.1454369342729996E-11</v>
      </c>
      <c r="P200" s="105">
        <f t="shared" ca="1" si="68"/>
        <v>1.164922333686552</v>
      </c>
      <c r="Q200" s="106">
        <f t="shared" ca="1" si="69"/>
        <v>0.55955163020406873</v>
      </c>
      <c r="R200" s="107">
        <f t="shared" ca="1" si="70"/>
        <v>-5.3483945403722268</v>
      </c>
      <c r="S200" s="108">
        <f t="shared" ca="1" si="71"/>
        <v>-138.98110764787245</v>
      </c>
      <c r="T200" s="116">
        <f t="shared" ca="1" si="72"/>
        <v>41.018892352127551</v>
      </c>
      <c r="V200" s="72">
        <f t="shared" ca="1" si="73"/>
        <v>11285.5</v>
      </c>
      <c r="W200" s="72">
        <f t="shared" si="74"/>
        <v>127362510.25</v>
      </c>
      <c r="Y200" s="110">
        <f t="shared" si="75"/>
        <v>44.2515861050098</v>
      </c>
      <c r="Z200" s="111">
        <f t="shared" si="76"/>
        <v>-35.444002420846807</v>
      </c>
      <c r="AA200" s="72">
        <f t="shared" si="77"/>
        <v>144.5559975791532</v>
      </c>
      <c r="AB200" s="110">
        <f t="shared" ca="1" si="78"/>
        <v>-32.098755377548031</v>
      </c>
      <c r="AC200" s="111">
        <f t="shared" ca="1" si="79"/>
        <v>-103.53710522702563</v>
      </c>
      <c r="AD200" s="72">
        <f t="shared" ca="1" si="80"/>
        <v>76.462894772974366</v>
      </c>
    </row>
    <row r="201" spans="1:30">
      <c r="A201" s="118">
        <v>11351</v>
      </c>
      <c r="B201" s="101">
        <f t="shared" ca="1" si="54"/>
        <v>632.80957616150715</v>
      </c>
      <c r="C201" s="102">
        <f t="shared" ca="1" si="55"/>
        <v>1.5692160719222272</v>
      </c>
      <c r="D201" s="102">
        <f t="shared" si="56"/>
        <v>1.0546862550031344</v>
      </c>
      <c r="E201" s="103">
        <f t="shared" si="57"/>
        <v>0.32343505214543511</v>
      </c>
      <c r="F201" s="101">
        <f t="shared" si="58"/>
        <v>3879.8318657838868</v>
      </c>
      <c r="G201" s="104">
        <f t="shared" si="59"/>
        <v>1.5705385836643526</v>
      </c>
      <c r="H201" s="113">
        <f t="shared" si="60"/>
        <v>484.97999808548929</v>
      </c>
      <c r="I201" s="114">
        <f t="shared" si="61"/>
        <v>1.5687343846270776</v>
      </c>
      <c r="J201" s="101">
        <f t="shared" si="62"/>
        <v>1.2282754023333198</v>
      </c>
      <c r="K201" s="104">
        <f t="shared" si="63"/>
        <v>0.61953309006625512</v>
      </c>
      <c r="L201" s="102">
        <f t="shared" si="64"/>
        <v>1</v>
      </c>
      <c r="M201" s="103">
        <f t="shared" si="65"/>
        <v>4.6358283621194996E-10</v>
      </c>
      <c r="N201" s="101">
        <f t="shared" si="66"/>
        <v>1</v>
      </c>
      <c r="O201" s="104">
        <f t="shared" si="67"/>
        <v>6.1811044828259992E-11</v>
      </c>
      <c r="P201" s="105">
        <f t="shared" ca="1" si="68"/>
        <v>1.1667058251221425</v>
      </c>
      <c r="Q201" s="106">
        <f t="shared" ca="1" si="69"/>
        <v>0.56222601403091332</v>
      </c>
      <c r="R201" s="107">
        <f t="shared" ca="1" si="70"/>
        <v>-5.4237805676403452</v>
      </c>
      <c r="S201" s="108">
        <f t="shared" ca="1" si="71"/>
        <v>-139.19117682290971</v>
      </c>
      <c r="T201" s="116">
        <f t="shared" ca="1" si="72"/>
        <v>40.808823177090289</v>
      </c>
      <c r="V201" s="72">
        <f t="shared" ca="1" si="73"/>
        <v>11351</v>
      </c>
      <c r="W201" s="72">
        <f t="shared" si="74"/>
        <v>128845201</v>
      </c>
      <c r="Y201" s="110">
        <f t="shared" si="75"/>
        <v>44.234702995779458</v>
      </c>
      <c r="Z201" s="111">
        <f t="shared" si="76"/>
        <v>-35.600004337391269</v>
      </c>
      <c r="AA201" s="72">
        <f t="shared" si="77"/>
        <v>144.39999566260872</v>
      </c>
      <c r="AB201" s="110">
        <f t="shared" ca="1" si="78"/>
        <v>-32.157258295585798</v>
      </c>
      <c r="AC201" s="111">
        <f t="shared" ca="1" si="79"/>
        <v>-103.59117248551843</v>
      </c>
      <c r="AD201" s="72">
        <f t="shared" ca="1" si="80"/>
        <v>76.408827514481573</v>
      </c>
    </row>
    <row r="202" spans="1:30">
      <c r="A202" s="118">
        <v>11416.5</v>
      </c>
      <c r="B202" s="101">
        <f t="shared" ca="1" si="54"/>
        <v>636.46114201727767</v>
      </c>
      <c r="C202" s="102">
        <f t="shared" ca="1" si="55"/>
        <v>1.5692251383194</v>
      </c>
      <c r="D202" s="102">
        <f t="shared" si="56"/>
        <v>1.055302611436125</v>
      </c>
      <c r="E202" s="103">
        <f t="shared" si="57"/>
        <v>0.32517292878450177</v>
      </c>
      <c r="F202" s="101">
        <f t="shared" si="58"/>
        <v>3902.2201109054699</v>
      </c>
      <c r="G202" s="104">
        <f t="shared" si="59"/>
        <v>1.5705400624165367</v>
      </c>
      <c r="H202" s="113">
        <f t="shared" si="60"/>
        <v>487.77852290311881</v>
      </c>
      <c r="I202" s="114">
        <f t="shared" si="61"/>
        <v>1.568746214595323</v>
      </c>
      <c r="J202" s="101">
        <f t="shared" si="62"/>
        <v>1.2306696416506386</v>
      </c>
      <c r="K202" s="104">
        <f t="shared" si="63"/>
        <v>0.62225569396590752</v>
      </c>
      <c r="L202" s="102">
        <f t="shared" si="64"/>
        <v>1</v>
      </c>
      <c r="M202" s="103">
        <f t="shared" si="65"/>
        <v>4.6625790235342495E-10</v>
      </c>
      <c r="N202" s="101">
        <f t="shared" si="66"/>
        <v>1</v>
      </c>
      <c r="O202" s="104">
        <f t="shared" si="67"/>
        <v>6.2167720313789989E-11</v>
      </c>
      <c r="P202" s="105">
        <f t="shared" ca="1" si="68"/>
        <v>1.1684969109649297</v>
      </c>
      <c r="Q202" s="106">
        <f t="shared" ca="1" si="69"/>
        <v>0.56489260801153196</v>
      </c>
      <c r="R202" s="107">
        <f t="shared" ca="1" si="70"/>
        <v>-5.4989219694453144</v>
      </c>
      <c r="S202" s="108">
        <f t="shared" ca="1" si="71"/>
        <v>-139.40030850508359</v>
      </c>
      <c r="T202" s="116">
        <f t="shared" ca="1" si="72"/>
        <v>40.599691494916414</v>
      </c>
      <c r="V202" s="72">
        <f t="shared" ca="1" si="73"/>
        <v>11416.5</v>
      </c>
      <c r="W202" s="72">
        <f t="shared" si="74"/>
        <v>130336472.25</v>
      </c>
      <c r="Y202" s="110">
        <f t="shared" si="75"/>
        <v>44.217788131589131</v>
      </c>
      <c r="Z202" s="111">
        <f t="shared" si="76"/>
        <v>-35.755404969178777</v>
      </c>
      <c r="AA202" s="72">
        <f t="shared" si="77"/>
        <v>144.24459503082122</v>
      </c>
      <c r="AB202" s="110">
        <f t="shared" ca="1" si="78"/>
        <v>-32.215484833200449</v>
      </c>
      <c r="AC202" s="111">
        <f t="shared" ca="1" si="79"/>
        <v>-103.64490353590476</v>
      </c>
      <c r="AD202" s="72">
        <f t="shared" ca="1" si="80"/>
        <v>76.35509646409524</v>
      </c>
    </row>
    <row r="203" spans="1:30">
      <c r="A203" s="118">
        <v>11482</v>
      </c>
      <c r="B203" s="101">
        <f t="shared" ca="1" si="54"/>
        <v>640.11270792476819</v>
      </c>
      <c r="C203" s="102">
        <f t="shared" ca="1" si="55"/>
        <v>1.5692341012768309</v>
      </c>
      <c r="D203" s="102">
        <f t="shared" si="56"/>
        <v>1.0559221513836312</v>
      </c>
      <c r="E203" s="103">
        <f t="shared" si="57"/>
        <v>0.3269087713364876</v>
      </c>
      <c r="F203" s="101">
        <f t="shared" si="58"/>
        <v>3924.60835603549</v>
      </c>
      <c r="G203" s="104">
        <f t="shared" si="59"/>
        <v>1.5705415242973984</v>
      </c>
      <c r="H203" s="113">
        <f t="shared" si="60"/>
        <v>490.57704778823336</v>
      </c>
      <c r="I203" s="114">
        <f t="shared" si="61"/>
        <v>1.5687579095941064</v>
      </c>
      <c r="J203" s="101">
        <f t="shared" si="62"/>
        <v>1.2330729679301595</v>
      </c>
      <c r="K203" s="104">
        <f t="shared" si="63"/>
        <v>0.62496770489723708</v>
      </c>
      <c r="L203" s="102">
        <f t="shared" si="64"/>
        <v>1</v>
      </c>
      <c r="M203" s="103">
        <f t="shared" si="65"/>
        <v>4.6893296849489995E-10</v>
      </c>
      <c r="N203" s="101">
        <f t="shared" si="66"/>
        <v>1</v>
      </c>
      <c r="O203" s="104">
        <f t="shared" si="67"/>
        <v>6.2524395799319985E-11</v>
      </c>
      <c r="P203" s="105">
        <f t="shared" ca="1" si="68"/>
        <v>1.1702955566742121</v>
      </c>
      <c r="Q203" s="106">
        <f t="shared" ca="1" si="69"/>
        <v>0.56755141503461937</v>
      </c>
      <c r="R203" s="107">
        <f t="shared" ca="1" si="70"/>
        <v>-5.5738210659545633</v>
      </c>
      <c r="S203" s="108">
        <f t="shared" ca="1" si="71"/>
        <v>-139.60850447954633</v>
      </c>
      <c r="T203" s="116">
        <f t="shared" ca="1" si="72"/>
        <v>40.391495520453674</v>
      </c>
      <c r="V203" s="72">
        <f t="shared" ca="1" si="73"/>
        <v>11482</v>
      </c>
      <c r="W203" s="72">
        <f t="shared" si="74"/>
        <v>131836324</v>
      </c>
      <c r="Y203" s="110">
        <f t="shared" si="75"/>
        <v>44.200842136353067</v>
      </c>
      <c r="Z203" s="111">
        <f t="shared" si="76"/>
        <v>-35.910205435113177</v>
      </c>
      <c r="AA203" s="72">
        <f t="shared" si="77"/>
        <v>144.08979456488683</v>
      </c>
      <c r="AB203" s="110">
        <f t="shared" ca="1" si="78"/>
        <v>-32.273437934473634</v>
      </c>
      <c r="AC203" s="111">
        <f t="shared" ca="1" si="79"/>
        <v>-103.69829904443316</v>
      </c>
      <c r="AD203" s="72">
        <f t="shared" ca="1" si="80"/>
        <v>76.301700955566844</v>
      </c>
    </row>
    <row r="204" spans="1:30">
      <c r="A204" s="118">
        <v>11548.75</v>
      </c>
      <c r="B204" s="101">
        <f t="shared" ca="1" si="54"/>
        <v>643.83396025683783</v>
      </c>
      <c r="C204" s="102">
        <f t="shared" ca="1" si="55"/>
        <v>1.5692431306856531</v>
      </c>
      <c r="D204" s="102">
        <f t="shared" si="56"/>
        <v>1.056556784039612</v>
      </c>
      <c r="E204" s="103">
        <f t="shared" si="57"/>
        <v>0.32867564085368522</v>
      </c>
      <c r="F204" s="101">
        <f t="shared" si="58"/>
        <v>3947.4238577604901</v>
      </c>
      <c r="G204" s="104">
        <f t="shared" si="59"/>
        <v>1.5705429970166085</v>
      </c>
      <c r="H204" s="113">
        <f t="shared" si="60"/>
        <v>493.42897970504441</v>
      </c>
      <c r="I204" s="114">
        <f t="shared" si="61"/>
        <v>1.5687696912998756</v>
      </c>
      <c r="J204" s="101">
        <f t="shared" si="62"/>
        <v>1.2355314530520396</v>
      </c>
      <c r="K204" s="104">
        <f t="shared" si="63"/>
        <v>0.62772059645314537</v>
      </c>
      <c r="L204" s="102">
        <f t="shared" si="64"/>
        <v>1</v>
      </c>
      <c r="M204" s="103">
        <f t="shared" si="65"/>
        <v>4.7165908551693749E-10</v>
      </c>
      <c r="N204" s="101">
        <f t="shared" si="66"/>
        <v>1</v>
      </c>
      <c r="O204" s="104">
        <f t="shared" si="67"/>
        <v>6.2887878068924997E-11</v>
      </c>
      <c r="P204" s="105">
        <f t="shared" ca="1" si="68"/>
        <v>1.1721362696429038</v>
      </c>
      <c r="Q204" s="106">
        <f t="shared" ca="1" si="69"/>
        <v>0.57025295475396653</v>
      </c>
      <c r="R204" s="107">
        <f t="shared" ca="1" si="70"/>
        <v>-5.6499026002691997</v>
      </c>
      <c r="S204" s="108">
        <f t="shared" ca="1" si="71"/>
        <v>-139.81971289067897</v>
      </c>
      <c r="T204" s="116">
        <f t="shared" ca="1" si="72"/>
        <v>40.180287109321029</v>
      </c>
      <c r="V204" s="72">
        <f t="shared" ca="1" si="73"/>
        <v>11548.75</v>
      </c>
      <c r="W204" s="72">
        <f t="shared" si="74"/>
        <v>133373626.5625</v>
      </c>
      <c r="Y204" s="110">
        <f t="shared" si="75"/>
        <v>44.18354135697767</v>
      </c>
      <c r="Z204" s="111">
        <f t="shared" si="76"/>
        <v>-36.067343841347245</v>
      </c>
      <c r="AA204" s="72">
        <f t="shared" si="77"/>
        <v>143.93265615865275</v>
      </c>
      <c r="AB204" s="110">
        <f t="shared" ca="1" si="78"/>
        <v>-32.332218689412869</v>
      </c>
      <c r="AC204" s="111">
        <f t="shared" ca="1" si="79"/>
        <v>-103.75236904933176</v>
      </c>
      <c r="AD204" s="72">
        <f t="shared" ca="1" si="80"/>
        <v>76.247630950668238</v>
      </c>
    </row>
    <row r="205" spans="1:30">
      <c r="A205" s="118">
        <v>11615.5</v>
      </c>
      <c r="B205" s="101">
        <f t="shared" ca="1" si="54"/>
        <v>647.55521264079607</v>
      </c>
      <c r="C205" s="102">
        <f t="shared" ca="1" si="55"/>
        <v>1.5692520563173509</v>
      </c>
      <c r="D205" s="102">
        <f t="shared" si="56"/>
        <v>1.0571947111179902</v>
      </c>
      <c r="E205" s="103">
        <f t="shared" si="57"/>
        <v>0.33044038356366806</v>
      </c>
      <c r="F205" s="101">
        <f t="shared" si="58"/>
        <v>3970.2393594939535</v>
      </c>
      <c r="G205" s="104">
        <f t="shared" si="59"/>
        <v>1.5705444528094701</v>
      </c>
      <c r="H205" s="113">
        <f t="shared" si="60"/>
        <v>496.28091168956041</v>
      </c>
      <c r="I205" s="114">
        <f t="shared" si="61"/>
        <v>1.5687813375959512</v>
      </c>
      <c r="J205" s="101">
        <f t="shared" si="62"/>
        <v>1.2379992643103648</v>
      </c>
      <c r="K205" s="104">
        <f t="shared" si="63"/>
        <v>0.63046253356493387</v>
      </c>
      <c r="L205" s="102">
        <f t="shared" si="64"/>
        <v>1</v>
      </c>
      <c r="M205" s="103">
        <f t="shared" si="65"/>
        <v>4.7438520253897492E-10</v>
      </c>
      <c r="N205" s="101">
        <f t="shared" si="66"/>
        <v>1</v>
      </c>
      <c r="O205" s="104">
        <f t="shared" si="67"/>
        <v>6.3251360338529997E-11</v>
      </c>
      <c r="P205" s="105">
        <f t="shared" ca="1" si="68"/>
        <v>1.1739847615627674</v>
      </c>
      <c r="Q205" s="106">
        <f t="shared" ca="1" si="69"/>
        <v>0.572946414731894</v>
      </c>
      <c r="R205" s="107">
        <f t="shared" ca="1" si="70"/>
        <v>-5.7257372044668697</v>
      </c>
      <c r="S205" s="108">
        <f t="shared" ca="1" si="71"/>
        <v>-140.02995342299434</v>
      </c>
      <c r="T205" s="116">
        <f t="shared" ca="1" si="72"/>
        <v>39.970046577005661</v>
      </c>
      <c r="V205" s="72">
        <f t="shared" ca="1" si="73"/>
        <v>11615.5</v>
      </c>
      <c r="W205" s="72">
        <f t="shared" si="74"/>
        <v>134919840.25</v>
      </c>
      <c r="Y205" s="110">
        <f t="shared" si="75"/>
        <v>44.166209538883578</v>
      </c>
      <c r="Z205" s="111">
        <f t="shared" si="76"/>
        <v>-36.223861392761208</v>
      </c>
      <c r="AA205" s="72">
        <f t="shared" si="77"/>
        <v>143.77613860723881</v>
      </c>
      <c r="AB205" s="110">
        <f t="shared" ca="1" si="78"/>
        <v>-32.39072147551645</v>
      </c>
      <c r="AC205" s="111">
        <f t="shared" ca="1" si="79"/>
        <v>-103.80609203023307</v>
      </c>
      <c r="AD205" s="72">
        <f t="shared" ca="1" si="80"/>
        <v>76.193907969766926</v>
      </c>
    </row>
    <row r="206" spans="1:30">
      <c r="A206" s="118">
        <v>11682.25</v>
      </c>
      <c r="B206" s="101">
        <f t="shared" ref="B206:B269" ca="1" si="81">SQRT(1+(A206/Pole1)^2)</f>
        <v>651.27646507575344</v>
      </c>
      <c r="C206" s="102">
        <f t="shared" ref="C206:C269" ca="1" si="82">ATAN(A206/Pole1)</f>
        <v>1.5692608799508032</v>
      </c>
      <c r="D206" s="102">
        <f t="shared" ref="D206:D269" si="83">SQRT(1+(A206/Zero1)^2)</f>
        <v>1.0578359266586697</v>
      </c>
      <c r="E206" s="103">
        <f t="shared" ref="E206:E269" si="84">ATAN(A206/Zero1)</f>
        <v>0.33220299233218215</v>
      </c>
      <c r="F206" s="101">
        <f t="shared" ref="F206:F269" si="85">SQRT(1+(A206/Pole2)^2)</f>
        <v>3993.0548612357356</v>
      </c>
      <c r="G206" s="104">
        <f t="shared" ref="G206:G269" si="86">ATAN(A206/Pole2)</f>
        <v>1.5705458919661242</v>
      </c>
      <c r="H206" s="113">
        <f t="shared" ref="H206:H269" si="87">SQRT(1+(A206/Zero2)^2)</f>
        <v>499.13284374062084</v>
      </c>
      <c r="I206" s="114">
        <f t="shared" ref="I206:I269" si="88">ATAN(A206/Zero2)</f>
        <v>1.568792850803431</v>
      </c>
      <c r="J206" s="101">
        <f t="shared" ref="J206:J269" si="89">SQRT(1+(A206/pole4)^2)</f>
        <v>1.2404763460447166</v>
      </c>
      <c r="K206" s="104">
        <f t="shared" ref="K206:K269" si="90">ATAN(A206/pole4)</f>
        <v>0.63319354050507526</v>
      </c>
      <c r="L206" s="102">
        <f t="shared" ref="L206:L269" si="91">SQRT(1+(A206/Zerofeed)^2)</f>
        <v>1</v>
      </c>
      <c r="M206" s="103">
        <f t="shared" ref="M206:M269" si="92">ATAN(A206/Zerofeed)</f>
        <v>4.7711131956101246E-10</v>
      </c>
      <c r="N206" s="101">
        <f t="shared" ref="N206:N269" si="93">SQRT(1+(A206/Polefeed)^2)</f>
        <v>1</v>
      </c>
      <c r="O206" s="104">
        <f t="shared" ref="O206:O269" si="94">ATAN(A206/Polefeed)</f>
        <v>6.3614842608134996E-11</v>
      </c>
      <c r="P206" s="105">
        <f t="shared" ref="P206:P269" ca="1" si="95">SQRT((1-(W206/pterm2))^2+(A206/pterm1)^2)</f>
        <v>1.1758409960984224</v>
      </c>
      <c r="Q206" s="106">
        <f t="shared" ref="Q206:Q269" ca="1" si="96">IF((ATAN((A206/pterm1)/(1-A206^2/pterm2))&gt;0),ATAN((A206/pterm1)/(1-A206^2/pterm2)),PI()+ATAN((A206/pterm1)/(1-A206^2/pterm2)))</f>
        <v>0.57563179923576835</v>
      </c>
      <c r="R206" s="107">
        <f t="shared" ref="R206:R269" ca="1" si="97">20*LOG10(((D206*H206*L206)/(B206*F206*P206*J206*N206))*Adc)</f>
        <v>-5.8013271816799596</v>
      </c>
      <c r="S206" s="108">
        <f t="shared" ref="S206:S269" ca="1" si="98">((E206+I206+M206)-(C206+G206+Q206+K206+O206))*radconv</f>
        <v>-140.2392281060242</v>
      </c>
      <c r="T206" s="116">
        <f t="shared" ref="T206:T269" ca="1" si="99">IF(S206&gt;0,S206,S206+180)</f>
        <v>39.7607718939758</v>
      </c>
      <c r="V206" s="72">
        <f t="shared" ref="V206:V269" ca="1" si="100">IF(R206&lt;0,A206,1000000000)</f>
        <v>11682.25</v>
      </c>
      <c r="W206" s="72">
        <f t="shared" ref="W206:W269" si="101">A206^2</f>
        <v>136474965.0625</v>
      </c>
      <c r="Y206" s="110">
        <f t="shared" ref="Y206:Y269" si="102">20*LOG10(((H206*L206)/(F206*J206*N206))*Aea)</f>
        <v>44.148847325795415</v>
      </c>
      <c r="Z206" s="111">
        <f t="shared" ref="Z206:Z269" si="103">(I206+M206-(G206+K206+O206))*radconv</f>
        <v>-36.379759363700117</v>
      </c>
      <c r="AA206" s="72">
        <f t="shared" ref="AA206:AA269" si="104">IF(Z206&gt;0,Z206,Z206+180)</f>
        <v>143.62024063629988</v>
      </c>
      <c r="AB206" s="110">
        <f t="shared" ref="AB206:AB269" ca="1" si="105">20*LOG10((D206/(B206*P206))*Acs*Am)</f>
        <v>-32.448949239641379</v>
      </c>
      <c r="AC206" s="111">
        <f t="shared" ref="AC206:AC269" ca="1" si="106">(E206-(C206+Q206))*radconv</f>
        <v>-103.85946874232407</v>
      </c>
      <c r="AD206" s="72">
        <f t="shared" ref="AD206:AD269" ca="1" si="107">IF(AC206&gt;0,AC206,AC206+180)</f>
        <v>76.140531257675931</v>
      </c>
    </row>
    <row r="207" spans="1:30">
      <c r="A207" s="118">
        <v>11749</v>
      </c>
      <c r="B207" s="101">
        <f t="shared" ca="1" si="81"/>
        <v>654.9977175608409</v>
      </c>
      <c r="C207" s="102">
        <f t="shared" ca="1" si="82"/>
        <v>1.5692696033244626</v>
      </c>
      <c r="D207" s="102">
        <f t="shared" si="83"/>
        <v>1.0584804246853097</v>
      </c>
      <c r="E207" s="103">
        <f t="shared" si="84"/>
        <v>0.33396346009525357</v>
      </c>
      <c r="F207" s="101">
        <f t="shared" si="85"/>
        <v>4015.8703629856932</v>
      </c>
      <c r="G207" s="104">
        <f t="shared" si="86"/>
        <v>1.5705473147701183</v>
      </c>
      <c r="H207" s="113">
        <f t="shared" si="87"/>
        <v>501.98477585709151</v>
      </c>
      <c r="I207" s="114">
        <f t="shared" si="88"/>
        <v>1.5688042331906651</v>
      </c>
      <c r="J207" s="101">
        <f t="shared" si="89"/>
        <v>1.2429626428301155</v>
      </c>
      <c r="K207" s="104">
        <f t="shared" si="90"/>
        <v>0.63591364200508926</v>
      </c>
      <c r="L207" s="102">
        <f t="shared" si="91"/>
        <v>1</v>
      </c>
      <c r="M207" s="103">
        <f t="shared" si="92"/>
        <v>4.7983743658305E-10</v>
      </c>
      <c r="N207" s="101">
        <f t="shared" si="93"/>
        <v>1</v>
      </c>
      <c r="O207" s="104">
        <f t="shared" si="94"/>
        <v>6.3978324877739995E-11</v>
      </c>
      <c r="P207" s="105">
        <f t="shared" ca="1" si="95"/>
        <v>1.1777049369924053</v>
      </c>
      <c r="Q207" s="106">
        <f t="shared" ca="1" si="96"/>
        <v>0.57830911292923692</v>
      </c>
      <c r="R207" s="107">
        <f t="shared" ca="1" si="97"/>
        <v>-5.8766747864674809</v>
      </c>
      <c r="S207" s="108">
        <f t="shared" ca="1" si="98"/>
        <v>-140.44753901460879</v>
      </c>
      <c r="T207" s="116">
        <f t="shared" ca="1" si="99"/>
        <v>39.552460985391207</v>
      </c>
      <c r="V207" s="72">
        <f t="shared" ca="1" si="100"/>
        <v>11749</v>
      </c>
      <c r="W207" s="72">
        <f t="shared" si="101"/>
        <v>138039001</v>
      </c>
      <c r="Y207" s="110">
        <f t="shared" si="102"/>
        <v>44.131455355852403</v>
      </c>
      <c r="Z207" s="111">
        <f t="shared" si="103"/>
        <v>-36.535039057454796</v>
      </c>
      <c r="AA207" s="72">
        <f t="shared" si="104"/>
        <v>143.46496094254519</v>
      </c>
      <c r="AB207" s="110">
        <f t="shared" ca="1" si="105"/>
        <v>-32.506904874485883</v>
      </c>
      <c r="AC207" s="111">
        <f t="shared" ca="1" si="106"/>
        <v>-103.91249995715397</v>
      </c>
      <c r="AD207" s="72">
        <f t="shared" ca="1" si="107"/>
        <v>76.087500042846031</v>
      </c>
    </row>
    <row r="208" spans="1:30">
      <c r="A208" s="118">
        <v>11817.5</v>
      </c>
      <c r="B208" s="101">
        <f t="shared" ca="1" si="81"/>
        <v>658.81653102373127</v>
      </c>
      <c r="C208" s="102">
        <f t="shared" ca="1" si="82"/>
        <v>1.5692784529455013</v>
      </c>
      <c r="D208" s="102">
        <f t="shared" si="83"/>
        <v>1.0591452260799259</v>
      </c>
      <c r="E208" s="103">
        <f t="shared" si="84"/>
        <v>0.33576784917154628</v>
      </c>
      <c r="F208" s="101">
        <f t="shared" si="85"/>
        <v>4039.2840239659158</v>
      </c>
      <c r="G208" s="104">
        <f t="shared" si="86"/>
        <v>1.570548758165337</v>
      </c>
      <c r="H208" s="113">
        <f t="shared" si="87"/>
        <v>504.91147779626743</v>
      </c>
      <c r="I208" s="114">
        <f t="shared" si="88"/>
        <v>1.5688157803075686</v>
      </c>
      <c r="J208" s="101">
        <f t="shared" si="89"/>
        <v>1.2455236461571899</v>
      </c>
      <c r="K208" s="104">
        <f t="shared" si="90"/>
        <v>0.63869374538452495</v>
      </c>
      <c r="L208" s="102">
        <f t="shared" si="91"/>
        <v>1</v>
      </c>
      <c r="M208" s="103">
        <f t="shared" si="92"/>
        <v>4.8263502483787494E-10</v>
      </c>
      <c r="N208" s="101">
        <f t="shared" si="93"/>
        <v>1</v>
      </c>
      <c r="O208" s="104">
        <f t="shared" si="94"/>
        <v>6.4351336645049993E-11</v>
      </c>
      <c r="P208" s="105">
        <f t="shared" ca="1" si="95"/>
        <v>1.1796257193753814</v>
      </c>
      <c r="Q208" s="106">
        <f t="shared" ca="1" si="96"/>
        <v>0.581048232695488</v>
      </c>
      <c r="R208" s="107">
        <f t="shared" ca="1" si="97"/>
        <v>-5.9537481239873635</v>
      </c>
      <c r="S208" s="108">
        <f t="shared" ca="1" si="98"/>
        <v>-140.66031147380656</v>
      </c>
      <c r="T208" s="116">
        <f t="shared" ca="1" si="99"/>
        <v>39.339688526193441</v>
      </c>
      <c r="V208" s="72">
        <f t="shared" ca="1" si="100"/>
        <v>11817.5</v>
      </c>
      <c r="W208" s="72">
        <f t="shared" si="101"/>
        <v>139653306.25</v>
      </c>
      <c r="Y208" s="110">
        <f t="shared" si="102"/>
        <v>44.113577142722505</v>
      </c>
      <c r="Z208" s="111">
        <f t="shared" si="103"/>
        <v>-36.693748347139049</v>
      </c>
      <c r="AA208" s="72">
        <f t="shared" si="104"/>
        <v>143.30625165286096</v>
      </c>
      <c r="AB208" s="110">
        <f t="shared" ca="1" si="105"/>
        <v>-32.56609999887587</v>
      </c>
      <c r="AC208" s="111">
        <f t="shared" ca="1" si="106"/>
        <v>-103.96656312666751</v>
      </c>
      <c r="AD208" s="72">
        <f t="shared" ca="1" si="107"/>
        <v>76.033436873332491</v>
      </c>
    </row>
    <row r="209" spans="1:30">
      <c r="A209" s="118">
        <v>11886</v>
      </c>
      <c r="B209" s="101">
        <f t="shared" ca="1" si="81"/>
        <v>662.63534453762281</v>
      </c>
      <c r="C209" s="102">
        <f t="shared" ca="1" si="82"/>
        <v>1.5692872005645793</v>
      </c>
      <c r="D209" s="102">
        <f t="shared" si="83"/>
        <v>1.0598134715279248</v>
      </c>
      <c r="E209" s="103">
        <f t="shared" si="84"/>
        <v>0.33756996866188727</v>
      </c>
      <c r="F209" s="101">
        <f t="shared" si="85"/>
        <v>4062.6976849544567</v>
      </c>
      <c r="G209" s="104">
        <f t="shared" si="86"/>
        <v>1.5705501849237451</v>
      </c>
      <c r="H209" s="113">
        <f t="shared" si="87"/>
        <v>507.83817980199012</v>
      </c>
      <c r="I209" s="114">
        <f t="shared" si="88"/>
        <v>1.5688271943310135</v>
      </c>
      <c r="J209" s="101">
        <f t="shared" si="89"/>
        <v>1.248094236555515</v>
      </c>
      <c r="K209" s="104">
        <f t="shared" si="90"/>
        <v>0.64146241821875949</v>
      </c>
      <c r="L209" s="102">
        <f t="shared" si="91"/>
        <v>1</v>
      </c>
      <c r="M209" s="103">
        <f t="shared" si="92"/>
        <v>4.8543261309269999E-10</v>
      </c>
      <c r="N209" s="101">
        <f t="shared" si="93"/>
        <v>1</v>
      </c>
      <c r="O209" s="104">
        <f t="shared" si="94"/>
        <v>6.4724348412359991E-11</v>
      </c>
      <c r="P209" s="105">
        <f t="shared" ca="1" si="95"/>
        <v>1.1815545403837442</v>
      </c>
      <c r="Q209" s="106">
        <f t="shared" ca="1" si="96"/>
        <v>0.58377886412446778</v>
      </c>
      <c r="R209" s="107">
        <f t="shared" ca="1" si="97"/>
        <v>-6.0305708732751366</v>
      </c>
      <c r="S209" s="108">
        <f t="shared" ca="1" si="98"/>
        <v>-140.87207353099376</v>
      </c>
      <c r="T209" s="116">
        <f t="shared" ca="1" si="99"/>
        <v>39.12792646900624</v>
      </c>
      <c r="V209" s="72">
        <f t="shared" ca="1" si="100"/>
        <v>11886</v>
      </c>
      <c r="W209" s="72">
        <f t="shared" si="101"/>
        <v>141276996</v>
      </c>
      <c r="Y209" s="110">
        <f t="shared" si="102"/>
        <v>44.095668935643829</v>
      </c>
      <c r="Z209" s="111">
        <f t="shared" si="103"/>
        <v>-36.851809387299419</v>
      </c>
      <c r="AA209" s="72">
        <f t="shared" si="104"/>
        <v>143.14819061270057</v>
      </c>
      <c r="AB209" s="110">
        <f t="shared" ca="1" si="105"/>
        <v>-32.625014541084973</v>
      </c>
      <c r="AC209" s="111">
        <f t="shared" ca="1" si="106"/>
        <v>-104.02026414369433</v>
      </c>
      <c r="AD209" s="72">
        <f t="shared" ca="1" si="107"/>
        <v>75.979735856305666</v>
      </c>
    </row>
    <row r="210" spans="1:30">
      <c r="A210" s="118">
        <v>11954.5</v>
      </c>
      <c r="B210" s="101">
        <f t="shared" ca="1" si="81"/>
        <v>666.45415810163865</v>
      </c>
      <c r="C210" s="102">
        <f t="shared" ca="1" si="82"/>
        <v>1.5692958479351233</v>
      </c>
      <c r="D210" s="102">
        <f t="shared" si="83"/>
        <v>1.0604851545186833</v>
      </c>
      <c r="E210" s="103">
        <f t="shared" si="84"/>
        <v>0.33936981116253723</v>
      </c>
      <c r="F210" s="101">
        <f t="shared" si="85"/>
        <v>4086.1113459511726</v>
      </c>
      <c r="G210" s="104">
        <f t="shared" si="86"/>
        <v>1.570551595331332</v>
      </c>
      <c r="H210" s="113">
        <f t="shared" si="87"/>
        <v>510.76488187311571</v>
      </c>
      <c r="I210" s="114">
        <f t="shared" si="88"/>
        <v>1.5688384775488888</v>
      </c>
      <c r="J210" s="101">
        <f t="shared" si="89"/>
        <v>1.2506743549103427</v>
      </c>
      <c r="K210" s="104">
        <f t="shared" si="90"/>
        <v>0.64421968867350177</v>
      </c>
      <c r="L210" s="102">
        <f t="shared" si="91"/>
        <v>1</v>
      </c>
      <c r="M210" s="103">
        <f t="shared" si="92"/>
        <v>4.8823020134752493E-10</v>
      </c>
      <c r="N210" s="101">
        <f t="shared" si="93"/>
        <v>1</v>
      </c>
      <c r="O210" s="104">
        <f t="shared" si="94"/>
        <v>6.5097360179669989E-11</v>
      </c>
      <c r="P210" s="105">
        <f t="shared" ca="1" si="95"/>
        <v>1.1834913611003677</v>
      </c>
      <c r="Q210" s="106">
        <f t="shared" ca="1" si="96"/>
        <v>0.58650101352172568</v>
      </c>
      <c r="R210" s="107">
        <f t="shared" ca="1" si="97"/>
        <v>-6.1071453198227168</v>
      </c>
      <c r="S210" s="108">
        <f t="shared" ca="1" si="98"/>
        <v>-141.08282757119454</v>
      </c>
      <c r="T210" s="116">
        <f t="shared" ca="1" si="99"/>
        <v>38.917172428805458</v>
      </c>
      <c r="V210" s="72">
        <f t="shared" ca="1" si="100"/>
        <v>11954.5</v>
      </c>
      <c r="W210" s="72">
        <f t="shared" si="101"/>
        <v>142910070.25</v>
      </c>
      <c r="Y210" s="110">
        <f t="shared" si="102"/>
        <v>44.077731405943119</v>
      </c>
      <c r="Z210" s="111">
        <f t="shared" si="103"/>
        <v>-37.009223677011768</v>
      </c>
      <c r="AA210" s="72">
        <f t="shared" si="104"/>
        <v>142.99077632298824</v>
      </c>
      <c r="AB210" s="110">
        <f t="shared" ca="1" si="105"/>
        <v>-32.683651457931838</v>
      </c>
      <c r="AC210" s="111">
        <f t="shared" ca="1" si="106"/>
        <v>-104.07360389418281</v>
      </c>
      <c r="AD210" s="72">
        <f t="shared" ca="1" si="107"/>
        <v>75.92639610581719</v>
      </c>
    </row>
    <row r="211" spans="1:30">
      <c r="A211" s="118">
        <v>12023</v>
      </c>
      <c r="B211" s="101">
        <f t="shared" ca="1" si="81"/>
        <v>670.27297171492194</v>
      </c>
      <c r="C211" s="102">
        <f t="shared" ca="1" si="82"/>
        <v>1.5693043967706</v>
      </c>
      <c r="D211" s="102">
        <f t="shared" si="83"/>
        <v>1.061160268524614</v>
      </c>
      <c r="E211" s="103">
        <f t="shared" si="84"/>
        <v>0.34116736934746339</v>
      </c>
      <c r="F211" s="101">
        <f t="shared" si="85"/>
        <v>4109.5250069559243</v>
      </c>
      <c r="G211" s="104">
        <f t="shared" si="86"/>
        <v>1.5705529896675703</v>
      </c>
      <c r="H211" s="113">
        <f t="shared" si="87"/>
        <v>513.69158400852632</v>
      </c>
      <c r="I211" s="114">
        <f t="shared" si="88"/>
        <v>1.5688496321969432</v>
      </c>
      <c r="J211" s="101">
        <f t="shared" si="89"/>
        <v>1.2532639423755183</v>
      </c>
      <c r="K211" s="104">
        <f t="shared" si="90"/>
        <v>0.64696558537644699</v>
      </c>
      <c r="L211" s="102">
        <f t="shared" si="91"/>
        <v>1</v>
      </c>
      <c r="M211" s="103">
        <f t="shared" si="92"/>
        <v>4.9102778960234997E-10</v>
      </c>
      <c r="N211" s="101">
        <f t="shared" si="93"/>
        <v>1</v>
      </c>
      <c r="O211" s="104">
        <f t="shared" si="94"/>
        <v>6.5470371946979987E-11</v>
      </c>
      <c r="P211" s="105">
        <f t="shared" ca="1" si="95"/>
        <v>1.1854361427022129</v>
      </c>
      <c r="Q211" s="106">
        <f t="shared" ca="1" si="96"/>
        <v>0.58921468760783535</v>
      </c>
      <c r="R211" s="107">
        <f t="shared" ca="1" si="97"/>
        <v>-6.1834737008406009</v>
      </c>
      <c r="S211" s="108">
        <f t="shared" ca="1" si="98"/>
        <v>-141.29257602555438</v>
      </c>
      <c r="T211" s="116">
        <f t="shared" ca="1" si="99"/>
        <v>38.707423974445618</v>
      </c>
      <c r="V211" s="72">
        <f t="shared" ca="1" si="100"/>
        <v>12023</v>
      </c>
      <c r="W211" s="72">
        <f t="shared" si="101"/>
        <v>144552529</v>
      </c>
      <c r="Y211" s="110">
        <f t="shared" si="102"/>
        <v>44.05976521876778</v>
      </c>
      <c r="Z211" s="111">
        <f t="shared" si="103"/>
        <v>-37.165992744435847</v>
      </c>
      <c r="AA211" s="72">
        <f t="shared" si="104"/>
        <v>142.83400725556416</v>
      </c>
      <c r="AB211" s="110">
        <f t="shared" ca="1" si="105"/>
        <v>-32.742013651774379</v>
      </c>
      <c r="AC211" s="111">
        <f t="shared" ca="1" si="106"/>
        <v>-104.12658328111856</v>
      </c>
      <c r="AD211" s="72">
        <f t="shared" ca="1" si="107"/>
        <v>75.873416718881444</v>
      </c>
    </row>
    <row r="212" spans="1:30">
      <c r="A212" s="118">
        <v>12093</v>
      </c>
      <c r="B212" s="101">
        <f t="shared" ca="1" si="81"/>
        <v>674.17540903399708</v>
      </c>
      <c r="C212" s="102">
        <f t="shared" ca="1" si="82"/>
        <v>1.5693130327540676</v>
      </c>
      <c r="D212" s="102">
        <f t="shared" si="83"/>
        <v>1.0618537037740243</v>
      </c>
      <c r="E212" s="103">
        <f t="shared" si="84"/>
        <v>0.34300192268226681</v>
      </c>
      <c r="F212" s="101">
        <f t="shared" si="85"/>
        <v>4133.4513758740504</v>
      </c>
      <c r="G212" s="104">
        <f t="shared" si="86"/>
        <v>1.5705543982178263</v>
      </c>
      <c r="H212" s="113">
        <f t="shared" si="87"/>
        <v>516.68237457714099</v>
      </c>
      <c r="I212" s="114">
        <f t="shared" si="88"/>
        <v>1.5688609005571985</v>
      </c>
      <c r="J212" s="101">
        <f t="shared" si="89"/>
        <v>1.2559199575912563</v>
      </c>
      <c r="K212" s="104">
        <f t="shared" si="90"/>
        <v>0.649759891397095</v>
      </c>
      <c r="L212" s="102">
        <f t="shared" si="91"/>
        <v>1</v>
      </c>
      <c r="M212" s="103">
        <f t="shared" si="92"/>
        <v>4.9388663891384998E-10</v>
      </c>
      <c r="N212" s="101">
        <f t="shared" si="93"/>
        <v>1</v>
      </c>
      <c r="O212" s="104">
        <f t="shared" si="94"/>
        <v>6.5851551855179986E-11</v>
      </c>
      <c r="P212" s="105">
        <f t="shared" ca="1" si="95"/>
        <v>1.1874316947453916</v>
      </c>
      <c r="Q212" s="106">
        <f t="shared" ca="1" si="96"/>
        <v>0.59197903690618525</v>
      </c>
      <c r="R212" s="107">
        <f t="shared" ca="1" si="97"/>
        <v>-6.2612215782534175</v>
      </c>
      <c r="S212" s="108">
        <f t="shared" ca="1" si="98"/>
        <v>-141.50588123173171</v>
      </c>
      <c r="T212" s="116">
        <f t="shared" ca="1" si="99"/>
        <v>38.494118768268294</v>
      </c>
      <c r="V212" s="72">
        <f t="shared" ca="1" si="100"/>
        <v>12093</v>
      </c>
      <c r="W212" s="72">
        <f t="shared" si="101"/>
        <v>146240649</v>
      </c>
      <c r="Y212" s="110">
        <f t="shared" si="102"/>
        <v>44.041376691498535</v>
      </c>
      <c r="Z212" s="111">
        <f t="shared" si="103"/>
        <v>-37.325529760627568</v>
      </c>
      <c r="AA212" s="72">
        <f t="shared" si="104"/>
        <v>142.67447023937243</v>
      </c>
      <c r="AB212" s="110">
        <f t="shared" ca="1" si="105"/>
        <v>-32.801373001917952</v>
      </c>
      <c r="AC212" s="111">
        <f t="shared" ca="1" si="106"/>
        <v>-104.18035147110416</v>
      </c>
      <c r="AD212" s="72">
        <f t="shared" ca="1" si="107"/>
        <v>75.81964852889584</v>
      </c>
    </row>
    <row r="213" spans="1:30">
      <c r="A213" s="118">
        <v>12163</v>
      </c>
      <c r="B213" s="101">
        <f t="shared" ca="1" si="81"/>
        <v>678.07784640277373</v>
      </c>
      <c r="C213" s="102">
        <f t="shared" ca="1" si="82"/>
        <v>1.569321569334835</v>
      </c>
      <c r="D213" s="102">
        <f t="shared" si="83"/>
        <v>1.0625507081117478</v>
      </c>
      <c r="E213" s="103">
        <f t="shared" si="84"/>
        <v>0.34483407534252547</v>
      </c>
      <c r="F213" s="101">
        <f t="shared" si="85"/>
        <v>4157.3777448002811</v>
      </c>
      <c r="G213" s="104">
        <f t="shared" si="86"/>
        <v>1.5705557905552217</v>
      </c>
      <c r="H213" s="113">
        <f t="shared" si="87"/>
        <v>519.67316521060673</v>
      </c>
      <c r="I213" s="114">
        <f t="shared" si="88"/>
        <v>1.5688720392155253</v>
      </c>
      <c r="J213" s="101">
        <f t="shared" si="89"/>
        <v>1.2585857377797443</v>
      </c>
      <c r="K213" s="104">
        <f t="shared" si="90"/>
        <v>0.65254238196254488</v>
      </c>
      <c r="L213" s="102">
        <f t="shared" si="91"/>
        <v>1</v>
      </c>
      <c r="M213" s="103">
        <f t="shared" si="92"/>
        <v>4.9674548822535E-10</v>
      </c>
      <c r="N213" s="101">
        <f t="shared" si="93"/>
        <v>1</v>
      </c>
      <c r="O213" s="104">
        <f t="shared" si="94"/>
        <v>6.6232731763379985E-11</v>
      </c>
      <c r="P213" s="105">
        <f t="shared" ca="1" si="95"/>
        <v>1.1894354784797847</v>
      </c>
      <c r="Q213" s="106">
        <f t="shared" ca="1" si="96"/>
        <v>0.59473455113707896</v>
      </c>
      <c r="R213" s="107">
        <f t="shared" ca="1" si="97"/>
        <v>-6.3387170706069096</v>
      </c>
      <c r="S213" s="108">
        <f t="shared" ca="1" si="98"/>
        <v>-141.71814160572373</v>
      </c>
      <c r="T213" s="116">
        <f t="shared" ca="1" si="99"/>
        <v>38.28185839427627</v>
      </c>
      <c r="V213" s="72">
        <f t="shared" ca="1" si="100"/>
        <v>12163</v>
      </c>
      <c r="W213" s="72">
        <f t="shared" si="101"/>
        <v>147938569</v>
      </c>
      <c r="Y213" s="110">
        <f t="shared" si="102"/>
        <v>44.022959622640329</v>
      </c>
      <c r="Z213" s="111">
        <f t="shared" si="103"/>
        <v>-37.484396303547221</v>
      </c>
      <c r="AA213" s="72">
        <f t="shared" si="104"/>
        <v>142.51560369645279</v>
      </c>
      <c r="AB213" s="110">
        <f t="shared" ca="1" si="105"/>
        <v>-32.860451425413245</v>
      </c>
      <c r="AC213" s="111">
        <f t="shared" ca="1" si="106"/>
        <v>-104.23374530217654</v>
      </c>
      <c r="AD213" s="72">
        <f t="shared" ca="1" si="107"/>
        <v>75.766254697823456</v>
      </c>
    </row>
    <row r="214" spans="1:30">
      <c r="A214" s="118">
        <v>12233</v>
      </c>
      <c r="B214" s="101">
        <f t="shared" ca="1" si="81"/>
        <v>681.98028382039843</v>
      </c>
      <c r="C214" s="102">
        <f t="shared" ca="1" si="82"/>
        <v>1.5693300082193118</v>
      </c>
      <c r="D214" s="102">
        <f t="shared" si="83"/>
        <v>1.0632512745187377</v>
      </c>
      <c r="E214" s="103">
        <f t="shared" si="84"/>
        <v>0.34666381976130939</v>
      </c>
      <c r="F214" s="101">
        <f t="shared" si="85"/>
        <v>4181.304113734479</v>
      </c>
      <c r="G214" s="104">
        <f t="shared" si="86"/>
        <v>1.5705571669580773</v>
      </c>
      <c r="H214" s="113">
        <f t="shared" si="87"/>
        <v>522.66395590781008</v>
      </c>
      <c r="I214" s="114">
        <f t="shared" si="88"/>
        <v>1.5688830503984637</v>
      </c>
      <c r="J214" s="101">
        <f t="shared" si="89"/>
        <v>1.2612612210237446</v>
      </c>
      <c r="K214" s="104">
        <f t="shared" si="90"/>
        <v>0.65531308904256547</v>
      </c>
      <c r="L214" s="102">
        <f t="shared" si="91"/>
        <v>1</v>
      </c>
      <c r="M214" s="103">
        <f t="shared" si="92"/>
        <v>4.9960433753685002E-10</v>
      </c>
      <c r="N214" s="101">
        <f t="shared" si="93"/>
        <v>1</v>
      </c>
      <c r="O214" s="104">
        <f t="shared" si="94"/>
        <v>6.6613911671579996E-11</v>
      </c>
      <c r="P214" s="105">
        <f t="shared" ca="1" si="95"/>
        <v>1.1914474527920407</v>
      </c>
      <c r="Q214" s="106">
        <f t="shared" ca="1" si="96"/>
        <v>0.59748123877550385</v>
      </c>
      <c r="R214" s="107">
        <f t="shared" ca="1" si="97"/>
        <v>-6.4159624174615937</v>
      </c>
      <c r="S214" s="108">
        <f t="shared" ca="1" si="98"/>
        <v>-141.92935988454298</v>
      </c>
      <c r="T214" s="116">
        <f t="shared" ca="1" si="99"/>
        <v>38.070640115457024</v>
      </c>
      <c r="V214" s="72">
        <f t="shared" ca="1" si="100"/>
        <v>12233</v>
      </c>
      <c r="W214" s="72">
        <f t="shared" si="101"/>
        <v>149646289</v>
      </c>
      <c r="Y214" s="110">
        <f t="shared" si="102"/>
        <v>44.004514702054117</v>
      </c>
      <c r="Z214" s="111">
        <f t="shared" si="103"/>
        <v>-37.642594093302947</v>
      </c>
      <c r="AA214" s="72">
        <f t="shared" si="104"/>
        <v>142.35740590669707</v>
      </c>
      <c r="AB214" s="110">
        <f t="shared" ca="1" si="105"/>
        <v>-32.919251851681715</v>
      </c>
      <c r="AC214" s="111">
        <f t="shared" ca="1" si="106"/>
        <v>-104.28676579124003</v>
      </c>
      <c r="AD214" s="72">
        <f t="shared" ca="1" si="107"/>
        <v>75.713234208759971</v>
      </c>
    </row>
    <row r="215" spans="1:30">
      <c r="A215" s="118">
        <v>12303</v>
      </c>
      <c r="B215" s="101">
        <f t="shared" ca="1" si="81"/>
        <v>685.88272128603762</v>
      </c>
      <c r="C215" s="102">
        <f t="shared" ca="1" si="82"/>
        <v>1.569338351075072</v>
      </c>
      <c r="D215" s="102">
        <f t="shared" si="83"/>
        <v>1.0639553959586106</v>
      </c>
      <c r="E215" s="103">
        <f t="shared" si="84"/>
        <v>0.34849114845606927</v>
      </c>
      <c r="F215" s="101">
        <f t="shared" si="85"/>
        <v>4205.2304826765094</v>
      </c>
      <c r="G215" s="104">
        <f t="shared" si="86"/>
        <v>1.57055852769838</v>
      </c>
      <c r="H215" s="113">
        <f t="shared" si="87"/>
        <v>525.6547466676634</v>
      </c>
      <c r="I215" s="114">
        <f t="shared" si="88"/>
        <v>1.5688939362818817</v>
      </c>
      <c r="J215" s="101">
        <f t="shared" si="89"/>
        <v>1.2639463457058591</v>
      </c>
      <c r="K215" s="104">
        <f t="shared" si="90"/>
        <v>0.6580720450604064</v>
      </c>
      <c r="L215" s="102">
        <f t="shared" si="91"/>
        <v>1</v>
      </c>
      <c r="M215" s="103">
        <f t="shared" si="92"/>
        <v>5.0246318684834993E-10</v>
      </c>
      <c r="N215" s="101">
        <f t="shared" si="93"/>
        <v>1</v>
      </c>
      <c r="O215" s="104">
        <f t="shared" si="94"/>
        <v>6.6995091579779995E-11</v>
      </c>
      <c r="P215" s="105">
        <f t="shared" ca="1" si="95"/>
        <v>1.1934675766792648</v>
      </c>
      <c r="Q215" s="106">
        <f t="shared" ca="1" si="96"/>
        <v>0.60021910872209772</v>
      </c>
      <c r="R215" s="107">
        <f t="shared" ca="1" si="97"/>
        <v>-6.4929598112571014</v>
      </c>
      <c r="S215" s="108">
        <f t="shared" ca="1" si="98"/>
        <v>-142.13953885105272</v>
      </c>
      <c r="T215" s="116">
        <f t="shared" ca="1" si="99"/>
        <v>37.86046114894728</v>
      </c>
      <c r="V215" s="72">
        <f t="shared" ca="1" si="100"/>
        <v>12303</v>
      </c>
      <c r="W215" s="72">
        <f t="shared" si="101"/>
        <v>151363809</v>
      </c>
      <c r="Y215" s="110">
        <f t="shared" si="102"/>
        <v>43.98604261290285</v>
      </c>
      <c r="Z215" s="111">
        <f t="shared" si="103"/>
        <v>-37.80012487852575</v>
      </c>
      <c r="AA215" s="72">
        <f t="shared" si="104"/>
        <v>142.19987512147424</v>
      </c>
      <c r="AB215" s="110">
        <f t="shared" ca="1" si="105"/>
        <v>-32.977777156325949</v>
      </c>
      <c r="AC215" s="111">
        <f t="shared" ca="1" si="106"/>
        <v>-104.33941397252698</v>
      </c>
      <c r="AD215" s="72">
        <f t="shared" ca="1" si="107"/>
        <v>75.660586027473016</v>
      </c>
    </row>
    <row r="216" spans="1:30">
      <c r="A216" s="118">
        <v>12374.5</v>
      </c>
      <c r="B216" s="101">
        <f t="shared" ca="1" si="81"/>
        <v>689.86878246037634</v>
      </c>
      <c r="C216" s="102">
        <f t="shared" ca="1" si="82"/>
        <v>1.5693467752633234</v>
      </c>
      <c r="D216" s="102">
        <f t="shared" si="83"/>
        <v>1.0646782684991845</v>
      </c>
      <c r="E216" s="103">
        <f t="shared" si="84"/>
        <v>0.35035513257550055</v>
      </c>
      <c r="F216" s="101">
        <f t="shared" si="85"/>
        <v>4229.6695595323863</v>
      </c>
      <c r="G216" s="104">
        <f t="shared" si="86"/>
        <v>1.5705599017041794</v>
      </c>
      <c r="H216" s="113">
        <f t="shared" si="87"/>
        <v>528.70962586451469</v>
      </c>
      <c r="I216" s="114">
        <f t="shared" si="88"/>
        <v>1.5689049282893437</v>
      </c>
      <c r="J216" s="101">
        <f t="shared" si="89"/>
        <v>1.2666988985776617</v>
      </c>
      <c r="K216" s="104">
        <f t="shared" si="90"/>
        <v>0.66087802426454312</v>
      </c>
      <c r="L216" s="102">
        <f t="shared" si="91"/>
        <v>1</v>
      </c>
      <c r="M216" s="103">
        <f t="shared" si="92"/>
        <v>5.0538329721652492E-10</v>
      </c>
      <c r="N216" s="101">
        <f t="shared" si="93"/>
        <v>1</v>
      </c>
      <c r="O216" s="104">
        <f t="shared" si="94"/>
        <v>6.7384439628869994E-11</v>
      </c>
      <c r="P216" s="105">
        <f t="shared" ca="1" si="95"/>
        <v>1.195539359816977</v>
      </c>
      <c r="Q216" s="106">
        <f t="shared" ca="1" si="96"/>
        <v>0.60300655386057223</v>
      </c>
      <c r="R216" s="107">
        <f t="shared" ca="1" si="97"/>
        <v>-6.5713534009828027</v>
      </c>
      <c r="S216" s="108">
        <f t="shared" ca="1" si="98"/>
        <v>-142.35315163541634</v>
      </c>
      <c r="T216" s="116">
        <f t="shared" ca="1" si="99"/>
        <v>37.646848364583661</v>
      </c>
      <c r="V216" s="72">
        <f t="shared" ca="1" si="100"/>
        <v>12374.5</v>
      </c>
      <c r="W216" s="72">
        <f t="shared" si="101"/>
        <v>153128250.25</v>
      </c>
      <c r="Y216" s="110">
        <f t="shared" si="102"/>
        <v>43.967147348520868</v>
      </c>
      <c r="Z216" s="111">
        <f t="shared" si="103"/>
        <v>-37.960344573459707</v>
      </c>
      <c r="AA216" s="72">
        <f t="shared" si="104"/>
        <v>142.03965542654029</v>
      </c>
      <c r="AB216" s="110">
        <f t="shared" ca="1" si="105"/>
        <v>-33.037275481669674</v>
      </c>
      <c r="AC216" s="111">
        <f t="shared" ca="1" si="106"/>
        <v>-104.39280706195663</v>
      </c>
      <c r="AD216" s="72">
        <f t="shared" ca="1" si="107"/>
        <v>75.607192938043369</v>
      </c>
    </row>
    <row r="217" spans="1:30">
      <c r="A217" s="118">
        <v>12446</v>
      </c>
      <c r="B217" s="101">
        <f t="shared" ca="1" si="81"/>
        <v>693.8548436831104</v>
      </c>
      <c r="C217" s="102">
        <f t="shared" ca="1" si="82"/>
        <v>1.5693551026609269</v>
      </c>
      <c r="D217" s="102">
        <f t="shared" si="83"/>
        <v>1.0654048351698961</v>
      </c>
      <c r="E217" s="103">
        <f t="shared" si="84"/>
        <v>0.35221658081870399</v>
      </c>
      <c r="F217" s="101">
        <f t="shared" si="85"/>
        <v>4254.1086363961567</v>
      </c>
      <c r="G217" s="104">
        <f t="shared" si="86"/>
        <v>1.5705612599231544</v>
      </c>
      <c r="H217" s="113">
        <f t="shared" si="87"/>
        <v>531.76450512451299</v>
      </c>
      <c r="I217" s="114">
        <f t="shared" si="88"/>
        <v>1.5689157940030987</v>
      </c>
      <c r="J217" s="101">
        <f t="shared" si="89"/>
        <v>1.2694613815317561</v>
      </c>
      <c r="K217" s="104">
        <f t="shared" si="90"/>
        <v>0.66367181316780643</v>
      </c>
      <c r="L217" s="102">
        <f t="shared" si="91"/>
        <v>1</v>
      </c>
      <c r="M217" s="103">
        <f t="shared" si="92"/>
        <v>5.0830340758470001E-10</v>
      </c>
      <c r="N217" s="101">
        <f t="shared" si="93"/>
        <v>1</v>
      </c>
      <c r="O217" s="104">
        <f t="shared" si="94"/>
        <v>6.7773787677959994E-11</v>
      </c>
      <c r="P217" s="105">
        <f t="shared" ca="1" si="95"/>
        <v>1.1976195594249412</v>
      </c>
      <c r="Q217" s="106">
        <f t="shared" ca="1" si="96"/>
        <v>0.60578481945750806</v>
      </c>
      <c r="R217" s="107">
        <f t="shared" ca="1" si="97"/>
        <v>-6.6494927762590397</v>
      </c>
      <c r="S217" s="108">
        <f t="shared" ca="1" si="98"/>
        <v>-142.56568609888731</v>
      </c>
      <c r="T217" s="116">
        <f t="shared" ca="1" si="99"/>
        <v>37.434313901112688</v>
      </c>
      <c r="V217" s="72">
        <f t="shared" ca="1" si="100"/>
        <v>12446</v>
      </c>
      <c r="W217" s="72">
        <f t="shared" si="101"/>
        <v>154902916</v>
      </c>
      <c r="Y217" s="110">
        <f t="shared" si="102"/>
        <v>43.94822515820934</v>
      </c>
      <c r="Z217" s="111">
        <f t="shared" si="103"/>
        <v>-38.119872147179827</v>
      </c>
      <c r="AA217" s="72">
        <f t="shared" si="104"/>
        <v>141.88012785282018</v>
      </c>
      <c r="AB217" s="110">
        <f t="shared" ca="1" si="105"/>
        <v>-33.096492666634383</v>
      </c>
      <c r="AC217" s="111">
        <f t="shared" ca="1" si="106"/>
        <v>-104.44581395170744</v>
      </c>
      <c r="AD217" s="72">
        <f t="shared" ca="1" si="107"/>
        <v>75.554186048292564</v>
      </c>
    </row>
    <row r="218" spans="1:30">
      <c r="A218" s="118">
        <v>12517.5</v>
      </c>
      <c r="B218" s="101">
        <f t="shared" ca="1" si="81"/>
        <v>697.84090495341059</v>
      </c>
      <c r="C218" s="102">
        <f t="shared" ca="1" si="82"/>
        <v>1.5693633349264835</v>
      </c>
      <c r="D218" s="102">
        <f t="shared" si="83"/>
        <v>1.0661350884181424</v>
      </c>
      <c r="E218" s="103">
        <f t="shared" si="84"/>
        <v>0.35407548548367429</v>
      </c>
      <c r="F218" s="101">
        <f t="shared" si="85"/>
        <v>4278.547713267686</v>
      </c>
      <c r="G218" s="104">
        <f t="shared" si="86"/>
        <v>1.5705626026258279</v>
      </c>
      <c r="H218" s="113">
        <f t="shared" si="87"/>
        <v>534.81938444657624</v>
      </c>
      <c r="I218" s="114">
        <f t="shared" si="88"/>
        <v>1.5689265355873068</v>
      </c>
      <c r="J218" s="101">
        <f t="shared" si="89"/>
        <v>1.2722337298826645</v>
      </c>
      <c r="K218" s="104">
        <f t="shared" si="90"/>
        <v>0.66645344770832393</v>
      </c>
      <c r="L218" s="102">
        <f t="shared" si="91"/>
        <v>1</v>
      </c>
      <c r="M218" s="103">
        <f t="shared" si="92"/>
        <v>5.11223517952875E-10</v>
      </c>
      <c r="N218" s="101">
        <f t="shared" si="93"/>
        <v>1</v>
      </c>
      <c r="O218" s="104">
        <f t="shared" si="94"/>
        <v>6.8163135727049993E-11</v>
      </c>
      <c r="P218" s="105">
        <f t="shared" ca="1" si="95"/>
        <v>1.1997081321764025</v>
      </c>
      <c r="Q218" s="106">
        <f t="shared" ca="1" si="96"/>
        <v>0.60855391632970812</v>
      </c>
      <c r="R218" s="107">
        <f t="shared" ca="1" si="97"/>
        <v>-6.7273801295211264</v>
      </c>
      <c r="S218" s="108">
        <f t="shared" ca="1" si="98"/>
        <v>-142.77714534815144</v>
      </c>
      <c r="T218" s="116">
        <f t="shared" ca="1" si="99"/>
        <v>37.222854651848564</v>
      </c>
      <c r="V218" s="72">
        <f t="shared" ca="1" si="100"/>
        <v>12517.5</v>
      </c>
      <c r="W218" s="72">
        <f t="shared" si="101"/>
        <v>156687806.25</v>
      </c>
      <c r="Y218" s="110">
        <f t="shared" si="102"/>
        <v>43.929276748448757</v>
      </c>
      <c r="Z218" s="111">
        <f t="shared" si="103"/>
        <v>-38.278709550291701</v>
      </c>
      <c r="AA218" s="72">
        <f t="shared" si="104"/>
        <v>141.72129044970831</v>
      </c>
      <c r="AB218" s="110">
        <f t="shared" ca="1" si="105"/>
        <v>-33.155431610135878</v>
      </c>
      <c r="AC218" s="111">
        <f t="shared" ca="1" si="106"/>
        <v>-104.49843579785976</v>
      </c>
      <c r="AD218" s="72">
        <f t="shared" ca="1" si="107"/>
        <v>75.501564202140244</v>
      </c>
    </row>
    <row r="219" spans="1:30">
      <c r="A219" s="118">
        <v>12589</v>
      </c>
      <c r="B219" s="101">
        <f t="shared" ca="1" si="81"/>
        <v>701.8269662704663</v>
      </c>
      <c r="C219" s="102">
        <f t="shared" ca="1" si="82"/>
        <v>1.5693714736809135</v>
      </c>
      <c r="D219" s="102">
        <f t="shared" si="83"/>
        <v>1.0668690206737288</v>
      </c>
      <c r="E219" s="103">
        <f t="shared" si="84"/>
        <v>0.35593183895975511</v>
      </c>
      <c r="F219" s="101">
        <f t="shared" si="85"/>
        <v>4302.9867901468406</v>
      </c>
      <c r="G219" s="104">
        <f t="shared" si="86"/>
        <v>1.5705639300765772</v>
      </c>
      <c r="H219" s="113">
        <f t="shared" si="87"/>
        <v>537.87426382964679</v>
      </c>
      <c r="I219" s="114">
        <f t="shared" si="88"/>
        <v>1.5689371551569624</v>
      </c>
      <c r="J219" s="101">
        <f t="shared" si="89"/>
        <v>1.2750158792775033</v>
      </c>
      <c r="K219" s="104">
        <f t="shared" si="90"/>
        <v>0.66922296426456707</v>
      </c>
      <c r="L219" s="102">
        <f t="shared" si="91"/>
        <v>1</v>
      </c>
      <c r="M219" s="103">
        <f t="shared" si="92"/>
        <v>5.1414362832104999E-10</v>
      </c>
      <c r="N219" s="101">
        <f t="shared" si="93"/>
        <v>1</v>
      </c>
      <c r="O219" s="104">
        <f t="shared" si="94"/>
        <v>6.8552483776139992E-11</v>
      </c>
      <c r="P219" s="105">
        <f t="shared" ca="1" si="95"/>
        <v>1.2018050348727818</v>
      </c>
      <c r="Q219" s="106">
        <f t="shared" ca="1" si="96"/>
        <v>0.61131385572789043</v>
      </c>
      <c r="R219" s="107">
        <f t="shared" ca="1" si="97"/>
        <v>-6.8050176073564694</v>
      </c>
      <c r="S219" s="108">
        <f t="shared" ca="1" si="98"/>
        <v>-142.98753253505831</v>
      </c>
      <c r="T219" s="116">
        <f t="shared" ca="1" si="99"/>
        <v>37.012467464941693</v>
      </c>
      <c r="V219" s="72">
        <f t="shared" ca="1" si="100"/>
        <v>12589</v>
      </c>
      <c r="W219" s="72">
        <f t="shared" si="101"/>
        <v>158482921</v>
      </c>
      <c r="Y219" s="110">
        <f t="shared" si="102"/>
        <v>43.910302818497797</v>
      </c>
      <c r="Z219" s="111">
        <f t="shared" si="103"/>
        <v>-38.436858761095678</v>
      </c>
      <c r="AA219" s="72">
        <f t="shared" si="104"/>
        <v>141.56314123890434</v>
      </c>
      <c r="AB219" s="110">
        <f t="shared" ca="1" si="105"/>
        <v>-33.214095158020271</v>
      </c>
      <c r="AC219" s="111">
        <f t="shared" ca="1" si="106"/>
        <v>-104.55067377396263</v>
      </c>
      <c r="AD219" s="72">
        <f t="shared" ca="1" si="107"/>
        <v>75.449326226037371</v>
      </c>
    </row>
    <row r="220" spans="1:30">
      <c r="A220" s="118">
        <v>12662.25</v>
      </c>
      <c r="B220" s="101">
        <f t="shared" ca="1" si="81"/>
        <v>705.91058857650671</v>
      </c>
      <c r="C220" s="102">
        <f t="shared" ca="1" si="82"/>
        <v>1.5693797163195093</v>
      </c>
      <c r="D220" s="102">
        <f t="shared" si="83"/>
        <v>1.0676247235513496</v>
      </c>
      <c r="E220" s="103">
        <f t="shared" si="84"/>
        <v>0.35783097418440918</v>
      </c>
      <c r="F220" s="101">
        <f t="shared" si="85"/>
        <v>4328.0240262580828</v>
      </c>
      <c r="G220" s="104">
        <f t="shared" si="86"/>
        <v>1.5705652744710576</v>
      </c>
      <c r="H220" s="113">
        <f t="shared" si="87"/>
        <v>541.00391305001244</v>
      </c>
      <c r="I220" s="114">
        <f t="shared" si="88"/>
        <v>1.5689479102764223</v>
      </c>
      <c r="J220" s="101">
        <f t="shared" si="89"/>
        <v>1.277876220118128</v>
      </c>
      <c r="K220" s="104">
        <f t="shared" si="90"/>
        <v>0.67204773816825358</v>
      </c>
      <c r="L220" s="102">
        <f t="shared" si="91"/>
        <v>1</v>
      </c>
      <c r="M220" s="103">
        <f t="shared" si="92"/>
        <v>5.1713520992201248E-10</v>
      </c>
      <c r="N220" s="101">
        <f t="shared" si="93"/>
        <v>1</v>
      </c>
      <c r="O220" s="104">
        <f t="shared" si="94"/>
        <v>6.895136132293499E-11</v>
      </c>
      <c r="P220" s="105">
        <f t="shared" ca="1" si="95"/>
        <v>1.2039618535958945</v>
      </c>
      <c r="Q220" s="106">
        <f t="shared" ca="1" si="96"/>
        <v>0.61413186188347668</v>
      </c>
      <c r="R220" s="107">
        <f t="shared" ca="1" si="97"/>
        <v>-6.8842983764813255</v>
      </c>
      <c r="S220" s="108">
        <f t="shared" ca="1" si="98"/>
        <v>-143.20196065775443</v>
      </c>
      <c r="T220" s="116">
        <f t="shared" ca="1" si="99"/>
        <v>36.798039342245573</v>
      </c>
      <c r="V220" s="72">
        <f t="shared" ca="1" si="100"/>
        <v>12662.25</v>
      </c>
      <c r="W220" s="72">
        <f t="shared" si="101"/>
        <v>160332575.0625</v>
      </c>
      <c r="Y220" s="110">
        <f t="shared" si="102"/>
        <v>43.890838750377569</v>
      </c>
      <c r="Z220" s="111">
        <f t="shared" si="103"/>
        <v>-38.598167189067922</v>
      </c>
      <c r="AA220" s="72">
        <f t="shared" si="104"/>
        <v>141.40183281093209</v>
      </c>
      <c r="AB220" s="110">
        <f t="shared" ca="1" si="105"/>
        <v>-33.273911859024892</v>
      </c>
      <c r="AC220" s="111">
        <f t="shared" ca="1" si="106"/>
        <v>-104.60379346868659</v>
      </c>
      <c r="AD220" s="72">
        <f t="shared" ca="1" si="107"/>
        <v>75.39620653131341</v>
      </c>
    </row>
    <row r="221" spans="1:30">
      <c r="A221" s="118">
        <v>12735.5</v>
      </c>
      <c r="B221" s="101">
        <f t="shared" ca="1" si="81"/>
        <v>709.99421092995578</v>
      </c>
      <c r="C221" s="102">
        <f t="shared" ca="1" si="82"/>
        <v>1.5693878641409291</v>
      </c>
      <c r="D221" s="102">
        <f t="shared" si="83"/>
        <v>1.0683842715912213</v>
      </c>
      <c r="E221" s="103">
        <f t="shared" si="84"/>
        <v>0.35972741593077051</v>
      </c>
      <c r="F221" s="101">
        <f t="shared" si="85"/>
        <v>4353.0612623770576</v>
      </c>
      <c r="G221" s="104">
        <f t="shared" si="86"/>
        <v>1.5705666034005952</v>
      </c>
      <c r="H221" s="113">
        <f t="shared" si="87"/>
        <v>544.13356233223749</v>
      </c>
      <c r="I221" s="114">
        <f t="shared" si="88"/>
        <v>1.568958541677171</v>
      </c>
      <c r="J221" s="101">
        <f t="shared" si="89"/>
        <v>1.2807467119849725</v>
      </c>
      <c r="K221" s="104">
        <f t="shared" si="90"/>
        <v>0.67485987229758371</v>
      </c>
      <c r="L221" s="102">
        <f t="shared" si="91"/>
        <v>1</v>
      </c>
      <c r="M221" s="103">
        <f t="shared" si="92"/>
        <v>5.2012679152297497E-10</v>
      </c>
      <c r="N221" s="101">
        <f t="shared" si="93"/>
        <v>1</v>
      </c>
      <c r="O221" s="104">
        <f t="shared" si="94"/>
        <v>6.9350238869729988E-11</v>
      </c>
      <c r="P221" s="105">
        <f t="shared" ca="1" si="95"/>
        <v>1.2061273236461985</v>
      </c>
      <c r="Q221" s="106">
        <f t="shared" ca="1" si="96"/>
        <v>0.61694028208116392</v>
      </c>
      <c r="R221" s="107">
        <f t="shared" ca="1" si="97"/>
        <v>-6.9633213078172274</v>
      </c>
      <c r="S221" s="108">
        <f t="shared" ca="1" si="98"/>
        <v>-143.41527043459294</v>
      </c>
      <c r="T221" s="116">
        <f t="shared" ca="1" si="99"/>
        <v>36.584729565407059</v>
      </c>
      <c r="V221" s="72">
        <f t="shared" ca="1" si="100"/>
        <v>12735.5</v>
      </c>
      <c r="W221" s="72">
        <f t="shared" si="101"/>
        <v>162192960.25</v>
      </c>
      <c r="Y221" s="110">
        <f t="shared" si="102"/>
        <v>43.871349360171564</v>
      </c>
      <c r="Z221" s="111">
        <f t="shared" si="103"/>
        <v>-38.758757613798728</v>
      </c>
      <c r="AA221" s="72">
        <f t="shared" si="104"/>
        <v>141.24124238620126</v>
      </c>
      <c r="AB221" s="110">
        <f t="shared" ca="1" si="105"/>
        <v>-33.333445400154801</v>
      </c>
      <c r="AC221" s="111">
        <f t="shared" ca="1" si="106"/>
        <v>-104.65651282079426</v>
      </c>
      <c r="AD221" s="72">
        <f t="shared" ca="1" si="107"/>
        <v>75.343487179205738</v>
      </c>
    </row>
    <row r="222" spans="1:30">
      <c r="A222" s="118">
        <v>12808.75</v>
      </c>
      <c r="B222" s="101">
        <f t="shared" ca="1" si="81"/>
        <v>714.07783333000009</v>
      </c>
      <c r="C222" s="102">
        <f t="shared" ca="1" si="82"/>
        <v>1.5693959187718751</v>
      </c>
      <c r="D222" s="102">
        <f t="shared" si="83"/>
        <v>1.0691476565982583</v>
      </c>
      <c r="E222" s="103">
        <f t="shared" si="84"/>
        <v>0.36162115631287756</v>
      </c>
      <c r="F222" s="101">
        <f t="shared" si="85"/>
        <v>4378.098498503633</v>
      </c>
      <c r="G222" s="104">
        <f t="shared" si="86"/>
        <v>1.5705679171305098</v>
      </c>
      <c r="H222" s="113">
        <f t="shared" si="87"/>
        <v>547.26321167526089</v>
      </c>
      <c r="I222" s="114">
        <f t="shared" si="88"/>
        <v>1.5689690514817467</v>
      </c>
      <c r="J222" s="101">
        <f t="shared" si="89"/>
        <v>1.2836272867778078</v>
      </c>
      <c r="K222" s="104">
        <f t="shared" si="90"/>
        <v>0.67765940712075501</v>
      </c>
      <c r="L222" s="102">
        <f t="shared" si="91"/>
        <v>1</v>
      </c>
      <c r="M222" s="103">
        <f t="shared" si="92"/>
        <v>5.2311837312393746E-10</v>
      </c>
      <c r="N222" s="101">
        <f t="shared" si="93"/>
        <v>1</v>
      </c>
      <c r="O222" s="104">
        <f t="shared" si="94"/>
        <v>6.9749116416524986E-11</v>
      </c>
      <c r="P222" s="105">
        <f t="shared" ca="1" si="95"/>
        <v>1.2083013990056661</v>
      </c>
      <c r="Q222" s="106">
        <f t="shared" ca="1" si="96"/>
        <v>0.61973912978679613</v>
      </c>
      <c r="R222" s="107">
        <f t="shared" ca="1" si="97"/>
        <v>-7.0420885679841341</v>
      </c>
      <c r="S222" s="108">
        <f t="shared" ca="1" si="98"/>
        <v>-143.62746539439149</v>
      </c>
      <c r="T222" s="116">
        <f t="shared" ca="1" si="99"/>
        <v>36.372534605608507</v>
      </c>
      <c r="V222" s="72">
        <f t="shared" ca="1" si="100"/>
        <v>12808.75</v>
      </c>
      <c r="W222" s="72">
        <f t="shared" si="101"/>
        <v>164064076.5625</v>
      </c>
      <c r="Y222" s="110">
        <f t="shared" si="102"/>
        <v>43.85183537631314</v>
      </c>
      <c r="Z222" s="111">
        <f t="shared" si="103"/>
        <v>-38.918632247534312</v>
      </c>
      <c r="AA222" s="72">
        <f t="shared" si="104"/>
        <v>141.0813677524657</v>
      </c>
      <c r="AB222" s="110">
        <f t="shared" ca="1" si="105"/>
        <v>-33.392698676463276</v>
      </c>
      <c r="AC222" s="111">
        <f t="shared" ca="1" si="106"/>
        <v>-104.70883314685716</v>
      </c>
      <c r="AD222" s="72">
        <f t="shared" ca="1" si="107"/>
        <v>75.29116685314284</v>
      </c>
    </row>
    <row r="223" spans="1:30">
      <c r="A223" s="118">
        <v>12882</v>
      </c>
      <c r="B223" s="101">
        <f t="shared" ca="1" si="81"/>
        <v>718.16145577584484</v>
      </c>
      <c r="C223" s="102">
        <f t="shared" ca="1" si="82"/>
        <v>1.5694038818020499</v>
      </c>
      <c r="D223" s="102">
        <f t="shared" si="83"/>
        <v>1.0699148703594243</v>
      </c>
      <c r="E223" s="103">
        <f t="shared" si="84"/>
        <v>0.36351218754472037</v>
      </c>
      <c r="F223" s="101">
        <f t="shared" si="85"/>
        <v>4403.135734637679</v>
      </c>
      <c r="G223" s="104">
        <f t="shared" si="86"/>
        <v>1.5705692159200875</v>
      </c>
      <c r="H223" s="113">
        <f t="shared" si="87"/>
        <v>550.39286107804526</v>
      </c>
      <c r="I223" s="114">
        <f t="shared" si="88"/>
        <v>1.5689794417644112</v>
      </c>
      <c r="J223" s="101">
        <f t="shared" si="89"/>
        <v>1.2865178767681813</v>
      </c>
      <c r="K223" s="104">
        <f t="shared" si="90"/>
        <v>0.68044638353413067</v>
      </c>
      <c r="L223" s="102">
        <f t="shared" si="91"/>
        <v>1</v>
      </c>
      <c r="M223" s="103">
        <f t="shared" si="92"/>
        <v>5.2610995472489995E-10</v>
      </c>
      <c r="N223" s="101">
        <f t="shared" si="93"/>
        <v>1</v>
      </c>
      <c r="O223" s="104">
        <f t="shared" si="94"/>
        <v>7.0147993963319985E-11</v>
      </c>
      <c r="P223" s="105">
        <f t="shared" ca="1" si="95"/>
        <v>1.210484033805542</v>
      </c>
      <c r="Q223" s="106">
        <f t="shared" ca="1" si="96"/>
        <v>0.62252841891179289</v>
      </c>
      <c r="R223" s="107">
        <f t="shared" ca="1" si="97"/>
        <v>-7.1206022785213365</v>
      </c>
      <c r="S223" s="108">
        <f t="shared" ca="1" si="98"/>
        <v>-143.83854911060294</v>
      </c>
      <c r="T223" s="116">
        <f t="shared" ca="1" si="99"/>
        <v>36.161450889397059</v>
      </c>
      <c r="V223" s="72">
        <f t="shared" ca="1" si="100"/>
        <v>12882</v>
      </c>
      <c r="W223" s="72">
        <f t="shared" si="101"/>
        <v>165945924</v>
      </c>
      <c r="Y223" s="110">
        <f t="shared" si="102"/>
        <v>43.832297519382671</v>
      </c>
      <c r="Z223" s="111">
        <f t="shared" si="103"/>
        <v>-39.077793329473202</v>
      </c>
      <c r="AA223" s="72">
        <f t="shared" si="104"/>
        <v>140.9222066705268</v>
      </c>
      <c r="AB223" s="110">
        <f t="shared" ca="1" si="105"/>
        <v>-33.451674530070015</v>
      </c>
      <c r="AC223" s="111">
        <f t="shared" ca="1" si="106"/>
        <v>-104.76075578112967</v>
      </c>
      <c r="AD223" s="72">
        <f t="shared" ca="1" si="107"/>
        <v>75.239244218870326</v>
      </c>
    </row>
    <row r="224" spans="1:30">
      <c r="A224" s="118">
        <v>12957.25</v>
      </c>
      <c r="B224" s="101">
        <f t="shared" ca="1" si="81"/>
        <v>722.35657649234406</v>
      </c>
      <c r="C224" s="102">
        <f t="shared" ca="1" si="82"/>
        <v>1.5694119684987988</v>
      </c>
      <c r="D224" s="102">
        <f t="shared" si="83"/>
        <v>1.070707010278009</v>
      </c>
      <c r="E224" s="103">
        <f t="shared" si="84"/>
        <v>0.365452021837537</v>
      </c>
      <c r="F224" s="101">
        <f t="shared" si="85"/>
        <v>4428.8565813222785</v>
      </c>
      <c r="G224" s="104">
        <f t="shared" si="86"/>
        <v>1.5705705348799555</v>
      </c>
      <c r="H224" s="113">
        <f t="shared" si="87"/>
        <v>553.60796172022845</v>
      </c>
      <c r="I224" s="114">
        <f t="shared" si="88"/>
        <v>1.5689899934092646</v>
      </c>
      <c r="J224" s="101">
        <f t="shared" si="89"/>
        <v>1.2894977490518331</v>
      </c>
      <c r="K224" s="104">
        <f t="shared" si="90"/>
        <v>0.68329642085047493</v>
      </c>
      <c r="L224" s="102">
        <f t="shared" si="91"/>
        <v>1</v>
      </c>
      <c r="M224" s="103">
        <f t="shared" si="92"/>
        <v>5.2918321773476248E-10</v>
      </c>
      <c r="N224" s="101">
        <f t="shared" si="93"/>
        <v>1</v>
      </c>
      <c r="O224" s="104">
        <f t="shared" si="94"/>
        <v>7.0557762364634992E-11</v>
      </c>
      <c r="P224" s="105">
        <f t="shared" ca="1" si="95"/>
        <v>1.2127351278786571</v>
      </c>
      <c r="Q224" s="106">
        <f t="shared" ca="1" si="96"/>
        <v>0.62538392756138217</v>
      </c>
      <c r="R224" s="107">
        <f t="shared" ca="1" si="97"/>
        <v>-7.2009978626742344</v>
      </c>
      <c r="S224" s="108">
        <f t="shared" ca="1" si="98"/>
        <v>-144.05424283614022</v>
      </c>
      <c r="T224" s="116">
        <f t="shared" ca="1" si="99"/>
        <v>35.945757163859781</v>
      </c>
      <c r="V224" s="72">
        <f t="shared" ca="1" si="100"/>
        <v>12957.25</v>
      </c>
      <c r="W224" s="72">
        <f t="shared" si="101"/>
        <v>167890327.5625</v>
      </c>
      <c r="Y224" s="110">
        <f t="shared" si="102"/>
        <v>43.812202094813372</v>
      </c>
      <c r="Z224" s="111">
        <f t="shared" si="103"/>
        <v>-39.240559445304676</v>
      </c>
      <c r="AA224" s="72">
        <f t="shared" si="104"/>
        <v>140.75944055469532</v>
      </c>
      <c r="AB224" s="110">
        <f t="shared" ca="1" si="105"/>
        <v>-33.511974689653606</v>
      </c>
      <c r="AC224" s="111">
        <f t="shared" ca="1" si="106"/>
        <v>-104.81368339083548</v>
      </c>
      <c r="AD224" s="72">
        <f t="shared" ca="1" si="107"/>
        <v>75.186316609164521</v>
      </c>
    </row>
    <row r="225" spans="1:30">
      <c r="A225" s="118">
        <v>13032.5</v>
      </c>
      <c r="B225" s="101">
        <f t="shared" ca="1" si="81"/>
        <v>726.55169725553594</v>
      </c>
      <c r="C225" s="102">
        <f t="shared" ca="1" si="82"/>
        <v>1.5694199618101232</v>
      </c>
      <c r="D225" s="102">
        <f t="shared" si="83"/>
        <v>1.0715031732551388</v>
      </c>
      <c r="E225" s="103">
        <f t="shared" si="84"/>
        <v>0.36738898068550424</v>
      </c>
      <c r="F225" s="101">
        <f t="shared" si="85"/>
        <v>4454.5774280144942</v>
      </c>
      <c r="G225" s="104">
        <f t="shared" si="86"/>
        <v>1.5705718386084055</v>
      </c>
      <c r="H225" s="113">
        <f t="shared" si="87"/>
        <v>556.82306242333709</v>
      </c>
      <c r="I225" s="114">
        <f t="shared" si="88"/>
        <v>1.5690004232035599</v>
      </c>
      <c r="J225" s="101">
        <f t="shared" si="89"/>
        <v>1.292488047208443</v>
      </c>
      <c r="K225" s="104">
        <f t="shared" si="90"/>
        <v>0.68613329343827267</v>
      </c>
      <c r="L225" s="102">
        <f t="shared" si="91"/>
        <v>1</v>
      </c>
      <c r="M225" s="103">
        <f t="shared" si="92"/>
        <v>5.32256480744625E-10</v>
      </c>
      <c r="N225" s="101">
        <f t="shared" si="93"/>
        <v>1</v>
      </c>
      <c r="O225" s="104">
        <f t="shared" si="94"/>
        <v>7.0967530765949987E-11</v>
      </c>
      <c r="P225" s="105">
        <f t="shared" ca="1" si="95"/>
        <v>1.214995157538157</v>
      </c>
      <c r="Q225" s="106">
        <f t="shared" ca="1" si="96"/>
        <v>0.62822937970798054</v>
      </c>
      <c r="R225" s="107">
        <f t="shared" ca="1" si="97"/>
        <v>-7.2811302608228878</v>
      </c>
      <c r="S225" s="108">
        <f t="shared" ca="1" si="98"/>
        <v>-144.2687715922041</v>
      </c>
      <c r="T225" s="116">
        <f t="shared" ca="1" si="99"/>
        <v>35.731228407795896</v>
      </c>
      <c r="V225" s="72">
        <f t="shared" ca="1" si="100"/>
        <v>13032.5</v>
      </c>
      <c r="W225" s="72">
        <f t="shared" si="101"/>
        <v>169846056.25</v>
      </c>
      <c r="Y225" s="110">
        <f t="shared" si="102"/>
        <v>43.792082992082655</v>
      </c>
      <c r="Z225" s="111">
        <f t="shared" si="103"/>
        <v>-39.402577386577889</v>
      </c>
      <c r="AA225" s="72">
        <f t="shared" si="104"/>
        <v>140.59742261342211</v>
      </c>
      <c r="AB225" s="110">
        <f t="shared" ca="1" si="105"/>
        <v>-33.571987985071544</v>
      </c>
      <c r="AC225" s="111">
        <f t="shared" ca="1" si="106"/>
        <v>-104.8661942056262</v>
      </c>
      <c r="AD225" s="72">
        <f t="shared" ca="1" si="107"/>
        <v>75.133805794373799</v>
      </c>
    </row>
    <row r="226" spans="1:30">
      <c r="A226" s="118">
        <v>13107.75</v>
      </c>
      <c r="B226" s="101">
        <f t="shared" ca="1" si="81"/>
        <v>730.74681806461638</v>
      </c>
      <c r="C226" s="102">
        <f t="shared" ca="1" si="82"/>
        <v>1.5694278633443626</v>
      </c>
      <c r="D226" s="102">
        <f t="shared" si="83"/>
        <v>1.072303350329701</v>
      </c>
      <c r="E226" s="103">
        <f t="shared" si="84"/>
        <v>0.36932305597552612</v>
      </c>
      <c r="F226" s="101">
        <f t="shared" si="85"/>
        <v>4480.2982747141941</v>
      </c>
      <c r="G226" s="104">
        <f t="shared" si="86"/>
        <v>1.5705731273677632</v>
      </c>
      <c r="H226" s="113">
        <f t="shared" si="87"/>
        <v>560.03816318632175</v>
      </c>
      <c r="I226" s="114">
        <f t="shared" si="88"/>
        <v>1.5690107332458758</v>
      </c>
      <c r="J226" s="101">
        <f t="shared" si="89"/>
        <v>1.2954886990417782</v>
      </c>
      <c r="K226" s="104">
        <f t="shared" si="90"/>
        <v>0.68895704695595361</v>
      </c>
      <c r="L226" s="102">
        <f t="shared" si="91"/>
        <v>1</v>
      </c>
      <c r="M226" s="103">
        <f t="shared" si="92"/>
        <v>5.3532974375448743E-10</v>
      </c>
      <c r="N226" s="101">
        <f t="shared" si="93"/>
        <v>1</v>
      </c>
      <c r="O226" s="104">
        <f t="shared" si="94"/>
        <v>7.1377299167264994E-11</v>
      </c>
      <c r="P226" s="105">
        <f t="shared" ca="1" si="95"/>
        <v>1.2172640735592239</v>
      </c>
      <c r="Q226" s="106">
        <f t="shared" ca="1" si="96"/>
        <v>0.63106479184935349</v>
      </c>
      <c r="R226" s="107">
        <f t="shared" ca="1" si="97"/>
        <v>-7.3610016327362962</v>
      </c>
      <c r="S226" s="108">
        <f t="shared" ca="1" si="98"/>
        <v>-144.48213939186996</v>
      </c>
      <c r="T226" s="116">
        <f t="shared" ca="1" si="99"/>
        <v>35.517860608130036</v>
      </c>
      <c r="V226" s="72">
        <f t="shared" ca="1" si="100"/>
        <v>13107.75</v>
      </c>
      <c r="W226" s="72">
        <f t="shared" si="101"/>
        <v>171813110.0625</v>
      </c>
      <c r="Y226" s="110">
        <f t="shared" si="102"/>
        <v>43.771940966732586</v>
      </c>
      <c r="Z226" s="111">
        <f t="shared" si="103"/>
        <v>-39.563849664118592</v>
      </c>
      <c r="AA226" s="72">
        <f t="shared" si="104"/>
        <v>140.43615033588139</v>
      </c>
      <c r="AB226" s="110">
        <f t="shared" ca="1" si="105"/>
        <v>-33.631717331634889</v>
      </c>
      <c r="AC226" s="111">
        <f t="shared" ca="1" si="106"/>
        <v>-104.91828972775134</v>
      </c>
      <c r="AD226" s="72">
        <f t="shared" ca="1" si="107"/>
        <v>75.081710272248657</v>
      </c>
    </row>
    <row r="227" spans="1:30">
      <c r="A227" s="118">
        <v>13183</v>
      </c>
      <c r="B227" s="101">
        <f t="shared" ca="1" si="81"/>
        <v>734.94193891879968</v>
      </c>
      <c r="C227" s="102">
        <f t="shared" ca="1" si="82"/>
        <v>1.5694356746731337</v>
      </c>
      <c r="D227" s="102">
        <f t="shared" si="83"/>
        <v>1.0731075325221986</v>
      </c>
      <c r="E227" s="103">
        <f t="shared" si="84"/>
        <v>0.37125423970493454</v>
      </c>
      <c r="F227" s="101">
        <f t="shared" si="85"/>
        <v>4506.0191214212518</v>
      </c>
      <c r="G227" s="104">
        <f t="shared" si="86"/>
        <v>1.5705744014143641</v>
      </c>
      <c r="H227" s="113">
        <f t="shared" si="87"/>
        <v>563.25326400815732</v>
      </c>
      <c r="I227" s="114">
        <f t="shared" si="88"/>
        <v>1.5690209255868757</v>
      </c>
      <c r="J227" s="101">
        <f t="shared" si="89"/>
        <v>1.2984996327741256</v>
      </c>
      <c r="K227" s="104">
        <f t="shared" si="90"/>
        <v>0.69176772747748994</v>
      </c>
      <c r="L227" s="102">
        <f t="shared" si="91"/>
        <v>1</v>
      </c>
      <c r="M227" s="103">
        <f t="shared" si="92"/>
        <v>5.3840300676434995E-10</v>
      </c>
      <c r="N227" s="101">
        <f t="shared" si="93"/>
        <v>1</v>
      </c>
      <c r="O227" s="104">
        <f t="shared" si="94"/>
        <v>7.1787067568579989E-11</v>
      </c>
      <c r="P227" s="105">
        <f t="shared" ca="1" si="95"/>
        <v>1.219541826891543</v>
      </c>
      <c r="Q227" s="106">
        <f t="shared" ca="1" si="96"/>
        <v>0.63389018094347249</v>
      </c>
      <c r="R227" s="107">
        <f t="shared" ca="1" si="97"/>
        <v>-7.4406140934447151</v>
      </c>
      <c r="S227" s="108">
        <f t="shared" ca="1" si="98"/>
        <v>-144.69435029236081</v>
      </c>
      <c r="T227" s="116">
        <f t="shared" ca="1" si="99"/>
        <v>35.305649707639191</v>
      </c>
      <c r="V227" s="72">
        <f t="shared" ca="1" si="100"/>
        <v>13183</v>
      </c>
      <c r="W227" s="72">
        <f t="shared" si="101"/>
        <v>173791489</v>
      </c>
      <c r="Y227" s="110">
        <f t="shared" si="102"/>
        <v>43.751776765700697</v>
      </c>
      <c r="Z227" s="111">
        <f t="shared" si="103"/>
        <v>-39.724378814963544</v>
      </c>
      <c r="AA227" s="72">
        <f t="shared" si="104"/>
        <v>140.27562118503647</v>
      </c>
      <c r="AB227" s="110">
        <f t="shared" ca="1" si="105"/>
        <v>-33.691165591311425</v>
      </c>
      <c r="AC227" s="111">
        <f t="shared" ca="1" si="106"/>
        <v>-104.96997147739727</v>
      </c>
      <c r="AD227" s="72">
        <f t="shared" ca="1" si="107"/>
        <v>75.030028522602734</v>
      </c>
    </row>
    <row r="228" spans="1:30">
      <c r="A228" s="118">
        <v>13259.75</v>
      </c>
      <c r="B228" s="101">
        <f t="shared" ca="1" si="81"/>
        <v>739.22068349015899</v>
      </c>
      <c r="C228" s="102">
        <f t="shared" ca="1" si="82"/>
        <v>1.5694435503813913</v>
      </c>
      <c r="D228" s="102">
        <f t="shared" si="83"/>
        <v>1.0739318612625475</v>
      </c>
      <c r="E228" s="103">
        <f t="shared" si="84"/>
        <v>0.37322093201386908</v>
      </c>
      <c r="F228" s="101">
        <f t="shared" si="85"/>
        <v>4532.2526760435376</v>
      </c>
      <c r="G228" s="104">
        <f t="shared" si="86"/>
        <v>1.570575685961388</v>
      </c>
      <c r="H228" s="113">
        <f t="shared" si="87"/>
        <v>566.53245327805098</v>
      </c>
      <c r="I228" s="114">
        <f t="shared" si="88"/>
        <v>1.5690312019313666</v>
      </c>
      <c r="J228" s="101">
        <f t="shared" si="89"/>
        <v>1.3015811025006394</v>
      </c>
      <c r="K228" s="104">
        <f t="shared" si="90"/>
        <v>0.6946210165664547</v>
      </c>
      <c r="L228" s="102">
        <f t="shared" si="91"/>
        <v>1</v>
      </c>
      <c r="M228" s="103">
        <f t="shared" si="92"/>
        <v>5.4153753083088745E-10</v>
      </c>
      <c r="N228" s="101">
        <f t="shared" si="93"/>
        <v>1</v>
      </c>
      <c r="O228" s="104">
        <f t="shared" si="94"/>
        <v>7.2205004110784985E-11</v>
      </c>
      <c r="P228" s="105">
        <f t="shared" ca="1" si="95"/>
        <v>1.2218740365717808</v>
      </c>
      <c r="Q228" s="106">
        <f t="shared" ca="1" si="96"/>
        <v>0.63676158340962763</v>
      </c>
      <c r="R228" s="107">
        <f t="shared" ca="1" si="97"/>
        <v>-7.5215489572122474</v>
      </c>
      <c r="S228" s="108">
        <f t="shared" ca="1" si="98"/>
        <v>-144.90960384146965</v>
      </c>
      <c r="T228" s="116">
        <f t="shared" ca="1" si="99"/>
        <v>35.090396158530353</v>
      </c>
      <c r="V228" s="72">
        <f t="shared" ca="1" si="100"/>
        <v>13259.75</v>
      </c>
      <c r="W228" s="72">
        <f t="shared" si="101"/>
        <v>175820970.0625</v>
      </c>
      <c r="Y228" s="110">
        <f t="shared" si="102"/>
        <v>43.731188542920989</v>
      </c>
      <c r="Z228" s="111">
        <f t="shared" si="103"/>
        <v>-39.887345045477424</v>
      </c>
      <c r="AA228" s="72">
        <f t="shared" si="104"/>
        <v>140.11265495452258</v>
      </c>
      <c r="AB228" s="110">
        <f t="shared" ca="1" si="105"/>
        <v>-33.751512232299234</v>
      </c>
      <c r="AC228" s="111">
        <f t="shared" ca="1" si="106"/>
        <v>-105.0222587959922</v>
      </c>
      <c r="AD228" s="72">
        <f t="shared" ca="1" si="107"/>
        <v>74.977741204007799</v>
      </c>
    </row>
    <row r="229" spans="1:30">
      <c r="A229" s="118">
        <v>13336.5</v>
      </c>
      <c r="B229" s="101">
        <f t="shared" ca="1" si="81"/>
        <v>743.49942810684206</v>
      </c>
      <c r="C229" s="102">
        <f t="shared" ca="1" si="82"/>
        <v>1.5694513354422515</v>
      </c>
      <c r="D229" s="102">
        <f t="shared" si="83"/>
        <v>1.0747603374597459</v>
      </c>
      <c r="E229" s="103">
        <f t="shared" si="84"/>
        <v>0.37518459986904706</v>
      </c>
      <c r="F229" s="101">
        <f t="shared" si="85"/>
        <v>4558.4862306732166</v>
      </c>
      <c r="G229" s="104">
        <f t="shared" si="86"/>
        <v>1.5705769557235765</v>
      </c>
      <c r="H229" s="113">
        <f t="shared" si="87"/>
        <v>569.81164260708385</v>
      </c>
      <c r="I229" s="114">
        <f t="shared" si="88"/>
        <v>1.5690413599978987</v>
      </c>
      <c r="J229" s="101">
        <f t="shared" si="89"/>
        <v>1.3046731186301703</v>
      </c>
      <c r="K229" s="104">
        <f t="shared" si="90"/>
        <v>0.69746080435226088</v>
      </c>
      <c r="L229" s="102">
        <f t="shared" si="91"/>
        <v>1</v>
      </c>
      <c r="M229" s="103">
        <f t="shared" si="92"/>
        <v>5.4467205489742495E-10</v>
      </c>
      <c r="N229" s="101">
        <f t="shared" si="93"/>
        <v>1</v>
      </c>
      <c r="O229" s="104">
        <f t="shared" si="94"/>
        <v>7.2622940652989993E-11</v>
      </c>
      <c r="P229" s="105">
        <f t="shared" ca="1" si="95"/>
        <v>1.2242153368875688</v>
      </c>
      <c r="Q229" s="106">
        <f t="shared" ca="1" si="96"/>
        <v>0.63962259631277907</v>
      </c>
      <c r="R229" s="107">
        <f t="shared" ca="1" si="97"/>
        <v>-7.6022187924059139</v>
      </c>
      <c r="S229" s="108">
        <f t="shared" ca="1" si="98"/>
        <v>-145.12366256921851</v>
      </c>
      <c r="T229" s="116">
        <f t="shared" ca="1" si="99"/>
        <v>34.87633743078149</v>
      </c>
      <c r="V229" s="72">
        <f t="shared" ca="1" si="100"/>
        <v>13336.5</v>
      </c>
      <c r="W229" s="72">
        <f t="shared" si="101"/>
        <v>177862232.25</v>
      </c>
      <c r="Y229" s="110">
        <f t="shared" si="102"/>
        <v>43.710578793920703</v>
      </c>
      <c r="Z229" s="111">
        <f t="shared" si="103"/>
        <v>-40.049543638020694</v>
      </c>
      <c r="AA229" s="72">
        <f t="shared" si="104"/>
        <v>139.95045636197932</v>
      </c>
      <c r="AB229" s="110">
        <f t="shared" ca="1" si="105"/>
        <v>-33.811572318492622</v>
      </c>
      <c r="AC229" s="111">
        <f t="shared" ca="1" si="106"/>
        <v>-105.07411893119784</v>
      </c>
      <c r="AD229" s="72">
        <f t="shared" ca="1" si="107"/>
        <v>74.925881068802155</v>
      </c>
    </row>
    <row r="230" spans="1:30">
      <c r="A230" s="118">
        <v>13413.25</v>
      </c>
      <c r="B230" s="101">
        <f t="shared" ca="1" si="81"/>
        <v>747.77817276807082</v>
      </c>
      <c r="C230" s="102">
        <f t="shared" ca="1" si="82"/>
        <v>1.5694590314117509</v>
      </c>
      <c r="D230" s="102">
        <f t="shared" si="83"/>
        <v>1.0755929515300495</v>
      </c>
      <c r="E230" s="103">
        <f t="shared" si="84"/>
        <v>0.37714523513300086</v>
      </c>
      <c r="F230" s="101">
        <f t="shared" si="85"/>
        <v>4584.7197853101616</v>
      </c>
      <c r="G230" s="104">
        <f t="shared" si="86"/>
        <v>1.5705782109547239</v>
      </c>
      <c r="H230" s="113">
        <f t="shared" si="87"/>
        <v>573.09083199424049</v>
      </c>
      <c r="I230" s="114">
        <f t="shared" si="88"/>
        <v>1.5690514018168074</v>
      </c>
      <c r="J230" s="101">
        <f t="shared" si="89"/>
        <v>1.3077756063571158</v>
      </c>
      <c r="K230" s="104">
        <f t="shared" si="90"/>
        <v>0.70028714095939626</v>
      </c>
      <c r="L230" s="102">
        <f t="shared" si="91"/>
        <v>1</v>
      </c>
      <c r="M230" s="103">
        <f t="shared" si="92"/>
        <v>5.4780657896396244E-10</v>
      </c>
      <c r="N230" s="101">
        <f t="shared" si="93"/>
        <v>1</v>
      </c>
      <c r="O230" s="104">
        <f t="shared" si="94"/>
        <v>7.3040877195194988E-11</v>
      </c>
      <c r="P230" s="105">
        <f t="shared" ca="1" si="95"/>
        <v>1.2265656763697743</v>
      </c>
      <c r="Q230" s="106">
        <f t="shared" ca="1" si="96"/>
        <v>0.64247323906692999</v>
      </c>
      <c r="R230" s="107">
        <f t="shared" ca="1" si="97"/>
        <v>-7.6826257073818951</v>
      </c>
      <c r="S230" s="108">
        <f t="shared" ca="1" si="98"/>
        <v>-145.33653091347816</v>
      </c>
      <c r="T230" s="116">
        <f t="shared" ca="1" si="99"/>
        <v>34.663469086521843</v>
      </c>
      <c r="V230" s="72">
        <f t="shared" ca="1" si="100"/>
        <v>13413.25</v>
      </c>
      <c r="W230" s="72">
        <f t="shared" si="101"/>
        <v>179915275.5625</v>
      </c>
      <c r="Y230" s="110">
        <f t="shared" si="102"/>
        <v>43.68994828380216</v>
      </c>
      <c r="Z230" s="111">
        <f t="shared" si="103"/>
        <v>-40.210977362726645</v>
      </c>
      <c r="AA230" s="72">
        <f t="shared" si="104"/>
        <v>139.78902263727335</v>
      </c>
      <c r="AB230" s="110">
        <f t="shared" ca="1" si="105"/>
        <v>-33.871348723350053</v>
      </c>
      <c r="AC230" s="111">
        <f t="shared" ca="1" si="106"/>
        <v>-105.1255535507515</v>
      </c>
      <c r="AD230" s="72">
        <f t="shared" ca="1" si="107"/>
        <v>74.874446449248495</v>
      </c>
    </row>
    <row r="231" spans="1:30">
      <c r="A231" s="118">
        <v>13490</v>
      </c>
      <c r="B231" s="101">
        <f t="shared" ca="1" si="81"/>
        <v>752.05691747308504</v>
      </c>
      <c r="C231" s="102">
        <f t="shared" ca="1" si="82"/>
        <v>1.5694666398105153</v>
      </c>
      <c r="D231" s="102">
        <f t="shared" si="83"/>
        <v>1.0764296938715732</v>
      </c>
      <c r="E231" s="103">
        <f t="shared" si="84"/>
        <v>0.37910282978663701</v>
      </c>
      <c r="F231" s="101">
        <f t="shared" si="85"/>
        <v>4610.953339954247</v>
      </c>
      <c r="G231" s="104">
        <f t="shared" si="86"/>
        <v>1.5705794519028491</v>
      </c>
      <c r="H231" s="113">
        <f t="shared" si="87"/>
        <v>576.37002143852908</v>
      </c>
      <c r="I231" s="114">
        <f t="shared" si="88"/>
        <v>1.5690613293722218</v>
      </c>
      <c r="J231" s="101">
        <f t="shared" si="89"/>
        <v>1.3108884913318994</v>
      </c>
      <c r="K231" s="104">
        <f t="shared" si="90"/>
        <v>0.70310007689824172</v>
      </c>
      <c r="L231" s="102">
        <f t="shared" si="91"/>
        <v>1</v>
      </c>
      <c r="M231" s="103">
        <f t="shared" si="92"/>
        <v>5.5094110303049994E-10</v>
      </c>
      <c r="N231" s="101">
        <f t="shared" si="93"/>
        <v>1</v>
      </c>
      <c r="O231" s="104">
        <f t="shared" si="94"/>
        <v>7.3458813737399984E-11</v>
      </c>
      <c r="P231" s="105">
        <f t="shared" ca="1" si="95"/>
        <v>1.2289250037461774</v>
      </c>
      <c r="Q231" s="106">
        <f t="shared" ca="1" si="96"/>
        <v>0.64531353154534621</v>
      </c>
      <c r="R231" s="107">
        <f t="shared" ca="1" si="97"/>
        <v>-7.7627717674236685</v>
      </c>
      <c r="S231" s="108">
        <f t="shared" ca="1" si="98"/>
        <v>-145.5482133540483</v>
      </c>
      <c r="T231" s="116">
        <f t="shared" ca="1" si="99"/>
        <v>34.451786645951699</v>
      </c>
      <c r="V231" s="72">
        <f t="shared" ca="1" si="100"/>
        <v>13490</v>
      </c>
      <c r="W231" s="72">
        <f t="shared" si="101"/>
        <v>181980100</v>
      </c>
      <c r="Y231" s="110">
        <f t="shared" si="102"/>
        <v>43.669297768537916</v>
      </c>
      <c r="Z231" s="111">
        <f t="shared" si="103"/>
        <v>-40.371649014155182</v>
      </c>
      <c r="AA231" s="72">
        <f t="shared" si="104"/>
        <v>139.6283509858448</v>
      </c>
      <c r="AB231" s="110">
        <f t="shared" ca="1" si="105"/>
        <v>-33.930844268127586</v>
      </c>
      <c r="AC231" s="111">
        <f t="shared" ca="1" si="106"/>
        <v>-105.17656433989312</v>
      </c>
      <c r="AD231" s="72">
        <f t="shared" ca="1" si="107"/>
        <v>74.823435660106881</v>
      </c>
    </row>
    <row r="232" spans="1:30">
      <c r="A232" s="118">
        <v>13568.5</v>
      </c>
      <c r="B232" s="101">
        <f t="shared" ca="1" si="81"/>
        <v>756.43322317680509</v>
      </c>
      <c r="C232" s="102">
        <f t="shared" ca="1" si="82"/>
        <v>1.5694743326510139</v>
      </c>
      <c r="D232" s="102">
        <f t="shared" si="83"/>
        <v>1.077289775541177</v>
      </c>
      <c r="E232" s="103">
        <f t="shared" si="84"/>
        <v>0.38110190651872056</v>
      </c>
      <c r="F232" s="101">
        <f t="shared" si="85"/>
        <v>4637.7850538320063</v>
      </c>
      <c r="G232" s="104">
        <f t="shared" si="86"/>
        <v>1.5705807066235991</v>
      </c>
      <c r="H232" s="113">
        <f t="shared" si="87"/>
        <v>579.72398073279703</v>
      </c>
      <c r="I232" s="114">
        <f t="shared" si="88"/>
        <v>1.56907136710865</v>
      </c>
      <c r="J232" s="101">
        <f t="shared" si="89"/>
        <v>1.3140830326789963</v>
      </c>
      <c r="K232" s="104">
        <f t="shared" si="90"/>
        <v>0.70596334199717115</v>
      </c>
      <c r="L232" s="102">
        <f t="shared" si="91"/>
        <v>1</v>
      </c>
      <c r="M232" s="103">
        <f t="shared" si="92"/>
        <v>5.5414709832982494E-10</v>
      </c>
      <c r="N232" s="101">
        <f t="shared" si="93"/>
        <v>1</v>
      </c>
      <c r="O232" s="104">
        <f t="shared" si="94"/>
        <v>7.3886279777309991E-11</v>
      </c>
      <c r="P232" s="105">
        <f t="shared" ca="1" si="95"/>
        <v>1.2313473712610614</v>
      </c>
      <c r="Q232" s="106">
        <f t="shared" ca="1" si="96"/>
        <v>0.64820790061276212</v>
      </c>
      <c r="R232" s="107">
        <f t="shared" ca="1" si="97"/>
        <v>-7.8444775264215805</v>
      </c>
      <c r="S232" s="108">
        <f t="shared" ca="1" si="98"/>
        <v>-145.76350036973915</v>
      </c>
      <c r="T232" s="116">
        <f t="shared" ca="1" si="99"/>
        <v>34.236499630260852</v>
      </c>
      <c r="V232" s="72">
        <f t="shared" ca="1" si="100"/>
        <v>13568.5</v>
      </c>
      <c r="W232" s="72">
        <f t="shared" si="101"/>
        <v>184104192.25</v>
      </c>
      <c r="Y232" s="110">
        <f t="shared" si="102"/>
        <v>43.648156478508405</v>
      </c>
      <c r="Z232" s="111">
        <f t="shared" si="103"/>
        <v>-40.535198790248828</v>
      </c>
      <c r="AA232" s="72">
        <f t="shared" si="104"/>
        <v>139.46480120975116</v>
      </c>
      <c r="AB232" s="110">
        <f t="shared" ca="1" si="105"/>
        <v>-33.991408737095988</v>
      </c>
      <c r="AC232" s="111">
        <f t="shared" ca="1" si="106"/>
        <v>-105.22830157949025</v>
      </c>
      <c r="AD232" s="72">
        <f t="shared" ca="1" si="107"/>
        <v>74.77169842050975</v>
      </c>
    </row>
    <row r="233" spans="1:30">
      <c r="A233" s="118">
        <v>13647</v>
      </c>
      <c r="B233" s="101">
        <f t="shared" ca="1" si="81"/>
        <v>760.80952892477569</v>
      </c>
      <c r="C233" s="102">
        <f t="shared" ca="1" si="82"/>
        <v>1.5694819369904602</v>
      </c>
      <c r="D233" s="102">
        <f t="shared" si="83"/>
        <v>1.078154155513475</v>
      </c>
      <c r="E233" s="103">
        <f t="shared" si="84"/>
        <v>0.38309778580848358</v>
      </c>
      <c r="F233" s="101">
        <f t="shared" si="85"/>
        <v>4664.6167677169833</v>
      </c>
      <c r="G233" s="104">
        <f t="shared" si="86"/>
        <v>1.5705819469095905</v>
      </c>
      <c r="H233" s="113">
        <f t="shared" si="87"/>
        <v>583.0779400848038</v>
      </c>
      <c r="I233" s="114">
        <f t="shared" si="88"/>
        <v>1.5690812893676871</v>
      </c>
      <c r="J233" s="101">
        <f t="shared" si="89"/>
        <v>1.3172882949525124</v>
      </c>
      <c r="K233" s="104">
        <f t="shared" si="90"/>
        <v>0.70881269640993627</v>
      </c>
      <c r="L233" s="102">
        <f t="shared" si="91"/>
        <v>1</v>
      </c>
      <c r="M233" s="103">
        <f t="shared" si="92"/>
        <v>5.5735309362914994E-10</v>
      </c>
      <c r="N233" s="101">
        <f t="shared" si="93"/>
        <v>1</v>
      </c>
      <c r="O233" s="104">
        <f t="shared" si="94"/>
        <v>7.4313745817219985E-11</v>
      </c>
      <c r="P233" s="105">
        <f t="shared" ca="1" si="95"/>
        <v>1.2337790333558607</v>
      </c>
      <c r="Q233" s="106">
        <f t="shared" ca="1" si="96"/>
        <v>0.65109148550715923</v>
      </c>
      <c r="R233" s="107">
        <f t="shared" ca="1" si="97"/>
        <v>-7.9259146369241451</v>
      </c>
      <c r="S233" s="108">
        <f t="shared" ca="1" si="98"/>
        <v>-145.97755639275144</v>
      </c>
      <c r="T233" s="116">
        <f t="shared" ca="1" si="99"/>
        <v>34.022443607248562</v>
      </c>
      <c r="V233" s="72">
        <f t="shared" ca="1" si="100"/>
        <v>13647</v>
      </c>
      <c r="W233" s="72">
        <f t="shared" si="101"/>
        <v>186240609</v>
      </c>
      <c r="Y233" s="110">
        <f t="shared" si="102"/>
        <v>43.626995831335222</v>
      </c>
      <c r="Z233" s="111">
        <f t="shared" si="103"/>
        <v>-40.697957332050706</v>
      </c>
      <c r="AA233" s="72">
        <f t="shared" si="104"/>
        <v>139.30204266794931</v>
      </c>
      <c r="AB233" s="110">
        <f t="shared" ca="1" si="105"/>
        <v>-34.051685200425361</v>
      </c>
      <c r="AC233" s="111">
        <f t="shared" ca="1" si="106"/>
        <v>-105.27959906070076</v>
      </c>
      <c r="AD233" s="72">
        <f t="shared" ca="1" si="107"/>
        <v>74.720400939299239</v>
      </c>
    </row>
    <row r="234" spans="1:30">
      <c r="A234" s="118">
        <v>13725.5</v>
      </c>
      <c r="B234" s="101">
        <f t="shared" ca="1" si="81"/>
        <v>765.18583471623765</v>
      </c>
      <c r="C234" s="102">
        <f t="shared" ca="1" si="82"/>
        <v>1.5694894543473381</v>
      </c>
      <c r="D234" s="102">
        <f t="shared" si="83"/>
        <v>1.0790228234586579</v>
      </c>
      <c r="E234" s="103">
        <f t="shared" si="84"/>
        <v>0.38509045945796416</v>
      </c>
      <c r="F234" s="101">
        <f t="shared" si="85"/>
        <v>4691.4484816090544</v>
      </c>
      <c r="G234" s="104">
        <f t="shared" si="86"/>
        <v>1.5705831730084929</v>
      </c>
      <c r="H234" s="113">
        <f t="shared" si="87"/>
        <v>586.43189949355883</v>
      </c>
      <c r="I234" s="114">
        <f t="shared" si="88"/>
        <v>1.5690910981306683</v>
      </c>
      <c r="J234" s="101">
        <f t="shared" si="89"/>
        <v>1.3205042000836771</v>
      </c>
      <c r="K234" s="104">
        <f t="shared" si="90"/>
        <v>0.71164819533414447</v>
      </c>
      <c r="L234" s="102">
        <f t="shared" si="91"/>
        <v>1</v>
      </c>
      <c r="M234" s="103">
        <f t="shared" si="92"/>
        <v>5.6055908892847494E-10</v>
      </c>
      <c r="N234" s="101">
        <f t="shared" si="93"/>
        <v>1</v>
      </c>
      <c r="O234" s="104">
        <f t="shared" si="94"/>
        <v>7.4741211857129992E-11</v>
      </c>
      <c r="P234" s="105">
        <f t="shared" ca="1" si="95"/>
        <v>1.2362199358218364</v>
      </c>
      <c r="Q234" s="106">
        <f t="shared" ca="1" si="96"/>
        <v>0.65396430892103297</v>
      </c>
      <c r="R234" s="107">
        <f t="shared" ca="1" si="97"/>
        <v>-8.0070851768856528</v>
      </c>
      <c r="S234" s="108">
        <f t="shared" ca="1" si="98"/>
        <v>-146.19038634323914</v>
      </c>
      <c r="T234" s="116">
        <f t="shared" ca="1" si="99"/>
        <v>33.80961365676086</v>
      </c>
      <c r="V234" s="72">
        <f t="shared" ca="1" si="100"/>
        <v>13725.5</v>
      </c>
      <c r="W234" s="72">
        <f t="shared" si="101"/>
        <v>188389350.25</v>
      </c>
      <c r="Y234" s="110">
        <f t="shared" si="102"/>
        <v>43.605816606579502</v>
      </c>
      <c r="Z234" s="111">
        <f t="shared" si="103"/>
        <v>-40.859927702818894</v>
      </c>
      <c r="AA234" s="72">
        <f t="shared" si="104"/>
        <v>139.14007229718112</v>
      </c>
      <c r="AB234" s="110">
        <f t="shared" ca="1" si="105"/>
        <v>-34.111676515631153</v>
      </c>
      <c r="AC234" s="111">
        <f t="shared" ca="1" si="106"/>
        <v>-105.33045864042026</v>
      </c>
      <c r="AD234" s="72">
        <f t="shared" ca="1" si="107"/>
        <v>74.669541359579739</v>
      </c>
    </row>
    <row r="235" spans="1:30">
      <c r="A235" s="118">
        <v>13804</v>
      </c>
      <c r="B235" s="101">
        <f t="shared" ca="1" si="81"/>
        <v>769.56214055044882</v>
      </c>
      <c r="C235" s="102">
        <f t="shared" ca="1" si="82"/>
        <v>1.5694968862055907</v>
      </c>
      <c r="D235" s="102">
        <f t="shared" si="83"/>
        <v>1.0798957690289919</v>
      </c>
      <c r="E235" s="103">
        <f t="shared" si="84"/>
        <v>0.38707991939734254</v>
      </c>
      <c r="F235" s="101">
        <f t="shared" si="85"/>
        <v>4718.2801955080968</v>
      </c>
      <c r="G235" s="104">
        <f t="shared" si="86"/>
        <v>1.570584385162342</v>
      </c>
      <c r="H235" s="113">
        <f t="shared" si="87"/>
        <v>589.78585895809363</v>
      </c>
      <c r="I235" s="114">
        <f t="shared" si="88"/>
        <v>1.56910079533386</v>
      </c>
      <c r="J235" s="101">
        <f t="shared" si="89"/>
        <v>1.3237306705044012</v>
      </c>
      <c r="K235" s="104">
        <f t="shared" si="90"/>
        <v>0.71446989432309849</v>
      </c>
      <c r="L235" s="102">
        <f t="shared" si="91"/>
        <v>1</v>
      </c>
      <c r="M235" s="103">
        <f t="shared" si="92"/>
        <v>5.6376508422779995E-10</v>
      </c>
      <c r="N235" s="101">
        <f t="shared" si="93"/>
        <v>1</v>
      </c>
      <c r="O235" s="104">
        <f t="shared" si="94"/>
        <v>7.5168677897039986E-11</v>
      </c>
      <c r="P235" s="105">
        <f t="shared" ca="1" si="95"/>
        <v>1.2386700246736115</v>
      </c>
      <c r="Q235" s="106">
        <f t="shared" ca="1" si="96"/>
        <v>0.65682639400764031</v>
      </c>
      <c r="R235" s="107">
        <f t="shared" ca="1" si="97"/>
        <v>-8.0879911823776336</v>
      </c>
      <c r="S235" s="108">
        <f t="shared" ca="1" si="98"/>
        <v>-146.40199518107386</v>
      </c>
      <c r="T235" s="116">
        <f t="shared" ca="1" si="99"/>
        <v>33.598004818926142</v>
      </c>
      <c r="V235" s="72">
        <f t="shared" ca="1" si="100"/>
        <v>13804</v>
      </c>
      <c r="W235" s="72">
        <f t="shared" si="101"/>
        <v>190550416</v>
      </c>
      <c r="Y235" s="110">
        <f t="shared" si="102"/>
        <v>43.584619574037866</v>
      </c>
      <c r="Z235" s="111">
        <f t="shared" si="103"/>
        <v>-41.021112988450994</v>
      </c>
      <c r="AA235" s="72">
        <f t="shared" si="104"/>
        <v>138.97888701154901</v>
      </c>
      <c r="AB235" s="110">
        <f t="shared" ca="1" si="105"/>
        <v>-34.171385488581492</v>
      </c>
      <c r="AC235" s="111">
        <f t="shared" ca="1" si="106"/>
        <v>-105.38088219262286</v>
      </c>
      <c r="AD235" s="72">
        <f t="shared" ca="1" si="107"/>
        <v>74.619117807377137</v>
      </c>
    </row>
    <row r="236" spans="1:30">
      <c r="A236" s="118">
        <v>13884.25</v>
      </c>
      <c r="B236" s="101">
        <f t="shared" ca="1" si="81"/>
        <v>774.03600738618206</v>
      </c>
      <c r="C236" s="102">
        <f t="shared" ca="1" si="82"/>
        <v>1.5695043968735001</v>
      </c>
      <c r="D236" s="102">
        <f t="shared" si="83"/>
        <v>1.0807925861049887</v>
      </c>
      <c r="E236" s="103">
        <f t="shared" si="84"/>
        <v>0.38911040011110393</v>
      </c>
      <c r="F236" s="101">
        <f t="shared" si="85"/>
        <v>4745.7100686412732</v>
      </c>
      <c r="G236" s="104">
        <f t="shared" si="86"/>
        <v>1.5705856101702111</v>
      </c>
      <c r="H236" s="113">
        <f t="shared" si="87"/>
        <v>593.21458827628248</v>
      </c>
      <c r="I236" s="114">
        <f t="shared" si="88"/>
        <v>1.5691105953692401</v>
      </c>
      <c r="J236" s="101">
        <f t="shared" si="89"/>
        <v>1.3270399095698899</v>
      </c>
      <c r="K236" s="104">
        <f t="shared" si="90"/>
        <v>0.71734029080949668</v>
      </c>
      <c r="L236" s="102">
        <f t="shared" si="91"/>
        <v>1</v>
      </c>
      <c r="M236" s="103">
        <f t="shared" si="92"/>
        <v>5.6704255075991245E-10</v>
      </c>
      <c r="N236" s="101">
        <f t="shared" si="93"/>
        <v>1</v>
      </c>
      <c r="O236" s="104">
        <f t="shared" si="94"/>
        <v>7.5605673434654992E-11</v>
      </c>
      <c r="P236" s="105">
        <f t="shared" ca="1" si="95"/>
        <v>1.2411841732142161</v>
      </c>
      <c r="Q236" s="106">
        <f t="shared" ca="1" si="96"/>
        <v>0.65974120804176206</v>
      </c>
      <c r="R236" s="107">
        <f t="shared" ca="1" si="97"/>
        <v>-8.1704294565661701</v>
      </c>
      <c r="S236" s="108">
        <f t="shared" ca="1" si="98"/>
        <v>-146.61706436898299</v>
      </c>
      <c r="T236" s="116">
        <f t="shared" ca="1" si="99"/>
        <v>33.382935631017006</v>
      </c>
      <c r="V236" s="72">
        <f t="shared" ca="1" si="100"/>
        <v>13884.25</v>
      </c>
      <c r="W236" s="72">
        <f t="shared" si="101"/>
        <v>192772398.0625</v>
      </c>
      <c r="Y236" s="110">
        <f t="shared" si="102"/>
        <v>43.562932379971741</v>
      </c>
      <c r="Z236" s="111">
        <f t="shared" si="103"/>
        <v>-41.185083279789794</v>
      </c>
      <c r="AA236" s="72">
        <f t="shared" si="104"/>
        <v>138.81491672021019</v>
      </c>
      <c r="AB236" s="110">
        <f t="shared" ca="1" si="105"/>
        <v>-34.232136568703908</v>
      </c>
      <c r="AC236" s="111">
        <f t="shared" ca="1" si="106"/>
        <v>-105.43198108919323</v>
      </c>
      <c r="AD236" s="72">
        <f t="shared" ca="1" si="107"/>
        <v>74.568018910806771</v>
      </c>
    </row>
    <row r="237" spans="1:30">
      <c r="A237" s="118">
        <v>13964.5</v>
      </c>
      <c r="B237" s="101">
        <f t="shared" ca="1" si="81"/>
        <v>778.50987426507686</v>
      </c>
      <c r="C237" s="102">
        <f t="shared" ca="1" si="82"/>
        <v>1.5695118212182184</v>
      </c>
      <c r="D237" s="102">
        <f t="shared" si="83"/>
        <v>1.0816938517293513</v>
      </c>
      <c r="E237" s="103">
        <f t="shared" si="84"/>
        <v>0.39113750558403915</v>
      </c>
      <c r="F237" s="101">
        <f t="shared" si="85"/>
        <v>4773.1399417814891</v>
      </c>
      <c r="G237" s="104">
        <f t="shared" si="86"/>
        <v>1.570586821098539</v>
      </c>
      <c r="H237" s="113">
        <f t="shared" si="87"/>
        <v>596.6433176507893</v>
      </c>
      <c r="I237" s="114">
        <f t="shared" si="88"/>
        <v>1.5691202827689201</v>
      </c>
      <c r="J237" s="101">
        <f t="shared" si="89"/>
        <v>1.3303600279036234</v>
      </c>
      <c r="K237" s="104">
        <f t="shared" si="90"/>
        <v>0.72019638369712635</v>
      </c>
      <c r="L237" s="102">
        <f t="shared" si="91"/>
        <v>1</v>
      </c>
      <c r="M237" s="103">
        <f t="shared" si="92"/>
        <v>5.7032001729202495E-10</v>
      </c>
      <c r="N237" s="101">
        <f t="shared" si="93"/>
        <v>1</v>
      </c>
      <c r="O237" s="104">
        <f t="shared" si="94"/>
        <v>7.6042668972269984E-11</v>
      </c>
      <c r="P237" s="105">
        <f t="shared" ca="1" si="95"/>
        <v>1.2437078089159197</v>
      </c>
      <c r="Q237" s="106">
        <f t="shared" ca="1" si="96"/>
        <v>0.66264484999567264</v>
      </c>
      <c r="R237" s="107">
        <f t="shared" ca="1" si="97"/>
        <v>-8.2525954447419565</v>
      </c>
      <c r="S237" s="108">
        <f t="shared" ca="1" si="98"/>
        <v>-146.83086799595659</v>
      </c>
      <c r="T237" s="116">
        <f t="shared" ca="1" si="99"/>
        <v>33.169132004043405</v>
      </c>
      <c r="V237" s="72">
        <f t="shared" ca="1" si="100"/>
        <v>13964.5</v>
      </c>
      <c r="W237" s="72">
        <f t="shared" si="101"/>
        <v>195007260.25</v>
      </c>
      <c r="Y237" s="110">
        <f t="shared" si="102"/>
        <v>43.541228171267164</v>
      </c>
      <c r="Z237" s="111">
        <f t="shared" si="103"/>
        <v>-41.348239682138349</v>
      </c>
      <c r="AA237" s="72">
        <f t="shared" si="104"/>
        <v>138.65176031786166</v>
      </c>
      <c r="AB237" s="110">
        <f t="shared" ca="1" si="105"/>
        <v>-34.292598348175126</v>
      </c>
      <c r="AC237" s="111">
        <f t="shared" ca="1" si="106"/>
        <v>-105.48262831381824</v>
      </c>
      <c r="AD237" s="72">
        <f t="shared" ca="1" si="107"/>
        <v>74.517371686181761</v>
      </c>
    </row>
    <row r="238" spans="1:30">
      <c r="A238" s="118">
        <v>14044.75</v>
      </c>
      <c r="B238" s="101">
        <f t="shared" ca="1" si="81"/>
        <v>782.98374118639344</v>
      </c>
      <c r="C238" s="102">
        <f t="shared" ca="1" si="82"/>
        <v>1.5695191607194636</v>
      </c>
      <c r="D238" s="102">
        <f t="shared" si="83"/>
        <v>1.0825995547918115</v>
      </c>
      <c r="E238" s="103">
        <f t="shared" si="84"/>
        <v>0.39316122760729261</v>
      </c>
      <c r="F238" s="101">
        <f t="shared" si="85"/>
        <v>4800.5698149286245</v>
      </c>
      <c r="G238" s="104">
        <f t="shared" si="86"/>
        <v>1.570588018188672</v>
      </c>
      <c r="H238" s="113">
        <f t="shared" si="87"/>
        <v>600.07204708064853</v>
      </c>
      <c r="I238" s="114">
        <f t="shared" si="88"/>
        <v>1.5691298594636529</v>
      </c>
      <c r="J238" s="101">
        <f t="shared" si="89"/>
        <v>1.3336909442563656</v>
      </c>
      <c r="K238" s="104">
        <f t="shared" si="90"/>
        <v>0.72303823338680118</v>
      </c>
      <c r="L238" s="102">
        <f t="shared" si="91"/>
        <v>1</v>
      </c>
      <c r="M238" s="103">
        <f t="shared" si="92"/>
        <v>5.7359748382413746E-10</v>
      </c>
      <c r="N238" s="101">
        <f t="shared" si="93"/>
        <v>1</v>
      </c>
      <c r="O238" s="104">
        <f t="shared" si="94"/>
        <v>7.647966450988499E-11</v>
      </c>
      <c r="P238" s="105">
        <f t="shared" ca="1" si="95"/>
        <v>1.2462408748371985</v>
      </c>
      <c r="Q238" s="106">
        <f t="shared" ca="1" si="96"/>
        <v>0.66553734603199266</v>
      </c>
      <c r="R238" s="107">
        <f t="shared" ca="1" si="97"/>
        <v>-8.3344911943137738</v>
      </c>
      <c r="S238" s="108">
        <f t="shared" ca="1" si="98"/>
        <v>-147.04341148003257</v>
      </c>
      <c r="T238" s="116">
        <f t="shared" ca="1" si="99"/>
        <v>32.956588519967426</v>
      </c>
      <c r="V238" s="72">
        <f t="shared" ca="1" si="100"/>
        <v>14044.75</v>
      </c>
      <c r="W238" s="72">
        <f t="shared" si="101"/>
        <v>197255002.5625</v>
      </c>
      <c r="Y238" s="110">
        <f t="shared" si="102"/>
        <v>43.519507739116705</v>
      </c>
      <c r="Z238" s="111">
        <f t="shared" si="103"/>
        <v>-41.51058555941249</v>
      </c>
      <c r="AA238" s="72">
        <f t="shared" si="104"/>
        <v>138.4894144405875</v>
      </c>
      <c r="AB238" s="110">
        <f t="shared" ca="1" si="105"/>
        <v>-34.35277366559648</v>
      </c>
      <c r="AC238" s="111">
        <f t="shared" ca="1" si="106"/>
        <v>-105.53282592062003</v>
      </c>
      <c r="AD238" s="72">
        <f t="shared" ca="1" si="107"/>
        <v>74.467174079379973</v>
      </c>
    </row>
    <row r="239" spans="1:30">
      <c r="A239" s="118">
        <v>14125</v>
      </c>
      <c r="B239" s="101">
        <f t="shared" ca="1" si="81"/>
        <v>787.45760814940877</v>
      </c>
      <c r="C239" s="102">
        <f t="shared" ca="1" si="82"/>
        <v>1.5695264168233254</v>
      </c>
      <c r="D239" s="102">
        <f t="shared" si="83"/>
        <v>1.0835096841646386</v>
      </c>
      <c r="E239" s="103">
        <f t="shared" si="84"/>
        <v>0.39518155811024175</v>
      </c>
      <c r="F239" s="101">
        <f t="shared" si="85"/>
        <v>4827.9996880825602</v>
      </c>
      <c r="G239" s="104">
        <f t="shared" si="86"/>
        <v>1.5705892016764715</v>
      </c>
      <c r="H239" s="113">
        <f t="shared" si="87"/>
        <v>603.50077656491692</v>
      </c>
      <c r="I239" s="114">
        <f t="shared" si="88"/>
        <v>1.5691393273403145</v>
      </c>
      <c r="J239" s="101">
        <f t="shared" si="89"/>
        <v>1.337032577925602</v>
      </c>
      <c r="K239" s="104">
        <f t="shared" si="90"/>
        <v>0.72586590059866019</v>
      </c>
      <c r="L239" s="102">
        <f t="shared" si="91"/>
        <v>1</v>
      </c>
      <c r="M239" s="103">
        <f t="shared" si="92"/>
        <v>5.7687495035624996E-10</v>
      </c>
      <c r="N239" s="101">
        <f t="shared" si="93"/>
        <v>1</v>
      </c>
      <c r="O239" s="104">
        <f t="shared" si="94"/>
        <v>7.6916660047499996E-11</v>
      </c>
      <c r="P239" s="105">
        <f t="shared" ca="1" si="95"/>
        <v>1.2487833142880207</v>
      </c>
      <c r="Q239" s="106">
        <f t="shared" ca="1" si="96"/>
        <v>0.66841872277162462</v>
      </c>
      <c r="R239" s="107">
        <f t="shared" ca="1" si="97"/>
        <v>-8.416118712103728</v>
      </c>
      <c r="S239" s="108">
        <f t="shared" ca="1" si="98"/>
        <v>-147.25470027615515</v>
      </c>
      <c r="T239" s="116">
        <f t="shared" ca="1" si="99"/>
        <v>32.745299723844852</v>
      </c>
      <c r="V239" s="72">
        <f t="shared" ca="1" si="100"/>
        <v>14125</v>
      </c>
      <c r="W239" s="72">
        <f t="shared" si="101"/>
        <v>199515625</v>
      </c>
      <c r="Y239" s="110">
        <f t="shared" si="102"/>
        <v>43.497771864323916</v>
      </c>
      <c r="Z239" s="111">
        <f t="shared" si="103"/>
        <v>-41.672124296023746</v>
      </c>
      <c r="AA239" s="72">
        <f t="shared" si="104"/>
        <v>138.32787570397625</v>
      </c>
      <c r="AB239" s="110">
        <f t="shared" ca="1" si="105"/>
        <v>-34.412665308593645</v>
      </c>
      <c r="AC239" s="111">
        <f t="shared" ca="1" si="106"/>
        <v>-105.58257598013144</v>
      </c>
      <c r="AD239" s="72">
        <f t="shared" ca="1" si="107"/>
        <v>74.417424019868562</v>
      </c>
    </row>
    <row r="240" spans="1:30">
      <c r="A240" s="118">
        <v>14207.25</v>
      </c>
      <c r="B240" s="101">
        <f t="shared" ca="1" si="81"/>
        <v>792.04297339702418</v>
      </c>
      <c r="C240" s="102">
        <f t="shared" ca="1" si="82"/>
        <v>1.5695337687023898</v>
      </c>
      <c r="D240" s="102">
        <f t="shared" si="83"/>
        <v>1.0844470773830375</v>
      </c>
      <c r="E240" s="103">
        <f t="shared" si="84"/>
        <v>0.39724871187042776</v>
      </c>
      <c r="F240" s="101">
        <f t="shared" si="85"/>
        <v>4856.113171789325</v>
      </c>
      <c r="G240" s="104">
        <f t="shared" si="86"/>
        <v>1.570590400785413</v>
      </c>
      <c r="H240" s="113">
        <f t="shared" si="87"/>
        <v>607.01495730678073</v>
      </c>
      <c r="I240" s="114">
        <f t="shared" si="88"/>
        <v>1.5691489201860682</v>
      </c>
      <c r="J240" s="101">
        <f t="shared" si="89"/>
        <v>1.3404685296119743</v>
      </c>
      <c r="K240" s="104">
        <f t="shared" si="90"/>
        <v>0.72874938605007178</v>
      </c>
      <c r="L240" s="102">
        <f t="shared" si="91"/>
        <v>1</v>
      </c>
      <c r="M240" s="103">
        <f t="shared" si="92"/>
        <v>5.802340982972625E-10</v>
      </c>
      <c r="N240" s="101">
        <f t="shared" si="93"/>
        <v>1</v>
      </c>
      <c r="O240" s="104">
        <f t="shared" si="94"/>
        <v>7.7364546439634985E-11</v>
      </c>
      <c r="P240" s="105">
        <f t="shared" ca="1" si="95"/>
        <v>1.2513987845196837</v>
      </c>
      <c r="Q240" s="106">
        <f t="shared" ca="1" si="96"/>
        <v>0.67136039942357362</v>
      </c>
      <c r="R240" s="107">
        <f t="shared" ca="1" si="97"/>
        <v>-8.4995042764222521</v>
      </c>
      <c r="S240" s="108">
        <f t="shared" ca="1" si="98"/>
        <v>-147.46995859962138</v>
      </c>
      <c r="T240" s="116">
        <f t="shared" ca="1" si="99"/>
        <v>32.530041400378622</v>
      </c>
      <c r="V240" s="72">
        <f t="shared" ca="1" si="100"/>
        <v>14207.25</v>
      </c>
      <c r="W240" s="72">
        <f t="shared" si="101"/>
        <v>201845952.5625</v>
      </c>
      <c r="Y240" s="110">
        <f t="shared" si="102"/>
        <v>43.475479066858313</v>
      </c>
      <c r="Z240" s="111">
        <f t="shared" si="103"/>
        <v>-41.836854917004715</v>
      </c>
      <c r="AA240" s="72">
        <f t="shared" si="104"/>
        <v>138.1631450829953</v>
      </c>
      <c r="AB240" s="110">
        <f t="shared" ca="1" si="105"/>
        <v>-34.473758075446561</v>
      </c>
      <c r="AC240" s="111">
        <f t="shared" ca="1" si="106"/>
        <v>-105.63310368261664</v>
      </c>
      <c r="AD240" s="72">
        <f t="shared" ca="1" si="107"/>
        <v>74.366896317383365</v>
      </c>
    </row>
    <row r="241" spans="1:30">
      <c r="A241" s="118">
        <v>14289.5</v>
      </c>
      <c r="B241" s="101">
        <f t="shared" ca="1" si="81"/>
        <v>796.62833868695668</v>
      </c>
      <c r="C241" s="102">
        <f t="shared" ca="1" si="82"/>
        <v>1.5695410359471291</v>
      </c>
      <c r="D241" s="102">
        <f t="shared" si="83"/>
        <v>1.0853890965632114</v>
      </c>
      <c r="E241" s="103">
        <f t="shared" si="84"/>
        <v>0.39931228623227782</v>
      </c>
      <c r="F241" s="101">
        <f t="shared" si="85"/>
        <v>4884.2266555029928</v>
      </c>
      <c r="G241" s="104">
        <f t="shared" si="86"/>
        <v>1.5705915860902735</v>
      </c>
      <c r="H241" s="113">
        <f t="shared" si="87"/>
        <v>610.52913810386065</v>
      </c>
      <c r="I241" s="114">
        <f t="shared" si="88"/>
        <v>1.5691584025997656</v>
      </c>
      <c r="J241" s="101">
        <f t="shared" si="89"/>
        <v>1.343915569564611</v>
      </c>
      <c r="K241" s="104">
        <f t="shared" si="90"/>
        <v>0.73161810341538702</v>
      </c>
      <c r="L241" s="102">
        <f t="shared" si="91"/>
        <v>1</v>
      </c>
      <c r="M241" s="103">
        <f t="shared" si="92"/>
        <v>5.8359324623827493E-10</v>
      </c>
      <c r="N241" s="101">
        <f t="shared" si="93"/>
        <v>1</v>
      </c>
      <c r="O241" s="104">
        <f t="shared" si="94"/>
        <v>7.7812432831769987E-11</v>
      </c>
      <c r="P241" s="105">
        <f t="shared" ca="1" si="95"/>
        <v>1.254023981550906</v>
      </c>
      <c r="Q241" s="106">
        <f t="shared" ca="1" si="96"/>
        <v>0.67429045369384233</v>
      </c>
      <c r="R241" s="107">
        <f t="shared" ca="1" si="97"/>
        <v>-8.582612215684831</v>
      </c>
      <c r="S241" s="108">
        <f t="shared" ca="1" si="98"/>
        <v>-147.68391063226656</v>
      </c>
      <c r="T241" s="116">
        <f t="shared" ca="1" si="99"/>
        <v>32.31608936773344</v>
      </c>
      <c r="V241" s="72">
        <f t="shared" ca="1" si="100"/>
        <v>14289.5</v>
      </c>
      <c r="W241" s="72">
        <f t="shared" si="101"/>
        <v>204189810.25</v>
      </c>
      <c r="Y241" s="110">
        <f t="shared" si="102"/>
        <v>43.453171675134911</v>
      </c>
      <c r="Z241" s="111">
        <f t="shared" si="103"/>
        <v>-42.00074492535515</v>
      </c>
      <c r="AA241" s="72">
        <f t="shared" si="104"/>
        <v>137.99925507464485</v>
      </c>
      <c r="AB241" s="110">
        <f t="shared" ca="1" si="105"/>
        <v>-34.534558622985735</v>
      </c>
      <c r="AC241" s="111">
        <f t="shared" ca="1" si="106"/>
        <v>-105.68316570691137</v>
      </c>
      <c r="AD241" s="72">
        <f t="shared" ca="1" si="107"/>
        <v>74.316834293088633</v>
      </c>
    </row>
    <row r="242" spans="1:30">
      <c r="A242" s="118">
        <v>14371.75</v>
      </c>
      <c r="B242" s="101">
        <f t="shared" ca="1" si="81"/>
        <v>801.21370401848003</v>
      </c>
      <c r="C242" s="102">
        <f t="shared" ca="1" si="82"/>
        <v>1.5695482200106354</v>
      </c>
      <c r="D242" s="102">
        <f t="shared" si="83"/>
        <v>1.0863357296709122</v>
      </c>
      <c r="E242" s="103">
        <f t="shared" si="84"/>
        <v>0.40137227295556371</v>
      </c>
      <c r="F242" s="101">
        <f t="shared" si="85"/>
        <v>4912.3401392234446</v>
      </c>
      <c r="G242" s="104">
        <f t="shared" si="86"/>
        <v>1.570592757828057</v>
      </c>
      <c r="H242" s="113">
        <f t="shared" si="87"/>
        <v>614.04331895520875</v>
      </c>
      <c r="I242" s="114">
        <f t="shared" si="88"/>
        <v>1.569167776477419</v>
      </c>
      <c r="J242" s="101">
        <f t="shared" si="89"/>
        <v>1.3473736126808458</v>
      </c>
      <c r="K242" s="104">
        <f t="shared" si="90"/>
        <v>0.73447211900426534</v>
      </c>
      <c r="L242" s="102">
        <f t="shared" si="91"/>
        <v>1</v>
      </c>
      <c r="M242" s="103">
        <f t="shared" si="92"/>
        <v>5.8695239417928747E-10</v>
      </c>
      <c r="N242" s="101">
        <f t="shared" si="93"/>
        <v>1</v>
      </c>
      <c r="O242" s="104">
        <f t="shared" si="94"/>
        <v>7.826031922390499E-11</v>
      </c>
      <c r="P242" s="105">
        <f t="shared" ca="1" si="95"/>
        <v>1.2566588451800556</v>
      </c>
      <c r="Q242" s="106">
        <f t="shared" ca="1" si="96"/>
        <v>0.67720891566973573</v>
      </c>
      <c r="R242" s="107">
        <f t="shared" ca="1" si="97"/>
        <v>-8.665444565566446</v>
      </c>
      <c r="S242" s="108">
        <f t="shared" ca="1" si="98"/>
        <v>-147.89656235756192</v>
      </c>
      <c r="T242" s="116">
        <f t="shared" ca="1" si="99"/>
        <v>32.103437642438081</v>
      </c>
      <c r="V242" s="72">
        <f t="shared" ca="1" si="100"/>
        <v>14371.75</v>
      </c>
      <c r="W242" s="72">
        <f t="shared" si="101"/>
        <v>206547198.0625</v>
      </c>
      <c r="Y242" s="110">
        <f t="shared" si="102"/>
        <v>43.430850496314235</v>
      </c>
      <c r="Z242" s="111">
        <f t="shared" si="103"/>
        <v>-42.1637980252844</v>
      </c>
      <c r="AA242" s="72">
        <f t="shared" si="104"/>
        <v>137.83620197471561</v>
      </c>
      <c r="AB242" s="110">
        <f t="shared" ca="1" si="105"/>
        <v>-34.59506979404668</v>
      </c>
      <c r="AC242" s="111">
        <f t="shared" ca="1" si="106"/>
        <v>-105.73276433227754</v>
      </c>
      <c r="AD242" s="72">
        <f t="shared" ca="1" si="107"/>
        <v>74.26723566772246</v>
      </c>
    </row>
    <row r="243" spans="1:30">
      <c r="A243" s="118">
        <v>14454</v>
      </c>
      <c r="B243" s="101">
        <f t="shared" ca="1" si="81"/>
        <v>805.79906939088391</v>
      </c>
      <c r="C243" s="102">
        <f t="shared" ca="1" si="82"/>
        <v>1.5695553223129257</v>
      </c>
      <c r="D243" s="102">
        <f t="shared" si="83"/>
        <v>1.0872869646549608</v>
      </c>
      <c r="E243" s="103">
        <f t="shared" si="84"/>
        <v>0.40342866395047766</v>
      </c>
      <c r="F243" s="101">
        <f t="shared" si="85"/>
        <v>4940.4536229505629</v>
      </c>
      <c r="G243" s="104">
        <f t="shared" si="86"/>
        <v>1.5705939162303721</v>
      </c>
      <c r="H243" s="113">
        <f t="shared" si="87"/>
        <v>617.55749985989848</v>
      </c>
      <c r="I243" s="114">
        <f t="shared" si="88"/>
        <v>1.5691770436718839</v>
      </c>
      <c r="J243" s="101">
        <f t="shared" si="89"/>
        <v>1.3508425744591674</v>
      </c>
      <c r="K243" s="104">
        <f t="shared" si="90"/>
        <v>0.73731149940648855</v>
      </c>
      <c r="L243" s="102">
        <f t="shared" si="91"/>
        <v>1</v>
      </c>
      <c r="M243" s="103">
        <f t="shared" si="92"/>
        <v>5.903115421203E-10</v>
      </c>
      <c r="N243" s="101">
        <f t="shared" si="93"/>
        <v>1</v>
      </c>
      <c r="O243" s="104">
        <f t="shared" si="94"/>
        <v>7.8708205616039992E-11</v>
      </c>
      <c r="P243" s="105">
        <f t="shared" ca="1" si="95"/>
        <v>1.2593033154901712</v>
      </c>
      <c r="Q243" s="106">
        <f t="shared" ca="1" si="96"/>
        <v>0.6801158158956031</v>
      </c>
      <c r="R243" s="107">
        <f t="shared" ca="1" si="97"/>
        <v>-8.7480033220664097</v>
      </c>
      <c r="S243" s="108">
        <f t="shared" ca="1" si="98"/>
        <v>-148.10791979286574</v>
      </c>
      <c r="T243" s="116">
        <f t="shared" ca="1" si="99"/>
        <v>31.892080207134256</v>
      </c>
      <c r="V243" s="72">
        <f t="shared" ca="1" si="100"/>
        <v>14454</v>
      </c>
      <c r="W243" s="72">
        <f t="shared" si="101"/>
        <v>208918116</v>
      </c>
      <c r="Y243" s="110">
        <f t="shared" si="102"/>
        <v>43.408516326425506</v>
      </c>
      <c r="Z243" s="111">
        <f t="shared" si="103"/>
        <v>-42.326017939215383</v>
      </c>
      <c r="AA243" s="72">
        <f t="shared" si="104"/>
        <v>137.67398206078462</v>
      </c>
      <c r="AB243" s="110">
        <f t="shared" ca="1" si="105"/>
        <v>-34.655294380657921</v>
      </c>
      <c r="AC243" s="111">
        <f t="shared" ca="1" si="106"/>
        <v>-105.78190185365031</v>
      </c>
      <c r="AD243" s="72">
        <f t="shared" ca="1" si="107"/>
        <v>74.218098146349689</v>
      </c>
    </row>
    <row r="244" spans="1:30">
      <c r="A244" s="118">
        <v>14622.5</v>
      </c>
      <c r="B244" s="101">
        <f t="shared" ca="1" si="81"/>
        <v>815.19279675272003</v>
      </c>
      <c r="C244" s="102">
        <f t="shared" ca="1" si="82"/>
        <v>1.5695696228117604</v>
      </c>
      <c r="D244" s="102">
        <f t="shared" si="83"/>
        <v>1.0892500149869344</v>
      </c>
      <c r="E244" s="103">
        <f t="shared" si="84"/>
        <v>0.4076301908928997</v>
      </c>
      <c r="F244" s="101">
        <f t="shared" si="85"/>
        <v>4998.0478115182605</v>
      </c>
      <c r="G244" s="104">
        <f t="shared" si="86"/>
        <v>1.5705962486755223</v>
      </c>
      <c r="H244" s="113">
        <f t="shared" si="87"/>
        <v>624.7567642468756</v>
      </c>
      <c r="I244" s="114">
        <f t="shared" si="88"/>
        <v>1.5691957031854749</v>
      </c>
      <c r="J244" s="101">
        <f t="shared" si="89"/>
        <v>1.3579829447960274</v>
      </c>
      <c r="K244" s="104">
        <f t="shared" si="90"/>
        <v>0.74308292536770826</v>
      </c>
      <c r="L244" s="102">
        <f t="shared" si="91"/>
        <v>1</v>
      </c>
      <c r="M244" s="103">
        <f t="shared" si="92"/>
        <v>5.9719320082012494E-10</v>
      </c>
      <c r="N244" s="101">
        <f t="shared" si="93"/>
        <v>1</v>
      </c>
      <c r="O244" s="104">
        <f t="shared" si="94"/>
        <v>7.962576010934999E-11</v>
      </c>
      <c r="P244" s="105">
        <f t="shared" ca="1" si="95"/>
        <v>1.264750610974021</v>
      </c>
      <c r="Q244" s="106">
        <f t="shared" ca="1" si="96"/>
        <v>0.68603501182649529</v>
      </c>
      <c r="R244" s="107">
        <f t="shared" ca="1" si="97"/>
        <v>-8.9162896915939633</v>
      </c>
      <c r="S244" s="108">
        <f t="shared" ca="1" si="98"/>
        <v>-148.53689721211884</v>
      </c>
      <c r="T244" s="116">
        <f t="shared" ca="1" si="99"/>
        <v>31.463102787881155</v>
      </c>
      <c r="V244" s="72">
        <f t="shared" ca="1" si="100"/>
        <v>14622.5</v>
      </c>
      <c r="W244" s="72">
        <f t="shared" si="101"/>
        <v>213817506.25</v>
      </c>
      <c r="Y244" s="110">
        <f t="shared" si="102"/>
        <v>43.362724554445464</v>
      </c>
      <c r="Z244" s="111">
        <f t="shared" si="103"/>
        <v>-42.655760816487096</v>
      </c>
      <c r="AA244" s="72">
        <f t="shared" si="104"/>
        <v>137.34423918351291</v>
      </c>
      <c r="AB244" s="110">
        <f t="shared" ca="1" si="105"/>
        <v>-34.777788978205429</v>
      </c>
      <c r="AC244" s="111">
        <f t="shared" ca="1" si="106"/>
        <v>-105.8811363956317</v>
      </c>
      <c r="AD244" s="72">
        <f t="shared" ca="1" si="107"/>
        <v>74.1188636043683</v>
      </c>
    </row>
    <row r="245" spans="1:30">
      <c r="A245" s="118">
        <v>14706.75</v>
      </c>
      <c r="B245" s="101">
        <f t="shared" ca="1" si="81"/>
        <v>819.88966049508008</v>
      </c>
      <c r="C245" s="102">
        <f t="shared" ca="1" si="82"/>
        <v>1.5695766501772754</v>
      </c>
      <c r="D245" s="102">
        <f t="shared" si="83"/>
        <v>1.0902387312725941</v>
      </c>
      <c r="E245" s="103">
        <f t="shared" si="84"/>
        <v>0.40972526202116422</v>
      </c>
      <c r="F245" s="101">
        <f t="shared" si="85"/>
        <v>5026.8449058121305</v>
      </c>
      <c r="G245" s="104">
        <f t="shared" si="86"/>
        <v>1.5705973948554133</v>
      </c>
      <c r="H245" s="113">
        <f t="shared" si="87"/>
        <v>628.35639652053464</v>
      </c>
      <c r="I245" s="114">
        <f t="shared" si="88"/>
        <v>1.5692048726016099</v>
      </c>
      <c r="J245" s="101">
        <f t="shared" si="89"/>
        <v>1.3615699589562318</v>
      </c>
      <c r="K245" s="104">
        <f t="shared" si="90"/>
        <v>0.74594589073405204</v>
      </c>
      <c r="L245" s="102">
        <f t="shared" si="91"/>
        <v>1</v>
      </c>
      <c r="M245" s="103">
        <f t="shared" si="92"/>
        <v>6.0063403017003751E-10</v>
      </c>
      <c r="N245" s="101">
        <f t="shared" si="93"/>
        <v>1</v>
      </c>
      <c r="O245" s="104">
        <f t="shared" si="94"/>
        <v>8.0084537356004989E-11</v>
      </c>
      <c r="P245" s="105">
        <f t="shared" ca="1" si="95"/>
        <v>1.2674891250849323</v>
      </c>
      <c r="Q245" s="106">
        <f t="shared" ca="1" si="96"/>
        <v>0.6889765471827114</v>
      </c>
      <c r="R245" s="107">
        <f t="shared" ca="1" si="97"/>
        <v>-9.0000104842085662</v>
      </c>
      <c r="S245" s="108">
        <f t="shared" ca="1" si="98"/>
        <v>-148.74937481315507</v>
      </c>
      <c r="T245" s="116">
        <f t="shared" ca="1" si="99"/>
        <v>31.250625186844928</v>
      </c>
      <c r="V245" s="72">
        <f t="shared" ca="1" si="100"/>
        <v>14706.75</v>
      </c>
      <c r="W245" s="72">
        <f t="shared" si="101"/>
        <v>216288495.5625</v>
      </c>
      <c r="Y245" s="110">
        <f t="shared" si="102"/>
        <v>43.33981152539674</v>
      </c>
      <c r="Z245" s="111">
        <f t="shared" si="103"/>
        <v>-42.819336951311946</v>
      </c>
      <c r="AA245" s="72">
        <f t="shared" si="104"/>
        <v>137.18066304868805</v>
      </c>
      <c r="AB245" s="110">
        <f t="shared" ca="1" si="105"/>
        <v>-34.838596741771312</v>
      </c>
      <c r="AC245" s="111">
        <f t="shared" ca="1" si="106"/>
        <v>-105.93003786184312</v>
      </c>
      <c r="AD245" s="72">
        <f t="shared" ca="1" si="107"/>
        <v>74.069962138156882</v>
      </c>
    </row>
    <row r="246" spans="1:30">
      <c r="A246" s="118">
        <v>14791</v>
      </c>
      <c r="B246" s="101">
        <f t="shared" ca="1" si="81"/>
        <v>824.58652427746813</v>
      </c>
      <c r="C246" s="102">
        <f t="shared" ca="1" si="82"/>
        <v>1.5695835974867201</v>
      </c>
      <c r="D246" s="102">
        <f t="shared" si="83"/>
        <v>1.0912322242842993</v>
      </c>
      <c r="E246" s="103">
        <f t="shared" si="84"/>
        <v>0.41181652747412317</v>
      </c>
      <c r="F246" s="101">
        <f t="shared" si="85"/>
        <v>5055.6420001125289</v>
      </c>
      <c r="G246" s="104">
        <f t="shared" si="86"/>
        <v>1.5705985279779515</v>
      </c>
      <c r="H246" s="113">
        <f t="shared" si="87"/>
        <v>631.95602884642278</v>
      </c>
      <c r="I246" s="114">
        <f t="shared" si="88"/>
        <v>1.5692139375594438</v>
      </c>
      <c r="J246" s="101">
        <f t="shared" si="89"/>
        <v>1.3651680746202066</v>
      </c>
      <c r="K246" s="104">
        <f t="shared" si="90"/>
        <v>0.74879378774802052</v>
      </c>
      <c r="L246" s="102">
        <f t="shared" si="91"/>
        <v>1</v>
      </c>
      <c r="M246" s="103">
        <f t="shared" si="92"/>
        <v>6.0407485951994997E-10</v>
      </c>
      <c r="N246" s="101">
        <f t="shared" si="93"/>
        <v>1</v>
      </c>
      <c r="O246" s="104">
        <f t="shared" si="94"/>
        <v>8.0543314602659988E-11</v>
      </c>
      <c r="P246" s="105">
        <f t="shared" ca="1" si="95"/>
        <v>1.270237465820842</v>
      </c>
      <c r="Q246" s="106">
        <f t="shared" ca="1" si="96"/>
        <v>0.6919060869040996</v>
      </c>
      <c r="R246" s="107">
        <f t="shared" ca="1" si="97"/>
        <v>-9.0834523412535333</v>
      </c>
      <c r="S246" s="108">
        <f t="shared" ca="1" si="98"/>
        <v>-148.96052046109313</v>
      </c>
      <c r="T246" s="116">
        <f t="shared" ca="1" si="99"/>
        <v>31.039479538906875</v>
      </c>
      <c r="V246" s="72">
        <f t="shared" ca="1" si="100"/>
        <v>14791</v>
      </c>
      <c r="W246" s="72">
        <f t="shared" si="101"/>
        <v>218773681</v>
      </c>
      <c r="Y246" s="110">
        <f t="shared" si="102"/>
        <v>43.316888148813959</v>
      </c>
      <c r="Z246" s="111">
        <f t="shared" si="103"/>
        <v>-42.982054970029097</v>
      </c>
      <c r="AA246" s="72">
        <f t="shared" si="104"/>
        <v>137.01794502997092</v>
      </c>
      <c r="AB246" s="110">
        <f t="shared" ca="1" si="105"/>
        <v>-34.899115222233497</v>
      </c>
      <c r="AC246" s="111">
        <f t="shared" ca="1" si="106"/>
        <v>-105.978465491064</v>
      </c>
      <c r="AD246" s="72">
        <f t="shared" ca="1" si="107"/>
        <v>74.021534508936</v>
      </c>
    </row>
    <row r="247" spans="1:30">
      <c r="A247" s="118">
        <v>14877.25</v>
      </c>
      <c r="B247" s="101">
        <f t="shared" ca="1" si="81"/>
        <v>829.39488635063788</v>
      </c>
      <c r="C247" s="102">
        <f t="shared" ca="1" si="82"/>
        <v>1.5695906282082017</v>
      </c>
      <c r="D247" s="102">
        <f t="shared" si="83"/>
        <v>1.0922542362534613</v>
      </c>
      <c r="E247" s="103">
        <f t="shared" si="84"/>
        <v>0.41395348672116089</v>
      </c>
      <c r="F247" s="101">
        <f t="shared" si="85"/>
        <v>5085.1227049667659</v>
      </c>
      <c r="G247" s="104">
        <f t="shared" si="86"/>
        <v>1.5705996747051705</v>
      </c>
      <c r="H247" s="113">
        <f t="shared" si="87"/>
        <v>635.64111243797242</v>
      </c>
      <c r="I247" s="114">
        <f t="shared" si="88"/>
        <v>1.5692231113547157</v>
      </c>
      <c r="J247" s="101">
        <f t="shared" si="89"/>
        <v>1.3688630140269007</v>
      </c>
      <c r="K247" s="104">
        <f t="shared" si="90"/>
        <v>0.75169375749737621</v>
      </c>
      <c r="L247" s="102">
        <f t="shared" si="91"/>
        <v>1</v>
      </c>
      <c r="M247" s="103">
        <f t="shared" si="92"/>
        <v>6.0759737027876247E-10</v>
      </c>
      <c r="N247" s="101">
        <f t="shared" si="93"/>
        <v>1</v>
      </c>
      <c r="O247" s="104">
        <f t="shared" si="94"/>
        <v>8.1012982703834983E-11</v>
      </c>
      <c r="P247" s="105">
        <f t="shared" ca="1" si="95"/>
        <v>1.2730611627885067</v>
      </c>
      <c r="Q247" s="106">
        <f t="shared" ca="1" si="96"/>
        <v>0.6948927811165978</v>
      </c>
      <c r="R247" s="107">
        <f t="shared" ca="1" si="97"/>
        <v>-9.1685881002138778</v>
      </c>
      <c r="S247" s="108">
        <f t="shared" ca="1" si="98"/>
        <v>-149.17530562928945</v>
      </c>
      <c r="T247" s="116">
        <f t="shared" ca="1" si="99"/>
        <v>30.824694370710546</v>
      </c>
      <c r="V247" s="72">
        <f t="shared" ca="1" si="100"/>
        <v>14877.25</v>
      </c>
      <c r="W247" s="72">
        <f t="shared" si="101"/>
        <v>221332567.5625</v>
      </c>
      <c r="Y247" s="110">
        <f t="shared" si="102"/>
        <v>43.293410709395701</v>
      </c>
      <c r="Z247" s="111">
        <f t="shared" si="103"/>
        <v>-43.147751080275924</v>
      </c>
      <c r="AA247" s="72">
        <f t="shared" si="104"/>
        <v>136.85224891972408</v>
      </c>
      <c r="AB247" s="110">
        <f t="shared" ca="1" si="105"/>
        <v>-34.96077354177558</v>
      </c>
      <c r="AC247" s="111">
        <f t="shared" ca="1" si="106"/>
        <v>-106.02755454901352</v>
      </c>
      <c r="AD247" s="72">
        <f t="shared" ca="1" si="107"/>
        <v>73.972445450986484</v>
      </c>
    </row>
    <row r="248" spans="1:30">
      <c r="A248" s="118">
        <v>14963.5</v>
      </c>
      <c r="B248" s="101">
        <f t="shared" ca="1" si="81"/>
        <v>834.20324846433289</v>
      </c>
      <c r="C248" s="102">
        <f t="shared" ca="1" si="82"/>
        <v>1.5695975778792808</v>
      </c>
      <c r="D248" s="102">
        <f t="shared" si="83"/>
        <v>1.0932812267664311</v>
      </c>
      <c r="E248" s="103">
        <f t="shared" si="84"/>
        <v>0.41608644092234159</v>
      </c>
      <c r="F248" s="101">
        <f t="shared" si="85"/>
        <v>5114.6034098276123</v>
      </c>
      <c r="G248" s="104">
        <f t="shared" si="86"/>
        <v>1.5706008082128595</v>
      </c>
      <c r="H248" s="113">
        <f t="shared" si="87"/>
        <v>639.32619608239986</v>
      </c>
      <c r="I248" s="114">
        <f t="shared" si="88"/>
        <v>1.5692321793942625</v>
      </c>
      <c r="J248" s="101">
        <f t="shared" si="89"/>
        <v>1.3725694032953077</v>
      </c>
      <c r="K248" s="104">
        <f t="shared" si="90"/>
        <v>0.75457808964844786</v>
      </c>
      <c r="L248" s="102">
        <f t="shared" si="91"/>
        <v>1</v>
      </c>
      <c r="M248" s="103">
        <f t="shared" si="92"/>
        <v>6.1111988103757497E-10</v>
      </c>
      <c r="N248" s="101">
        <f t="shared" si="93"/>
        <v>1</v>
      </c>
      <c r="O248" s="104">
        <f t="shared" si="94"/>
        <v>8.1482650805009992E-11</v>
      </c>
      <c r="P248" s="105">
        <f t="shared" ca="1" si="95"/>
        <v>1.2758950255898609</v>
      </c>
      <c r="Q248" s="106">
        <f t="shared" ca="1" si="96"/>
        <v>0.69786697837953382</v>
      </c>
      <c r="R248" s="107">
        <f t="shared" ca="1" si="97"/>
        <v>-9.2534356137236653</v>
      </c>
      <c r="S248" s="108">
        <f t="shared" ca="1" si="98"/>
        <v>-149.38870893694585</v>
      </c>
      <c r="T248" s="116">
        <f t="shared" ca="1" si="99"/>
        <v>30.611291063054153</v>
      </c>
      <c r="V248" s="72">
        <f t="shared" ca="1" si="100"/>
        <v>14963.5</v>
      </c>
      <c r="W248" s="72">
        <f t="shared" si="101"/>
        <v>223906332.25</v>
      </c>
      <c r="Y248" s="110">
        <f t="shared" si="102"/>
        <v>43.269924101251448</v>
      </c>
      <c r="Z248" s="111">
        <f t="shared" si="103"/>
        <v>-43.312556524071759</v>
      </c>
      <c r="AA248" s="72">
        <f t="shared" si="104"/>
        <v>136.68744347592823</v>
      </c>
      <c r="AB248" s="110">
        <f t="shared" ca="1" si="105"/>
        <v>-35.02213444714112</v>
      </c>
      <c r="AC248" s="111">
        <f t="shared" ca="1" si="106"/>
        <v>-106.07615241287411</v>
      </c>
      <c r="AD248" s="72">
        <f t="shared" ca="1" si="107"/>
        <v>73.923847587125891</v>
      </c>
    </row>
    <row r="249" spans="1:30">
      <c r="A249" s="118">
        <v>15049.75</v>
      </c>
      <c r="B249" s="101">
        <f t="shared" ca="1" si="81"/>
        <v>839.01161061785638</v>
      </c>
      <c r="C249" s="102">
        <f t="shared" ca="1" si="82"/>
        <v>1.5696044478934519</v>
      </c>
      <c r="D249" s="102">
        <f t="shared" si="83"/>
        <v>1.0943131818064242</v>
      </c>
      <c r="E249" s="103">
        <f t="shared" si="84"/>
        <v>0.41821538197328223</v>
      </c>
      <c r="F249" s="101">
        <f t="shared" si="85"/>
        <v>5144.0841146949542</v>
      </c>
      <c r="G249" s="104">
        <f t="shared" si="86"/>
        <v>1.5706019287283017</v>
      </c>
      <c r="H249" s="113">
        <f t="shared" si="87"/>
        <v>643.01127977879605</v>
      </c>
      <c r="I249" s="114">
        <f t="shared" si="88"/>
        <v>1.569241143496334</v>
      </c>
      <c r="J249" s="101">
        <f t="shared" si="89"/>
        <v>1.3762871499208011</v>
      </c>
      <c r="K249" s="104">
        <f t="shared" si="90"/>
        <v>0.75744686274067252</v>
      </c>
      <c r="L249" s="102">
        <f t="shared" si="91"/>
        <v>1</v>
      </c>
      <c r="M249" s="103">
        <f t="shared" si="92"/>
        <v>6.1464239179638747E-10</v>
      </c>
      <c r="N249" s="101">
        <f t="shared" si="93"/>
        <v>1</v>
      </c>
      <c r="O249" s="104">
        <f t="shared" si="94"/>
        <v>8.1952318906184987E-11</v>
      </c>
      <c r="P249" s="105">
        <f t="shared" ca="1" si="95"/>
        <v>1.27873898753659</v>
      </c>
      <c r="Q249" s="106">
        <f t="shared" ca="1" si="96"/>
        <v>0.70082871729830765</v>
      </c>
      <c r="R249" s="107">
        <f t="shared" ca="1" si="97"/>
        <v>-9.3379968929797919</v>
      </c>
      <c r="S249" s="108">
        <f t="shared" ca="1" si="98"/>
        <v>-149.6007375489998</v>
      </c>
      <c r="T249" s="116">
        <f t="shared" ca="1" si="99"/>
        <v>30.399262451000197</v>
      </c>
      <c r="V249" s="72">
        <f t="shared" ca="1" si="100"/>
        <v>15049.75</v>
      </c>
      <c r="W249" s="72">
        <f t="shared" si="101"/>
        <v>226494975.0625</v>
      </c>
      <c r="Y249" s="110">
        <f t="shared" si="102"/>
        <v>43.246429153257893</v>
      </c>
      <c r="Z249" s="111">
        <f t="shared" si="103"/>
        <v>-43.4764757102392</v>
      </c>
      <c r="AA249" s="72">
        <f t="shared" si="104"/>
        <v>136.52352428976081</v>
      </c>
      <c r="AB249" s="110">
        <f t="shared" ca="1" si="105"/>
        <v>-35.083200778403686</v>
      </c>
      <c r="AC249" s="111">
        <f t="shared" ca="1" si="106"/>
        <v>-106.12426183876062</v>
      </c>
      <c r="AD249" s="72">
        <f t="shared" ca="1" si="107"/>
        <v>73.875738161239383</v>
      </c>
    </row>
    <row r="250" spans="1:30">
      <c r="A250" s="118">
        <v>15136</v>
      </c>
      <c r="B250" s="101">
        <f t="shared" ca="1" si="81"/>
        <v>843.81997281052747</v>
      </c>
      <c r="C250" s="102">
        <f t="shared" ca="1" si="82"/>
        <v>1.569611239612448</v>
      </c>
      <c r="D250" s="102">
        <f t="shared" si="83"/>
        <v>1.0953500873418487</v>
      </c>
      <c r="E250" s="103">
        <f t="shared" si="84"/>
        <v>0.42034030194557948</v>
      </c>
      <c r="F250" s="101">
        <f t="shared" si="85"/>
        <v>5173.5648195686808</v>
      </c>
      <c r="G250" s="104">
        <f t="shared" si="86"/>
        <v>1.5706030364735992</v>
      </c>
      <c r="H250" s="113">
        <f t="shared" si="87"/>
        <v>646.69636352627265</v>
      </c>
      <c r="I250" s="114">
        <f t="shared" si="88"/>
        <v>1.5692500054377365</v>
      </c>
      <c r="J250" s="101">
        <f t="shared" si="89"/>
        <v>1.3800161621136413</v>
      </c>
      <c r="K250" s="104">
        <f t="shared" si="90"/>
        <v>0.76030015549285435</v>
      </c>
      <c r="L250" s="102">
        <f t="shared" si="91"/>
        <v>1</v>
      </c>
      <c r="M250" s="103">
        <f t="shared" si="92"/>
        <v>6.1816490255519997E-10</v>
      </c>
      <c r="N250" s="101">
        <f t="shared" si="93"/>
        <v>1</v>
      </c>
      <c r="O250" s="104">
        <f t="shared" si="94"/>
        <v>8.2421987007359983E-11</v>
      </c>
      <c r="P250" s="105">
        <f t="shared" ca="1" si="95"/>
        <v>1.2815929822977061</v>
      </c>
      <c r="Q250" s="106">
        <f t="shared" ca="1" si="96"/>
        <v>0.70377803691752783</v>
      </c>
      <c r="R250" s="107">
        <f t="shared" ca="1" si="97"/>
        <v>-9.4222739117071317</v>
      </c>
      <c r="S250" s="108">
        <f t="shared" ca="1" si="98"/>
        <v>-149.81139865600545</v>
      </c>
      <c r="T250" s="116">
        <f t="shared" ca="1" si="99"/>
        <v>30.188601343994549</v>
      </c>
      <c r="V250" s="72">
        <f t="shared" ca="1" si="100"/>
        <v>15136</v>
      </c>
      <c r="W250" s="72">
        <f t="shared" si="101"/>
        <v>229098496</v>
      </c>
      <c r="Y250" s="110">
        <f t="shared" si="102"/>
        <v>43.222926681724971</v>
      </c>
      <c r="Z250" s="111">
        <f t="shared" si="103"/>
        <v>-43.639513059955547</v>
      </c>
      <c r="AA250" s="72">
        <f t="shared" si="104"/>
        <v>136.36048694004444</v>
      </c>
      <c r="AB250" s="110">
        <f t="shared" ca="1" si="105"/>
        <v>-35.143975325598099</v>
      </c>
      <c r="AC250" s="111">
        <f t="shared" ca="1" si="106"/>
        <v>-106.1718855960499</v>
      </c>
      <c r="AD250" s="72">
        <f t="shared" ca="1" si="107"/>
        <v>73.828114403950096</v>
      </c>
    </row>
    <row r="251" spans="1:30">
      <c r="A251" s="118">
        <v>15224</v>
      </c>
      <c r="B251" s="101">
        <f t="shared" ca="1" si="81"/>
        <v>848.72589601488039</v>
      </c>
      <c r="C251" s="102">
        <f t="shared" ca="1" si="82"/>
        <v>1.569618089821017</v>
      </c>
      <c r="D251" s="102">
        <f t="shared" si="83"/>
        <v>1.0964131191479571</v>
      </c>
      <c r="E251" s="103">
        <f t="shared" si="84"/>
        <v>0.42250418390524053</v>
      </c>
      <c r="F251" s="101">
        <f t="shared" si="85"/>
        <v>5203.6436836781986</v>
      </c>
      <c r="G251" s="104">
        <f t="shared" si="86"/>
        <v>1.5706041537586659</v>
      </c>
      <c r="H251" s="113">
        <f t="shared" si="87"/>
        <v>650.45621714066021</v>
      </c>
      <c r="I251" s="114">
        <f t="shared" si="88"/>
        <v>1.5692589436973525</v>
      </c>
      <c r="J251" s="101">
        <f t="shared" si="89"/>
        <v>1.3838323516760549</v>
      </c>
      <c r="K251" s="104">
        <f t="shared" si="90"/>
        <v>0.76319546832150598</v>
      </c>
      <c r="L251" s="102">
        <f t="shared" si="91"/>
        <v>1</v>
      </c>
      <c r="M251" s="103">
        <f t="shared" si="92"/>
        <v>6.2175888454679997E-10</v>
      </c>
      <c r="N251" s="101">
        <f t="shared" si="93"/>
        <v>1</v>
      </c>
      <c r="O251" s="104">
        <f t="shared" si="94"/>
        <v>8.290118460623999E-11</v>
      </c>
      <c r="P251" s="105">
        <f t="shared" ca="1" si="95"/>
        <v>1.2845151559731356</v>
      </c>
      <c r="Q251" s="106">
        <f t="shared" ca="1" si="96"/>
        <v>0.70677443892661929</v>
      </c>
      <c r="R251" s="107">
        <f t="shared" ca="1" si="97"/>
        <v>-9.5079699385678325</v>
      </c>
      <c r="S251" s="108">
        <f t="shared" ca="1" si="98"/>
        <v>-150.02493212592165</v>
      </c>
      <c r="T251" s="116">
        <f t="shared" ca="1" si="99"/>
        <v>29.975067874078348</v>
      </c>
      <c r="V251" s="72">
        <f t="shared" ca="1" si="100"/>
        <v>15224</v>
      </c>
      <c r="W251" s="72">
        <f t="shared" si="101"/>
        <v>231770176</v>
      </c>
      <c r="Y251" s="110">
        <f t="shared" si="102"/>
        <v>43.198940428416115</v>
      </c>
      <c r="Z251" s="111">
        <f t="shared" si="103"/>
        <v>-43.804954156584586</v>
      </c>
      <c r="AA251" s="72">
        <f t="shared" si="104"/>
        <v>136.19504584341541</v>
      </c>
      <c r="AB251" s="110">
        <f t="shared" ca="1" si="105"/>
        <v>-35.205685099149953</v>
      </c>
      <c r="AC251" s="111">
        <f t="shared" ca="1" si="106"/>
        <v>-106.21997796933705</v>
      </c>
      <c r="AD251" s="72">
        <f t="shared" ca="1" si="107"/>
        <v>73.780022030662948</v>
      </c>
    </row>
    <row r="252" spans="1:30">
      <c r="A252" s="118">
        <v>15312</v>
      </c>
      <c r="B252" s="101">
        <f t="shared" ca="1" si="81"/>
        <v>853.6318192586026</v>
      </c>
      <c r="C252" s="102">
        <f t="shared" ca="1" si="82"/>
        <v>1.5696248612916655</v>
      </c>
      <c r="D252" s="102">
        <f t="shared" si="83"/>
        <v>1.0974812748231904</v>
      </c>
      <c r="E252" s="103">
        <f t="shared" si="84"/>
        <v>0.4246638638384741</v>
      </c>
      <c r="F252" s="101">
        <f t="shared" si="85"/>
        <v>5233.7225477941374</v>
      </c>
      <c r="G252" s="104">
        <f t="shared" si="86"/>
        <v>1.5706052582013759</v>
      </c>
      <c r="H252" s="113">
        <f t="shared" si="87"/>
        <v>654.21607080641706</v>
      </c>
      <c r="I252" s="114">
        <f t="shared" si="88"/>
        <v>1.5692677792185934</v>
      </c>
      <c r="J252" s="101">
        <f t="shared" si="89"/>
        <v>1.3876600778175985</v>
      </c>
      <c r="K252" s="104">
        <f t="shared" si="90"/>
        <v>0.7660748322957629</v>
      </c>
      <c r="L252" s="102">
        <f t="shared" si="91"/>
        <v>1</v>
      </c>
      <c r="M252" s="103">
        <f t="shared" si="92"/>
        <v>6.2535286653839997E-10</v>
      </c>
      <c r="N252" s="101">
        <f t="shared" si="93"/>
        <v>1</v>
      </c>
      <c r="O252" s="104">
        <f t="shared" si="94"/>
        <v>8.3380382205119984E-11</v>
      </c>
      <c r="P252" s="105">
        <f t="shared" ca="1" si="95"/>
        <v>1.2874476353622915</v>
      </c>
      <c r="Q252" s="106">
        <f t="shared" ca="1" si="96"/>
        <v>0.70975799600508427</v>
      </c>
      <c r="R252" s="107">
        <f t="shared" ca="1" si="97"/>
        <v>-9.5933740893406334</v>
      </c>
      <c r="S252" s="108">
        <f t="shared" ca="1" si="98"/>
        <v>-150.23705723116987</v>
      </c>
      <c r="T252" s="116">
        <f t="shared" ca="1" si="99"/>
        <v>29.762942768830129</v>
      </c>
      <c r="V252" s="72">
        <f t="shared" ca="1" si="100"/>
        <v>15312</v>
      </c>
      <c r="W252" s="72">
        <f t="shared" si="101"/>
        <v>234457344</v>
      </c>
      <c r="Y252" s="110">
        <f t="shared" si="102"/>
        <v>43.174948020501517</v>
      </c>
      <c r="Z252" s="111">
        <f t="shared" si="103"/>
        <v>-43.96948660183017</v>
      </c>
      <c r="AA252" s="72">
        <f t="shared" si="104"/>
        <v>136.03051339816983</v>
      </c>
      <c r="AB252" s="110">
        <f t="shared" ca="1" si="105"/>
        <v>-35.267096842008158</v>
      </c>
      <c r="AC252" s="111">
        <f t="shared" ca="1" si="106"/>
        <v>-106.26757062933973</v>
      </c>
      <c r="AD252" s="72">
        <f t="shared" ca="1" si="107"/>
        <v>73.73242937066027</v>
      </c>
    </row>
    <row r="253" spans="1:30">
      <c r="A253" s="118">
        <v>15400</v>
      </c>
      <c r="B253" s="101">
        <f t="shared" ca="1" si="81"/>
        <v>858.53774254101859</v>
      </c>
      <c r="C253" s="102">
        <f t="shared" ca="1" si="82"/>
        <v>1.5696315553741833</v>
      </c>
      <c r="D253" s="102">
        <f t="shared" si="83"/>
        <v>1.0985545394212997</v>
      </c>
      <c r="E253" s="103">
        <f t="shared" si="84"/>
        <v>0.42681933388553789</v>
      </c>
      <c r="F253" s="101">
        <f t="shared" si="85"/>
        <v>5263.8014119163872</v>
      </c>
      <c r="G253" s="104">
        <f t="shared" si="86"/>
        <v>1.5706063500218841</v>
      </c>
      <c r="H253" s="113">
        <f t="shared" si="87"/>
        <v>657.97592452266247</v>
      </c>
      <c r="I253" s="114">
        <f t="shared" si="88"/>
        <v>1.5692765137626834</v>
      </c>
      <c r="J253" s="101">
        <f t="shared" si="89"/>
        <v>1.3914992453340576</v>
      </c>
      <c r="K253" s="104">
        <f t="shared" si="90"/>
        <v>0.76893833148391055</v>
      </c>
      <c r="L253" s="102">
        <f t="shared" si="91"/>
        <v>1</v>
      </c>
      <c r="M253" s="103">
        <f t="shared" si="92"/>
        <v>6.2894684852999998E-10</v>
      </c>
      <c r="N253" s="101">
        <f t="shared" si="93"/>
        <v>1</v>
      </c>
      <c r="O253" s="104">
        <f t="shared" si="94"/>
        <v>8.3859579803999992E-11</v>
      </c>
      <c r="P253" s="105">
        <f t="shared" ca="1" si="95"/>
        <v>1.2903903511719468</v>
      </c>
      <c r="Q253" s="106">
        <f t="shared" ca="1" si="96"/>
        <v>0.71272875094848698</v>
      </c>
      <c r="R253" s="107">
        <f t="shared" ca="1" si="97"/>
        <v>-9.678488347038078</v>
      </c>
      <c r="S253" s="108">
        <f t="shared" ca="1" si="98"/>
        <v>-150.44778167988395</v>
      </c>
      <c r="T253" s="116">
        <f t="shared" ca="1" si="99"/>
        <v>29.552218320116054</v>
      </c>
      <c r="V253" s="72">
        <f t="shared" ca="1" si="100"/>
        <v>15400</v>
      </c>
      <c r="W253" s="72">
        <f t="shared" si="101"/>
        <v>237160000</v>
      </c>
      <c r="Y253" s="110">
        <f t="shared" si="102"/>
        <v>43.1509502853173</v>
      </c>
      <c r="Z253" s="111">
        <f t="shared" si="103"/>
        <v>-44.133115124153434</v>
      </c>
      <c r="AA253" s="72">
        <f t="shared" si="104"/>
        <v>135.86688487584655</v>
      </c>
      <c r="AB253" s="110">
        <f t="shared" ca="1" si="105"/>
        <v>-35.328213364521375</v>
      </c>
      <c r="AC253" s="111">
        <f t="shared" ca="1" si="106"/>
        <v>-106.3146665557305</v>
      </c>
      <c r="AD253" s="72">
        <f t="shared" ca="1" si="107"/>
        <v>73.685333444269503</v>
      </c>
    </row>
    <row r="254" spans="1:30">
      <c r="A254" s="118">
        <v>15488</v>
      </c>
      <c r="B254" s="101">
        <f t="shared" ca="1" si="81"/>
        <v>863.4436658614693</v>
      </c>
      <c r="C254" s="102">
        <f t="shared" ca="1" si="82"/>
        <v>1.5696381733876845</v>
      </c>
      <c r="D254" s="102">
        <f t="shared" si="83"/>
        <v>1.0996328979830399</v>
      </c>
      <c r="E254" s="103">
        <f t="shared" si="84"/>
        <v>0.428970586373775</v>
      </c>
      <c r="F254" s="101">
        <f t="shared" si="85"/>
        <v>5293.8802760448407</v>
      </c>
      <c r="G254" s="104">
        <f t="shared" si="86"/>
        <v>1.5706074294353414</v>
      </c>
      <c r="H254" s="113">
        <f t="shared" si="87"/>
        <v>661.73577828853593</v>
      </c>
      <c r="I254" s="114">
        <f t="shared" si="88"/>
        <v>1.5692851490508186</v>
      </c>
      <c r="J254" s="101">
        <f t="shared" si="89"/>
        <v>1.395349759785985</v>
      </c>
      <c r="K254" s="104">
        <f t="shared" si="90"/>
        <v>0.77178605007109669</v>
      </c>
      <c r="L254" s="102">
        <f t="shared" si="91"/>
        <v>1</v>
      </c>
      <c r="M254" s="103">
        <f t="shared" si="92"/>
        <v>6.3254083052159998E-10</v>
      </c>
      <c r="N254" s="101">
        <f t="shared" si="93"/>
        <v>1</v>
      </c>
      <c r="O254" s="104">
        <f t="shared" si="94"/>
        <v>8.4338777402879986E-11</v>
      </c>
      <c r="P254" s="105">
        <f t="shared" ca="1" si="95"/>
        <v>1.2933432345009297</v>
      </c>
      <c r="Q254" s="106">
        <f t="shared" ca="1" si="96"/>
        <v>0.71568674696978063</v>
      </c>
      <c r="R254" s="107">
        <f t="shared" ca="1" si="97"/>
        <v>-9.7633146588536963</v>
      </c>
      <c r="S254" s="108">
        <f t="shared" ca="1" si="98"/>
        <v>-150.65711320033782</v>
      </c>
      <c r="T254" s="116">
        <f t="shared" ca="1" si="99"/>
        <v>29.342886799662182</v>
      </c>
      <c r="V254" s="72">
        <f t="shared" ca="1" si="100"/>
        <v>15488</v>
      </c>
      <c r="W254" s="72">
        <f t="shared" si="101"/>
        <v>239878144</v>
      </c>
      <c r="Y254" s="110">
        <f t="shared" si="102"/>
        <v>43.126948037103581</v>
      </c>
      <c r="Z254" s="111">
        <f t="shared" si="103"/>
        <v>-44.295844460718065</v>
      </c>
      <c r="AA254" s="72">
        <f t="shared" si="104"/>
        <v>135.70415553928194</v>
      </c>
      <c r="AB254" s="110">
        <f t="shared" ca="1" si="105"/>
        <v>-35.389037428123281</v>
      </c>
      <c r="AC254" s="111">
        <f t="shared" ca="1" si="106"/>
        <v>-106.36126873961975</v>
      </c>
      <c r="AD254" s="72">
        <f t="shared" ca="1" si="107"/>
        <v>73.638731260380254</v>
      </c>
    </row>
    <row r="255" spans="1:30">
      <c r="A255" s="118">
        <v>15578.25</v>
      </c>
      <c r="B255" s="101">
        <f t="shared" ca="1" si="81"/>
        <v>868.47502476019372</v>
      </c>
      <c r="C255" s="102">
        <f t="shared" ca="1" si="82"/>
        <v>1.5696448829508476</v>
      </c>
      <c r="D255" s="102">
        <f t="shared" si="83"/>
        <v>1.1007441035231282</v>
      </c>
      <c r="E255" s="103">
        <f t="shared" si="84"/>
        <v>0.43117245394527964</v>
      </c>
      <c r="F255" s="101">
        <f t="shared" si="85"/>
        <v>5324.7282020465473</v>
      </c>
      <c r="G255" s="104">
        <f t="shared" si="86"/>
        <v>1.5706085237807457</v>
      </c>
      <c r="H255" s="113">
        <f t="shared" si="87"/>
        <v>665.59176472977151</v>
      </c>
      <c r="I255" s="114">
        <f t="shared" si="88"/>
        <v>1.569293903794488</v>
      </c>
      <c r="J255" s="101">
        <f t="shared" si="89"/>
        <v>1.3993104125916433</v>
      </c>
      <c r="K255" s="104">
        <f t="shared" si="90"/>
        <v>0.77469027695420078</v>
      </c>
      <c r="L255" s="102">
        <f t="shared" si="91"/>
        <v>1</v>
      </c>
      <c r="M255" s="103">
        <f t="shared" si="92"/>
        <v>6.3622670409821244E-10</v>
      </c>
      <c r="N255" s="101">
        <f t="shared" si="93"/>
        <v>1</v>
      </c>
      <c r="O255" s="104">
        <f t="shared" si="94"/>
        <v>8.4830227213094988E-11</v>
      </c>
      <c r="P255" s="105">
        <f t="shared" ca="1" si="95"/>
        <v>1.2963821067161692</v>
      </c>
      <c r="Q255" s="106">
        <f t="shared" ca="1" si="96"/>
        <v>0.71870716683679425</v>
      </c>
      <c r="R255" s="107">
        <f t="shared" ca="1" si="97"/>
        <v>-9.8500127450114476</v>
      </c>
      <c r="S255" s="108">
        <f t="shared" ca="1" si="98"/>
        <v>-150.87035825655383</v>
      </c>
      <c r="T255" s="116">
        <f t="shared" ca="1" si="99"/>
        <v>29.129641743446172</v>
      </c>
      <c r="V255" s="72">
        <f t="shared" ca="1" si="100"/>
        <v>15578.25</v>
      </c>
      <c r="W255" s="72">
        <f t="shared" si="101"/>
        <v>242681873.0625</v>
      </c>
      <c r="Y255" s="110">
        <f t="shared" si="102"/>
        <v>43.102328246731133</v>
      </c>
      <c r="Z255" s="111">
        <f t="shared" si="103"/>
        <v>-44.461805495385022</v>
      </c>
      <c r="AA255" s="72">
        <f t="shared" si="104"/>
        <v>135.53819450461498</v>
      </c>
      <c r="AB255" s="110">
        <f t="shared" ca="1" si="105"/>
        <v>-35.451115723908579</v>
      </c>
      <c r="AC255" s="111">
        <f t="shared" ca="1" si="106"/>
        <v>-106.40855276116881</v>
      </c>
      <c r="AD255" s="72">
        <f t="shared" ca="1" si="107"/>
        <v>73.591447238831194</v>
      </c>
    </row>
    <row r="256" spans="1:30">
      <c r="A256" s="118">
        <v>15668.5</v>
      </c>
      <c r="B256" s="101">
        <f t="shared" ca="1" si="81"/>
        <v>873.50638369756518</v>
      </c>
      <c r="C256" s="102">
        <f t="shared" ca="1" si="82"/>
        <v>1.5696515152204245</v>
      </c>
      <c r="D256" s="102">
        <f t="shared" si="83"/>
        <v>1.101860634934781</v>
      </c>
      <c r="E256" s="103">
        <f t="shared" si="84"/>
        <v>0.4333698697835075</v>
      </c>
      <c r="F256" s="101">
        <f t="shared" si="85"/>
        <v>5355.5761280545585</v>
      </c>
      <c r="G256" s="104">
        <f t="shared" si="86"/>
        <v>1.5706096055193699</v>
      </c>
      <c r="H256" s="113">
        <f t="shared" si="87"/>
        <v>669.44775122143426</v>
      </c>
      <c r="I256" s="114">
        <f t="shared" si="88"/>
        <v>1.5693025576843624</v>
      </c>
      <c r="J256" s="101">
        <f t="shared" si="89"/>
        <v>1.4032828012469885</v>
      </c>
      <c r="K256" s="104">
        <f t="shared" si="90"/>
        <v>0.77757808560964403</v>
      </c>
      <c r="L256" s="102">
        <f t="shared" si="91"/>
        <v>1</v>
      </c>
      <c r="M256" s="103">
        <f t="shared" si="92"/>
        <v>6.3991257767482501E-10</v>
      </c>
      <c r="N256" s="101">
        <f t="shared" si="93"/>
        <v>1</v>
      </c>
      <c r="O256" s="104">
        <f t="shared" si="94"/>
        <v>8.532167702330999E-11</v>
      </c>
      <c r="P256" s="105">
        <f t="shared" ca="1" si="95"/>
        <v>1.2994315275049397</v>
      </c>
      <c r="Q256" s="106">
        <f t="shared" ca="1" si="96"/>
        <v>0.72171426034545949</v>
      </c>
      <c r="R256" s="107">
        <f t="shared" ca="1" si="97"/>
        <v>-9.936412010144565</v>
      </c>
      <c r="S256" s="108">
        <f t="shared" ca="1" si="98"/>
        <v>-151.08215476664</v>
      </c>
      <c r="T256" s="116">
        <f t="shared" ca="1" si="99"/>
        <v>28.917845233359998</v>
      </c>
      <c r="V256" s="72">
        <f t="shared" ca="1" si="100"/>
        <v>15668.5</v>
      </c>
      <c r="W256" s="72">
        <f t="shared" si="101"/>
        <v>245501892.25</v>
      </c>
      <c r="Y256" s="110">
        <f t="shared" si="102"/>
        <v>43.077705402626606</v>
      </c>
      <c r="Z256" s="111">
        <f t="shared" si="103"/>
        <v>-44.62683089108031</v>
      </c>
      <c r="AA256" s="72">
        <f t="shared" si="104"/>
        <v>135.37316910891968</v>
      </c>
      <c r="AB256" s="110">
        <f t="shared" ca="1" si="105"/>
        <v>-35.512892144937169</v>
      </c>
      <c r="AC256" s="111">
        <f t="shared" ca="1" si="106"/>
        <v>-106.45532387555964</v>
      </c>
      <c r="AD256" s="72">
        <f t="shared" ca="1" si="107"/>
        <v>73.544676124440358</v>
      </c>
    </row>
    <row r="257" spans="1:30">
      <c r="A257" s="118">
        <v>15758.75</v>
      </c>
      <c r="B257" s="101">
        <f t="shared" ca="1" si="81"/>
        <v>878.53774267291931</v>
      </c>
      <c r="C257" s="102">
        <f t="shared" ca="1" si="82"/>
        <v>1.5696580715243889</v>
      </c>
      <c r="D257" s="102">
        <f t="shared" si="83"/>
        <v>1.102982476044116</v>
      </c>
      <c r="E257" s="103">
        <f t="shared" si="84"/>
        <v>0.43556282621895331</v>
      </c>
      <c r="F257" s="101">
        <f t="shared" si="85"/>
        <v>5386.4240540687651</v>
      </c>
      <c r="G257" s="104">
        <f t="shared" si="86"/>
        <v>1.5706106748678099</v>
      </c>
      <c r="H257" s="113">
        <f t="shared" si="87"/>
        <v>673.30373776265753</v>
      </c>
      <c r="I257" s="114">
        <f t="shared" si="88"/>
        <v>1.5693111124531991</v>
      </c>
      <c r="J257" s="101">
        <f t="shared" si="89"/>
        <v>1.4072668263692589</v>
      </c>
      <c r="K257" s="104">
        <f t="shared" si="90"/>
        <v>0.78044956710987212</v>
      </c>
      <c r="L257" s="102">
        <f t="shared" si="91"/>
        <v>1</v>
      </c>
      <c r="M257" s="103">
        <f t="shared" si="92"/>
        <v>6.4359845125143747E-10</v>
      </c>
      <c r="N257" s="101">
        <f t="shared" si="93"/>
        <v>1</v>
      </c>
      <c r="O257" s="104">
        <f t="shared" si="94"/>
        <v>8.5813126833524991E-11</v>
      </c>
      <c r="P257" s="105">
        <f t="shared" ca="1" si="95"/>
        <v>1.3024914238356964</v>
      </c>
      <c r="Q257" s="106">
        <f t="shared" ca="1" si="96"/>
        <v>0.72470807538337989</v>
      </c>
      <c r="R257" s="107">
        <f t="shared" ca="1" si="97"/>
        <v>-10.022514444433806</v>
      </c>
      <c r="S257" s="108">
        <f t="shared" ca="1" si="98"/>
        <v>-151.29251112106857</v>
      </c>
      <c r="T257" s="116">
        <f t="shared" ca="1" si="99"/>
        <v>28.707488878931429</v>
      </c>
      <c r="V257" s="72">
        <f t="shared" ca="1" si="100"/>
        <v>15758.75</v>
      </c>
      <c r="W257" s="72">
        <f t="shared" si="101"/>
        <v>248338201.5625</v>
      </c>
      <c r="Y257" s="110">
        <f t="shared" si="102"/>
        <v>43.053080341059967</v>
      </c>
      <c r="Z257" s="111">
        <f t="shared" si="103"/>
        <v>-44.790925779001142</v>
      </c>
      <c r="AA257" s="72">
        <f t="shared" si="104"/>
        <v>135.20907422099884</v>
      </c>
      <c r="AB257" s="110">
        <f t="shared" ca="1" si="105"/>
        <v>-35.574369517659768</v>
      </c>
      <c r="AC257" s="111">
        <f t="shared" ca="1" si="106"/>
        <v>-106.50158534206741</v>
      </c>
      <c r="AD257" s="72">
        <f t="shared" ca="1" si="107"/>
        <v>73.498414657932585</v>
      </c>
    </row>
    <row r="258" spans="1:30">
      <c r="A258" s="118">
        <v>15849</v>
      </c>
      <c r="B258" s="101">
        <f t="shared" ca="1" si="81"/>
        <v>883.56910168560728</v>
      </c>
      <c r="C258" s="102">
        <f t="shared" ca="1" si="82"/>
        <v>1.569664553160466</v>
      </c>
      <c r="D258" s="102">
        <f t="shared" si="83"/>
        <v>1.1041096106662258</v>
      </c>
      <c r="E258" s="103">
        <f t="shared" si="84"/>
        <v>0.43775131578477167</v>
      </c>
      <c r="F258" s="101">
        <f t="shared" si="85"/>
        <v>5417.2719800890591</v>
      </c>
      <c r="G258" s="104">
        <f t="shared" si="86"/>
        <v>1.5706117320377284</v>
      </c>
      <c r="H258" s="113">
        <f t="shared" si="87"/>
        <v>677.15972435259459</v>
      </c>
      <c r="I258" s="114">
        <f t="shared" si="88"/>
        <v>1.569319569794287</v>
      </c>
      <c r="J258" s="101">
        <f t="shared" si="89"/>
        <v>1.4112623894084428</v>
      </c>
      <c r="K258" s="104">
        <f t="shared" si="90"/>
        <v>0.78330481257745277</v>
      </c>
      <c r="L258" s="102">
        <f t="shared" si="91"/>
        <v>1</v>
      </c>
      <c r="M258" s="103">
        <f t="shared" si="92"/>
        <v>6.4728432482804993E-10</v>
      </c>
      <c r="N258" s="101">
        <f t="shared" si="93"/>
        <v>1</v>
      </c>
      <c r="O258" s="104">
        <f t="shared" si="94"/>
        <v>8.6304576643739993E-11</v>
      </c>
      <c r="P258" s="105">
        <f t="shared" ca="1" si="95"/>
        <v>1.3055617231143226</v>
      </c>
      <c r="Q258" s="106">
        <f t="shared" ca="1" si="96"/>
        <v>0.72768866023753032</v>
      </c>
      <c r="R258" s="107">
        <f t="shared" ca="1" si="97"/>
        <v>-10.108322003147613</v>
      </c>
      <c r="S258" s="108">
        <f t="shared" ca="1" si="98"/>
        <v>-151.5014357247</v>
      </c>
      <c r="T258" s="116">
        <f t="shared" ca="1" si="99"/>
        <v>28.498564275299998</v>
      </c>
      <c r="V258" s="72">
        <f t="shared" ca="1" si="100"/>
        <v>15849</v>
      </c>
      <c r="W258" s="72">
        <f t="shared" si="101"/>
        <v>251190801</v>
      </c>
      <c r="Y258" s="110">
        <f t="shared" si="102"/>
        <v>43.028453884413139</v>
      </c>
      <c r="Z258" s="111">
        <f t="shared" si="103"/>
        <v>-44.954095295195145</v>
      </c>
      <c r="AA258" s="72">
        <f t="shared" si="104"/>
        <v>135.04590470480485</v>
      </c>
      <c r="AB258" s="110">
        <f t="shared" ca="1" si="105"/>
        <v>-35.635550619726757</v>
      </c>
      <c r="AC258" s="111">
        <f t="shared" ca="1" si="106"/>
        <v>-106.54734042950489</v>
      </c>
      <c r="AD258" s="72">
        <f t="shared" ca="1" si="107"/>
        <v>73.452659570495115</v>
      </c>
    </row>
    <row r="259" spans="1:30">
      <c r="A259" s="118">
        <v>15941.25</v>
      </c>
      <c r="B259" s="101">
        <f t="shared" ca="1" si="81"/>
        <v>888.71195899688837</v>
      </c>
      <c r="C259" s="102">
        <f t="shared" ca="1" si="82"/>
        <v>1.5696711025859749</v>
      </c>
      <c r="D259" s="102">
        <f t="shared" si="83"/>
        <v>1.1052671772540215</v>
      </c>
      <c r="E259" s="103">
        <f t="shared" si="84"/>
        <v>0.43998367972175767</v>
      </c>
      <c r="F259" s="101">
        <f t="shared" si="85"/>
        <v>5448.8035166644659</v>
      </c>
      <c r="G259" s="104">
        <f t="shared" si="86"/>
        <v>1.5706128002642454</v>
      </c>
      <c r="H259" s="113">
        <f t="shared" si="87"/>
        <v>681.1011622183853</v>
      </c>
      <c r="I259" s="114">
        <f t="shared" si="88"/>
        <v>1.569328115588184</v>
      </c>
      <c r="J259" s="101">
        <f t="shared" si="89"/>
        <v>1.4153583193282795</v>
      </c>
      <c r="K259" s="104">
        <f t="shared" si="90"/>
        <v>0.78620664736391965</v>
      </c>
      <c r="L259" s="102">
        <f t="shared" si="91"/>
        <v>1</v>
      </c>
      <c r="M259" s="103">
        <f t="shared" si="92"/>
        <v>6.5105187981356242E-10</v>
      </c>
      <c r="N259" s="101">
        <f t="shared" si="93"/>
        <v>1</v>
      </c>
      <c r="O259" s="104">
        <f t="shared" si="94"/>
        <v>8.6806917308474992E-11</v>
      </c>
      <c r="P259" s="105">
        <f t="shared" ca="1" si="95"/>
        <v>1.308710738452215</v>
      </c>
      <c r="Q259" s="106">
        <f t="shared" ca="1" si="96"/>
        <v>0.73072167429141299</v>
      </c>
      <c r="R259" s="107">
        <f t="shared" ca="1" si="97"/>
        <v>-10.195728364738731</v>
      </c>
      <c r="S259" s="108">
        <f t="shared" ca="1" si="98"/>
        <v>-151.71351930481691</v>
      </c>
      <c r="T259" s="116">
        <f t="shared" ca="1" si="99"/>
        <v>28.286480695183087</v>
      </c>
      <c r="V259" s="72">
        <f t="shared" ca="1" si="100"/>
        <v>15941.25</v>
      </c>
      <c r="W259" s="72">
        <f t="shared" si="101"/>
        <v>254123451.5625</v>
      </c>
      <c r="Y259" s="110">
        <f t="shared" si="102"/>
        <v>43.003281089138412</v>
      </c>
      <c r="Z259" s="111">
        <f t="shared" si="103"/>
        <v>-45.119929748254435</v>
      </c>
      <c r="AA259" s="72">
        <f t="shared" si="104"/>
        <v>134.88007025174556</v>
      </c>
      <c r="AB259" s="110">
        <f t="shared" ca="1" si="105"/>
        <v>-35.697784186043137</v>
      </c>
      <c r="AC259" s="111">
        <f t="shared" ca="1" si="106"/>
        <v>-106.59358955656245</v>
      </c>
      <c r="AD259" s="72">
        <f t="shared" ca="1" si="107"/>
        <v>73.406410443437551</v>
      </c>
    </row>
    <row r="260" spans="1:30">
      <c r="A260" s="118">
        <v>16033.5</v>
      </c>
      <c r="B260" s="101">
        <f t="shared" ca="1" si="81"/>
        <v>893.8548163458521</v>
      </c>
      <c r="C260" s="102">
        <f t="shared" ca="1" si="82"/>
        <v>1.5696775766463116</v>
      </c>
      <c r="D260" s="102">
        <f t="shared" si="83"/>
        <v>1.1064302403429342</v>
      </c>
      <c r="E260" s="103">
        <f t="shared" si="84"/>
        <v>0.4422113614850367</v>
      </c>
      <c r="F260" s="101">
        <f t="shared" si="85"/>
        <v>5480.3350532460181</v>
      </c>
      <c r="G260" s="104">
        <f t="shared" si="86"/>
        <v>1.5706138561985128</v>
      </c>
      <c r="H260" s="113">
        <f t="shared" si="87"/>
        <v>685.04260013334488</v>
      </c>
      <c r="I260" s="114">
        <f t="shared" si="88"/>
        <v>1.5693365630445004</v>
      </c>
      <c r="J260" s="101">
        <f t="shared" si="89"/>
        <v>1.4194660986387821</v>
      </c>
      <c r="K260" s="104">
        <f t="shared" si="90"/>
        <v>0.78909171114395849</v>
      </c>
      <c r="L260" s="102">
        <f t="shared" si="91"/>
        <v>1</v>
      </c>
      <c r="M260" s="103">
        <f t="shared" si="92"/>
        <v>6.5481943479907492E-10</v>
      </c>
      <c r="N260" s="101">
        <f t="shared" si="93"/>
        <v>1</v>
      </c>
      <c r="O260" s="104">
        <f t="shared" si="94"/>
        <v>8.730925797320999E-11</v>
      </c>
      <c r="P260" s="105">
        <f t="shared" ca="1" si="95"/>
        <v>1.3118704709450266</v>
      </c>
      <c r="Q260" s="106">
        <f t="shared" ca="1" si="96"/>
        <v>0.73374096851635584</v>
      </c>
      <c r="R260" s="107">
        <f t="shared" ca="1" si="97"/>
        <v>-10.282830660761761</v>
      </c>
      <c r="S260" s="108">
        <f t="shared" ca="1" si="98"/>
        <v>-151.92412476947209</v>
      </c>
      <c r="T260" s="116">
        <f t="shared" ca="1" si="99"/>
        <v>28.075875230527913</v>
      </c>
      <c r="V260" s="72">
        <f t="shared" ca="1" si="100"/>
        <v>16033.5</v>
      </c>
      <c r="W260" s="72">
        <f t="shared" si="101"/>
        <v>257073122.25</v>
      </c>
      <c r="Y260" s="110">
        <f t="shared" si="102"/>
        <v>42.978108530039627</v>
      </c>
      <c r="Z260" s="111">
        <f t="shared" si="103"/>
        <v>-45.284808223460438</v>
      </c>
      <c r="AA260" s="72">
        <f t="shared" si="104"/>
        <v>134.71519177653957</v>
      </c>
      <c r="AB260" s="110">
        <f t="shared" ca="1" si="105"/>
        <v>-35.759713922967386</v>
      </c>
      <c r="AC260" s="111">
        <f t="shared" ca="1" si="106"/>
        <v>-106.63931654601163</v>
      </c>
      <c r="AD260" s="72">
        <f t="shared" ca="1" si="107"/>
        <v>73.360683453988372</v>
      </c>
    </row>
    <row r="261" spans="1:30">
      <c r="A261" s="118">
        <v>16125.75</v>
      </c>
      <c r="B261" s="101">
        <f t="shared" ca="1" si="81"/>
        <v>898.99767373185171</v>
      </c>
      <c r="C261" s="102">
        <f t="shared" ca="1" si="82"/>
        <v>1.5696839766348907</v>
      </c>
      <c r="D261" s="102">
        <f t="shared" si="83"/>
        <v>1.1075987826177303</v>
      </c>
      <c r="E261" s="103">
        <f t="shared" si="84"/>
        <v>0.44443435374937956</v>
      </c>
      <c r="F261" s="101">
        <f t="shared" si="85"/>
        <v>5511.8665898336121</v>
      </c>
      <c r="G261" s="104">
        <f t="shared" si="86"/>
        <v>1.57061490005149</v>
      </c>
      <c r="H261" s="113">
        <f t="shared" si="87"/>
        <v>688.98403809662943</v>
      </c>
      <c r="I261" s="114">
        <f t="shared" si="88"/>
        <v>1.5693449138509008</v>
      </c>
      <c r="J261" s="101">
        <f t="shared" si="89"/>
        <v>1.4235856247651306</v>
      </c>
      <c r="K261" s="104">
        <f t="shared" si="90"/>
        <v>0.79196010127557193</v>
      </c>
      <c r="L261" s="102">
        <f t="shared" si="91"/>
        <v>1</v>
      </c>
      <c r="M261" s="103">
        <f t="shared" si="92"/>
        <v>6.5858698978458741E-10</v>
      </c>
      <c r="N261" s="101">
        <f t="shared" si="93"/>
        <v>1</v>
      </c>
      <c r="O261" s="104">
        <f t="shared" si="94"/>
        <v>8.7811598637944988E-11</v>
      </c>
      <c r="P261" s="105">
        <f t="shared" ca="1" si="95"/>
        <v>1.3150408444856825</v>
      </c>
      <c r="Q261" s="106">
        <f t="shared" ca="1" si="96"/>
        <v>0.73674659567687228</v>
      </c>
      <c r="R261" s="107">
        <f t="shared" ca="1" si="97"/>
        <v>-10.369630873253598</v>
      </c>
      <c r="S261" s="108">
        <f t="shared" ca="1" si="98"/>
        <v>-152.13326112925512</v>
      </c>
      <c r="T261" s="116">
        <f t="shared" ca="1" si="99"/>
        <v>27.866738870744882</v>
      </c>
      <c r="V261" s="72">
        <f t="shared" ca="1" si="100"/>
        <v>16125.75</v>
      </c>
      <c r="W261" s="72">
        <f t="shared" si="101"/>
        <v>260039813.0625</v>
      </c>
      <c r="Y261" s="110">
        <f t="shared" si="102"/>
        <v>42.952937041401938</v>
      </c>
      <c r="Z261" s="111">
        <f t="shared" si="103"/>
        <v>-45.448736214406843</v>
      </c>
      <c r="AA261" s="72">
        <f t="shared" si="104"/>
        <v>134.55126378559316</v>
      </c>
      <c r="AB261" s="110">
        <f t="shared" ca="1" si="105"/>
        <v>-35.821342646821535</v>
      </c>
      <c r="AC261" s="111">
        <f t="shared" ca="1" si="106"/>
        <v>-106.6845249148482</v>
      </c>
      <c r="AD261" s="72">
        <f t="shared" ca="1" si="107"/>
        <v>73.315475085151803</v>
      </c>
    </row>
    <row r="262" spans="1:30">
      <c r="A262" s="118">
        <v>16218</v>
      </c>
      <c r="B262" s="101">
        <f t="shared" ca="1" si="81"/>
        <v>904.1405311542552</v>
      </c>
      <c r="C262" s="102">
        <f t="shared" ca="1" si="82"/>
        <v>1.5696903038156984</v>
      </c>
      <c r="D262" s="102">
        <f t="shared" si="83"/>
        <v>1.108772786754769</v>
      </c>
      <c r="E262" s="103">
        <f t="shared" si="84"/>
        <v>0.44665264940575605</v>
      </c>
      <c r="F262" s="101">
        <f t="shared" si="85"/>
        <v>5543.3981264271442</v>
      </c>
      <c r="G262" s="104">
        <f t="shared" si="86"/>
        <v>1.5706159320293365</v>
      </c>
      <c r="H262" s="113">
        <f t="shared" si="87"/>
        <v>692.92547610741451</v>
      </c>
      <c r="I262" s="114">
        <f t="shared" si="88"/>
        <v>1.5693531696566503</v>
      </c>
      <c r="J262" s="101">
        <f t="shared" si="89"/>
        <v>1.4277167960247368</v>
      </c>
      <c r="K262" s="104">
        <f t="shared" si="90"/>
        <v>0.79481191509221072</v>
      </c>
      <c r="L262" s="102">
        <f t="shared" si="91"/>
        <v>1</v>
      </c>
      <c r="M262" s="103">
        <f t="shared" si="92"/>
        <v>6.6235454477009991E-10</v>
      </c>
      <c r="N262" s="101">
        <f t="shared" si="93"/>
        <v>1</v>
      </c>
      <c r="O262" s="104">
        <f t="shared" si="94"/>
        <v>8.8313939302679987E-11</v>
      </c>
      <c r="P262" s="105">
        <f t="shared" ca="1" si="95"/>
        <v>1.3182217834469367</v>
      </c>
      <c r="Q262" s="106">
        <f t="shared" ca="1" si="96"/>
        <v>0.7397386089081559</v>
      </c>
      <c r="R262" s="107">
        <f t="shared" ca="1" si="97"/>
        <v>-10.456130950710115</v>
      </c>
      <c r="S262" s="108">
        <f t="shared" ca="1" si="98"/>
        <v>-152.34093740243881</v>
      </c>
      <c r="T262" s="116">
        <f t="shared" ca="1" si="99"/>
        <v>27.659062597561189</v>
      </c>
      <c r="V262" s="72">
        <f t="shared" ca="1" si="100"/>
        <v>16218</v>
      </c>
      <c r="W262" s="72">
        <f t="shared" si="101"/>
        <v>263023524</v>
      </c>
      <c r="Y262" s="110">
        <f t="shared" si="102"/>
        <v>42.927767443023853</v>
      </c>
      <c r="Z262" s="111">
        <f t="shared" si="103"/>
        <v>-45.611719215205717</v>
      </c>
      <c r="AA262" s="72">
        <f t="shared" si="104"/>
        <v>134.38828078479429</v>
      </c>
      <c r="AB262" s="110">
        <f t="shared" ca="1" si="105"/>
        <v>-35.88267312589997</v>
      </c>
      <c r="AC262" s="111">
        <f t="shared" ca="1" si="106"/>
        <v>-106.72921818723304</v>
      </c>
      <c r="AD262" s="72">
        <f t="shared" ca="1" si="107"/>
        <v>73.270781812766955</v>
      </c>
    </row>
    <row r="263" spans="1:30">
      <c r="A263" s="118">
        <v>16312.5</v>
      </c>
      <c r="B263" s="101">
        <f t="shared" ca="1" si="81"/>
        <v>909.40882416064755</v>
      </c>
      <c r="C263" s="102">
        <f t="shared" ca="1" si="82"/>
        <v>1.5696967111160529</v>
      </c>
      <c r="D263" s="102">
        <f t="shared" si="83"/>
        <v>1.1099810703335979</v>
      </c>
      <c r="E263" s="103">
        <f t="shared" si="84"/>
        <v>0.44892017279701996</v>
      </c>
      <c r="F263" s="101">
        <f t="shared" si="85"/>
        <v>5575.6987248948608</v>
      </c>
      <c r="G263" s="104">
        <f t="shared" si="86"/>
        <v>1.5706169770748524</v>
      </c>
      <c r="H263" s="113">
        <f t="shared" si="87"/>
        <v>696.96304680101866</v>
      </c>
      <c r="I263" s="114">
        <f t="shared" si="88"/>
        <v>1.5693615300037369</v>
      </c>
      <c r="J263" s="101">
        <f t="shared" si="89"/>
        <v>1.4319606968408933</v>
      </c>
      <c r="K263" s="104">
        <f t="shared" si="90"/>
        <v>0.7977161993457742</v>
      </c>
      <c r="L263" s="102">
        <f t="shared" si="91"/>
        <v>1</v>
      </c>
      <c r="M263" s="103">
        <f t="shared" si="92"/>
        <v>6.6621399134062497E-10</v>
      </c>
      <c r="N263" s="101">
        <f t="shared" si="93"/>
        <v>1</v>
      </c>
      <c r="O263" s="104">
        <f t="shared" si="94"/>
        <v>8.8828532178749993E-11</v>
      </c>
      <c r="P263" s="105">
        <f t="shared" ca="1" si="95"/>
        <v>1.3214911828391056</v>
      </c>
      <c r="Q263" s="106">
        <f t="shared" ca="1" si="96"/>
        <v>0.74278953793877778</v>
      </c>
      <c r="R263" s="107">
        <f t="shared" ca="1" si="97"/>
        <v>-10.544431583923263</v>
      </c>
      <c r="S263" s="108">
        <f t="shared" ca="1" si="98"/>
        <v>-152.55217444486846</v>
      </c>
      <c r="T263" s="116">
        <f t="shared" ca="1" si="99"/>
        <v>27.447825555131544</v>
      </c>
      <c r="V263" s="72">
        <f t="shared" ca="1" si="100"/>
        <v>16312.5</v>
      </c>
      <c r="W263" s="72">
        <f t="shared" si="101"/>
        <v>266097656.25</v>
      </c>
      <c r="Y263" s="110">
        <f t="shared" si="102"/>
        <v>42.90198675387046</v>
      </c>
      <c r="Z263" s="111">
        <f t="shared" si="103"/>
        <v>-45.777703309533365</v>
      </c>
      <c r="AA263" s="72">
        <f t="shared" si="104"/>
        <v>134.22229669046664</v>
      </c>
      <c r="AB263" s="110">
        <f t="shared" ca="1" si="105"/>
        <v>-35.945193069959728</v>
      </c>
      <c r="AC263" s="111">
        <f t="shared" ca="1" si="106"/>
        <v>-106.77447113533511</v>
      </c>
      <c r="AD263" s="72">
        <f t="shared" ca="1" si="107"/>
        <v>73.225528864664895</v>
      </c>
    </row>
    <row r="264" spans="1:30">
      <c r="A264" s="118">
        <v>16407</v>
      </c>
      <c r="B264" s="101">
        <f t="shared" ca="1" si="81"/>
        <v>914.67711720394425</v>
      </c>
      <c r="C264" s="102">
        <f t="shared" ca="1" si="82"/>
        <v>1.5697030446077704</v>
      </c>
      <c r="D264" s="102">
        <f t="shared" si="83"/>
        <v>1.1111950486315894</v>
      </c>
      <c r="E264" s="103">
        <f t="shared" si="84"/>
        <v>0.4511827532713269</v>
      </c>
      <c r="F264" s="101">
        <f t="shared" si="85"/>
        <v>5607.9993233685973</v>
      </c>
      <c r="G264" s="104">
        <f t="shared" si="86"/>
        <v>1.5706180100819946</v>
      </c>
      <c r="H264" s="113">
        <f t="shared" si="87"/>
        <v>701.00061754277635</v>
      </c>
      <c r="I264" s="114">
        <f t="shared" si="88"/>
        <v>1.5693697940442246</v>
      </c>
      <c r="J264" s="101">
        <f t="shared" si="89"/>
        <v>1.4362166046145597</v>
      </c>
      <c r="K264" s="104">
        <f t="shared" si="90"/>
        <v>0.80060329543359787</v>
      </c>
      <c r="L264" s="102">
        <f t="shared" si="91"/>
        <v>1</v>
      </c>
      <c r="M264" s="103">
        <f t="shared" si="92"/>
        <v>6.7007343791114992E-10</v>
      </c>
      <c r="N264" s="101">
        <f t="shared" si="93"/>
        <v>1</v>
      </c>
      <c r="O264" s="104">
        <f t="shared" si="94"/>
        <v>8.9343125054819986E-11</v>
      </c>
      <c r="P264" s="105">
        <f t="shared" ca="1" si="95"/>
        <v>1.3247715102097797</v>
      </c>
      <c r="Q264" s="106">
        <f t="shared" ca="1" si="96"/>
        <v>0.74582629484924146</v>
      </c>
      <c r="R264" s="107">
        <f t="shared" ca="1" si="97"/>
        <v>-10.632421298727051</v>
      </c>
      <c r="S264" s="108">
        <f t="shared" ca="1" si="98"/>
        <v>-152.76189848284051</v>
      </c>
      <c r="T264" s="116">
        <f t="shared" ca="1" si="99"/>
        <v>27.238101517159492</v>
      </c>
      <c r="V264" s="72">
        <f t="shared" ca="1" si="100"/>
        <v>16407</v>
      </c>
      <c r="W264" s="72">
        <f t="shared" si="101"/>
        <v>269189649</v>
      </c>
      <c r="Y264" s="110">
        <f t="shared" si="102"/>
        <v>42.876209743980084</v>
      </c>
      <c r="Z264" s="111">
        <f t="shared" si="103"/>
        <v>-45.94270742271911</v>
      </c>
      <c r="AA264" s="72">
        <f t="shared" si="104"/>
        <v>134.05729257728089</v>
      </c>
      <c r="AB264" s="110">
        <f t="shared" ca="1" si="105"/>
        <v>-36.007405774873135</v>
      </c>
      <c r="AC264" s="111">
        <f t="shared" ca="1" si="106"/>
        <v>-106.81919106012145</v>
      </c>
      <c r="AD264" s="72">
        <f t="shared" ca="1" si="107"/>
        <v>73.180808939878546</v>
      </c>
    </row>
    <row r="265" spans="1:30">
      <c r="A265" s="118">
        <v>16501.5</v>
      </c>
      <c r="B265" s="101">
        <f t="shared" ca="1" si="81"/>
        <v>919.94541028351136</v>
      </c>
      <c r="C265" s="102">
        <f t="shared" ca="1" si="82"/>
        <v>1.5697093055589</v>
      </c>
      <c r="D265" s="102">
        <f t="shared" si="83"/>
        <v>1.1124147030047999</v>
      </c>
      <c r="E265" s="103">
        <f t="shared" si="84"/>
        <v>0.45344038388375785</v>
      </c>
      <c r="F265" s="101">
        <f t="shared" si="85"/>
        <v>5640.2999218482501</v>
      </c>
      <c r="G265" s="104">
        <f t="shared" si="86"/>
        <v>1.5706190312575856</v>
      </c>
      <c r="H265" s="113">
        <f t="shared" si="87"/>
        <v>705.03818833186006</v>
      </c>
      <c r="I265" s="114">
        <f t="shared" si="88"/>
        <v>1.5693779634326814</v>
      </c>
      <c r="J265" s="101">
        <f t="shared" si="89"/>
        <v>1.4404844129221579</v>
      </c>
      <c r="K265" s="104">
        <f t="shared" si="90"/>
        <v>0.8034733077856312</v>
      </c>
      <c r="L265" s="102">
        <f t="shared" si="91"/>
        <v>1</v>
      </c>
      <c r="M265" s="103">
        <f t="shared" si="92"/>
        <v>6.7393288448167498E-10</v>
      </c>
      <c r="N265" s="101">
        <f t="shared" si="93"/>
        <v>1</v>
      </c>
      <c r="O265" s="104">
        <f t="shared" si="94"/>
        <v>8.9857717930889992E-11</v>
      </c>
      <c r="P265" s="105">
        <f t="shared" ca="1" si="95"/>
        <v>1.3280626858298152</v>
      </c>
      <c r="Q265" s="106">
        <f t="shared" ca="1" si="96"/>
        <v>0.74884893786531603</v>
      </c>
      <c r="R265" s="107">
        <f t="shared" ca="1" si="97"/>
        <v>-10.720102087003216</v>
      </c>
      <c r="S265" s="108">
        <f t="shared" ca="1" si="98"/>
        <v>-152.9701192234599</v>
      </c>
      <c r="T265" s="116">
        <f t="shared" ca="1" si="99"/>
        <v>27.029880776540097</v>
      </c>
      <c r="V265" s="72">
        <f t="shared" ca="1" si="100"/>
        <v>16501.5</v>
      </c>
      <c r="W265" s="72">
        <f t="shared" si="101"/>
        <v>272299502.25</v>
      </c>
      <c r="Y265" s="110">
        <f t="shared" si="102"/>
        <v>42.850437248445665</v>
      </c>
      <c r="Z265" s="111">
        <f t="shared" si="103"/>
        <v>-46.106737455208531</v>
      </c>
      <c r="AA265" s="72">
        <f t="shared" si="104"/>
        <v>133.89326254479147</v>
      </c>
      <c r="AB265" s="110">
        <f t="shared" ca="1" si="105"/>
        <v>-36.069314067614883</v>
      </c>
      <c r="AC265" s="111">
        <f t="shared" ca="1" si="106"/>
        <v>-106.86338176825136</v>
      </c>
      <c r="AD265" s="72">
        <f t="shared" ca="1" si="107"/>
        <v>73.136618231748642</v>
      </c>
    </row>
    <row r="266" spans="1:30">
      <c r="A266" s="118">
        <v>16596</v>
      </c>
      <c r="B266" s="101">
        <f t="shared" ca="1" si="81"/>
        <v>925.21370339872919</v>
      </c>
      <c r="C266" s="102">
        <f t="shared" ca="1" si="82"/>
        <v>1.569715495208609</v>
      </c>
      <c r="D266" s="102">
        <f t="shared" si="83"/>
        <v>1.1136400148039813</v>
      </c>
      <c r="E266" s="103">
        <f t="shared" si="84"/>
        <v>0.45569305792157672</v>
      </c>
      <c r="F266" s="101">
        <f t="shared" si="85"/>
        <v>5672.6005203337163</v>
      </c>
      <c r="G266" s="104">
        <f t="shared" si="86"/>
        <v>1.570620040803737</v>
      </c>
      <c r="H266" s="113">
        <f t="shared" si="87"/>
        <v>709.07575916746134</v>
      </c>
      <c r="I266" s="114">
        <f t="shared" si="88"/>
        <v>1.5693860397859893</v>
      </c>
      <c r="J266" s="101">
        <f t="shared" si="89"/>
        <v>1.4447640163017677</v>
      </c>
      <c r="K266" s="104">
        <f t="shared" si="90"/>
        <v>0.80632634072538589</v>
      </c>
      <c r="L266" s="102">
        <f t="shared" si="91"/>
        <v>1</v>
      </c>
      <c r="M266" s="103">
        <f t="shared" si="92"/>
        <v>6.7779233105219993E-10</v>
      </c>
      <c r="N266" s="101">
        <f t="shared" si="93"/>
        <v>1</v>
      </c>
      <c r="O266" s="104">
        <f t="shared" si="94"/>
        <v>9.0372310806959985E-11</v>
      </c>
      <c r="P266" s="105">
        <f t="shared" ca="1" si="95"/>
        <v>1.3313646304991411</v>
      </c>
      <c r="Q266" s="106">
        <f t="shared" ca="1" si="96"/>
        <v>0.75185752555240448</v>
      </c>
      <c r="R266" s="107">
        <f t="shared" ca="1" si="97"/>
        <v>-10.807475908155343</v>
      </c>
      <c r="S266" s="108">
        <f t="shared" ca="1" si="98"/>
        <v>-153.17684637412395</v>
      </c>
      <c r="T266" s="116">
        <f t="shared" ca="1" si="99"/>
        <v>26.823153625876046</v>
      </c>
      <c r="V266" s="72">
        <f t="shared" ca="1" si="100"/>
        <v>16596</v>
      </c>
      <c r="W266" s="72">
        <f t="shared" si="101"/>
        <v>275427216</v>
      </c>
      <c r="Y266" s="110">
        <f t="shared" si="102"/>
        <v>42.824670087165295</v>
      </c>
      <c r="Z266" s="111">
        <f t="shared" si="103"/>
        <v>-46.269799303238237</v>
      </c>
      <c r="AA266" s="72">
        <f t="shared" si="104"/>
        <v>133.73020069676176</v>
      </c>
      <c r="AB266" s="110">
        <f t="shared" ca="1" si="105"/>
        <v>-36.13092072748664</v>
      </c>
      <c r="AC266" s="111">
        <f t="shared" ca="1" si="106"/>
        <v>-106.9070470708857</v>
      </c>
      <c r="AD266" s="72">
        <f t="shared" ca="1" si="107"/>
        <v>73.092952929114304</v>
      </c>
    </row>
    <row r="267" spans="1:30">
      <c r="A267" s="118">
        <v>16692.5</v>
      </c>
      <c r="B267" s="101">
        <f t="shared" ca="1" si="81"/>
        <v>930.59349481709683</v>
      </c>
      <c r="C267" s="102">
        <f t="shared" ca="1" si="82"/>
        <v>1.569721743533758</v>
      </c>
      <c r="D267" s="102">
        <f t="shared" si="83"/>
        <v>1.1148970780360794</v>
      </c>
      <c r="E267" s="103">
        <f t="shared" si="84"/>
        <v>0.45798828582891921</v>
      </c>
      <c r="F267" s="101">
        <f t="shared" si="85"/>
        <v>5705.5847293750385</v>
      </c>
      <c r="G267" s="104">
        <f t="shared" si="86"/>
        <v>1.5706210599199748</v>
      </c>
      <c r="H267" s="113">
        <f t="shared" si="87"/>
        <v>713.19878128486243</v>
      </c>
      <c r="I267" s="114">
        <f t="shared" si="88"/>
        <v>1.5693941927000208</v>
      </c>
      <c r="J267" s="101">
        <f t="shared" si="89"/>
        <v>1.4491462568557776</v>
      </c>
      <c r="K267" s="104">
        <f t="shared" si="90"/>
        <v>0.80922234135827942</v>
      </c>
      <c r="L267" s="102">
        <f t="shared" si="91"/>
        <v>1</v>
      </c>
      <c r="M267" s="103">
        <f t="shared" si="92"/>
        <v>6.8173345903162492E-10</v>
      </c>
      <c r="N267" s="101">
        <f t="shared" si="93"/>
        <v>1</v>
      </c>
      <c r="O267" s="104">
        <f t="shared" si="94"/>
        <v>9.0897794537549987E-11</v>
      </c>
      <c r="P267" s="105">
        <f t="shared" ca="1" si="95"/>
        <v>1.3347474891749622</v>
      </c>
      <c r="Q267" s="106">
        <f t="shared" ca="1" si="96"/>
        <v>0.7549153435768382</v>
      </c>
      <c r="R267" s="107">
        <f t="shared" ca="1" si="97"/>
        <v>-10.896384133305679</v>
      </c>
      <c r="S267" s="108">
        <f t="shared" ca="1" si="98"/>
        <v>-153.38641744926207</v>
      </c>
      <c r="T267" s="116">
        <f t="shared" ca="1" si="99"/>
        <v>26.613582550737931</v>
      </c>
      <c r="V267" s="72">
        <f t="shared" ca="1" si="100"/>
        <v>16692.5</v>
      </c>
      <c r="W267" s="72">
        <f t="shared" si="101"/>
        <v>278639556.25</v>
      </c>
      <c r="Y267" s="110">
        <f t="shared" si="102"/>
        <v>42.798363930332791</v>
      </c>
      <c r="Z267" s="111">
        <f t="shared" si="103"/>
        <v>-46.435319180458237</v>
      </c>
      <c r="AA267" s="72">
        <f t="shared" si="104"/>
        <v>133.56468081954176</v>
      </c>
      <c r="AB267" s="110">
        <f t="shared" ca="1" si="105"/>
        <v>-36.193522795804469</v>
      </c>
      <c r="AC267" s="111">
        <f t="shared" ca="1" si="106"/>
        <v>-106.95109826880382</v>
      </c>
      <c r="AD267" s="72">
        <f t="shared" ca="1" si="107"/>
        <v>73.048901731196182</v>
      </c>
    </row>
    <row r="268" spans="1:30">
      <c r="A268" s="118">
        <v>16789</v>
      </c>
      <c r="B268" s="101">
        <f t="shared" ca="1" si="81"/>
        <v>935.97328627137881</v>
      </c>
      <c r="C268" s="102">
        <f t="shared" ca="1" si="82"/>
        <v>1.5697279200306047</v>
      </c>
      <c r="D268" s="102">
        <f t="shared" si="83"/>
        <v>1.1161600013776691</v>
      </c>
      <c r="E268" s="103">
        <f t="shared" si="84"/>
        <v>0.46027833172505778</v>
      </c>
      <c r="F268" s="101">
        <f t="shared" si="85"/>
        <v>5738.5689384222178</v>
      </c>
      <c r="G268" s="104">
        <f t="shared" si="86"/>
        <v>1.5706220673208375</v>
      </c>
      <c r="H268" s="113">
        <f t="shared" si="87"/>
        <v>717.32180344912479</v>
      </c>
      <c r="I268" s="114">
        <f t="shared" si="88"/>
        <v>1.5694022518914166</v>
      </c>
      <c r="J268" s="101">
        <f t="shared" si="89"/>
        <v>1.4535405777949602</v>
      </c>
      <c r="K268" s="104">
        <f t="shared" si="90"/>
        <v>0.81210085572457613</v>
      </c>
      <c r="L268" s="102">
        <f t="shared" si="91"/>
        <v>1</v>
      </c>
      <c r="M268" s="103">
        <f t="shared" si="92"/>
        <v>6.8567458701104991E-10</v>
      </c>
      <c r="N268" s="101">
        <f t="shared" si="93"/>
        <v>1</v>
      </c>
      <c r="O268" s="104">
        <f t="shared" si="94"/>
        <v>9.142327826813999E-11</v>
      </c>
      <c r="P268" s="105">
        <f t="shared" ca="1" si="95"/>
        <v>1.338141412318536</v>
      </c>
      <c r="Q268" s="106">
        <f t="shared" ca="1" si="96"/>
        <v>0.75795862948788462</v>
      </c>
      <c r="R268" s="107">
        <f t="shared" ca="1" si="97"/>
        <v>-10.984976291036784</v>
      </c>
      <c r="S268" s="108">
        <f t="shared" ca="1" si="98"/>
        <v>-153.59445149694113</v>
      </c>
      <c r="T268" s="116">
        <f t="shared" ca="1" si="99"/>
        <v>26.405548503058867</v>
      </c>
      <c r="V268" s="72">
        <f t="shared" ca="1" si="100"/>
        <v>16789</v>
      </c>
      <c r="W268" s="72">
        <f t="shared" si="101"/>
        <v>281870521</v>
      </c>
      <c r="Y268" s="110">
        <f t="shared" si="102"/>
        <v>42.772065016349117</v>
      </c>
      <c r="Z268" s="111">
        <f t="shared" si="103"/>
        <v>-46.59984186707154</v>
      </c>
      <c r="AA268" s="72">
        <f t="shared" si="104"/>
        <v>133.40015813292845</v>
      </c>
      <c r="AB268" s="110">
        <f t="shared" ca="1" si="105"/>
        <v>-36.25581603955191</v>
      </c>
      <c r="AC268" s="111">
        <f t="shared" ca="1" si="106"/>
        <v>-106.99460962986961</v>
      </c>
      <c r="AD268" s="72">
        <f t="shared" ca="1" si="107"/>
        <v>73.005390370130385</v>
      </c>
    </row>
    <row r="269" spans="1:30">
      <c r="A269" s="118">
        <v>16885.5</v>
      </c>
      <c r="B269" s="101">
        <f t="shared" ca="1" si="81"/>
        <v>941.35307776095908</v>
      </c>
      <c r="C269" s="102">
        <f t="shared" ca="1" si="82"/>
        <v>1.5697340259306354</v>
      </c>
      <c r="D269" s="102">
        <f t="shared" si="83"/>
        <v>1.1174287649593793</v>
      </c>
      <c r="E269" s="103">
        <f t="shared" si="84"/>
        <v>0.46256318920155715</v>
      </c>
      <c r="F269" s="101">
        <f t="shared" si="85"/>
        <v>5771.5531474751551</v>
      </c>
      <c r="G269" s="104">
        <f t="shared" si="86"/>
        <v>1.5706230632071845</v>
      </c>
      <c r="H269" s="113">
        <f t="shared" si="87"/>
        <v>721.44482565944497</v>
      </c>
      <c r="I269" s="114">
        <f t="shared" si="88"/>
        <v>1.5694102189670363</v>
      </c>
      <c r="J269" s="101">
        <f t="shared" si="89"/>
        <v>1.4579468698867601</v>
      </c>
      <c r="K269" s="104">
        <f t="shared" si="90"/>
        <v>0.81496199445057982</v>
      </c>
      <c r="L269" s="102">
        <f t="shared" si="91"/>
        <v>1</v>
      </c>
      <c r="M269" s="103">
        <f t="shared" si="92"/>
        <v>6.89615714990475E-10</v>
      </c>
      <c r="N269" s="101">
        <f t="shared" si="93"/>
        <v>1</v>
      </c>
      <c r="O269" s="104">
        <f t="shared" si="94"/>
        <v>9.1948761998729993E-11</v>
      </c>
      <c r="P269" s="105">
        <f t="shared" ca="1" si="95"/>
        <v>1.3415463173008835</v>
      </c>
      <c r="Q269" s="106">
        <f t="shared" ca="1" si="96"/>
        <v>0.76098744663863938</v>
      </c>
      <c r="R269" s="107">
        <f t="shared" ca="1" si="97"/>
        <v>-11.07325436949591</v>
      </c>
      <c r="S269" s="108">
        <f t="shared" ca="1" si="98"/>
        <v>-153.80095884262397</v>
      </c>
      <c r="T269" s="116">
        <f t="shared" ca="1" si="99"/>
        <v>26.19904115737603</v>
      </c>
      <c r="V269" s="72">
        <f t="shared" ca="1" si="100"/>
        <v>16885.5</v>
      </c>
      <c r="W269" s="72">
        <f t="shared" si="101"/>
        <v>285120110.25</v>
      </c>
      <c r="Y269" s="110">
        <f t="shared" si="102"/>
        <v>42.745774170464301</v>
      </c>
      <c r="Z269" s="111">
        <f t="shared" si="103"/>
        <v>-46.763373620940619</v>
      </c>
      <c r="AA269" s="72">
        <f t="shared" si="104"/>
        <v>133.23662637905937</v>
      </c>
      <c r="AB269" s="110">
        <f t="shared" ca="1" si="105"/>
        <v>-36.317803272126213</v>
      </c>
      <c r="AC269" s="111">
        <f t="shared" ca="1" si="106"/>
        <v>-107.03758522168339</v>
      </c>
      <c r="AD269" s="72">
        <f t="shared" ca="1" si="107"/>
        <v>72.962414778316614</v>
      </c>
    </row>
    <row r="270" spans="1:30">
      <c r="A270" s="118">
        <v>16982</v>
      </c>
      <c r="B270" s="101">
        <f t="shared" ref="B270:B333" ca="1" si="108">SQRT(1+(A270/Pole1)^2)</f>
        <v>946.73286928523612</v>
      </c>
      <c r="C270" s="102">
        <f t="shared" ref="C270:C333" ca="1" si="109">ATAN(A270/Pole1)</f>
        <v>1.5697400624373445</v>
      </c>
      <c r="D270" s="102">
        <f t="shared" ref="D270:D333" si="110">SQRT(1+(A270/Zero1)^2)</f>
        <v>1.1187033489103013</v>
      </c>
      <c r="E270" s="103">
        <f t="shared" ref="E270:E333" si="111">ATAN(A270/Zero1)</f>
        <v>0.46484285209567766</v>
      </c>
      <c r="F270" s="101">
        <f t="shared" ref="F270:F333" si="112">SQRT(1+(A270/Pole2)^2)</f>
        <v>5804.5373565337504</v>
      </c>
      <c r="G270" s="104">
        <f t="shared" ref="G270:G333" si="113">ATAN(A270/Pole2)</f>
        <v>1.5706240477753084</v>
      </c>
      <c r="H270" s="113">
        <f t="shared" ref="H270:H333" si="114">SQRT(1+(A270/Zero2)^2)</f>
        <v>725.56784791503799</v>
      </c>
      <c r="I270" s="114">
        <f t="shared" ref="I270:I333" si="115">ATAN(A270/Zero2)</f>
        <v>1.5694180954972163</v>
      </c>
      <c r="J270" s="101">
        <f t="shared" ref="J270:J333" si="116">SQRT(1+(A270/pole4)^2)</f>
        <v>1.4623650249193583</v>
      </c>
      <c r="K270" s="104">
        <f t="shared" ref="K270:K333" si="117">ATAN(A270/pole4)</f>
        <v>0.8178058679690291</v>
      </c>
      <c r="L270" s="102">
        <f t="shared" ref="L270:L333" si="118">SQRT(1+(A270/Zerofeed)^2)</f>
        <v>1</v>
      </c>
      <c r="M270" s="103">
        <f t="shared" ref="M270:M333" si="119">ATAN(A270/Zerofeed)</f>
        <v>6.9355684296989998E-10</v>
      </c>
      <c r="N270" s="101">
        <f t="shared" ref="N270:N333" si="120">SQRT(1+(A270/Polefeed)^2)</f>
        <v>1</v>
      </c>
      <c r="O270" s="104">
        <f t="shared" ref="O270:O333" si="121">ATAN(A270/Polefeed)</f>
        <v>9.2474245729319982E-11</v>
      </c>
      <c r="P270" s="105">
        <f t="shared" ref="P270:P333" ca="1" si="122">SQRT((1-(W270/pterm2))^2+(A270/pterm1)^2)</f>
        <v>1.3449621220671357</v>
      </c>
      <c r="Q270" s="106">
        <f t="shared" ref="Q270:Q333" ca="1" si="123">IF((ATAN((A270/pterm1)/(1-A270^2/pterm2))&gt;0),ATAN((A270/pterm1)/(1-A270^2/pterm2)),PI()+ATAN((A270/pterm1)/(1-A270^2/pterm2)))</f>
        <v>0.76400185868083048</v>
      </c>
      <c r="R270" s="107">
        <f t="shared" ref="R270:R333" ca="1" si="124">20*LOG10(((D270*H270*L270)/(B270*F270*P270*J270*N270))*Adc)</f>
        <v>-11.161220325792174</v>
      </c>
      <c r="S270" s="108">
        <f t="shared" ref="S270:S333" ca="1" si="125">((E270+I270+M270)-(C270+G270+Q270+K270+O270))*radconv</f>
        <v>-154.00594980394308</v>
      </c>
      <c r="T270" s="116">
        <f t="shared" ref="T270:T333" ca="1" si="126">IF(S270&gt;0,S270,S270+180)</f>
        <v>25.994050196056918</v>
      </c>
      <c r="V270" s="72">
        <f t="shared" ref="V270:V333" ca="1" si="127">IF(R270&lt;0,A270,1000000000)</f>
        <v>16982</v>
      </c>
      <c r="W270" s="72">
        <f t="shared" ref="W270:W333" si="128">A270^2</f>
        <v>288388324</v>
      </c>
      <c r="Y270" s="110">
        <f t="shared" ref="Y270:Y333" si="129">20*LOG10(((H270*L270)/(F270*J270*N270))*Aea)</f>
        <v>42.719492202240019</v>
      </c>
      <c r="Z270" s="111">
        <f t="shared" ref="Z270:Z333" si="130">(I270+M270-(G270+K270+O270))*radconv</f>
        <v>-46.925920690668448</v>
      </c>
      <c r="AA270" s="72">
        <f t="shared" ref="AA270:AA333" si="131">IF(Z270&gt;0,Z270,Z270+180)</f>
        <v>133.07407930933155</v>
      </c>
      <c r="AB270" s="110">
        <f t="shared" ref="AB270:AB333" ca="1" si="132">20*LOG10((D270/(B270*P270))*Acs*Am)</f>
        <v>-36.379487260198189</v>
      </c>
      <c r="AC270" s="111">
        <f t="shared" ref="AC270:AC333" ca="1" si="133">(E270-(C270+Q270))*radconv</f>
        <v>-107.08002911327459</v>
      </c>
      <c r="AD270" s="72">
        <f t="shared" ref="AD270:AD333" ca="1" si="134">IF(AC270&gt;0,AC270,AC270+180)</f>
        <v>72.919970886725409</v>
      </c>
    </row>
    <row r="271" spans="1:30">
      <c r="A271" s="118">
        <v>17081</v>
      </c>
      <c r="B271" s="101">
        <f t="shared" ca="1" si="108"/>
        <v>952.25203368236998</v>
      </c>
      <c r="C271" s="102">
        <f t="shared" ca="1" si="109"/>
        <v>1.5697461844497731</v>
      </c>
      <c r="D271" s="102">
        <f t="shared" si="110"/>
        <v>1.120016980844792</v>
      </c>
      <c r="E271" s="103">
        <f t="shared" si="111"/>
        <v>0.46717616922416716</v>
      </c>
      <c r="F271" s="101">
        <f t="shared" si="112"/>
        <v>5838.3760787861738</v>
      </c>
      <c r="G271" s="104">
        <f t="shared" si="113"/>
        <v>1.5706250462895994</v>
      </c>
      <c r="H271" s="113">
        <f t="shared" si="114"/>
        <v>729.79768426494638</v>
      </c>
      <c r="I271" s="114">
        <f t="shared" si="115"/>
        <v>1.5694260835966944</v>
      </c>
      <c r="J271" s="101">
        <f t="shared" si="116"/>
        <v>1.4669098554893061</v>
      </c>
      <c r="K271" s="104">
        <f t="shared" si="117"/>
        <v>0.82070559056695291</v>
      </c>
      <c r="L271" s="102">
        <f t="shared" si="118"/>
        <v>1</v>
      </c>
      <c r="M271" s="103">
        <f t="shared" si="119"/>
        <v>6.9760007271044996E-10</v>
      </c>
      <c r="N271" s="101">
        <f t="shared" si="120"/>
        <v>1</v>
      </c>
      <c r="O271" s="104">
        <f t="shared" si="121"/>
        <v>9.301334302805999E-11</v>
      </c>
      <c r="P271" s="105">
        <f t="shared" ca="1" si="122"/>
        <v>1.3484776607908326</v>
      </c>
      <c r="Q271" s="106">
        <f t="shared" ca="1" si="123"/>
        <v>0.76707946158745954</v>
      </c>
      <c r="R271" s="107">
        <f t="shared" ca="1" si="124"/>
        <v>-11.251142856550951</v>
      </c>
      <c r="S271" s="108">
        <f t="shared" ca="1" si="125"/>
        <v>-154.21468639618209</v>
      </c>
      <c r="T271" s="116">
        <f t="shared" ca="1" si="126"/>
        <v>25.785313603817912</v>
      </c>
      <c r="V271" s="72">
        <f t="shared" ca="1" si="127"/>
        <v>17081</v>
      </c>
      <c r="W271" s="72">
        <f t="shared" si="128"/>
        <v>291760561</v>
      </c>
      <c r="Y271" s="110">
        <f t="shared" si="129"/>
        <v>42.692539411865305</v>
      </c>
      <c r="Z271" s="111">
        <f t="shared" si="130"/>
        <v>-47.091662083545039</v>
      </c>
      <c r="AA271" s="72">
        <f t="shared" si="131"/>
        <v>132.90833791645497</v>
      </c>
      <c r="AB271" s="110">
        <f t="shared" ca="1" si="132"/>
        <v>-36.442457000582252</v>
      </c>
      <c r="AC271" s="111">
        <f t="shared" ca="1" si="133"/>
        <v>-107.12302431263701</v>
      </c>
      <c r="AD271" s="72">
        <f t="shared" ca="1" si="134"/>
        <v>72.876975687362986</v>
      </c>
    </row>
    <row r="272" spans="1:30">
      <c r="A272" s="118">
        <v>17180</v>
      </c>
      <c r="B272" s="101">
        <f t="shared" ca="1" si="108"/>
        <v>957.7711981147819</v>
      </c>
      <c r="C272" s="102">
        <f t="shared" ca="1" si="109"/>
        <v>1.5697522359059077</v>
      </c>
      <c r="D272" s="102">
        <f t="shared" si="110"/>
        <v>1.1213366962585143</v>
      </c>
      <c r="E272" s="103">
        <f t="shared" si="111"/>
        <v>0.46950400678028126</v>
      </c>
      <c r="F272" s="101">
        <f t="shared" si="112"/>
        <v>5872.2148010443507</v>
      </c>
      <c r="G272" s="104">
        <f t="shared" si="113"/>
        <v>1.5706260332959845</v>
      </c>
      <c r="H272" s="113">
        <f t="shared" si="114"/>
        <v>734.02752066088624</v>
      </c>
      <c r="I272" s="114">
        <f t="shared" si="115"/>
        <v>1.5694339796332653</v>
      </c>
      <c r="J272" s="101">
        <f t="shared" si="116"/>
        <v>1.4714669441580841</v>
      </c>
      <c r="K272" s="104">
        <f t="shared" si="117"/>
        <v>0.82358737656474068</v>
      </c>
      <c r="L272" s="102">
        <f t="shared" si="118"/>
        <v>1</v>
      </c>
      <c r="M272" s="103">
        <f t="shared" si="119"/>
        <v>7.0164330245099994E-10</v>
      </c>
      <c r="N272" s="101">
        <f t="shared" si="120"/>
        <v>1</v>
      </c>
      <c r="O272" s="104">
        <f t="shared" si="121"/>
        <v>9.3552440326799986E-11</v>
      </c>
      <c r="P272" s="105">
        <f t="shared" ca="1" si="122"/>
        <v>1.3520044982612658</v>
      </c>
      <c r="Q272" s="106">
        <f t="shared" ca="1" si="123"/>
        <v>0.77014203995058317</v>
      </c>
      <c r="R272" s="107">
        <f t="shared" ca="1" si="124"/>
        <v>-11.340740960510182</v>
      </c>
      <c r="S272" s="108">
        <f t="shared" ca="1" si="125"/>
        <v>-154.4218489832551</v>
      </c>
      <c r="T272" s="116">
        <f t="shared" ca="1" si="126"/>
        <v>25.578151016744897</v>
      </c>
      <c r="V272" s="72">
        <f t="shared" ca="1" si="127"/>
        <v>17180</v>
      </c>
      <c r="W272" s="72">
        <f t="shared" si="128"/>
        <v>295152400</v>
      </c>
      <c r="Y272" s="110">
        <f t="shared" si="129"/>
        <v>42.665597641491438</v>
      </c>
      <c r="Z272" s="111">
        <f t="shared" si="130"/>
        <v>-47.256380400395429</v>
      </c>
      <c r="AA272" s="72">
        <f t="shared" si="131"/>
        <v>132.74361959960459</v>
      </c>
      <c r="AB272" s="110">
        <f t="shared" ca="1" si="132"/>
        <v>-36.505113334167618</v>
      </c>
      <c r="AC272" s="111">
        <f t="shared" ca="1" si="133"/>
        <v>-107.1654685828596</v>
      </c>
      <c r="AD272" s="72">
        <f t="shared" ca="1" si="134"/>
        <v>72.834531417140397</v>
      </c>
    </row>
    <row r="273" spans="1:30">
      <c r="A273" s="118">
        <v>17279</v>
      </c>
      <c r="B273" s="101">
        <f t="shared" ca="1" si="108"/>
        <v>963.29036258186557</v>
      </c>
      <c r="C273" s="102">
        <f t="shared" ca="1" si="109"/>
        <v>1.569758218018503</v>
      </c>
      <c r="D273" s="102">
        <f t="shared" si="110"/>
        <v>1.1226624736976618</v>
      </c>
      <c r="E273" s="103">
        <f t="shared" si="111"/>
        <v>0.47182635890435687</v>
      </c>
      <c r="F273" s="101">
        <f t="shared" si="112"/>
        <v>5906.0535233081828</v>
      </c>
      <c r="G273" s="104">
        <f t="shared" si="113"/>
        <v>1.5706270089922671</v>
      </c>
      <c r="H273" s="113">
        <f t="shared" si="114"/>
        <v>738.25735710206641</v>
      </c>
      <c r="I273" s="114">
        <f t="shared" si="115"/>
        <v>1.5694417851893478</v>
      </c>
      <c r="J273" s="101">
        <f t="shared" si="116"/>
        <v>1.4760361773893669</v>
      </c>
      <c r="K273" s="104">
        <f t="shared" si="117"/>
        <v>0.82645134444993951</v>
      </c>
      <c r="L273" s="102">
        <f t="shared" si="118"/>
        <v>1</v>
      </c>
      <c r="M273" s="103">
        <f t="shared" si="119"/>
        <v>7.0568653219154991E-10</v>
      </c>
      <c r="N273" s="101">
        <f t="shared" si="120"/>
        <v>1</v>
      </c>
      <c r="O273" s="104">
        <f t="shared" si="121"/>
        <v>9.4091537625539981E-11</v>
      </c>
      <c r="P273" s="105">
        <f t="shared" ca="1" si="122"/>
        <v>1.3555425477589724</v>
      </c>
      <c r="Q273" s="106">
        <f t="shared" ca="1" si="123"/>
        <v>0.77318966336698325</v>
      </c>
      <c r="R273" s="107">
        <f t="shared" ca="1" si="124"/>
        <v>-11.430016655382659</v>
      </c>
      <c r="S273" s="108">
        <f t="shared" ca="1" si="125"/>
        <v>-154.62744866748741</v>
      </c>
      <c r="T273" s="116">
        <f t="shared" ca="1" si="126"/>
        <v>25.372551332512586</v>
      </c>
      <c r="V273" s="72">
        <f t="shared" ca="1" si="127"/>
        <v>17279</v>
      </c>
      <c r="W273" s="72">
        <f t="shared" si="128"/>
        <v>298563841</v>
      </c>
      <c r="Y273" s="110">
        <f t="shared" si="129"/>
        <v>42.638667715147307</v>
      </c>
      <c r="Z273" s="111">
        <f t="shared" si="130"/>
        <v>-47.420082350723426</v>
      </c>
      <c r="AA273" s="72">
        <f t="shared" si="131"/>
        <v>132.57991764927658</v>
      </c>
      <c r="AB273" s="110">
        <f t="shared" ca="1" si="132"/>
        <v>-36.567459102695956</v>
      </c>
      <c r="AC273" s="111">
        <f t="shared" ca="1" si="133"/>
        <v>-107.20736631676395</v>
      </c>
      <c r="AD273" s="72">
        <f t="shared" ca="1" si="134"/>
        <v>72.792633683236048</v>
      </c>
    </row>
    <row r="274" spans="1:30">
      <c r="A274" s="118">
        <v>17378</v>
      </c>
      <c r="B274" s="101">
        <f t="shared" ca="1" si="108"/>
        <v>968.80952708302868</v>
      </c>
      <c r="C274" s="102">
        <f t="shared" ca="1" si="109"/>
        <v>1.5697641319726781</v>
      </c>
      <c r="D274" s="102">
        <f t="shared" si="110"/>
        <v>1.1239942917113341</v>
      </c>
      <c r="E274" s="103">
        <f t="shared" si="111"/>
        <v>0.47414322000098974</v>
      </c>
      <c r="F274" s="101">
        <f t="shared" si="112"/>
        <v>5939.8922455775719</v>
      </c>
      <c r="G274" s="104">
        <f t="shared" si="113"/>
        <v>1.5706279735717437</v>
      </c>
      <c r="H274" s="113">
        <f t="shared" si="114"/>
        <v>742.4871935877137</v>
      </c>
      <c r="I274" s="114">
        <f t="shared" si="115"/>
        <v>1.5694495018113019</v>
      </c>
      <c r="J274" s="101">
        <f t="shared" si="116"/>
        <v>1.4806174427476226</v>
      </c>
      <c r="K274" s="104">
        <f t="shared" si="117"/>
        <v>0.82929761241865307</v>
      </c>
      <c r="L274" s="102">
        <f t="shared" si="118"/>
        <v>1</v>
      </c>
      <c r="M274" s="103">
        <f t="shared" si="119"/>
        <v>7.0972976193209999E-10</v>
      </c>
      <c r="N274" s="101">
        <f t="shared" si="120"/>
        <v>1</v>
      </c>
      <c r="O274" s="104">
        <f t="shared" si="121"/>
        <v>9.4630634924279989E-11</v>
      </c>
      <c r="P274" s="105">
        <f t="shared" ca="1" si="122"/>
        <v>1.3590917231970574</v>
      </c>
      <c r="Q274" s="106">
        <f t="shared" ca="1" si="123"/>
        <v>0.77622240169035606</v>
      </c>
      <c r="R274" s="107">
        <f t="shared" ca="1" si="124"/>
        <v>-11.518971928674073</v>
      </c>
      <c r="S274" s="108">
        <f t="shared" ca="1" si="125"/>
        <v>-154.83149653430951</v>
      </c>
      <c r="T274" s="116">
        <f t="shared" ca="1" si="126"/>
        <v>25.168503465690492</v>
      </c>
      <c r="V274" s="72">
        <f t="shared" ca="1" si="127"/>
        <v>17378</v>
      </c>
      <c r="W274" s="72">
        <f t="shared" si="128"/>
        <v>301994884</v>
      </c>
      <c r="Y274" s="110">
        <f t="shared" si="129"/>
        <v>42.611750440413665</v>
      </c>
      <c r="Z274" s="111">
        <f t="shared" si="130"/>
        <v>-47.582774629142058</v>
      </c>
      <c r="AA274" s="72">
        <f t="shared" si="131"/>
        <v>132.41722537085795</v>
      </c>
      <c r="AB274" s="110">
        <f t="shared" ca="1" si="132"/>
        <v>-36.62949710125374</v>
      </c>
      <c r="AC274" s="111">
        <f t="shared" ca="1" si="133"/>
        <v>-107.24872190516741</v>
      </c>
      <c r="AD274" s="72">
        <f t="shared" ca="1" si="134"/>
        <v>72.751278094832585</v>
      </c>
    </row>
    <row r="275" spans="1:30">
      <c r="A275" s="118">
        <v>17479.25</v>
      </c>
      <c r="B275" s="101">
        <f t="shared" ca="1" si="108"/>
        <v>974.4541271756824</v>
      </c>
      <c r="C275" s="102">
        <f t="shared" ca="1" si="109"/>
        <v>1.5697701110422699</v>
      </c>
      <c r="D275" s="102">
        <f t="shared" si="110"/>
        <v>1.125362604027927</v>
      </c>
      <c r="E275" s="103">
        <f t="shared" si="111"/>
        <v>0.47650705183532432</v>
      </c>
      <c r="F275" s="101">
        <f t="shared" si="112"/>
        <v>5974.5000297223714</v>
      </c>
      <c r="G275" s="104">
        <f t="shared" si="113"/>
        <v>1.5706289487716822</v>
      </c>
      <c r="H275" s="113">
        <f t="shared" si="114"/>
        <v>746.81316276596897</v>
      </c>
      <c r="I275" s="114">
        <f t="shared" si="115"/>
        <v>1.5694573033969601</v>
      </c>
      <c r="J275" s="101">
        <f t="shared" si="116"/>
        <v>1.4853151571606167</v>
      </c>
      <c r="K275" s="104">
        <f t="shared" si="117"/>
        <v>0.83219038325976225</v>
      </c>
      <c r="L275" s="102">
        <f t="shared" si="118"/>
        <v>1</v>
      </c>
      <c r="M275" s="103">
        <f t="shared" si="119"/>
        <v>7.1386488325766243E-10</v>
      </c>
      <c r="N275" s="101">
        <f t="shared" si="120"/>
        <v>1</v>
      </c>
      <c r="O275" s="104">
        <f t="shared" si="121"/>
        <v>9.5181984434354991E-11</v>
      </c>
      <c r="P275" s="105">
        <f t="shared" ca="1" si="122"/>
        <v>1.3627329807638129</v>
      </c>
      <c r="Q275" s="106">
        <f t="shared" ca="1" si="123"/>
        <v>0.77930874255213201</v>
      </c>
      <c r="R275" s="107">
        <f t="shared" ca="1" si="124"/>
        <v>-11.609619525624357</v>
      </c>
      <c r="S275" s="108">
        <f t="shared" ca="1" si="125"/>
        <v>-155.0385882649293</v>
      </c>
      <c r="T275" s="116">
        <f t="shared" ca="1" si="126"/>
        <v>24.961411735070698</v>
      </c>
      <c r="V275" s="72">
        <f t="shared" ca="1" si="127"/>
        <v>17479.25</v>
      </c>
      <c r="W275" s="72">
        <f t="shared" si="128"/>
        <v>305524180.5625</v>
      </c>
      <c r="Y275" s="110">
        <f t="shared" si="129"/>
        <v>42.58423532027301</v>
      </c>
      <c r="Z275" s="111">
        <f t="shared" si="130"/>
        <v>-47.748127066328692</v>
      </c>
      <c r="AA275" s="72">
        <f t="shared" si="131"/>
        <v>132.25187293367131</v>
      </c>
      <c r="AB275" s="110">
        <f t="shared" ca="1" si="132"/>
        <v>-36.692629578063368</v>
      </c>
      <c r="AC275" s="111">
        <f t="shared" ca="1" si="133"/>
        <v>-107.29046119860062</v>
      </c>
      <c r="AD275" s="72">
        <f t="shared" ca="1" si="134"/>
        <v>72.709538801399376</v>
      </c>
    </row>
    <row r="276" spans="1:30">
      <c r="A276" s="118">
        <v>17580.5</v>
      </c>
      <c r="B276" s="101">
        <f t="shared" ca="1" si="108"/>
        <v>980.09872730277118</v>
      </c>
      <c r="C276" s="102">
        <f t="shared" ca="1" si="109"/>
        <v>1.569776021242357</v>
      </c>
      <c r="D276" s="102">
        <f t="shared" si="110"/>
        <v>1.1267371892409488</v>
      </c>
      <c r="E276" s="103">
        <f t="shared" si="111"/>
        <v>0.47886512921281371</v>
      </c>
      <c r="F276" s="101">
        <f t="shared" si="112"/>
        <v>6009.1078138727889</v>
      </c>
      <c r="G276" s="104">
        <f t="shared" si="113"/>
        <v>1.5706299127388355</v>
      </c>
      <c r="H276" s="113">
        <f t="shared" si="114"/>
        <v>751.13913198915554</v>
      </c>
      <c r="I276" s="114">
        <f t="shared" si="115"/>
        <v>1.5694650151206528</v>
      </c>
      <c r="J276" s="101">
        <f t="shared" si="116"/>
        <v>1.4900252224397195</v>
      </c>
      <c r="K276" s="104">
        <f t="shared" si="117"/>
        <v>0.83506488956040759</v>
      </c>
      <c r="L276" s="102">
        <f t="shared" si="118"/>
        <v>1</v>
      </c>
      <c r="M276" s="103">
        <f t="shared" si="119"/>
        <v>7.1800000458322497E-10</v>
      </c>
      <c r="N276" s="101">
        <f t="shared" si="120"/>
        <v>1</v>
      </c>
      <c r="O276" s="104">
        <f t="shared" si="121"/>
        <v>9.5733333944429981E-11</v>
      </c>
      <c r="P276" s="105">
        <f t="shared" ca="1" si="122"/>
        <v>1.366385695627258</v>
      </c>
      <c r="Q276" s="106">
        <f t="shared" ca="1" si="123"/>
        <v>0.78237966257433667</v>
      </c>
      <c r="R276" s="107">
        <f t="shared" ca="1" si="124"/>
        <v>-11.699936083241687</v>
      </c>
      <c r="S276" s="108">
        <f t="shared" ca="1" si="125"/>
        <v>-155.24408023071879</v>
      </c>
      <c r="T276" s="116">
        <f t="shared" ca="1" si="126"/>
        <v>24.755919769281206</v>
      </c>
      <c r="V276" s="72">
        <f t="shared" ca="1" si="127"/>
        <v>17580.5</v>
      </c>
      <c r="W276" s="72">
        <f t="shared" si="128"/>
        <v>309073980.25</v>
      </c>
      <c r="Y276" s="110">
        <f t="shared" si="129"/>
        <v>42.556735090298346</v>
      </c>
      <c r="Z276" s="111">
        <f t="shared" si="130"/>
        <v>-47.912437527550928</v>
      </c>
      <c r="AA276" s="72">
        <f t="shared" si="131"/>
        <v>132.08756247244906</v>
      </c>
      <c r="AB276" s="110">
        <f t="shared" ca="1" si="132"/>
        <v>-36.75544590570604</v>
      </c>
      <c r="AC276" s="111">
        <f t="shared" ca="1" si="133"/>
        <v>-107.33164270316789</v>
      </c>
      <c r="AD276" s="72">
        <f t="shared" ca="1" si="134"/>
        <v>72.668357296832113</v>
      </c>
    </row>
    <row r="277" spans="1:30">
      <c r="A277" s="118">
        <v>17681.75</v>
      </c>
      <c r="B277" s="101">
        <f t="shared" ca="1" si="108"/>
        <v>985.74332746370305</v>
      </c>
      <c r="C277" s="102">
        <f t="shared" ca="1" si="109"/>
        <v>1.5697818637560288</v>
      </c>
      <c r="D277" s="102">
        <f t="shared" si="110"/>
        <v>1.1281180244202706</v>
      </c>
      <c r="E277" s="103">
        <f t="shared" si="111"/>
        <v>0.48121744699214847</v>
      </c>
      <c r="F277" s="101">
        <f t="shared" si="112"/>
        <v>6043.7155980287253</v>
      </c>
      <c r="G277" s="104">
        <f t="shared" si="113"/>
        <v>1.5706308656661683</v>
      </c>
      <c r="H277" s="113">
        <f t="shared" si="114"/>
        <v>755.46510125650104</v>
      </c>
      <c r="I277" s="114">
        <f t="shared" si="115"/>
        <v>1.5694726385260911</v>
      </c>
      <c r="J277" s="101">
        <f t="shared" si="116"/>
        <v>1.4947475218293262</v>
      </c>
      <c r="K277" s="104">
        <f t="shared" si="117"/>
        <v>0.83792125670026063</v>
      </c>
      <c r="L277" s="102">
        <f t="shared" si="118"/>
        <v>1</v>
      </c>
      <c r="M277" s="103">
        <f t="shared" si="119"/>
        <v>7.2213512590878741E-10</v>
      </c>
      <c r="N277" s="101">
        <f t="shared" si="120"/>
        <v>1</v>
      </c>
      <c r="O277" s="104">
        <f t="shared" si="121"/>
        <v>9.6284683454504984E-11</v>
      </c>
      <c r="P277" s="105">
        <f t="shared" ca="1" si="122"/>
        <v>1.3700497777415761</v>
      </c>
      <c r="Q277" s="106">
        <f t="shared" ca="1" si="123"/>
        <v>0.78543523720185582</v>
      </c>
      <c r="R277" s="107">
        <f t="shared" ca="1" si="124"/>
        <v>-11.789923635738404</v>
      </c>
      <c r="S277" s="108">
        <f t="shared" ca="1" si="125"/>
        <v>-155.44798422304692</v>
      </c>
      <c r="T277" s="116">
        <f t="shared" ca="1" si="126"/>
        <v>24.552015776953084</v>
      </c>
      <c r="V277" s="72">
        <f t="shared" ca="1" si="127"/>
        <v>17681.75</v>
      </c>
      <c r="W277" s="72">
        <f t="shared" si="128"/>
        <v>312644283.0625</v>
      </c>
      <c r="Y277" s="110">
        <f t="shared" si="129"/>
        <v>42.52925056252473</v>
      </c>
      <c r="Z277" s="111">
        <f t="shared" si="130"/>
        <v>-48.07571311914284</v>
      </c>
      <c r="AA277" s="72">
        <f t="shared" si="131"/>
        <v>131.92428688085715</v>
      </c>
      <c r="AB277" s="110">
        <f t="shared" ca="1" si="132"/>
        <v>-36.817948930429139</v>
      </c>
      <c r="AC277" s="111">
        <f t="shared" ca="1" si="133"/>
        <v>-107.37227110390408</v>
      </c>
      <c r="AD277" s="72">
        <f t="shared" ca="1" si="134"/>
        <v>72.627728896095917</v>
      </c>
    </row>
    <row r="278" spans="1:30">
      <c r="A278" s="118">
        <v>17783</v>
      </c>
      <c r="B278" s="101">
        <f t="shared" ca="1" si="108"/>
        <v>991.38792765790015</v>
      </c>
      <c r="C278" s="102">
        <f t="shared" ca="1" si="109"/>
        <v>1.5697876397394295</v>
      </c>
      <c r="D278" s="102">
        <f t="shared" si="110"/>
        <v>1.1295050866438887</v>
      </c>
      <c r="E278" s="103">
        <f t="shared" si="111"/>
        <v>0.48356400031206243</v>
      </c>
      <c r="F278" s="101">
        <f t="shared" si="112"/>
        <v>6078.3233821900876</v>
      </c>
      <c r="G278" s="104">
        <f t="shared" si="113"/>
        <v>1.5706318077422512</v>
      </c>
      <c r="H278" s="113">
        <f t="shared" si="114"/>
        <v>759.79107056725161</v>
      </c>
      <c r="I278" s="114">
        <f t="shared" si="115"/>
        <v>1.5694801751218286</v>
      </c>
      <c r="J278" s="101">
        <f t="shared" si="116"/>
        <v>1.4994819397432562</v>
      </c>
      <c r="K278" s="104">
        <f t="shared" si="117"/>
        <v>0.84075960966561158</v>
      </c>
      <c r="L278" s="102">
        <f t="shared" si="118"/>
        <v>1</v>
      </c>
      <c r="M278" s="103">
        <f t="shared" si="119"/>
        <v>7.2627024723434995E-10</v>
      </c>
      <c r="N278" s="101">
        <f t="shared" si="120"/>
        <v>1</v>
      </c>
      <c r="O278" s="104">
        <f t="shared" si="121"/>
        <v>9.6836032964579987E-11</v>
      </c>
      <c r="P278" s="105">
        <f t="shared" ca="1" si="122"/>
        <v>1.3737251377471544</v>
      </c>
      <c r="Q278" s="106">
        <f t="shared" ca="1" si="123"/>
        <v>0.78847554208474957</v>
      </c>
      <c r="R278" s="107">
        <f t="shared" ca="1" si="124"/>
        <v>-11.879584188292663</v>
      </c>
      <c r="S278" s="108">
        <f t="shared" ca="1" si="125"/>
        <v>-155.65031200667249</v>
      </c>
      <c r="T278" s="116">
        <f t="shared" ca="1" si="126"/>
        <v>24.349687993327507</v>
      </c>
      <c r="V278" s="72">
        <f t="shared" ca="1" si="127"/>
        <v>17783</v>
      </c>
      <c r="W278" s="72">
        <f t="shared" si="128"/>
        <v>316235089</v>
      </c>
      <c r="Y278" s="110">
        <f t="shared" si="129"/>
        <v>42.501782532010772</v>
      </c>
      <c r="Z278" s="111">
        <f t="shared" si="130"/>
        <v>-48.237960926661835</v>
      </c>
      <c r="AA278" s="72">
        <f t="shared" si="131"/>
        <v>131.76203907333817</v>
      </c>
      <c r="AB278" s="110">
        <f t="shared" ca="1" si="132"/>
        <v>-36.880141452469438</v>
      </c>
      <c r="AC278" s="111">
        <f t="shared" ca="1" si="133"/>
        <v>-107.41235108001061</v>
      </c>
      <c r="AD278" s="72">
        <f t="shared" ca="1" si="134"/>
        <v>72.587648919989391</v>
      </c>
    </row>
    <row r="279" spans="1:30">
      <c r="A279" s="118">
        <v>17886.5</v>
      </c>
      <c r="B279" s="101">
        <f t="shared" ca="1" si="108"/>
        <v>997.15796344576222</v>
      </c>
      <c r="C279" s="102">
        <f t="shared" ca="1" si="109"/>
        <v>1.5697934764900536</v>
      </c>
      <c r="D279" s="102">
        <f t="shared" si="110"/>
        <v>1.1309293847650177</v>
      </c>
      <c r="E279" s="103">
        <f t="shared" si="111"/>
        <v>0.48595673645895865</v>
      </c>
      <c r="F279" s="101">
        <f t="shared" si="112"/>
        <v>6113.7002282272133</v>
      </c>
      <c r="G279" s="104">
        <f t="shared" si="113"/>
        <v>1.5706327597295959</v>
      </c>
      <c r="H279" s="113">
        <f t="shared" si="114"/>
        <v>764.21317257344708</v>
      </c>
      <c r="I279" s="114">
        <f t="shared" si="115"/>
        <v>1.5694877910076761</v>
      </c>
      <c r="J279" s="101">
        <f t="shared" si="116"/>
        <v>1.504333973273932</v>
      </c>
      <c r="K279" s="104">
        <f t="shared" si="117"/>
        <v>0.84364254775681169</v>
      </c>
      <c r="L279" s="102">
        <f t="shared" si="118"/>
        <v>1</v>
      </c>
      <c r="M279" s="103">
        <f t="shared" si="119"/>
        <v>7.3049726014492494E-10</v>
      </c>
      <c r="N279" s="101">
        <f t="shared" si="120"/>
        <v>1</v>
      </c>
      <c r="O279" s="104">
        <f t="shared" si="121"/>
        <v>9.7399634685989984E-11</v>
      </c>
      <c r="P279" s="105">
        <f t="shared" ca="1" si="122"/>
        <v>1.3774937366972706</v>
      </c>
      <c r="Q279" s="106">
        <f t="shared" ca="1" si="123"/>
        <v>0.79156770575731583</v>
      </c>
      <c r="R279" s="107">
        <f t="shared" ca="1" si="124"/>
        <v>-11.97090127532185</v>
      </c>
      <c r="S279" s="108">
        <f t="shared" ca="1" si="125"/>
        <v>-155.855519045134</v>
      </c>
      <c r="T279" s="116">
        <f t="shared" ca="1" si="126"/>
        <v>24.144480954865998</v>
      </c>
      <c r="V279" s="72">
        <f t="shared" ca="1" si="127"/>
        <v>17886.5</v>
      </c>
      <c r="W279" s="72">
        <f t="shared" si="128"/>
        <v>319926882.25</v>
      </c>
      <c r="Y279" s="110">
        <f t="shared" si="129"/>
        <v>42.473721962395985</v>
      </c>
      <c r="Z279" s="111">
        <f t="shared" si="130"/>
        <v>-48.402759298604195</v>
      </c>
      <c r="AA279" s="72">
        <f t="shared" si="131"/>
        <v>131.5972407013958</v>
      </c>
      <c r="AB279" s="110">
        <f t="shared" ca="1" si="132"/>
        <v>-36.943397969883833</v>
      </c>
      <c r="AC279" s="111">
        <f t="shared" ca="1" si="133"/>
        <v>-107.45275974652982</v>
      </c>
      <c r="AD279" s="72">
        <f t="shared" ca="1" si="134"/>
        <v>72.547240253470179</v>
      </c>
    </row>
    <row r="280" spans="1:30">
      <c r="A280" s="118">
        <v>17990</v>
      </c>
      <c r="B280" s="101">
        <f t="shared" ca="1" si="108"/>
        <v>1002.9279992672043</v>
      </c>
      <c r="C280" s="102">
        <f t="shared" ca="1" si="109"/>
        <v>1.5697992460808019</v>
      </c>
      <c r="D280" s="102">
        <f t="shared" si="110"/>
        <v>1.1323601413578011</v>
      </c>
      <c r="E280" s="103">
        <f t="shared" si="111"/>
        <v>0.48834343971459204</v>
      </c>
      <c r="F280" s="101">
        <f t="shared" si="112"/>
        <v>6149.0770742698169</v>
      </c>
      <c r="G280" s="104">
        <f t="shared" si="113"/>
        <v>1.5706337007630011</v>
      </c>
      <c r="H280" s="113">
        <f t="shared" si="114"/>
        <v>768.63527462345814</v>
      </c>
      <c r="I280" s="114">
        <f t="shared" si="115"/>
        <v>1.5694953192623013</v>
      </c>
      <c r="J280" s="101">
        <f t="shared" si="116"/>
        <v>1.5091984293696028</v>
      </c>
      <c r="K280" s="104">
        <f t="shared" si="117"/>
        <v>0.84650692492562429</v>
      </c>
      <c r="L280" s="102">
        <f t="shared" si="118"/>
        <v>1</v>
      </c>
      <c r="M280" s="103">
        <f t="shared" si="119"/>
        <v>7.3472427305549994E-10</v>
      </c>
      <c r="N280" s="101">
        <f t="shared" si="120"/>
        <v>1</v>
      </c>
      <c r="O280" s="104">
        <f t="shared" si="121"/>
        <v>9.7963236407399981E-11</v>
      </c>
      <c r="P280" s="105">
        <f t="shared" ca="1" si="122"/>
        <v>1.3812739337080668</v>
      </c>
      <c r="Q280" s="106">
        <f t="shared" ca="1" si="123"/>
        <v>0.79464407392389191</v>
      </c>
      <c r="R280" s="107">
        <f t="shared" ca="1" si="124"/>
        <v>-12.061880815821528</v>
      </c>
      <c r="S280" s="108">
        <f t="shared" ca="1" si="125"/>
        <v>-156.05910380976337</v>
      </c>
      <c r="T280" s="116">
        <f t="shared" ca="1" si="126"/>
        <v>23.940896190236629</v>
      </c>
      <c r="V280" s="72">
        <f t="shared" ca="1" si="127"/>
        <v>17990</v>
      </c>
      <c r="W280" s="72">
        <f t="shared" si="128"/>
        <v>323640100</v>
      </c>
      <c r="Y280" s="110">
        <f t="shared" si="129"/>
        <v>42.445680258245901</v>
      </c>
      <c r="Z280" s="111">
        <f t="shared" si="130"/>
        <v>-48.566498601313356</v>
      </c>
      <c r="AA280" s="72">
        <f t="shared" si="131"/>
        <v>131.43350139868664</v>
      </c>
      <c r="AB280" s="110">
        <f t="shared" ca="1" si="132"/>
        <v>-37.006335806233423</v>
      </c>
      <c r="AC280" s="111">
        <f t="shared" ca="1" si="133"/>
        <v>-107.49260520845002</v>
      </c>
      <c r="AD280" s="72">
        <f t="shared" ca="1" si="134"/>
        <v>72.507394791549984</v>
      </c>
    </row>
    <row r="281" spans="1:30">
      <c r="A281" s="118">
        <v>18093.5</v>
      </c>
      <c r="B281" s="101">
        <f t="shared" ca="1" si="108"/>
        <v>1008.69803512165</v>
      </c>
      <c r="C281" s="102">
        <f t="shared" ca="1" si="109"/>
        <v>1.5698049496641935</v>
      </c>
      <c r="D281" s="102">
        <f t="shared" si="110"/>
        <v>1.1337973319720998</v>
      </c>
      <c r="E281" s="103">
        <f t="shared" si="111"/>
        <v>0.49072410577848863</v>
      </c>
      <c r="F281" s="101">
        <f t="shared" si="112"/>
        <v>6184.4539203178028</v>
      </c>
      <c r="G281" s="104">
        <f t="shared" si="113"/>
        <v>1.5706346310304455</v>
      </c>
      <c r="H281" s="113">
        <f t="shared" si="114"/>
        <v>773.05737671653287</v>
      </c>
      <c r="I281" s="114">
        <f t="shared" si="115"/>
        <v>1.5695027613895283</v>
      </c>
      <c r="J281" s="101">
        <f t="shared" si="116"/>
        <v>1.5140751882957526</v>
      </c>
      <c r="K281" s="104">
        <f t="shared" si="117"/>
        <v>0.84935287329400733</v>
      </c>
      <c r="L281" s="102">
        <f t="shared" si="118"/>
        <v>1</v>
      </c>
      <c r="M281" s="103">
        <f t="shared" si="119"/>
        <v>7.3895128596607494E-10</v>
      </c>
      <c r="N281" s="101">
        <f t="shared" si="120"/>
        <v>1</v>
      </c>
      <c r="O281" s="104">
        <f t="shared" si="121"/>
        <v>9.8526838128809991E-11</v>
      </c>
      <c r="P281" s="105">
        <f t="shared" ca="1" si="122"/>
        <v>1.3850656355404647</v>
      </c>
      <c r="Q281" s="106">
        <f t="shared" ca="1" si="123"/>
        <v>0.79770472793891467</v>
      </c>
      <c r="R281" s="107">
        <f t="shared" ca="1" si="124"/>
        <v>-12.152524863431676</v>
      </c>
      <c r="S281" s="108">
        <f t="shared" ca="1" si="125"/>
        <v>-156.26107876889813</v>
      </c>
      <c r="T281" s="116">
        <f t="shared" ca="1" si="126"/>
        <v>23.73892123110187</v>
      </c>
      <c r="V281" s="72">
        <f t="shared" ca="1" si="127"/>
        <v>18093.5</v>
      </c>
      <c r="W281" s="72">
        <f t="shared" si="128"/>
        <v>327374742.25</v>
      </c>
      <c r="Y281" s="110">
        <f t="shared" si="129"/>
        <v>42.417658215451645</v>
      </c>
      <c r="Z281" s="111">
        <f t="shared" si="130"/>
        <v>-48.729186329427527</v>
      </c>
      <c r="AA281" s="72">
        <f t="shared" si="131"/>
        <v>131.27081367057247</v>
      </c>
      <c r="AB281" s="110">
        <f t="shared" ca="1" si="132"/>
        <v>-37.068957811049316</v>
      </c>
      <c r="AC281" s="111">
        <f t="shared" ca="1" si="133"/>
        <v>-107.53189243947061</v>
      </c>
      <c r="AD281" s="72">
        <f t="shared" ca="1" si="134"/>
        <v>72.46810756052939</v>
      </c>
    </row>
    <row r="282" spans="1:30">
      <c r="A282" s="118">
        <v>18197</v>
      </c>
      <c r="B282" s="101">
        <f t="shared" ca="1" si="108"/>
        <v>1014.4680710085364</v>
      </c>
      <c r="C282" s="102">
        <f t="shared" ca="1" si="109"/>
        <v>1.5698105883665274</v>
      </c>
      <c r="D282" s="102">
        <f t="shared" si="110"/>
        <v>1.1352409321719152</v>
      </c>
      <c r="E282" s="103">
        <f t="shared" si="111"/>
        <v>0.49309873064563015</v>
      </c>
      <c r="F282" s="101">
        <f t="shared" si="112"/>
        <v>6219.8307663710812</v>
      </c>
      <c r="G282" s="104">
        <f t="shared" si="113"/>
        <v>1.5706355507156318</v>
      </c>
      <c r="H282" s="113">
        <f t="shared" si="114"/>
        <v>777.47947885193673</v>
      </c>
      <c r="I282" s="114">
        <f t="shared" si="115"/>
        <v>1.5695101188589669</v>
      </c>
      <c r="J282" s="101">
        <f t="shared" si="116"/>
        <v>1.5189641315546476</v>
      </c>
      <c r="K282" s="104">
        <f t="shared" si="117"/>
        <v>0.85218052448345416</v>
      </c>
      <c r="L282" s="102">
        <f t="shared" si="118"/>
        <v>1</v>
      </c>
      <c r="M282" s="103">
        <f t="shared" si="119"/>
        <v>7.4317829887664994E-10</v>
      </c>
      <c r="N282" s="101">
        <f t="shared" si="120"/>
        <v>1</v>
      </c>
      <c r="O282" s="104">
        <f t="shared" si="121"/>
        <v>9.9090439850219989E-11</v>
      </c>
      <c r="P282" s="105">
        <f t="shared" ca="1" si="122"/>
        <v>1.3888687496960408</v>
      </c>
      <c r="Q282" s="106">
        <f t="shared" ca="1" si="123"/>
        <v>0.80074974930363674</v>
      </c>
      <c r="R282" s="107">
        <f t="shared" ca="1" si="124"/>
        <v>-12.242835443923239</v>
      </c>
      <c r="S282" s="108">
        <f t="shared" ca="1" si="125"/>
        <v>-156.461456353898</v>
      </c>
      <c r="T282" s="116">
        <f t="shared" ca="1" si="126"/>
        <v>23.538543646101999</v>
      </c>
      <c r="V282" s="72">
        <f t="shared" ca="1" si="127"/>
        <v>18197</v>
      </c>
      <c r="W282" s="72">
        <f t="shared" si="128"/>
        <v>331130809</v>
      </c>
      <c r="Y282" s="110">
        <f t="shared" si="129"/>
        <v>42.389656612472578</v>
      </c>
      <c r="Z282" s="111">
        <f t="shared" si="130"/>
        <v>-48.890829950625722</v>
      </c>
      <c r="AA282" s="72">
        <f t="shared" si="131"/>
        <v>131.10917004937428</v>
      </c>
      <c r="AB282" s="110">
        <f t="shared" ca="1" si="132"/>
        <v>-37.131266788561817</v>
      </c>
      <c r="AC282" s="111">
        <f t="shared" ca="1" si="133"/>
        <v>-107.57062640327226</v>
      </c>
      <c r="AD282" s="72">
        <f t="shared" ca="1" si="134"/>
        <v>72.429373596727743</v>
      </c>
    </row>
    <row r="283" spans="1:30">
      <c r="A283" s="118">
        <v>18303</v>
      </c>
      <c r="B283" s="101">
        <f t="shared" ca="1" si="108"/>
        <v>1020.3774797759824</v>
      </c>
      <c r="C283" s="102">
        <f t="shared" ca="1" si="109"/>
        <v>1.5698162971687077</v>
      </c>
      <c r="D283" s="102">
        <f t="shared" si="110"/>
        <v>1.136726020112274</v>
      </c>
      <c r="E283" s="103">
        <f t="shared" si="111"/>
        <v>0.49552444788137817</v>
      </c>
      <c r="F283" s="101">
        <f t="shared" si="112"/>
        <v>6256.0621256194418</v>
      </c>
      <c r="G283" s="104">
        <f t="shared" si="113"/>
        <v>1.5706364818342522</v>
      </c>
      <c r="H283" s="113">
        <f t="shared" si="114"/>
        <v>782.0083950917068</v>
      </c>
      <c r="I283" s="114">
        <f t="shared" si="115"/>
        <v>1.5695175677958706</v>
      </c>
      <c r="J283" s="101">
        <f t="shared" si="116"/>
        <v>1.5239836720535376</v>
      </c>
      <c r="K283" s="104">
        <f t="shared" si="117"/>
        <v>0.85505764795253458</v>
      </c>
      <c r="L283" s="102">
        <f t="shared" si="118"/>
        <v>1</v>
      </c>
      <c r="M283" s="103">
        <f t="shared" si="119"/>
        <v>7.4750741354834993E-10</v>
      </c>
      <c r="N283" s="101">
        <f t="shared" si="120"/>
        <v>1</v>
      </c>
      <c r="O283" s="104">
        <f t="shared" si="121"/>
        <v>9.9667655139779992E-11</v>
      </c>
      <c r="P283" s="105">
        <f t="shared" ca="1" si="122"/>
        <v>1.3927754597819495</v>
      </c>
      <c r="Q283" s="106">
        <f t="shared" ca="1" si="123"/>
        <v>0.80385220359108245</v>
      </c>
      <c r="R283" s="107">
        <f t="shared" ca="1" si="124"/>
        <v>-12.334983881158726</v>
      </c>
      <c r="S283" s="108">
        <f t="shared" ca="1" si="125"/>
        <v>-156.66503120952612</v>
      </c>
      <c r="T283" s="116">
        <f t="shared" ca="1" si="126"/>
        <v>23.33496879047388</v>
      </c>
      <c r="V283" s="72">
        <f t="shared" ca="1" si="127"/>
        <v>18303</v>
      </c>
      <c r="W283" s="72">
        <f t="shared" si="128"/>
        <v>334999809</v>
      </c>
      <c r="Y283" s="110">
        <f t="shared" si="129"/>
        <v>42.361000623975855</v>
      </c>
      <c r="Z283" s="111">
        <f t="shared" si="130"/>
        <v>-49.055303539035769</v>
      </c>
      <c r="AA283" s="72">
        <f t="shared" si="131"/>
        <v>130.94469646096422</v>
      </c>
      <c r="AB283" s="110">
        <f t="shared" ca="1" si="132"/>
        <v>-37.19475923730058</v>
      </c>
      <c r="AC283" s="111">
        <f t="shared" ca="1" si="133"/>
        <v>-107.60972767049036</v>
      </c>
      <c r="AD283" s="72">
        <f t="shared" ca="1" si="134"/>
        <v>72.390272329509642</v>
      </c>
    </row>
    <row r="284" spans="1:30">
      <c r="A284" s="118">
        <v>18409</v>
      </c>
      <c r="B284" s="101">
        <f t="shared" ca="1" si="108"/>
        <v>1026.2868885763</v>
      </c>
      <c r="C284" s="102">
        <f t="shared" ca="1" si="109"/>
        <v>1.5698219402277784</v>
      </c>
      <c r="D284" s="102">
        <f t="shared" si="110"/>
        <v>1.1382177791900348</v>
      </c>
      <c r="E284" s="103">
        <f t="shared" si="111"/>
        <v>0.49794382098566059</v>
      </c>
      <c r="F284" s="101">
        <f t="shared" si="112"/>
        <v>6292.2934848731638</v>
      </c>
      <c r="G284" s="104">
        <f t="shared" si="113"/>
        <v>1.570637402230012</v>
      </c>
      <c r="H284" s="113">
        <f t="shared" si="114"/>
        <v>786.53731137436807</v>
      </c>
      <c r="I284" s="114">
        <f t="shared" si="115"/>
        <v>1.5695249309501647</v>
      </c>
      <c r="J284" s="101">
        <f t="shared" si="116"/>
        <v>1.5290157449555062</v>
      </c>
      <c r="K284" s="104">
        <f t="shared" si="117"/>
        <v>0.857915857416363</v>
      </c>
      <c r="L284" s="102">
        <f t="shared" si="118"/>
        <v>1</v>
      </c>
      <c r="M284" s="103">
        <f t="shared" si="119"/>
        <v>7.5183652822004992E-10</v>
      </c>
      <c r="N284" s="101">
        <f t="shared" si="120"/>
        <v>1</v>
      </c>
      <c r="O284" s="104">
        <f t="shared" si="121"/>
        <v>1.0024487042933998E-10</v>
      </c>
      <c r="P284" s="105">
        <f t="shared" ca="1" si="122"/>
        <v>1.3966939461542291</v>
      </c>
      <c r="Q284" s="106">
        <f t="shared" ca="1" si="123"/>
        <v>0.80693843433713852</v>
      </c>
      <c r="R284" s="107">
        <f t="shared" ca="1" si="124"/>
        <v>-12.426786762311954</v>
      </c>
      <c r="S284" s="108">
        <f t="shared" ca="1" si="125"/>
        <v>-156.86695685778912</v>
      </c>
      <c r="T284" s="116">
        <f t="shared" ca="1" si="126"/>
        <v>23.13304314221088</v>
      </c>
      <c r="V284" s="72">
        <f t="shared" ca="1" si="127"/>
        <v>18409</v>
      </c>
      <c r="W284" s="72">
        <f t="shared" si="128"/>
        <v>338891281</v>
      </c>
      <c r="Y284" s="110">
        <f t="shared" si="129"/>
        <v>42.332367672555947</v>
      </c>
      <c r="Z284" s="111">
        <f t="shared" si="130"/>
        <v>-49.218697735376772</v>
      </c>
      <c r="AA284" s="72">
        <f t="shared" si="131"/>
        <v>130.78130226462324</v>
      </c>
      <c r="AB284" s="110">
        <f t="shared" ca="1" si="132"/>
        <v>-37.257929167033907</v>
      </c>
      <c r="AC284" s="111">
        <f t="shared" ca="1" si="133"/>
        <v>-107.64825912241236</v>
      </c>
      <c r="AD284" s="72">
        <f t="shared" ca="1" si="134"/>
        <v>72.351740877587645</v>
      </c>
    </row>
    <row r="285" spans="1:30">
      <c r="A285" s="118">
        <v>18515</v>
      </c>
      <c r="B285" s="101">
        <f t="shared" ca="1" si="108"/>
        <v>1032.1962974089245</v>
      </c>
      <c r="C285" s="102">
        <f t="shared" ca="1" si="109"/>
        <v>1.5698275186728932</v>
      </c>
      <c r="D285" s="102">
        <f t="shared" si="110"/>
        <v>1.1397161832099139</v>
      </c>
      <c r="E285" s="103">
        <f t="shared" si="111"/>
        <v>0.50035684660243518</v>
      </c>
      <c r="F285" s="101">
        <f t="shared" si="112"/>
        <v>6328.5248441321555</v>
      </c>
      <c r="G285" s="104">
        <f t="shared" si="113"/>
        <v>1.570638312087079</v>
      </c>
      <c r="H285" s="113">
        <f t="shared" si="114"/>
        <v>791.0662276991842</v>
      </c>
      <c r="I285" s="114">
        <f t="shared" si="115"/>
        <v>1.5695322097951854</v>
      </c>
      <c r="J285" s="101">
        <f t="shared" si="116"/>
        <v>1.5340602269330028</v>
      </c>
      <c r="K285" s="104">
        <f t="shared" si="117"/>
        <v>0.86075529253113303</v>
      </c>
      <c r="L285" s="102">
        <f t="shared" si="118"/>
        <v>1</v>
      </c>
      <c r="M285" s="103">
        <f t="shared" si="119"/>
        <v>7.5616564289174991E-10</v>
      </c>
      <c r="N285" s="101">
        <f t="shared" si="120"/>
        <v>1</v>
      </c>
      <c r="O285" s="104">
        <f t="shared" si="121"/>
        <v>1.0082208571889998E-10</v>
      </c>
      <c r="P285" s="105">
        <f t="shared" ca="1" si="122"/>
        <v>1.4006241118474108</v>
      </c>
      <c r="Q285" s="106">
        <f t="shared" ca="1" si="123"/>
        <v>0.81000852945269863</v>
      </c>
      <c r="R285" s="107">
        <f t="shared" ca="1" si="124"/>
        <v>-12.518246178251633</v>
      </c>
      <c r="S285" s="108">
        <f t="shared" ca="1" si="125"/>
        <v>-157.0672465204396</v>
      </c>
      <c r="T285" s="116">
        <f t="shared" ca="1" si="126"/>
        <v>22.932753479560404</v>
      </c>
      <c r="V285" s="72">
        <f t="shared" ca="1" si="127"/>
        <v>18515</v>
      </c>
      <c r="W285" s="72">
        <f t="shared" si="128"/>
        <v>342805225</v>
      </c>
      <c r="Y285" s="110">
        <f t="shared" si="129"/>
        <v>42.303758539390913</v>
      </c>
      <c r="Z285" s="111">
        <f t="shared" si="130"/>
        <v>-49.381020467495361</v>
      </c>
      <c r="AA285" s="72">
        <f t="shared" si="131"/>
        <v>130.61897953250462</v>
      </c>
      <c r="AB285" s="110">
        <f t="shared" ca="1" si="132"/>
        <v>-37.320779449808548</v>
      </c>
      <c r="AC285" s="111">
        <f t="shared" ca="1" si="133"/>
        <v>-107.68622605294422</v>
      </c>
      <c r="AD285" s="72">
        <f t="shared" ca="1" si="134"/>
        <v>72.313773947055779</v>
      </c>
    </row>
    <row r="286" spans="1:30">
      <c r="A286" s="118">
        <v>18621</v>
      </c>
      <c r="B286" s="101">
        <f t="shared" ca="1" si="108"/>
        <v>1038.1057062733043</v>
      </c>
      <c r="C286" s="102">
        <f t="shared" ca="1" si="109"/>
        <v>1.5698330336074953</v>
      </c>
      <c r="D286" s="102">
        <f t="shared" si="110"/>
        <v>1.1412212059978237</v>
      </c>
      <c r="E286" s="103">
        <f t="shared" si="111"/>
        <v>0.50276352168891991</v>
      </c>
      <c r="F286" s="101">
        <f t="shared" si="112"/>
        <v>6364.7562033963259</v>
      </c>
      <c r="G286" s="104">
        <f t="shared" si="113"/>
        <v>1.570639211585428</v>
      </c>
      <c r="H286" s="113">
        <f t="shared" si="114"/>
        <v>795.59514406543497</v>
      </c>
      <c r="I286" s="114">
        <f t="shared" si="115"/>
        <v>1.5695394057707204</v>
      </c>
      <c r="J286" s="101">
        <f t="shared" si="116"/>
        <v>1.5391169959731681</v>
      </c>
      <c r="K286" s="104">
        <f t="shared" si="117"/>
        <v>0.86357609233536992</v>
      </c>
      <c r="L286" s="102">
        <f t="shared" si="118"/>
        <v>1</v>
      </c>
      <c r="M286" s="103">
        <f t="shared" si="119"/>
        <v>7.6049475756345E-10</v>
      </c>
      <c r="N286" s="101">
        <f t="shared" si="120"/>
        <v>1</v>
      </c>
      <c r="O286" s="104">
        <f t="shared" si="121"/>
        <v>1.0139930100845999E-10</v>
      </c>
      <c r="P286" s="105">
        <f t="shared" ca="1" si="122"/>
        <v>1.4045658606991327</v>
      </c>
      <c r="Q286" s="106">
        <f t="shared" ca="1" si="123"/>
        <v>0.8130625769314932</v>
      </c>
      <c r="R286" s="107">
        <f t="shared" ca="1" si="124"/>
        <v>-12.609364192865218</v>
      </c>
      <c r="S286" s="108">
        <f t="shared" ca="1" si="125"/>
        <v>-157.26591337084679</v>
      </c>
      <c r="T286" s="116">
        <f t="shared" ca="1" si="126"/>
        <v>22.734086629153211</v>
      </c>
      <c r="V286" s="72">
        <f t="shared" ca="1" si="127"/>
        <v>18621</v>
      </c>
      <c r="W286" s="72">
        <f t="shared" si="128"/>
        <v>346741641</v>
      </c>
      <c r="Y286" s="110">
        <f t="shared" si="129"/>
        <v>42.275173987681754</v>
      </c>
      <c r="Z286" s="111">
        <f t="shared" si="130"/>
        <v>-49.542279629530185</v>
      </c>
      <c r="AA286" s="72">
        <f t="shared" si="131"/>
        <v>130.45772037046981</v>
      </c>
      <c r="AB286" s="110">
        <f t="shared" ca="1" si="132"/>
        <v>-37.383312912712981</v>
      </c>
      <c r="AC286" s="111">
        <f t="shared" ca="1" si="133"/>
        <v>-107.72363374131663</v>
      </c>
      <c r="AD286" s="72">
        <f t="shared" ca="1" si="134"/>
        <v>72.276366258683368</v>
      </c>
    </row>
    <row r="287" spans="1:30">
      <c r="A287" s="118">
        <v>18729.5</v>
      </c>
      <c r="B287" s="101">
        <f t="shared" ca="1" si="108"/>
        <v>1044.1544880205838</v>
      </c>
      <c r="C287" s="102">
        <f t="shared" ca="1" si="109"/>
        <v>1.5698386139618419</v>
      </c>
      <c r="D287" s="102">
        <f t="shared" si="110"/>
        <v>1.1427685520728668</v>
      </c>
      <c r="E287" s="103">
        <f t="shared" si="111"/>
        <v>0.50522037816845344</v>
      </c>
      <c r="F287" s="101">
        <f t="shared" si="112"/>
        <v>6401.8420758559605</v>
      </c>
      <c r="G287" s="104">
        <f t="shared" si="113"/>
        <v>1.5706401217538759</v>
      </c>
      <c r="H287" s="113">
        <f t="shared" si="114"/>
        <v>800.23087453910523</v>
      </c>
      <c r="I287" s="114">
        <f t="shared" si="115"/>
        <v>1.5695466871070471</v>
      </c>
      <c r="J287" s="101">
        <f t="shared" si="116"/>
        <v>1.5443056276091995</v>
      </c>
      <c r="K287" s="104">
        <f t="shared" si="117"/>
        <v>0.86644426513898654</v>
      </c>
      <c r="L287" s="102">
        <f t="shared" si="118"/>
        <v>1</v>
      </c>
      <c r="M287" s="103">
        <f t="shared" si="119"/>
        <v>7.6492597399627498E-10</v>
      </c>
      <c r="N287" s="101">
        <f t="shared" si="120"/>
        <v>1</v>
      </c>
      <c r="O287" s="104">
        <f t="shared" si="121"/>
        <v>1.0199012986616998E-10</v>
      </c>
      <c r="P287" s="105">
        <f t="shared" ca="1" si="122"/>
        <v>1.4086124719530608</v>
      </c>
      <c r="Q287" s="106">
        <f t="shared" ca="1" si="123"/>
        <v>0.81617212592389998</v>
      </c>
      <c r="R287" s="107">
        <f t="shared" ca="1" si="124"/>
        <v>-12.70227976994061</v>
      </c>
      <c r="S287" s="108">
        <f t="shared" ca="1" si="125"/>
        <v>-157.46759878344832</v>
      </c>
      <c r="T287" s="116">
        <f t="shared" ca="1" si="126"/>
        <v>22.532401216551676</v>
      </c>
      <c r="V287" s="72">
        <f t="shared" ca="1" si="127"/>
        <v>18729.5</v>
      </c>
      <c r="W287" s="72">
        <f t="shared" si="128"/>
        <v>350794170.25</v>
      </c>
      <c r="Y287" s="110">
        <f t="shared" si="129"/>
        <v>42.245941508001835</v>
      </c>
      <c r="Z287" s="111">
        <f t="shared" si="130"/>
        <v>-49.706248785028905</v>
      </c>
      <c r="AA287" s="72">
        <f t="shared" si="131"/>
        <v>130.29375121497111</v>
      </c>
      <c r="AB287" s="110">
        <f t="shared" ca="1" si="132"/>
        <v>-37.44699601010845</v>
      </c>
      <c r="AC287" s="111">
        <f t="shared" ca="1" si="133"/>
        <v>-107.76134999841939</v>
      </c>
      <c r="AD287" s="72">
        <f t="shared" ca="1" si="134"/>
        <v>72.238650001580609</v>
      </c>
    </row>
    <row r="288" spans="1:30">
      <c r="A288" s="118">
        <v>18838</v>
      </c>
      <c r="B288" s="101">
        <f t="shared" ca="1" si="108"/>
        <v>1050.2032698000044</v>
      </c>
      <c r="C288" s="102">
        <f t="shared" ca="1" si="109"/>
        <v>1.5698441300346413</v>
      </c>
      <c r="D288" s="102">
        <f t="shared" si="110"/>
        <v>1.1443227773842901</v>
      </c>
      <c r="E288" s="103">
        <f t="shared" si="111"/>
        <v>0.50767057557313688</v>
      </c>
      <c r="F288" s="101">
        <f t="shared" si="112"/>
        <v>6438.9279483208393</v>
      </c>
      <c r="G288" s="104">
        <f t="shared" si="113"/>
        <v>1.5706410214378488</v>
      </c>
      <c r="H288" s="113">
        <f t="shared" si="114"/>
        <v>804.86660505471355</v>
      </c>
      <c r="I288" s="114">
        <f t="shared" si="115"/>
        <v>1.5695538845678283</v>
      </c>
      <c r="J288" s="101">
        <f t="shared" si="116"/>
        <v>1.5495068782027188</v>
      </c>
      <c r="K288" s="104">
        <f t="shared" si="117"/>
        <v>0.86929320597986803</v>
      </c>
      <c r="L288" s="102">
        <f t="shared" si="118"/>
        <v>1</v>
      </c>
      <c r="M288" s="103">
        <f t="shared" si="119"/>
        <v>7.6935719042909996E-10</v>
      </c>
      <c r="N288" s="101">
        <f t="shared" si="120"/>
        <v>1</v>
      </c>
      <c r="O288" s="104">
        <f t="shared" si="121"/>
        <v>1.0258095872387999E-10</v>
      </c>
      <c r="P288" s="105">
        <f t="shared" ca="1" si="122"/>
        <v>1.4126710178675048</v>
      </c>
      <c r="Q288" s="106">
        <f t="shared" ca="1" si="123"/>
        <v>0.819265048136125</v>
      </c>
      <c r="R288" s="107">
        <f t="shared" ca="1" si="124"/>
        <v>-12.794841944721099</v>
      </c>
      <c r="S288" s="108">
        <f t="shared" ca="1" si="125"/>
        <v>-157.66761170024176</v>
      </c>
      <c r="T288" s="116">
        <f t="shared" ca="1" si="126"/>
        <v>22.332388299758236</v>
      </c>
      <c r="V288" s="72">
        <f t="shared" ca="1" si="127"/>
        <v>18838</v>
      </c>
      <c r="W288" s="72">
        <f t="shared" si="128"/>
        <v>354870244</v>
      </c>
      <c r="Y288" s="110">
        <f t="shared" si="129"/>
        <v>42.216736344643628</v>
      </c>
      <c r="Z288" s="111">
        <f t="shared" si="130"/>
        <v>-49.869120235228515</v>
      </c>
      <c r="AA288" s="72">
        <f t="shared" si="131"/>
        <v>130.13087976477149</v>
      </c>
      <c r="AB288" s="110">
        <f t="shared" ca="1" si="132"/>
        <v>-37.510353021530726</v>
      </c>
      <c r="AC288" s="111">
        <f t="shared" ca="1" si="133"/>
        <v>-107.79849146501323</v>
      </c>
      <c r="AD288" s="72">
        <f t="shared" ca="1" si="134"/>
        <v>72.201508534986772</v>
      </c>
    </row>
    <row r="289" spans="1:30">
      <c r="A289" s="118">
        <v>18946.5</v>
      </c>
      <c r="B289" s="101">
        <f t="shared" ca="1" si="108"/>
        <v>1056.2520516110133</v>
      </c>
      <c r="C289" s="102">
        <f t="shared" ca="1" si="109"/>
        <v>1.5698495829302461</v>
      </c>
      <c r="D289" s="102">
        <f t="shared" si="110"/>
        <v>1.1458838539400336</v>
      </c>
      <c r="E289" s="103">
        <f t="shared" si="111"/>
        <v>0.51011411163973064</v>
      </c>
      <c r="F289" s="101">
        <f t="shared" si="112"/>
        <v>6476.0138207908703</v>
      </c>
      <c r="G289" s="104">
        <f t="shared" si="113"/>
        <v>1.5706419108174687</v>
      </c>
      <c r="H289" s="113">
        <f t="shared" si="114"/>
        <v>809.50233561153914</v>
      </c>
      <c r="I289" s="114">
        <f t="shared" si="115"/>
        <v>1.5695609995940387</v>
      </c>
      <c r="J289" s="101">
        <f t="shared" si="116"/>
        <v>1.5547206211052012</v>
      </c>
      <c r="K289" s="104">
        <f t="shared" si="117"/>
        <v>0.87212306186143451</v>
      </c>
      <c r="L289" s="102">
        <f t="shared" si="118"/>
        <v>1</v>
      </c>
      <c r="M289" s="103">
        <f t="shared" si="119"/>
        <v>7.7378840686192493E-10</v>
      </c>
      <c r="N289" s="101">
        <f t="shared" si="120"/>
        <v>1</v>
      </c>
      <c r="O289" s="104">
        <f t="shared" si="121"/>
        <v>1.0317178758158999E-10</v>
      </c>
      <c r="P289" s="105">
        <f t="shared" ca="1" si="122"/>
        <v>1.4167413979068104</v>
      </c>
      <c r="Q289" s="106">
        <f t="shared" ca="1" si="123"/>
        <v>0.82234143808515059</v>
      </c>
      <c r="R289" s="107">
        <f t="shared" ca="1" si="124"/>
        <v>-12.887052848144124</v>
      </c>
      <c r="S289" s="108">
        <f t="shared" ca="1" si="125"/>
        <v>-157.8659660800341</v>
      </c>
      <c r="T289" s="116">
        <f t="shared" ca="1" si="126"/>
        <v>22.134033919965901</v>
      </c>
      <c r="V289" s="72">
        <f t="shared" ca="1" si="127"/>
        <v>18946.5</v>
      </c>
      <c r="W289" s="72">
        <f t="shared" si="128"/>
        <v>358969862.25</v>
      </c>
      <c r="Y289" s="110">
        <f t="shared" si="129"/>
        <v>42.187559259508127</v>
      </c>
      <c r="Z289" s="111">
        <f t="shared" si="130"/>
        <v>-50.030902330562995</v>
      </c>
      <c r="AA289" s="72">
        <f t="shared" si="131"/>
        <v>129.96909766943702</v>
      </c>
      <c r="AB289" s="110">
        <f t="shared" ca="1" si="132"/>
        <v>-37.573386839818248</v>
      </c>
      <c r="AC289" s="111">
        <f t="shared" ca="1" si="133"/>
        <v>-107.83506374947112</v>
      </c>
      <c r="AD289" s="72">
        <f t="shared" ca="1" si="134"/>
        <v>72.164936250528882</v>
      </c>
    </row>
    <row r="290" spans="1:30">
      <c r="A290" s="118">
        <v>19055</v>
      </c>
      <c r="B290" s="101">
        <f t="shared" ca="1" si="108"/>
        <v>1062.3008334530712</v>
      </c>
      <c r="C290" s="102">
        <f t="shared" ca="1" si="109"/>
        <v>1.569854973727856</v>
      </c>
      <c r="D290" s="102">
        <f t="shared" si="110"/>
        <v>1.147451753777309</v>
      </c>
      <c r="E290" s="103">
        <f t="shared" si="111"/>
        <v>0.5125509844354742</v>
      </c>
      <c r="F290" s="101">
        <f t="shared" si="112"/>
        <v>6513.0996932659637</v>
      </c>
      <c r="G290" s="104">
        <f t="shared" si="113"/>
        <v>1.5706427900687563</v>
      </c>
      <c r="H290" s="113">
        <f t="shared" si="114"/>
        <v>814.13806620887783</v>
      </c>
      <c r="I290" s="114">
        <f t="shared" si="115"/>
        <v>1.5695680335938338</v>
      </c>
      <c r="J290" s="101">
        <f t="shared" si="116"/>
        <v>1.55994673105913</v>
      </c>
      <c r="K290" s="104">
        <f t="shared" si="117"/>
        <v>0.8749339790468954</v>
      </c>
      <c r="L290" s="102">
        <f t="shared" si="118"/>
        <v>1</v>
      </c>
      <c r="M290" s="103">
        <f t="shared" si="119"/>
        <v>7.7821962329474991E-10</v>
      </c>
      <c r="N290" s="101">
        <f t="shared" si="120"/>
        <v>1</v>
      </c>
      <c r="O290" s="104">
        <f t="shared" si="121"/>
        <v>1.0376261643929998E-10</v>
      </c>
      <c r="P290" s="105">
        <f t="shared" ca="1" si="122"/>
        <v>1.4208235124017028</v>
      </c>
      <c r="Q290" s="106">
        <f t="shared" ca="1" si="123"/>
        <v>0.82540139029938042</v>
      </c>
      <c r="R290" s="107">
        <f t="shared" ca="1" si="124"/>
        <v>-12.97891458504381</v>
      </c>
      <c r="S290" s="108">
        <f t="shared" ca="1" si="125"/>
        <v>-158.06267582114509</v>
      </c>
      <c r="T290" s="116">
        <f t="shared" ca="1" si="126"/>
        <v>21.937324178854908</v>
      </c>
      <c r="V290" s="72">
        <f t="shared" ca="1" si="127"/>
        <v>19055</v>
      </c>
      <c r="W290" s="72">
        <f t="shared" si="128"/>
        <v>363093025</v>
      </c>
      <c r="Y290" s="110">
        <f t="shared" si="129"/>
        <v>42.158410996059068</v>
      </c>
      <c r="Z290" s="111">
        <f t="shared" si="130"/>
        <v>-50.191603380700847</v>
      </c>
      <c r="AA290" s="72">
        <f t="shared" si="131"/>
        <v>129.80839661929915</v>
      </c>
      <c r="AB290" s="110">
        <f t="shared" ca="1" si="132"/>
        <v>-37.636100313268884</v>
      </c>
      <c r="AC290" s="111">
        <f t="shared" ca="1" si="133"/>
        <v>-107.87107244044425</v>
      </c>
      <c r="AD290" s="72">
        <f t="shared" ca="1" si="134"/>
        <v>72.128927559555748</v>
      </c>
    </row>
    <row r="291" spans="1:30">
      <c r="A291" s="118">
        <v>19165.75</v>
      </c>
      <c r="B291" s="101">
        <f t="shared" ca="1" si="108"/>
        <v>1068.4750508947564</v>
      </c>
      <c r="C291" s="102">
        <f t="shared" ca="1" si="109"/>
        <v>1.5698604133684189</v>
      </c>
      <c r="D291" s="102">
        <f t="shared" si="110"/>
        <v>1.1490591756542394</v>
      </c>
      <c r="E291" s="103">
        <f t="shared" si="111"/>
        <v>0.51503151782280521</v>
      </c>
      <c r="F291" s="101">
        <f t="shared" si="112"/>
        <v>6550.9546276177953</v>
      </c>
      <c r="G291" s="104">
        <f t="shared" si="113"/>
        <v>1.5706436772864314</v>
      </c>
      <c r="H291" s="113">
        <f t="shared" si="114"/>
        <v>818.86992950944102</v>
      </c>
      <c r="I291" s="114">
        <f t="shared" si="115"/>
        <v>1.5695751313247537</v>
      </c>
      <c r="J291" s="101">
        <f t="shared" si="116"/>
        <v>1.5652938423295379</v>
      </c>
      <c r="K291" s="104">
        <f t="shared" si="117"/>
        <v>0.87778380636647579</v>
      </c>
      <c r="L291" s="102">
        <f t="shared" si="118"/>
        <v>1</v>
      </c>
      <c r="M291" s="103">
        <f t="shared" si="119"/>
        <v>7.8274273131258745E-10</v>
      </c>
      <c r="N291" s="101">
        <f t="shared" si="120"/>
        <v>1</v>
      </c>
      <c r="O291" s="104">
        <f t="shared" si="121"/>
        <v>1.0436569750834498E-10</v>
      </c>
      <c r="P291" s="105">
        <f t="shared" ca="1" si="122"/>
        <v>1.4250022784295502</v>
      </c>
      <c r="Q291" s="106">
        <f t="shared" ca="1" si="123"/>
        <v>0.82850794331791633</v>
      </c>
      <c r="R291" s="107">
        <f t="shared" ca="1" si="124"/>
        <v>-13.072323345423655</v>
      </c>
      <c r="S291" s="108">
        <f t="shared" ca="1" si="125"/>
        <v>-158.26178301391016</v>
      </c>
      <c r="T291" s="116">
        <f t="shared" ca="1" si="126"/>
        <v>21.738216986089839</v>
      </c>
      <c r="V291" s="72">
        <f t="shared" ca="1" si="127"/>
        <v>19165.75</v>
      </c>
      <c r="W291" s="72">
        <f t="shared" si="128"/>
        <v>367325973.0625</v>
      </c>
      <c r="Y291" s="110">
        <f t="shared" si="129"/>
        <v>42.128688753083424</v>
      </c>
      <c r="Z291" s="111">
        <f t="shared" si="130"/>
        <v>-50.354530622217929</v>
      </c>
      <c r="AA291" s="72">
        <f t="shared" si="131"/>
        <v>129.64546937778206</v>
      </c>
      <c r="AB291" s="110">
        <f t="shared" ca="1" si="132"/>
        <v>-37.699786830673084</v>
      </c>
      <c r="AC291" s="111">
        <f t="shared" ca="1" si="133"/>
        <v>-107.90725239169228</v>
      </c>
      <c r="AD291" s="72">
        <f t="shared" ca="1" si="134"/>
        <v>72.092747608307718</v>
      </c>
    </row>
    <row r="292" spans="1:30">
      <c r="A292" s="118">
        <v>19276.5</v>
      </c>
      <c r="B292" s="101">
        <f t="shared" ca="1" si="108"/>
        <v>1074.6492683676943</v>
      </c>
      <c r="C292" s="102">
        <f t="shared" ca="1" si="109"/>
        <v>1.5698657905038933</v>
      </c>
      <c r="D292" s="102">
        <f t="shared" si="110"/>
        <v>1.15067364796634</v>
      </c>
      <c r="E292" s="103">
        <f t="shared" si="111"/>
        <v>0.51750510568527486</v>
      </c>
      <c r="F292" s="101">
        <f t="shared" si="112"/>
        <v>6588.8095619747228</v>
      </c>
      <c r="G292" s="104">
        <f t="shared" si="113"/>
        <v>1.5706445543093766</v>
      </c>
      <c r="H292" s="113">
        <f t="shared" si="114"/>
        <v>823.601792850783</v>
      </c>
      <c r="I292" s="114">
        <f t="shared" si="115"/>
        <v>1.5695821474980742</v>
      </c>
      <c r="J292" s="101">
        <f t="shared" si="116"/>
        <v>1.5706535795416363</v>
      </c>
      <c r="K292" s="104">
        <f t="shared" si="117"/>
        <v>0.8806142068999907</v>
      </c>
      <c r="L292" s="102">
        <f t="shared" si="118"/>
        <v>1</v>
      </c>
      <c r="M292" s="103">
        <f t="shared" si="119"/>
        <v>7.8726583933042499E-10</v>
      </c>
      <c r="N292" s="101">
        <f t="shared" si="120"/>
        <v>1</v>
      </c>
      <c r="O292" s="104">
        <f t="shared" si="121"/>
        <v>1.0496877857738999E-10</v>
      </c>
      <c r="P292" s="105">
        <f t="shared" ca="1" si="122"/>
        <v>1.4291930635369032</v>
      </c>
      <c r="Q292" s="106">
        <f t="shared" ca="1" si="123"/>
        <v>0.83159756876189628</v>
      </c>
      <c r="R292" s="107">
        <f t="shared" ca="1" si="124"/>
        <v>-13.165372659401296</v>
      </c>
      <c r="S292" s="108">
        <f t="shared" ca="1" si="125"/>
        <v>-158.45920571201736</v>
      </c>
      <c r="T292" s="116">
        <f t="shared" ca="1" si="126"/>
        <v>21.540794287982635</v>
      </c>
      <c r="V292" s="72">
        <f t="shared" ca="1" si="127"/>
        <v>19276.5</v>
      </c>
      <c r="W292" s="72">
        <f t="shared" si="128"/>
        <v>371583452.25</v>
      </c>
      <c r="Y292" s="110">
        <f t="shared" si="129"/>
        <v>42.098998047520681</v>
      </c>
      <c r="Z292" s="111">
        <f t="shared" si="130"/>
        <v>-50.516348879673906</v>
      </c>
      <c r="AA292" s="72">
        <f t="shared" si="131"/>
        <v>129.4836511203261</v>
      </c>
      <c r="AB292" s="110">
        <f t="shared" ca="1" si="132"/>
        <v>-37.763145439087971</v>
      </c>
      <c r="AC292" s="111">
        <f t="shared" ca="1" si="133"/>
        <v>-107.94285683234351</v>
      </c>
      <c r="AD292" s="72">
        <f t="shared" ca="1" si="134"/>
        <v>72.057143167656491</v>
      </c>
    </row>
    <row r="293" spans="1:30">
      <c r="A293" s="118">
        <v>19387.25</v>
      </c>
      <c r="B293" s="101">
        <f t="shared" ca="1" si="108"/>
        <v>1080.8234858713488</v>
      </c>
      <c r="C293" s="102">
        <f t="shared" ca="1" si="109"/>
        <v>1.5698711062054624</v>
      </c>
      <c r="D293" s="102">
        <f t="shared" si="110"/>
        <v>1.152295141078671</v>
      </c>
      <c r="E293" s="103">
        <f t="shared" si="111"/>
        <v>0.51997174701055215</v>
      </c>
      <c r="F293" s="101">
        <f t="shared" si="112"/>
        <v>6626.6644963366616</v>
      </c>
      <c r="G293" s="104">
        <f t="shared" si="113"/>
        <v>1.5706454213123044</v>
      </c>
      <c r="H293" s="113">
        <f t="shared" si="114"/>
        <v>828.33365623220504</v>
      </c>
      <c r="I293" s="114">
        <f t="shared" si="115"/>
        <v>1.5695890835114898</v>
      </c>
      <c r="J293" s="101">
        <f t="shared" si="116"/>
        <v>1.5760258138807963</v>
      </c>
      <c r="K293" s="104">
        <f t="shared" si="117"/>
        <v>0.88342533372743715</v>
      </c>
      <c r="L293" s="102">
        <f t="shared" si="118"/>
        <v>1</v>
      </c>
      <c r="M293" s="103">
        <f t="shared" si="119"/>
        <v>7.9178894734826243E-10</v>
      </c>
      <c r="N293" s="101">
        <f t="shared" si="120"/>
        <v>1</v>
      </c>
      <c r="O293" s="104">
        <f t="shared" si="121"/>
        <v>1.0557185964643499E-10</v>
      </c>
      <c r="P293" s="105">
        <f t="shared" ca="1" si="122"/>
        <v>1.4333957644899493</v>
      </c>
      <c r="Q293" s="106">
        <f t="shared" ca="1" si="123"/>
        <v>0.83467036708058184</v>
      </c>
      <c r="R293" s="107">
        <f t="shared" ca="1" si="124"/>
        <v>-13.258064686412185</v>
      </c>
      <c r="S293" s="108">
        <f t="shared" ca="1" si="125"/>
        <v>-158.65495849092807</v>
      </c>
      <c r="T293" s="116">
        <f t="shared" ca="1" si="126"/>
        <v>21.345041509071933</v>
      </c>
      <c r="V293" s="72">
        <f t="shared" ca="1" si="127"/>
        <v>19387.25</v>
      </c>
      <c r="W293" s="72">
        <f t="shared" si="128"/>
        <v>375865462.5625</v>
      </c>
      <c r="Y293" s="110">
        <f t="shared" si="129"/>
        <v>42.069339612676316</v>
      </c>
      <c r="Z293" s="111">
        <f t="shared" si="130"/>
        <v>-50.677066853834873</v>
      </c>
      <c r="AA293" s="72">
        <f t="shared" si="131"/>
        <v>129.32293314616513</v>
      </c>
      <c r="AB293" s="110">
        <f t="shared" ca="1" si="132"/>
        <v>-37.826179031254497</v>
      </c>
      <c r="AC293" s="111">
        <f t="shared" ca="1" si="133"/>
        <v>-107.97789163709322</v>
      </c>
      <c r="AD293" s="72">
        <f t="shared" ca="1" si="134"/>
        <v>72.022108362906778</v>
      </c>
    </row>
    <row r="294" spans="1:30">
      <c r="A294" s="118">
        <v>19498</v>
      </c>
      <c r="B294" s="101">
        <f t="shared" ca="1" si="108"/>
        <v>1086.9977034051969</v>
      </c>
      <c r="C294" s="102">
        <f t="shared" ca="1" si="109"/>
        <v>1.5698763615199716</v>
      </c>
      <c r="D294" s="102">
        <f t="shared" si="110"/>
        <v>1.1539236253943546</v>
      </c>
      <c r="E294" s="103">
        <f t="shared" si="111"/>
        <v>0.52243144113010154</v>
      </c>
      <c r="F294" s="101">
        <f t="shared" si="112"/>
        <v>6664.5194307035254</v>
      </c>
      <c r="G294" s="104">
        <f t="shared" si="113"/>
        <v>1.5706462784659585</v>
      </c>
      <c r="H294" s="113">
        <f t="shared" si="114"/>
        <v>833.06551965302413</v>
      </c>
      <c r="I294" s="114">
        <f t="shared" si="115"/>
        <v>1.5695959407309397</v>
      </c>
      <c r="J294" s="101">
        <f t="shared" si="116"/>
        <v>1.581410417984459</v>
      </c>
      <c r="K294" s="104">
        <f t="shared" si="117"/>
        <v>0.88621733906964228</v>
      </c>
      <c r="L294" s="102">
        <f t="shared" si="118"/>
        <v>1</v>
      </c>
      <c r="M294" s="103">
        <f t="shared" si="119"/>
        <v>7.9631205536609997E-10</v>
      </c>
      <c r="N294" s="101">
        <f t="shared" si="120"/>
        <v>1</v>
      </c>
      <c r="O294" s="104">
        <f t="shared" si="121"/>
        <v>1.0617494071547998E-10</v>
      </c>
      <c r="P294" s="105">
        <f t="shared" ca="1" si="122"/>
        <v>1.4376102789765881</v>
      </c>
      <c r="Q294" s="106">
        <f t="shared" ca="1" si="123"/>
        <v>0.83772643865690877</v>
      </c>
      <c r="R294" s="107">
        <f t="shared" ca="1" si="124"/>
        <v>-13.350401560858751</v>
      </c>
      <c r="S294" s="108">
        <f t="shared" ca="1" si="125"/>
        <v>-158.84905585357615</v>
      </c>
      <c r="T294" s="116">
        <f t="shared" ca="1" si="126"/>
        <v>21.150944146423853</v>
      </c>
      <c r="V294" s="72">
        <f t="shared" ca="1" si="127"/>
        <v>19498</v>
      </c>
      <c r="W294" s="72">
        <f t="shared" si="128"/>
        <v>380172004</v>
      </c>
      <c r="Y294" s="110">
        <f t="shared" si="129"/>
        <v>42.039714163215933</v>
      </c>
      <c r="Z294" s="111">
        <f t="shared" si="130"/>
        <v>-50.836693197832091</v>
      </c>
      <c r="AA294" s="72">
        <f t="shared" si="131"/>
        <v>129.16330680216791</v>
      </c>
      <c r="AB294" s="110">
        <f t="shared" ca="1" si="132"/>
        <v>-37.888890456240681</v>
      </c>
      <c r="AC294" s="111">
        <f t="shared" ca="1" si="133"/>
        <v>-108.0123626557441</v>
      </c>
      <c r="AD294" s="72">
        <f t="shared" ca="1" si="134"/>
        <v>71.987637344255901</v>
      </c>
    </row>
    <row r="295" spans="1:30">
      <c r="A295" s="118">
        <v>19611.75</v>
      </c>
      <c r="B295" s="101">
        <f t="shared" ca="1" si="108"/>
        <v>1093.339168397493</v>
      </c>
      <c r="C295" s="102">
        <f t="shared" ca="1" si="109"/>
        <v>1.5698816974023631</v>
      </c>
      <c r="D295" s="102">
        <f t="shared" si="110"/>
        <v>1.1556034689406001</v>
      </c>
      <c r="E295" s="103">
        <f t="shared" si="111"/>
        <v>0.52495053115634716</v>
      </c>
      <c r="F295" s="101">
        <f t="shared" si="112"/>
        <v>6703.3997809047778</v>
      </c>
      <c r="G295" s="104">
        <f t="shared" si="113"/>
        <v>1.5706471487604077</v>
      </c>
      <c r="H295" s="113">
        <f t="shared" si="114"/>
        <v>837.92556000139996</v>
      </c>
      <c r="I295" s="114">
        <f t="shared" si="115"/>
        <v>1.5696029030767145</v>
      </c>
      <c r="J295" s="101">
        <f t="shared" si="116"/>
        <v>1.5869536250888541</v>
      </c>
      <c r="K295" s="104">
        <f t="shared" si="117"/>
        <v>0.8890652278787089</v>
      </c>
      <c r="L295" s="102">
        <f t="shared" si="118"/>
        <v>1</v>
      </c>
      <c r="M295" s="103">
        <f t="shared" si="119"/>
        <v>8.0095768549728746E-10</v>
      </c>
      <c r="N295" s="101">
        <f t="shared" si="120"/>
        <v>1</v>
      </c>
      <c r="O295" s="104">
        <f t="shared" si="121"/>
        <v>1.0679435806630498E-10</v>
      </c>
      <c r="P295" s="105">
        <f t="shared" ca="1" si="122"/>
        <v>1.4419511477606637</v>
      </c>
      <c r="Q295" s="106">
        <f t="shared" ca="1" si="123"/>
        <v>0.84084798604182653</v>
      </c>
      <c r="R295" s="107">
        <f t="shared" ca="1" si="124"/>
        <v>-13.444872162752311</v>
      </c>
      <c r="S295" s="108">
        <f t="shared" ca="1" si="125"/>
        <v>-159.04670280155344</v>
      </c>
      <c r="T295" s="116">
        <f t="shared" ca="1" si="126"/>
        <v>20.953297198446563</v>
      </c>
      <c r="V295" s="72">
        <f t="shared" ca="1" si="127"/>
        <v>19611.75</v>
      </c>
      <c r="W295" s="72">
        <f t="shared" si="128"/>
        <v>384620738.0625</v>
      </c>
      <c r="Y295" s="110">
        <f t="shared" si="129"/>
        <v>42.00932128758987</v>
      </c>
      <c r="Z295" s="111">
        <f t="shared" si="130"/>
        <v>-50.999516158239985</v>
      </c>
      <c r="AA295" s="72">
        <f t="shared" si="131"/>
        <v>129.00048384176</v>
      </c>
      <c r="AB295" s="110">
        <f t="shared" ca="1" si="132"/>
        <v>-37.952968182508179</v>
      </c>
      <c r="AC295" s="111">
        <f t="shared" ca="1" si="133"/>
        <v>-108.04718664331341</v>
      </c>
      <c r="AD295" s="72">
        <f t="shared" ca="1" si="134"/>
        <v>71.95281335668659</v>
      </c>
    </row>
    <row r="296" spans="1:30">
      <c r="A296" s="118">
        <v>19725.5</v>
      </c>
      <c r="B296" s="101">
        <f t="shared" ca="1" si="108"/>
        <v>1099.6806334205587</v>
      </c>
      <c r="C296" s="102">
        <f t="shared" ca="1" si="109"/>
        <v>1.569886971744503</v>
      </c>
      <c r="D296" s="102">
        <f t="shared" si="110"/>
        <v>1.1572906244161945</v>
      </c>
      <c r="E296" s="103">
        <f t="shared" si="111"/>
        <v>0.52746229217522123</v>
      </c>
      <c r="F296" s="101">
        <f t="shared" si="112"/>
        <v>6742.2801311110488</v>
      </c>
      <c r="G296" s="104">
        <f t="shared" si="113"/>
        <v>1.5706480090174948</v>
      </c>
      <c r="H296" s="113">
        <f t="shared" si="114"/>
        <v>842.78560038992521</v>
      </c>
      <c r="I296" s="114">
        <f t="shared" si="115"/>
        <v>1.5696097851238189</v>
      </c>
      <c r="J296" s="101">
        <f t="shared" si="116"/>
        <v>1.5925096134710934</v>
      </c>
      <c r="K296" s="104">
        <f t="shared" si="117"/>
        <v>0.89189326791643175</v>
      </c>
      <c r="L296" s="102">
        <f t="shared" si="118"/>
        <v>1</v>
      </c>
      <c r="M296" s="103">
        <f t="shared" si="119"/>
        <v>8.0560331562847495E-10</v>
      </c>
      <c r="N296" s="101">
        <f t="shared" si="120"/>
        <v>1</v>
      </c>
      <c r="O296" s="104">
        <f t="shared" si="121"/>
        <v>1.0741377541712999E-10</v>
      </c>
      <c r="P296" s="105">
        <f t="shared" ca="1" si="122"/>
        <v>1.4463042629394638</v>
      </c>
      <c r="Q296" s="106">
        <f t="shared" ca="1" si="123"/>
        <v>0.84395210258536713</v>
      </c>
      <c r="R296" s="107">
        <f t="shared" ca="1" si="124"/>
        <v>-13.538972597004273</v>
      </c>
      <c r="S296" s="108">
        <f t="shared" ca="1" si="125"/>
        <v>-159.24263420592797</v>
      </c>
      <c r="T296" s="116">
        <f t="shared" ca="1" si="126"/>
        <v>20.75736579407203</v>
      </c>
      <c r="V296" s="72">
        <f t="shared" ca="1" si="127"/>
        <v>19725.5</v>
      </c>
      <c r="W296" s="72">
        <f t="shared" si="128"/>
        <v>389095350.25</v>
      </c>
      <c r="Y296" s="110">
        <f t="shared" si="129"/>
        <v>41.978964677851181</v>
      </c>
      <c r="Z296" s="111">
        <f t="shared" si="130"/>
        <v>-51.161205893496465</v>
      </c>
      <c r="AA296" s="72">
        <f t="shared" si="131"/>
        <v>128.83879410650354</v>
      </c>
      <c r="AB296" s="110">
        <f t="shared" ca="1" si="132"/>
        <v>-38.016712007021461</v>
      </c>
      <c r="AC296" s="111">
        <f t="shared" ca="1" si="133"/>
        <v>-108.08142831243151</v>
      </c>
      <c r="AD296" s="72">
        <f t="shared" ca="1" si="134"/>
        <v>71.918571687568488</v>
      </c>
    </row>
    <row r="297" spans="1:30">
      <c r="A297" s="118">
        <v>19839.25</v>
      </c>
      <c r="B297" s="101">
        <f t="shared" ca="1" si="108"/>
        <v>1106.0220984738658</v>
      </c>
      <c r="C297" s="102">
        <f t="shared" ca="1" si="109"/>
        <v>1.5698921856049284</v>
      </c>
      <c r="D297" s="102">
        <f t="shared" si="110"/>
        <v>1.1589850598888156</v>
      </c>
      <c r="E297" s="103">
        <f t="shared" si="111"/>
        <v>0.5299667245697639</v>
      </c>
      <c r="F297" s="101">
        <f t="shared" si="112"/>
        <v>6781.160481322253</v>
      </c>
      <c r="G297" s="104">
        <f t="shared" si="113"/>
        <v>1.5706488594098702</v>
      </c>
      <c r="H297" s="113">
        <f t="shared" si="114"/>
        <v>847.64564081790923</v>
      </c>
      <c r="I297" s="114">
        <f t="shared" si="115"/>
        <v>1.5696165882534479</v>
      </c>
      <c r="J297" s="101">
        <f t="shared" si="116"/>
        <v>1.5980782498223833</v>
      </c>
      <c r="K297" s="104">
        <f t="shared" si="117"/>
        <v>0.89470162120405106</v>
      </c>
      <c r="L297" s="102">
        <f t="shared" si="118"/>
        <v>1</v>
      </c>
      <c r="M297" s="103">
        <f t="shared" si="119"/>
        <v>8.1024894575966243E-10</v>
      </c>
      <c r="N297" s="101">
        <f t="shared" si="120"/>
        <v>1</v>
      </c>
      <c r="O297" s="104">
        <f t="shared" si="121"/>
        <v>1.0803319276795498E-10</v>
      </c>
      <c r="P297" s="105">
        <f t="shared" ca="1" si="122"/>
        <v>1.4506695166620578</v>
      </c>
      <c r="Q297" s="106">
        <f t="shared" ca="1" si="123"/>
        <v>0.84703889671209831</v>
      </c>
      <c r="R297" s="107">
        <f t="shared" ca="1" si="124"/>
        <v>-13.632705098599233</v>
      </c>
      <c r="S297" s="108">
        <f t="shared" ca="1" si="125"/>
        <v>-159.43686553156206</v>
      </c>
      <c r="T297" s="116">
        <f t="shared" ca="1" si="126"/>
        <v>20.563134468437937</v>
      </c>
      <c r="V297" s="72">
        <f t="shared" ca="1" si="127"/>
        <v>19839.25</v>
      </c>
      <c r="W297" s="72">
        <f t="shared" si="128"/>
        <v>393595840.5625</v>
      </c>
      <c r="Y297" s="110">
        <f t="shared" si="129"/>
        <v>41.948645049145114</v>
      </c>
      <c r="Z297" s="111">
        <f t="shared" si="130"/>
        <v>-51.321771617490349</v>
      </c>
      <c r="AA297" s="72">
        <f t="shared" si="131"/>
        <v>128.67822838250964</v>
      </c>
      <c r="AB297" s="110">
        <f t="shared" ca="1" si="132"/>
        <v>-38.080124879910343</v>
      </c>
      <c r="AC297" s="111">
        <f t="shared" ca="1" si="133"/>
        <v>-108.11509391407168</v>
      </c>
      <c r="AD297" s="72">
        <f t="shared" ca="1" si="134"/>
        <v>71.884906085928321</v>
      </c>
    </row>
    <row r="298" spans="1:30">
      <c r="A298" s="118">
        <v>19953</v>
      </c>
      <c r="B298" s="101">
        <f t="shared" ca="1" si="108"/>
        <v>1112.3635635568962</v>
      </c>
      <c r="C298" s="102">
        <f t="shared" ca="1" si="109"/>
        <v>1.5698973400180387</v>
      </c>
      <c r="D298" s="102">
        <f t="shared" si="110"/>
        <v>1.1606867434752226</v>
      </c>
      <c r="E298" s="103">
        <f t="shared" si="111"/>
        <v>0.53246382908851286</v>
      </c>
      <c r="F298" s="101">
        <f t="shared" si="112"/>
        <v>6820.0408315383056</v>
      </c>
      <c r="G298" s="104">
        <f t="shared" si="113"/>
        <v>1.5706497001062472</v>
      </c>
      <c r="H298" s="113">
        <f t="shared" si="114"/>
        <v>852.50568128467717</v>
      </c>
      <c r="I298" s="114">
        <f t="shared" si="115"/>
        <v>1.5696233138153002</v>
      </c>
      <c r="J298" s="101">
        <f t="shared" si="116"/>
        <v>1.603659402384189</v>
      </c>
      <c r="K298" s="104">
        <f t="shared" si="117"/>
        <v>0.89749044875711181</v>
      </c>
      <c r="L298" s="102">
        <f t="shared" si="118"/>
        <v>1</v>
      </c>
      <c r="M298" s="103">
        <f t="shared" si="119"/>
        <v>8.1489457589084992E-10</v>
      </c>
      <c r="N298" s="101">
        <f t="shared" si="120"/>
        <v>1</v>
      </c>
      <c r="O298" s="104">
        <f t="shared" si="121"/>
        <v>1.0865261011877998E-10</v>
      </c>
      <c r="P298" s="105">
        <f t="shared" ca="1" si="122"/>
        <v>1.4550468020799667</v>
      </c>
      <c r="Q298" s="106">
        <f t="shared" ca="1" si="123"/>
        <v>0.85010847669338518</v>
      </c>
      <c r="R298" s="107">
        <f t="shared" ca="1" si="124"/>
        <v>-13.726071877842516</v>
      </c>
      <c r="S298" s="108">
        <f t="shared" ca="1" si="125"/>
        <v>-159.62941215617209</v>
      </c>
      <c r="T298" s="116">
        <f t="shared" ca="1" si="126"/>
        <v>20.370587843827906</v>
      </c>
      <c r="V298" s="72">
        <f t="shared" ca="1" si="127"/>
        <v>19953</v>
      </c>
      <c r="W298" s="72">
        <f t="shared" si="128"/>
        <v>398122209</v>
      </c>
      <c r="Y298" s="110">
        <f t="shared" si="129"/>
        <v>41.91836309736351</v>
      </c>
      <c r="Z298" s="111">
        <f t="shared" si="130"/>
        <v>-51.481222488067324</v>
      </c>
      <c r="AA298" s="72">
        <f t="shared" si="131"/>
        <v>128.51877751193268</v>
      </c>
      <c r="AB298" s="110">
        <f t="shared" ca="1" si="132"/>
        <v>-38.143209707372023</v>
      </c>
      <c r="AC298" s="111">
        <f t="shared" ca="1" si="133"/>
        <v>-108.14818966810479</v>
      </c>
      <c r="AD298" s="72">
        <f t="shared" ca="1" si="134"/>
        <v>71.851810331895209</v>
      </c>
    </row>
    <row r="299" spans="1:30">
      <c r="A299" s="118">
        <v>20069</v>
      </c>
      <c r="B299" s="101">
        <f t="shared" ca="1" si="108"/>
        <v>1118.8304642430851</v>
      </c>
      <c r="C299" s="102">
        <f t="shared" ca="1" si="109"/>
        <v>1.5699025362116914</v>
      </c>
      <c r="D299" s="102">
        <f t="shared" si="110"/>
        <v>1.1624295183234938</v>
      </c>
      <c r="E299" s="103">
        <f t="shared" si="111"/>
        <v>0.53500278130584944</v>
      </c>
      <c r="F299" s="101">
        <f t="shared" si="112"/>
        <v>6859.6902436316695</v>
      </c>
      <c r="G299" s="104">
        <f t="shared" si="113"/>
        <v>1.5706505476171166</v>
      </c>
      <c r="H299" s="113">
        <f t="shared" si="114"/>
        <v>857.46185445927699</v>
      </c>
      <c r="I299" s="114">
        <f t="shared" si="115"/>
        <v>1.5696300938931265</v>
      </c>
      <c r="J299" s="101">
        <f t="shared" si="116"/>
        <v>1.6093637063988748</v>
      </c>
      <c r="K299" s="104">
        <f t="shared" si="117"/>
        <v>0.90031449690179999</v>
      </c>
      <c r="L299" s="102">
        <f t="shared" si="118"/>
        <v>1</v>
      </c>
      <c r="M299" s="103">
        <f t="shared" si="119"/>
        <v>8.1963209760704997E-10</v>
      </c>
      <c r="N299" s="101">
        <f t="shared" si="120"/>
        <v>1</v>
      </c>
      <c r="O299" s="104">
        <f t="shared" si="121"/>
        <v>1.0928427968093998E-10</v>
      </c>
      <c r="P299" s="105">
        <f t="shared" ca="1" si="122"/>
        <v>1.4595229524716713</v>
      </c>
      <c r="Q299" s="106">
        <f t="shared" ca="1" si="123"/>
        <v>0.85322115744012916</v>
      </c>
      <c r="R299" s="107">
        <f t="shared" ca="1" si="124"/>
        <v>-13.820911093871507</v>
      </c>
      <c r="S299" s="108">
        <f t="shared" ca="1" si="125"/>
        <v>-159.82404822823045</v>
      </c>
      <c r="T299" s="116">
        <f t="shared" ca="1" si="126"/>
        <v>20.175951771769547</v>
      </c>
      <c r="V299" s="72">
        <f t="shared" ca="1" si="127"/>
        <v>20069</v>
      </c>
      <c r="W299" s="72">
        <f t="shared" si="128"/>
        <v>402764761</v>
      </c>
      <c r="Y299" s="110">
        <f t="shared" si="129"/>
        <v>41.887521665826654</v>
      </c>
      <c r="Z299" s="111">
        <f t="shared" si="130"/>
        <v>-51.64268861680064</v>
      </c>
      <c r="AA299" s="72">
        <f t="shared" si="131"/>
        <v>128.35731138319937</v>
      </c>
      <c r="AB299" s="110">
        <f t="shared" ca="1" si="132"/>
        <v>-38.207207491864153</v>
      </c>
      <c r="AC299" s="111">
        <f t="shared" ca="1" si="133"/>
        <v>-108.18135961142983</v>
      </c>
      <c r="AD299" s="72">
        <f t="shared" ca="1" si="134"/>
        <v>71.818640388570174</v>
      </c>
    </row>
    <row r="300" spans="1:30">
      <c r="A300" s="118">
        <v>20185</v>
      </c>
      <c r="B300" s="101">
        <f t="shared" ca="1" si="108"/>
        <v>1125.2973649591356</v>
      </c>
      <c r="C300" s="102">
        <f t="shared" ca="1" si="109"/>
        <v>1.5699076726819867</v>
      </c>
      <c r="D300" s="102">
        <f t="shared" si="110"/>
        <v>1.1641797640528437</v>
      </c>
      <c r="E300" s="103">
        <f t="shared" si="111"/>
        <v>0.53753411560060615</v>
      </c>
      <c r="F300" s="101">
        <f t="shared" si="112"/>
        <v>6899.3396557299047</v>
      </c>
      <c r="G300" s="104">
        <f t="shared" si="113"/>
        <v>1.5706513853869648</v>
      </c>
      <c r="H300" s="113">
        <f t="shared" si="114"/>
        <v>862.41802767284094</v>
      </c>
      <c r="I300" s="114">
        <f t="shared" si="115"/>
        <v>1.56963679604299</v>
      </c>
      <c r="J300" s="101">
        <f t="shared" si="116"/>
        <v>1.6150807547642458</v>
      </c>
      <c r="K300" s="104">
        <f t="shared" si="117"/>
        <v>0.90311857419751218</v>
      </c>
      <c r="L300" s="102">
        <f t="shared" si="118"/>
        <v>1</v>
      </c>
      <c r="M300" s="103">
        <f t="shared" si="119"/>
        <v>8.2436961932324992E-10</v>
      </c>
      <c r="N300" s="101">
        <f t="shared" si="120"/>
        <v>1</v>
      </c>
      <c r="O300" s="104">
        <f t="shared" si="121"/>
        <v>1.0991594924309998E-10</v>
      </c>
      <c r="P300" s="105">
        <f t="shared" ca="1" si="122"/>
        <v>1.4640113939693555</v>
      </c>
      <c r="Q300" s="106">
        <f t="shared" ca="1" si="123"/>
        <v>0.85631616316351333</v>
      </c>
      <c r="R300" s="107">
        <f t="shared" ca="1" si="124"/>
        <v>-13.915374543698839</v>
      </c>
      <c r="S300" s="108">
        <f t="shared" ca="1" si="125"/>
        <v>-160.01696431042606</v>
      </c>
      <c r="T300" s="116">
        <f t="shared" ca="1" si="126"/>
        <v>19.983035689573938</v>
      </c>
      <c r="V300" s="72">
        <f t="shared" ca="1" si="127"/>
        <v>20185</v>
      </c>
      <c r="W300" s="72">
        <f t="shared" si="128"/>
        <v>407434225</v>
      </c>
      <c r="Y300" s="110">
        <f t="shared" si="129"/>
        <v>41.856720818594425</v>
      </c>
      <c r="Z300" s="111">
        <f t="shared" si="130"/>
        <v>-51.803014406997036</v>
      </c>
      <c r="AA300" s="72">
        <f t="shared" si="131"/>
        <v>128.19698559300298</v>
      </c>
      <c r="AB300" s="110">
        <f t="shared" ca="1" si="132"/>
        <v>-38.270870094459262</v>
      </c>
      <c r="AC300" s="111">
        <f t="shared" ca="1" si="133"/>
        <v>-108.21394990342904</v>
      </c>
      <c r="AD300" s="72">
        <f t="shared" ca="1" si="134"/>
        <v>71.78605009657096</v>
      </c>
    </row>
    <row r="301" spans="1:30">
      <c r="A301" s="118">
        <v>20301</v>
      </c>
      <c r="B301" s="101">
        <f t="shared" ca="1" si="108"/>
        <v>1131.764265704536</v>
      </c>
      <c r="C301" s="102">
        <f t="shared" ca="1" si="109"/>
        <v>1.569912750452702</v>
      </c>
      <c r="D301" s="102">
        <f t="shared" si="110"/>
        <v>1.1659374470185582</v>
      </c>
      <c r="E301" s="103">
        <f t="shared" si="111"/>
        <v>0.54005783391295081</v>
      </c>
      <c r="F301" s="101">
        <f t="shared" si="112"/>
        <v>6938.9890678329266</v>
      </c>
      <c r="G301" s="104">
        <f t="shared" si="113"/>
        <v>1.5706522135827723</v>
      </c>
      <c r="H301" s="113">
        <f t="shared" si="114"/>
        <v>867.37420092470109</v>
      </c>
      <c r="I301" s="114">
        <f t="shared" si="115"/>
        <v>1.5696434216007304</v>
      </c>
      <c r="J301" s="101">
        <f t="shared" si="116"/>
        <v>1.620810412621718</v>
      </c>
      <c r="K301" s="104">
        <f t="shared" si="117"/>
        <v>0.90590284810843791</v>
      </c>
      <c r="L301" s="102">
        <f t="shared" si="118"/>
        <v>1</v>
      </c>
      <c r="M301" s="103">
        <f t="shared" si="119"/>
        <v>8.2910714103944997E-10</v>
      </c>
      <c r="N301" s="101">
        <f t="shared" si="120"/>
        <v>1</v>
      </c>
      <c r="O301" s="104">
        <f t="shared" si="121"/>
        <v>1.1054761880525998E-10</v>
      </c>
      <c r="P301" s="105">
        <f t="shared" ca="1" si="122"/>
        <v>1.4685120164385546</v>
      </c>
      <c r="Q301" s="106">
        <f t="shared" ca="1" si="123"/>
        <v>0.85939360807794296</v>
      </c>
      <c r="R301" s="107">
        <f t="shared" ca="1" si="124"/>
        <v>-14.009464496656477</v>
      </c>
      <c r="S301" s="108">
        <f t="shared" ca="1" si="125"/>
        <v>-160.20817642227763</v>
      </c>
      <c r="T301" s="116">
        <f t="shared" ca="1" si="126"/>
        <v>19.791823577722369</v>
      </c>
      <c r="V301" s="72">
        <f t="shared" ca="1" si="127"/>
        <v>20301</v>
      </c>
      <c r="W301" s="72">
        <f t="shared" si="128"/>
        <v>412130601</v>
      </c>
      <c r="Y301" s="110">
        <f t="shared" si="129"/>
        <v>41.825961234155642</v>
      </c>
      <c r="Z301" s="111">
        <f t="shared" si="130"/>
        <v>-51.962209386677038</v>
      </c>
      <c r="AA301" s="72">
        <f t="shared" si="131"/>
        <v>128.03779061332295</v>
      </c>
      <c r="AB301" s="110">
        <f t="shared" ca="1" si="132"/>
        <v>-38.334200462978124</v>
      </c>
      <c r="AC301" s="111">
        <f t="shared" ca="1" si="133"/>
        <v>-108.24596703560051</v>
      </c>
      <c r="AD301" s="72">
        <f t="shared" ca="1" si="134"/>
        <v>71.754032964399485</v>
      </c>
    </row>
    <row r="302" spans="1:30">
      <c r="A302" s="118">
        <v>20417</v>
      </c>
      <c r="B302" s="101">
        <f t="shared" ca="1" si="108"/>
        <v>1138.231166478786</v>
      </c>
      <c r="C302" s="102">
        <f t="shared" ca="1" si="109"/>
        <v>1.5699177705243483</v>
      </c>
      <c r="D302" s="102">
        <f t="shared" si="110"/>
        <v>1.1677025336359614</v>
      </c>
      <c r="E302" s="103">
        <f t="shared" si="111"/>
        <v>0.54257393855945113</v>
      </c>
      <c r="F302" s="101">
        <f t="shared" si="112"/>
        <v>6978.6384799406542</v>
      </c>
      <c r="G302" s="104">
        <f t="shared" si="113"/>
        <v>1.5706530323677248</v>
      </c>
      <c r="H302" s="113">
        <f t="shared" si="114"/>
        <v>872.33037421420443</v>
      </c>
      <c r="I302" s="114">
        <f t="shared" si="115"/>
        <v>1.5696499718718293</v>
      </c>
      <c r="J302" s="101">
        <f t="shared" si="116"/>
        <v>1.6265525467175459</v>
      </c>
      <c r="K302" s="104">
        <f t="shared" si="117"/>
        <v>0.90866748496996297</v>
      </c>
      <c r="L302" s="102">
        <f t="shared" si="118"/>
        <v>1</v>
      </c>
      <c r="M302" s="103">
        <f t="shared" si="119"/>
        <v>8.3384466275564991E-10</v>
      </c>
      <c r="N302" s="101">
        <f t="shared" si="120"/>
        <v>1</v>
      </c>
      <c r="O302" s="104">
        <f t="shared" si="121"/>
        <v>1.1117928836741998E-10</v>
      </c>
      <c r="P302" s="105">
        <f t="shared" ca="1" si="122"/>
        <v>1.4730247108015391</v>
      </c>
      <c r="Q302" s="106">
        <f t="shared" ca="1" si="123"/>
        <v>0.86245360615507216</v>
      </c>
      <c r="R302" s="107">
        <f t="shared" ca="1" si="124"/>
        <v>-14.10318319834569</v>
      </c>
      <c r="S302" s="108">
        <f t="shared" ca="1" si="125"/>
        <v>-160.39770048334219</v>
      </c>
      <c r="T302" s="116">
        <f t="shared" ca="1" si="126"/>
        <v>19.602299516657808</v>
      </c>
      <c r="V302" s="72">
        <f t="shared" ca="1" si="127"/>
        <v>20417</v>
      </c>
      <c r="W302" s="72">
        <f t="shared" si="128"/>
        <v>416853889</v>
      </c>
      <c r="Y302" s="110">
        <f t="shared" si="129"/>
        <v>41.795243571737039</v>
      </c>
      <c r="Z302" s="111">
        <f t="shared" si="130"/>
        <v>-52.120283020707589</v>
      </c>
      <c r="AA302" s="72">
        <f t="shared" si="131"/>
        <v>127.87971697929241</v>
      </c>
      <c r="AB302" s="110">
        <f t="shared" ca="1" si="132"/>
        <v>-38.397201502248734</v>
      </c>
      <c r="AC302" s="111">
        <f t="shared" ca="1" si="133"/>
        <v>-108.27741746263457</v>
      </c>
      <c r="AD302" s="72">
        <f t="shared" ca="1" si="134"/>
        <v>71.722582537365426</v>
      </c>
    </row>
    <row r="303" spans="1:30">
      <c r="A303" s="118">
        <v>20536</v>
      </c>
      <c r="B303" s="101">
        <f t="shared" ca="1" si="108"/>
        <v>1144.8653147163188</v>
      </c>
      <c r="C303" s="102">
        <f t="shared" ca="1" si="109"/>
        <v>1.5699228614935177</v>
      </c>
      <c r="D303" s="102">
        <f t="shared" si="110"/>
        <v>1.1695209272489646</v>
      </c>
      <c r="E303" s="103">
        <f t="shared" si="111"/>
        <v>0.5451472061280549</v>
      </c>
      <c r="F303" s="101">
        <f t="shared" si="112"/>
        <v>7019.3133078835608</v>
      </c>
      <c r="G303" s="104">
        <f t="shared" si="113"/>
        <v>1.5706538627162154</v>
      </c>
      <c r="H303" s="113">
        <f t="shared" si="114"/>
        <v>877.41472443757368</v>
      </c>
      <c r="I303" s="114">
        <f t="shared" si="115"/>
        <v>1.5696566146512103</v>
      </c>
      <c r="J303" s="101">
        <f t="shared" si="116"/>
        <v>1.6324560106966328</v>
      </c>
      <c r="K303" s="104">
        <f t="shared" si="117"/>
        <v>0.91148338879615642</v>
      </c>
      <c r="L303" s="102">
        <f t="shared" si="118"/>
        <v>1</v>
      </c>
      <c r="M303" s="103">
        <f t="shared" si="119"/>
        <v>8.3870470658519991E-10</v>
      </c>
      <c r="N303" s="101">
        <f t="shared" si="120"/>
        <v>1</v>
      </c>
      <c r="O303" s="104">
        <f t="shared" si="121"/>
        <v>1.1182729421135998E-10</v>
      </c>
      <c r="P303" s="105">
        <f t="shared" ca="1" si="122"/>
        <v>1.4776665437988417</v>
      </c>
      <c r="Q303" s="106">
        <f t="shared" ca="1" si="123"/>
        <v>0.86557473180168254</v>
      </c>
      <c r="R303" s="107">
        <f t="shared" ca="1" si="124"/>
        <v>-14.198942211408083</v>
      </c>
      <c r="S303" s="108">
        <f t="shared" ca="1" si="125"/>
        <v>-160.59038850700691</v>
      </c>
      <c r="T303" s="116">
        <f t="shared" ca="1" si="126"/>
        <v>19.409611492993093</v>
      </c>
      <c r="V303" s="72">
        <f t="shared" ca="1" si="127"/>
        <v>20536</v>
      </c>
      <c r="W303" s="72">
        <f t="shared" si="128"/>
        <v>421727296</v>
      </c>
      <c r="Y303" s="110">
        <f t="shared" si="129"/>
        <v>41.763775720349344</v>
      </c>
      <c r="Z303" s="111">
        <f t="shared" si="130"/>
        <v>-52.281289397647122</v>
      </c>
      <c r="AA303" s="72">
        <f t="shared" si="131"/>
        <v>127.71871060235287</v>
      </c>
      <c r="AB303" s="110">
        <f t="shared" ca="1" si="132"/>
        <v>-38.46149266392343</v>
      </c>
      <c r="AC303" s="111">
        <f t="shared" ca="1" si="133"/>
        <v>-108.30909910935975</v>
      </c>
      <c r="AD303" s="72">
        <f t="shared" ca="1" si="134"/>
        <v>71.690900890640251</v>
      </c>
    </row>
    <row r="304" spans="1:30">
      <c r="A304" s="118">
        <v>20655</v>
      </c>
      <c r="B304" s="101">
        <f t="shared" ca="1" si="108"/>
        <v>1151.4994629831822</v>
      </c>
      <c r="C304" s="102">
        <f t="shared" ca="1" si="109"/>
        <v>1.5699278938013586</v>
      </c>
      <c r="D304" s="102">
        <f t="shared" si="110"/>
        <v>1.1713470410116327</v>
      </c>
      <c r="E304" s="103">
        <f t="shared" si="111"/>
        <v>0.5477124672622643</v>
      </c>
      <c r="F304" s="101">
        <f t="shared" si="112"/>
        <v>7059.9881358312496</v>
      </c>
      <c r="G304" s="104">
        <f t="shared" si="113"/>
        <v>1.5706546834969046</v>
      </c>
      <c r="H304" s="113">
        <f t="shared" si="114"/>
        <v>882.49907469921402</v>
      </c>
      <c r="I304" s="114">
        <f t="shared" si="115"/>
        <v>1.5696631808883763</v>
      </c>
      <c r="J304" s="101">
        <f t="shared" si="116"/>
        <v>1.6383723255902123</v>
      </c>
      <c r="K304" s="104">
        <f t="shared" si="117"/>
        <v>0.91427897767497546</v>
      </c>
      <c r="L304" s="102">
        <f t="shared" si="118"/>
        <v>1</v>
      </c>
      <c r="M304" s="103">
        <f t="shared" si="119"/>
        <v>8.4356475041474991E-10</v>
      </c>
      <c r="N304" s="101">
        <f t="shared" si="120"/>
        <v>1</v>
      </c>
      <c r="O304" s="104">
        <f t="shared" si="121"/>
        <v>1.1247530005529998E-10</v>
      </c>
      <c r="P304" s="105">
        <f t="shared" ca="1" si="122"/>
        <v>1.4823208520007629</v>
      </c>
      <c r="Q304" s="106">
        <f t="shared" ca="1" si="123"/>
        <v>0.86867773864617925</v>
      </c>
      <c r="R304" s="107">
        <f t="shared" ca="1" si="124"/>
        <v>-14.294315236088648</v>
      </c>
      <c r="S304" s="108">
        <f t="shared" ca="1" si="125"/>
        <v>-160.78133365023746</v>
      </c>
      <c r="T304" s="116">
        <f t="shared" ca="1" si="126"/>
        <v>19.218666349762543</v>
      </c>
      <c r="V304" s="72">
        <f t="shared" ca="1" si="127"/>
        <v>20655</v>
      </c>
      <c r="W304" s="72">
        <f t="shared" si="128"/>
        <v>426629025</v>
      </c>
      <c r="Y304" s="110">
        <f t="shared" si="129"/>
        <v>41.732353332297627</v>
      </c>
      <c r="Z304" s="111">
        <f t="shared" si="130"/>
        <v>-52.44113565119099</v>
      </c>
      <c r="AA304" s="72">
        <f t="shared" si="131"/>
        <v>127.55886434880901</v>
      </c>
      <c r="AB304" s="110">
        <f t="shared" ca="1" si="132"/>
        <v>-38.525443300552269</v>
      </c>
      <c r="AC304" s="111">
        <f t="shared" ca="1" si="133"/>
        <v>-108.34019799904651</v>
      </c>
      <c r="AD304" s="72">
        <f t="shared" ca="1" si="134"/>
        <v>71.659802000953491</v>
      </c>
    </row>
    <row r="305" spans="1:30">
      <c r="A305" s="118">
        <v>20774</v>
      </c>
      <c r="B305" s="101">
        <f t="shared" ca="1" si="108"/>
        <v>1158.133611278872</v>
      </c>
      <c r="C305" s="102">
        <f t="shared" ca="1" si="109"/>
        <v>1.5699328684559613</v>
      </c>
      <c r="D305" s="102">
        <f t="shared" si="110"/>
        <v>1.1731808388735865</v>
      </c>
      <c r="E305" s="103">
        <f t="shared" si="111"/>
        <v>0.55026972566643229</v>
      </c>
      <c r="F305" s="101">
        <f t="shared" si="112"/>
        <v>7100.6629637836413</v>
      </c>
      <c r="G305" s="104">
        <f t="shared" si="113"/>
        <v>1.5706554948742146</v>
      </c>
      <c r="H305" s="113">
        <f t="shared" si="114"/>
        <v>887.58342499846788</v>
      </c>
      <c r="I305" s="114">
        <f t="shared" si="115"/>
        <v>1.5696696718986989</v>
      </c>
      <c r="J305" s="101">
        <f t="shared" si="116"/>
        <v>1.644301352682737</v>
      </c>
      <c r="K305" s="104">
        <f t="shared" si="117"/>
        <v>0.91705442742807664</v>
      </c>
      <c r="L305" s="102">
        <f t="shared" si="118"/>
        <v>1</v>
      </c>
      <c r="M305" s="103">
        <f t="shared" si="119"/>
        <v>8.484247942442999E-10</v>
      </c>
      <c r="N305" s="101">
        <f t="shared" si="120"/>
        <v>1</v>
      </c>
      <c r="O305" s="104">
        <f t="shared" si="121"/>
        <v>1.1312330589923998E-10</v>
      </c>
      <c r="P305" s="105">
        <f t="shared" ca="1" si="122"/>
        <v>1.486987521065031</v>
      </c>
      <c r="Q305" s="106">
        <f t="shared" ca="1" si="123"/>
        <v>0.87176274882167748</v>
      </c>
      <c r="R305" s="107">
        <f t="shared" ca="1" si="124"/>
        <v>-14.389304623217596</v>
      </c>
      <c r="S305" s="108">
        <f t="shared" ca="1" si="125"/>
        <v>-160.97055276415591</v>
      </c>
      <c r="T305" s="116">
        <f t="shared" ca="1" si="126"/>
        <v>19.029447235844088</v>
      </c>
      <c r="V305" s="72">
        <f t="shared" ca="1" si="127"/>
        <v>20774</v>
      </c>
      <c r="W305" s="72">
        <f t="shared" si="128"/>
        <v>431559076</v>
      </c>
      <c r="Y305" s="110">
        <f t="shared" si="129"/>
        <v>41.70097705858894</v>
      </c>
      <c r="Z305" s="111">
        <f t="shared" si="130"/>
        <v>-52.599831789233498</v>
      </c>
      <c r="AA305" s="72">
        <f t="shared" si="131"/>
        <v>127.40016821076651</v>
      </c>
      <c r="AB305" s="110">
        <f t="shared" ca="1" si="132"/>
        <v>-38.589056413972536</v>
      </c>
      <c r="AC305" s="111">
        <f t="shared" ca="1" si="133"/>
        <v>-108.37072097492243</v>
      </c>
      <c r="AD305" s="72">
        <f t="shared" ca="1" si="134"/>
        <v>71.629279025077565</v>
      </c>
    </row>
    <row r="306" spans="1:30">
      <c r="A306" s="118">
        <v>20893</v>
      </c>
      <c r="B306" s="101">
        <f t="shared" ca="1" si="108"/>
        <v>1164.7677596028961</v>
      </c>
      <c r="C306" s="102">
        <f t="shared" ca="1" si="109"/>
        <v>1.5699377864424495</v>
      </c>
      <c r="D306" s="102">
        <f t="shared" si="110"/>
        <v>1.175022284858271</v>
      </c>
      <c r="E306" s="103">
        <f t="shared" si="111"/>
        <v>0.55281898544050889</v>
      </c>
      <c r="F306" s="101">
        <f t="shared" si="112"/>
        <v>7141.3377917406533</v>
      </c>
      <c r="G306" s="104">
        <f t="shared" si="113"/>
        <v>1.5706562970088214</v>
      </c>
      <c r="H306" s="113">
        <f t="shared" si="114"/>
        <v>892.66777533469235</v>
      </c>
      <c r="I306" s="114">
        <f t="shared" si="115"/>
        <v>1.5696760889675812</v>
      </c>
      <c r="J306" s="101">
        <f t="shared" si="116"/>
        <v>1.6502429549562576</v>
      </c>
      <c r="K306" s="104">
        <f t="shared" si="117"/>
        <v>0.91980991259418743</v>
      </c>
      <c r="L306" s="102">
        <f t="shared" si="118"/>
        <v>1</v>
      </c>
      <c r="M306" s="103">
        <f t="shared" si="119"/>
        <v>8.532848380738499E-10</v>
      </c>
      <c r="N306" s="101">
        <f t="shared" si="120"/>
        <v>1</v>
      </c>
      <c r="O306" s="104">
        <f t="shared" si="121"/>
        <v>1.1377131174317998E-10</v>
      </c>
      <c r="P306" s="105">
        <f t="shared" ca="1" si="122"/>
        <v>1.4916664377871887</v>
      </c>
      <c r="Q306" s="106">
        <f t="shared" ca="1" si="123"/>
        <v>0.87482988411666129</v>
      </c>
      <c r="R306" s="107">
        <f t="shared" ca="1" si="124"/>
        <v>-14.483912700154679</v>
      </c>
      <c r="S306" s="108">
        <f t="shared" ca="1" si="125"/>
        <v>-161.15806258415225</v>
      </c>
      <c r="T306" s="116">
        <f t="shared" ca="1" si="126"/>
        <v>18.841937415847752</v>
      </c>
      <c r="V306" s="72">
        <f t="shared" ca="1" si="127"/>
        <v>20893</v>
      </c>
      <c r="W306" s="72">
        <f t="shared" si="128"/>
        <v>436517449</v>
      </c>
      <c r="Y306" s="110">
        <f t="shared" si="129"/>
        <v>41.669647530562017</v>
      </c>
      <c r="Z306" s="111">
        <f t="shared" si="130"/>
        <v>-52.757387747665028</v>
      </c>
      <c r="AA306" s="72">
        <f t="shared" si="131"/>
        <v>127.24261225233496</v>
      </c>
      <c r="AB306" s="110">
        <f t="shared" ca="1" si="132"/>
        <v>-38.652334962882698</v>
      </c>
      <c r="AC306" s="111">
        <f t="shared" ca="1" si="133"/>
        <v>-108.40067483648725</v>
      </c>
      <c r="AD306" s="72">
        <f t="shared" ca="1" si="134"/>
        <v>71.599325163512745</v>
      </c>
    </row>
    <row r="307" spans="1:30">
      <c r="A307" s="118">
        <v>21014.75</v>
      </c>
      <c r="B307" s="101">
        <f t="shared" ca="1" si="108"/>
        <v>1171.5552181060873</v>
      </c>
      <c r="C307" s="102">
        <f t="shared" ca="1" si="109"/>
        <v>1.5699427604362868</v>
      </c>
      <c r="D307" s="102">
        <f t="shared" si="110"/>
        <v>1.1769141631046318</v>
      </c>
      <c r="E307" s="103">
        <f t="shared" si="111"/>
        <v>0.55541888333579659</v>
      </c>
      <c r="F307" s="101">
        <f t="shared" si="112"/>
        <v>7182.9525842139792</v>
      </c>
      <c r="G307" s="104">
        <f t="shared" si="113"/>
        <v>1.5706571082783456</v>
      </c>
      <c r="H307" s="113">
        <f t="shared" si="114"/>
        <v>897.86962119948714</v>
      </c>
      <c r="I307" s="114">
        <f t="shared" si="115"/>
        <v>1.5696825791158036</v>
      </c>
      <c r="J307" s="101">
        <f t="shared" si="116"/>
        <v>1.6563347364710803</v>
      </c>
      <c r="K307" s="104">
        <f t="shared" si="117"/>
        <v>0.9226085936454772</v>
      </c>
      <c r="L307" s="102">
        <f t="shared" si="118"/>
        <v>1</v>
      </c>
      <c r="M307" s="103">
        <f t="shared" si="119"/>
        <v>8.5825719384063741E-10</v>
      </c>
      <c r="N307" s="101">
        <f t="shared" si="120"/>
        <v>1</v>
      </c>
      <c r="O307" s="104">
        <f t="shared" si="121"/>
        <v>1.1443429251208498E-10</v>
      </c>
      <c r="P307" s="105">
        <f t="shared" ca="1" si="122"/>
        <v>1.496466039338856</v>
      </c>
      <c r="Q307" s="106">
        <f t="shared" ca="1" si="123"/>
        <v>0.87794952595642795</v>
      </c>
      <c r="R307" s="107">
        <f t="shared" ca="1" si="124"/>
        <v>-14.580314871765665</v>
      </c>
      <c r="S307" s="108">
        <f t="shared" ca="1" si="125"/>
        <v>-161.34815394408332</v>
      </c>
      <c r="T307" s="116">
        <f t="shared" ca="1" si="126"/>
        <v>18.651846055916678</v>
      </c>
      <c r="V307" s="72">
        <f t="shared" ca="1" si="127"/>
        <v>21014.75</v>
      </c>
      <c r="W307" s="72">
        <f t="shared" si="128"/>
        <v>441619717.5625</v>
      </c>
      <c r="Y307" s="110">
        <f t="shared" si="129"/>
        <v>41.637643017608212</v>
      </c>
      <c r="Z307" s="111">
        <f t="shared" si="130"/>
        <v>-52.917414984261335</v>
      </c>
      <c r="AA307" s="72">
        <f t="shared" si="131"/>
        <v>127.08258501573866</v>
      </c>
      <c r="AB307" s="110">
        <f t="shared" ca="1" si="132"/>
        <v>-38.716732621539876</v>
      </c>
      <c r="AC307" s="111">
        <f t="shared" ca="1" si="133"/>
        <v>-108.43073895982194</v>
      </c>
      <c r="AD307" s="72">
        <f t="shared" ca="1" si="134"/>
        <v>71.569261040178063</v>
      </c>
    </row>
    <row r="308" spans="1:30">
      <c r="A308" s="118">
        <v>21136.5</v>
      </c>
      <c r="B308" s="101">
        <f t="shared" ca="1" si="108"/>
        <v>1178.3426766379291</v>
      </c>
      <c r="C308" s="102">
        <f t="shared" ca="1" si="109"/>
        <v>1.5699476771279868</v>
      </c>
      <c r="D308" s="102">
        <f t="shared" si="110"/>
        <v>1.1788139710995955</v>
      </c>
      <c r="E308" s="103">
        <f t="shared" si="111"/>
        <v>0.5580104185721535</v>
      </c>
      <c r="F308" s="101">
        <f t="shared" si="112"/>
        <v>7224.5673766919772</v>
      </c>
      <c r="G308" s="104">
        <f t="shared" si="113"/>
        <v>1.5706579102017564</v>
      </c>
      <c r="H308" s="113">
        <f t="shared" si="114"/>
        <v>903.07146710166637</v>
      </c>
      <c r="I308" s="114">
        <f t="shared" si="115"/>
        <v>1.5696889944953019</v>
      </c>
      <c r="J308" s="101">
        <f t="shared" si="116"/>
        <v>1.6624393962814792</v>
      </c>
      <c r="K308" s="104">
        <f t="shared" si="117"/>
        <v>0.92538674219648598</v>
      </c>
      <c r="L308" s="102">
        <f t="shared" si="118"/>
        <v>1</v>
      </c>
      <c r="M308" s="103">
        <f t="shared" si="119"/>
        <v>8.6322954960742493E-10</v>
      </c>
      <c r="N308" s="101">
        <f t="shared" si="120"/>
        <v>1</v>
      </c>
      <c r="O308" s="104">
        <f t="shared" si="121"/>
        <v>1.1509727328098999E-10</v>
      </c>
      <c r="P308" s="105">
        <f t="shared" ca="1" si="122"/>
        <v>1.5012782250352841</v>
      </c>
      <c r="Q308" s="106">
        <f t="shared" ca="1" si="123"/>
        <v>0.88105071395172352</v>
      </c>
      <c r="R308" s="107">
        <f t="shared" ca="1" si="124"/>
        <v>-14.676322762091772</v>
      </c>
      <c r="S308" s="108">
        <f t="shared" ca="1" si="125"/>
        <v>-161.53649116133042</v>
      </c>
      <c r="T308" s="116">
        <f t="shared" ca="1" si="126"/>
        <v>18.463508838669583</v>
      </c>
      <c r="V308" s="72">
        <f t="shared" ca="1" si="127"/>
        <v>21136.5</v>
      </c>
      <c r="W308" s="72">
        <f t="shared" si="128"/>
        <v>446751632.25</v>
      </c>
      <c r="Y308" s="110">
        <f t="shared" si="129"/>
        <v>41.605688711496185</v>
      </c>
      <c r="Z308" s="111">
        <f t="shared" si="130"/>
        <v>-53.076269543686855</v>
      </c>
      <c r="AA308" s="72">
        <f t="shared" si="131"/>
        <v>126.92373045631314</v>
      </c>
      <c r="AB308" s="110">
        <f t="shared" ca="1" si="132"/>
        <v>-38.780786205753955</v>
      </c>
      <c r="AC308" s="111">
        <f t="shared" ca="1" si="133"/>
        <v>-108.46022161764357</v>
      </c>
      <c r="AD308" s="72">
        <f t="shared" ca="1" si="134"/>
        <v>71.539778382356431</v>
      </c>
    </row>
    <row r="309" spans="1:30">
      <c r="A309" s="118">
        <v>21258.25</v>
      </c>
      <c r="B309" s="101">
        <f t="shared" ca="1" si="108"/>
        <v>1185.13013519793</v>
      </c>
      <c r="C309" s="102">
        <f t="shared" ca="1" si="109"/>
        <v>1.5699525375020893</v>
      </c>
      <c r="D309" s="102">
        <f t="shared" si="110"/>
        <v>1.1807216705657262</v>
      </c>
      <c r="E309" s="103">
        <f t="shared" si="111"/>
        <v>0.56059359679095311</v>
      </c>
      <c r="F309" s="101">
        <f t="shared" si="112"/>
        <v>7266.182169174569</v>
      </c>
      <c r="G309" s="104">
        <f t="shared" si="113"/>
        <v>1.5706587029396348</v>
      </c>
      <c r="H309" s="113">
        <f t="shared" si="114"/>
        <v>908.27331304058782</v>
      </c>
      <c r="I309" s="114">
        <f t="shared" si="115"/>
        <v>1.5696953363907171</v>
      </c>
      <c r="J309" s="101">
        <f t="shared" si="116"/>
        <v>1.6685567930360585</v>
      </c>
      <c r="K309" s="104">
        <f t="shared" si="117"/>
        <v>0.92814454096061527</v>
      </c>
      <c r="L309" s="102">
        <f t="shared" si="118"/>
        <v>1</v>
      </c>
      <c r="M309" s="103">
        <f t="shared" si="119"/>
        <v>8.6820190537421244E-10</v>
      </c>
      <c r="N309" s="101">
        <f t="shared" si="120"/>
        <v>1</v>
      </c>
      <c r="O309" s="104">
        <f t="shared" si="121"/>
        <v>1.1576025404989498E-10</v>
      </c>
      <c r="P309" s="105">
        <f t="shared" ca="1" si="122"/>
        <v>1.506102877283261</v>
      </c>
      <c r="Q309" s="106">
        <f t="shared" ca="1" si="123"/>
        <v>0.88413357729932329</v>
      </c>
      <c r="R309" s="107">
        <f t="shared" ca="1" si="124"/>
        <v>-14.771938791376032</v>
      </c>
      <c r="S309" s="108">
        <f t="shared" ca="1" si="125"/>
        <v>-161.72309177580965</v>
      </c>
      <c r="T309" s="116">
        <f t="shared" ca="1" si="126"/>
        <v>18.27690822419035</v>
      </c>
      <c r="V309" s="72">
        <f t="shared" ca="1" si="127"/>
        <v>21258.25</v>
      </c>
      <c r="W309" s="72">
        <f t="shared" si="128"/>
        <v>451913193.0625</v>
      </c>
      <c r="Y309" s="110">
        <f t="shared" si="129"/>
        <v>41.573785227062544</v>
      </c>
      <c r="Z309" s="111">
        <f t="shared" si="130"/>
        <v>-53.233961830244404</v>
      </c>
      <c r="AA309" s="72">
        <f t="shared" si="131"/>
        <v>126.7660381697556</v>
      </c>
      <c r="AB309" s="110">
        <f t="shared" ca="1" si="132"/>
        <v>-38.844498750604572</v>
      </c>
      <c r="AC309" s="111">
        <f t="shared" ca="1" si="133"/>
        <v>-108.48912994556525</v>
      </c>
      <c r="AD309" s="72">
        <f t="shared" ca="1" si="134"/>
        <v>71.510870054434747</v>
      </c>
    </row>
    <row r="310" spans="1:30">
      <c r="A310" s="118">
        <v>21380</v>
      </c>
      <c r="B310" s="101">
        <f t="shared" ca="1" si="108"/>
        <v>1191.9175937856087</v>
      </c>
      <c r="C310" s="102">
        <f t="shared" ca="1" si="109"/>
        <v>1.5699573425207072</v>
      </c>
      <c r="D310" s="102">
        <f t="shared" si="110"/>
        <v>1.1826372233140805</v>
      </c>
      <c r="E310" s="103">
        <f t="shared" si="111"/>
        <v>0.56316842404336032</v>
      </c>
      <c r="F310" s="101">
        <f t="shared" si="112"/>
        <v>7307.7969616616738</v>
      </c>
      <c r="G310" s="104">
        <f t="shared" si="113"/>
        <v>1.5706594866489036</v>
      </c>
      <c r="H310" s="113">
        <f t="shared" si="114"/>
        <v>913.47515901562349</v>
      </c>
      <c r="I310" s="114">
        <f t="shared" si="115"/>
        <v>1.5697016060574294</v>
      </c>
      <c r="J310" s="101">
        <f t="shared" si="116"/>
        <v>1.6746867871559943</v>
      </c>
      <c r="K310" s="104">
        <f t="shared" si="117"/>
        <v>0.93088217122257055</v>
      </c>
      <c r="L310" s="102">
        <f t="shared" si="118"/>
        <v>1</v>
      </c>
      <c r="M310" s="103">
        <f t="shared" si="119"/>
        <v>8.7317426114099996E-10</v>
      </c>
      <c r="N310" s="101">
        <f t="shared" si="120"/>
        <v>1</v>
      </c>
      <c r="O310" s="104">
        <f t="shared" si="121"/>
        <v>1.164232348188E-10</v>
      </c>
      <c r="P310" s="105">
        <f t="shared" ca="1" si="122"/>
        <v>1.5109398796984648</v>
      </c>
      <c r="Q310" s="106">
        <f t="shared" ca="1" si="123"/>
        <v>0.88719824474542297</v>
      </c>
      <c r="R310" s="107">
        <f t="shared" ca="1" si="124"/>
        <v>-14.86716535678366</v>
      </c>
      <c r="S310" s="108">
        <f t="shared" ca="1" si="125"/>
        <v>-161.90797319646495</v>
      </c>
      <c r="T310" s="116">
        <f t="shared" ca="1" si="126"/>
        <v>18.092026803535049</v>
      </c>
      <c r="V310" s="72">
        <f t="shared" ca="1" si="127"/>
        <v>21380</v>
      </c>
      <c r="W310" s="72">
        <f t="shared" si="128"/>
        <v>457104400</v>
      </c>
      <c r="Y310" s="110">
        <f t="shared" si="129"/>
        <v>41.541933159346137</v>
      </c>
      <c r="Z310" s="111">
        <f t="shared" si="130"/>
        <v>-53.390502167845625</v>
      </c>
      <c r="AA310" s="72">
        <f t="shared" si="131"/>
        <v>126.60949783215437</v>
      </c>
      <c r="AB310" s="110">
        <f t="shared" ca="1" si="132"/>
        <v>-38.9078732482958</v>
      </c>
      <c r="AC310" s="111">
        <f t="shared" ca="1" si="133"/>
        <v>-108.51747102861937</v>
      </c>
      <c r="AD310" s="72">
        <f t="shared" ca="1" si="134"/>
        <v>71.482528971380631</v>
      </c>
    </row>
    <row r="311" spans="1:30">
      <c r="A311" s="118">
        <v>21504.5</v>
      </c>
      <c r="B311" s="101">
        <f t="shared" ca="1" si="108"/>
        <v>1198.8583625543247</v>
      </c>
      <c r="C311" s="102">
        <f t="shared" ca="1" si="109"/>
        <v>1.5699621998060915</v>
      </c>
      <c r="D311" s="102">
        <f t="shared" si="110"/>
        <v>1.184604124834209</v>
      </c>
      <c r="E311" s="103">
        <f t="shared" si="111"/>
        <v>0.56579278030455948</v>
      </c>
      <c r="F311" s="101">
        <f t="shared" si="112"/>
        <v>7350.3517186653971</v>
      </c>
      <c r="G311" s="104">
        <f t="shared" si="113"/>
        <v>1.5706602788829926</v>
      </c>
      <c r="H311" s="113">
        <f t="shared" si="114"/>
        <v>918.79450052166987</v>
      </c>
      <c r="I311" s="114">
        <f t="shared" si="115"/>
        <v>1.5697079439227073</v>
      </c>
      <c r="J311" s="101">
        <f t="shared" si="116"/>
        <v>1.6809681248951853</v>
      </c>
      <c r="K311" s="104">
        <f t="shared" si="117"/>
        <v>0.93366096748506644</v>
      </c>
      <c r="L311" s="102">
        <f t="shared" si="118"/>
        <v>1</v>
      </c>
      <c r="M311" s="103">
        <f t="shared" si="119"/>
        <v>8.7825892884502499E-10</v>
      </c>
      <c r="N311" s="101">
        <f t="shared" si="120"/>
        <v>1</v>
      </c>
      <c r="O311" s="104">
        <f t="shared" si="121"/>
        <v>1.1710119051266999E-10</v>
      </c>
      <c r="P311" s="105">
        <f t="shared" ca="1" si="122"/>
        <v>1.5158987885338935</v>
      </c>
      <c r="Q311" s="106">
        <f t="shared" ca="1" si="123"/>
        <v>0.89031345127665396</v>
      </c>
      <c r="R311" s="107">
        <f t="shared" ca="1" si="124"/>
        <v>-14.964142545730244</v>
      </c>
      <c r="S311" s="108">
        <f t="shared" ca="1" si="125"/>
        <v>-162.09527070393051</v>
      </c>
      <c r="T311" s="116">
        <f t="shared" ca="1" si="126"/>
        <v>17.90472929606949</v>
      </c>
      <c r="V311" s="72">
        <f t="shared" ca="1" si="127"/>
        <v>21504.5</v>
      </c>
      <c r="W311" s="72">
        <f t="shared" si="128"/>
        <v>462443520.25</v>
      </c>
      <c r="Y311" s="110">
        <f t="shared" si="129"/>
        <v>41.509415411973329</v>
      </c>
      <c r="Z311" s="111">
        <f t="shared" si="130"/>
        <v>-53.549397724480578</v>
      </c>
      <c r="AA311" s="72">
        <f t="shared" si="131"/>
        <v>126.45060227551943</v>
      </c>
      <c r="AB311" s="110">
        <f t="shared" ca="1" si="132"/>
        <v>-38.972332689869567</v>
      </c>
      <c r="AC311" s="111">
        <f t="shared" ca="1" si="133"/>
        <v>-108.5458729794499</v>
      </c>
      <c r="AD311" s="72">
        <f t="shared" ca="1" si="134"/>
        <v>71.454127020550104</v>
      </c>
    </row>
    <row r="312" spans="1:30">
      <c r="A312" s="118">
        <v>21629</v>
      </c>
      <c r="B312" s="101">
        <f t="shared" ca="1" si="108"/>
        <v>1205.7991313509997</v>
      </c>
      <c r="C312" s="102">
        <f t="shared" ca="1" si="109"/>
        <v>1.5699670011728839</v>
      </c>
      <c r="D312" s="102">
        <f t="shared" si="110"/>
        <v>1.186579157933416</v>
      </c>
      <c r="E312" s="103">
        <f t="shared" si="111"/>
        <v>0.56840841817191035</v>
      </c>
      <c r="F312" s="101">
        <f t="shared" si="112"/>
        <v>7392.9064756736798</v>
      </c>
      <c r="G312" s="104">
        <f t="shared" si="113"/>
        <v>1.5706610619966281</v>
      </c>
      <c r="H312" s="113">
        <f t="shared" si="114"/>
        <v>924.11384206419802</v>
      </c>
      <c r="I312" s="114">
        <f t="shared" si="115"/>
        <v>1.5697142088245288</v>
      </c>
      <c r="J312" s="101">
        <f t="shared" si="116"/>
        <v>1.6872623458788552</v>
      </c>
      <c r="K312" s="104">
        <f t="shared" si="117"/>
        <v>0.93641905267995318</v>
      </c>
      <c r="L312" s="102">
        <f t="shared" si="118"/>
        <v>1</v>
      </c>
      <c r="M312" s="103">
        <f t="shared" si="119"/>
        <v>8.8334359654904993E-10</v>
      </c>
      <c r="N312" s="101">
        <f t="shared" si="120"/>
        <v>1</v>
      </c>
      <c r="O312" s="104">
        <f t="shared" si="121"/>
        <v>1.1777914620653998E-10</v>
      </c>
      <c r="P312" s="105">
        <f t="shared" ca="1" si="122"/>
        <v>1.5208703694260814</v>
      </c>
      <c r="Q312" s="106">
        <f t="shared" ca="1" si="123"/>
        <v>0.89340990141561238</v>
      </c>
      <c r="R312" s="107">
        <f t="shared" ca="1" si="124"/>
        <v>-15.060717476899477</v>
      </c>
      <c r="S312" s="108">
        <f t="shared" ca="1" si="125"/>
        <v>-162.28080687372164</v>
      </c>
      <c r="T312" s="116">
        <f t="shared" ca="1" si="126"/>
        <v>17.719193126278356</v>
      </c>
      <c r="V312" s="72">
        <f t="shared" ca="1" si="127"/>
        <v>21629</v>
      </c>
      <c r="W312" s="72">
        <f t="shared" si="128"/>
        <v>467813641</v>
      </c>
      <c r="Y312" s="110">
        <f t="shared" si="129"/>
        <v>41.476952627234581</v>
      </c>
      <c r="Z312" s="111">
        <f t="shared" si="130"/>
        <v>-53.707110282285583</v>
      </c>
      <c r="AA312" s="72">
        <f t="shared" si="131"/>
        <v>126.29288971771442</v>
      </c>
      <c r="AB312" s="110">
        <f t="shared" ca="1" si="132"/>
        <v>-39.036444836300056</v>
      </c>
      <c r="AC312" s="111">
        <f t="shared" ca="1" si="133"/>
        <v>-108.57369659143602</v>
      </c>
      <c r="AD312" s="72">
        <f t="shared" ca="1" si="134"/>
        <v>71.426303408563982</v>
      </c>
    </row>
    <row r="313" spans="1:30">
      <c r="A313" s="118">
        <v>21753.5</v>
      </c>
      <c r="B313" s="101">
        <f t="shared" ca="1" si="108"/>
        <v>1212.7399001751542</v>
      </c>
      <c r="C313" s="102">
        <f t="shared" ca="1" si="109"/>
        <v>1.5699717475811861</v>
      </c>
      <c r="D313" s="102">
        <f t="shared" si="110"/>
        <v>1.1885622820749848</v>
      </c>
      <c r="E313" s="103">
        <f t="shared" si="111"/>
        <v>0.57101534540658105</v>
      </c>
      <c r="F313" s="101">
        <f t="shared" si="112"/>
        <v>7435.4612326864453</v>
      </c>
      <c r="G313" s="104">
        <f t="shared" si="113"/>
        <v>1.5706618361464055</v>
      </c>
      <c r="H313" s="113">
        <f t="shared" si="114"/>
        <v>929.43318364258164</v>
      </c>
      <c r="I313" s="114">
        <f t="shared" si="115"/>
        <v>1.5697204020156494</v>
      </c>
      <c r="J313" s="101">
        <f t="shared" si="116"/>
        <v>1.6935693064636637</v>
      </c>
      <c r="K313" s="104">
        <f t="shared" si="117"/>
        <v>0.93915661599874289</v>
      </c>
      <c r="L313" s="102">
        <f t="shared" si="118"/>
        <v>1</v>
      </c>
      <c r="M313" s="103">
        <f t="shared" si="119"/>
        <v>8.8842826425307496E-10</v>
      </c>
      <c r="N313" s="101">
        <f t="shared" si="120"/>
        <v>1</v>
      </c>
      <c r="O313" s="104">
        <f t="shared" si="121"/>
        <v>1.1845710190040998E-10</v>
      </c>
      <c r="P313" s="105">
        <f t="shared" ca="1" si="122"/>
        <v>1.5258545017828191</v>
      </c>
      <c r="Q313" s="106">
        <f t="shared" ca="1" si="123"/>
        <v>0.89648773126339376</v>
      </c>
      <c r="R313" s="107">
        <f t="shared" ca="1" si="124"/>
        <v>-15.156892642502884</v>
      </c>
      <c r="S313" s="108">
        <f t="shared" ca="1" si="125"/>
        <v>-162.46459989125412</v>
      </c>
      <c r="T313" s="116">
        <f t="shared" ca="1" si="126"/>
        <v>17.535400108745876</v>
      </c>
      <c r="V313" s="72">
        <f t="shared" ca="1" si="127"/>
        <v>21753.5</v>
      </c>
      <c r="W313" s="72">
        <f t="shared" si="128"/>
        <v>473214762.25</v>
      </c>
      <c r="Y313" s="110">
        <f t="shared" si="129"/>
        <v>41.44454537993029</v>
      </c>
      <c r="Z313" s="111">
        <f t="shared" si="130"/>
        <v>-53.863650618330496</v>
      </c>
      <c r="AA313" s="72">
        <f t="shared" si="131"/>
        <v>126.1363493816695</v>
      </c>
      <c r="AB313" s="110">
        <f t="shared" ca="1" si="132"/>
        <v>-39.10021275459917</v>
      </c>
      <c r="AC313" s="111">
        <f t="shared" ca="1" si="133"/>
        <v>-108.60094927292364</v>
      </c>
      <c r="AD313" s="72">
        <f t="shared" ca="1" si="134"/>
        <v>71.399050727076357</v>
      </c>
    </row>
    <row r="314" spans="1:30">
      <c r="A314" s="118">
        <v>21878</v>
      </c>
      <c r="B314" s="101">
        <f t="shared" ca="1" si="108"/>
        <v>1219.6806690263186</v>
      </c>
      <c r="C314" s="102">
        <f t="shared" ca="1" si="109"/>
        <v>1.5699764399692457</v>
      </c>
      <c r="D314" s="102">
        <f t="shared" si="110"/>
        <v>1.1905534568267755</v>
      </c>
      <c r="E314" s="103">
        <f t="shared" si="111"/>
        <v>0.57361357019171644</v>
      </c>
      <c r="F314" s="101">
        <f t="shared" si="112"/>
        <v>7478.0159897036156</v>
      </c>
      <c r="G314" s="104">
        <f t="shared" si="113"/>
        <v>1.5706626014853551</v>
      </c>
      <c r="H314" s="113">
        <f t="shared" si="114"/>
        <v>934.7525252562084</v>
      </c>
      <c r="I314" s="114">
        <f t="shared" si="115"/>
        <v>1.5697265247203078</v>
      </c>
      <c r="J314" s="101">
        <f t="shared" si="116"/>
        <v>1.6998888648494721</v>
      </c>
      <c r="K314" s="104">
        <f t="shared" si="117"/>
        <v>0.94187384505846328</v>
      </c>
      <c r="L314" s="102">
        <f t="shared" si="118"/>
        <v>1</v>
      </c>
      <c r="M314" s="103">
        <f t="shared" si="119"/>
        <v>8.9351293195709989E-10</v>
      </c>
      <c r="N314" s="101">
        <f t="shared" si="120"/>
        <v>1</v>
      </c>
      <c r="O314" s="104">
        <f t="shared" si="121"/>
        <v>1.1913505759427997E-10</v>
      </c>
      <c r="P314" s="105">
        <f t="shared" ca="1" si="122"/>
        <v>1.5308510662905077</v>
      </c>
      <c r="Q314" s="106">
        <f t="shared" ca="1" si="123"/>
        <v>0.89954707635935383</v>
      </c>
      <c r="R314" s="107">
        <f t="shared" ca="1" si="124"/>
        <v>-15.252670511976802</v>
      </c>
      <c r="S314" s="108">
        <f t="shared" ca="1" si="125"/>
        <v>-162.64666779554719</v>
      </c>
      <c r="T314" s="116">
        <f t="shared" ca="1" si="126"/>
        <v>17.353332204452812</v>
      </c>
      <c r="V314" s="72">
        <f t="shared" ca="1" si="127"/>
        <v>21878</v>
      </c>
      <c r="W314" s="72">
        <f t="shared" si="128"/>
        <v>478646884</v>
      </c>
      <c r="Y314" s="110">
        <f t="shared" si="129"/>
        <v>41.412194225042867</v>
      </c>
      <c r="Z314" s="111">
        <f t="shared" si="130"/>
        <v>-54.019029420903372</v>
      </c>
      <c r="AA314" s="72">
        <f t="shared" si="131"/>
        <v>125.98097057909663</v>
      </c>
      <c r="AB314" s="110">
        <f t="shared" ca="1" si="132"/>
        <v>-39.163639469185675</v>
      </c>
      <c r="AC314" s="111">
        <f t="shared" ca="1" si="133"/>
        <v>-108.62763837464381</v>
      </c>
      <c r="AD314" s="72">
        <f t="shared" ca="1" si="134"/>
        <v>71.372361625356191</v>
      </c>
    </row>
    <row r="315" spans="1:30">
      <c r="A315" s="118">
        <v>22005.25</v>
      </c>
      <c r="B315" s="101">
        <f t="shared" ca="1" si="108"/>
        <v>1226.7747480602645</v>
      </c>
      <c r="C315" s="102">
        <f t="shared" ca="1" si="109"/>
        <v>1.569981181135659</v>
      </c>
      <c r="D315" s="102">
        <f t="shared" si="110"/>
        <v>1.1925968906836042</v>
      </c>
      <c r="E315" s="103">
        <f t="shared" si="111"/>
        <v>0.5762602015308631</v>
      </c>
      <c r="F315" s="101">
        <f t="shared" si="112"/>
        <v>7521.5107112376882</v>
      </c>
      <c r="G315" s="104">
        <f t="shared" si="113"/>
        <v>1.5706633747801568</v>
      </c>
      <c r="H315" s="113">
        <f t="shared" si="114"/>
        <v>940.18936240312178</v>
      </c>
      <c r="I315" s="114">
        <f t="shared" si="115"/>
        <v>1.5697327110717934</v>
      </c>
      <c r="J315" s="101">
        <f t="shared" si="116"/>
        <v>1.7063608844383278</v>
      </c>
      <c r="K315" s="104">
        <f t="shared" si="117"/>
        <v>0.94463027394613286</v>
      </c>
      <c r="L315" s="102">
        <f t="shared" si="118"/>
        <v>1</v>
      </c>
      <c r="M315" s="103">
        <f t="shared" si="119"/>
        <v>8.9870991159836245E-10</v>
      </c>
      <c r="N315" s="101">
        <f t="shared" si="120"/>
        <v>1</v>
      </c>
      <c r="O315" s="104">
        <f t="shared" si="121"/>
        <v>1.1982798821311498E-10</v>
      </c>
      <c r="P315" s="105">
        <f t="shared" ca="1" si="122"/>
        <v>1.5359707208963433</v>
      </c>
      <c r="Q315" s="106">
        <f t="shared" ca="1" si="123"/>
        <v>0.9026550361333312</v>
      </c>
      <c r="R315" s="107">
        <f t="shared" ca="1" si="124"/>
        <v>-15.350155947794562</v>
      </c>
      <c r="S315" s="108">
        <f t="shared" ca="1" si="125"/>
        <v>-162.8309932130995</v>
      </c>
      <c r="T315" s="116">
        <f t="shared" ca="1" si="126"/>
        <v>17.169006786900496</v>
      </c>
      <c r="V315" s="72">
        <f t="shared" ca="1" si="127"/>
        <v>22005.25</v>
      </c>
      <c r="W315" s="72">
        <f t="shared" si="128"/>
        <v>484231027.5625</v>
      </c>
      <c r="Y315" s="110">
        <f t="shared" si="129"/>
        <v>41.37918700844633</v>
      </c>
      <c r="Z315" s="111">
        <f t="shared" si="130"/>
        <v>-54.176651017314612</v>
      </c>
      <c r="AA315" s="72">
        <f t="shared" si="131"/>
        <v>125.82334898268539</v>
      </c>
      <c r="AB315" s="110">
        <f t="shared" ca="1" si="132"/>
        <v>-39.22811768840689</v>
      </c>
      <c r="AC315" s="111">
        <f t="shared" ca="1" si="133"/>
        <v>-108.65434219578493</v>
      </c>
      <c r="AD315" s="72">
        <f t="shared" ca="1" si="134"/>
        <v>71.345657804215065</v>
      </c>
    </row>
    <row r="316" spans="1:30">
      <c r="A316" s="118">
        <v>22132.5</v>
      </c>
      <c r="B316" s="101">
        <f t="shared" ca="1" si="108"/>
        <v>1233.8688271214696</v>
      </c>
      <c r="C316" s="102">
        <f t="shared" ca="1" si="109"/>
        <v>1.5699858677837821</v>
      </c>
      <c r="D316" s="102">
        <f t="shared" si="110"/>
        <v>1.1946486496611133</v>
      </c>
      <c r="E316" s="103">
        <f t="shared" si="111"/>
        <v>0.57889776033569185</v>
      </c>
      <c r="F316" s="101">
        <f t="shared" si="112"/>
        <v>7565.0054327762073</v>
      </c>
      <c r="G316" s="104">
        <f t="shared" si="113"/>
        <v>1.5706641391828984</v>
      </c>
      <c r="H316" s="113">
        <f t="shared" si="114"/>
        <v>945.62619958560333</v>
      </c>
      <c r="I316" s="114">
        <f t="shared" si="115"/>
        <v>1.5697388262869552</v>
      </c>
      <c r="J316" s="101">
        <f t="shared" si="116"/>
        <v>1.712845770754529</v>
      </c>
      <c r="K316" s="104">
        <f t="shared" si="117"/>
        <v>0.94736585163997633</v>
      </c>
      <c r="L316" s="102">
        <f t="shared" si="118"/>
        <v>1</v>
      </c>
      <c r="M316" s="103">
        <f t="shared" si="119"/>
        <v>9.039068912396249E-10</v>
      </c>
      <c r="N316" s="101">
        <f t="shared" si="120"/>
        <v>1</v>
      </c>
      <c r="O316" s="104">
        <f t="shared" si="121"/>
        <v>1.2052091883194999E-10</v>
      </c>
      <c r="P316" s="105">
        <f t="shared" ca="1" si="122"/>
        <v>1.5411031149304641</v>
      </c>
      <c r="Q316" s="106">
        <f t="shared" ca="1" si="123"/>
        <v>0.90574396999394313</v>
      </c>
      <c r="R316" s="107">
        <f t="shared" ca="1" si="124"/>
        <v>-15.447231488419488</v>
      </c>
      <c r="S316" s="108">
        <f t="shared" ca="1" si="125"/>
        <v>-163.01355410130017</v>
      </c>
      <c r="T316" s="116">
        <f t="shared" ca="1" si="126"/>
        <v>16.986445898699827</v>
      </c>
      <c r="V316" s="72">
        <f t="shared" ca="1" si="127"/>
        <v>22132.5</v>
      </c>
      <c r="W316" s="72">
        <f t="shared" si="128"/>
        <v>489847556.25</v>
      </c>
      <c r="Y316" s="110">
        <f t="shared" si="129"/>
        <v>41.346239500513448</v>
      </c>
      <c r="Z316" s="111">
        <f t="shared" si="130"/>
        <v>-54.333081494653996</v>
      </c>
      <c r="AA316" s="72">
        <f t="shared" si="131"/>
        <v>125.666918505346</v>
      </c>
      <c r="AB316" s="110">
        <f t="shared" ca="1" si="132"/>
        <v>-39.292245721098936</v>
      </c>
      <c r="AC316" s="111">
        <f t="shared" ca="1" si="133"/>
        <v>-108.68047260664619</v>
      </c>
      <c r="AD316" s="72">
        <f t="shared" ca="1" si="134"/>
        <v>71.319527393353809</v>
      </c>
    </row>
    <row r="317" spans="1:30">
      <c r="A317" s="118">
        <v>22259.75</v>
      </c>
      <c r="B317" s="101">
        <f t="shared" ca="1" si="108"/>
        <v>1240.9629062094664</v>
      </c>
      <c r="C317" s="102">
        <f t="shared" ca="1" si="109"/>
        <v>1.5699905008485915</v>
      </c>
      <c r="D317" s="102">
        <f t="shared" si="110"/>
        <v>1.1967086909390054</v>
      </c>
      <c r="E317" s="103">
        <f t="shared" si="111"/>
        <v>0.58152625666769919</v>
      </c>
      <c r="F317" s="101">
        <f t="shared" si="112"/>
        <v>7608.5001543190956</v>
      </c>
      <c r="G317" s="104">
        <f t="shared" si="113"/>
        <v>1.5706648948460766</v>
      </c>
      <c r="H317" s="113">
        <f t="shared" si="114"/>
        <v>951.06303680304313</v>
      </c>
      <c r="I317" s="114">
        <f t="shared" si="115"/>
        <v>1.5697448715857643</v>
      </c>
      <c r="J317" s="101">
        <f t="shared" si="116"/>
        <v>1.7193433782089023</v>
      </c>
      <c r="K317" s="104">
        <f t="shared" si="117"/>
        <v>0.95008077336223851</v>
      </c>
      <c r="L317" s="102">
        <f t="shared" si="118"/>
        <v>1</v>
      </c>
      <c r="M317" s="103">
        <f t="shared" si="119"/>
        <v>9.0910387088088745E-10</v>
      </c>
      <c r="N317" s="101">
        <f t="shared" si="120"/>
        <v>1</v>
      </c>
      <c r="O317" s="104">
        <f t="shared" si="121"/>
        <v>1.2121384945078498E-10</v>
      </c>
      <c r="P317" s="105">
        <f t="shared" ca="1" si="122"/>
        <v>1.5462481250656193</v>
      </c>
      <c r="Q317" s="106">
        <f t="shared" ca="1" si="123"/>
        <v>0.9088140207438743</v>
      </c>
      <c r="R317" s="107">
        <f t="shared" ca="1" si="124"/>
        <v>-15.543899700316306</v>
      </c>
      <c r="S317" s="108">
        <f t="shared" ca="1" si="125"/>
        <v>-163.19436924347812</v>
      </c>
      <c r="T317" s="116">
        <f t="shared" ca="1" si="126"/>
        <v>16.805630756521879</v>
      </c>
      <c r="V317" s="72">
        <f t="shared" ca="1" si="127"/>
        <v>22259.75</v>
      </c>
      <c r="W317" s="72">
        <f t="shared" si="128"/>
        <v>495496470.0625</v>
      </c>
      <c r="Y317" s="110">
        <f t="shared" si="129"/>
        <v>41.313352232493713</v>
      </c>
      <c r="Z317" s="111">
        <f t="shared" si="130"/>
        <v>-54.488331977170532</v>
      </c>
      <c r="AA317" s="72">
        <f t="shared" si="131"/>
        <v>125.51166802282947</v>
      </c>
      <c r="AB317" s="110">
        <f t="shared" ca="1" si="132"/>
        <v>-39.356026664976021</v>
      </c>
      <c r="AC317" s="111">
        <f t="shared" ca="1" si="133"/>
        <v>-108.70603726630756</v>
      </c>
      <c r="AD317" s="72">
        <f t="shared" ca="1" si="134"/>
        <v>71.293962733692439</v>
      </c>
    </row>
    <row r="318" spans="1:30">
      <c r="A318" s="118">
        <v>22387</v>
      </c>
      <c r="B318" s="101">
        <f t="shared" ca="1" si="108"/>
        <v>1248.056985323798</v>
      </c>
      <c r="C318" s="102">
        <f t="shared" ca="1" si="109"/>
        <v>1.5699950812438053</v>
      </c>
      <c r="D318" s="102">
        <f t="shared" si="110"/>
        <v>1.198776971819062</v>
      </c>
      <c r="E318" s="103">
        <f t="shared" si="111"/>
        <v>0.58414570102025898</v>
      </c>
      <c r="F318" s="101">
        <f t="shared" si="112"/>
        <v>7651.9948758662795</v>
      </c>
      <c r="G318" s="104">
        <f t="shared" si="113"/>
        <v>1.5706656419187213</v>
      </c>
      <c r="H318" s="113">
        <f t="shared" si="114"/>
        <v>956.49987405484489</v>
      </c>
      <c r="I318" s="114">
        <f t="shared" si="115"/>
        <v>1.5697508481604545</v>
      </c>
      <c r="J318" s="101">
        <f t="shared" si="116"/>
        <v>1.725853563121311</v>
      </c>
      <c r="K318" s="104">
        <f t="shared" si="117"/>
        <v>0.95277523261619024</v>
      </c>
      <c r="L318" s="102">
        <f t="shared" si="118"/>
        <v>1</v>
      </c>
      <c r="M318" s="103">
        <f t="shared" si="119"/>
        <v>9.143008505221499E-10</v>
      </c>
      <c r="N318" s="101">
        <f t="shared" si="120"/>
        <v>1</v>
      </c>
      <c r="O318" s="104">
        <f t="shared" si="121"/>
        <v>1.2190678006961999E-10</v>
      </c>
      <c r="P318" s="105">
        <f t="shared" ca="1" si="122"/>
        <v>1.5514056293210261</v>
      </c>
      <c r="Q318" s="106">
        <f t="shared" ca="1" si="123"/>
        <v>0.91186533050864516</v>
      </c>
      <c r="R318" s="107">
        <f t="shared" ca="1" si="124"/>
        <v>-15.640163127375764</v>
      </c>
      <c r="S318" s="108">
        <f t="shared" ca="1" si="125"/>
        <v>-163.37345726110158</v>
      </c>
      <c r="T318" s="116">
        <f t="shared" ca="1" si="126"/>
        <v>16.626542738898422</v>
      </c>
      <c r="V318" s="72">
        <f t="shared" ca="1" si="127"/>
        <v>22387</v>
      </c>
      <c r="W318" s="72">
        <f t="shared" si="128"/>
        <v>501177769</v>
      </c>
      <c r="Y318" s="110">
        <f t="shared" si="129"/>
        <v>41.280525715906847</v>
      </c>
      <c r="Z318" s="111">
        <f t="shared" si="130"/>
        <v>-54.64241349201378</v>
      </c>
      <c r="AA318" s="72">
        <f t="shared" si="131"/>
        <v>125.35758650798621</v>
      </c>
      <c r="AB318" s="110">
        <f t="shared" ca="1" si="132"/>
        <v>-39.41946357544861</v>
      </c>
      <c r="AC318" s="111">
        <f t="shared" ca="1" si="133"/>
        <v>-108.73104376908776</v>
      </c>
      <c r="AD318" s="72">
        <f t="shared" ca="1" si="134"/>
        <v>71.268956230912238</v>
      </c>
    </row>
    <row r="319" spans="1:30">
      <c r="A319" s="118">
        <v>22517.5</v>
      </c>
      <c r="B319" s="101">
        <f t="shared" ca="1" si="108"/>
        <v>1255.3322491968142</v>
      </c>
      <c r="C319" s="102">
        <f t="shared" ca="1" si="109"/>
        <v>1.5699997248543329</v>
      </c>
      <c r="D319" s="102">
        <f t="shared" si="110"/>
        <v>1.2009065905189771</v>
      </c>
      <c r="E319" s="103">
        <f t="shared" si="111"/>
        <v>0.58682265642450193</v>
      </c>
      <c r="F319" s="101">
        <f t="shared" si="112"/>
        <v>7696.6004645693474</v>
      </c>
      <c r="G319" s="104">
        <f t="shared" si="113"/>
        <v>1.5706663993019188</v>
      </c>
      <c r="H319" s="113">
        <f t="shared" si="114"/>
        <v>962.07556966053448</v>
      </c>
      <c r="I319" s="114">
        <f t="shared" si="115"/>
        <v>1.5697569072195525</v>
      </c>
      <c r="J319" s="101">
        <f t="shared" si="116"/>
        <v>1.7325429348385322</v>
      </c>
      <c r="K319" s="104">
        <f t="shared" si="117"/>
        <v>0.95551745691304102</v>
      </c>
      <c r="L319" s="102">
        <f t="shared" si="118"/>
        <v>1</v>
      </c>
      <c r="M319" s="103">
        <f t="shared" si="119"/>
        <v>9.1963056245287493E-10</v>
      </c>
      <c r="N319" s="101">
        <f t="shared" si="120"/>
        <v>1</v>
      </c>
      <c r="O319" s="104">
        <f t="shared" si="121"/>
        <v>1.2261740832704999E-10</v>
      </c>
      <c r="P319" s="105">
        <f t="shared" ca="1" si="122"/>
        <v>1.5567077081377814</v>
      </c>
      <c r="Q319" s="106">
        <f t="shared" ca="1" si="123"/>
        <v>0.91497525463609852</v>
      </c>
      <c r="R319" s="107">
        <f t="shared" ca="1" si="124"/>
        <v>-15.738467365924595</v>
      </c>
      <c r="S319" s="108">
        <f t="shared" ca="1" si="125"/>
        <v>-163.55534471586512</v>
      </c>
      <c r="T319" s="116">
        <f t="shared" ca="1" si="126"/>
        <v>16.444655284134882</v>
      </c>
      <c r="V319" s="72">
        <f t="shared" ca="1" si="127"/>
        <v>22517.5</v>
      </c>
      <c r="W319" s="72">
        <f t="shared" si="128"/>
        <v>507037806.25</v>
      </c>
      <c r="Y319" s="110">
        <f t="shared" si="129"/>
        <v>41.24692441520925</v>
      </c>
      <c r="Z319" s="111">
        <f t="shared" si="130"/>
        <v>-54.799227606962646</v>
      </c>
      <c r="AA319" s="72">
        <f t="shared" si="131"/>
        <v>125.20077239303735</v>
      </c>
      <c r="AB319" s="110">
        <f t="shared" ca="1" si="132"/>
        <v>-39.484166513299847</v>
      </c>
      <c r="AC319" s="111">
        <f t="shared" ca="1" si="133"/>
        <v>-108.75611710890246</v>
      </c>
      <c r="AD319" s="72">
        <f t="shared" ca="1" si="134"/>
        <v>71.243882891097542</v>
      </c>
    </row>
    <row r="320" spans="1:30">
      <c r="A320" s="118">
        <v>22648</v>
      </c>
      <c r="B320" s="101">
        <f t="shared" ca="1" si="108"/>
        <v>1262.6075130965874</v>
      </c>
      <c r="C320" s="102">
        <f t="shared" ca="1" si="109"/>
        <v>1.5700043149510143</v>
      </c>
      <c r="D320" s="102">
        <f t="shared" si="110"/>
        <v>1.2030447845201524</v>
      </c>
      <c r="E320" s="103">
        <f t="shared" si="111"/>
        <v>0.58949011528167794</v>
      </c>
      <c r="F320" s="101">
        <f t="shared" si="112"/>
        <v>7741.20605327678</v>
      </c>
      <c r="G320" s="104">
        <f t="shared" si="113"/>
        <v>1.5706671479568837</v>
      </c>
      <c r="H320" s="113">
        <f t="shared" si="114"/>
        <v>967.65126530113707</v>
      </c>
      <c r="I320" s="114">
        <f t="shared" si="115"/>
        <v>1.5697628964529384</v>
      </c>
      <c r="J320" s="101">
        <f t="shared" si="116"/>
        <v>1.7392452346472813</v>
      </c>
      <c r="K320" s="104">
        <f t="shared" si="117"/>
        <v>0.95823856684528574</v>
      </c>
      <c r="L320" s="102">
        <f t="shared" si="118"/>
        <v>1</v>
      </c>
      <c r="M320" s="103">
        <f t="shared" si="119"/>
        <v>9.2496027438359996E-10</v>
      </c>
      <c r="N320" s="101">
        <f t="shared" si="120"/>
        <v>1</v>
      </c>
      <c r="O320" s="104">
        <f t="shared" si="121"/>
        <v>1.2332803658447998E-10</v>
      </c>
      <c r="P320" s="105">
        <f t="shared" ca="1" si="122"/>
        <v>1.5620226718638266</v>
      </c>
      <c r="Q320" s="106">
        <f t="shared" ca="1" si="123"/>
        <v>0.91806576878097657</v>
      </c>
      <c r="R320" s="107">
        <f t="shared" ca="1" si="124"/>
        <v>-15.836351227626837</v>
      </c>
      <c r="S320" s="108">
        <f t="shared" ca="1" si="125"/>
        <v>-163.73545484314275</v>
      </c>
      <c r="T320" s="116">
        <f t="shared" ca="1" si="126"/>
        <v>16.264545156857253</v>
      </c>
      <c r="V320" s="72">
        <f t="shared" ca="1" si="127"/>
        <v>22648</v>
      </c>
      <c r="W320" s="72">
        <f t="shared" si="128"/>
        <v>512931904</v>
      </c>
      <c r="Y320" s="110">
        <f t="shared" si="129"/>
        <v>41.213388036795884</v>
      </c>
      <c r="Z320" s="111">
        <f t="shared" si="130"/>
        <v>-54.954835458558811</v>
      </c>
      <c r="AA320" s="72">
        <f t="shared" si="131"/>
        <v>125.04516454144118</v>
      </c>
      <c r="AB320" s="110">
        <f t="shared" ca="1" si="132"/>
        <v>-39.548513996588724</v>
      </c>
      <c r="AC320" s="111">
        <f t="shared" ca="1" si="133"/>
        <v>-108.78061938458387</v>
      </c>
      <c r="AD320" s="72">
        <f t="shared" ca="1" si="134"/>
        <v>71.219380615416128</v>
      </c>
    </row>
    <row r="321" spans="1:30">
      <c r="A321" s="118">
        <v>22778.5</v>
      </c>
      <c r="B321" s="101">
        <f t="shared" ca="1" si="108"/>
        <v>1269.8827770226578</v>
      </c>
      <c r="C321" s="102">
        <f t="shared" ca="1" si="109"/>
        <v>1.5700088524536058</v>
      </c>
      <c r="D321" s="102">
        <f t="shared" si="110"/>
        <v>1.2051915081809021</v>
      </c>
      <c r="E321" s="103">
        <f t="shared" si="111"/>
        <v>0.5921480902780264</v>
      </c>
      <c r="F321" s="101">
        <f t="shared" si="112"/>
        <v>7785.8116419885018</v>
      </c>
      <c r="G321" s="104">
        <f t="shared" si="113"/>
        <v>1.5706678880336304</v>
      </c>
      <c r="H321" s="113">
        <f t="shared" si="114"/>
        <v>973.2269609760524</v>
      </c>
      <c r="I321" s="114">
        <f t="shared" si="115"/>
        <v>1.5697688170607234</v>
      </c>
      <c r="J321" s="101">
        <f t="shared" si="116"/>
        <v>1.7459603136645503</v>
      </c>
      <c r="K321" s="104">
        <f t="shared" si="117"/>
        <v>0.96093876550504687</v>
      </c>
      <c r="L321" s="102">
        <f t="shared" si="118"/>
        <v>1</v>
      </c>
      <c r="M321" s="103">
        <f t="shared" si="119"/>
        <v>9.3028998631432489E-10</v>
      </c>
      <c r="N321" s="101">
        <f t="shared" si="120"/>
        <v>1</v>
      </c>
      <c r="O321" s="104">
        <f t="shared" si="121"/>
        <v>1.2403866484190998E-10</v>
      </c>
      <c r="P321" s="105">
        <f t="shared" ca="1" si="122"/>
        <v>1.5673503932616335</v>
      </c>
      <c r="Q321" s="106">
        <f t="shared" ca="1" si="123"/>
        <v>0.92113702392843477</v>
      </c>
      <c r="R321" s="107">
        <f t="shared" ca="1" si="124"/>
        <v>-15.933817385623691</v>
      </c>
      <c r="S321" s="108">
        <f t="shared" ca="1" si="125"/>
        <v>-163.91380719573203</v>
      </c>
      <c r="T321" s="116">
        <f t="shared" ca="1" si="126"/>
        <v>16.086192804267966</v>
      </c>
      <c r="V321" s="72">
        <f t="shared" ca="1" si="127"/>
        <v>22778.5</v>
      </c>
      <c r="W321" s="72">
        <f t="shared" si="128"/>
        <v>518860062.25</v>
      </c>
      <c r="Y321" s="110">
        <f t="shared" si="129"/>
        <v>41.179917070722666</v>
      </c>
      <c r="Z321" s="111">
        <f t="shared" si="130"/>
        <v>-55.109248622957672</v>
      </c>
      <c r="AA321" s="72">
        <f t="shared" si="131"/>
        <v>124.89075137704233</v>
      </c>
      <c r="AB321" s="110">
        <f t="shared" ca="1" si="132"/>
        <v>-39.612509188512355</v>
      </c>
      <c r="AC321" s="111">
        <f t="shared" ca="1" si="133"/>
        <v>-108.8045585727744</v>
      </c>
      <c r="AD321" s="72">
        <f t="shared" ca="1" si="134"/>
        <v>71.195441427225603</v>
      </c>
    </row>
    <row r="322" spans="1:30">
      <c r="A322" s="118">
        <v>22909</v>
      </c>
      <c r="B322" s="101">
        <f t="shared" ca="1" si="108"/>
        <v>1277.1580409745759</v>
      </c>
      <c r="C322" s="102">
        <f t="shared" ca="1" si="109"/>
        <v>1.5700133382609047</v>
      </c>
      <c r="D322" s="102">
        <f t="shared" si="110"/>
        <v>1.207346716002726</v>
      </c>
      <c r="E322" s="103">
        <f t="shared" si="111"/>
        <v>0.59479659454575229</v>
      </c>
      <c r="F322" s="101">
        <f t="shared" si="112"/>
        <v>7830.4172307044391</v>
      </c>
      <c r="G322" s="104">
        <f t="shared" si="113"/>
        <v>1.5706686196787552</v>
      </c>
      <c r="H322" s="113">
        <f t="shared" si="114"/>
        <v>978.80265668469417</v>
      </c>
      <c r="I322" s="114">
        <f t="shared" si="115"/>
        <v>1.5697746702156727</v>
      </c>
      <c r="J322" s="101">
        <f t="shared" si="116"/>
        <v>1.7526880250072816</v>
      </c>
      <c r="K322" s="104">
        <f t="shared" si="117"/>
        <v>0.96361825409478918</v>
      </c>
      <c r="L322" s="102">
        <f t="shared" si="118"/>
        <v>1</v>
      </c>
      <c r="M322" s="103">
        <f t="shared" si="119"/>
        <v>9.3561969824504992E-10</v>
      </c>
      <c r="N322" s="101">
        <f t="shared" si="120"/>
        <v>1</v>
      </c>
      <c r="O322" s="104">
        <f t="shared" si="121"/>
        <v>1.2474929309933998E-10</v>
      </c>
      <c r="P322" s="105">
        <f t="shared" ca="1" si="122"/>
        <v>1.5726907465274007</v>
      </c>
      <c r="Q322" s="106">
        <f t="shared" ca="1" si="123"/>
        <v>0.92418917025536051</v>
      </c>
      <c r="R322" s="107">
        <f t="shared" ca="1" si="124"/>
        <v>-16.030868490229498</v>
      </c>
      <c r="S322" s="108">
        <f t="shared" ca="1" si="125"/>
        <v>-164.09042114646928</v>
      </c>
      <c r="T322" s="116">
        <f t="shared" ca="1" si="126"/>
        <v>15.909578853530718</v>
      </c>
      <c r="V322" s="72">
        <f t="shared" ca="1" si="127"/>
        <v>22909</v>
      </c>
      <c r="W322" s="72">
        <f t="shared" si="128"/>
        <v>524822281</v>
      </c>
      <c r="Y322" s="110">
        <f t="shared" si="129"/>
        <v>41.146511987211539</v>
      </c>
      <c r="Z322" s="111">
        <f t="shared" si="130"/>
        <v>-55.26247856941611</v>
      </c>
      <c r="AA322" s="72">
        <f t="shared" si="131"/>
        <v>124.73752143058388</v>
      </c>
      <c r="AB322" s="110">
        <f t="shared" ca="1" si="132"/>
        <v>-39.676155209607039</v>
      </c>
      <c r="AC322" s="111">
        <f t="shared" ca="1" si="133"/>
        <v>-108.82794257705316</v>
      </c>
      <c r="AD322" s="72">
        <f t="shared" ca="1" si="134"/>
        <v>71.172057422946835</v>
      </c>
    </row>
    <row r="323" spans="1:30">
      <c r="A323" s="118">
        <v>23042.25</v>
      </c>
      <c r="B323" s="101">
        <f t="shared" ca="1" si="108"/>
        <v>1284.5866151126143</v>
      </c>
      <c r="C323" s="102">
        <f t="shared" ca="1" si="109"/>
        <v>1.5700178661685475</v>
      </c>
      <c r="D323" s="102">
        <f t="shared" si="110"/>
        <v>1.209556047178709</v>
      </c>
      <c r="E323" s="103">
        <f t="shared" si="111"/>
        <v>0.59749115211548975</v>
      </c>
      <c r="F323" s="101">
        <f t="shared" si="112"/>
        <v>7875.9627839378236</v>
      </c>
      <c r="G323" s="104">
        <f t="shared" si="113"/>
        <v>1.5706693581905342</v>
      </c>
      <c r="H323" s="113">
        <f t="shared" si="114"/>
        <v>984.49584793097927</v>
      </c>
      <c r="I323" s="114">
        <f t="shared" si="115"/>
        <v>1.5697805783038703</v>
      </c>
      <c r="J323" s="101">
        <f t="shared" si="116"/>
        <v>1.7595703919098939</v>
      </c>
      <c r="K323" s="104">
        <f t="shared" si="117"/>
        <v>0.96633304480290083</v>
      </c>
      <c r="L323" s="102">
        <f t="shared" si="118"/>
        <v>1</v>
      </c>
      <c r="M323" s="103">
        <f t="shared" si="119"/>
        <v>9.4106172211301247E-10</v>
      </c>
      <c r="N323" s="101">
        <f t="shared" si="120"/>
        <v>1</v>
      </c>
      <c r="O323" s="104">
        <f t="shared" si="121"/>
        <v>1.2547489628173499E-10</v>
      </c>
      <c r="P323" s="105">
        <f t="shared" ca="1" si="122"/>
        <v>1.5781565406916482</v>
      </c>
      <c r="Q323" s="106">
        <f t="shared" ca="1" si="123"/>
        <v>0.92728607195203827</v>
      </c>
      <c r="R323" s="107">
        <f t="shared" ca="1" si="124"/>
        <v>-16.129539198553143</v>
      </c>
      <c r="S323" s="108">
        <f t="shared" ca="1" si="125"/>
        <v>-164.26898305171204</v>
      </c>
      <c r="T323" s="116">
        <f t="shared" ca="1" si="126"/>
        <v>15.731016948287959</v>
      </c>
      <c r="V323" s="72">
        <f t="shared" ca="1" si="127"/>
        <v>23042.25</v>
      </c>
      <c r="W323" s="72">
        <f t="shared" si="128"/>
        <v>530945285.0625</v>
      </c>
      <c r="Y323" s="110">
        <f t="shared" si="129"/>
        <v>41.112471413226416</v>
      </c>
      <c r="Z323" s="111">
        <f t="shared" si="130"/>
        <v>-55.417728424248772</v>
      </c>
      <c r="AA323" s="72">
        <f t="shared" si="131"/>
        <v>124.58227157575124</v>
      </c>
      <c r="AB323" s="110">
        <f t="shared" ca="1" si="132"/>
        <v>-39.740785343945554</v>
      </c>
      <c r="AC323" s="111">
        <f t="shared" ca="1" si="133"/>
        <v>-108.85125462746331</v>
      </c>
      <c r="AD323" s="72">
        <f t="shared" ca="1" si="134"/>
        <v>71.148745372536695</v>
      </c>
    </row>
    <row r="324" spans="1:30">
      <c r="A324" s="118">
        <v>23175.5</v>
      </c>
      <c r="B324" s="101">
        <f t="shared" ca="1" si="108"/>
        <v>1292.0151892766864</v>
      </c>
      <c r="C324" s="102">
        <f t="shared" ca="1" si="109"/>
        <v>1.5700223420088495</v>
      </c>
      <c r="D324" s="102">
        <f t="shared" si="110"/>
        <v>1.2117741284455998</v>
      </c>
      <c r="E324" s="103">
        <f t="shared" si="111"/>
        <v>0.60017586466036066</v>
      </c>
      <c r="F324" s="101">
        <f t="shared" si="112"/>
        <v>7921.5083371754536</v>
      </c>
      <c r="G324" s="104">
        <f t="shared" si="113"/>
        <v>1.5706700882100095</v>
      </c>
      <c r="H324" s="113">
        <f t="shared" si="114"/>
        <v>990.18903921123365</v>
      </c>
      <c r="I324" s="114">
        <f t="shared" si="115"/>
        <v>1.5697864184537758</v>
      </c>
      <c r="J324" s="101">
        <f t="shared" si="116"/>
        <v>1.7664656258953542</v>
      </c>
      <c r="K324" s="104">
        <f t="shared" si="117"/>
        <v>0.9690266613691898</v>
      </c>
      <c r="L324" s="102">
        <f t="shared" si="118"/>
        <v>1</v>
      </c>
      <c r="M324" s="103">
        <f t="shared" si="119"/>
        <v>9.4650374598097502E-10</v>
      </c>
      <c r="N324" s="101">
        <f t="shared" si="120"/>
        <v>1</v>
      </c>
      <c r="O324" s="104">
        <f t="shared" si="121"/>
        <v>1.2620049946412998E-10</v>
      </c>
      <c r="P324" s="105">
        <f t="shared" ca="1" si="122"/>
        <v>1.5836352441318877</v>
      </c>
      <c r="Q324" s="106">
        <f t="shared" ca="1" si="123"/>
        <v>0.93036336480469972</v>
      </c>
      <c r="R324" s="107">
        <f t="shared" ca="1" si="124"/>
        <v>-16.227782690409796</v>
      </c>
      <c r="S324" s="108">
        <f t="shared" ca="1" si="125"/>
        <v>-164.4457727651278</v>
      </c>
      <c r="T324" s="116">
        <f t="shared" ca="1" si="126"/>
        <v>15.554227234872201</v>
      </c>
      <c r="V324" s="72">
        <f t="shared" ca="1" si="127"/>
        <v>23175.5</v>
      </c>
      <c r="W324" s="72">
        <f t="shared" si="128"/>
        <v>537103800.25</v>
      </c>
      <c r="Y324" s="110">
        <f t="shared" si="129"/>
        <v>41.078500457381907</v>
      </c>
      <c r="Z324" s="111">
        <f t="shared" si="130"/>
        <v>-55.571768496123013</v>
      </c>
      <c r="AA324" s="72">
        <f t="shared" si="131"/>
        <v>124.42823150387699</v>
      </c>
      <c r="AB324" s="110">
        <f t="shared" ca="1" si="132"/>
        <v>-39.805057879957708</v>
      </c>
      <c r="AC324" s="111">
        <f t="shared" ca="1" si="133"/>
        <v>-108.87400426900473</v>
      </c>
      <c r="AD324" s="72">
        <f t="shared" ca="1" si="134"/>
        <v>71.125995730995271</v>
      </c>
    </row>
    <row r="325" spans="1:30">
      <c r="A325" s="118">
        <v>23308.75</v>
      </c>
      <c r="B325" s="101">
        <f t="shared" ca="1" si="108"/>
        <v>1299.4437634663457</v>
      </c>
      <c r="C325" s="102">
        <f t="shared" ca="1" si="109"/>
        <v>1.5700267666747756</v>
      </c>
      <c r="D325" s="102">
        <f t="shared" si="110"/>
        <v>1.2140009118419539</v>
      </c>
      <c r="E325" s="103">
        <f t="shared" si="111"/>
        <v>0.60285074754833556</v>
      </c>
      <c r="F325" s="101">
        <f t="shared" si="112"/>
        <v>7967.0538904172563</v>
      </c>
      <c r="G325" s="104">
        <f t="shared" si="113"/>
        <v>1.5706708098828259</v>
      </c>
      <c r="H325" s="113">
        <f t="shared" si="114"/>
        <v>995.88223052487444</v>
      </c>
      <c r="I325" s="114">
        <f t="shared" si="115"/>
        <v>1.5697921918305437</v>
      </c>
      <c r="J325" s="101">
        <f t="shared" si="116"/>
        <v>1.773373576874232</v>
      </c>
      <c r="K325" s="104">
        <f t="shared" si="117"/>
        <v>0.971699311920733</v>
      </c>
      <c r="L325" s="102">
        <f t="shared" si="118"/>
        <v>1</v>
      </c>
      <c r="M325" s="103">
        <f t="shared" si="119"/>
        <v>9.5194576984893736E-10</v>
      </c>
      <c r="N325" s="101">
        <f t="shared" si="120"/>
        <v>1</v>
      </c>
      <c r="O325" s="104">
        <f t="shared" si="121"/>
        <v>1.2692610264652499E-10</v>
      </c>
      <c r="P325" s="105">
        <f t="shared" ca="1" si="122"/>
        <v>1.5891267274579342</v>
      </c>
      <c r="Q325" s="106">
        <f t="shared" ca="1" si="123"/>
        <v>0.93342120599555756</v>
      </c>
      <c r="R325" s="107">
        <f t="shared" ca="1" si="124"/>
        <v>-16.325601716589997</v>
      </c>
      <c r="S325" s="108">
        <f t="shared" ca="1" si="125"/>
        <v>-164.62081032962647</v>
      </c>
      <c r="T325" s="116">
        <f t="shared" ca="1" si="126"/>
        <v>15.379189670373535</v>
      </c>
      <c r="V325" s="72">
        <f t="shared" ca="1" si="127"/>
        <v>23308.75</v>
      </c>
      <c r="W325" s="72">
        <f t="shared" si="128"/>
        <v>543297826.5625</v>
      </c>
      <c r="Y325" s="110">
        <f t="shared" si="129"/>
        <v>41.044599559323139</v>
      </c>
      <c r="Z325" s="111">
        <f t="shared" si="130"/>
        <v>-55.724610651428385</v>
      </c>
      <c r="AA325" s="72">
        <f t="shared" si="131"/>
        <v>124.27538934857162</v>
      </c>
      <c r="AB325" s="110">
        <f t="shared" ca="1" si="132"/>
        <v>-39.868976008079137</v>
      </c>
      <c r="AC325" s="111">
        <f t="shared" ca="1" si="133"/>
        <v>-108.8961996781981</v>
      </c>
      <c r="AD325" s="72">
        <f t="shared" ca="1" si="134"/>
        <v>71.103800321801899</v>
      </c>
    </row>
    <row r="326" spans="1:30">
      <c r="A326" s="118">
        <v>23442</v>
      </c>
      <c r="B326" s="101">
        <f t="shared" ca="1" si="108"/>
        <v>1306.8723376811558</v>
      </c>
      <c r="C326" s="102">
        <f t="shared" ca="1" si="109"/>
        <v>1.5700311410389878</v>
      </c>
      <c r="D326" s="102">
        <f t="shared" si="110"/>
        <v>1.2162363495700954</v>
      </c>
      <c r="E326" s="103">
        <f t="shared" si="111"/>
        <v>0.60551581659770659</v>
      </c>
      <c r="F326" s="101">
        <f t="shared" si="112"/>
        <v>8012.5994436631627</v>
      </c>
      <c r="G326" s="104">
        <f t="shared" si="113"/>
        <v>1.5706715233513167</v>
      </c>
      <c r="H326" s="113">
        <f t="shared" si="114"/>
        <v>1001.5754218713325</v>
      </c>
      <c r="I326" s="114">
        <f t="shared" si="115"/>
        <v>1.5697978995728363</v>
      </c>
      <c r="J326" s="101">
        <f t="shared" si="116"/>
        <v>1.7802940968119463</v>
      </c>
      <c r="K326" s="104">
        <f t="shared" si="117"/>
        <v>0.97435120255543706</v>
      </c>
      <c r="L326" s="102">
        <f t="shared" si="118"/>
        <v>1</v>
      </c>
      <c r="M326" s="103">
        <f t="shared" si="119"/>
        <v>9.5738779371689991E-10</v>
      </c>
      <c r="N326" s="101">
        <f t="shared" si="120"/>
        <v>1</v>
      </c>
      <c r="O326" s="104">
        <f t="shared" si="121"/>
        <v>1.2765170582891998E-10</v>
      </c>
      <c r="P326" s="105">
        <f t="shared" ca="1" si="122"/>
        <v>1.5946308627763162</v>
      </c>
      <c r="Q326" s="106">
        <f t="shared" ca="1" si="123"/>
        <v>0.93645975177591023</v>
      </c>
      <c r="R326" s="107">
        <f t="shared" ca="1" si="124"/>
        <v>-16.422999005046528</v>
      </c>
      <c r="S326" s="108">
        <f t="shared" ca="1" si="125"/>
        <v>-164.79411559288152</v>
      </c>
      <c r="T326" s="116">
        <f t="shared" ca="1" si="126"/>
        <v>15.205884407118475</v>
      </c>
      <c r="V326" s="72">
        <f t="shared" ca="1" si="127"/>
        <v>23442</v>
      </c>
      <c r="W326" s="72">
        <f t="shared" si="128"/>
        <v>549527364</v>
      </c>
      <c r="Y326" s="110">
        <f t="shared" si="129"/>
        <v>41.010769139176297</v>
      </c>
      <c r="Z326" s="111">
        <f t="shared" si="130"/>
        <v>-55.876266641619694</v>
      </c>
      <c r="AA326" s="72">
        <f t="shared" si="131"/>
        <v>124.12373335838031</v>
      </c>
      <c r="AB326" s="110">
        <f t="shared" ca="1" si="132"/>
        <v>-39.932542876388823</v>
      </c>
      <c r="AC326" s="111">
        <f t="shared" ca="1" si="133"/>
        <v>-108.91784895126183</v>
      </c>
      <c r="AD326" s="72">
        <f t="shared" ca="1" si="134"/>
        <v>71.082151048738169</v>
      </c>
    </row>
    <row r="327" spans="1:30">
      <c r="A327" s="118">
        <v>23578.5</v>
      </c>
      <c r="B327" s="101">
        <f t="shared" ca="1" si="108"/>
        <v>1314.4820966585455</v>
      </c>
      <c r="C327" s="102">
        <f t="shared" ca="1" si="109"/>
        <v>1.5700355708294862</v>
      </c>
      <c r="D327" s="102">
        <f t="shared" si="110"/>
        <v>1.2185352339082272</v>
      </c>
      <c r="E327" s="103">
        <f t="shared" si="111"/>
        <v>0.60823572853030539</v>
      </c>
      <c r="F327" s="101">
        <f t="shared" si="112"/>
        <v>8059.255864065588</v>
      </c>
      <c r="G327" s="104">
        <f t="shared" si="113"/>
        <v>1.5706722458599527</v>
      </c>
      <c r="H327" s="113">
        <f t="shared" si="114"/>
        <v>1007.4074715767601</v>
      </c>
      <c r="I327" s="114">
        <f t="shared" si="115"/>
        <v>1.5698036796362851</v>
      </c>
      <c r="J327" s="101">
        <f t="shared" si="116"/>
        <v>1.787396289843928</v>
      </c>
      <c r="K327" s="104">
        <f t="shared" si="117"/>
        <v>0.9770464611597236</v>
      </c>
      <c r="L327" s="102">
        <f t="shared" si="118"/>
        <v>1</v>
      </c>
      <c r="M327" s="103">
        <f t="shared" si="119"/>
        <v>9.6296254987432494E-10</v>
      </c>
      <c r="N327" s="101">
        <f t="shared" si="120"/>
        <v>1</v>
      </c>
      <c r="O327" s="104">
        <f t="shared" si="121"/>
        <v>1.2839500664990998E-10</v>
      </c>
      <c r="P327" s="105">
        <f t="shared" ca="1" si="122"/>
        <v>1.6002822317999221</v>
      </c>
      <c r="Q327" s="106">
        <f t="shared" ca="1" si="123"/>
        <v>0.93955256369009221</v>
      </c>
      <c r="R327" s="107">
        <f t="shared" ca="1" si="124"/>
        <v>-16.522337372542559</v>
      </c>
      <c r="S327" s="108">
        <f t="shared" ca="1" si="125"/>
        <v>-164.96987216240694</v>
      </c>
      <c r="T327" s="116">
        <f t="shared" ca="1" si="126"/>
        <v>15.030127837593056</v>
      </c>
      <c r="V327" s="72">
        <f t="shared" ca="1" si="127"/>
        <v>23578.5</v>
      </c>
      <c r="W327" s="72">
        <f t="shared" si="128"/>
        <v>555945662.25</v>
      </c>
      <c r="Y327" s="110">
        <f t="shared" si="129"/>
        <v>40.976187083318194</v>
      </c>
      <c r="Z327" s="111">
        <f t="shared" si="130"/>
        <v>-56.030403807695514</v>
      </c>
      <c r="AA327" s="72">
        <f t="shared" si="131"/>
        <v>123.96959619230449</v>
      </c>
      <c r="AB327" s="110">
        <f t="shared" ca="1" si="132"/>
        <v>-39.997299188026751</v>
      </c>
      <c r="AC327" s="111">
        <f t="shared" ca="1" si="133"/>
        <v>-108.93946835471145</v>
      </c>
      <c r="AD327" s="72">
        <f t="shared" ca="1" si="134"/>
        <v>71.060531645288549</v>
      </c>
    </row>
    <row r="328" spans="1:30">
      <c r="A328" s="118">
        <v>23715</v>
      </c>
      <c r="B328" s="101">
        <f t="shared" ca="1" si="108"/>
        <v>1322.0918556614324</v>
      </c>
      <c r="C328" s="102">
        <f t="shared" ca="1" si="109"/>
        <v>1.5700399496255881</v>
      </c>
      <c r="D328" s="102">
        <f t="shared" si="110"/>
        <v>1.2208430988852115</v>
      </c>
      <c r="E328" s="103">
        <f t="shared" si="111"/>
        <v>0.6109453770775698</v>
      </c>
      <c r="F328" s="101">
        <f t="shared" si="112"/>
        <v>8105.9122844721724</v>
      </c>
      <c r="G328" s="104">
        <f t="shared" si="113"/>
        <v>1.570672960051285</v>
      </c>
      <c r="H328" s="113">
        <f t="shared" si="114"/>
        <v>1013.2395213154568</v>
      </c>
      <c r="I328" s="114">
        <f t="shared" si="115"/>
        <v>1.5698093931614341</v>
      </c>
      <c r="J328" s="101">
        <f t="shared" si="116"/>
        <v>1.7945113644391222</v>
      </c>
      <c r="K328" s="104">
        <f t="shared" si="117"/>
        <v>0.97972036614912072</v>
      </c>
      <c r="L328" s="102">
        <f t="shared" si="118"/>
        <v>1</v>
      </c>
      <c r="M328" s="103">
        <f t="shared" si="119"/>
        <v>9.6853730603174996E-10</v>
      </c>
      <c r="N328" s="101">
        <f t="shared" si="120"/>
        <v>1</v>
      </c>
      <c r="O328" s="104">
        <f t="shared" si="121"/>
        <v>1.2913830747089998E-10</v>
      </c>
      <c r="P328" s="105">
        <f t="shared" ca="1" si="122"/>
        <v>1.6059466105703151</v>
      </c>
      <c r="Q328" s="106">
        <f t="shared" ca="1" si="123"/>
        <v>0.94262545636511452</v>
      </c>
      <c r="R328" s="107">
        <f t="shared" ca="1" si="124"/>
        <v>-16.621238902400464</v>
      </c>
      <c r="S328" s="108">
        <f t="shared" ca="1" si="125"/>
        <v>-165.14385243430169</v>
      </c>
      <c r="T328" s="116">
        <f t="shared" ca="1" si="126"/>
        <v>14.856147565698308</v>
      </c>
      <c r="V328" s="72">
        <f t="shared" ca="1" si="127"/>
        <v>23715</v>
      </c>
      <c r="W328" s="72">
        <f t="shared" si="128"/>
        <v>562401225</v>
      </c>
      <c r="Y328" s="110">
        <f t="shared" si="129"/>
        <v>40.941679817052915</v>
      </c>
      <c r="Z328" s="111">
        <f t="shared" si="130"/>
        <v>-56.183320837576801</v>
      </c>
      <c r="AA328" s="72">
        <f t="shared" si="131"/>
        <v>123.8166791624232</v>
      </c>
      <c r="AB328" s="110">
        <f t="shared" ca="1" si="132"/>
        <v>-40.061693451619377</v>
      </c>
      <c r="AC328" s="111">
        <f t="shared" ca="1" si="133"/>
        <v>-108.96053159672495</v>
      </c>
      <c r="AD328" s="72">
        <f t="shared" ca="1" si="134"/>
        <v>71.039468403275052</v>
      </c>
    </row>
    <row r="329" spans="1:30">
      <c r="A329" s="118">
        <v>23851.5</v>
      </c>
      <c r="B329" s="101">
        <f t="shared" ca="1" si="108"/>
        <v>1329.7016146893784</v>
      </c>
      <c r="C329" s="102">
        <f t="shared" ca="1" si="109"/>
        <v>1.5700442783028021</v>
      </c>
      <c r="D329" s="102">
        <f t="shared" si="110"/>
        <v>1.2231598936668895</v>
      </c>
      <c r="E329" s="103">
        <f t="shared" si="111"/>
        <v>0.61364478065755179</v>
      </c>
      <c r="F329" s="101">
        <f t="shared" si="112"/>
        <v>8152.568704882844</v>
      </c>
      <c r="G329" s="104">
        <f t="shared" si="113"/>
        <v>1.5706736660681113</v>
      </c>
      <c r="H329" s="113">
        <f t="shared" si="114"/>
        <v>1019.0715710868516</v>
      </c>
      <c r="I329" s="114">
        <f t="shared" si="115"/>
        <v>1.5698150412906602</v>
      </c>
      <c r="J329" s="101">
        <f t="shared" si="116"/>
        <v>1.8016391679810431</v>
      </c>
      <c r="K329" s="104">
        <f t="shared" si="117"/>
        <v>0.98237313250361136</v>
      </c>
      <c r="L329" s="102">
        <f t="shared" si="118"/>
        <v>1</v>
      </c>
      <c r="M329" s="103">
        <f t="shared" si="119"/>
        <v>9.7411206218917499E-10</v>
      </c>
      <c r="N329" s="101">
        <f t="shared" si="120"/>
        <v>1</v>
      </c>
      <c r="O329" s="104">
        <f t="shared" si="121"/>
        <v>1.2988160829188998E-10</v>
      </c>
      <c r="P329" s="105">
        <f t="shared" ca="1" si="122"/>
        <v>1.6116238663893527</v>
      </c>
      <c r="Q329" s="106">
        <f t="shared" ca="1" si="123"/>
        <v>0.94567859465684589</v>
      </c>
      <c r="R329" s="107">
        <f t="shared" ca="1" si="124"/>
        <v>-16.719706455370936</v>
      </c>
      <c r="S329" s="108">
        <f t="shared" ca="1" si="125"/>
        <v>-165.31607710917172</v>
      </c>
      <c r="T329" s="116">
        <f t="shared" ca="1" si="126"/>
        <v>14.683922890828285</v>
      </c>
      <c r="V329" s="72">
        <f t="shared" ca="1" si="127"/>
        <v>23851.5</v>
      </c>
      <c r="W329" s="72">
        <f t="shared" si="128"/>
        <v>568894052.25</v>
      </c>
      <c r="Y329" s="110">
        <f t="shared" si="129"/>
        <v>40.907247731467386</v>
      </c>
      <c r="Z329" s="111">
        <f t="shared" si="130"/>
        <v>-56.33502999143753</v>
      </c>
      <c r="AA329" s="72">
        <f t="shared" si="131"/>
        <v>123.66497000856248</v>
      </c>
      <c r="AB329" s="110">
        <f t="shared" ca="1" si="132"/>
        <v>-40.125728919004324</v>
      </c>
      <c r="AC329" s="111">
        <f t="shared" ca="1" si="133"/>
        <v>-108.98104711773414</v>
      </c>
      <c r="AD329" s="72">
        <f t="shared" ca="1" si="134"/>
        <v>71.018952882265864</v>
      </c>
    </row>
    <row r="330" spans="1:30">
      <c r="A330" s="118">
        <v>23988</v>
      </c>
      <c r="B330" s="101">
        <f t="shared" ca="1" si="108"/>
        <v>1337.3113737419562</v>
      </c>
      <c r="C330" s="102">
        <f t="shared" ca="1" si="109"/>
        <v>1.5700485577167087</v>
      </c>
      <c r="D330" s="102">
        <f t="shared" si="110"/>
        <v>1.2254855676075624</v>
      </c>
      <c r="E330" s="103">
        <f t="shared" si="111"/>
        <v>0.61633395814651593</v>
      </c>
      <c r="F330" s="101">
        <f t="shared" si="112"/>
        <v>8199.2251252975329</v>
      </c>
      <c r="G330" s="104">
        <f t="shared" si="113"/>
        <v>1.570674364049979</v>
      </c>
      <c r="H330" s="113">
        <f t="shared" si="114"/>
        <v>1024.903620890386</v>
      </c>
      <c r="I330" s="114">
        <f t="shared" si="115"/>
        <v>1.5698206251403382</v>
      </c>
      <c r="J330" s="101">
        <f t="shared" si="116"/>
        <v>1.8087795499879571</v>
      </c>
      <c r="K330" s="104">
        <f t="shared" si="117"/>
        <v>0.98500497300768408</v>
      </c>
      <c r="L330" s="102">
        <f t="shared" si="118"/>
        <v>1</v>
      </c>
      <c r="M330" s="103">
        <f t="shared" si="119"/>
        <v>9.7968681834660002E-10</v>
      </c>
      <c r="N330" s="101">
        <f t="shared" si="120"/>
        <v>1</v>
      </c>
      <c r="O330" s="104">
        <f t="shared" si="121"/>
        <v>1.3062490911287998E-10</v>
      </c>
      <c r="P330" s="105">
        <f t="shared" ca="1" si="122"/>
        <v>1.617313868138188</v>
      </c>
      <c r="Q330" s="106">
        <f t="shared" ca="1" si="123"/>
        <v>0.94871214235086732</v>
      </c>
      <c r="R330" s="107">
        <f t="shared" ca="1" si="124"/>
        <v>-16.817742868897806</v>
      </c>
      <c r="S330" s="108">
        <f t="shared" ca="1" si="125"/>
        <v>-165.48656667441531</v>
      </c>
      <c r="T330" s="116">
        <f t="shared" ca="1" si="126"/>
        <v>14.513433325584685</v>
      </c>
      <c r="V330" s="72">
        <f t="shared" ca="1" si="127"/>
        <v>23988</v>
      </c>
      <c r="W330" s="72">
        <f t="shared" si="128"/>
        <v>575424144</v>
      </c>
      <c r="Y330" s="110">
        <f t="shared" si="129"/>
        <v>40.872891198264661</v>
      </c>
      <c r="Z330" s="111">
        <f t="shared" si="130"/>
        <v>-56.485543404962868</v>
      </c>
      <c r="AA330" s="72">
        <f t="shared" si="131"/>
        <v>123.51445659503713</v>
      </c>
      <c r="AB330" s="110">
        <f t="shared" ca="1" si="132"/>
        <v>-40.189408799328461</v>
      </c>
      <c r="AC330" s="111">
        <f t="shared" ca="1" si="133"/>
        <v>-109.00102326945243</v>
      </c>
      <c r="AD330" s="72">
        <f t="shared" ca="1" si="134"/>
        <v>70.998976730547568</v>
      </c>
    </row>
    <row r="331" spans="1:30">
      <c r="A331" s="118">
        <v>24127.75</v>
      </c>
      <c r="B331" s="101">
        <f t="shared" ca="1" si="108"/>
        <v>1345.102317558963</v>
      </c>
      <c r="C331" s="102">
        <f t="shared" ca="1" si="109"/>
        <v>1.5700528888578247</v>
      </c>
      <c r="D331" s="102">
        <f t="shared" si="110"/>
        <v>1.2278757608405986</v>
      </c>
      <c r="E331" s="103">
        <f t="shared" si="111"/>
        <v>0.61907658964625933</v>
      </c>
      <c r="F331" s="101">
        <f t="shared" si="112"/>
        <v>8246.9924128690436</v>
      </c>
      <c r="G331" s="104">
        <f t="shared" si="113"/>
        <v>1.5706750704686643</v>
      </c>
      <c r="H331" s="113">
        <f t="shared" si="114"/>
        <v>1030.8745290553034</v>
      </c>
      <c r="I331" s="114">
        <f t="shared" si="115"/>
        <v>1.5698262764845554</v>
      </c>
      <c r="J331" s="101">
        <f t="shared" si="116"/>
        <v>1.8161028174247269</v>
      </c>
      <c r="K331" s="104">
        <f t="shared" si="117"/>
        <v>0.98767801714688108</v>
      </c>
      <c r="L331" s="102">
        <f t="shared" si="118"/>
        <v>1</v>
      </c>
      <c r="M331" s="103">
        <f t="shared" si="119"/>
        <v>9.8539430679348752E-10</v>
      </c>
      <c r="N331" s="101">
        <f t="shared" si="120"/>
        <v>1</v>
      </c>
      <c r="O331" s="104">
        <f t="shared" si="121"/>
        <v>1.3138590757246499E-10</v>
      </c>
      <c r="P331" s="105">
        <f t="shared" ca="1" si="122"/>
        <v>1.6231524155973096</v>
      </c>
      <c r="Q331" s="106">
        <f t="shared" ca="1" si="123"/>
        <v>0.95179779145007692</v>
      </c>
      <c r="R331" s="107">
        <f t="shared" ca="1" si="124"/>
        <v>-16.917669762130661</v>
      </c>
      <c r="S331" s="108">
        <f t="shared" ca="1" si="125"/>
        <v>-165.659339115449</v>
      </c>
      <c r="T331" s="116">
        <f t="shared" ca="1" si="126"/>
        <v>14.340660884550999</v>
      </c>
      <c r="V331" s="72">
        <f t="shared" ca="1" si="127"/>
        <v>24127.75</v>
      </c>
      <c r="W331" s="72">
        <f t="shared" si="128"/>
        <v>582148320.0625</v>
      </c>
      <c r="Y331" s="110">
        <f t="shared" si="129"/>
        <v>40.83779529277534</v>
      </c>
      <c r="Z331" s="111">
        <f t="shared" si="130"/>
        <v>-56.638414229119327</v>
      </c>
      <c r="AA331" s="72">
        <f t="shared" si="131"/>
        <v>123.36158577088068</v>
      </c>
      <c r="AB331" s="110">
        <f t="shared" ca="1" si="132"/>
        <v>-40.254239787071995</v>
      </c>
      <c r="AC331" s="111">
        <f t="shared" ca="1" si="133"/>
        <v>-109.02092488632974</v>
      </c>
      <c r="AD331" s="72">
        <f t="shared" ca="1" si="134"/>
        <v>70.979075113670262</v>
      </c>
    </row>
    <row r="332" spans="1:30">
      <c r="A332" s="118">
        <v>24267.5</v>
      </c>
      <c r="B332" s="101">
        <f t="shared" ca="1" si="108"/>
        <v>1352.8932614009116</v>
      </c>
      <c r="C332" s="102">
        <f t="shared" ca="1" si="109"/>
        <v>1.5700571701152164</v>
      </c>
      <c r="D332" s="102">
        <f t="shared" si="110"/>
        <v>1.230275154260422</v>
      </c>
      <c r="E332" s="103">
        <f t="shared" si="111"/>
        <v>0.62180854377523398</v>
      </c>
      <c r="F332" s="101">
        <f t="shared" si="112"/>
        <v>8294.7597004446234</v>
      </c>
      <c r="G332" s="104">
        <f t="shared" si="113"/>
        <v>1.5706757687511996</v>
      </c>
      <c r="H332" s="113">
        <f t="shared" si="114"/>
        <v>1036.8454372527651</v>
      </c>
      <c r="I332" s="114">
        <f t="shared" si="115"/>
        <v>1.5698318627396932</v>
      </c>
      <c r="J332" s="101">
        <f t="shared" si="116"/>
        <v>1.8234389569310279</v>
      </c>
      <c r="K332" s="104">
        <f t="shared" si="117"/>
        <v>0.9903295714885334</v>
      </c>
      <c r="L332" s="102">
        <f t="shared" si="118"/>
        <v>1</v>
      </c>
      <c r="M332" s="103">
        <f t="shared" si="119"/>
        <v>9.9110179524037502E-10</v>
      </c>
      <c r="N332" s="101">
        <f t="shared" si="120"/>
        <v>1</v>
      </c>
      <c r="O332" s="104">
        <f t="shared" si="121"/>
        <v>1.3214690603204998E-10</v>
      </c>
      <c r="P332" s="105">
        <f t="shared" ca="1" si="122"/>
        <v>1.6290040500120775</v>
      </c>
      <c r="Q332" s="106">
        <f t="shared" ca="1" si="123"/>
        <v>0.95486324992618843</v>
      </c>
      <c r="R332" s="107">
        <f t="shared" ca="1" si="124"/>
        <v>-17.01715068712706</v>
      </c>
      <c r="S332" s="108">
        <f t="shared" ca="1" si="125"/>
        <v>-165.83033561760652</v>
      </c>
      <c r="T332" s="116">
        <f t="shared" ca="1" si="126"/>
        <v>14.169664382393478</v>
      </c>
      <c r="V332" s="72">
        <f t="shared" ca="1" si="127"/>
        <v>24267.5</v>
      </c>
      <c r="W332" s="72">
        <f t="shared" si="128"/>
        <v>588911556.25</v>
      </c>
      <c r="Y332" s="110">
        <f t="shared" si="129"/>
        <v>40.802779308652674</v>
      </c>
      <c r="Z332" s="111">
        <f t="shared" si="130"/>
        <v>-56.79005704173494</v>
      </c>
      <c r="AA332" s="72">
        <f t="shared" si="131"/>
        <v>123.20994295826506</v>
      </c>
      <c r="AB332" s="110">
        <f t="shared" ca="1" si="132"/>
        <v>-40.318704727945729</v>
      </c>
      <c r="AC332" s="111">
        <f t="shared" ca="1" si="133"/>
        <v>-109.04027857587162</v>
      </c>
      <c r="AD332" s="72">
        <f t="shared" ca="1" si="134"/>
        <v>70.959721424128375</v>
      </c>
    </row>
    <row r="333" spans="1:30">
      <c r="A333" s="118">
        <v>24407.25</v>
      </c>
      <c r="B333" s="101">
        <f t="shared" ca="1" si="108"/>
        <v>1360.6842052673737</v>
      </c>
      <c r="C333" s="102">
        <f t="shared" ca="1" si="109"/>
        <v>1.5700614023457498</v>
      </c>
      <c r="D333" s="102">
        <f t="shared" si="110"/>
        <v>1.2326836941431119</v>
      </c>
      <c r="E333" s="103">
        <f t="shared" si="111"/>
        <v>0.62452984222198682</v>
      </c>
      <c r="F333" s="101">
        <f t="shared" si="112"/>
        <v>8342.5269880241995</v>
      </c>
      <c r="G333" s="104">
        <f t="shared" si="113"/>
        <v>1.5706764590373419</v>
      </c>
      <c r="H333" s="113">
        <f t="shared" si="114"/>
        <v>1042.8163454822125</v>
      </c>
      <c r="I333" s="114">
        <f t="shared" si="115"/>
        <v>1.5698373850238034</v>
      </c>
      <c r="J333" s="101">
        <f t="shared" si="116"/>
        <v>1.8307878137680753</v>
      </c>
      <c r="K333" s="104">
        <f t="shared" si="117"/>
        <v>0.9929598573054127</v>
      </c>
      <c r="L333" s="102">
        <f t="shared" si="118"/>
        <v>1</v>
      </c>
      <c r="M333" s="103">
        <f t="shared" si="119"/>
        <v>9.9680928368726252E-10</v>
      </c>
      <c r="N333" s="101">
        <f t="shared" si="120"/>
        <v>1</v>
      </c>
      <c r="O333" s="104">
        <f t="shared" si="121"/>
        <v>1.3290790449163499E-10</v>
      </c>
      <c r="P333" s="105">
        <f t="shared" ca="1" si="122"/>
        <v>1.6348686357048958</v>
      </c>
      <c r="Q333" s="106">
        <f t="shared" ca="1" si="123"/>
        <v>0.95790868999903234</v>
      </c>
      <c r="R333" s="107">
        <f t="shared" ca="1" si="124"/>
        <v>-17.116188615581663</v>
      </c>
      <c r="S333" s="108">
        <f t="shared" ca="1" si="125"/>
        <v>-165.99957747673366</v>
      </c>
      <c r="T333" s="116">
        <f t="shared" ca="1" si="126"/>
        <v>14.000422523266337</v>
      </c>
      <c r="V333" s="72">
        <f t="shared" ca="1" si="127"/>
        <v>24407.25</v>
      </c>
      <c r="W333" s="72">
        <f t="shared" si="128"/>
        <v>595713852.5625</v>
      </c>
      <c r="Y333" s="110">
        <f t="shared" si="129"/>
        <v>40.767843584913436</v>
      </c>
      <c r="Z333" s="111">
        <f t="shared" si="130"/>
        <v>-56.940484464753546</v>
      </c>
      <c r="AA333" s="72">
        <f t="shared" si="131"/>
        <v>123.05951553524645</v>
      </c>
      <c r="AB333" s="110">
        <f t="shared" ca="1" si="132"/>
        <v>-40.382806932661097</v>
      </c>
      <c r="AC333" s="111">
        <f t="shared" ca="1" si="133"/>
        <v>-109.05909301198014</v>
      </c>
      <c r="AD333" s="72">
        <f t="shared" ca="1" si="134"/>
        <v>70.940906988019862</v>
      </c>
    </row>
    <row r="334" spans="1:30">
      <c r="A334" s="118">
        <v>24547</v>
      </c>
      <c r="B334" s="101">
        <f t="shared" ref="B334:B397" ca="1" si="135">SQRT(1+(A334/Pole1)^2)</f>
        <v>1368.4751491579307</v>
      </c>
      <c r="C334" s="102">
        <f t="shared" ref="C334:C397" ca="1" si="136">ATAN(A334/Pole1)</f>
        <v>1.5700655863867772</v>
      </c>
      <c r="D334" s="102">
        <f t="shared" ref="D334:D397" si="137">SQRT(1+(A334/Zero1)^2)</f>
        <v>1.2351013269798108</v>
      </c>
      <c r="E334" s="103">
        <f t="shared" ref="E334:E397" si="138">ATAN(A334/Zero1)</f>
        <v>0.62724050713749147</v>
      </c>
      <c r="F334" s="101">
        <f t="shared" ref="F334:F397" si="139">SQRT(1+(A334/Pole2)^2)</f>
        <v>8390.2942756077082</v>
      </c>
      <c r="G334" s="104">
        <f t="shared" ref="G334:G397" si="140">ATAN(A334/Pole2)</f>
        <v>1.5706771414636651</v>
      </c>
      <c r="H334" s="113">
        <f t="shared" ref="H334:H397" si="141">SQRT(1+(A334/Zero2)^2)</f>
        <v>1048.787253743099</v>
      </c>
      <c r="I334" s="114">
        <f t="shared" ref="I334:I397" si="142">ATAN(A334/Zero2)</f>
        <v>1.5698428444294765</v>
      </c>
      <c r="J334" s="101">
        <f t="shared" ref="J334:J397" si="143">SQRT(1+(A334/pole4)^2)</f>
        <v>1.8381492354055351</v>
      </c>
      <c r="K334" s="104">
        <f t="shared" ref="K334:K397" si="144">ATAN(A334/pole4)</f>
        <v>0.99556909351203737</v>
      </c>
      <c r="L334" s="102">
        <f t="shared" ref="L334:L397" si="145">SQRT(1+(A334/Zerofeed)^2)</f>
        <v>1</v>
      </c>
      <c r="M334" s="103">
        <f t="shared" ref="M334:M397" si="146">ATAN(A334/Zerofeed)</f>
        <v>1.00251677213415E-9</v>
      </c>
      <c r="N334" s="101">
        <f t="shared" ref="N334:N397" si="147">SQRT(1+(A334/Polefeed)^2)</f>
        <v>1</v>
      </c>
      <c r="O334" s="104">
        <f t="shared" ref="O334:O397" si="148">ATAN(A334/Polefeed)</f>
        <v>1.3366890295121998E-10</v>
      </c>
      <c r="P334" s="105">
        <f t="shared" ref="P334:P397" ca="1" si="149">SQRT((1-(W334/pterm2))^2+(A334/pterm1)^2)</f>
        <v>1.6407460386570507</v>
      </c>
      <c r="Q334" s="106">
        <f t="shared" ref="Q334:Q397" ca="1" si="150">IF((ATAN((A334/pterm1)/(1-A334^2/pterm2))&gt;0),ATAN((A334/pterm1)/(1-A334^2/pterm2)),PI()+ATAN((A334/pterm1)/(1-A334^2/pterm2)))</f>
        <v>0.96093428267554981</v>
      </c>
      <c r="R334" s="107">
        <f t="shared" ref="R334:R397" ca="1" si="151">20*LOG10(((D334*H334*L334)/(B334*F334*P334*J334*N334))*Adc)</f>
        <v>-17.214786495299524</v>
      </c>
      <c r="S334" s="108">
        <f t="shared" ref="S334:S397" ca="1" si="152">((E334+I334+M334)-(C334+G334+Q334+K334+O334))*radconv</f>
        <v>-166.16708575772816</v>
      </c>
      <c r="T334" s="116">
        <f t="shared" ref="T334:T397" ca="1" si="153">IF(S334&gt;0,S334,S334+180)</f>
        <v>13.832914242271841</v>
      </c>
      <c r="V334" s="72">
        <f t="shared" ref="V334:V397" ca="1" si="154">IF(R334&lt;0,A334,1000000000)</f>
        <v>24547</v>
      </c>
      <c r="W334" s="72">
        <f t="shared" ref="W334:W397" si="155">A334^2</f>
        <v>602555209</v>
      </c>
      <c r="Y334" s="110">
        <f t="shared" ref="Y334:Y397" si="156">20*LOG10(((H334*L334)/(F334*J334*N334))*Aea)</f>
        <v>40.732988441448803</v>
      </c>
      <c r="Z334" s="111">
        <f t="shared" ref="Z334:Z397" si="157">(I334+M334-(G334+K334+O334))*radconv</f>
        <v>-57.089708986277415</v>
      </c>
      <c r="AA334" s="72">
        <f t="shared" ref="AA334:AA397" si="158">IF(Z334&gt;0,Z334,Z334+180)</f>
        <v>122.91029101372258</v>
      </c>
      <c r="AB334" s="110">
        <f t="shared" ref="AB334:AB397" ca="1" si="159">20*LOG10((D334/(B334*P334))*Acs*Am)</f>
        <v>-40.446549668914329</v>
      </c>
      <c r="AC334" s="111">
        <f t="shared" ref="AC334:AC397" ca="1" si="160">(E334-(C334+Q334))*radconv</f>
        <v>-109.07737677145073</v>
      </c>
      <c r="AD334" s="72">
        <f t="shared" ref="AD334:AD397" ca="1" si="161">IF(AC334&gt;0,AC334,AC334+180)</f>
        <v>70.92262322854927</v>
      </c>
    </row>
    <row r="335" spans="1:30">
      <c r="A335" s="118">
        <v>24690</v>
      </c>
      <c r="B335" s="101">
        <f t="shared" ca="1" si="135"/>
        <v>1376.4472778146433</v>
      </c>
      <c r="C335" s="102">
        <f t="shared" ca="1" si="136"/>
        <v>1.5700698187011346</v>
      </c>
      <c r="D335" s="102">
        <f t="shared" si="137"/>
        <v>1.2375845408532422</v>
      </c>
      <c r="E335" s="103">
        <f t="shared" si="138"/>
        <v>0.63000322701002553</v>
      </c>
      <c r="F335" s="101">
        <f t="shared" si="139"/>
        <v>8439.172430348317</v>
      </c>
      <c r="G335" s="104">
        <f t="shared" si="140"/>
        <v>1.5706778317634711</v>
      </c>
      <c r="H335" s="113">
        <f t="shared" si="141"/>
        <v>1054.8970203676217</v>
      </c>
      <c r="I335" s="114">
        <f t="shared" si="142"/>
        <v>1.5698483668230097</v>
      </c>
      <c r="J335" s="101">
        <f t="shared" si="143"/>
        <v>1.8456947025656507</v>
      </c>
      <c r="K335" s="104">
        <f t="shared" si="144"/>
        <v>0.99821744594763284</v>
      </c>
      <c r="L335" s="102">
        <f t="shared" si="145"/>
        <v>1</v>
      </c>
      <c r="M335" s="103">
        <f t="shared" si="146"/>
        <v>1.0083569928705E-9</v>
      </c>
      <c r="N335" s="101">
        <f t="shared" si="147"/>
        <v>1</v>
      </c>
      <c r="O335" s="104">
        <f t="shared" si="148"/>
        <v>1.3444759904939998E-10</v>
      </c>
      <c r="P335" s="105">
        <f t="shared" ca="1" si="149"/>
        <v>1.6467732551528547</v>
      </c>
      <c r="Q335" s="106">
        <f t="shared" ca="1" si="150"/>
        <v>0.96400986996844307</v>
      </c>
      <c r="R335" s="107">
        <f t="shared" ca="1" si="151"/>
        <v>-17.31522488112207</v>
      </c>
      <c r="S335" s="108">
        <f t="shared" ca="1" si="152"/>
        <v>-166.33671679276202</v>
      </c>
      <c r="T335" s="116">
        <f t="shared" ca="1" si="153"/>
        <v>13.663283207237981</v>
      </c>
      <c r="V335" s="72">
        <f t="shared" ca="1" si="154"/>
        <v>24690</v>
      </c>
      <c r="W335" s="72">
        <f t="shared" si="155"/>
        <v>609596100</v>
      </c>
      <c r="Y335" s="110">
        <f t="shared" si="156"/>
        <v>40.697406440439707</v>
      </c>
      <c r="Z335" s="111">
        <f t="shared" si="157"/>
        <v>-57.241171544806498</v>
      </c>
      <c r="AA335" s="72">
        <f t="shared" si="158"/>
        <v>122.75882845519351</v>
      </c>
      <c r="AB335" s="110">
        <f t="shared" ca="1" si="159"/>
        <v>-40.511406053727782</v>
      </c>
      <c r="AC335" s="111">
        <f t="shared" ca="1" si="160"/>
        <v>-109.09554524795547</v>
      </c>
      <c r="AD335" s="72">
        <f t="shared" ca="1" si="161"/>
        <v>70.904454752044529</v>
      </c>
    </row>
    <row r="336" spans="1:30">
      <c r="A336" s="118">
        <v>24833</v>
      </c>
      <c r="B336" s="101">
        <f t="shared" ca="1" si="135"/>
        <v>1384.4194064957276</v>
      </c>
      <c r="C336" s="102">
        <f t="shared" ca="1" si="136"/>
        <v>1.5700740022722361</v>
      </c>
      <c r="D336" s="102">
        <f t="shared" si="137"/>
        <v>1.2400771628679195</v>
      </c>
      <c r="E336" s="103">
        <f t="shared" si="138"/>
        <v>0.63275486138250625</v>
      </c>
      <c r="F336" s="101">
        <f t="shared" si="139"/>
        <v>8488.0505850929003</v>
      </c>
      <c r="G336" s="104">
        <f t="shared" si="140"/>
        <v>1.5706785141131403</v>
      </c>
      <c r="H336" s="113">
        <f t="shared" si="141"/>
        <v>1061.0067870239445</v>
      </c>
      <c r="I336" s="114">
        <f t="shared" si="142"/>
        <v>1.5698538256155625</v>
      </c>
      <c r="J336" s="101">
        <f t="shared" si="143"/>
        <v>1.85325300953966</v>
      </c>
      <c r="K336" s="104">
        <f t="shared" si="144"/>
        <v>1.0008442146009893</v>
      </c>
      <c r="L336" s="102">
        <f t="shared" si="145"/>
        <v>1</v>
      </c>
      <c r="M336" s="103">
        <f t="shared" si="146"/>
        <v>1.01419721360685E-9</v>
      </c>
      <c r="N336" s="101">
        <f t="shared" si="147"/>
        <v>1</v>
      </c>
      <c r="O336" s="104">
        <f t="shared" si="148"/>
        <v>1.3522629514757998E-10</v>
      </c>
      <c r="P336" s="105">
        <f t="shared" ca="1" si="149"/>
        <v>1.6528136133161018</v>
      </c>
      <c r="Q336" s="106">
        <f t="shared" ca="1" si="150"/>
        <v>0.96706503434680469</v>
      </c>
      <c r="R336" s="107">
        <f t="shared" ca="1" si="151"/>
        <v>-17.41520868266872</v>
      </c>
      <c r="S336" s="108">
        <f t="shared" ca="1" si="152"/>
        <v>-166.50457656949996</v>
      </c>
      <c r="T336" s="116">
        <f t="shared" ca="1" si="153"/>
        <v>13.49542343050004</v>
      </c>
      <c r="V336" s="72">
        <f t="shared" ca="1" si="154"/>
        <v>24833</v>
      </c>
      <c r="W336" s="72">
        <f t="shared" si="155"/>
        <v>616677889</v>
      </c>
      <c r="Y336" s="110">
        <f t="shared" si="156"/>
        <v>40.661909429775022</v>
      </c>
      <c r="Z336" s="111">
        <f t="shared" si="157"/>
        <v>-57.391400632264457</v>
      </c>
      <c r="AA336" s="72">
        <f t="shared" si="158"/>
        <v>122.60859936773554</v>
      </c>
      <c r="AB336" s="110">
        <f t="shared" ca="1" si="159"/>
        <v>-40.57589284460974</v>
      </c>
      <c r="AC336" s="111">
        <f t="shared" ca="1" si="160"/>
        <v>-109.1131759372356</v>
      </c>
      <c r="AD336" s="72">
        <f t="shared" ca="1" si="161"/>
        <v>70.886824062764404</v>
      </c>
    </row>
    <row r="337" spans="1:30">
      <c r="A337" s="118">
        <v>24976</v>
      </c>
      <c r="B337" s="101">
        <f t="shared" ca="1" si="135"/>
        <v>1392.3915352007648</v>
      </c>
      <c r="C337" s="102">
        <f t="shared" ca="1" si="136"/>
        <v>1.5700781379373194</v>
      </c>
      <c r="D337" s="102">
        <f t="shared" si="137"/>
        <v>1.2425791364054624</v>
      </c>
      <c r="E337" s="103">
        <f t="shared" si="138"/>
        <v>0.63549543542500675</v>
      </c>
      <c r="F337" s="101">
        <f t="shared" si="139"/>
        <v>8536.9287398413926</v>
      </c>
      <c r="G337" s="104">
        <f t="shared" si="140"/>
        <v>1.5706791886492284</v>
      </c>
      <c r="H337" s="113">
        <f t="shared" si="141"/>
        <v>1067.1165537115219</v>
      </c>
      <c r="I337" s="114">
        <f t="shared" si="142"/>
        <v>1.5698592218995757</v>
      </c>
      <c r="J337" s="101">
        <f t="shared" si="143"/>
        <v>1.8608239998690523</v>
      </c>
      <c r="K337" s="104">
        <f t="shared" si="144"/>
        <v>1.0034496264499413</v>
      </c>
      <c r="L337" s="102">
        <f t="shared" si="145"/>
        <v>1</v>
      </c>
      <c r="M337" s="103">
        <f t="shared" si="146"/>
        <v>1.0200374343432E-9</v>
      </c>
      <c r="N337" s="101">
        <f t="shared" si="147"/>
        <v>1</v>
      </c>
      <c r="O337" s="104">
        <f t="shared" si="148"/>
        <v>1.3600499124575998E-10</v>
      </c>
      <c r="P337" s="105">
        <f t="shared" ca="1" si="149"/>
        <v>1.6588669748281692</v>
      </c>
      <c r="Q337" s="106">
        <f t="shared" ca="1" si="150"/>
        <v>0.97009995503912483</v>
      </c>
      <c r="R337" s="107">
        <f t="shared" ca="1" si="151"/>
        <v>-17.51474098300649</v>
      </c>
      <c r="S337" s="108">
        <f t="shared" ca="1" si="152"/>
        <v>-166.67068691291334</v>
      </c>
      <c r="T337" s="116">
        <f t="shared" ca="1" si="153"/>
        <v>13.329313087086661</v>
      </c>
      <c r="V337" s="72">
        <f t="shared" ca="1" si="154"/>
        <v>24976</v>
      </c>
      <c r="W337" s="72">
        <f t="shared" si="155"/>
        <v>623800576</v>
      </c>
      <c r="Y337" s="110">
        <f t="shared" si="156"/>
        <v>40.626497693348696</v>
      </c>
      <c r="Z337" s="111">
        <f t="shared" si="157"/>
        <v>-57.540409198754972</v>
      </c>
      <c r="AA337" s="72">
        <f t="shared" si="158"/>
        <v>122.45959080124503</v>
      </c>
      <c r="AB337" s="110">
        <f t="shared" ca="1" si="159"/>
        <v>-40.640013408521192</v>
      </c>
      <c r="AC337" s="111">
        <f t="shared" ca="1" si="160"/>
        <v>-109.13027771415837</v>
      </c>
      <c r="AD337" s="72">
        <f t="shared" ca="1" si="161"/>
        <v>70.869722285841632</v>
      </c>
    </row>
    <row r="338" spans="1:30">
      <c r="A338" s="118">
        <v>25119</v>
      </c>
      <c r="B338" s="101">
        <f t="shared" ca="1" si="135"/>
        <v>1400.3636639293459</v>
      </c>
      <c r="C338" s="102">
        <f t="shared" ca="1" si="136"/>
        <v>1.5700822265145566</v>
      </c>
      <c r="D338" s="102">
        <f t="shared" si="137"/>
        <v>1.2450904050910192</v>
      </c>
      <c r="E338" s="103">
        <f t="shared" si="138"/>
        <v>0.63822497477023632</v>
      </c>
      <c r="F338" s="101">
        <f t="shared" si="139"/>
        <v>8585.8068945937266</v>
      </c>
      <c r="G338" s="104">
        <f t="shared" si="140"/>
        <v>1.5706798555051813</v>
      </c>
      <c r="H338" s="113">
        <f t="shared" si="141"/>
        <v>1073.2263204298199</v>
      </c>
      <c r="I338" s="114">
        <f t="shared" si="142"/>
        <v>1.5698645567426128</v>
      </c>
      <c r="J338" s="101">
        <f t="shared" si="143"/>
        <v>1.86840751937083</v>
      </c>
      <c r="K338" s="104">
        <f t="shared" si="144"/>
        <v>1.0060339059563359</v>
      </c>
      <c r="L338" s="102">
        <f t="shared" si="145"/>
        <v>1</v>
      </c>
      <c r="M338" s="103">
        <f t="shared" si="146"/>
        <v>1.0258776550795499E-9</v>
      </c>
      <c r="N338" s="101">
        <f t="shared" si="147"/>
        <v>1</v>
      </c>
      <c r="O338" s="104">
        <f t="shared" si="148"/>
        <v>1.3678368734393997E-10</v>
      </c>
      <c r="P338" s="105">
        <f t="shared" ca="1" si="149"/>
        <v>1.6649332031053226</v>
      </c>
      <c r="Q338" s="106">
        <f t="shared" ca="1" si="150"/>
        <v>0.97311480991650234</v>
      </c>
      <c r="R338" s="107">
        <f t="shared" ca="1" si="151"/>
        <v>-17.613824840612672</v>
      </c>
      <c r="S338" s="108">
        <f t="shared" ca="1" si="152"/>
        <v>-166.83506939969257</v>
      </c>
      <c r="T338" s="116">
        <f t="shared" ca="1" si="153"/>
        <v>13.164930600307429</v>
      </c>
      <c r="V338" s="72">
        <f t="shared" ca="1" si="154"/>
        <v>25119</v>
      </c>
      <c r="W338" s="72">
        <f t="shared" si="155"/>
        <v>630964161</v>
      </c>
      <c r="Y338" s="110">
        <f t="shared" si="156"/>
        <v>40.591171496306224</v>
      </c>
      <c r="Z338" s="111">
        <f t="shared" si="157"/>
        <v>-57.688210051473675</v>
      </c>
      <c r="AA338" s="72">
        <f t="shared" si="158"/>
        <v>122.31178994852633</v>
      </c>
      <c r="AB338" s="110">
        <f t="shared" ca="1" si="159"/>
        <v>-40.703771069084894</v>
      </c>
      <c r="AC338" s="111">
        <f t="shared" ca="1" si="160"/>
        <v>-109.14685934821884</v>
      </c>
      <c r="AD338" s="72">
        <f t="shared" ca="1" si="161"/>
        <v>70.85314065178116</v>
      </c>
    </row>
    <row r="339" spans="1:30">
      <c r="A339" s="118">
        <v>25265.25</v>
      </c>
      <c r="B339" s="101">
        <f t="shared" ca="1" si="135"/>
        <v>1408.5169774256947</v>
      </c>
      <c r="C339" s="102">
        <f t="shared" ca="1" si="136"/>
        <v>1.5700863601420016</v>
      </c>
      <c r="D339" s="102">
        <f t="shared" si="137"/>
        <v>1.247668303997626</v>
      </c>
      <c r="E339" s="103">
        <f t="shared" si="138"/>
        <v>0.64100516255799456</v>
      </c>
      <c r="F339" s="101">
        <f t="shared" si="139"/>
        <v>8635.7959165034245</v>
      </c>
      <c r="G339" s="104">
        <f t="shared" si="140"/>
        <v>1.5706805297089184</v>
      </c>
      <c r="H339" s="113">
        <f t="shared" si="141"/>
        <v>1079.4749455138567</v>
      </c>
      <c r="I339" s="114">
        <f t="shared" si="142"/>
        <v>1.5698699503679265</v>
      </c>
      <c r="J339" s="101">
        <f t="shared" si="143"/>
        <v>1.8761761927879785</v>
      </c>
      <c r="K339" s="104">
        <f t="shared" si="144"/>
        <v>1.0086552921802849</v>
      </c>
      <c r="L339" s="102">
        <f t="shared" si="145"/>
        <v>1</v>
      </c>
      <c r="M339" s="103">
        <f t="shared" si="146"/>
        <v>1.0318506081053624E-9</v>
      </c>
      <c r="N339" s="101">
        <f t="shared" si="147"/>
        <v>1</v>
      </c>
      <c r="O339" s="104">
        <f t="shared" si="148"/>
        <v>1.3758008108071498E-10</v>
      </c>
      <c r="P339" s="105">
        <f t="shared" ca="1" si="149"/>
        <v>1.6711504683856446</v>
      </c>
      <c r="Q339" s="106">
        <f t="shared" ca="1" si="150"/>
        <v>0.97617761311044882</v>
      </c>
      <c r="R339" s="107">
        <f t="shared" ca="1" si="151"/>
        <v>-17.714699919811537</v>
      </c>
      <c r="S339" s="108">
        <f t="shared" ca="1" si="152"/>
        <v>-167.00142287316052</v>
      </c>
      <c r="T339" s="116">
        <f t="shared" ca="1" si="153"/>
        <v>12.998577126839479</v>
      </c>
      <c r="V339" s="72">
        <f t="shared" ca="1" si="154"/>
        <v>25265.25</v>
      </c>
      <c r="W339" s="72">
        <f t="shared" si="155"/>
        <v>638332857.5625</v>
      </c>
      <c r="Y339" s="110">
        <f t="shared" si="156"/>
        <v>40.555131165976604</v>
      </c>
      <c r="Z339" s="111">
        <f t="shared" si="157"/>
        <v>-57.838134015516339</v>
      </c>
      <c r="AA339" s="72">
        <f t="shared" si="158"/>
        <v>122.16186598448365</v>
      </c>
      <c r="AB339" s="110">
        <f t="shared" ca="1" si="159"/>
        <v>-40.768605817954146</v>
      </c>
      <c r="AC339" s="111">
        <f t="shared" ca="1" si="160"/>
        <v>-109.16328885764423</v>
      </c>
      <c r="AD339" s="72">
        <f t="shared" ca="1" si="161"/>
        <v>70.836711142355767</v>
      </c>
    </row>
    <row r="340" spans="1:30">
      <c r="A340" s="118">
        <v>25411.5</v>
      </c>
      <c r="B340" s="101">
        <f t="shared" ca="1" si="135"/>
        <v>1416.6702909458334</v>
      </c>
      <c r="C340" s="102">
        <f t="shared" ca="1" si="136"/>
        <v>1.5700904461892005</v>
      </c>
      <c r="D340" s="102">
        <f t="shared" si="137"/>
        <v>1.2502558068743337</v>
      </c>
      <c r="E340" s="103">
        <f t="shared" si="138"/>
        <v>0.64377386403739145</v>
      </c>
      <c r="F340" s="101">
        <f t="shared" si="139"/>
        <v>8685.7849384170022</v>
      </c>
      <c r="G340" s="104">
        <f t="shared" si="140"/>
        <v>1.5706811961522087</v>
      </c>
      <c r="H340" s="113">
        <f t="shared" si="141"/>
        <v>1085.7235706289352</v>
      </c>
      <c r="I340" s="114">
        <f t="shared" si="142"/>
        <v>1.5698752819097717</v>
      </c>
      <c r="J340" s="101">
        <f t="shared" si="143"/>
        <v>1.8839576522828883</v>
      </c>
      <c r="K340" s="104">
        <f t="shared" si="144"/>
        <v>1.0112550415079036</v>
      </c>
      <c r="L340" s="102">
        <f t="shared" si="145"/>
        <v>1</v>
      </c>
      <c r="M340" s="103">
        <f t="shared" si="146"/>
        <v>1.0378235611311748E-9</v>
      </c>
      <c r="N340" s="101">
        <f t="shared" si="147"/>
        <v>1</v>
      </c>
      <c r="O340" s="104">
        <f t="shared" si="148"/>
        <v>1.3837647481748997E-10</v>
      </c>
      <c r="P340" s="105">
        <f t="shared" ca="1" si="149"/>
        <v>1.6773809084228779</v>
      </c>
      <c r="Q340" s="106">
        <f t="shared" ca="1" si="150"/>
        <v>0.97921980000015496</v>
      </c>
      <c r="R340" s="107">
        <f t="shared" ca="1" si="151"/>
        <v>-17.81511233455565</v>
      </c>
      <c r="S340" s="108">
        <f t="shared" ca="1" si="152"/>
        <v>-167.16601391988689</v>
      </c>
      <c r="T340" s="116">
        <f t="shared" ca="1" si="153"/>
        <v>12.833986080113107</v>
      </c>
      <c r="V340" s="72">
        <f t="shared" ca="1" si="154"/>
        <v>25411.5</v>
      </c>
      <c r="W340" s="72">
        <f t="shared" si="155"/>
        <v>645744332.25</v>
      </c>
      <c r="Y340" s="110">
        <f t="shared" si="156"/>
        <v>40.519180810572315</v>
      </c>
      <c r="Z340" s="111">
        <f t="shared" si="157"/>
        <v>-57.986821389195953</v>
      </c>
      <c r="AA340" s="72">
        <f t="shared" si="158"/>
        <v>122.01317861080405</v>
      </c>
      <c r="AB340" s="110">
        <f t="shared" ca="1" si="159"/>
        <v>-40.833067877293971</v>
      </c>
      <c r="AC340" s="111">
        <f t="shared" ca="1" si="160"/>
        <v>-109.17919253069091</v>
      </c>
      <c r="AD340" s="72">
        <f t="shared" ca="1" si="161"/>
        <v>70.820807469309088</v>
      </c>
    </row>
    <row r="341" spans="1:30">
      <c r="A341" s="118">
        <v>25557.75</v>
      </c>
      <c r="B341" s="101">
        <f t="shared" ca="1" si="135"/>
        <v>1424.8236044893538</v>
      </c>
      <c r="C341" s="102">
        <f t="shared" ca="1" si="136"/>
        <v>1.570094485472963</v>
      </c>
      <c r="D341" s="102">
        <f t="shared" si="137"/>
        <v>1.2528528542162298</v>
      </c>
      <c r="E341" s="103">
        <f t="shared" si="138"/>
        <v>0.64653110805930347</v>
      </c>
      <c r="F341" s="101">
        <f t="shared" si="139"/>
        <v>8735.7739603343944</v>
      </c>
      <c r="G341" s="104">
        <f t="shared" si="140"/>
        <v>1.5706818549682759</v>
      </c>
      <c r="H341" s="113">
        <f t="shared" si="141"/>
        <v>1091.9721957745228</v>
      </c>
      <c r="I341" s="114">
        <f t="shared" si="142"/>
        <v>1.5698805524339345</v>
      </c>
      <c r="J341" s="101">
        <f t="shared" si="143"/>
        <v>1.8917517400742709</v>
      </c>
      <c r="K341" s="104">
        <f t="shared" si="144"/>
        <v>1.0138333860138273</v>
      </c>
      <c r="L341" s="102">
        <f t="shared" si="145"/>
        <v>1</v>
      </c>
      <c r="M341" s="103">
        <f t="shared" si="146"/>
        <v>1.0437965141569875E-9</v>
      </c>
      <c r="N341" s="101">
        <f t="shared" si="147"/>
        <v>1</v>
      </c>
      <c r="O341" s="104">
        <f t="shared" si="148"/>
        <v>1.3917286855426498E-10</v>
      </c>
      <c r="P341" s="105">
        <f t="shared" ca="1" si="149"/>
        <v>1.6836243826024522</v>
      </c>
      <c r="Q341" s="106">
        <f t="shared" ca="1" si="150"/>
        <v>0.98224155642665412</v>
      </c>
      <c r="R341" s="107">
        <f t="shared" ca="1" si="151"/>
        <v>-17.915065279114629</v>
      </c>
      <c r="S341" s="108">
        <f t="shared" ca="1" si="152"/>
        <v>-167.32886482500984</v>
      </c>
      <c r="T341" s="116">
        <f t="shared" ca="1" si="153"/>
        <v>12.671135174990155</v>
      </c>
      <c r="V341" s="72">
        <f t="shared" ca="1" si="154"/>
        <v>25557.75</v>
      </c>
      <c r="W341" s="72">
        <f t="shared" si="155"/>
        <v>653198585.0625</v>
      </c>
      <c r="Y341" s="110">
        <f t="shared" si="156"/>
        <v>40.48332065628454</v>
      </c>
      <c r="Z341" s="111">
        <f t="shared" si="157"/>
        <v>-58.1342854159778</v>
      </c>
      <c r="AA341" s="72">
        <f t="shared" si="158"/>
        <v>121.8657145840222</v>
      </c>
      <c r="AB341" s="110">
        <f t="shared" ca="1" si="159"/>
        <v>-40.897160667565167</v>
      </c>
      <c r="AC341" s="111">
        <f t="shared" ca="1" si="160"/>
        <v>-109.19457940903204</v>
      </c>
      <c r="AD341" s="72">
        <f t="shared" ca="1" si="161"/>
        <v>70.805420590967955</v>
      </c>
    </row>
    <row r="342" spans="1:30">
      <c r="A342" s="118">
        <v>25704</v>
      </c>
      <c r="B342" s="101">
        <f t="shared" ca="1" si="135"/>
        <v>1432.9769180558569</v>
      </c>
      <c r="C342" s="102">
        <f t="shared" ca="1" si="136"/>
        <v>1.5700984787915093</v>
      </c>
      <c r="D342" s="102">
        <f t="shared" si="137"/>
        <v>1.2554593867921813</v>
      </c>
      <c r="E342" s="103">
        <f t="shared" si="138"/>
        <v>0.64927692393315672</v>
      </c>
      <c r="F342" s="101">
        <f t="shared" si="139"/>
        <v>8785.7629822555355</v>
      </c>
      <c r="G342" s="104">
        <f t="shared" si="140"/>
        <v>1.570682506287312</v>
      </c>
      <c r="H342" s="113">
        <f t="shared" si="141"/>
        <v>1098.2208209500982</v>
      </c>
      <c r="I342" s="114">
        <f t="shared" si="142"/>
        <v>1.5698857629819445</v>
      </c>
      <c r="J342" s="101">
        <f t="shared" si="143"/>
        <v>1.8995583007164409</v>
      </c>
      <c r="K342" s="104">
        <f t="shared" si="144"/>
        <v>1.0163905551053396</v>
      </c>
      <c r="L342" s="102">
        <f t="shared" si="145"/>
        <v>1</v>
      </c>
      <c r="M342" s="103">
        <f t="shared" si="146"/>
        <v>1.0497694671828E-9</v>
      </c>
      <c r="N342" s="101">
        <f t="shared" si="147"/>
        <v>1</v>
      </c>
      <c r="O342" s="104">
        <f t="shared" si="148"/>
        <v>1.3996926229103999E-10</v>
      </c>
      <c r="P342" s="105">
        <f t="shared" ca="1" si="149"/>
        <v>1.6898807521165762</v>
      </c>
      <c r="Q342" s="106">
        <f t="shared" ca="1" si="150"/>
        <v>0.98524306672852235</v>
      </c>
      <c r="R342" s="107">
        <f t="shared" ca="1" si="151"/>
        <v>-18.014561922350346</v>
      </c>
      <c r="S342" s="108">
        <f t="shared" ca="1" si="152"/>
        <v>-167.4899976086335</v>
      </c>
      <c r="T342" s="116">
        <f t="shared" ca="1" si="153"/>
        <v>12.510002391366498</v>
      </c>
      <c r="V342" s="72">
        <f t="shared" ca="1" si="154"/>
        <v>25704</v>
      </c>
      <c r="W342" s="72">
        <f t="shared" si="155"/>
        <v>660695616</v>
      </c>
      <c r="Y342" s="110">
        <f t="shared" si="156"/>
        <v>40.447550911046051</v>
      </c>
      <c r="Z342" s="111">
        <f t="shared" si="157"/>
        <v>-58.28053918771527</v>
      </c>
      <c r="AA342" s="72">
        <f t="shared" si="158"/>
        <v>121.71946081228472</v>
      </c>
      <c r="AB342" s="110">
        <f t="shared" ca="1" si="159"/>
        <v>-40.960887565562402</v>
      </c>
      <c r="AC342" s="111">
        <f t="shared" ca="1" si="160"/>
        <v>-109.20945842091828</v>
      </c>
      <c r="AD342" s="72">
        <f t="shared" ca="1" si="161"/>
        <v>70.790541579081719</v>
      </c>
    </row>
    <row r="343" spans="1:30">
      <c r="A343" s="118">
        <v>25853.75</v>
      </c>
      <c r="B343" s="101">
        <f t="shared" ca="1" si="135"/>
        <v>1441.325353679837</v>
      </c>
      <c r="C343" s="102">
        <f t="shared" ca="1" si="136"/>
        <v>1.5701025208629642</v>
      </c>
      <c r="D343" s="102">
        <f t="shared" si="137"/>
        <v>1.2581380647968157</v>
      </c>
      <c r="E343" s="103">
        <f t="shared" si="138"/>
        <v>0.65207664105970142</v>
      </c>
      <c r="F343" s="101">
        <f t="shared" si="139"/>
        <v>8836.9483226538196</v>
      </c>
      <c r="G343" s="104">
        <f t="shared" si="140"/>
        <v>1.5706831655580509</v>
      </c>
      <c r="H343" s="113">
        <f t="shared" si="141"/>
        <v>1104.6189859040066</v>
      </c>
      <c r="I343" s="114">
        <f t="shared" si="142"/>
        <v>1.5698910371435757</v>
      </c>
      <c r="J343" s="101">
        <f t="shared" si="143"/>
        <v>1.9075644492572357</v>
      </c>
      <c r="K343" s="104">
        <f t="shared" si="144"/>
        <v>1.0189872166100959</v>
      </c>
      <c r="L343" s="102">
        <f t="shared" si="145"/>
        <v>1</v>
      </c>
      <c r="M343" s="103">
        <f t="shared" si="146"/>
        <v>1.0558853626741874E-9</v>
      </c>
      <c r="N343" s="101">
        <f t="shared" si="147"/>
        <v>1</v>
      </c>
      <c r="O343" s="104">
        <f t="shared" si="148"/>
        <v>1.4078471502322497E-10</v>
      </c>
      <c r="P343" s="105">
        <f t="shared" ca="1" si="149"/>
        <v>1.6963000655465359</v>
      </c>
      <c r="Q343" s="106">
        <f t="shared" ca="1" si="150"/>
        <v>0.98829562029098728</v>
      </c>
      <c r="R343" s="107">
        <f t="shared" ca="1" si="151"/>
        <v>-18.115970153174345</v>
      </c>
      <c r="S343" s="108">
        <f t="shared" ca="1" si="152"/>
        <v>-167.6532289941122</v>
      </c>
      <c r="T343" s="116">
        <f t="shared" ca="1" si="153"/>
        <v>12.346771005887803</v>
      </c>
      <c r="V343" s="72">
        <f t="shared" ca="1" si="154"/>
        <v>25853.75</v>
      </c>
      <c r="W343" s="72">
        <f t="shared" si="155"/>
        <v>668416389.0625</v>
      </c>
      <c r="Y343" s="110">
        <f t="shared" si="156"/>
        <v>40.411019016664433</v>
      </c>
      <c r="Z343" s="111">
        <f t="shared" si="157"/>
        <v>-58.429052518856849</v>
      </c>
      <c r="AA343" s="72">
        <f t="shared" si="158"/>
        <v>121.57094748114315</v>
      </c>
      <c r="AB343" s="110">
        <f t="shared" ca="1" si="159"/>
        <v>-41.025763902004769</v>
      </c>
      <c r="AC343" s="111">
        <f t="shared" ca="1" si="160"/>
        <v>-109.22417647525531</v>
      </c>
      <c r="AD343" s="72">
        <f t="shared" ca="1" si="161"/>
        <v>70.775823524744695</v>
      </c>
    </row>
    <row r="344" spans="1:30">
      <c r="A344" s="118">
        <v>26003.5</v>
      </c>
      <c r="B344" s="101">
        <f t="shared" ca="1" si="135"/>
        <v>1449.6737893270949</v>
      </c>
      <c r="C344" s="102">
        <f t="shared" ca="1" si="136"/>
        <v>1.5701065163791543</v>
      </c>
      <c r="D344" s="102">
        <f t="shared" si="137"/>
        <v>1.2608265626623496</v>
      </c>
      <c r="E344" s="103">
        <f t="shared" si="138"/>
        <v>0.65486444012101708</v>
      </c>
      <c r="F344" s="101">
        <f t="shared" si="139"/>
        <v>8888.1336630558999</v>
      </c>
      <c r="G344" s="104">
        <f t="shared" si="140"/>
        <v>1.5706838172355202</v>
      </c>
      <c r="H344" s="113">
        <f t="shared" si="141"/>
        <v>1111.0171508882884</v>
      </c>
      <c r="I344" s="114">
        <f t="shared" si="142"/>
        <v>1.5698962505591487</v>
      </c>
      <c r="J344" s="101">
        <f t="shared" si="143"/>
        <v>1.9155833522755983</v>
      </c>
      <c r="K344" s="104">
        <f t="shared" si="144"/>
        <v>1.0215621553708121</v>
      </c>
      <c r="L344" s="102">
        <f t="shared" si="145"/>
        <v>1</v>
      </c>
      <c r="M344" s="103">
        <f t="shared" si="146"/>
        <v>1.0620012581655749E-9</v>
      </c>
      <c r="N344" s="101">
        <f t="shared" si="147"/>
        <v>1</v>
      </c>
      <c r="O344" s="104">
        <f t="shared" si="148"/>
        <v>1.4160016775540998E-10</v>
      </c>
      <c r="P344" s="105">
        <f t="shared" ca="1" si="149"/>
        <v>1.7027326100710041</v>
      </c>
      <c r="Q344" s="106">
        <f t="shared" ca="1" si="150"/>
        <v>0.99132733341109203</v>
      </c>
      <c r="R344" s="107">
        <f t="shared" ca="1" si="151"/>
        <v>-18.216906625303984</v>
      </c>
      <c r="S344" s="108">
        <f t="shared" ca="1" si="152"/>
        <v>-167.81470492149325</v>
      </c>
      <c r="T344" s="116">
        <f t="shared" ca="1" si="153"/>
        <v>12.185295078506755</v>
      </c>
      <c r="V344" s="72">
        <f t="shared" ca="1" si="154"/>
        <v>26003.5</v>
      </c>
      <c r="W344" s="72">
        <f t="shared" si="155"/>
        <v>676182012.25</v>
      </c>
      <c r="Y344" s="110">
        <f t="shared" si="156"/>
        <v>40.374582295245808</v>
      </c>
      <c r="Z344" s="111">
        <f t="shared" si="157"/>
        <v>-58.576324273874548</v>
      </c>
      <c r="AA344" s="72">
        <f t="shared" si="158"/>
        <v>121.42367572612545</v>
      </c>
      <c r="AB344" s="110">
        <f t="shared" ca="1" si="159"/>
        <v>-41.090263652715791</v>
      </c>
      <c r="AC344" s="111">
        <f t="shared" ca="1" si="160"/>
        <v>-109.23838064761871</v>
      </c>
      <c r="AD344" s="72">
        <f t="shared" ca="1" si="161"/>
        <v>70.761619352381288</v>
      </c>
    </row>
    <row r="345" spans="1:30">
      <c r="A345" s="118">
        <v>26153.25</v>
      </c>
      <c r="B345" s="101">
        <f t="shared" ca="1" si="135"/>
        <v>1458.0222249972303</v>
      </c>
      <c r="C345" s="102">
        <f t="shared" ca="1" si="136"/>
        <v>1.5701104661397871</v>
      </c>
      <c r="D345" s="102">
        <f t="shared" si="137"/>
        <v>1.2635248177053899</v>
      </c>
      <c r="E345" s="103">
        <f t="shared" si="138"/>
        <v>0.65764035399959098</v>
      </c>
      <c r="F345" s="101">
        <f t="shared" si="139"/>
        <v>8939.3190034617128</v>
      </c>
      <c r="G345" s="104">
        <f t="shared" si="140"/>
        <v>1.5706844614501541</v>
      </c>
      <c r="H345" s="113">
        <f t="shared" si="141"/>
        <v>1117.4153159024213</v>
      </c>
      <c r="I345" s="114">
        <f t="shared" si="142"/>
        <v>1.569901404272134</v>
      </c>
      <c r="J345" s="101">
        <f t="shared" si="143"/>
        <v>1.9236148502641603</v>
      </c>
      <c r="K345" s="104">
        <f t="shared" si="144"/>
        <v>1.0241156091186248</v>
      </c>
      <c r="L345" s="102">
        <f t="shared" si="145"/>
        <v>1</v>
      </c>
      <c r="M345" s="103">
        <f t="shared" si="146"/>
        <v>1.0681171536569623E-9</v>
      </c>
      <c r="N345" s="101">
        <f t="shared" si="147"/>
        <v>1</v>
      </c>
      <c r="O345" s="104">
        <f t="shared" si="148"/>
        <v>1.4241562048759499E-10</v>
      </c>
      <c r="P345" s="105">
        <f t="shared" ca="1" si="149"/>
        <v>1.7091782424163753</v>
      </c>
      <c r="Q345" s="106">
        <f t="shared" ca="1" si="150"/>
        <v>0.99433839907143873</v>
      </c>
      <c r="R345" s="107">
        <f t="shared" ca="1" si="151"/>
        <v>-18.31737465995387</v>
      </c>
      <c r="S345" s="108">
        <f t="shared" ca="1" si="152"/>
        <v>-167.97444817833534</v>
      </c>
      <c r="T345" s="116">
        <f t="shared" ca="1" si="153"/>
        <v>12.025551821664664</v>
      </c>
      <c r="V345" s="72">
        <f t="shared" ca="1" si="154"/>
        <v>26153.25</v>
      </c>
      <c r="W345" s="72">
        <f t="shared" si="155"/>
        <v>683992485.5625</v>
      </c>
      <c r="Y345" s="110">
        <f t="shared" si="156"/>
        <v>40.338240913967809</v>
      </c>
      <c r="Z345" s="111">
        <f t="shared" si="157"/>
        <v>-58.722368021445966</v>
      </c>
      <c r="AA345" s="72">
        <f t="shared" si="158"/>
        <v>121.27763197855404</v>
      </c>
      <c r="AB345" s="110">
        <f t="shared" ca="1" si="159"/>
        <v>-41.154390306087677</v>
      </c>
      <c r="AC345" s="111">
        <f t="shared" ca="1" si="160"/>
        <v>-109.25208015688929</v>
      </c>
      <c r="AD345" s="72">
        <f t="shared" ca="1" si="161"/>
        <v>70.747919843110708</v>
      </c>
    </row>
    <row r="346" spans="1:30">
      <c r="A346" s="118">
        <v>26303</v>
      </c>
      <c r="B346" s="101">
        <f t="shared" ca="1" si="135"/>
        <v>1466.3706606898527</v>
      </c>
      <c r="C346" s="102">
        <f t="shared" ca="1" si="136"/>
        <v>1.5701143709263579</v>
      </c>
      <c r="D346" s="102">
        <f t="shared" si="137"/>
        <v>1.2662327675503129</v>
      </c>
      <c r="E346" s="103">
        <f t="shared" si="138"/>
        <v>0.66040441603080768</v>
      </c>
      <c r="F346" s="101">
        <f t="shared" si="139"/>
        <v>8990.5043438711946</v>
      </c>
      <c r="G346" s="104">
        <f t="shared" si="140"/>
        <v>1.5706850983294165</v>
      </c>
      <c r="H346" s="113">
        <f t="shared" si="141"/>
        <v>1123.8134809458959</v>
      </c>
      <c r="I346" s="114">
        <f t="shared" si="142"/>
        <v>1.5699064993022385</v>
      </c>
      <c r="J346" s="101">
        <f t="shared" si="143"/>
        <v>1.9316587861199059</v>
      </c>
      <c r="K346" s="104">
        <f t="shared" si="144"/>
        <v>1.0266478127547745</v>
      </c>
      <c r="L346" s="102">
        <f t="shared" si="145"/>
        <v>1</v>
      </c>
      <c r="M346" s="103">
        <f t="shared" si="146"/>
        <v>1.07423304914835E-9</v>
      </c>
      <c r="N346" s="101">
        <f t="shared" si="147"/>
        <v>1</v>
      </c>
      <c r="O346" s="104">
        <f t="shared" si="148"/>
        <v>1.4323107321977997E-10</v>
      </c>
      <c r="P346" s="105">
        <f t="shared" ca="1" si="149"/>
        <v>1.7156368211956086</v>
      </c>
      <c r="Q346" s="106">
        <f t="shared" ca="1" si="150"/>
        <v>0.99732900859681939</v>
      </c>
      <c r="R346" s="107">
        <f t="shared" ca="1" si="151"/>
        <v>-18.417377551821982</v>
      </c>
      <c r="S346" s="108">
        <f t="shared" ca="1" si="152"/>
        <v>-168.13248126926877</v>
      </c>
      <c r="T346" s="116">
        <f t="shared" ca="1" si="153"/>
        <v>11.867518730731234</v>
      </c>
      <c r="V346" s="72">
        <f t="shared" ca="1" si="154"/>
        <v>26303</v>
      </c>
      <c r="W346" s="72">
        <f t="shared" si="155"/>
        <v>691847809</v>
      </c>
      <c r="Y346" s="110">
        <f t="shared" si="156"/>
        <v>40.301995022228937</v>
      </c>
      <c r="Z346" s="111">
        <f t="shared" si="157"/>
        <v>-58.867197169299168</v>
      </c>
      <c r="AA346" s="72">
        <f t="shared" si="158"/>
        <v>121.13280283070083</v>
      </c>
      <c r="AB346" s="110">
        <f t="shared" ca="1" si="159"/>
        <v>-41.21814730621692</v>
      </c>
      <c r="AC346" s="111">
        <f t="shared" ca="1" si="160"/>
        <v>-109.26528409996963</v>
      </c>
      <c r="AD346" s="72">
        <f t="shared" ca="1" si="161"/>
        <v>70.734715900030366</v>
      </c>
    </row>
    <row r="347" spans="1:30">
      <c r="A347" s="118">
        <v>26456</v>
      </c>
      <c r="B347" s="101">
        <f t="shared" ca="1" si="135"/>
        <v>1474.9002811532225</v>
      </c>
      <c r="C347" s="102">
        <f t="shared" ca="1" si="136"/>
        <v>1.5701183148035809</v>
      </c>
      <c r="D347" s="102">
        <f t="shared" si="137"/>
        <v>1.2690094357208885</v>
      </c>
      <c r="E347" s="103">
        <f t="shared" si="138"/>
        <v>0.66321626072407136</v>
      </c>
      <c r="F347" s="101">
        <f t="shared" si="139"/>
        <v>9042.8005514385259</v>
      </c>
      <c r="G347" s="104">
        <f t="shared" si="140"/>
        <v>1.5706857415844466</v>
      </c>
      <c r="H347" s="113">
        <f t="shared" si="141"/>
        <v>1130.3505043589971</v>
      </c>
      <c r="I347" s="114">
        <f t="shared" si="142"/>
        <v>1.5699116453384925</v>
      </c>
      <c r="J347" s="101">
        <f t="shared" si="143"/>
        <v>1.9398899829597402</v>
      </c>
      <c r="K347" s="104">
        <f t="shared" si="144"/>
        <v>1.0292132669253258</v>
      </c>
      <c r="L347" s="102">
        <f t="shared" si="145"/>
        <v>1</v>
      </c>
      <c r="M347" s="103">
        <f t="shared" si="146"/>
        <v>1.0804816769291999E-9</v>
      </c>
      <c r="N347" s="101">
        <f t="shared" si="147"/>
        <v>1</v>
      </c>
      <c r="O347" s="104">
        <f t="shared" si="148"/>
        <v>1.4406422359055997E-10</v>
      </c>
      <c r="P347" s="105">
        <f t="shared" ca="1" si="149"/>
        <v>1.7222487952764238</v>
      </c>
      <c r="Q347" s="106">
        <f t="shared" ca="1" si="150"/>
        <v>1.0003635932437942</v>
      </c>
      <c r="R347" s="107">
        <f t="shared" ca="1" si="151"/>
        <v>-18.519073795504795</v>
      </c>
      <c r="S347" s="108">
        <f t="shared" ca="1" si="152"/>
        <v>-168.29220100208406</v>
      </c>
      <c r="T347" s="116">
        <f t="shared" ca="1" si="153"/>
        <v>11.707798997915944</v>
      </c>
      <c r="V347" s="72">
        <f t="shared" ca="1" si="154"/>
        <v>26456</v>
      </c>
      <c r="W347" s="72">
        <f t="shared" si="155"/>
        <v>699919936</v>
      </c>
      <c r="Y347" s="110">
        <f t="shared" si="156"/>
        <v>40.265061249778213</v>
      </c>
      <c r="Z347" s="111">
        <f t="shared" si="157"/>
        <v>-59.013928875303165</v>
      </c>
      <c r="AA347" s="72">
        <f t="shared" si="158"/>
        <v>120.98607112469683</v>
      </c>
      <c r="AB347" s="110">
        <f t="shared" ca="1" si="159"/>
        <v>-41.282909777449007</v>
      </c>
      <c r="AC347" s="111">
        <f t="shared" ca="1" si="160"/>
        <v>-109.27827212678086</v>
      </c>
      <c r="AD347" s="72">
        <f t="shared" ca="1" si="161"/>
        <v>70.721727873219137</v>
      </c>
    </row>
    <row r="348" spans="1:30">
      <c r="A348" s="118">
        <v>26609</v>
      </c>
      <c r="B348" s="101">
        <f t="shared" ca="1" si="135"/>
        <v>1483.4299016392692</v>
      </c>
      <c r="C348" s="102">
        <f t="shared" ca="1" si="136"/>
        <v>1.5701222133267556</v>
      </c>
      <c r="D348" s="102">
        <f t="shared" si="137"/>
        <v>1.2717960934199892</v>
      </c>
      <c r="E348" s="103">
        <f t="shared" si="138"/>
        <v>0.66601580529362658</v>
      </c>
      <c r="F348" s="101">
        <f t="shared" si="139"/>
        <v>9095.096759009557</v>
      </c>
      <c r="G348" s="104">
        <f t="shared" si="140"/>
        <v>1.5706863774421287</v>
      </c>
      <c r="H348" s="113">
        <f t="shared" si="141"/>
        <v>1136.8875278016878</v>
      </c>
      <c r="I348" s="114">
        <f t="shared" si="142"/>
        <v>1.5699167321960523</v>
      </c>
      <c r="J348" s="101">
        <f t="shared" si="143"/>
        <v>1.9481338393539527</v>
      </c>
      <c r="K348" s="104">
        <f t="shared" si="144"/>
        <v>1.0317570254173112</v>
      </c>
      <c r="L348" s="102">
        <f t="shared" si="145"/>
        <v>1</v>
      </c>
      <c r="M348" s="103">
        <f t="shared" si="146"/>
        <v>1.0867303047100499E-9</v>
      </c>
      <c r="N348" s="101">
        <f t="shared" si="147"/>
        <v>1</v>
      </c>
      <c r="O348" s="104">
        <f t="shared" si="148"/>
        <v>1.4489737396133999E-10</v>
      </c>
      <c r="P348" s="105">
        <f t="shared" ca="1" si="149"/>
        <v>1.7288739913706235</v>
      </c>
      <c r="Q348" s="106">
        <f t="shared" ca="1" si="150"/>
        <v>1.0033772226914681</v>
      </c>
      <c r="R348" s="107">
        <f t="shared" ca="1" si="151"/>
        <v>-18.620291357352404</v>
      </c>
      <c r="S348" s="108">
        <f t="shared" ca="1" si="152"/>
        <v>-168.45018213303601</v>
      </c>
      <c r="T348" s="116">
        <f t="shared" ca="1" si="153"/>
        <v>11.549817866963991</v>
      </c>
      <c r="V348" s="72">
        <f t="shared" ca="1" si="154"/>
        <v>26609</v>
      </c>
      <c r="W348" s="72">
        <f t="shared" si="155"/>
        <v>708038881</v>
      </c>
      <c r="Y348" s="110">
        <f t="shared" si="156"/>
        <v>40.228227417477804</v>
      </c>
      <c r="Z348" s="111">
        <f t="shared" si="157"/>
        <v>-59.159420477342877</v>
      </c>
      <c r="AA348" s="72">
        <f t="shared" si="158"/>
        <v>120.84057952265712</v>
      </c>
      <c r="AB348" s="110">
        <f t="shared" ca="1" si="159"/>
        <v>-41.347293506996209</v>
      </c>
      <c r="AC348" s="111">
        <f t="shared" ca="1" si="160"/>
        <v>-109.29076165569315</v>
      </c>
      <c r="AD348" s="72">
        <f t="shared" ca="1" si="161"/>
        <v>70.709238344306854</v>
      </c>
    </row>
    <row r="349" spans="1:30">
      <c r="A349" s="118">
        <v>26762</v>
      </c>
      <c r="B349" s="101">
        <f t="shared" ca="1" si="135"/>
        <v>1491.9595221476043</v>
      </c>
      <c r="C349" s="102">
        <f t="shared" ca="1" si="136"/>
        <v>1.5701260672737567</v>
      </c>
      <c r="D349" s="102">
        <f t="shared" si="137"/>
        <v>1.2745926751269285</v>
      </c>
      <c r="E349" s="103">
        <f t="shared" si="138"/>
        <v>0.66880308667633681</v>
      </c>
      <c r="F349" s="101">
        <f t="shared" si="139"/>
        <v>9147.3929665842224</v>
      </c>
      <c r="G349" s="104">
        <f t="shared" si="140"/>
        <v>1.5706870060293359</v>
      </c>
      <c r="H349" s="113">
        <f t="shared" si="141"/>
        <v>1143.4245512734603</v>
      </c>
      <c r="I349" s="114">
        <f t="shared" si="142"/>
        <v>1.5699217608899019</v>
      </c>
      <c r="J349" s="101">
        <f t="shared" si="143"/>
        <v>1.9563901952676823</v>
      </c>
      <c r="K349" s="104">
        <f t="shared" si="144"/>
        <v>1.0342793297818589</v>
      </c>
      <c r="L349" s="102">
        <f t="shared" si="145"/>
        <v>1</v>
      </c>
      <c r="M349" s="103">
        <f t="shared" si="146"/>
        <v>1.0929789324909E-9</v>
      </c>
      <c r="N349" s="101">
        <f t="shared" si="147"/>
        <v>1</v>
      </c>
      <c r="O349" s="104">
        <f t="shared" si="148"/>
        <v>1.4573052433211998E-10</v>
      </c>
      <c r="P349" s="105">
        <f t="shared" ca="1" si="149"/>
        <v>1.7355122646265082</v>
      </c>
      <c r="Q349" s="106">
        <f t="shared" ca="1" si="150"/>
        <v>1.0063700956367847</v>
      </c>
      <c r="R349" s="107">
        <f t="shared" ca="1" si="151"/>
        <v>-18.721033667543491</v>
      </c>
      <c r="S349" s="108">
        <f t="shared" ca="1" si="152"/>
        <v>-168.6064477638387</v>
      </c>
      <c r="T349" s="116">
        <f t="shared" ca="1" si="153"/>
        <v>11.393552236161298</v>
      </c>
      <c r="V349" s="72">
        <f t="shared" ca="1" si="154"/>
        <v>26762</v>
      </c>
      <c r="W349" s="72">
        <f t="shared" si="155"/>
        <v>716204644</v>
      </c>
      <c r="Y349" s="110">
        <f t="shared" si="156"/>
        <v>40.19149363064389</v>
      </c>
      <c r="Z349" s="111">
        <f t="shared" si="157"/>
        <v>-59.303685764393421</v>
      </c>
      <c r="AA349" s="72">
        <f t="shared" si="158"/>
        <v>120.69631423560658</v>
      </c>
      <c r="AB349" s="110">
        <f t="shared" ca="1" si="159"/>
        <v>-41.411302030353376</v>
      </c>
      <c r="AC349" s="111">
        <f t="shared" ca="1" si="160"/>
        <v>-109.30276199944535</v>
      </c>
      <c r="AD349" s="72">
        <f t="shared" ca="1" si="161"/>
        <v>70.697238000554648</v>
      </c>
    </row>
    <row r="350" spans="1:30">
      <c r="A350" s="118">
        <v>26915</v>
      </c>
      <c r="B350" s="101">
        <f t="shared" ca="1" si="135"/>
        <v>1500.4891426778472</v>
      </c>
      <c r="C350" s="102">
        <f t="shared" ca="1" si="136"/>
        <v>1.5701298774047723</v>
      </c>
      <c r="D350" s="102">
        <f t="shared" si="137"/>
        <v>1.2773991156624735</v>
      </c>
      <c r="E350" s="103">
        <f t="shared" si="138"/>
        <v>0.67157814224835921</v>
      </c>
      <c r="F350" s="101">
        <f t="shared" si="139"/>
        <v>9199.689174162464</v>
      </c>
      <c r="G350" s="104">
        <f t="shared" si="140"/>
        <v>1.5706876274700565</v>
      </c>
      <c r="H350" s="113">
        <f t="shared" si="141"/>
        <v>1149.9615747738192</v>
      </c>
      <c r="I350" s="114">
        <f t="shared" si="142"/>
        <v>1.5699267324119459</v>
      </c>
      <c r="J350" s="101">
        <f t="shared" si="143"/>
        <v>1.9646588931155931</v>
      </c>
      <c r="K350" s="104">
        <f t="shared" si="144"/>
        <v>1.0367804186047911</v>
      </c>
      <c r="L350" s="102">
        <f t="shared" si="145"/>
        <v>1</v>
      </c>
      <c r="M350" s="103">
        <f t="shared" si="146"/>
        <v>1.09922756027175E-9</v>
      </c>
      <c r="N350" s="101">
        <f t="shared" si="147"/>
        <v>1</v>
      </c>
      <c r="O350" s="104">
        <f t="shared" si="148"/>
        <v>1.4656367470289998E-10</v>
      </c>
      <c r="P350" s="105">
        <f t="shared" ca="1" si="149"/>
        <v>1.7421634721412038</v>
      </c>
      <c r="Q350" s="106">
        <f t="shared" ca="1" si="150"/>
        <v>1.0093424089759349</v>
      </c>
      <c r="R350" s="107">
        <f t="shared" ca="1" si="151"/>
        <v>-18.821304128695836</v>
      </c>
      <c r="S350" s="108">
        <f t="shared" ca="1" si="152"/>
        <v>-168.76102069810526</v>
      </c>
      <c r="T350" s="116">
        <f t="shared" ca="1" si="153"/>
        <v>11.238979301894744</v>
      </c>
      <c r="V350" s="72">
        <f t="shared" ca="1" si="154"/>
        <v>26915</v>
      </c>
      <c r="W350" s="72">
        <f t="shared" si="155"/>
        <v>724417225</v>
      </c>
      <c r="Y350" s="110">
        <f t="shared" si="156"/>
        <v>40.154859977517667</v>
      </c>
      <c r="Z350" s="111">
        <f t="shared" si="157"/>
        <v>-59.44673835668759</v>
      </c>
      <c r="AA350" s="72">
        <f t="shared" si="158"/>
        <v>120.55326164331241</v>
      </c>
      <c r="AB350" s="110">
        <f t="shared" ca="1" si="159"/>
        <v>-41.474938838379515</v>
      </c>
      <c r="AC350" s="111">
        <f t="shared" ca="1" si="160"/>
        <v>-109.31428234141769</v>
      </c>
      <c r="AD350" s="72">
        <f t="shared" ca="1" si="161"/>
        <v>70.685717658582305</v>
      </c>
    </row>
    <row r="351" spans="1:30">
      <c r="A351" s="118">
        <v>27071.75</v>
      </c>
      <c r="B351" s="101">
        <f t="shared" ca="1" si="135"/>
        <v>1509.2278225571433</v>
      </c>
      <c r="C351" s="102">
        <f t="shared" ca="1" si="136"/>
        <v>1.5701337362580505</v>
      </c>
      <c r="D351" s="102">
        <f t="shared" si="137"/>
        <v>1.2802844979652699</v>
      </c>
      <c r="E351" s="103">
        <f t="shared" si="138"/>
        <v>0.6744085744533852</v>
      </c>
      <c r="F351" s="101">
        <f t="shared" si="139"/>
        <v>9253.2671515379297</v>
      </c>
      <c r="G351" s="104">
        <f t="shared" si="140"/>
        <v>1.570688256857482</v>
      </c>
      <c r="H351" s="113">
        <f t="shared" si="141"/>
        <v>1156.6588194675408</v>
      </c>
      <c r="I351" s="114">
        <f t="shared" si="142"/>
        <v>1.5699317675076234</v>
      </c>
      <c r="J351" s="101">
        <f t="shared" si="143"/>
        <v>1.9731428922869345</v>
      </c>
      <c r="K351" s="104">
        <f t="shared" si="144"/>
        <v>1.0393210530904744</v>
      </c>
      <c r="L351" s="102">
        <f t="shared" si="145"/>
        <v>1</v>
      </c>
      <c r="M351" s="103">
        <f t="shared" si="146"/>
        <v>1.1056293406942874E-9</v>
      </c>
      <c r="N351" s="101">
        <f t="shared" si="147"/>
        <v>1</v>
      </c>
      <c r="O351" s="104">
        <f t="shared" si="148"/>
        <v>1.4741724542590498E-10</v>
      </c>
      <c r="P351" s="105">
        <f t="shared" ca="1" si="149"/>
        <v>1.7489909657277929</v>
      </c>
      <c r="Q351" s="106">
        <f t="shared" ca="1" si="150"/>
        <v>1.0123664554543175</v>
      </c>
      <c r="R351" s="107">
        <f t="shared" ca="1" si="151"/>
        <v>-18.923546389928983</v>
      </c>
      <c r="S351" s="108">
        <f t="shared" ca="1" si="152"/>
        <v>-168.91765027951621</v>
      </c>
      <c r="T351" s="116">
        <f t="shared" ca="1" si="153"/>
        <v>11.082349720483791</v>
      </c>
      <c r="V351" s="72">
        <f t="shared" ca="1" si="154"/>
        <v>27071.75</v>
      </c>
      <c r="W351" s="72">
        <f t="shared" si="155"/>
        <v>732879648.0625</v>
      </c>
      <c r="Y351" s="110">
        <f t="shared" si="156"/>
        <v>40.117432360778352</v>
      </c>
      <c r="Z351" s="111">
        <f t="shared" si="157"/>
        <v>-59.592053561362171</v>
      </c>
      <c r="AA351" s="72">
        <f t="shared" si="158"/>
        <v>120.40794643863782</v>
      </c>
      <c r="AB351" s="110">
        <f t="shared" ca="1" si="159"/>
        <v>-41.53975348287333</v>
      </c>
      <c r="AC351" s="111">
        <f t="shared" ca="1" si="160"/>
        <v>-109.32559671815406</v>
      </c>
      <c r="AD351" s="72">
        <f t="shared" ca="1" si="161"/>
        <v>70.67440328184594</v>
      </c>
    </row>
    <row r="352" spans="1:30">
      <c r="A352" s="118">
        <v>27228.5</v>
      </c>
      <c r="B352" s="101">
        <f t="shared" ca="1" si="135"/>
        <v>1517.9665024586541</v>
      </c>
      <c r="C352" s="102">
        <f t="shared" ca="1" si="136"/>
        <v>1.5701375506817801</v>
      </c>
      <c r="D352" s="102">
        <f t="shared" si="137"/>
        <v>1.2831800908956779</v>
      </c>
      <c r="E352" s="103">
        <f t="shared" si="138"/>
        <v>0.67722625497842981</v>
      </c>
      <c r="F352" s="101">
        <f t="shared" si="139"/>
        <v>9306.8451289170207</v>
      </c>
      <c r="G352" s="104">
        <f t="shared" si="140"/>
        <v>1.5706888789983477</v>
      </c>
      <c r="H352" s="113">
        <f t="shared" si="141"/>
        <v>1163.3560641902486</v>
      </c>
      <c r="I352" s="114">
        <f t="shared" si="142"/>
        <v>1.5699367446309072</v>
      </c>
      <c r="J352" s="101">
        <f t="shared" si="143"/>
        <v>1.9816395186440188</v>
      </c>
      <c r="K352" s="104">
        <f t="shared" si="144"/>
        <v>1.041839916888788</v>
      </c>
      <c r="L352" s="102">
        <f t="shared" si="145"/>
        <v>1</v>
      </c>
      <c r="M352" s="103">
        <f t="shared" si="146"/>
        <v>1.1120311211168249E-9</v>
      </c>
      <c r="N352" s="101">
        <f t="shared" si="147"/>
        <v>1</v>
      </c>
      <c r="O352" s="104">
        <f t="shared" si="148"/>
        <v>1.4827081614890999E-10</v>
      </c>
      <c r="P352" s="105">
        <f t="shared" ca="1" si="149"/>
        <v>1.7558317378689658</v>
      </c>
      <c r="Q352" s="106">
        <f t="shared" ca="1" si="150"/>
        <v>1.0153693347698831</v>
      </c>
      <c r="R352" s="107">
        <f t="shared" ca="1" si="151"/>
        <v>-19.02530053188508</v>
      </c>
      <c r="S352" s="108">
        <f t="shared" ca="1" si="152"/>
        <v>-169.07255068152338</v>
      </c>
      <c r="T352" s="116">
        <f t="shared" ca="1" si="153"/>
        <v>10.927449318476619</v>
      </c>
      <c r="V352" s="72">
        <f t="shared" ca="1" si="154"/>
        <v>27228.5</v>
      </c>
      <c r="W352" s="72">
        <f t="shared" si="155"/>
        <v>741391212.25</v>
      </c>
      <c r="Y352" s="110">
        <f t="shared" si="156"/>
        <v>40.08010998131099</v>
      </c>
      <c r="Z352" s="111">
        <f t="shared" si="157"/>
        <v>-59.736124303908177</v>
      </c>
      <c r="AA352" s="72">
        <f t="shared" si="158"/>
        <v>120.26387569609182</v>
      </c>
      <c r="AB352" s="110">
        <f t="shared" ca="1" si="159"/>
        <v>-41.604185245362075</v>
      </c>
      <c r="AC352" s="111">
        <f t="shared" ca="1" si="160"/>
        <v>-109.33642637761518</v>
      </c>
      <c r="AD352" s="72">
        <f t="shared" ca="1" si="161"/>
        <v>70.663573622384817</v>
      </c>
    </row>
    <row r="353" spans="1:30">
      <c r="A353" s="118">
        <v>27385.25</v>
      </c>
      <c r="B353" s="101">
        <f t="shared" ca="1" si="135"/>
        <v>1526.7051823819984</v>
      </c>
      <c r="C353" s="102">
        <f t="shared" ca="1" si="136"/>
        <v>1.5701413214388886</v>
      </c>
      <c r="D353" s="102">
        <f t="shared" si="137"/>
        <v>1.2860858254867134</v>
      </c>
      <c r="E353" s="103">
        <f t="shared" si="138"/>
        <v>0.68003122536374672</v>
      </c>
      <c r="F353" s="101">
        <f t="shared" si="139"/>
        <v>9360.4231062996696</v>
      </c>
      <c r="G353" s="104">
        <f t="shared" si="140"/>
        <v>1.5706894940170888</v>
      </c>
      <c r="H353" s="113">
        <f t="shared" si="141"/>
        <v>1170.053308941445</v>
      </c>
      <c r="I353" s="114">
        <f t="shared" si="142"/>
        <v>1.5699416647772779</v>
      </c>
      <c r="J353" s="101">
        <f t="shared" si="143"/>
        <v>1.9901486104575041</v>
      </c>
      <c r="K353" s="104">
        <f t="shared" si="144"/>
        <v>1.044337257079732</v>
      </c>
      <c r="L353" s="102">
        <f t="shared" si="145"/>
        <v>1</v>
      </c>
      <c r="M353" s="103">
        <f t="shared" si="146"/>
        <v>1.1184329015393624E-9</v>
      </c>
      <c r="N353" s="101">
        <f t="shared" si="147"/>
        <v>1</v>
      </c>
      <c r="O353" s="104">
        <f t="shared" si="148"/>
        <v>1.4912438687191499E-10</v>
      </c>
      <c r="P353" s="105">
        <f t="shared" ca="1" si="149"/>
        <v>1.7626856410859846</v>
      </c>
      <c r="Q353" s="106">
        <f t="shared" ca="1" si="150"/>
        <v>1.0183512527978493</v>
      </c>
      <c r="R353" s="107">
        <f t="shared" ca="1" si="151"/>
        <v>-19.126570125519251</v>
      </c>
      <c r="S353" s="108">
        <f t="shared" ca="1" si="152"/>
        <v>-169.22574547027307</v>
      </c>
      <c r="T353" s="116">
        <f t="shared" ca="1" si="153"/>
        <v>10.774254529726932</v>
      </c>
      <c r="V353" s="72">
        <f t="shared" ca="1" si="154"/>
        <v>27385.25</v>
      </c>
      <c r="W353" s="72">
        <f t="shared" si="155"/>
        <v>749951917.5625</v>
      </c>
      <c r="Y353" s="110">
        <f t="shared" si="156"/>
        <v>40.042892881761667</v>
      </c>
      <c r="Z353" s="111">
        <f t="shared" si="157"/>
        <v>-59.878964691059515</v>
      </c>
      <c r="AA353" s="72">
        <f t="shared" si="158"/>
        <v>120.12103530894049</v>
      </c>
      <c r="AB353" s="110">
        <f t="shared" ca="1" si="159"/>
        <v>-41.668237739446916</v>
      </c>
      <c r="AC353" s="111">
        <f t="shared" ca="1" si="160"/>
        <v>-109.34678077921347</v>
      </c>
      <c r="AD353" s="72">
        <f t="shared" ca="1" si="161"/>
        <v>70.653219220786525</v>
      </c>
    </row>
    <row r="354" spans="1:30">
      <c r="A354" s="118">
        <v>27542</v>
      </c>
      <c r="B354" s="101">
        <f t="shared" ca="1" si="135"/>
        <v>1535.4438623268031</v>
      </c>
      <c r="C354" s="102">
        <f t="shared" ca="1" si="136"/>
        <v>1.5701450492749367</v>
      </c>
      <c r="D354" s="102">
        <f t="shared" si="137"/>
        <v>1.2890016331527998</v>
      </c>
      <c r="E354" s="103">
        <f t="shared" si="138"/>
        <v>0.68282352757569276</v>
      </c>
      <c r="F354" s="101">
        <f t="shared" si="139"/>
        <v>9414.0010836858219</v>
      </c>
      <c r="G354" s="104">
        <f t="shared" si="140"/>
        <v>1.5706901020353081</v>
      </c>
      <c r="H354" s="113">
        <f t="shared" si="141"/>
        <v>1176.7505537206434</v>
      </c>
      <c r="I354" s="114">
        <f t="shared" si="142"/>
        <v>1.5699465289195544</v>
      </c>
      <c r="J354" s="101">
        <f t="shared" si="143"/>
        <v>1.9986700085169531</v>
      </c>
      <c r="K354" s="104">
        <f t="shared" si="144"/>
        <v>1.0468133176127332</v>
      </c>
      <c r="L354" s="102">
        <f t="shared" si="145"/>
        <v>1</v>
      </c>
      <c r="M354" s="103">
        <f t="shared" si="146"/>
        <v>1.1248346819618998E-9</v>
      </c>
      <c r="N354" s="101">
        <f t="shared" si="147"/>
        <v>1</v>
      </c>
      <c r="O354" s="104">
        <f t="shared" si="148"/>
        <v>1.4997795759491997E-10</v>
      </c>
      <c r="P354" s="105">
        <f t="shared" ca="1" si="149"/>
        <v>1.7695525299314143</v>
      </c>
      <c r="Q354" s="106">
        <f t="shared" ca="1" si="150"/>
        <v>1.0213124134481677</v>
      </c>
      <c r="R354" s="107">
        <f t="shared" ca="1" si="151"/>
        <v>-19.227358712711467</v>
      </c>
      <c r="S354" s="108">
        <f t="shared" ca="1" si="152"/>
        <v>-169.37725789566878</v>
      </c>
      <c r="T354" s="116">
        <f t="shared" ca="1" si="153"/>
        <v>10.622742104331223</v>
      </c>
      <c r="V354" s="72">
        <f t="shared" ca="1" si="154"/>
        <v>27542</v>
      </c>
      <c r="W354" s="72">
        <f t="shared" si="155"/>
        <v>758561764</v>
      </c>
      <c r="Y354" s="110">
        <f t="shared" si="156"/>
        <v>40.005781088288103</v>
      </c>
      <c r="Z354" s="111">
        <f t="shared" si="157"/>
        <v>-60.020588651317787</v>
      </c>
      <c r="AA354" s="72">
        <f t="shared" si="158"/>
        <v>119.97941134868222</v>
      </c>
      <c r="AB354" s="110">
        <f t="shared" ca="1" si="159"/>
        <v>-41.731914533165565</v>
      </c>
      <c r="AC354" s="111">
        <f t="shared" ca="1" si="160"/>
        <v>-109.35666924435097</v>
      </c>
      <c r="AD354" s="72">
        <f t="shared" ca="1" si="161"/>
        <v>70.643330755649032</v>
      </c>
    </row>
    <row r="355" spans="1:30">
      <c r="A355" s="118">
        <v>27702.5</v>
      </c>
      <c r="B355" s="101">
        <f t="shared" ca="1" si="135"/>
        <v>1544.3916016222875</v>
      </c>
      <c r="C355" s="102">
        <f t="shared" ca="1" si="136"/>
        <v>1.5701488225810518</v>
      </c>
      <c r="D355" s="102">
        <f t="shared" si="137"/>
        <v>1.291997563183499</v>
      </c>
      <c r="E355" s="103">
        <f t="shared" si="138"/>
        <v>0.68566954914176748</v>
      </c>
      <c r="F355" s="101">
        <f t="shared" si="139"/>
        <v>9468.8608308694638</v>
      </c>
      <c r="G355" s="104">
        <f t="shared" si="140"/>
        <v>1.5706907174697919</v>
      </c>
      <c r="H355" s="113">
        <f t="shared" si="141"/>
        <v>1183.6080196953269</v>
      </c>
      <c r="I355" s="114">
        <f t="shared" si="142"/>
        <v>1.5699514523919451</v>
      </c>
      <c r="J355" s="101">
        <f t="shared" si="143"/>
        <v>2.0074078554690198</v>
      </c>
      <c r="K355" s="104">
        <f t="shared" si="144"/>
        <v>1.0493268162086629</v>
      </c>
      <c r="L355" s="102">
        <f t="shared" si="145"/>
        <v>1</v>
      </c>
      <c r="M355" s="103">
        <f t="shared" si="146"/>
        <v>1.1313896150261248E-9</v>
      </c>
      <c r="N355" s="101">
        <f t="shared" si="147"/>
        <v>1</v>
      </c>
      <c r="O355" s="104">
        <f t="shared" si="148"/>
        <v>1.5085194867014998E-10</v>
      </c>
      <c r="P355" s="105">
        <f t="shared" ca="1" si="149"/>
        <v>1.7765970039440804</v>
      </c>
      <c r="Q355" s="106">
        <f t="shared" ca="1" si="150"/>
        <v>1.0243231179751231</v>
      </c>
      <c r="R355" s="107">
        <f t="shared" ca="1" si="151"/>
        <v>-19.33006377406398</v>
      </c>
      <c r="S355" s="108">
        <f t="shared" ca="1" si="152"/>
        <v>-169.53067575761875</v>
      </c>
      <c r="T355" s="116">
        <f t="shared" ca="1" si="153"/>
        <v>10.469324242381248</v>
      </c>
      <c r="V355" s="72">
        <f t="shared" ca="1" si="154"/>
        <v>27702.5</v>
      </c>
      <c r="W355" s="72">
        <f t="shared" si="155"/>
        <v>767428506.25</v>
      </c>
      <c r="Y355" s="110">
        <f t="shared" si="156"/>
        <v>39.967890578576949</v>
      </c>
      <c r="Z355" s="111">
        <f t="shared" si="157"/>
        <v>-60.164354680125363</v>
      </c>
      <c r="AA355" s="72">
        <f t="shared" si="158"/>
        <v>119.83564531987463</v>
      </c>
      <c r="AB355" s="110">
        <f t="shared" ca="1" si="159"/>
        <v>-41.796729084806927</v>
      </c>
      <c r="AC355" s="111">
        <f t="shared" ca="1" si="160"/>
        <v>-109.36632107749337</v>
      </c>
      <c r="AD355" s="72">
        <f t="shared" ca="1" si="161"/>
        <v>70.633678922506633</v>
      </c>
    </row>
    <row r="356" spans="1:30">
      <c r="A356" s="118">
        <v>27863</v>
      </c>
      <c r="B356" s="101">
        <f t="shared" ca="1" si="135"/>
        <v>1553.3393409395071</v>
      </c>
      <c r="C356" s="102">
        <f t="shared" ca="1" si="136"/>
        <v>1.5701525524162283</v>
      </c>
      <c r="D356" s="102">
        <f t="shared" si="137"/>
        <v>1.2950039097163863</v>
      </c>
      <c r="E356" s="103">
        <f t="shared" si="138"/>
        <v>0.68850237950878901</v>
      </c>
      <c r="F356" s="101">
        <f t="shared" si="139"/>
        <v>9523.720578056651</v>
      </c>
      <c r="G356" s="104">
        <f t="shared" si="140"/>
        <v>1.5706913258140676</v>
      </c>
      <c r="H356" s="113">
        <f t="shared" si="141"/>
        <v>1190.4654856983707</v>
      </c>
      <c r="I356" s="114">
        <f t="shared" si="142"/>
        <v>1.5699563191427508</v>
      </c>
      <c r="J356" s="101">
        <f t="shared" si="143"/>
        <v>2.0161582745988116</v>
      </c>
      <c r="K356" s="104">
        <f t="shared" si="144"/>
        <v>1.0518185125363069</v>
      </c>
      <c r="L356" s="102">
        <f t="shared" si="145"/>
        <v>1</v>
      </c>
      <c r="M356" s="103">
        <f t="shared" si="146"/>
        <v>1.1379445480903499E-9</v>
      </c>
      <c r="N356" s="101">
        <f t="shared" si="147"/>
        <v>1</v>
      </c>
      <c r="O356" s="104">
        <f t="shared" si="148"/>
        <v>1.5172593974537999E-10</v>
      </c>
      <c r="P356" s="105">
        <f t="shared" ca="1" si="149"/>
        <v>1.7836547901142328</v>
      </c>
      <c r="Q356" s="106">
        <f t="shared" ca="1" si="150"/>
        <v>1.027312486463885</v>
      </c>
      <c r="R356" s="107">
        <f t="shared" ca="1" si="151"/>
        <v>-19.432271962475177</v>
      </c>
      <c r="S356" s="108">
        <f t="shared" ca="1" si="152"/>
        <v>-169.6823781296697</v>
      </c>
      <c r="T356" s="116">
        <f t="shared" ca="1" si="153"/>
        <v>10.317621870330299</v>
      </c>
      <c r="V356" s="72">
        <f t="shared" ca="1" si="154"/>
        <v>27863</v>
      </c>
      <c r="W356" s="72">
        <f t="shared" si="155"/>
        <v>776346769</v>
      </c>
      <c r="Y356" s="110">
        <f t="shared" si="156"/>
        <v>39.930110478664126</v>
      </c>
      <c r="Z356" s="111">
        <f t="shared" si="157"/>
        <v>-60.306874374643328</v>
      </c>
      <c r="AA356" s="72">
        <f t="shared" si="158"/>
        <v>119.69312562535667</v>
      </c>
      <c r="AB356" s="110">
        <f t="shared" ca="1" si="159"/>
        <v>-41.861157173305301</v>
      </c>
      <c r="AC356" s="111">
        <f t="shared" ca="1" si="160"/>
        <v>-109.37550375502639</v>
      </c>
      <c r="AD356" s="72">
        <f t="shared" ca="1" si="161"/>
        <v>70.624496244973614</v>
      </c>
    </row>
    <row r="357" spans="1:30">
      <c r="A357" s="118">
        <v>28023.5</v>
      </c>
      <c r="B357" s="101">
        <f t="shared" ca="1" si="135"/>
        <v>1562.2870802780888</v>
      </c>
      <c r="C357" s="102">
        <f t="shared" ca="1" si="136"/>
        <v>1.570156239527384</v>
      </c>
      <c r="D357" s="102">
        <f t="shared" si="137"/>
        <v>1.2980206003744572</v>
      </c>
      <c r="E357" s="103">
        <f t="shared" si="138"/>
        <v>0.69132206502435345</v>
      </c>
      <c r="F357" s="101">
        <f t="shared" si="139"/>
        <v>9578.5803252473233</v>
      </c>
      <c r="G357" s="104">
        <f t="shared" si="140"/>
        <v>1.5706919271899593</v>
      </c>
      <c r="H357" s="113">
        <f t="shared" si="141"/>
        <v>1197.3229517292887</v>
      </c>
      <c r="I357" s="114">
        <f t="shared" si="142"/>
        <v>1.5699611301465617</v>
      </c>
      <c r="J357" s="101">
        <f t="shared" si="143"/>
        <v>2.0249211029195031</v>
      </c>
      <c r="K357" s="104">
        <f t="shared" si="144"/>
        <v>1.0542886585016005</v>
      </c>
      <c r="L357" s="102">
        <f t="shared" si="145"/>
        <v>1</v>
      </c>
      <c r="M357" s="103">
        <f t="shared" si="146"/>
        <v>1.1444994811545749E-9</v>
      </c>
      <c r="N357" s="101">
        <f t="shared" si="147"/>
        <v>1</v>
      </c>
      <c r="O357" s="104">
        <f t="shared" si="148"/>
        <v>1.5259993082060997E-10</v>
      </c>
      <c r="P357" s="105">
        <f t="shared" ca="1" si="149"/>
        <v>1.7907257387378357</v>
      </c>
      <c r="Q357" s="106">
        <f t="shared" ca="1" si="150"/>
        <v>1.0302807314519067</v>
      </c>
      <c r="R357" s="107">
        <f t="shared" ca="1" si="151"/>
        <v>-19.533986987317697</v>
      </c>
      <c r="S357" s="108">
        <f t="shared" ca="1" si="152"/>
        <v>-169.83238896088142</v>
      </c>
      <c r="T357" s="116">
        <f t="shared" ca="1" si="153"/>
        <v>10.167611039118583</v>
      </c>
      <c r="V357" s="72">
        <f t="shared" ca="1" si="154"/>
        <v>28023.5</v>
      </c>
      <c r="W357" s="72">
        <f t="shared" si="155"/>
        <v>785316552.25</v>
      </c>
      <c r="Y357" s="110">
        <f t="shared" si="156"/>
        <v>39.892440766433694</v>
      </c>
      <c r="Z357" s="111">
        <f t="shared" si="157"/>
        <v>-60.448162119158809</v>
      </c>
      <c r="AA357" s="72">
        <f t="shared" si="158"/>
        <v>119.55183788084119</v>
      </c>
      <c r="AB357" s="110">
        <f t="shared" ca="1" si="159"/>
        <v>-41.925202485917396</v>
      </c>
      <c r="AC357" s="111">
        <f t="shared" ca="1" si="160"/>
        <v>-109.38422684172269</v>
      </c>
      <c r="AD357" s="72">
        <f t="shared" ca="1" si="161"/>
        <v>70.615773158277307</v>
      </c>
    </row>
    <row r="358" spans="1:30">
      <c r="A358" s="118">
        <v>28184</v>
      </c>
      <c r="B358" s="101">
        <f t="shared" ca="1" si="135"/>
        <v>1571.2348196376674</v>
      </c>
      <c r="C358" s="102">
        <f t="shared" ca="1" si="136"/>
        <v>1.5701598846444227</v>
      </c>
      <c r="D358" s="102">
        <f t="shared" si="137"/>
        <v>1.3010475632040968</v>
      </c>
      <c r="E358" s="103">
        <f t="shared" si="138"/>
        <v>0.69412865244302191</v>
      </c>
      <c r="F358" s="101">
        <f t="shared" si="139"/>
        <v>9633.4400724414209</v>
      </c>
      <c r="G358" s="104">
        <f t="shared" si="140"/>
        <v>1.570692521716516</v>
      </c>
      <c r="H358" s="113">
        <f t="shared" si="141"/>
        <v>1204.1804177876036</v>
      </c>
      <c r="I358" s="114">
        <f t="shared" si="142"/>
        <v>1.5699658863557673</v>
      </c>
      <c r="J358" s="101">
        <f t="shared" si="143"/>
        <v>2.0336961800242364</v>
      </c>
      <c r="K358" s="104">
        <f t="shared" si="144"/>
        <v>1.0567375027239272</v>
      </c>
      <c r="L358" s="102">
        <f t="shared" si="145"/>
        <v>1</v>
      </c>
      <c r="M358" s="103">
        <f t="shared" si="146"/>
        <v>1.1510544142187999E-9</v>
      </c>
      <c r="N358" s="101">
        <f t="shared" si="147"/>
        <v>1</v>
      </c>
      <c r="O358" s="104">
        <f t="shared" si="148"/>
        <v>1.5347392189583999E-10</v>
      </c>
      <c r="P358" s="105">
        <f t="shared" ca="1" si="149"/>
        <v>1.7978097022190367</v>
      </c>
      <c r="Q358" s="106">
        <f t="shared" ca="1" si="150"/>
        <v>1.0332280633488797</v>
      </c>
      <c r="R358" s="107">
        <f t="shared" ca="1" si="151"/>
        <v>-19.63521252726645</v>
      </c>
      <c r="S358" s="108">
        <f t="shared" ca="1" si="152"/>
        <v>-169.98073186691707</v>
      </c>
      <c r="T358" s="116">
        <f t="shared" ca="1" si="153"/>
        <v>10.019268133082932</v>
      </c>
      <c r="V358" s="72">
        <f t="shared" ca="1" si="154"/>
        <v>28184</v>
      </c>
      <c r="W358" s="72">
        <f t="shared" si="155"/>
        <v>794337856</v>
      </c>
      <c r="Y358" s="110">
        <f t="shared" si="156"/>
        <v>39.854881403982198</v>
      </c>
      <c r="Z358" s="111">
        <f t="shared" si="157"/>
        <v>-60.588232110766221</v>
      </c>
      <c r="AA358" s="72">
        <f t="shared" si="158"/>
        <v>119.41176788923377</v>
      </c>
      <c r="AB358" s="110">
        <f t="shared" ca="1" si="159"/>
        <v>-41.98886866341465</v>
      </c>
      <c r="AC358" s="111">
        <f t="shared" ca="1" si="160"/>
        <v>-109.39249975615088</v>
      </c>
      <c r="AD358" s="72">
        <f t="shared" ca="1" si="161"/>
        <v>70.607500243849117</v>
      </c>
    </row>
    <row r="359" spans="1:30">
      <c r="A359" s="118">
        <v>28348</v>
      </c>
      <c r="B359" s="101">
        <f t="shared" ca="1" si="135"/>
        <v>1580.377681060673</v>
      </c>
      <c r="C359" s="102">
        <f t="shared" ca="1" si="136"/>
        <v>1.5701635666143936</v>
      </c>
      <c r="D359" s="102">
        <f t="shared" si="137"/>
        <v>1.3041510707676969</v>
      </c>
      <c r="E359" s="103">
        <f t="shared" si="138"/>
        <v>0.69698296210508648</v>
      </c>
      <c r="F359" s="101">
        <f t="shared" si="139"/>
        <v>9689.4961381136309</v>
      </c>
      <c r="G359" s="104">
        <f t="shared" si="140"/>
        <v>1.5706931222538636</v>
      </c>
      <c r="H359" s="113">
        <f t="shared" si="141"/>
        <v>1211.1874236320152</v>
      </c>
      <c r="I359" s="114">
        <f t="shared" si="142"/>
        <v>1.5699706906513065</v>
      </c>
      <c r="J359" s="101">
        <f t="shared" si="143"/>
        <v>2.0426751020628027</v>
      </c>
      <c r="K359" s="104">
        <f t="shared" si="144"/>
        <v>1.0592180002203031</v>
      </c>
      <c r="L359" s="102">
        <f t="shared" si="145"/>
        <v>1</v>
      </c>
      <c r="M359" s="103">
        <f t="shared" si="146"/>
        <v>1.1577522897485999E-9</v>
      </c>
      <c r="N359" s="101">
        <f t="shared" si="147"/>
        <v>1</v>
      </c>
      <c r="O359" s="104">
        <f t="shared" si="148"/>
        <v>1.5436697196647997E-10</v>
      </c>
      <c r="P359" s="105">
        <f t="shared" ca="1" si="149"/>
        <v>1.8050614369326605</v>
      </c>
      <c r="Q359" s="106">
        <f t="shared" ca="1" si="150"/>
        <v>1.0362182818508483</v>
      </c>
      <c r="R359" s="107">
        <f t="shared" ca="1" si="151"/>
        <v>-19.738143660973822</v>
      </c>
      <c r="S359" s="108">
        <f t="shared" ca="1" si="152"/>
        <v>-170.13061101105311</v>
      </c>
      <c r="T359" s="116">
        <f t="shared" ca="1" si="153"/>
        <v>9.8693889889468949</v>
      </c>
      <c r="V359" s="72">
        <f t="shared" ca="1" si="154"/>
        <v>28348</v>
      </c>
      <c r="W359" s="72">
        <f t="shared" si="155"/>
        <v>803609104</v>
      </c>
      <c r="Y359" s="110">
        <f t="shared" si="156"/>
        <v>39.816616920226643</v>
      </c>
      <c r="Z359" s="111">
        <f t="shared" si="157"/>
        <v>-60.730113290628402</v>
      </c>
      <c r="AA359" s="72">
        <f t="shared" si="158"/>
        <v>119.2698867093716</v>
      </c>
      <c r="AB359" s="110">
        <f t="shared" ca="1" si="159"/>
        <v>-42.053535313366467</v>
      </c>
      <c r="AC359" s="111">
        <f t="shared" ca="1" si="160"/>
        <v>-109.40049772042468</v>
      </c>
      <c r="AD359" s="72">
        <f t="shared" ca="1" si="161"/>
        <v>70.599502279575319</v>
      </c>
    </row>
    <row r="360" spans="1:30">
      <c r="A360" s="118">
        <v>28512</v>
      </c>
      <c r="B360" s="101">
        <f t="shared" ca="1" si="135"/>
        <v>1589.5205425048573</v>
      </c>
      <c r="C360" s="102">
        <f t="shared" ca="1" si="136"/>
        <v>1.5701672062272634</v>
      </c>
      <c r="D360" s="102">
        <f t="shared" si="137"/>
        <v>1.3072651528601931</v>
      </c>
      <c r="E360" s="103">
        <f t="shared" si="138"/>
        <v>0.69982369611721995</v>
      </c>
      <c r="F360" s="101">
        <f t="shared" si="139"/>
        <v>9745.552203789297</v>
      </c>
      <c r="G360" s="104">
        <f t="shared" si="140"/>
        <v>1.5706937158826728</v>
      </c>
      <c r="H360" s="113">
        <f t="shared" si="141"/>
        <v>1218.1944295040612</v>
      </c>
      <c r="I360" s="114">
        <f t="shared" si="142"/>
        <v>1.5699754396786123</v>
      </c>
      <c r="J360" s="101">
        <f t="shared" si="143"/>
        <v>2.0516664823583981</v>
      </c>
      <c r="K360" s="104">
        <f t="shared" si="144"/>
        <v>1.0616767712905972</v>
      </c>
      <c r="L360" s="102">
        <f t="shared" si="145"/>
        <v>1</v>
      </c>
      <c r="M360" s="103">
        <f t="shared" si="146"/>
        <v>1.1644501652783999E-9</v>
      </c>
      <c r="N360" s="101">
        <f t="shared" si="147"/>
        <v>1</v>
      </c>
      <c r="O360" s="104">
        <f t="shared" si="148"/>
        <v>1.5526002203711998E-10</v>
      </c>
      <c r="P360" s="105">
        <f t="shared" ca="1" si="149"/>
        <v>1.8123264553534189</v>
      </c>
      <c r="Q360" s="106">
        <f t="shared" ca="1" si="150"/>
        <v>1.039187102630946</v>
      </c>
      <c r="R360" s="107">
        <f t="shared" ca="1" si="151"/>
        <v>-19.840571397480371</v>
      </c>
      <c r="S360" s="108">
        <f t="shared" ca="1" si="152"/>
        <v>-170.27879749488278</v>
      </c>
      <c r="T360" s="116">
        <f t="shared" ca="1" si="153"/>
        <v>9.7212025051172191</v>
      </c>
      <c r="V360" s="72">
        <f t="shared" ca="1" si="154"/>
        <v>28512</v>
      </c>
      <c r="W360" s="72">
        <f t="shared" si="155"/>
        <v>812934144</v>
      </c>
      <c r="Y360" s="110">
        <f t="shared" si="156"/>
        <v>39.778467523400927</v>
      </c>
      <c r="Z360" s="111">
        <f t="shared" si="157"/>
        <v>-60.870752408777157</v>
      </c>
      <c r="AA360" s="72">
        <f t="shared" si="158"/>
        <v>119.12924759122285</v>
      </c>
      <c r="AB360" s="110">
        <f t="shared" ca="1" si="159"/>
        <v>-42.1178136530473</v>
      </c>
      <c r="AC360" s="111">
        <f t="shared" ca="1" si="160"/>
        <v>-109.40804508610563</v>
      </c>
      <c r="AD360" s="72">
        <f t="shared" ca="1" si="161"/>
        <v>70.591954913894369</v>
      </c>
    </row>
    <row r="361" spans="1:30">
      <c r="A361" s="118">
        <v>28676</v>
      </c>
      <c r="B361" s="101">
        <f t="shared" ca="1" si="135"/>
        <v>1598.6634039698567</v>
      </c>
      <c r="C361" s="102">
        <f t="shared" ca="1" si="136"/>
        <v>1.5701708042097609</v>
      </c>
      <c r="D361" s="102">
        <f t="shared" si="137"/>
        <v>1.3103897340919146</v>
      </c>
      <c r="E361" s="103">
        <f t="shared" si="138"/>
        <v>0.70265090558015542</v>
      </c>
      <c r="F361" s="101">
        <f t="shared" si="139"/>
        <v>9801.6082694683573</v>
      </c>
      <c r="G361" s="104">
        <f t="shared" si="140"/>
        <v>1.570694302721475</v>
      </c>
      <c r="H361" s="113">
        <f t="shared" si="141"/>
        <v>1225.2014354032672</v>
      </c>
      <c r="I361" s="114">
        <f t="shared" si="142"/>
        <v>1.5699801343859323</v>
      </c>
      <c r="J361" s="101">
        <f t="shared" si="143"/>
        <v>2.060670157832635</v>
      </c>
      <c r="K361" s="104">
        <f t="shared" si="144"/>
        <v>1.0641140707972032</v>
      </c>
      <c r="L361" s="102">
        <f t="shared" si="145"/>
        <v>1</v>
      </c>
      <c r="M361" s="103">
        <f t="shared" si="146"/>
        <v>1.1711480408081999E-9</v>
      </c>
      <c r="N361" s="101">
        <f t="shared" si="147"/>
        <v>1</v>
      </c>
      <c r="O361" s="104">
        <f t="shared" si="148"/>
        <v>1.5615307210775999E-10</v>
      </c>
      <c r="P361" s="105">
        <f t="shared" ca="1" si="149"/>
        <v>1.8196046066404412</v>
      </c>
      <c r="Q361" s="106">
        <f t="shared" ca="1" si="150"/>
        <v>1.0421347433481967</v>
      </c>
      <c r="R361" s="107">
        <f t="shared" ca="1" si="151"/>
        <v>-19.94249956397034</v>
      </c>
      <c r="S361" s="108">
        <f t="shared" ca="1" si="152"/>
        <v>-170.42531545813222</v>
      </c>
      <c r="T361" s="116">
        <f t="shared" ca="1" si="153"/>
        <v>9.5746845418677822</v>
      </c>
      <c r="V361" s="72">
        <f t="shared" ca="1" si="154"/>
        <v>28676</v>
      </c>
      <c r="W361" s="72">
        <f t="shared" si="155"/>
        <v>822312976</v>
      </c>
      <c r="Y361" s="110">
        <f t="shared" si="156"/>
        <v>39.740433125505476</v>
      </c>
      <c r="Z361" s="111">
        <f t="shared" si="157"/>
        <v>-61.010164020212841</v>
      </c>
      <c r="AA361" s="72">
        <f t="shared" si="158"/>
        <v>118.98983597978716</v>
      </c>
      <c r="AB361" s="110">
        <f t="shared" ca="1" si="159"/>
        <v>-42.181707421641818</v>
      </c>
      <c r="AC361" s="111">
        <f t="shared" ca="1" si="160"/>
        <v>-109.41515143791932</v>
      </c>
      <c r="AD361" s="72">
        <f t="shared" ca="1" si="161"/>
        <v>70.58484856208068</v>
      </c>
    </row>
    <row r="362" spans="1:30">
      <c r="A362" s="118">
        <v>28840</v>
      </c>
      <c r="B362" s="101">
        <f t="shared" ca="1" si="135"/>
        <v>1607.8062654553164</v>
      </c>
      <c r="C362" s="102">
        <f t="shared" ca="1" si="136"/>
        <v>1.5701743612720851</v>
      </c>
      <c r="D362" s="102">
        <f t="shared" si="137"/>
        <v>1.31352473953756</v>
      </c>
      <c r="E362" s="103">
        <f t="shared" si="138"/>
        <v>0.70546464197404923</v>
      </c>
      <c r="F362" s="101">
        <f t="shared" si="139"/>
        <v>9857.6643351507573</v>
      </c>
      <c r="G362" s="104">
        <f t="shared" si="140"/>
        <v>1.5706948828861049</v>
      </c>
      <c r="H362" s="113">
        <f t="shared" si="141"/>
        <v>1232.20844132917</v>
      </c>
      <c r="I362" s="114">
        <f t="shared" si="142"/>
        <v>1.569984775699945</v>
      </c>
      <c r="J362" s="101">
        <f t="shared" si="143"/>
        <v>2.0696859680237876</v>
      </c>
      <c r="K362" s="104">
        <f t="shared" si="144"/>
        <v>1.0665301501911768</v>
      </c>
      <c r="L362" s="102">
        <f t="shared" si="145"/>
        <v>1</v>
      </c>
      <c r="M362" s="103">
        <f t="shared" si="146"/>
        <v>1.1778459163379999E-9</v>
      </c>
      <c r="N362" s="101">
        <f t="shared" si="147"/>
        <v>1</v>
      </c>
      <c r="O362" s="104">
        <f t="shared" si="148"/>
        <v>1.5704612217839997E-10</v>
      </c>
      <c r="P362" s="105">
        <f t="shared" ca="1" si="149"/>
        <v>1.8268957421187035</v>
      </c>
      <c r="Q362" s="106">
        <f t="shared" ca="1" si="150"/>
        <v>1.0450614193887293</v>
      </c>
      <c r="R362" s="107">
        <f t="shared" ca="1" si="151"/>
        <v>-20.043931955405299</v>
      </c>
      <c r="S362" s="108">
        <f t="shared" ca="1" si="152"/>
        <v>-170.57018869323952</v>
      </c>
      <c r="T362" s="116">
        <f t="shared" ca="1" si="153"/>
        <v>9.4298113067604845</v>
      </c>
      <c r="V362" s="72">
        <f t="shared" ca="1" si="154"/>
        <v>28840</v>
      </c>
      <c r="W362" s="72">
        <f t="shared" si="155"/>
        <v>831745600</v>
      </c>
      <c r="Y362" s="110">
        <f t="shared" si="156"/>
        <v>39.702513623647725</v>
      </c>
      <c r="Z362" s="111">
        <f t="shared" si="157"/>
        <v>-61.148362485561776</v>
      </c>
      <c r="AA362" s="72">
        <f t="shared" si="158"/>
        <v>118.85163751443822</v>
      </c>
      <c r="AB362" s="110">
        <f t="shared" ca="1" si="159"/>
        <v>-42.245220311219029</v>
      </c>
      <c r="AC362" s="111">
        <f t="shared" ca="1" si="160"/>
        <v>-109.42182620767773</v>
      </c>
      <c r="AD362" s="72">
        <f t="shared" ca="1" si="161"/>
        <v>70.578173792322275</v>
      </c>
    </row>
    <row r="363" spans="1:30">
      <c r="A363" s="118">
        <v>29008</v>
      </c>
      <c r="B363" s="101">
        <f t="shared" ca="1" si="135"/>
        <v>1617.1721235832247</v>
      </c>
      <c r="C363" s="102">
        <f t="shared" ca="1" si="136"/>
        <v>1.5701779633880917</v>
      </c>
      <c r="D363" s="102">
        <f t="shared" si="137"/>
        <v>1.316746939387329</v>
      </c>
      <c r="E363" s="103">
        <f t="shared" si="138"/>
        <v>0.70833309028666902</v>
      </c>
      <c r="F363" s="101">
        <f t="shared" si="139"/>
        <v>9915.0876219507591</v>
      </c>
      <c r="G363" s="104">
        <f t="shared" si="140"/>
        <v>1.5706954703990861</v>
      </c>
      <c r="H363" s="113">
        <f t="shared" si="141"/>
        <v>1239.3863498658391</v>
      </c>
      <c r="I363" s="114">
        <f t="shared" si="142"/>
        <v>1.5699894758007658</v>
      </c>
      <c r="J363" s="101">
        <f t="shared" si="143"/>
        <v>2.0789340932731308</v>
      </c>
      <c r="K363" s="104">
        <f t="shared" si="144"/>
        <v>1.0689834148836275</v>
      </c>
      <c r="L363" s="102">
        <f t="shared" si="145"/>
        <v>1</v>
      </c>
      <c r="M363" s="103">
        <f t="shared" si="146"/>
        <v>1.1847071546856E-9</v>
      </c>
      <c r="N363" s="101">
        <f t="shared" si="147"/>
        <v>1</v>
      </c>
      <c r="O363" s="104">
        <f t="shared" si="148"/>
        <v>1.5796095395807997E-10</v>
      </c>
      <c r="P363" s="105">
        <f t="shared" ca="1" si="149"/>
        <v>1.834378020085949</v>
      </c>
      <c r="Q363" s="106">
        <f t="shared" ca="1" si="150"/>
        <v>1.0480379626282781</v>
      </c>
      <c r="R363" s="107">
        <f t="shared" ca="1" si="151"/>
        <v>-20.147328180318471</v>
      </c>
      <c r="S363" s="108">
        <f t="shared" ca="1" si="152"/>
        <v>-170.71691454119053</v>
      </c>
      <c r="T363" s="116">
        <f t="shared" ca="1" si="153"/>
        <v>9.2830854588094667</v>
      </c>
      <c r="V363" s="72">
        <f t="shared" ca="1" si="154"/>
        <v>29008</v>
      </c>
      <c r="W363" s="72">
        <f t="shared" si="155"/>
        <v>841464064</v>
      </c>
      <c r="Y363" s="110">
        <f t="shared" si="156"/>
        <v>39.663788266973548</v>
      </c>
      <c r="Z363" s="111">
        <f t="shared" si="157"/>
        <v>-61.288688564361216</v>
      </c>
      <c r="AA363" s="72">
        <f t="shared" si="158"/>
        <v>118.71131143563878</v>
      </c>
      <c r="AB363" s="110">
        <f t="shared" ca="1" si="159"/>
        <v>-42.30989117945802</v>
      </c>
      <c r="AC363" s="111">
        <f t="shared" ca="1" si="160"/>
        <v>-109.42822597682932</v>
      </c>
      <c r="AD363" s="72">
        <f t="shared" ca="1" si="161"/>
        <v>70.571774023170676</v>
      </c>
    </row>
    <row r="364" spans="1:30">
      <c r="A364" s="118">
        <v>29176</v>
      </c>
      <c r="B364" s="101">
        <f t="shared" ca="1" si="135"/>
        <v>1626.5379817318742</v>
      </c>
      <c r="C364" s="102">
        <f t="shared" ca="1" si="136"/>
        <v>1.5701815240210122</v>
      </c>
      <c r="D364" s="102">
        <f t="shared" si="137"/>
        <v>1.3199799204788063</v>
      </c>
      <c r="E364" s="103">
        <f t="shared" si="138"/>
        <v>0.71118751080765086</v>
      </c>
      <c r="F364" s="101">
        <f t="shared" si="139"/>
        <v>9972.5109087541441</v>
      </c>
      <c r="G364" s="104">
        <f t="shared" si="140"/>
        <v>1.570696051146083</v>
      </c>
      <c r="H364" s="113">
        <f t="shared" si="141"/>
        <v>1246.5642584295722</v>
      </c>
      <c r="I364" s="114">
        <f t="shared" si="142"/>
        <v>1.5699941217737809</v>
      </c>
      <c r="J364" s="101">
        <f t="shared" si="143"/>
        <v>2.0881946197333634</v>
      </c>
      <c r="K364" s="104">
        <f t="shared" si="144"/>
        <v>1.0714149350934514</v>
      </c>
      <c r="L364" s="102">
        <f t="shared" si="145"/>
        <v>1</v>
      </c>
      <c r="M364" s="103">
        <f t="shared" si="146"/>
        <v>1.1915683930331999E-9</v>
      </c>
      <c r="N364" s="101">
        <f t="shared" si="147"/>
        <v>1</v>
      </c>
      <c r="O364" s="104">
        <f t="shared" si="148"/>
        <v>1.5887578573775997E-10</v>
      </c>
      <c r="P364" s="105">
        <f t="shared" ca="1" si="149"/>
        <v>1.8418736143340877</v>
      </c>
      <c r="Q364" s="106">
        <f t="shared" ca="1" si="150"/>
        <v>1.0509929563531073</v>
      </c>
      <c r="R364" s="107">
        <f t="shared" ca="1" si="151"/>
        <v>-20.250212110511509</v>
      </c>
      <c r="S364" s="108">
        <f t="shared" ca="1" si="152"/>
        <v>-170.86196389589691</v>
      </c>
      <c r="T364" s="116">
        <f t="shared" ca="1" si="153"/>
        <v>9.1380361041030937</v>
      </c>
      <c r="V364" s="72">
        <f t="shared" ca="1" si="154"/>
        <v>29176</v>
      </c>
      <c r="W364" s="72">
        <f t="shared" si="155"/>
        <v>851238976</v>
      </c>
      <c r="Y364" s="110">
        <f t="shared" si="156"/>
        <v>39.62518321521523</v>
      </c>
      <c r="Z364" s="111">
        <f t="shared" si="157"/>
        <v>-61.427771489709478</v>
      </c>
      <c r="AA364" s="72">
        <f t="shared" si="158"/>
        <v>118.57222851029053</v>
      </c>
      <c r="AB364" s="110">
        <f t="shared" ca="1" si="159"/>
        <v>-42.374170057892741</v>
      </c>
      <c r="AC364" s="111">
        <f t="shared" ca="1" si="160"/>
        <v>-109.43419240618745</v>
      </c>
      <c r="AD364" s="72">
        <f t="shared" ca="1" si="161"/>
        <v>70.565807593812551</v>
      </c>
    </row>
    <row r="365" spans="1:30">
      <c r="A365" s="118">
        <v>29344</v>
      </c>
      <c r="B365" s="101">
        <f t="shared" ca="1" si="135"/>
        <v>1635.9038399009091</v>
      </c>
      <c r="C365" s="102">
        <f t="shared" ca="1" si="136"/>
        <v>1.5701850438833422</v>
      </c>
      <c r="D365" s="102">
        <f t="shared" si="137"/>
        <v>1.3232236037878209</v>
      </c>
      <c r="E365" s="103">
        <f t="shared" si="138"/>
        <v>0.71402796001376134</v>
      </c>
      <c r="F365" s="101">
        <f t="shared" si="139"/>
        <v>10029.934195560858</v>
      </c>
      <c r="G365" s="104">
        <f t="shared" si="140"/>
        <v>1.5706966252433052</v>
      </c>
      <c r="H365" s="113">
        <f t="shared" si="141"/>
        <v>1253.7421670199044</v>
      </c>
      <c r="I365" s="114">
        <f t="shared" si="142"/>
        <v>1.569998714548666</v>
      </c>
      <c r="J365" s="101">
        <f t="shared" si="143"/>
        <v>2.0974673831467667</v>
      </c>
      <c r="K365" s="104">
        <f t="shared" si="144"/>
        <v>1.0738249702700005</v>
      </c>
      <c r="L365" s="102">
        <f t="shared" si="145"/>
        <v>1</v>
      </c>
      <c r="M365" s="103">
        <f t="shared" si="146"/>
        <v>1.1984296313808E-9</v>
      </c>
      <c r="N365" s="101">
        <f t="shared" si="147"/>
        <v>1</v>
      </c>
      <c r="O365" s="104">
        <f t="shared" si="148"/>
        <v>1.5979061751743997E-10</v>
      </c>
      <c r="P365" s="105">
        <f t="shared" ca="1" si="149"/>
        <v>1.849382371900119</v>
      </c>
      <c r="Q365" s="106">
        <f t="shared" ca="1" si="150"/>
        <v>1.0539266247666526</v>
      </c>
      <c r="R365" s="107">
        <f t="shared" ca="1" si="151"/>
        <v>-20.352587722167552</v>
      </c>
      <c r="S365" s="108">
        <f t="shared" ca="1" si="152"/>
        <v>-171.00536122695667</v>
      </c>
      <c r="T365" s="116">
        <f t="shared" ca="1" si="153"/>
        <v>8.9946387730433344</v>
      </c>
      <c r="V365" s="72">
        <f t="shared" ca="1" si="154"/>
        <v>29344</v>
      </c>
      <c r="W365" s="72">
        <f t="shared" si="155"/>
        <v>861070336</v>
      </c>
      <c r="Y365" s="110">
        <f t="shared" si="156"/>
        <v>39.586698312661916</v>
      </c>
      <c r="Z365" s="111">
        <f t="shared" si="157"/>
        <v>-61.565626080351322</v>
      </c>
      <c r="AA365" s="72">
        <f t="shared" si="158"/>
        <v>118.43437391964868</v>
      </c>
      <c r="AB365" s="110">
        <f t="shared" ca="1" si="159"/>
        <v>-42.438060766995463</v>
      </c>
      <c r="AC365" s="111">
        <f t="shared" ca="1" si="160"/>
        <v>-109.43973514660534</v>
      </c>
      <c r="AD365" s="72">
        <f t="shared" ca="1" si="161"/>
        <v>70.560264853394656</v>
      </c>
    </row>
    <row r="366" spans="1:30">
      <c r="A366" s="118">
        <v>29512</v>
      </c>
      <c r="B366" s="101">
        <f t="shared" ca="1" si="135"/>
        <v>1645.2696980899814</v>
      </c>
      <c r="C366" s="102">
        <f t="shared" ca="1" si="136"/>
        <v>1.5701885236713531</v>
      </c>
      <c r="D366" s="102">
        <f t="shared" si="137"/>
        <v>1.3264779108028428</v>
      </c>
      <c r="E366" s="103">
        <f t="shared" si="138"/>
        <v>0.71685449473205309</v>
      </c>
      <c r="F366" s="101">
        <f t="shared" si="139"/>
        <v>10087.357482370837</v>
      </c>
      <c r="G366" s="104">
        <f t="shared" si="140"/>
        <v>1.5706971928043163</v>
      </c>
      <c r="H366" s="113">
        <f t="shared" si="141"/>
        <v>1260.9200756363814</v>
      </c>
      <c r="I366" s="114">
        <f t="shared" si="142"/>
        <v>1.5700032550339269</v>
      </c>
      <c r="J366" s="101">
        <f t="shared" si="143"/>
        <v>2.1067522219323531</v>
      </c>
      <c r="K366" s="104">
        <f t="shared" si="144"/>
        <v>1.0762137762962602</v>
      </c>
      <c r="L366" s="102">
        <f t="shared" si="145"/>
        <v>1</v>
      </c>
      <c r="M366" s="103">
        <f t="shared" si="146"/>
        <v>1.2052908697283998E-9</v>
      </c>
      <c r="N366" s="101">
        <f t="shared" si="147"/>
        <v>1</v>
      </c>
      <c r="O366" s="104">
        <f t="shared" si="148"/>
        <v>1.6070544929711998E-10</v>
      </c>
      <c r="P366" s="105">
        <f t="shared" ca="1" si="149"/>
        <v>1.8569041420645456</v>
      </c>
      <c r="Q366" s="106">
        <f t="shared" ca="1" si="150"/>
        <v>1.0568391896314422</v>
      </c>
      <c r="R366" s="107">
        <f t="shared" ca="1" si="151"/>
        <v>-20.454458957242426</v>
      </c>
      <c r="S366" s="108">
        <f t="shared" ca="1" si="152"/>
        <v>-171.14713063983808</v>
      </c>
      <c r="T366" s="116">
        <f t="shared" ca="1" si="153"/>
        <v>8.8528693601619182</v>
      </c>
      <c r="V366" s="72">
        <f t="shared" ca="1" si="154"/>
        <v>29512</v>
      </c>
      <c r="W366" s="72">
        <f t="shared" si="155"/>
        <v>870958144</v>
      </c>
      <c r="Y366" s="110">
        <f t="shared" si="156"/>
        <v>39.548333389516166</v>
      </c>
      <c r="Z366" s="111">
        <f t="shared" si="157"/>
        <v>-61.702266951755057</v>
      </c>
      <c r="AA366" s="72">
        <f t="shared" si="158"/>
        <v>118.29773304824494</v>
      </c>
      <c r="AB366" s="110">
        <f t="shared" ca="1" si="159"/>
        <v>-42.501567078924587</v>
      </c>
      <c r="AC366" s="111">
        <f t="shared" ca="1" si="160"/>
        <v>-109.44486368808305</v>
      </c>
      <c r="AD366" s="72">
        <f t="shared" ca="1" si="161"/>
        <v>70.555136311916954</v>
      </c>
    </row>
    <row r="367" spans="1:30">
      <c r="A367" s="118">
        <v>29684</v>
      </c>
      <c r="B367" s="101">
        <f t="shared" ca="1" si="135"/>
        <v>1654.8585529230061</v>
      </c>
      <c r="C367" s="102">
        <f t="shared" ca="1" si="136"/>
        <v>1.5701920455050589</v>
      </c>
      <c r="D367" s="102">
        <f t="shared" si="137"/>
        <v>1.3298206260087932</v>
      </c>
      <c r="E367" s="103">
        <f t="shared" si="138"/>
        <v>0.71973397220885382</v>
      </c>
      <c r="F367" s="101">
        <f t="shared" si="139"/>
        <v>10146.147990298667</v>
      </c>
      <c r="G367" s="104">
        <f t="shared" si="140"/>
        <v>1.5706977672230695</v>
      </c>
      <c r="H367" s="113">
        <f t="shared" si="141"/>
        <v>1268.2688868655873</v>
      </c>
      <c r="I367" s="114">
        <f t="shared" si="142"/>
        <v>1.5700078503811234</v>
      </c>
      <c r="J367" s="101">
        <f t="shared" si="143"/>
        <v>2.1162704723998247</v>
      </c>
      <c r="K367" s="104">
        <f t="shared" si="144"/>
        <v>1.0786377288068747</v>
      </c>
      <c r="L367" s="102">
        <f t="shared" si="145"/>
        <v>1</v>
      </c>
      <c r="M367" s="103">
        <f t="shared" si="146"/>
        <v>1.2123154708938E-9</v>
      </c>
      <c r="N367" s="101">
        <f t="shared" si="147"/>
        <v>1</v>
      </c>
      <c r="O367" s="104">
        <f t="shared" si="148"/>
        <v>1.6164206278583997E-10</v>
      </c>
      <c r="P367" s="105">
        <f t="shared" ca="1" si="149"/>
        <v>1.8646183279530621</v>
      </c>
      <c r="Q367" s="106">
        <f t="shared" ca="1" si="150"/>
        <v>1.0597994670727606</v>
      </c>
      <c r="R367" s="107">
        <f t="shared" ca="1" si="151"/>
        <v>-20.558237245551226</v>
      </c>
      <c r="S367" s="108">
        <f t="shared" ca="1" si="152"/>
        <v>-171.29061378918121</v>
      </c>
      <c r="T367" s="116">
        <f t="shared" ca="1" si="153"/>
        <v>8.7093862108187921</v>
      </c>
      <c r="V367" s="72">
        <f t="shared" ca="1" si="154"/>
        <v>29684</v>
      </c>
      <c r="W367" s="72">
        <f t="shared" si="155"/>
        <v>881139856</v>
      </c>
      <c r="Y367" s="110">
        <f t="shared" si="156"/>
        <v>39.509179122681999</v>
      </c>
      <c r="Z367" s="111">
        <f t="shared" si="157"/>
        <v>-61.840918817933471</v>
      </c>
      <c r="AA367" s="72">
        <f t="shared" si="158"/>
        <v>118.15908118206653</v>
      </c>
      <c r="AB367" s="110">
        <f t="shared" ca="1" si="159"/>
        <v>-42.566191100399223</v>
      </c>
      <c r="AC367" s="111">
        <f t="shared" ca="1" si="160"/>
        <v>-109.44969497124772</v>
      </c>
      <c r="AD367" s="72">
        <f t="shared" ca="1" si="161"/>
        <v>70.550305028752277</v>
      </c>
    </row>
    <row r="368" spans="1:30">
      <c r="A368" s="118">
        <v>29856</v>
      </c>
      <c r="B368" s="101">
        <f t="shared" ca="1" si="135"/>
        <v>1664.4474077763198</v>
      </c>
      <c r="C368" s="102">
        <f t="shared" ca="1" si="136"/>
        <v>1.5701955267603096</v>
      </c>
      <c r="D368" s="102">
        <f t="shared" si="137"/>
        <v>1.3331743119316537</v>
      </c>
      <c r="E368" s="103">
        <f t="shared" si="138"/>
        <v>0.72259898631882813</v>
      </c>
      <c r="F368" s="101">
        <f t="shared" si="139"/>
        <v>10204.938498229807</v>
      </c>
      <c r="G368" s="104">
        <f t="shared" si="140"/>
        <v>1.5706983350233858</v>
      </c>
      <c r="H368" s="113">
        <f t="shared" si="141"/>
        <v>1275.6176981212673</v>
      </c>
      <c r="I368" s="114">
        <f t="shared" si="142"/>
        <v>1.5700123927808904</v>
      </c>
      <c r="J368" s="101">
        <f t="shared" si="143"/>
        <v>2.1258010457205523</v>
      </c>
      <c r="K368" s="104">
        <f t="shared" si="144"/>
        <v>1.0810399607836891</v>
      </c>
      <c r="L368" s="102">
        <f t="shared" si="145"/>
        <v>1</v>
      </c>
      <c r="M368" s="103">
        <f t="shared" si="146"/>
        <v>1.2193400720591999E-9</v>
      </c>
      <c r="N368" s="101">
        <f t="shared" si="147"/>
        <v>1</v>
      </c>
      <c r="O368" s="104">
        <f t="shared" si="148"/>
        <v>1.6257867627455997E-10</v>
      </c>
      <c r="P368" s="105">
        <f t="shared" ca="1" si="149"/>
        <v>1.8723458407948652</v>
      </c>
      <c r="Q368" s="106">
        <f t="shared" ca="1" si="150"/>
        <v>1.0627380867367711</v>
      </c>
      <c r="R368" s="107">
        <f t="shared" ca="1" si="151"/>
        <v>-20.661495106967912</v>
      </c>
      <c r="S368" s="108">
        <f t="shared" ca="1" si="152"/>
        <v>-171.43244056373169</v>
      </c>
      <c r="T368" s="116">
        <f t="shared" ca="1" si="153"/>
        <v>8.5675594362683114</v>
      </c>
      <c r="V368" s="72">
        <f t="shared" ca="1" si="154"/>
        <v>29856</v>
      </c>
      <c r="W368" s="72">
        <f t="shared" si="155"/>
        <v>891380736</v>
      </c>
      <c r="Y368" s="110">
        <f t="shared" si="156"/>
        <v>39.470150213459014</v>
      </c>
      <c r="Z368" s="111">
        <f t="shared" si="157"/>
        <v>-61.978328843650736</v>
      </c>
      <c r="AA368" s="72">
        <f t="shared" si="158"/>
        <v>118.02167115634927</v>
      </c>
      <c r="AB368" s="110">
        <f t="shared" ca="1" si="159"/>
        <v>-42.630420052592932</v>
      </c>
      <c r="AC368" s="111">
        <f t="shared" ca="1" si="160"/>
        <v>-109.45411172008103</v>
      </c>
      <c r="AD368" s="72">
        <f t="shared" ca="1" si="161"/>
        <v>70.545888279918969</v>
      </c>
    </row>
    <row r="369" spans="1:30">
      <c r="A369" s="118">
        <v>30028</v>
      </c>
      <c r="B369" s="101">
        <f t="shared" ca="1" si="135"/>
        <v>1674.0362626495742</v>
      </c>
      <c r="C369" s="102">
        <f t="shared" ca="1" si="136"/>
        <v>1.5701989681344037</v>
      </c>
      <c r="D369" s="102">
        <f t="shared" si="137"/>
        <v>1.33653888598721</v>
      </c>
      <c r="E369" s="103">
        <f t="shared" si="138"/>
        <v>0.72544959908058693</v>
      </c>
      <c r="F369" s="101">
        <f t="shared" si="139"/>
        <v>10263.729006164198</v>
      </c>
      <c r="G369" s="104">
        <f t="shared" si="140"/>
        <v>1.5706988963189963</v>
      </c>
      <c r="H369" s="113">
        <f t="shared" si="141"/>
        <v>1282.9665094029658</v>
      </c>
      <c r="I369" s="114">
        <f t="shared" si="142"/>
        <v>1.5700168831430739</v>
      </c>
      <c r="J369" s="101">
        <f t="shared" si="143"/>
        <v>2.1353437768946142</v>
      </c>
      <c r="K369" s="104">
        <f t="shared" si="144"/>
        <v>1.0834207355181547</v>
      </c>
      <c r="L369" s="102">
        <f t="shared" si="145"/>
        <v>1</v>
      </c>
      <c r="M369" s="103">
        <f t="shared" si="146"/>
        <v>1.2263646732245998E-9</v>
      </c>
      <c r="N369" s="101">
        <f t="shared" si="147"/>
        <v>1</v>
      </c>
      <c r="O369" s="104">
        <f t="shared" si="148"/>
        <v>1.6351528976327999E-10</v>
      </c>
      <c r="P369" s="105">
        <f t="shared" ca="1" si="149"/>
        <v>1.8800865259297197</v>
      </c>
      <c r="Q369" s="106">
        <f t="shared" ca="1" si="150"/>
        <v>1.0656552787676343</v>
      </c>
      <c r="R369" s="107">
        <f t="shared" ca="1" si="151"/>
        <v>-20.764236662211765</v>
      </c>
      <c r="S369" s="108">
        <f t="shared" ca="1" si="152"/>
        <v>-171.57263567620146</v>
      </c>
      <c r="T369" s="116">
        <f t="shared" ca="1" si="153"/>
        <v>8.4273643237985425</v>
      </c>
      <c r="V369" s="72">
        <f t="shared" ca="1" si="154"/>
        <v>30028</v>
      </c>
      <c r="W369" s="72">
        <f t="shared" si="155"/>
        <v>901680784</v>
      </c>
      <c r="Y369" s="110">
        <f t="shared" si="156"/>
        <v>39.431246437228381</v>
      </c>
      <c r="Z369" s="111">
        <f t="shared" si="157"/>
        <v>-62.11451206878175</v>
      </c>
      <c r="AA369" s="72">
        <f t="shared" si="158"/>
        <v>117.88548793121825</v>
      </c>
      <c r="AB369" s="110">
        <f t="shared" ca="1" si="159"/>
        <v>-42.694257831606144</v>
      </c>
      <c r="AC369" s="111">
        <f t="shared" ca="1" si="160"/>
        <v>-109.45812360741968</v>
      </c>
      <c r="AD369" s="72">
        <f t="shared" ca="1" si="161"/>
        <v>70.54187639258032</v>
      </c>
    </row>
    <row r="370" spans="1:30">
      <c r="A370" s="118">
        <v>30200</v>
      </c>
      <c r="B370" s="101">
        <f t="shared" ca="1" si="135"/>
        <v>1683.6251175424286</v>
      </c>
      <c r="C370" s="102">
        <f t="shared" ca="1" si="136"/>
        <v>1.5702023703087538</v>
      </c>
      <c r="D370" s="102">
        <f t="shared" si="137"/>
        <v>1.3399142661539589</v>
      </c>
      <c r="E370" s="103">
        <f t="shared" si="138"/>
        <v>0.72828587282704094</v>
      </c>
      <c r="F370" s="101">
        <f t="shared" si="139"/>
        <v>10322.519514101788</v>
      </c>
      <c r="G370" s="104">
        <f t="shared" si="140"/>
        <v>1.570699451221041</v>
      </c>
      <c r="H370" s="113">
        <f t="shared" si="141"/>
        <v>1290.3153207102387</v>
      </c>
      <c r="I370" s="114">
        <f t="shared" si="142"/>
        <v>1.5700213223567916</v>
      </c>
      <c r="J370" s="101">
        <f t="shared" si="143"/>
        <v>2.1448985036498271</v>
      </c>
      <c r="K370" s="104">
        <f t="shared" si="144"/>
        <v>1.0857803125922123</v>
      </c>
      <c r="L370" s="102">
        <f t="shared" si="145"/>
        <v>1</v>
      </c>
      <c r="M370" s="103">
        <f t="shared" si="146"/>
        <v>1.23338927439E-9</v>
      </c>
      <c r="N370" s="101">
        <f t="shared" si="147"/>
        <v>1</v>
      </c>
      <c r="O370" s="104">
        <f t="shared" si="148"/>
        <v>1.6445190325199998E-10</v>
      </c>
      <c r="P370" s="105">
        <f t="shared" ca="1" si="149"/>
        <v>1.8878402310117299</v>
      </c>
      <c r="Q370" s="106">
        <f t="shared" ca="1" si="150"/>
        <v>1.0685512707056917</v>
      </c>
      <c r="R370" s="107">
        <f t="shared" ca="1" si="151"/>
        <v>-20.86646599568704</v>
      </c>
      <c r="S370" s="108">
        <f t="shared" ca="1" si="152"/>
        <v>-171.71122345969553</v>
      </c>
      <c r="T370" s="116">
        <f t="shared" ca="1" si="153"/>
        <v>8.2887765403044682</v>
      </c>
      <c r="V370" s="72">
        <f t="shared" ca="1" si="154"/>
        <v>30200</v>
      </c>
      <c r="W370" s="72">
        <f t="shared" si="155"/>
        <v>912040000</v>
      </c>
      <c r="Y370" s="110">
        <f t="shared" si="156"/>
        <v>39.392467556191193</v>
      </c>
      <c r="Z370" s="111">
        <f t="shared" si="157"/>
        <v>-62.249483321701319</v>
      </c>
      <c r="AA370" s="72">
        <f t="shared" si="158"/>
        <v>117.75051667829868</v>
      </c>
      <c r="AB370" s="110">
        <f t="shared" ca="1" si="159"/>
        <v>-42.757708284044227</v>
      </c>
      <c r="AC370" s="111">
        <f t="shared" ca="1" si="160"/>
        <v>-109.46174013799427</v>
      </c>
      <c r="AD370" s="72">
        <f t="shared" ca="1" si="161"/>
        <v>70.538259862005731</v>
      </c>
    </row>
    <row r="371" spans="1:30">
      <c r="A371" s="118">
        <v>30375.75</v>
      </c>
      <c r="B371" s="101">
        <f t="shared" ca="1" si="135"/>
        <v>1693.4230317915087</v>
      </c>
      <c r="C371" s="102">
        <f t="shared" ca="1" si="136"/>
        <v>1.5702058068602167</v>
      </c>
      <c r="D371" s="102">
        <f t="shared" si="137"/>
        <v>1.343374314784191</v>
      </c>
      <c r="E371" s="103">
        <f t="shared" si="138"/>
        <v>0.73116923774315534</v>
      </c>
      <c r="F371" s="101">
        <f t="shared" si="139"/>
        <v>10382.591791837773</v>
      </c>
      <c r="G371" s="104">
        <f t="shared" si="140"/>
        <v>1.5707000117300656</v>
      </c>
      <c r="H371" s="113">
        <f t="shared" si="141"/>
        <v>1297.8243532202334</v>
      </c>
      <c r="I371" s="114">
        <f t="shared" si="142"/>
        <v>1.5700258064263513</v>
      </c>
      <c r="J371" s="101">
        <f t="shared" si="143"/>
        <v>2.1546737703619558</v>
      </c>
      <c r="K371" s="104">
        <f t="shared" si="144"/>
        <v>1.088169704253346</v>
      </c>
      <c r="L371" s="102">
        <f t="shared" si="145"/>
        <v>1</v>
      </c>
      <c r="M371" s="103">
        <f t="shared" si="146"/>
        <v>1.2405670281970875E-9</v>
      </c>
      <c r="N371" s="101">
        <f t="shared" si="147"/>
        <v>1</v>
      </c>
      <c r="O371" s="104">
        <f t="shared" si="148"/>
        <v>1.6540893709294499E-10</v>
      </c>
      <c r="P371" s="105">
        <f t="shared" ca="1" si="149"/>
        <v>1.8957762776102138</v>
      </c>
      <c r="Q371" s="106">
        <f t="shared" ca="1" si="150"/>
        <v>1.0714887375962427</v>
      </c>
      <c r="R371" s="107">
        <f t="shared" ca="1" si="151"/>
        <v>-20.970399283374128</v>
      </c>
      <c r="S371" s="108">
        <f t="shared" ca="1" si="152"/>
        <v>-171.85119742851992</v>
      </c>
      <c r="T371" s="116">
        <f t="shared" ca="1" si="153"/>
        <v>8.1488025714800756</v>
      </c>
      <c r="V371" s="72">
        <f t="shared" ca="1" si="154"/>
        <v>30375.75</v>
      </c>
      <c r="W371" s="72">
        <f t="shared" si="155"/>
        <v>922686188.0625</v>
      </c>
      <c r="Y371" s="110">
        <f t="shared" si="156"/>
        <v>39.35297195410768</v>
      </c>
      <c r="Z371" s="111">
        <f t="shared" si="157"/>
        <v>-62.386160575828427</v>
      </c>
      <c r="AA371" s="72">
        <f t="shared" si="158"/>
        <v>117.61383942417157</v>
      </c>
      <c r="AB371" s="110">
        <f t="shared" ca="1" si="159"/>
        <v>-42.822145969647814</v>
      </c>
      <c r="AC371" s="111">
        <f t="shared" ca="1" si="160"/>
        <v>-109.4650368526915</v>
      </c>
      <c r="AD371" s="72">
        <f t="shared" ca="1" si="161"/>
        <v>70.534963147308503</v>
      </c>
    </row>
    <row r="372" spans="1:30">
      <c r="A372" s="118">
        <v>30551.5</v>
      </c>
      <c r="B372" s="101">
        <f t="shared" ca="1" si="135"/>
        <v>1703.2209460603581</v>
      </c>
      <c r="C372" s="102">
        <f t="shared" ca="1" si="136"/>
        <v>1.5702092038736073</v>
      </c>
      <c r="D372" s="102">
        <f t="shared" si="137"/>
        <v>1.3468454745127332</v>
      </c>
      <c r="E372" s="103">
        <f t="shared" si="138"/>
        <v>0.73403776409141341</v>
      </c>
      <c r="F372" s="101">
        <f t="shared" si="139"/>
        <v>10442.664069576982</v>
      </c>
      <c r="G372" s="104">
        <f t="shared" si="140"/>
        <v>1.5707005657903421</v>
      </c>
      <c r="H372" s="113">
        <f t="shared" si="141"/>
        <v>1305.3333857560233</v>
      </c>
      <c r="I372" s="114">
        <f t="shared" si="142"/>
        <v>1.5700302389059886</v>
      </c>
      <c r="J372" s="101">
        <f t="shared" si="143"/>
        <v>2.1644612273676471</v>
      </c>
      <c r="K372" s="104">
        <f t="shared" si="144"/>
        <v>1.0905375001953779</v>
      </c>
      <c r="L372" s="102">
        <f t="shared" si="145"/>
        <v>1</v>
      </c>
      <c r="M372" s="103">
        <f t="shared" si="146"/>
        <v>1.2477447820041749E-9</v>
      </c>
      <c r="N372" s="101">
        <f t="shared" si="147"/>
        <v>1</v>
      </c>
      <c r="O372" s="104">
        <f t="shared" si="148"/>
        <v>1.6636597093388996E-10</v>
      </c>
      <c r="P372" s="105">
        <f t="shared" ca="1" si="149"/>
        <v>1.9037256037178825</v>
      </c>
      <c r="Q372" s="106">
        <f t="shared" ca="1" si="150"/>
        <v>1.0744045419891246</v>
      </c>
      <c r="R372" s="107">
        <f t="shared" ca="1" si="151"/>
        <v>-21.073806277788801</v>
      </c>
      <c r="S372" s="108">
        <f t="shared" ca="1" si="152"/>
        <v>-171.98954339243846</v>
      </c>
      <c r="T372" s="116">
        <f t="shared" ca="1" si="153"/>
        <v>8.0104566075615367</v>
      </c>
      <c r="V372" s="72">
        <f t="shared" ca="1" si="154"/>
        <v>30551.5</v>
      </c>
      <c r="W372" s="72">
        <f t="shared" si="155"/>
        <v>933394152.25</v>
      </c>
      <c r="Y372" s="110">
        <f t="shared" si="156"/>
        <v>39.31360621081388</v>
      </c>
      <c r="Z372" s="111">
        <f t="shared" si="157"/>
        <v>-62.521603072792857</v>
      </c>
      <c r="AA372" s="72">
        <f t="shared" si="158"/>
        <v>117.47839692720714</v>
      </c>
      <c r="AB372" s="110">
        <f t="shared" ca="1" si="159"/>
        <v>-42.886187220768676</v>
      </c>
      <c r="AC372" s="111">
        <f t="shared" ca="1" si="160"/>
        <v>-109.46794031964561</v>
      </c>
      <c r="AD372" s="72">
        <f t="shared" ca="1" si="161"/>
        <v>70.532059680354394</v>
      </c>
    </row>
    <row r="373" spans="1:30">
      <c r="A373" s="118">
        <v>30727.25</v>
      </c>
      <c r="B373" s="101">
        <f t="shared" ca="1" si="135"/>
        <v>1713.0188603486372</v>
      </c>
      <c r="C373" s="102">
        <f t="shared" ca="1" si="136"/>
        <v>1.5702125620273601</v>
      </c>
      <c r="D373" s="102">
        <f t="shared" si="137"/>
        <v>1.3503276596528366</v>
      </c>
      <c r="E373" s="103">
        <f t="shared" si="138"/>
        <v>0.73689151927868124</v>
      </c>
      <c r="F373" s="101">
        <f t="shared" si="139"/>
        <v>10502.736347319362</v>
      </c>
      <c r="G373" s="104">
        <f t="shared" si="140"/>
        <v>1.5707011135125251</v>
      </c>
      <c r="H373" s="113">
        <f t="shared" si="141"/>
        <v>1312.8424183171653</v>
      </c>
      <c r="I373" s="114">
        <f t="shared" si="142"/>
        <v>1.5700346206809357</v>
      </c>
      <c r="J373" s="101">
        <f t="shared" si="143"/>
        <v>2.1742607100427103</v>
      </c>
      <c r="K373" s="104">
        <f t="shared" si="144"/>
        <v>1.0928839656862901</v>
      </c>
      <c r="L373" s="102">
        <f t="shared" si="145"/>
        <v>1</v>
      </c>
      <c r="M373" s="103">
        <f t="shared" si="146"/>
        <v>1.2549225358112624E-9</v>
      </c>
      <c r="N373" s="101">
        <f t="shared" si="147"/>
        <v>1</v>
      </c>
      <c r="O373" s="104">
        <f t="shared" si="148"/>
        <v>1.6732300477483497E-10</v>
      </c>
      <c r="P373" s="105">
        <f t="shared" ca="1" si="149"/>
        <v>1.9116880540559824</v>
      </c>
      <c r="Q373" s="106">
        <f t="shared" ca="1" si="150"/>
        <v>1.0772989183469623</v>
      </c>
      <c r="R373" s="107">
        <f t="shared" ca="1" si="151"/>
        <v>-21.176691220861091</v>
      </c>
      <c r="S373" s="108">
        <f t="shared" ca="1" si="152"/>
        <v>-172.12628611626835</v>
      </c>
      <c r="T373" s="116">
        <f t="shared" ca="1" si="153"/>
        <v>7.8737138837316536</v>
      </c>
      <c r="V373" s="72">
        <f t="shared" ca="1" si="154"/>
        <v>30727.25</v>
      </c>
      <c r="W373" s="72">
        <f t="shared" si="155"/>
        <v>944163892.5625</v>
      </c>
      <c r="Y373" s="110">
        <f t="shared" si="156"/>
        <v>39.274370033397325</v>
      </c>
      <c r="Z373" s="111">
        <f t="shared" si="157"/>
        <v>-62.655825966950339</v>
      </c>
      <c r="AA373" s="72">
        <f t="shared" si="158"/>
        <v>117.34417403304965</v>
      </c>
      <c r="AB373" s="110">
        <f t="shared" ca="1" si="159"/>
        <v>-42.949835986424425</v>
      </c>
      <c r="AC373" s="111">
        <f t="shared" ca="1" si="160"/>
        <v>-109.470460149318</v>
      </c>
      <c r="AD373" s="72">
        <f t="shared" ca="1" si="161"/>
        <v>70.529539850681999</v>
      </c>
    </row>
    <row r="374" spans="1:30">
      <c r="A374" s="118">
        <v>30903</v>
      </c>
      <c r="B374" s="101">
        <f t="shared" ca="1" si="135"/>
        <v>1722.8167746560146</v>
      </c>
      <c r="C374" s="102">
        <f t="shared" ca="1" si="136"/>
        <v>1.5702158819844771</v>
      </c>
      <c r="D374" s="102">
        <f t="shared" si="137"/>
        <v>1.3538207851285657</v>
      </c>
      <c r="E374" s="103">
        <f t="shared" si="138"/>
        <v>0.73973057098178641</v>
      </c>
      <c r="F374" s="101">
        <f t="shared" si="139"/>
        <v>10562.808625064858</v>
      </c>
      <c r="G374" s="104">
        <f t="shared" si="140"/>
        <v>1.5707016550047517</v>
      </c>
      <c r="H374" s="113">
        <f t="shared" si="141"/>
        <v>1320.3514509032277</v>
      </c>
      <c r="I374" s="114">
        <f t="shared" si="142"/>
        <v>1.5700389526162879</v>
      </c>
      <c r="J374" s="101">
        <f t="shared" si="143"/>
        <v>2.1840720565170271</v>
      </c>
      <c r="K374" s="104">
        <f t="shared" si="144"/>
        <v>1.0952093621758248</v>
      </c>
      <c r="L374" s="102">
        <f t="shared" si="145"/>
        <v>1</v>
      </c>
      <c r="M374" s="103">
        <f t="shared" si="146"/>
        <v>1.2621002896183499E-9</v>
      </c>
      <c r="N374" s="101">
        <f t="shared" si="147"/>
        <v>1</v>
      </c>
      <c r="O374" s="104">
        <f t="shared" si="148"/>
        <v>1.6828003861577997E-10</v>
      </c>
      <c r="P374" s="105">
        <f t="shared" ca="1" si="149"/>
        <v>1.9196634757103666</v>
      </c>
      <c r="Q374" s="106">
        <f t="shared" ca="1" si="150"/>
        <v>1.080172098387749</v>
      </c>
      <c r="R374" s="107">
        <f t="shared" ca="1" si="151"/>
        <v>-21.27905831626855</v>
      </c>
      <c r="S374" s="108">
        <f t="shared" ca="1" si="152"/>
        <v>-172.26144997345958</v>
      </c>
      <c r="T374" s="116">
        <f t="shared" ca="1" si="153"/>
        <v>7.7385500265404232</v>
      </c>
      <c r="V374" s="72">
        <f t="shared" ca="1" si="154"/>
        <v>30903</v>
      </c>
      <c r="W374" s="72">
        <f t="shared" si="155"/>
        <v>954995409</v>
      </c>
      <c r="Y374" s="110">
        <f t="shared" si="156"/>
        <v>39.235263116828172</v>
      </c>
      <c r="Z374" s="111">
        <f t="shared" si="157"/>
        <v>-62.788844194897223</v>
      </c>
      <c r="AA374" s="72">
        <f t="shared" si="158"/>
        <v>117.21115580510278</v>
      </c>
      <c r="AB374" s="110">
        <f t="shared" ca="1" si="159"/>
        <v>-43.013096165262724</v>
      </c>
      <c r="AC374" s="111">
        <f t="shared" ca="1" si="160"/>
        <v>-109.47260577856238</v>
      </c>
      <c r="AD374" s="72">
        <f t="shared" ca="1" si="161"/>
        <v>70.527394221437618</v>
      </c>
    </row>
    <row r="375" spans="1:30">
      <c r="A375" s="118">
        <v>31083</v>
      </c>
      <c r="B375" s="101">
        <f t="shared" ca="1" si="135"/>
        <v>1732.8516228992448</v>
      </c>
      <c r="C375" s="102">
        <f t="shared" ca="1" si="136"/>
        <v>1.5702192433087576</v>
      </c>
      <c r="D375" s="102">
        <f t="shared" si="137"/>
        <v>1.357409633750835</v>
      </c>
      <c r="E375" s="103">
        <f t="shared" si="138"/>
        <v>0.74262310670914133</v>
      </c>
      <c r="F375" s="101">
        <f t="shared" si="139"/>
        <v>10624.333575248336</v>
      </c>
      <c r="G375" s="104">
        <f t="shared" si="140"/>
        <v>1.5707022032440505</v>
      </c>
      <c r="H375" s="113">
        <f t="shared" si="141"/>
        <v>1328.0420675174712</v>
      </c>
      <c r="I375" s="114">
        <f t="shared" si="142"/>
        <v>1.5700433385282162</v>
      </c>
      <c r="J375" s="101">
        <f t="shared" si="143"/>
        <v>2.1941327930285075</v>
      </c>
      <c r="K375" s="104">
        <f t="shared" si="144"/>
        <v>1.0975694214211518</v>
      </c>
      <c r="L375" s="102">
        <f t="shared" si="145"/>
        <v>1</v>
      </c>
      <c r="M375" s="103">
        <f t="shared" si="146"/>
        <v>1.26945161641935E-9</v>
      </c>
      <c r="N375" s="101">
        <f t="shared" si="147"/>
        <v>1</v>
      </c>
      <c r="O375" s="104">
        <f t="shared" si="148"/>
        <v>1.6926021552257998E-10</v>
      </c>
      <c r="P375" s="105">
        <f t="shared" ca="1" si="149"/>
        <v>1.9278450479047098</v>
      </c>
      <c r="Q375" s="106">
        <f t="shared" ca="1" si="150"/>
        <v>1.0830930257855949</v>
      </c>
      <c r="R375" s="107">
        <f t="shared" ca="1" si="151"/>
        <v>-21.383368430256358</v>
      </c>
      <c r="S375" s="108">
        <f t="shared" ca="1" si="152"/>
        <v>-172.39827083755151</v>
      </c>
      <c r="T375" s="116">
        <f t="shared" ca="1" si="153"/>
        <v>7.6017291624484926</v>
      </c>
      <c r="V375" s="72">
        <f t="shared" ca="1" si="154"/>
        <v>31083</v>
      </c>
      <c r="W375" s="72">
        <f t="shared" si="155"/>
        <v>966152889</v>
      </c>
      <c r="Y375" s="110">
        <f t="shared" si="156"/>
        <v>39.19534417021594</v>
      </c>
      <c r="Z375" s="111">
        <f t="shared" si="157"/>
        <v>-62.923845746399671</v>
      </c>
      <c r="AA375" s="72">
        <f t="shared" si="158"/>
        <v>117.07615425360032</v>
      </c>
      <c r="AB375" s="110">
        <f t="shared" ca="1" si="159"/>
        <v>-43.077487332638292</v>
      </c>
      <c r="AC375" s="111">
        <f t="shared" ca="1" si="160"/>
        <v>-109.47442509115177</v>
      </c>
      <c r="AD375" s="72">
        <f t="shared" ca="1" si="161"/>
        <v>70.525574908848228</v>
      </c>
    </row>
    <row r="376" spans="1:30">
      <c r="A376" s="118">
        <v>31263</v>
      </c>
      <c r="B376" s="101">
        <f t="shared" ca="1" si="135"/>
        <v>1742.886471161828</v>
      </c>
      <c r="C376" s="102">
        <f t="shared" ca="1" si="136"/>
        <v>1.5702225659266971</v>
      </c>
      <c r="D376" s="102">
        <f t="shared" si="137"/>
        <v>1.3610097795472171</v>
      </c>
      <c r="E376" s="103">
        <f t="shared" si="138"/>
        <v>0.74550036372134842</v>
      </c>
      <c r="F376" s="101">
        <f t="shared" si="139"/>
        <v>10685.858525434973</v>
      </c>
      <c r="G376" s="104">
        <f t="shared" si="140"/>
        <v>1.5707027451702589</v>
      </c>
      <c r="H376" s="113">
        <f t="shared" si="141"/>
        <v>1335.7326841569673</v>
      </c>
      <c r="I376" s="114">
        <f t="shared" si="142"/>
        <v>1.5700476739354776</v>
      </c>
      <c r="J376" s="101">
        <f t="shared" si="143"/>
        <v>2.2042056389940416</v>
      </c>
      <c r="K376" s="104">
        <f t="shared" si="144"/>
        <v>1.099907923451652</v>
      </c>
      <c r="L376" s="102">
        <f t="shared" si="145"/>
        <v>1</v>
      </c>
      <c r="M376" s="103">
        <f t="shared" si="146"/>
        <v>1.2768029432203498E-9</v>
      </c>
      <c r="N376" s="101">
        <f t="shared" si="147"/>
        <v>1</v>
      </c>
      <c r="O376" s="104">
        <f t="shared" si="148"/>
        <v>1.7024039242937999E-10</v>
      </c>
      <c r="P376" s="105">
        <f t="shared" ca="1" si="149"/>
        <v>1.9360399091065748</v>
      </c>
      <c r="Q376" s="106">
        <f t="shared" ca="1" si="150"/>
        <v>1.085992202610484</v>
      </c>
      <c r="R376" s="107">
        <f t="shared" ca="1" si="151"/>
        <v>-21.48714415242636</v>
      </c>
      <c r="S376" s="108">
        <f t="shared" ca="1" si="152"/>
        <v>-172.53348606835661</v>
      </c>
      <c r="T376" s="116">
        <f t="shared" ca="1" si="153"/>
        <v>7.4665139316433908</v>
      </c>
      <c r="V376" s="72">
        <f t="shared" ca="1" si="154"/>
        <v>31263</v>
      </c>
      <c r="W376" s="72">
        <f t="shared" si="155"/>
        <v>977375169</v>
      </c>
      <c r="Y376" s="110">
        <f t="shared" si="156"/>
        <v>39.15556012725726</v>
      </c>
      <c r="Z376" s="111">
        <f t="shared" si="157"/>
        <v>-63.057614692463915</v>
      </c>
      <c r="AA376" s="72">
        <f t="shared" si="158"/>
        <v>116.94238530753609</v>
      </c>
      <c r="AB376" s="110">
        <f t="shared" ca="1" si="159"/>
        <v>-43.141479011849626</v>
      </c>
      <c r="AC376" s="111">
        <f t="shared" ca="1" si="160"/>
        <v>-109.47587137589267</v>
      </c>
      <c r="AD376" s="72">
        <f t="shared" ca="1" si="161"/>
        <v>70.524128624107334</v>
      </c>
    </row>
    <row r="377" spans="1:30">
      <c r="A377" s="118">
        <v>31443</v>
      </c>
      <c r="B377" s="101">
        <f t="shared" ca="1" si="135"/>
        <v>1752.9213194434321</v>
      </c>
      <c r="C377" s="102">
        <f t="shared" ca="1" si="136"/>
        <v>1.5702258505030353</v>
      </c>
      <c r="D377" s="102">
        <f t="shared" si="137"/>
        <v>1.3646211331050435</v>
      </c>
      <c r="E377" s="103">
        <f t="shared" si="138"/>
        <v>0.74836241549205096</v>
      </c>
      <c r="F377" s="101">
        <f t="shared" si="139"/>
        <v>10747.383475624712</v>
      </c>
      <c r="G377" s="104">
        <f t="shared" si="140"/>
        <v>1.5707032808917973</v>
      </c>
      <c r="H377" s="113">
        <f t="shared" si="141"/>
        <v>1343.4233008212821</v>
      </c>
      <c r="I377" s="114">
        <f t="shared" si="142"/>
        <v>1.5700519597054352</v>
      </c>
      <c r="J377" s="101">
        <f t="shared" si="143"/>
        <v>2.2142904291552812</v>
      </c>
      <c r="K377" s="104">
        <f t="shared" si="144"/>
        <v>1.1022251370562306</v>
      </c>
      <c r="L377" s="102">
        <f t="shared" si="145"/>
        <v>1</v>
      </c>
      <c r="M377" s="103">
        <f t="shared" si="146"/>
        <v>1.2841542700213499E-9</v>
      </c>
      <c r="N377" s="101">
        <f t="shared" si="147"/>
        <v>1</v>
      </c>
      <c r="O377" s="104">
        <f t="shared" si="148"/>
        <v>1.7122056933617997E-10</v>
      </c>
      <c r="P377" s="105">
        <f t="shared" ca="1" si="149"/>
        <v>1.944247902500263</v>
      </c>
      <c r="Q377" s="106">
        <f t="shared" ca="1" si="150"/>
        <v>1.088869869010501</v>
      </c>
      <c r="R377" s="107">
        <f t="shared" ca="1" si="151"/>
        <v>-21.590389876189931</v>
      </c>
      <c r="S377" s="108">
        <f t="shared" ca="1" si="152"/>
        <v>-172.66712061068961</v>
      </c>
      <c r="T377" s="116">
        <f t="shared" ca="1" si="153"/>
        <v>7.3328793893103921</v>
      </c>
      <c r="V377" s="72">
        <f t="shared" ca="1" si="154"/>
        <v>31443</v>
      </c>
      <c r="W377" s="72">
        <f t="shared" si="155"/>
        <v>988662249</v>
      </c>
      <c r="Y377" s="110">
        <f t="shared" si="156"/>
        <v>39.115910624099271</v>
      </c>
      <c r="Z377" s="111">
        <f t="shared" si="157"/>
        <v>-63.190166390075603</v>
      </c>
      <c r="AA377" s="72">
        <f t="shared" si="158"/>
        <v>116.8098336099244</v>
      </c>
      <c r="AB377" s="110">
        <f t="shared" ca="1" si="159"/>
        <v>-43.205075232455201</v>
      </c>
      <c r="AC377" s="111">
        <f t="shared" ca="1" si="160"/>
        <v>-109.47695422061398</v>
      </c>
      <c r="AD377" s="72">
        <f t="shared" ca="1" si="161"/>
        <v>70.523045779386024</v>
      </c>
    </row>
    <row r="378" spans="1:30">
      <c r="A378" s="118">
        <v>31623</v>
      </c>
      <c r="B378" s="101">
        <f t="shared" ca="1" si="135"/>
        <v>1762.9561677437323</v>
      </c>
      <c r="C378" s="102">
        <f t="shared" ca="1" si="136"/>
        <v>1.5702290976873774</v>
      </c>
      <c r="D378" s="102">
        <f t="shared" si="137"/>
        <v>1.3682436056787401</v>
      </c>
      <c r="E378" s="103">
        <f t="shared" si="138"/>
        <v>0.75120933571681714</v>
      </c>
      <c r="F378" s="101">
        <f t="shared" si="139"/>
        <v>10808.908425817503</v>
      </c>
      <c r="G378" s="104">
        <f t="shared" si="140"/>
        <v>1.5707038105146183</v>
      </c>
      <c r="H378" s="113">
        <f t="shared" si="141"/>
        <v>1351.1139175099918</v>
      </c>
      <c r="I378" s="114">
        <f t="shared" si="142"/>
        <v>1.5700561966857036</v>
      </c>
      <c r="J378" s="101">
        <f t="shared" si="143"/>
        <v>2.2243870010566318</v>
      </c>
      <c r="K378" s="104">
        <f t="shared" si="144"/>
        <v>1.1045213270667706</v>
      </c>
      <c r="L378" s="102">
        <f t="shared" si="145"/>
        <v>1</v>
      </c>
      <c r="M378" s="103">
        <f t="shared" si="146"/>
        <v>1.29150559682235E-9</v>
      </c>
      <c r="N378" s="101">
        <f t="shared" si="147"/>
        <v>1</v>
      </c>
      <c r="O378" s="104">
        <f t="shared" si="148"/>
        <v>1.7220074624297998E-10</v>
      </c>
      <c r="P378" s="105">
        <f t="shared" ca="1" si="149"/>
        <v>1.952468873704448</v>
      </c>
      <c r="Q378" s="106">
        <f t="shared" ca="1" si="150"/>
        <v>1.0917262622247657</v>
      </c>
      <c r="R378" s="107">
        <f t="shared" ca="1" si="151"/>
        <v>-21.693109954283226</v>
      </c>
      <c r="S378" s="108">
        <f t="shared" ca="1" si="152"/>
        <v>-172.79919900338041</v>
      </c>
      <c r="T378" s="116">
        <f t="shared" ca="1" si="153"/>
        <v>7.2008009966195914</v>
      </c>
      <c r="V378" s="72">
        <f t="shared" ca="1" si="154"/>
        <v>31623</v>
      </c>
      <c r="W378" s="72">
        <f t="shared" si="155"/>
        <v>1000014129</v>
      </c>
      <c r="Y378" s="110">
        <f t="shared" si="156"/>
        <v>39.076395285772406</v>
      </c>
      <c r="Z378" s="111">
        <f t="shared" si="157"/>
        <v>-63.321515970489848</v>
      </c>
      <c r="AA378" s="72">
        <f t="shared" si="158"/>
        <v>116.67848402951014</v>
      </c>
      <c r="AB378" s="110">
        <f t="shared" ca="1" si="159"/>
        <v>-43.268279972221634</v>
      </c>
      <c r="AC378" s="111">
        <f t="shared" ca="1" si="160"/>
        <v>-109.47768303289052</v>
      </c>
      <c r="AD378" s="72">
        <f t="shared" ca="1" si="161"/>
        <v>70.522316967109475</v>
      </c>
    </row>
    <row r="379" spans="1:30">
      <c r="A379" s="118">
        <v>31807</v>
      </c>
      <c r="B379" s="101">
        <f t="shared" ca="1" si="135"/>
        <v>1773.2140126919214</v>
      </c>
      <c r="C379" s="102">
        <f t="shared" ca="1" si="136"/>
        <v>1.5702323790447386</v>
      </c>
      <c r="D379" s="102">
        <f t="shared" si="137"/>
        <v>1.3719579783298346</v>
      </c>
      <c r="E379" s="103">
        <f t="shared" si="138"/>
        <v>0.75410395811645614</v>
      </c>
      <c r="F379" s="101">
        <f t="shared" si="139"/>
        <v>10871.800597128784</v>
      </c>
      <c r="G379" s="104">
        <f t="shared" si="140"/>
        <v>1.5707043457111307</v>
      </c>
      <c r="H379" s="113">
        <f t="shared" si="141"/>
        <v>1358.9754368165666</v>
      </c>
      <c r="I379" s="114">
        <f t="shared" si="142"/>
        <v>1.5700604782555088</v>
      </c>
      <c r="J379" s="101">
        <f t="shared" si="143"/>
        <v>2.2347199523187404</v>
      </c>
      <c r="K379" s="104">
        <f t="shared" si="144"/>
        <v>1.1068470856232002</v>
      </c>
      <c r="L379" s="102">
        <f t="shared" si="145"/>
        <v>1</v>
      </c>
      <c r="M379" s="103">
        <f t="shared" si="146"/>
        <v>1.2990202864411499E-9</v>
      </c>
      <c r="N379" s="101">
        <f t="shared" si="147"/>
        <v>1</v>
      </c>
      <c r="O379" s="104">
        <f t="shared" si="148"/>
        <v>1.7320270485881998E-10</v>
      </c>
      <c r="P379" s="105">
        <f t="shared" ca="1" si="149"/>
        <v>1.9608857885247997</v>
      </c>
      <c r="Q379" s="106">
        <f t="shared" ca="1" si="150"/>
        <v>1.0946243873056107</v>
      </c>
      <c r="R379" s="107">
        <f t="shared" ca="1" si="151"/>
        <v>-21.797573893800713</v>
      </c>
      <c r="S379" s="108">
        <f t="shared" ca="1" si="152"/>
        <v>-172.93262919800938</v>
      </c>
      <c r="T379" s="116">
        <f t="shared" ca="1" si="153"/>
        <v>7.0673708019906201</v>
      </c>
      <c r="V379" s="72">
        <f t="shared" ca="1" si="154"/>
        <v>31807</v>
      </c>
      <c r="W379" s="72">
        <f t="shared" si="155"/>
        <v>1011685249</v>
      </c>
      <c r="Y379" s="110">
        <f t="shared" si="156"/>
        <v>39.03614009740491</v>
      </c>
      <c r="Z379" s="111">
        <f t="shared" si="157"/>
        <v>-63.454557468340418</v>
      </c>
      <c r="AA379" s="72">
        <f t="shared" si="158"/>
        <v>116.54544253165957</v>
      </c>
      <c r="AB379" s="110">
        <f t="shared" ca="1" si="159"/>
        <v>-43.332488723371618</v>
      </c>
      <c r="AC379" s="111">
        <f t="shared" ca="1" si="160"/>
        <v>-109.47807172966894</v>
      </c>
      <c r="AD379" s="72">
        <f t="shared" ca="1" si="161"/>
        <v>70.52192827033106</v>
      </c>
    </row>
    <row r="380" spans="1:30">
      <c r="A380" s="118">
        <v>31991</v>
      </c>
      <c r="B380" s="101">
        <f t="shared" ca="1" si="135"/>
        <v>1783.4718576589835</v>
      </c>
      <c r="C380" s="102">
        <f t="shared" ca="1" si="136"/>
        <v>1.570235622655886</v>
      </c>
      <c r="D380" s="102">
        <f t="shared" si="137"/>
        <v>1.3756837842640275</v>
      </c>
      <c r="E380" s="103">
        <f t="shared" si="138"/>
        <v>0.75698292534337297</v>
      </c>
      <c r="F380" s="101">
        <f t="shared" si="139"/>
        <v>10934.692768443143</v>
      </c>
      <c r="G380" s="104">
        <f t="shared" si="140"/>
        <v>1.5707048747511521</v>
      </c>
      <c r="H380" s="113">
        <f t="shared" si="141"/>
        <v>1366.8369561477673</v>
      </c>
      <c r="I380" s="114">
        <f t="shared" si="142"/>
        <v>1.5700647105734353</v>
      </c>
      <c r="J380" s="101">
        <f t="shared" si="143"/>
        <v>2.2450648802148021</v>
      </c>
      <c r="K380" s="104">
        <f t="shared" si="144"/>
        <v>1.1091514230437323</v>
      </c>
      <c r="L380" s="102">
        <f t="shared" si="145"/>
        <v>1</v>
      </c>
      <c r="M380" s="103">
        <f t="shared" si="146"/>
        <v>1.3065349760599498E-9</v>
      </c>
      <c r="N380" s="101">
        <f t="shared" si="147"/>
        <v>1</v>
      </c>
      <c r="O380" s="104">
        <f t="shared" si="148"/>
        <v>1.7420466347465998E-10</v>
      </c>
      <c r="P380" s="105">
        <f t="shared" ca="1" si="149"/>
        <v>1.9693159457421359</v>
      </c>
      <c r="Q380" s="106">
        <f t="shared" ca="1" si="150"/>
        <v>1.0975007753530357</v>
      </c>
      <c r="R380" s="107">
        <f t="shared" ca="1" si="151"/>
        <v>-21.901497635237988</v>
      </c>
      <c r="S380" s="108">
        <f t="shared" ca="1" si="152"/>
        <v>-173.06448389349271</v>
      </c>
      <c r="T380" s="116">
        <f t="shared" ca="1" si="153"/>
        <v>6.9355161065072934</v>
      </c>
      <c r="V380" s="72">
        <f t="shared" ca="1" si="154"/>
        <v>31991</v>
      </c>
      <c r="W380" s="72">
        <f t="shared" si="155"/>
        <v>1023424081</v>
      </c>
      <c r="Y380" s="110">
        <f t="shared" si="156"/>
        <v>38.996024277305551</v>
      </c>
      <c r="Z380" s="111">
        <f t="shared" si="157"/>
        <v>-63.586374094694087</v>
      </c>
      <c r="AA380" s="72">
        <f t="shared" si="158"/>
        <v>116.41362590530591</v>
      </c>
      <c r="AB380" s="110">
        <f t="shared" ca="1" si="159"/>
        <v>-43.396296644709537</v>
      </c>
      <c r="AC380" s="111">
        <f t="shared" ca="1" si="160"/>
        <v>-109.47810979879861</v>
      </c>
      <c r="AD380" s="72">
        <f t="shared" ca="1" si="161"/>
        <v>70.521890201201387</v>
      </c>
    </row>
    <row r="381" spans="1:30">
      <c r="A381" s="118">
        <v>32175</v>
      </c>
      <c r="B381" s="101">
        <f t="shared" ca="1" si="135"/>
        <v>1793.7297026445951</v>
      </c>
      <c r="C381" s="102">
        <f t="shared" ca="1" si="136"/>
        <v>1.5702388291684002</v>
      </c>
      <c r="D381" s="102">
        <f t="shared" si="137"/>
        <v>1.3794209308376781</v>
      </c>
      <c r="E381" s="103">
        <f t="shared" si="138"/>
        <v>0.75984631671952085</v>
      </c>
      <c r="F381" s="101">
        <f t="shared" si="139"/>
        <v>10997.584939760529</v>
      </c>
      <c r="G381" s="104">
        <f t="shared" si="140"/>
        <v>1.5707053977403036</v>
      </c>
      <c r="H381" s="113">
        <f t="shared" si="141"/>
        <v>1374.6984755031715</v>
      </c>
      <c r="I381" s="114">
        <f t="shared" si="142"/>
        <v>1.5700688944844572</v>
      </c>
      <c r="J381" s="101">
        <f t="shared" si="143"/>
        <v>2.255421619945372</v>
      </c>
      <c r="K381" s="104">
        <f t="shared" si="144"/>
        <v>1.1114346097799603</v>
      </c>
      <c r="L381" s="102">
        <f t="shared" si="145"/>
        <v>1</v>
      </c>
      <c r="M381" s="103">
        <f t="shared" si="146"/>
        <v>1.31404966567875E-9</v>
      </c>
      <c r="N381" s="101">
        <f t="shared" si="147"/>
        <v>1</v>
      </c>
      <c r="O381" s="104">
        <f t="shared" si="148"/>
        <v>1.7520662209049998E-10</v>
      </c>
      <c r="P381" s="105">
        <f t="shared" ca="1" si="149"/>
        <v>1.9777591880771166</v>
      </c>
      <c r="Q381" s="106">
        <f t="shared" ca="1" si="150"/>
        <v>1.1003556705390884</v>
      </c>
      <c r="R381" s="107">
        <f t="shared" ca="1" si="151"/>
        <v>-22.004885698467149</v>
      </c>
      <c r="S381" s="108">
        <f t="shared" ca="1" si="152"/>
        <v>-173.19478802552192</v>
      </c>
      <c r="T381" s="116">
        <f t="shared" ca="1" si="153"/>
        <v>6.8052119744780839</v>
      </c>
      <c r="V381" s="72">
        <f t="shared" ca="1" si="154"/>
        <v>32175</v>
      </c>
      <c r="W381" s="72">
        <f t="shared" si="155"/>
        <v>1035230625</v>
      </c>
      <c r="Y381" s="110">
        <f t="shared" si="156"/>
        <v>38.956047392215432</v>
      </c>
      <c r="Z381" s="111">
        <f t="shared" si="157"/>
        <v>-63.716981302923983</v>
      </c>
      <c r="AA381" s="72">
        <f t="shared" si="158"/>
        <v>116.28301869707602</v>
      </c>
      <c r="AB381" s="110">
        <f t="shared" ca="1" si="159"/>
        <v>-43.459707822848578</v>
      </c>
      <c r="AC381" s="111">
        <f t="shared" ca="1" si="160"/>
        <v>-109.4778067225979</v>
      </c>
      <c r="AD381" s="72">
        <f t="shared" ca="1" si="161"/>
        <v>70.522193277402096</v>
      </c>
    </row>
    <row r="382" spans="1:30">
      <c r="A382" s="118">
        <v>32359</v>
      </c>
      <c r="B382" s="101">
        <f t="shared" ca="1" si="135"/>
        <v>1803.9875476484392</v>
      </c>
      <c r="C382" s="102">
        <f t="shared" ca="1" si="136"/>
        <v>1.5702419992151322</v>
      </c>
      <c r="D382" s="102">
        <f t="shared" si="137"/>
        <v>1.3831693261279185</v>
      </c>
      <c r="E382" s="103">
        <f t="shared" si="138"/>
        <v>0.76269421173255625</v>
      </c>
      <c r="F382" s="101">
        <f t="shared" si="139"/>
        <v>11060.477111080887</v>
      </c>
      <c r="G382" s="104">
        <f t="shared" si="140"/>
        <v>1.5707059147818054</v>
      </c>
      <c r="H382" s="113">
        <f t="shared" si="141"/>
        <v>1382.559994882366</v>
      </c>
      <c r="I382" s="114">
        <f t="shared" si="142"/>
        <v>1.5700730308143285</v>
      </c>
      <c r="J382" s="101">
        <f t="shared" si="143"/>
        <v>2.2657900095376839</v>
      </c>
      <c r="K382" s="104">
        <f t="shared" si="144"/>
        <v>1.1136969122236116</v>
      </c>
      <c r="L382" s="102">
        <f t="shared" si="145"/>
        <v>1</v>
      </c>
      <c r="M382" s="103">
        <f t="shared" si="146"/>
        <v>1.3215643552975499E-9</v>
      </c>
      <c r="N382" s="101">
        <f t="shared" si="147"/>
        <v>1</v>
      </c>
      <c r="O382" s="104">
        <f t="shared" si="148"/>
        <v>1.7620858070633998E-10</v>
      </c>
      <c r="P382" s="105">
        <f t="shared" ca="1" si="149"/>
        <v>1.9862153607332835</v>
      </c>
      <c r="Q382" s="106">
        <f t="shared" ca="1" si="150"/>
        <v>1.1031893139871658</v>
      </c>
      <c r="R382" s="107">
        <f t="shared" ca="1" si="151"/>
        <v>-22.107742560451662</v>
      </c>
      <c r="S382" s="108">
        <f t="shared" ca="1" si="152"/>
        <v>-173.32356611312585</v>
      </c>
      <c r="T382" s="116">
        <f t="shared" ca="1" si="153"/>
        <v>6.6764338868741504</v>
      </c>
      <c r="V382" s="72">
        <f t="shared" ca="1" si="154"/>
        <v>32359</v>
      </c>
      <c r="W382" s="72">
        <f t="shared" si="155"/>
        <v>1047104881</v>
      </c>
      <c r="Y382" s="110">
        <f t="shared" si="156"/>
        <v>38.9162089988939</v>
      </c>
      <c r="Z382" s="111">
        <f t="shared" si="157"/>
        <v>-63.846394314753638</v>
      </c>
      <c r="AA382" s="72">
        <f t="shared" si="158"/>
        <v>116.15360568524636</v>
      </c>
      <c r="AB382" s="110">
        <f t="shared" ca="1" si="159"/>
        <v>-43.522726291511574</v>
      </c>
      <c r="AC382" s="111">
        <f t="shared" ca="1" si="160"/>
        <v>-109.47717179837223</v>
      </c>
      <c r="AD382" s="72">
        <f t="shared" ca="1" si="161"/>
        <v>70.522828201627775</v>
      </c>
    </row>
    <row r="383" spans="1:30">
      <c r="A383" s="118">
        <v>32547.5</v>
      </c>
      <c r="B383" s="101">
        <f t="shared" ca="1" si="135"/>
        <v>1814.4962638802006</v>
      </c>
      <c r="C383" s="102">
        <f t="shared" ca="1" si="136"/>
        <v>1.5702452096223083</v>
      </c>
      <c r="D383" s="102">
        <f t="shared" si="137"/>
        <v>1.3870209635225867</v>
      </c>
      <c r="E383" s="103">
        <f t="shared" si="138"/>
        <v>0.7655957701281052</v>
      </c>
      <c r="F383" s="101">
        <f t="shared" si="139"/>
        <v>11124.907406159395</v>
      </c>
      <c r="G383" s="104">
        <f t="shared" si="140"/>
        <v>1.5707064384061813</v>
      </c>
      <c r="H383" s="113">
        <f t="shared" si="141"/>
        <v>1390.6137797054093</v>
      </c>
      <c r="I383" s="114">
        <f t="shared" si="142"/>
        <v>1.5700772198071911</v>
      </c>
      <c r="J383" s="101">
        <f t="shared" si="143"/>
        <v>2.276423888175501</v>
      </c>
      <c r="K383" s="104">
        <f t="shared" si="144"/>
        <v>1.1159931603353521</v>
      </c>
      <c r="L383" s="102">
        <f t="shared" si="145"/>
        <v>1</v>
      </c>
      <c r="M383" s="103">
        <f t="shared" si="146"/>
        <v>1.3292628280863749E-9</v>
      </c>
      <c r="N383" s="101">
        <f t="shared" si="147"/>
        <v>1</v>
      </c>
      <c r="O383" s="104">
        <f t="shared" si="148"/>
        <v>1.7723504374484997E-10</v>
      </c>
      <c r="P383" s="105">
        <f t="shared" ca="1" si="149"/>
        <v>1.9948915912306773</v>
      </c>
      <c r="Q383" s="106">
        <f t="shared" ca="1" si="150"/>
        <v>1.1060704696961505</v>
      </c>
      <c r="R383" s="107">
        <f t="shared" ca="1" si="151"/>
        <v>-22.212568732053825</v>
      </c>
      <c r="S383" s="108">
        <f t="shared" ca="1" si="152"/>
        <v>-173.45393638321639</v>
      </c>
      <c r="T383" s="116">
        <f t="shared" ca="1" si="153"/>
        <v>6.5460636167836128</v>
      </c>
      <c r="V383" s="72">
        <f t="shared" ca="1" si="154"/>
        <v>32547.5</v>
      </c>
      <c r="W383" s="72">
        <f t="shared" si="155"/>
        <v>1059339756.25</v>
      </c>
      <c r="Y383" s="110">
        <f t="shared" si="156"/>
        <v>38.875539437413991</v>
      </c>
      <c r="Z383" s="111">
        <f t="shared" si="157"/>
        <v>-63.977749629894454</v>
      </c>
      <c r="AA383" s="72">
        <f t="shared" si="158"/>
        <v>116.02225037010555</v>
      </c>
      <c r="AB383" s="110">
        <f t="shared" ca="1" si="159"/>
        <v>-43.586882901633821</v>
      </c>
      <c r="AC383" s="111">
        <f t="shared" ca="1" si="160"/>
        <v>-109.47618675332197</v>
      </c>
      <c r="AD383" s="72">
        <f t="shared" ca="1" si="161"/>
        <v>70.523813246678031</v>
      </c>
    </row>
    <row r="384" spans="1:30">
      <c r="A384" s="118">
        <v>32736</v>
      </c>
      <c r="B384" s="101">
        <f t="shared" ca="1" si="135"/>
        <v>1825.0049801304483</v>
      </c>
      <c r="C384" s="102">
        <f t="shared" ca="1" si="136"/>
        <v>1.5702483830572478</v>
      </c>
      <c r="D384" s="102">
        <f t="shared" si="137"/>
        <v>1.3908842135725681</v>
      </c>
      <c r="E384" s="103">
        <f t="shared" si="138"/>
        <v>0.76848123425892922</v>
      </c>
      <c r="F384" s="101">
        <f t="shared" si="139"/>
        <v>11189.337701240918</v>
      </c>
      <c r="G384" s="104">
        <f t="shared" si="140"/>
        <v>1.5707069560003035</v>
      </c>
      <c r="H384" s="113">
        <f t="shared" si="141"/>
        <v>1398.6675645525738</v>
      </c>
      <c r="I384" s="114">
        <f t="shared" si="142"/>
        <v>1.5700813605580726</v>
      </c>
      <c r="J384" s="101">
        <f t="shared" si="143"/>
        <v>2.2870696581852279</v>
      </c>
      <c r="K384" s="104">
        <f t="shared" si="144"/>
        <v>1.1182680433620644</v>
      </c>
      <c r="L384" s="102">
        <f t="shared" si="145"/>
        <v>1</v>
      </c>
      <c r="M384" s="103">
        <f t="shared" si="146"/>
        <v>1.3369613008752E-9</v>
      </c>
      <c r="N384" s="101">
        <f t="shared" si="147"/>
        <v>1</v>
      </c>
      <c r="O384" s="104">
        <f t="shared" si="148"/>
        <v>1.7826150678335999E-10</v>
      </c>
      <c r="P384" s="105">
        <f t="shared" ca="1" si="149"/>
        <v>2.0035810711556299</v>
      </c>
      <c r="Q384" s="106">
        <f t="shared" ca="1" si="150"/>
        <v>1.1089298241137255</v>
      </c>
      <c r="R384" s="107">
        <f t="shared" ca="1" si="151"/>
        <v>-22.31684677772385</v>
      </c>
      <c r="S384" s="108">
        <f t="shared" ca="1" si="152"/>
        <v>-173.58275583576219</v>
      </c>
      <c r="T384" s="116">
        <f t="shared" ca="1" si="153"/>
        <v>6.4172441642378146</v>
      </c>
      <c r="V384" s="72">
        <f t="shared" ca="1" si="154"/>
        <v>32736</v>
      </c>
      <c r="W384" s="72">
        <f t="shared" si="155"/>
        <v>1071645696</v>
      </c>
      <c r="Y384" s="110">
        <f t="shared" si="156"/>
        <v>38.835014252864198</v>
      </c>
      <c r="Z384" s="111">
        <f t="shared" si="157"/>
        <v>-64.107883234386605</v>
      </c>
      <c r="AA384" s="72">
        <f t="shared" si="158"/>
        <v>115.89211676561339</v>
      </c>
      <c r="AB384" s="110">
        <f t="shared" ca="1" si="159"/>
        <v>-43.650635762754042</v>
      </c>
      <c r="AC384" s="111">
        <f t="shared" ca="1" si="160"/>
        <v>-109.47487260137557</v>
      </c>
      <c r="AD384" s="72">
        <f t="shared" ca="1" si="161"/>
        <v>70.525127398624434</v>
      </c>
    </row>
    <row r="385" spans="1:30">
      <c r="A385" s="118">
        <v>32924.5</v>
      </c>
      <c r="B385" s="101">
        <f t="shared" ca="1" si="135"/>
        <v>1835.5136963988643</v>
      </c>
      <c r="C385" s="102">
        <f t="shared" ca="1" si="136"/>
        <v>1.5702515201549729</v>
      </c>
      <c r="D385" s="102">
        <f t="shared" si="137"/>
        <v>1.3947589797825035</v>
      </c>
      <c r="E385" s="103">
        <f t="shared" si="138"/>
        <v>0.77135069001114664</v>
      </c>
      <c r="F385" s="101">
        <f t="shared" si="139"/>
        <v>11253.767996325405</v>
      </c>
      <c r="G385" s="104">
        <f t="shared" si="140"/>
        <v>1.5707074676677455</v>
      </c>
      <c r="H385" s="113">
        <f t="shared" si="141"/>
        <v>1406.7213494234447</v>
      </c>
      <c r="I385" s="114">
        <f t="shared" si="142"/>
        <v>1.57008545389556</v>
      </c>
      <c r="J385" s="101">
        <f t="shared" si="143"/>
        <v>2.2977271542824815</v>
      </c>
      <c r="K385" s="104">
        <f t="shared" si="144"/>
        <v>1.1205218348850139</v>
      </c>
      <c r="L385" s="102">
        <f t="shared" si="145"/>
        <v>1</v>
      </c>
      <c r="M385" s="103">
        <f t="shared" si="146"/>
        <v>1.3446597736640249E-9</v>
      </c>
      <c r="N385" s="101">
        <f t="shared" si="147"/>
        <v>1</v>
      </c>
      <c r="O385" s="104">
        <f t="shared" si="148"/>
        <v>1.7928796982186998E-10</v>
      </c>
      <c r="P385" s="105">
        <f t="shared" ca="1" si="149"/>
        <v>2.0122836419040455</v>
      </c>
      <c r="Q385" s="106">
        <f t="shared" ca="1" si="150"/>
        <v>1.1117676267521932</v>
      </c>
      <c r="R385" s="107">
        <f t="shared" ca="1" si="151"/>
        <v>-22.420581373330943</v>
      </c>
      <c r="S385" s="108">
        <f t="shared" ca="1" si="152"/>
        <v>-173.71004951574869</v>
      </c>
      <c r="T385" s="116">
        <f t="shared" ca="1" si="153"/>
        <v>6.2899504842513068</v>
      </c>
      <c r="V385" s="72">
        <f t="shared" ca="1" si="154"/>
        <v>32924.5</v>
      </c>
      <c r="W385" s="72">
        <f t="shared" si="155"/>
        <v>1084022700.25</v>
      </c>
      <c r="Y385" s="110">
        <f t="shared" si="156"/>
        <v>38.794632939302922</v>
      </c>
      <c r="Z385" s="111">
        <f t="shared" si="157"/>
        <v>-64.236810761741822</v>
      </c>
      <c r="AA385" s="72">
        <f t="shared" si="158"/>
        <v>115.76318923825818</v>
      </c>
      <c r="AB385" s="110">
        <f t="shared" ca="1" si="159"/>
        <v>-43.713989044799874</v>
      </c>
      <c r="AC385" s="111">
        <f t="shared" ca="1" si="160"/>
        <v>-109.47323875400696</v>
      </c>
      <c r="AD385" s="72">
        <f t="shared" ca="1" si="161"/>
        <v>70.526761245993043</v>
      </c>
    </row>
    <row r="386" spans="1:30">
      <c r="A386" s="118">
        <v>33113</v>
      </c>
      <c r="B386" s="101">
        <f t="shared" ca="1" si="135"/>
        <v>1846.022412685139</v>
      </c>
      <c r="C386" s="102">
        <f t="shared" ca="1" si="136"/>
        <v>1.5702546215360462</v>
      </c>
      <c r="D386" s="102">
        <f t="shared" si="137"/>
        <v>1.3986451664402839</v>
      </c>
      <c r="E386" s="103">
        <f t="shared" si="138"/>
        <v>0.77420422337504347</v>
      </c>
      <c r="F386" s="101">
        <f t="shared" si="139"/>
        <v>11318.198291412804</v>
      </c>
      <c r="G386" s="104">
        <f t="shared" si="140"/>
        <v>1.5707079735097222</v>
      </c>
      <c r="H386" s="113">
        <f t="shared" si="141"/>
        <v>1414.7751343176176</v>
      </c>
      <c r="I386" s="114">
        <f t="shared" si="142"/>
        <v>1.5700895006293736</v>
      </c>
      <c r="J386" s="101">
        <f t="shared" si="143"/>
        <v>2.3083962140548548</v>
      </c>
      <c r="K386" s="104">
        <f t="shared" si="144"/>
        <v>1.1227548042931115</v>
      </c>
      <c r="L386" s="102">
        <f t="shared" si="145"/>
        <v>1</v>
      </c>
      <c r="M386" s="103">
        <f t="shared" si="146"/>
        <v>1.3523582464528499E-9</v>
      </c>
      <c r="N386" s="101">
        <f t="shared" si="147"/>
        <v>1</v>
      </c>
      <c r="O386" s="104">
        <f t="shared" si="148"/>
        <v>1.8031443286037997E-10</v>
      </c>
      <c r="P386" s="105">
        <f t="shared" ca="1" si="149"/>
        <v>2.0209991474221858</v>
      </c>
      <c r="Q386" s="106">
        <f t="shared" ca="1" si="150"/>
        <v>1.1145841239116556</v>
      </c>
      <c r="R386" s="107">
        <f t="shared" ca="1" si="151"/>
        <v>-22.523777149112384</v>
      </c>
      <c r="S386" s="108">
        <f t="shared" ca="1" si="152"/>
        <v>-173.835842038061</v>
      </c>
      <c r="T386" s="116">
        <f t="shared" ca="1" si="153"/>
        <v>6.1641579619389972</v>
      </c>
      <c r="V386" s="72">
        <f t="shared" ca="1" si="154"/>
        <v>33113</v>
      </c>
      <c r="W386" s="72">
        <f t="shared" si="155"/>
        <v>1096470769</v>
      </c>
      <c r="Y386" s="110">
        <f t="shared" si="156"/>
        <v>38.754394981901342</v>
      </c>
      <c r="Z386" s="111">
        <f t="shared" si="157"/>
        <v>-64.36454760621335</v>
      </c>
      <c r="AA386" s="72">
        <f t="shared" si="158"/>
        <v>115.63545239378665</v>
      </c>
      <c r="AB386" s="110">
        <f t="shared" ca="1" si="159"/>
        <v>-43.776946863179731</v>
      </c>
      <c r="AC386" s="111">
        <f t="shared" ca="1" si="160"/>
        <v>-109.47129443184764</v>
      </c>
      <c r="AD386" s="72">
        <f t="shared" ca="1" si="161"/>
        <v>70.528705568152361</v>
      </c>
    </row>
    <row r="387" spans="1:30">
      <c r="A387" s="118">
        <v>33305.75</v>
      </c>
      <c r="B387" s="101">
        <f t="shared" ca="1" si="135"/>
        <v>1856.768062911138</v>
      </c>
      <c r="C387" s="102">
        <f t="shared" ca="1" si="136"/>
        <v>1.570257756540314</v>
      </c>
      <c r="D387" s="102">
        <f t="shared" si="137"/>
        <v>1.4026306833772964</v>
      </c>
      <c r="E387" s="103">
        <f t="shared" si="138"/>
        <v>0.77710571845164422</v>
      </c>
      <c r="F387" s="101">
        <f t="shared" si="139"/>
        <v>11384.081258938821</v>
      </c>
      <c r="G387" s="104">
        <f t="shared" si="140"/>
        <v>1.5707084848357133</v>
      </c>
      <c r="H387" s="113">
        <f t="shared" si="141"/>
        <v>1423.0105032450244</v>
      </c>
      <c r="I387" s="114">
        <f t="shared" si="142"/>
        <v>1.5700935912353025</v>
      </c>
      <c r="J387" s="101">
        <f t="shared" si="143"/>
        <v>2.3193176143532517</v>
      </c>
      <c r="K387" s="104">
        <f t="shared" si="144"/>
        <v>1.125016863903022</v>
      </c>
      <c r="L387" s="102">
        <f t="shared" si="145"/>
        <v>1</v>
      </c>
      <c r="M387" s="103">
        <f t="shared" si="146"/>
        <v>1.3602302922355874E-9</v>
      </c>
      <c r="N387" s="101">
        <f t="shared" si="147"/>
        <v>1</v>
      </c>
      <c r="O387" s="104">
        <f t="shared" si="148"/>
        <v>1.8136403896474499E-10</v>
      </c>
      <c r="P387" s="105">
        <f t="shared" ca="1" si="149"/>
        <v>2.0299243719280473</v>
      </c>
      <c r="Q387" s="106">
        <f t="shared" ca="1" si="150"/>
        <v>1.1174423448388864</v>
      </c>
      <c r="R387" s="107">
        <f t="shared" ca="1" si="151"/>
        <v>-22.628747217246598</v>
      </c>
      <c r="S387" s="108">
        <f t="shared" ca="1" si="152"/>
        <v>-173.96294362522852</v>
      </c>
      <c r="T387" s="116">
        <f t="shared" ca="1" si="153"/>
        <v>6.0370563747714812</v>
      </c>
      <c r="V387" s="72">
        <f t="shared" ca="1" si="154"/>
        <v>33305.75</v>
      </c>
      <c r="W387" s="72">
        <f t="shared" si="155"/>
        <v>1109272983.0625</v>
      </c>
      <c r="Y387" s="110">
        <f t="shared" si="156"/>
        <v>38.713397498325641</v>
      </c>
      <c r="Z387" s="111">
        <f t="shared" si="157"/>
        <v>-64.493948996991051</v>
      </c>
      <c r="AA387" s="72">
        <f t="shared" si="158"/>
        <v>115.50605100300895</v>
      </c>
      <c r="AB387" s="110">
        <f t="shared" ca="1" si="159"/>
        <v>-43.840919447738244</v>
      </c>
      <c r="AC387" s="111">
        <f t="shared" ca="1" si="160"/>
        <v>-109.46899462823741</v>
      </c>
      <c r="AD387" s="72">
        <f t="shared" ca="1" si="161"/>
        <v>70.531005371762589</v>
      </c>
    </row>
    <row r="388" spans="1:30">
      <c r="A388" s="118">
        <v>33498.5</v>
      </c>
      <c r="B388" s="101">
        <f t="shared" ca="1" si="135"/>
        <v>1867.5137131551762</v>
      </c>
      <c r="C388" s="102">
        <f t="shared" ca="1" si="136"/>
        <v>1.5702608554670321</v>
      </c>
      <c r="D388" s="102">
        <f t="shared" si="137"/>
        <v>1.4066279416316885</v>
      </c>
      <c r="E388" s="103">
        <f t="shared" si="138"/>
        <v>0.77999074716448558</v>
      </c>
      <c r="F388" s="101">
        <f t="shared" si="139"/>
        <v>11449.96422646778</v>
      </c>
      <c r="G388" s="104">
        <f t="shared" si="140"/>
        <v>1.5707089902773763</v>
      </c>
      <c r="H388" s="113">
        <f t="shared" si="141"/>
        <v>1431.2458721959686</v>
      </c>
      <c r="I388" s="114">
        <f t="shared" si="142"/>
        <v>1.5700976347666518</v>
      </c>
      <c r="J388" s="101">
        <f t="shared" si="143"/>
        <v>2.3302507711211149</v>
      </c>
      <c r="K388" s="104">
        <f t="shared" si="144"/>
        <v>1.1272577084597792</v>
      </c>
      <c r="L388" s="102">
        <f t="shared" si="145"/>
        <v>1</v>
      </c>
      <c r="M388" s="103">
        <f t="shared" si="146"/>
        <v>1.368102338018325E-9</v>
      </c>
      <c r="N388" s="101">
        <f t="shared" si="147"/>
        <v>1</v>
      </c>
      <c r="O388" s="104">
        <f t="shared" si="148"/>
        <v>1.8241364506910998E-10</v>
      </c>
      <c r="P388" s="105">
        <f t="shared" ca="1" si="149"/>
        <v>2.0388627989955523</v>
      </c>
      <c r="Q388" s="106">
        <f t="shared" ca="1" si="150"/>
        <v>1.1202787994817693</v>
      </c>
      <c r="R388" s="107">
        <f t="shared" ca="1" si="151"/>
        <v>-22.733163542366452</v>
      </c>
      <c r="S388" s="108">
        <f t="shared" ca="1" si="152"/>
        <v>-174.0885263092411</v>
      </c>
      <c r="T388" s="116">
        <f t="shared" ca="1" si="153"/>
        <v>5.9114736907588963</v>
      </c>
      <c r="V388" s="72">
        <f t="shared" ca="1" si="154"/>
        <v>33498.5</v>
      </c>
      <c r="W388" s="72">
        <f t="shared" si="155"/>
        <v>1122149502.25</v>
      </c>
      <c r="Y388" s="110">
        <f t="shared" si="156"/>
        <v>38.672548793002846</v>
      </c>
      <c r="Z388" s="111">
        <f t="shared" si="157"/>
        <v>-64.622137214787116</v>
      </c>
      <c r="AA388" s="72">
        <f t="shared" si="158"/>
        <v>115.37786278521288</v>
      </c>
      <c r="AB388" s="110">
        <f t="shared" ca="1" si="159"/>
        <v>-43.904487067535307</v>
      </c>
      <c r="AC388" s="111">
        <f t="shared" ca="1" si="160"/>
        <v>-109.46638909445397</v>
      </c>
      <c r="AD388" s="72">
        <f t="shared" ca="1" si="161"/>
        <v>70.533610905546027</v>
      </c>
    </row>
    <row r="389" spans="1:30">
      <c r="A389" s="118">
        <v>33691.25</v>
      </c>
      <c r="B389" s="101">
        <f t="shared" ca="1" si="135"/>
        <v>1878.2593634169434</v>
      </c>
      <c r="C389" s="102">
        <f t="shared" ca="1" si="136"/>
        <v>1.5702639189354071</v>
      </c>
      <c r="D389" s="102">
        <f t="shared" si="137"/>
        <v>1.4106368413909327</v>
      </c>
      <c r="E389" s="103">
        <f t="shared" si="138"/>
        <v>0.78285940167057766</v>
      </c>
      <c r="F389" s="101">
        <f t="shared" si="139"/>
        <v>11515.847193999631</v>
      </c>
      <c r="G389" s="104">
        <f t="shared" si="140"/>
        <v>1.570709489935705</v>
      </c>
      <c r="H389" s="113">
        <f t="shared" si="141"/>
        <v>1439.4812411700459</v>
      </c>
      <c r="I389" s="114">
        <f t="shared" si="142"/>
        <v>1.5701016320313714</v>
      </c>
      <c r="J389" s="101">
        <f t="shared" si="143"/>
        <v>2.3411955196537217</v>
      </c>
      <c r="K389" s="104">
        <f t="shared" si="144"/>
        <v>1.1294776128321284</v>
      </c>
      <c r="L389" s="102">
        <f t="shared" si="145"/>
        <v>1</v>
      </c>
      <c r="M389" s="103">
        <f t="shared" si="146"/>
        <v>1.3759743838010624E-9</v>
      </c>
      <c r="N389" s="101">
        <f t="shared" si="147"/>
        <v>1</v>
      </c>
      <c r="O389" s="104">
        <f t="shared" si="148"/>
        <v>1.8346325117347498E-10</v>
      </c>
      <c r="P389" s="105">
        <f t="shared" ca="1" si="149"/>
        <v>2.0478142697593915</v>
      </c>
      <c r="Q389" s="106">
        <f t="shared" ca="1" si="150"/>
        <v>1.1230937410009496</v>
      </c>
      <c r="R389" s="107">
        <f t="shared" ca="1" si="151"/>
        <v>-22.837030929626238</v>
      </c>
      <c r="S389" s="108">
        <f t="shared" ca="1" si="152"/>
        <v>-174.21261505871908</v>
      </c>
      <c r="T389" s="116">
        <f t="shared" ca="1" si="153"/>
        <v>5.7873849412809193</v>
      </c>
      <c r="V389" s="72">
        <f t="shared" ca="1" si="154"/>
        <v>33691.25</v>
      </c>
      <c r="W389" s="72">
        <f t="shared" si="155"/>
        <v>1135100326.5625</v>
      </c>
      <c r="Y389" s="110">
        <f t="shared" si="156"/>
        <v>38.631848289769685</v>
      </c>
      <c r="Z389" s="111">
        <f t="shared" si="157"/>
        <v>-64.749127967914987</v>
      </c>
      <c r="AA389" s="72">
        <f t="shared" si="158"/>
        <v>115.25087203208501</v>
      </c>
      <c r="AB389" s="110">
        <f t="shared" ca="1" si="159"/>
        <v>-43.967653951561928</v>
      </c>
      <c r="AC389" s="111">
        <f t="shared" ca="1" si="160"/>
        <v>-109.46348709080415</v>
      </c>
      <c r="AD389" s="72">
        <f t="shared" ca="1" si="161"/>
        <v>70.536512909195849</v>
      </c>
    </row>
    <row r="390" spans="1:30">
      <c r="A390" s="118">
        <v>33884</v>
      </c>
      <c r="B390" s="101">
        <f t="shared" ca="1" si="135"/>
        <v>1889.005013696137</v>
      </c>
      <c r="C390" s="102">
        <f t="shared" ca="1" si="136"/>
        <v>1.5702669475505555</v>
      </c>
      <c r="D390" s="102">
        <f t="shared" si="137"/>
        <v>1.4146572836848583</v>
      </c>
      <c r="E390" s="103">
        <f t="shared" si="138"/>
        <v>0.78571177416181515</v>
      </c>
      <c r="F390" s="101">
        <f t="shared" si="139"/>
        <v>11581.730161534324</v>
      </c>
      <c r="G390" s="104">
        <f t="shared" si="140"/>
        <v>1.5707099839093954</v>
      </c>
      <c r="H390" s="113">
        <f t="shared" si="141"/>
        <v>1447.7166101668618</v>
      </c>
      <c r="I390" s="114">
        <f t="shared" si="142"/>
        <v>1.5701055838190281</v>
      </c>
      <c r="J390" s="101">
        <f t="shared" si="143"/>
        <v>2.3521516981388739</v>
      </c>
      <c r="K390" s="104">
        <f t="shared" si="144"/>
        <v>1.1316768476012224</v>
      </c>
      <c r="L390" s="102">
        <f t="shared" si="145"/>
        <v>1</v>
      </c>
      <c r="M390" s="103">
        <f t="shared" si="146"/>
        <v>1.3838464295837999E-9</v>
      </c>
      <c r="N390" s="101">
        <f t="shared" si="147"/>
        <v>1</v>
      </c>
      <c r="O390" s="104">
        <f t="shared" si="148"/>
        <v>1.8451285727783997E-10</v>
      </c>
      <c r="P390" s="105">
        <f t="shared" ca="1" si="149"/>
        <v>2.0567786279502385</v>
      </c>
      <c r="Q390" s="106">
        <f t="shared" ca="1" si="150"/>
        <v>1.1258874192084265</v>
      </c>
      <c r="R390" s="107">
        <f t="shared" ca="1" si="151"/>
        <v>-22.94035413605879</v>
      </c>
      <c r="S390" s="108">
        <f t="shared" ca="1" si="152"/>
        <v>-174.33523440287405</v>
      </c>
      <c r="T390" s="116">
        <f t="shared" ca="1" si="153"/>
        <v>5.6647655971259496</v>
      </c>
      <c r="V390" s="72">
        <f t="shared" ca="1" si="154"/>
        <v>33884</v>
      </c>
      <c r="W390" s="72">
        <f t="shared" si="155"/>
        <v>1148125456</v>
      </c>
      <c r="Y390" s="110">
        <f t="shared" si="156"/>
        <v>38.591295404780915</v>
      </c>
      <c r="Z390" s="111">
        <f t="shared" si="157"/>
        <v>-64.874936719948749</v>
      </c>
      <c r="AA390" s="72">
        <f t="shared" si="158"/>
        <v>115.12506328005125</v>
      </c>
      <c r="AB390" s="110">
        <f t="shared" ca="1" si="159"/>
        <v>-44.0304242730057</v>
      </c>
      <c r="AC390" s="111">
        <f t="shared" ca="1" si="160"/>
        <v>-109.46029768292526</v>
      </c>
      <c r="AD390" s="72">
        <f t="shared" ca="1" si="161"/>
        <v>70.539702317074742</v>
      </c>
    </row>
    <row r="391" spans="1:30">
      <c r="A391" s="118">
        <v>34081.5</v>
      </c>
      <c r="B391" s="101">
        <f t="shared" ca="1" si="135"/>
        <v>1900.0154724954386</v>
      </c>
      <c r="C391" s="102">
        <f t="shared" ca="1" si="136"/>
        <v>1.5702700152670994</v>
      </c>
      <c r="D391" s="102">
        <f t="shared" si="137"/>
        <v>1.4187886731157215</v>
      </c>
      <c r="E391" s="103">
        <f t="shared" si="138"/>
        <v>0.78861764618923524</v>
      </c>
      <c r="F391" s="101">
        <f t="shared" si="139"/>
        <v>11649.236704147348</v>
      </c>
      <c r="G391" s="104">
        <f t="shared" si="140"/>
        <v>1.5707104842606066</v>
      </c>
      <c r="H391" s="113">
        <f t="shared" si="141"/>
        <v>1456.1549260233576</v>
      </c>
      <c r="I391" s="114">
        <f t="shared" si="142"/>
        <v>1.570109586626848</v>
      </c>
      <c r="J391" s="101">
        <f t="shared" si="143"/>
        <v>2.3633895629312449</v>
      </c>
      <c r="K391" s="104">
        <f t="shared" si="144"/>
        <v>1.1339091174218074</v>
      </c>
      <c r="L391" s="102">
        <f t="shared" si="145"/>
        <v>1</v>
      </c>
      <c r="M391" s="103">
        <f t="shared" si="146"/>
        <v>1.391912468712675E-9</v>
      </c>
      <c r="N391" s="101">
        <f t="shared" si="147"/>
        <v>1</v>
      </c>
      <c r="O391" s="104">
        <f t="shared" si="148"/>
        <v>1.8558832916168996E-10</v>
      </c>
      <c r="P391" s="105">
        <f t="shared" ca="1" si="149"/>
        <v>2.06597710467326</v>
      </c>
      <c r="Q391" s="106">
        <f t="shared" ca="1" si="150"/>
        <v>1.1287281449273598</v>
      </c>
      <c r="R391" s="107">
        <f t="shared" ca="1" si="151"/>
        <v>-23.045664032351642</v>
      </c>
      <c r="S391" s="108">
        <f t="shared" ca="1" si="152"/>
        <v>-174.45937652477122</v>
      </c>
      <c r="T391" s="116">
        <f t="shared" ca="1" si="153"/>
        <v>5.5406234752287844</v>
      </c>
      <c r="V391" s="72">
        <f t="shared" ca="1" si="154"/>
        <v>34081.5</v>
      </c>
      <c r="W391" s="72">
        <f t="shared" si="155"/>
        <v>1161548642.25</v>
      </c>
      <c r="Y391" s="110">
        <f t="shared" si="156"/>
        <v>38.549895663661459</v>
      </c>
      <c r="Z391" s="111">
        <f t="shared" si="157"/>
        <v>-65.002635683166503</v>
      </c>
      <c r="AA391" s="72">
        <f t="shared" si="158"/>
        <v>114.9973643168335</v>
      </c>
      <c r="AB391" s="110">
        <f t="shared" ca="1" si="159"/>
        <v>-44.094334428179103</v>
      </c>
      <c r="AC391" s="111">
        <f t="shared" ca="1" si="160"/>
        <v>-109.45674084160473</v>
      </c>
      <c r="AD391" s="72">
        <f t="shared" ca="1" si="161"/>
        <v>70.543259158395273</v>
      </c>
    </row>
    <row r="392" spans="1:30">
      <c r="A392" s="118">
        <v>34279</v>
      </c>
      <c r="B392" s="101">
        <f t="shared" ca="1" si="135"/>
        <v>1911.0259313124147</v>
      </c>
      <c r="C392" s="102">
        <f t="shared" ca="1" si="136"/>
        <v>1.5702730476340796</v>
      </c>
      <c r="D392" s="102">
        <f t="shared" si="137"/>
        <v>1.4229319733016901</v>
      </c>
      <c r="E392" s="103">
        <f t="shared" si="138"/>
        <v>0.79150661982893533</v>
      </c>
      <c r="F392" s="101">
        <f t="shared" si="139"/>
        <v>11716.743246763255</v>
      </c>
      <c r="G392" s="104">
        <f t="shared" si="140"/>
        <v>1.5707109788462257</v>
      </c>
      <c r="H392" s="113">
        <f t="shared" si="141"/>
        <v>1464.5932419029159</v>
      </c>
      <c r="I392" s="114">
        <f t="shared" si="142"/>
        <v>1.5701135433099751</v>
      </c>
      <c r="J392" s="101">
        <f t="shared" si="143"/>
        <v>2.3746390930606114</v>
      </c>
      <c r="K392" s="104">
        <f t="shared" si="144"/>
        <v>1.1361202480236485</v>
      </c>
      <c r="L392" s="102">
        <f t="shared" si="145"/>
        <v>1</v>
      </c>
      <c r="M392" s="103">
        <f t="shared" si="146"/>
        <v>1.3999785078415499E-9</v>
      </c>
      <c r="N392" s="101">
        <f t="shared" si="147"/>
        <v>1</v>
      </c>
      <c r="O392" s="104">
        <f t="shared" si="148"/>
        <v>1.8666380104553998E-10</v>
      </c>
      <c r="P392" s="105">
        <f t="shared" ca="1" si="149"/>
        <v>2.0751887878088255</v>
      </c>
      <c r="Q392" s="106">
        <f t="shared" ca="1" si="150"/>
        <v>1.1315470668378149</v>
      </c>
      <c r="R392" s="107">
        <f t="shared" ca="1" si="151"/>
        <v>-23.150412555323314</v>
      </c>
      <c r="S392" s="108">
        <f t="shared" ca="1" si="152"/>
        <v>-174.58202668576968</v>
      </c>
      <c r="T392" s="116">
        <f t="shared" ca="1" si="153"/>
        <v>5.4179733142303235</v>
      </c>
      <c r="V392" s="72">
        <f t="shared" ca="1" si="154"/>
        <v>34279</v>
      </c>
      <c r="W392" s="72">
        <f t="shared" si="155"/>
        <v>1175049841</v>
      </c>
      <c r="Y392" s="110">
        <f t="shared" si="156"/>
        <v>38.508649642258604</v>
      </c>
      <c r="Z392" s="111">
        <f t="shared" si="157"/>
        <v>-65.129125770772731</v>
      </c>
      <c r="AA392" s="72">
        <f t="shared" si="158"/>
        <v>114.87087422922727</v>
      </c>
      <c r="AB392" s="110">
        <f t="shared" ca="1" si="159"/>
        <v>-44.157836929747916</v>
      </c>
      <c r="AC392" s="111">
        <f t="shared" ca="1" si="160"/>
        <v>-109.45290091499693</v>
      </c>
      <c r="AD392" s="72">
        <f t="shared" ca="1" si="161"/>
        <v>70.547099085003069</v>
      </c>
    </row>
    <row r="393" spans="1:30">
      <c r="A393" s="118">
        <v>34476.5</v>
      </c>
      <c r="B393" s="101">
        <f t="shared" ca="1" si="135"/>
        <v>1922.036390146762</v>
      </c>
      <c r="C393" s="102">
        <f t="shared" ca="1" si="136"/>
        <v>1.5702760452589997</v>
      </c>
      <c r="D393" s="102">
        <f t="shared" si="137"/>
        <v>1.4270870805003233</v>
      </c>
      <c r="E393" s="103">
        <f t="shared" si="138"/>
        <v>0.79437879425110369</v>
      </c>
      <c r="F393" s="101">
        <f t="shared" si="139"/>
        <v>11784.249789381995</v>
      </c>
      <c r="G393" s="104">
        <f t="shared" si="140"/>
        <v>1.5707114677653382</v>
      </c>
      <c r="H393" s="113">
        <f t="shared" si="141"/>
        <v>1473.03155780514</v>
      </c>
      <c r="I393" s="114">
        <f t="shared" si="142"/>
        <v>1.5701174546610903</v>
      </c>
      <c r="J393" s="101">
        <f t="shared" si="143"/>
        <v>2.3859001235206261</v>
      </c>
      <c r="K393" s="104">
        <f t="shared" si="144"/>
        <v>1.1383105169519998</v>
      </c>
      <c r="L393" s="102">
        <f t="shared" si="145"/>
        <v>1</v>
      </c>
      <c r="M393" s="103">
        <f t="shared" si="146"/>
        <v>1.408044546970425E-9</v>
      </c>
      <c r="N393" s="101">
        <f t="shared" si="147"/>
        <v>1</v>
      </c>
      <c r="O393" s="104">
        <f t="shared" si="148"/>
        <v>1.8773927292938998E-10</v>
      </c>
      <c r="P393" s="105">
        <f t="shared" ca="1" si="149"/>
        <v>2.0844135174261056</v>
      </c>
      <c r="Q393" s="106">
        <f t="shared" ca="1" si="150"/>
        <v>1.1343444430092877</v>
      </c>
      <c r="R393" s="107">
        <f t="shared" ca="1" si="151"/>
        <v>-23.254604668100669</v>
      </c>
      <c r="S393" s="108">
        <f t="shared" ca="1" si="152"/>
        <v>-174.70320988736802</v>
      </c>
      <c r="T393" s="116">
        <f t="shared" ca="1" si="153"/>
        <v>5.2967901126319816</v>
      </c>
      <c r="V393" s="72">
        <f t="shared" ca="1" si="154"/>
        <v>34476.5</v>
      </c>
      <c r="W393" s="72">
        <f t="shared" si="155"/>
        <v>1188629052.25</v>
      </c>
      <c r="Y393" s="110">
        <f t="shared" si="156"/>
        <v>38.467556690401302</v>
      </c>
      <c r="Z393" s="111">
        <f t="shared" si="157"/>
        <v>-65.254422845199088</v>
      </c>
      <c r="AA393" s="72">
        <f t="shared" si="158"/>
        <v>114.74557715480091</v>
      </c>
      <c r="AB393" s="110">
        <f t="shared" ca="1" si="159"/>
        <v>-44.220936090667976</v>
      </c>
      <c r="AC393" s="111">
        <f t="shared" ca="1" si="160"/>
        <v>-109.44878704216889</v>
      </c>
      <c r="AD393" s="72">
        <f t="shared" ca="1" si="161"/>
        <v>70.551212957831112</v>
      </c>
    </row>
    <row r="394" spans="1:30">
      <c r="A394" s="118">
        <v>34674</v>
      </c>
      <c r="B394" s="101">
        <f t="shared" ca="1" si="135"/>
        <v>1933.0468489981831</v>
      </c>
      <c r="C394" s="102">
        <f t="shared" ca="1" si="136"/>
        <v>1.5702790087355225</v>
      </c>
      <c r="D394" s="102">
        <f t="shared" si="137"/>
        <v>1.431253891879968</v>
      </c>
      <c r="E394" s="103">
        <f t="shared" si="138"/>
        <v>0.79723426858464841</v>
      </c>
      <c r="F394" s="101">
        <f t="shared" si="139"/>
        <v>11851.756332003521</v>
      </c>
      <c r="G394" s="104">
        <f t="shared" si="140"/>
        <v>1.5707119511147718</v>
      </c>
      <c r="H394" s="113">
        <f t="shared" si="141"/>
        <v>1481.469873729643</v>
      </c>
      <c r="I394" s="114">
        <f t="shared" si="142"/>
        <v>1.5701213214548142</v>
      </c>
      <c r="J394" s="101">
        <f t="shared" si="143"/>
        <v>2.3971724922383841</v>
      </c>
      <c r="K394" s="104">
        <f t="shared" si="144"/>
        <v>1.1404801973402934</v>
      </c>
      <c r="L394" s="102">
        <f t="shared" si="145"/>
        <v>1</v>
      </c>
      <c r="M394" s="103">
        <f t="shared" si="146"/>
        <v>1.4161105860992999E-9</v>
      </c>
      <c r="N394" s="101">
        <f t="shared" si="147"/>
        <v>1</v>
      </c>
      <c r="O394" s="104">
        <f t="shared" si="148"/>
        <v>1.8881474481323997E-10</v>
      </c>
      <c r="P394" s="105">
        <f t="shared" ca="1" si="149"/>
        <v>2.0936511362542283</v>
      </c>
      <c r="Q394" s="106">
        <f t="shared" ca="1" si="150"/>
        <v>1.1371205280022951</v>
      </c>
      <c r="R394" s="107">
        <f t="shared" ca="1" si="151"/>
        <v>-23.358245282707522</v>
      </c>
      <c r="S394" s="108">
        <f t="shared" ca="1" si="152"/>
        <v>-174.82295067971413</v>
      </c>
      <c r="T394" s="116">
        <f t="shared" ca="1" si="153"/>
        <v>5.1770493202858745</v>
      </c>
      <c r="V394" s="72">
        <f t="shared" ca="1" si="154"/>
        <v>34674</v>
      </c>
      <c r="W394" s="72">
        <f t="shared" si="155"/>
        <v>1202286276</v>
      </c>
      <c r="Y394" s="110">
        <f t="shared" si="156"/>
        <v>38.426616151420582</v>
      </c>
      <c r="Z394" s="111">
        <f t="shared" si="157"/>
        <v>-65.378542517003879</v>
      </c>
      <c r="AA394" s="72">
        <f t="shared" si="158"/>
        <v>114.62145748299612</v>
      </c>
      <c r="AB394" s="110">
        <f t="shared" ca="1" si="159"/>
        <v>-44.283636166294109</v>
      </c>
      <c r="AC394" s="111">
        <f t="shared" ca="1" si="160"/>
        <v>-109.4444081627102</v>
      </c>
      <c r="AD394" s="72">
        <f t="shared" ca="1" si="161"/>
        <v>70.555591837289796</v>
      </c>
    </row>
    <row r="395" spans="1:30">
      <c r="A395" s="118">
        <v>34875.75</v>
      </c>
      <c r="B395" s="101">
        <f t="shared" ca="1" si="135"/>
        <v>1944.2942417915833</v>
      </c>
      <c r="C395" s="102">
        <f t="shared" ca="1" si="136"/>
        <v>1.5702820013277972</v>
      </c>
      <c r="D395" s="102">
        <f t="shared" si="137"/>
        <v>1.4355223475159862</v>
      </c>
      <c r="E395" s="103">
        <f t="shared" si="138"/>
        <v>0.80013404984840453</v>
      </c>
      <c r="F395" s="101">
        <f t="shared" si="139"/>
        <v>11920.715547064032</v>
      </c>
      <c r="G395" s="104">
        <f t="shared" si="140"/>
        <v>1.570712439213046</v>
      </c>
      <c r="H395" s="113">
        <f t="shared" si="141"/>
        <v>1490.0897736903205</v>
      </c>
      <c r="I395" s="114">
        <f t="shared" si="142"/>
        <v>1.5701252262392662</v>
      </c>
      <c r="J395" s="101">
        <f t="shared" si="143"/>
        <v>2.4086989722413321</v>
      </c>
      <c r="K395" s="104">
        <f t="shared" si="144"/>
        <v>1.1426755886831379</v>
      </c>
      <c r="L395" s="102">
        <f t="shared" si="145"/>
        <v>1</v>
      </c>
      <c r="M395" s="103">
        <f t="shared" si="146"/>
        <v>1.4243501982220874E-9</v>
      </c>
      <c r="N395" s="101">
        <f t="shared" si="147"/>
        <v>1</v>
      </c>
      <c r="O395" s="104">
        <f t="shared" si="148"/>
        <v>1.8991335976294497E-10</v>
      </c>
      <c r="P395" s="105">
        <f t="shared" ca="1" si="149"/>
        <v>2.1031006867056692</v>
      </c>
      <c r="Q395" s="106">
        <f t="shared" ca="1" si="150"/>
        <v>1.1399346292789294</v>
      </c>
      <c r="R395" s="107">
        <f t="shared" ca="1" si="151"/>
        <v>-23.463551766176167</v>
      </c>
      <c r="S395" s="108">
        <f t="shared" ca="1" si="152"/>
        <v>-174.94380393732595</v>
      </c>
      <c r="T395" s="116">
        <f t="shared" ca="1" si="153"/>
        <v>5.0561960626740472</v>
      </c>
      <c r="V395" s="72">
        <f t="shared" ca="1" si="154"/>
        <v>34875.75</v>
      </c>
      <c r="W395" s="72">
        <f t="shared" si="155"/>
        <v>1216317938.0625</v>
      </c>
      <c r="Y395" s="110">
        <f t="shared" si="156"/>
        <v>38.384951292120761</v>
      </c>
      <c r="Z395" s="111">
        <f t="shared" si="157"/>
        <v>-65.504133413364897</v>
      </c>
      <c r="AA395" s="72">
        <f t="shared" si="158"/>
        <v>114.4958665866351</v>
      </c>
      <c r="AB395" s="110">
        <f t="shared" ca="1" si="159"/>
        <v>-44.347277790462925</v>
      </c>
      <c r="AC395" s="111">
        <f t="shared" ca="1" si="160"/>
        <v>-109.43967052396114</v>
      </c>
      <c r="AD395" s="72">
        <f t="shared" ca="1" si="161"/>
        <v>70.560329476038859</v>
      </c>
    </row>
    <row r="396" spans="1:30">
      <c r="A396" s="118">
        <v>35077.5</v>
      </c>
      <c r="B396" s="101">
        <f t="shared" ca="1" si="135"/>
        <v>1955.5416346021952</v>
      </c>
      <c r="C396" s="102">
        <f t="shared" ca="1" si="136"/>
        <v>1.5702849594959916</v>
      </c>
      <c r="D396" s="102">
        <f t="shared" si="137"/>
        <v>1.4398028024436231</v>
      </c>
      <c r="E396" s="103">
        <f t="shared" si="138"/>
        <v>0.80301661344908704</v>
      </c>
      <c r="F396" s="101">
        <f t="shared" si="139"/>
        <v>11989.67476212735</v>
      </c>
      <c r="G396" s="104">
        <f t="shared" si="140"/>
        <v>1.5707129216966769</v>
      </c>
      <c r="H396" s="113">
        <f t="shared" si="141"/>
        <v>1498.7096736734566</v>
      </c>
      <c r="I396" s="114">
        <f t="shared" si="142"/>
        <v>1.5701290861066113</v>
      </c>
      <c r="J396" s="101">
        <f t="shared" si="143"/>
        <v>2.4202369509425332</v>
      </c>
      <c r="K396" s="104">
        <f t="shared" si="144"/>
        <v>1.1448500582756813</v>
      </c>
      <c r="L396" s="102">
        <f t="shared" si="145"/>
        <v>1</v>
      </c>
      <c r="M396" s="103">
        <f t="shared" si="146"/>
        <v>1.4325898103448749E-9</v>
      </c>
      <c r="N396" s="101">
        <f t="shared" si="147"/>
        <v>1</v>
      </c>
      <c r="O396" s="104">
        <f t="shared" si="148"/>
        <v>1.9101197471264997E-10</v>
      </c>
      <c r="P396" s="105">
        <f t="shared" ca="1" si="149"/>
        <v>2.1125633635855698</v>
      </c>
      <c r="Q396" s="106">
        <f t="shared" ca="1" si="150"/>
        <v>1.1427270391721387</v>
      </c>
      <c r="R396" s="107">
        <f t="shared" ca="1" si="151"/>
        <v>-23.568292961447955</v>
      </c>
      <c r="S396" s="108">
        <f t="shared" ca="1" si="152"/>
        <v>-175.06320242115993</v>
      </c>
      <c r="T396" s="116">
        <f t="shared" ca="1" si="153"/>
        <v>4.9367975788400713</v>
      </c>
      <c r="V396" s="72">
        <f t="shared" ca="1" si="154"/>
        <v>35077.5</v>
      </c>
      <c r="W396" s="72">
        <f t="shared" si="155"/>
        <v>1230431006.25</v>
      </c>
      <c r="Y396" s="110">
        <f t="shared" si="156"/>
        <v>38.343444071783054</v>
      </c>
      <c r="Z396" s="111">
        <f t="shared" si="157"/>
        <v>-65.628527833597531</v>
      </c>
      <c r="AA396" s="72">
        <f t="shared" si="158"/>
        <v>114.37147216640247</v>
      </c>
      <c r="AB396" s="110">
        <f t="shared" ca="1" si="159"/>
        <v>-44.410511765397011</v>
      </c>
      <c r="AC396" s="111">
        <f t="shared" ca="1" si="160"/>
        <v>-109.43467458756237</v>
      </c>
      <c r="AD396" s="72">
        <f t="shared" ca="1" si="161"/>
        <v>70.56532541243763</v>
      </c>
    </row>
    <row r="397" spans="1:30">
      <c r="A397" s="118">
        <v>35279.25</v>
      </c>
      <c r="B397" s="101">
        <f t="shared" ca="1" si="135"/>
        <v>1966.7890274297238</v>
      </c>
      <c r="C397" s="102">
        <f t="shared" ca="1" si="136"/>
        <v>1.5702878838306848</v>
      </c>
      <c r="D397" s="102">
        <f t="shared" si="137"/>
        <v>1.4440951499612704</v>
      </c>
      <c r="E397" s="103">
        <f t="shared" si="138"/>
        <v>0.80588206480053748</v>
      </c>
      <c r="F397" s="101">
        <f t="shared" si="139"/>
        <v>12058.633977193427</v>
      </c>
      <c r="G397" s="104">
        <f t="shared" si="140"/>
        <v>1.570713398661989</v>
      </c>
      <c r="H397" s="113">
        <f t="shared" si="141"/>
        <v>1507.3295736786661</v>
      </c>
      <c r="I397" s="114">
        <f t="shared" si="142"/>
        <v>1.5701329018274457</v>
      </c>
      <c r="J397" s="101">
        <f t="shared" si="143"/>
        <v>2.4317862646700399</v>
      </c>
      <c r="K397" s="104">
        <f t="shared" si="144"/>
        <v>1.1470038834990663</v>
      </c>
      <c r="L397" s="102">
        <f t="shared" si="145"/>
        <v>1</v>
      </c>
      <c r="M397" s="103">
        <f t="shared" si="146"/>
        <v>1.4408294224676623E-9</v>
      </c>
      <c r="N397" s="101">
        <f t="shared" si="147"/>
        <v>1</v>
      </c>
      <c r="O397" s="104">
        <f t="shared" si="148"/>
        <v>1.9211058966235497E-10</v>
      </c>
      <c r="P397" s="105">
        <f t="shared" ca="1" si="149"/>
        <v>2.1220390075345912</v>
      </c>
      <c r="Q397" s="106">
        <f t="shared" ca="1" si="150"/>
        <v>1.1454980179864085</v>
      </c>
      <c r="R397" s="107">
        <f t="shared" ca="1" si="151"/>
        <v>-23.672473942485645</v>
      </c>
      <c r="S397" s="108">
        <f t="shared" ca="1" si="152"/>
        <v>-175.18117089376958</v>
      </c>
      <c r="T397" s="116">
        <f t="shared" ca="1" si="153"/>
        <v>4.8188291062304245</v>
      </c>
      <c r="V397" s="72">
        <f t="shared" ca="1" si="154"/>
        <v>35279.25</v>
      </c>
      <c r="W397" s="72">
        <f t="shared" si="155"/>
        <v>1244625480.5625</v>
      </c>
      <c r="Y397" s="110">
        <f t="shared" si="156"/>
        <v>38.302093772291521</v>
      </c>
      <c r="Z397" s="111">
        <f t="shared" si="157"/>
        <v>-65.751741631837703</v>
      </c>
      <c r="AA397" s="72">
        <f t="shared" si="158"/>
        <v>114.2482583681623</v>
      </c>
      <c r="AB397" s="110">
        <f t="shared" ca="1" si="159"/>
        <v>-44.473342446943171</v>
      </c>
      <c r="AC397" s="111">
        <f t="shared" ca="1" si="160"/>
        <v>-109.42942926193186</v>
      </c>
      <c r="AD397" s="72">
        <f t="shared" ca="1" si="161"/>
        <v>70.570570738068142</v>
      </c>
    </row>
    <row r="398" spans="1:30">
      <c r="A398" s="118">
        <v>35481</v>
      </c>
      <c r="B398" s="101">
        <f t="shared" ref="B398:B461" ca="1" si="162">SQRT(1+(A398/Pole1)^2)</f>
        <v>1978.0364202738808</v>
      </c>
      <c r="C398" s="102">
        <f t="shared" ref="C398:C461" ca="1" si="163">ATAN(A398/Pole1)</f>
        <v>1.5702907749090225</v>
      </c>
      <c r="D398" s="102">
        <f t="shared" ref="D398:D461" si="164">SQRT(1+(A398/Zero1)^2)</f>
        <v>1.4483992843374607</v>
      </c>
      <c r="E398" s="103">
        <f t="shared" ref="E398:E461" si="165">ATAN(A398/Zero1)</f>
        <v>0.8087305091928253</v>
      </c>
      <c r="F398" s="101">
        <f t="shared" ref="F398:F461" si="166">SQRT(1+(A398/Pole2)^2)</f>
        <v>12127.593192262217</v>
      </c>
      <c r="G398" s="104">
        <f t="shared" ref="G398:G461" si="167">ATAN(A398/Pole2)</f>
        <v>1.5707138702031163</v>
      </c>
      <c r="H398" s="113">
        <f t="shared" ref="H398:H461" si="168">SQRT(1+(A398/Zero2)^2)</f>
        <v>1515.9494737055722</v>
      </c>
      <c r="I398" s="114">
        <f t="shared" ref="I398:I461" si="169">ATAN(A398/Zero2)</f>
        <v>1.5701366741548393</v>
      </c>
      <c r="J398" s="101">
        <f t="shared" ref="J398:J461" si="170">SQRT(1+(A398/pole4)^2)</f>
        <v>2.4433467526872268</v>
      </c>
      <c r="K398" s="104">
        <f t="shared" ref="K398:K461" si="171">ATAN(A398/pole4)</f>
        <v>1.1491373372587084</v>
      </c>
      <c r="L398" s="102">
        <f t="shared" ref="L398:L461" si="172">SQRT(1+(A398/Zerofeed)^2)</f>
        <v>1</v>
      </c>
      <c r="M398" s="103">
        <f t="shared" ref="M398:M461" si="173">ATAN(A398/Zerofeed)</f>
        <v>1.4490690345904498E-9</v>
      </c>
      <c r="N398" s="101">
        <f t="shared" ref="N398:N461" si="174">SQRT(1+(A398/Polefeed)^2)</f>
        <v>1</v>
      </c>
      <c r="O398" s="104">
        <f t="shared" ref="O398:O461" si="175">ATAN(A398/Polefeed)</f>
        <v>1.9320920461205997E-10</v>
      </c>
      <c r="P398" s="105">
        <f t="shared" ref="P398:P461" ca="1" si="176">SQRT((1-(W398/pterm2))^2+(A398/pterm1)^2)</f>
        <v>2.131527461881769</v>
      </c>
      <c r="Q398" s="106">
        <f t="shared" ref="Q398:Q461" ca="1" si="177">IF((ATAN((A398/pterm1)/(1-A398^2/pterm2))&gt;0),ATAN((A398/pterm1)/(1-A398^2/pterm2)),PI()+ATAN((A398/pterm1)/(1-A398^2/pterm2)))</f>
        <v>1.1482478224041743</v>
      </c>
      <c r="R398" s="107">
        <f t="shared" ref="R398:R461" ca="1" si="178">20*LOG10(((D398*H398*L398)/(B398*F398*P398*J398*N398))*Adc)</f>
        <v>-23.776099729715085</v>
      </c>
      <c r="S398" s="108">
        <f t="shared" ref="S398:S461" ca="1" si="179">((E398+I398+M398)-(C398+G398+Q398+K398+O398))*radconv</f>
        <v>-175.29773366094088</v>
      </c>
      <c r="T398" s="116">
        <f t="shared" ref="T398:T461" ca="1" si="180">IF(S398&gt;0,S398,S398+180)</f>
        <v>4.7022663390591219</v>
      </c>
      <c r="V398" s="72">
        <f t="shared" ref="V398:V461" ca="1" si="181">IF(R398&lt;0,A398,1000000000)</f>
        <v>35481</v>
      </c>
      <c r="W398" s="72">
        <f t="shared" ref="W398:W461" si="182">A398^2</f>
        <v>1258901361</v>
      </c>
      <c r="Y398" s="110">
        <f t="shared" ref="Y398:Y461" si="183">20*LOG10(((H398*L398)/(F398*J398*N398))*Aea)</f>
        <v>38.260899670327021</v>
      </c>
      <c r="Z398" s="111">
        <f t="shared" ref="Z398:Z461" si="184">(I398+M398-(G398+K398+O398))*radconv</f>
        <v>-65.87379040665968</v>
      </c>
      <c r="AA398" s="72">
        <f t="shared" ref="AA398:AA461" si="185">IF(Z398&gt;0,Z398,Z398+180)</f>
        <v>114.12620959334032</v>
      </c>
      <c r="AB398" s="110">
        <f t="shared" ref="AB398:AB461" ca="1" si="186">20*LOG10((D398/(B398*P398))*Acs*Am)</f>
        <v>-44.535774132208104</v>
      </c>
      <c r="AC398" s="111">
        <f t="shared" ref="AC398:AC461" ca="1" si="187">(E398-(C398+Q398))*radconv</f>
        <v>-109.42394325428117</v>
      </c>
      <c r="AD398" s="72">
        <f t="shared" ref="AD398:AD461" ca="1" si="188">IF(AC398&gt;0,AC398,AC398+180)</f>
        <v>70.57605674571883</v>
      </c>
    </row>
    <row r="399" spans="1:30">
      <c r="A399" s="118">
        <v>35687.75</v>
      </c>
      <c r="B399" s="101">
        <f t="shared" ca="1" si="162"/>
        <v>1989.5625589303881</v>
      </c>
      <c r="C399" s="102">
        <f t="shared" ca="1" si="163"/>
        <v>1.5702937037245055</v>
      </c>
      <c r="D399" s="102">
        <f t="shared" si="164"/>
        <v>1.4528222077764685</v>
      </c>
      <c r="E399" s="103">
        <f t="shared" si="165"/>
        <v>0.81163201258072049</v>
      </c>
      <c r="F399" s="101">
        <f t="shared" si="166"/>
        <v>12198.261433729531</v>
      </c>
      <c r="G399" s="104">
        <f t="shared" si="167"/>
        <v>1.570714347899252</v>
      </c>
      <c r="H399" s="113">
        <f t="shared" si="168"/>
        <v>1524.7830020080582</v>
      </c>
      <c r="I399" s="114">
        <f t="shared" si="169"/>
        <v>1.5701404957222989</v>
      </c>
      <c r="J399" s="101">
        <f t="shared" si="170"/>
        <v>2.4552051739914242</v>
      </c>
      <c r="K399" s="104">
        <f t="shared" si="171"/>
        <v>1.1513028105407752</v>
      </c>
      <c r="L399" s="102">
        <f t="shared" si="172"/>
        <v>1</v>
      </c>
      <c r="M399" s="103">
        <f t="shared" si="173"/>
        <v>1.4575128502354873E-9</v>
      </c>
      <c r="N399" s="101">
        <f t="shared" si="174"/>
        <v>1</v>
      </c>
      <c r="O399" s="104">
        <f t="shared" si="175"/>
        <v>1.9433504669806498E-10</v>
      </c>
      <c r="P399" s="105">
        <f t="shared" ca="1" si="176"/>
        <v>2.1412641994380399</v>
      </c>
      <c r="Q399" s="106">
        <f t="shared" ca="1" si="177"/>
        <v>1.151044072322067</v>
      </c>
      <c r="R399" s="107">
        <f t="shared" ca="1" si="178"/>
        <v>-23.8817228824606</v>
      </c>
      <c r="S399" s="108">
        <f t="shared" ca="1" si="179"/>
        <v>-175.415751779809</v>
      </c>
      <c r="T399" s="116">
        <f t="shared" ca="1" si="180"/>
        <v>4.5842482201910002</v>
      </c>
      <c r="V399" s="72">
        <f t="shared" ca="1" si="181"/>
        <v>35687.75</v>
      </c>
      <c r="W399" s="72">
        <f t="shared" si="182"/>
        <v>1273615500.0625</v>
      </c>
      <c r="Y399" s="110">
        <f t="shared" si="183"/>
        <v>38.218845939299413</v>
      </c>
      <c r="Z399" s="111">
        <f t="shared" si="184"/>
        <v>-65.997671296378655</v>
      </c>
      <c r="AA399" s="72">
        <f t="shared" si="185"/>
        <v>114.00232870362134</v>
      </c>
      <c r="AB399" s="110">
        <f t="shared" ca="1" si="186"/>
        <v>-44.599343553926012</v>
      </c>
      <c r="AC399" s="111">
        <f t="shared" ca="1" si="187"/>
        <v>-109.41808048343039</v>
      </c>
      <c r="AD399" s="72">
        <f t="shared" ca="1" si="188"/>
        <v>70.581919516569613</v>
      </c>
    </row>
    <row r="400" spans="1:30">
      <c r="A400" s="118">
        <v>35894.5</v>
      </c>
      <c r="B400" s="101">
        <f t="shared" ca="1" si="162"/>
        <v>2001.0886976037655</v>
      </c>
      <c r="C400" s="102">
        <f t="shared" ca="1" si="163"/>
        <v>1.5702965988004209</v>
      </c>
      <c r="D400" s="102">
        <f t="shared" si="164"/>
        <v>1.4572572878176964</v>
      </c>
      <c r="E400" s="103">
        <f t="shared" si="165"/>
        <v>0.81451587900169753</v>
      </c>
      <c r="F400" s="101">
        <f t="shared" si="166"/>
        <v>12268.929675199593</v>
      </c>
      <c r="G400" s="104">
        <f t="shared" si="167"/>
        <v>1.5707148200923904</v>
      </c>
      <c r="H400" s="113">
        <f t="shared" si="168"/>
        <v>1533.6165303325563</v>
      </c>
      <c r="I400" s="114">
        <f t="shared" si="169"/>
        <v>1.5701442732658144</v>
      </c>
      <c r="J400" s="101">
        <f t="shared" si="170"/>
        <v>2.4670749977157063</v>
      </c>
      <c r="K400" s="104">
        <f t="shared" si="171"/>
        <v>1.1534474563409662</v>
      </c>
      <c r="L400" s="102">
        <f t="shared" si="172"/>
        <v>1</v>
      </c>
      <c r="M400" s="103">
        <f t="shared" si="173"/>
        <v>1.465956665880525E-9</v>
      </c>
      <c r="N400" s="101">
        <f t="shared" si="174"/>
        <v>1</v>
      </c>
      <c r="O400" s="104">
        <f t="shared" si="175"/>
        <v>1.9546088878406996E-10</v>
      </c>
      <c r="P400" s="105">
        <f t="shared" ca="1" si="176"/>
        <v>2.1510140655233068</v>
      </c>
      <c r="Q400" s="106">
        <f t="shared" ca="1" si="177"/>
        <v>1.1538186196573534</v>
      </c>
      <c r="R400" s="107">
        <f t="shared" ca="1" si="178"/>
        <v>-23.986773486730417</v>
      </c>
      <c r="S400" s="108">
        <f t="shared" ca="1" si="179"/>
        <v>-175.53234390319898</v>
      </c>
      <c r="T400" s="116">
        <f t="shared" ca="1" si="180"/>
        <v>4.4676560968010222</v>
      </c>
      <c r="V400" s="72">
        <f t="shared" ca="1" si="181"/>
        <v>35894.5</v>
      </c>
      <c r="W400" s="72">
        <f t="shared" si="182"/>
        <v>1288415130.25</v>
      </c>
      <c r="Y400" s="110">
        <f t="shared" si="183"/>
        <v>38.176954690884287</v>
      </c>
      <c r="Z400" s="111">
        <f t="shared" si="184"/>
        <v>-66.120361066374528</v>
      </c>
      <c r="AA400" s="72">
        <f t="shared" si="185"/>
        <v>113.87963893362547</v>
      </c>
      <c r="AB400" s="110">
        <f t="shared" ca="1" si="186"/>
        <v>-44.662502909780706</v>
      </c>
      <c r="AC400" s="111">
        <f t="shared" ca="1" si="187"/>
        <v>-109.41198283682444</v>
      </c>
      <c r="AD400" s="72">
        <f t="shared" ca="1" si="188"/>
        <v>70.588017163175564</v>
      </c>
    </row>
    <row r="401" spans="1:30">
      <c r="A401" s="118">
        <v>36101.25</v>
      </c>
      <c r="B401" s="101">
        <f t="shared" ca="1" si="162"/>
        <v>2012.6148362937226</v>
      </c>
      <c r="C401" s="102">
        <f t="shared" ca="1" si="163"/>
        <v>1.5702994607164433</v>
      </c>
      <c r="D401" s="102">
        <f t="shared" si="164"/>
        <v>1.4617044138050475</v>
      </c>
      <c r="E401" s="103">
        <f t="shared" si="165"/>
        <v>0.81738222124621773</v>
      </c>
      <c r="F401" s="101">
        <f t="shared" si="166"/>
        <v>12339.597916672361</v>
      </c>
      <c r="G401" s="104">
        <f t="shared" si="167"/>
        <v>1.5707152868770771</v>
      </c>
      <c r="H401" s="113">
        <f t="shared" si="168"/>
        <v>1542.4500586786883</v>
      </c>
      <c r="I401" s="114">
        <f t="shared" si="169"/>
        <v>1.5701480075417535</v>
      </c>
      <c r="J401" s="101">
        <f t="shared" si="170"/>
        <v>2.4789560600676848</v>
      </c>
      <c r="K401" s="104">
        <f t="shared" si="171"/>
        <v>1.1555715542517166</v>
      </c>
      <c r="L401" s="102">
        <f t="shared" si="172"/>
        <v>1</v>
      </c>
      <c r="M401" s="103">
        <f t="shared" si="173"/>
        <v>1.4744004815255624E-9</v>
      </c>
      <c r="N401" s="101">
        <f t="shared" si="174"/>
        <v>1</v>
      </c>
      <c r="O401" s="104">
        <f t="shared" si="175"/>
        <v>1.9658673087007497E-10</v>
      </c>
      <c r="P401" s="105">
        <f t="shared" ca="1" si="176"/>
        <v>2.1607768999881922</v>
      </c>
      <c r="Q401" s="106">
        <f t="shared" ca="1" si="177"/>
        <v>1.1565717291391115</v>
      </c>
      <c r="R401" s="107">
        <f t="shared" ca="1" si="178"/>
        <v>-24.091256774005533</v>
      </c>
      <c r="S401" s="108">
        <f t="shared" ca="1" si="179"/>
        <v>-175.64753475131201</v>
      </c>
      <c r="T401" s="116">
        <f t="shared" ca="1" si="180"/>
        <v>4.3524652486879916</v>
      </c>
      <c r="V401" s="72">
        <f t="shared" ca="1" si="181"/>
        <v>36101.25</v>
      </c>
      <c r="W401" s="72">
        <f t="shared" si="182"/>
        <v>1303300251.5625</v>
      </c>
      <c r="Y401" s="110">
        <f t="shared" si="183"/>
        <v>38.135225132376</v>
      </c>
      <c r="Z401" s="111">
        <f t="shared" si="184"/>
        <v>-66.241875698194278</v>
      </c>
      <c r="AA401" s="72">
        <f t="shared" si="185"/>
        <v>113.75812430180572</v>
      </c>
      <c r="AB401" s="110">
        <f t="shared" ca="1" si="186"/>
        <v>-44.725256638547535</v>
      </c>
      <c r="AC401" s="111">
        <f t="shared" ca="1" si="187"/>
        <v>-109.40565905311774</v>
      </c>
      <c r="AD401" s="72">
        <f t="shared" ca="1" si="188"/>
        <v>70.594340946882255</v>
      </c>
    </row>
    <row r="402" spans="1:30">
      <c r="A402" s="118">
        <v>36308</v>
      </c>
      <c r="B402" s="101">
        <f t="shared" ca="1" si="162"/>
        <v>2024.1409749999766</v>
      </c>
      <c r="C402" s="102">
        <f t="shared" ca="1" si="163"/>
        <v>1.5703022900390433</v>
      </c>
      <c r="D402" s="102">
        <f t="shared" si="164"/>
        <v>1.4661634761262463</v>
      </c>
      <c r="E402" s="103">
        <f t="shared" si="165"/>
        <v>0.82023115188999962</v>
      </c>
      <c r="F402" s="101">
        <f t="shared" si="166"/>
        <v>12410.266158147784</v>
      </c>
      <c r="G402" s="104">
        <f t="shared" si="167"/>
        <v>1.5707157483457048</v>
      </c>
      <c r="H402" s="113">
        <f t="shared" si="168"/>
        <v>1551.283587046084</v>
      </c>
      <c r="I402" s="114">
        <f t="shared" si="169"/>
        <v>1.5701516992892568</v>
      </c>
      <c r="J402" s="101">
        <f t="shared" si="170"/>
        <v>2.4908482002264392</v>
      </c>
      <c r="K402" s="104">
        <f t="shared" si="171"/>
        <v>1.1576753792752472</v>
      </c>
      <c r="L402" s="102">
        <f t="shared" si="172"/>
        <v>1</v>
      </c>
      <c r="M402" s="103">
        <f t="shared" si="173"/>
        <v>1.4828442971705999E-9</v>
      </c>
      <c r="N402" s="101">
        <f t="shared" si="174"/>
        <v>1</v>
      </c>
      <c r="O402" s="104">
        <f t="shared" si="175"/>
        <v>1.9771257295607998E-10</v>
      </c>
      <c r="P402" s="105">
        <f t="shared" ca="1" si="176"/>
        <v>2.1705525454312804</v>
      </c>
      <c r="Q402" s="106">
        <f t="shared" ca="1" si="177"/>
        <v>1.1593036617198393</v>
      </c>
      <c r="R402" s="107">
        <f t="shared" ca="1" si="178"/>
        <v>-24.195177919046806</v>
      </c>
      <c r="S402" s="108">
        <f t="shared" ca="1" si="179"/>
        <v>-175.76134857737853</v>
      </c>
      <c r="T402" s="116">
        <f t="shared" ca="1" si="180"/>
        <v>4.2386514226214729</v>
      </c>
      <c r="V402" s="72">
        <f t="shared" ca="1" si="181"/>
        <v>36308</v>
      </c>
      <c r="W402" s="72">
        <f t="shared" si="182"/>
        <v>1318270864</v>
      </c>
      <c r="Y402" s="110">
        <f t="shared" si="183"/>
        <v>38.093656467122464</v>
      </c>
      <c r="Z402" s="111">
        <f t="shared" si="184"/>
        <v>-66.362230911248616</v>
      </c>
      <c r="AA402" s="72">
        <f t="shared" si="185"/>
        <v>113.63776908875138</v>
      </c>
      <c r="AB402" s="110">
        <f t="shared" ca="1" si="186"/>
        <v>-44.787609118335268</v>
      </c>
      <c r="AC402" s="111">
        <f t="shared" ca="1" si="187"/>
        <v>-109.39911766612991</v>
      </c>
      <c r="AD402" s="72">
        <f t="shared" ca="1" si="188"/>
        <v>70.600882333870089</v>
      </c>
    </row>
    <row r="403" spans="1:30">
      <c r="A403" s="118">
        <v>36519.5</v>
      </c>
      <c r="B403" s="101">
        <f t="shared" ca="1" si="162"/>
        <v>2035.9319222299616</v>
      </c>
      <c r="C403" s="102">
        <f t="shared" ca="1" si="163"/>
        <v>1.5703051512161408</v>
      </c>
      <c r="D403" s="102">
        <f t="shared" si="164"/>
        <v>1.4707372212849792</v>
      </c>
      <c r="E403" s="103">
        <f t="shared" si="165"/>
        <v>0.82312763649548848</v>
      </c>
      <c r="F403" s="101">
        <f t="shared" si="166"/>
        <v>12482.557974702135</v>
      </c>
      <c r="G403" s="104">
        <f t="shared" si="167"/>
        <v>1.5707162150098686</v>
      </c>
      <c r="H403" s="113">
        <f t="shared" si="168"/>
        <v>1560.3200622778882</v>
      </c>
      <c r="I403" s="114">
        <f t="shared" si="169"/>
        <v>1.5701554326010492</v>
      </c>
      <c r="J403" s="101">
        <f t="shared" si="170"/>
        <v>2.5030248554939969</v>
      </c>
      <c r="K403" s="104">
        <f t="shared" si="171"/>
        <v>1.1598068439777254</v>
      </c>
      <c r="L403" s="102">
        <f t="shared" si="172"/>
        <v>1</v>
      </c>
      <c r="M403" s="103">
        <f t="shared" si="173"/>
        <v>1.4914821061617748E-9</v>
      </c>
      <c r="N403" s="101">
        <f t="shared" si="174"/>
        <v>1</v>
      </c>
      <c r="O403" s="104">
        <f t="shared" si="175"/>
        <v>1.9886428082156996E-10</v>
      </c>
      <c r="P403" s="105">
        <f t="shared" ca="1" si="176"/>
        <v>2.1805658770487706</v>
      </c>
      <c r="Q403" s="106">
        <f t="shared" ca="1" si="177"/>
        <v>1.162076715270336</v>
      </c>
      <c r="R403" s="107">
        <f t="shared" ca="1" si="178"/>
        <v>-24.300910285064145</v>
      </c>
      <c r="S403" s="108">
        <f t="shared" ca="1" si="179"/>
        <v>-175.87637719845208</v>
      </c>
      <c r="T403" s="116">
        <f t="shared" ca="1" si="180"/>
        <v>4.1236228015479242</v>
      </c>
      <c r="V403" s="72">
        <f t="shared" ca="1" si="181"/>
        <v>36519.5</v>
      </c>
      <c r="W403" s="72">
        <f t="shared" si="182"/>
        <v>1333673880.25</v>
      </c>
      <c r="Y403" s="110">
        <f t="shared" si="183"/>
        <v>38.051298424188317</v>
      </c>
      <c r="Z403" s="111">
        <f t="shared" si="184"/>
        <v>-66.48416767746987</v>
      </c>
      <c r="AA403" s="72">
        <f t="shared" si="185"/>
        <v>113.51583232253013</v>
      </c>
      <c r="AB403" s="110">
        <f t="shared" ca="1" si="186"/>
        <v>-44.850983441418464</v>
      </c>
      <c r="AC403" s="111">
        <f t="shared" ca="1" si="187"/>
        <v>-109.39220952098223</v>
      </c>
      <c r="AD403" s="72">
        <f t="shared" ca="1" si="188"/>
        <v>70.607790479017766</v>
      </c>
    </row>
    <row r="404" spans="1:30">
      <c r="A404" s="118">
        <v>36731</v>
      </c>
      <c r="B404" s="101">
        <f t="shared" ca="1" si="162"/>
        <v>2047.7228694764215</v>
      </c>
      <c r="C404" s="102">
        <f t="shared" ca="1" si="163"/>
        <v>1.5703079794434784</v>
      </c>
      <c r="D404" s="102">
        <f t="shared" si="164"/>
        <v>1.475323228809025</v>
      </c>
      <c r="E404" s="103">
        <f t="shared" si="165"/>
        <v>0.82600613781729837</v>
      </c>
      <c r="F404" s="101">
        <f t="shared" si="166"/>
        <v>12554.849791259168</v>
      </c>
      <c r="G404" s="104">
        <f t="shared" si="167"/>
        <v>1.5707166762998541</v>
      </c>
      <c r="H404" s="113">
        <f t="shared" si="168"/>
        <v>1569.3565375311887</v>
      </c>
      <c r="I404" s="114">
        <f t="shared" si="169"/>
        <v>1.5701591229194505</v>
      </c>
      <c r="J404" s="101">
        <f t="shared" si="170"/>
        <v>2.5152127722239657</v>
      </c>
      <c r="K404" s="104">
        <f t="shared" si="171"/>
        <v>1.1619176614000672</v>
      </c>
      <c r="L404" s="102">
        <f t="shared" si="172"/>
        <v>1</v>
      </c>
      <c r="M404" s="103">
        <f t="shared" si="173"/>
        <v>1.50011991515295E-9</v>
      </c>
      <c r="N404" s="101">
        <f t="shared" si="174"/>
        <v>1</v>
      </c>
      <c r="O404" s="104">
        <f t="shared" si="175"/>
        <v>2.0001598868705997E-10</v>
      </c>
      <c r="P404" s="105">
        <f t="shared" ca="1" si="176"/>
        <v>2.1905922904232158</v>
      </c>
      <c r="Q404" s="106">
        <f t="shared" ca="1" si="177"/>
        <v>1.164828148247816</v>
      </c>
      <c r="R404" s="107">
        <f t="shared" ca="1" si="178"/>
        <v>-24.406065157854734</v>
      </c>
      <c r="S404" s="108">
        <f t="shared" ca="1" si="179"/>
        <v>-175.99001468372583</v>
      </c>
      <c r="T404" s="116">
        <f t="shared" ca="1" si="180"/>
        <v>4.0099853162741681</v>
      </c>
      <c r="V404" s="72">
        <f t="shared" ca="1" si="181"/>
        <v>36731</v>
      </c>
      <c r="W404" s="72">
        <f t="shared" si="182"/>
        <v>1349166361</v>
      </c>
      <c r="Y404" s="110">
        <f t="shared" si="183"/>
        <v>38.009107054933445</v>
      </c>
      <c r="Z404" s="111">
        <f t="shared" si="184"/>
        <v>-66.604923597101632</v>
      </c>
      <c r="AA404" s="72">
        <f t="shared" si="185"/>
        <v>113.39507640289837</v>
      </c>
      <c r="AB404" s="110">
        <f t="shared" ca="1" si="186"/>
        <v>-44.913946944954183</v>
      </c>
      <c r="AC404" s="111">
        <f t="shared" ca="1" si="187"/>
        <v>-109.38509108662426</v>
      </c>
      <c r="AD404" s="72">
        <f t="shared" ca="1" si="188"/>
        <v>70.614908913375743</v>
      </c>
    </row>
    <row r="405" spans="1:30">
      <c r="A405" s="118">
        <v>36942.5</v>
      </c>
      <c r="B405" s="101">
        <f t="shared" ca="1" si="162"/>
        <v>2059.5138167390737</v>
      </c>
      <c r="C405" s="102">
        <f t="shared" ca="1" si="163"/>
        <v>1.5703107752869796</v>
      </c>
      <c r="D405" s="102">
        <f t="shared" si="164"/>
        <v>1.4799213847018609</v>
      </c>
      <c r="E405" s="103">
        <f t="shared" si="165"/>
        <v>0.82886677555584887</v>
      </c>
      <c r="F405" s="101">
        <f t="shared" si="166"/>
        <v>12627.141607818845</v>
      </c>
      <c r="G405" s="104">
        <f t="shared" si="167"/>
        <v>1.5707171323079649</v>
      </c>
      <c r="H405" s="113">
        <f t="shared" si="168"/>
        <v>1578.3930128056168</v>
      </c>
      <c r="I405" s="114">
        <f t="shared" si="169"/>
        <v>1.5701627709828867</v>
      </c>
      <c r="J405" s="101">
        <f t="shared" si="170"/>
        <v>2.5274117874981821</v>
      </c>
      <c r="K405" s="104">
        <f t="shared" si="171"/>
        <v>1.1640081115690177</v>
      </c>
      <c r="L405" s="102">
        <f t="shared" si="172"/>
        <v>1</v>
      </c>
      <c r="M405" s="103">
        <f t="shared" si="173"/>
        <v>1.5087577241441249E-9</v>
      </c>
      <c r="N405" s="101">
        <f t="shared" si="174"/>
        <v>1</v>
      </c>
      <c r="O405" s="104">
        <f t="shared" si="175"/>
        <v>2.0116769655254998E-10</v>
      </c>
      <c r="P405" s="105">
        <f t="shared" ca="1" si="176"/>
        <v>2.2006316256421266</v>
      </c>
      <c r="Q405" s="106">
        <f t="shared" ca="1" si="177"/>
        <v>1.1675582280911372</v>
      </c>
      <c r="R405" s="107">
        <f t="shared" ca="1" si="178"/>
        <v>-24.510647896635582</v>
      </c>
      <c r="S405" s="108">
        <f t="shared" ca="1" si="179"/>
        <v>-176.10228553774442</v>
      </c>
      <c r="T405" s="116">
        <f t="shared" ca="1" si="180"/>
        <v>3.8977144622555784</v>
      </c>
      <c r="V405" s="72">
        <f t="shared" ca="1" si="181"/>
        <v>36942.5</v>
      </c>
      <c r="W405" s="72">
        <f t="shared" si="182"/>
        <v>1364748306.25</v>
      </c>
      <c r="Y405" s="110">
        <f t="shared" si="183"/>
        <v>37.967081496303877</v>
      </c>
      <c r="Z405" s="111">
        <f t="shared" si="184"/>
        <v>-66.724514677474502</v>
      </c>
      <c r="AA405" s="72">
        <f t="shared" si="185"/>
        <v>113.2754853225255</v>
      </c>
      <c r="AB405" s="110">
        <f t="shared" ca="1" si="186"/>
        <v>-44.976504125105457</v>
      </c>
      <c r="AC405" s="111">
        <f t="shared" ca="1" si="187"/>
        <v>-109.37777086026992</v>
      </c>
      <c r="AD405" s="72">
        <f t="shared" ca="1" si="188"/>
        <v>70.622229139730081</v>
      </c>
    </row>
    <row r="406" spans="1:30">
      <c r="A406" s="118">
        <v>37154</v>
      </c>
      <c r="B406" s="101">
        <f t="shared" ca="1" si="162"/>
        <v>2071.3047640176405</v>
      </c>
      <c r="C406" s="102">
        <f t="shared" ca="1" si="163"/>
        <v>1.5703135392996814</v>
      </c>
      <c r="D406" s="102">
        <f t="shared" si="164"/>
        <v>1.4845315760792086</v>
      </c>
      <c r="E406" s="103">
        <f t="shared" si="165"/>
        <v>0.83170966909998678</v>
      </c>
      <c r="F406" s="101">
        <f t="shared" si="166"/>
        <v>12699.433424381117</v>
      </c>
      <c r="G406" s="104">
        <f t="shared" si="167"/>
        <v>1.5707175831244022</v>
      </c>
      <c r="H406" s="113">
        <f t="shared" si="168"/>
        <v>1587.4294881008116</v>
      </c>
      <c r="I406" s="114">
        <f t="shared" si="169"/>
        <v>1.5701663775129693</v>
      </c>
      <c r="J406" s="101">
        <f t="shared" si="170"/>
        <v>2.5396217413818376</v>
      </c>
      <c r="K406" s="104">
        <f t="shared" si="171"/>
        <v>1.1660784698454918</v>
      </c>
      <c r="L406" s="102">
        <f t="shared" si="172"/>
        <v>1</v>
      </c>
      <c r="M406" s="103">
        <f t="shared" si="173"/>
        <v>1.5173955331353E-9</v>
      </c>
      <c r="N406" s="101">
        <f t="shared" si="174"/>
        <v>1</v>
      </c>
      <c r="O406" s="104">
        <f t="shared" si="175"/>
        <v>2.0231940441803997E-10</v>
      </c>
      <c r="P406" s="105">
        <f t="shared" ca="1" si="176"/>
        <v>2.2106837255779852</v>
      </c>
      <c r="Q406" s="106">
        <f t="shared" ca="1" si="177"/>
        <v>1.1702672183393383</v>
      </c>
      <c r="R406" s="107">
        <f t="shared" ca="1" si="178"/>
        <v>-24.614663801054345</v>
      </c>
      <c r="S406" s="108">
        <f t="shared" ca="1" si="179"/>
        <v>-176.21321379223323</v>
      </c>
      <c r="T406" s="116">
        <f t="shared" ca="1" si="180"/>
        <v>3.7867862077667667</v>
      </c>
      <c r="V406" s="72">
        <f t="shared" ca="1" si="181"/>
        <v>37154</v>
      </c>
      <c r="W406" s="72">
        <f t="shared" si="182"/>
        <v>1380419716</v>
      </c>
      <c r="Y406" s="110">
        <f t="shared" si="183"/>
        <v>37.9252208826166</v>
      </c>
      <c r="Z406" s="111">
        <f t="shared" si="184"/>
        <v>-66.84295665942966</v>
      </c>
      <c r="AA406" s="72">
        <f t="shared" si="185"/>
        <v>113.15704334057034</v>
      </c>
      <c r="AB406" s="110">
        <f t="shared" ca="1" si="186"/>
        <v>-45.038659415836939</v>
      </c>
      <c r="AC406" s="111">
        <f t="shared" ca="1" si="187"/>
        <v>-109.3702571328036</v>
      </c>
      <c r="AD406" s="72">
        <f t="shared" ca="1" si="188"/>
        <v>70.629742867196398</v>
      </c>
    </row>
    <row r="407" spans="1:30">
      <c r="A407" s="118">
        <v>37370.25</v>
      </c>
      <c r="B407" s="101">
        <f t="shared" ca="1" si="162"/>
        <v>2083.3605198210021</v>
      </c>
      <c r="C407" s="102">
        <f t="shared" ca="1" si="163"/>
        <v>1.5703163330401504</v>
      </c>
      <c r="D407" s="102">
        <f t="shared" si="164"/>
        <v>1.4892576335714534</v>
      </c>
      <c r="E407" s="103">
        <f t="shared" si="165"/>
        <v>0.83459818772035055</v>
      </c>
      <c r="F407" s="101">
        <f t="shared" si="166"/>
        <v>12773.348816022484</v>
      </c>
      <c r="G407" s="104">
        <f t="shared" si="167"/>
        <v>1.5707180387895017</v>
      </c>
      <c r="H407" s="113">
        <f t="shared" si="168"/>
        <v>1596.6689102618016</v>
      </c>
      <c r="I407" s="114">
        <f t="shared" si="169"/>
        <v>1.5701700228323474</v>
      </c>
      <c r="J407" s="101">
        <f t="shared" si="170"/>
        <v>2.5521170604117218</v>
      </c>
      <c r="K407" s="104">
        <f t="shared" si="171"/>
        <v>1.168174833758119</v>
      </c>
      <c r="L407" s="102">
        <f t="shared" si="172"/>
        <v>1</v>
      </c>
      <c r="M407" s="103">
        <f t="shared" si="173"/>
        <v>1.5262273354726124E-9</v>
      </c>
      <c r="N407" s="101">
        <f t="shared" si="174"/>
        <v>1</v>
      </c>
      <c r="O407" s="104">
        <f t="shared" si="175"/>
        <v>2.0349697806301498E-10</v>
      </c>
      <c r="P407" s="105">
        <f t="shared" ca="1" si="176"/>
        <v>2.2209746190325994</v>
      </c>
      <c r="Q407" s="106">
        <f t="shared" ca="1" si="177"/>
        <v>1.1730155139146556</v>
      </c>
      <c r="R407" s="107">
        <f t="shared" ca="1" si="178"/>
        <v>-24.720435146070947</v>
      </c>
      <c r="S407" s="108">
        <f t="shared" ca="1" si="179"/>
        <v>-176.3252697235778</v>
      </c>
      <c r="T407" s="116">
        <f t="shared" ca="1" si="180"/>
        <v>3.6747302764221956</v>
      </c>
      <c r="V407" s="72">
        <f t="shared" ca="1" si="181"/>
        <v>37370.25</v>
      </c>
      <c r="W407" s="72">
        <f t="shared" si="182"/>
        <v>1396535585.0625</v>
      </c>
      <c r="Y407" s="110">
        <f t="shared" si="183"/>
        <v>37.882589776023664</v>
      </c>
      <c r="Z407" s="111">
        <f t="shared" si="184"/>
        <v>-66.962886709916916</v>
      </c>
      <c r="AA407" s="72">
        <f t="shared" si="185"/>
        <v>113.03711329008308</v>
      </c>
      <c r="AB407" s="110">
        <f t="shared" ca="1" si="186"/>
        <v>-45.101799654260617</v>
      </c>
      <c r="AC407" s="111">
        <f t="shared" ca="1" si="187"/>
        <v>-109.36238301366092</v>
      </c>
      <c r="AD407" s="72">
        <f t="shared" ca="1" si="188"/>
        <v>70.637616986339083</v>
      </c>
    </row>
    <row r="408" spans="1:30">
      <c r="A408" s="118">
        <v>37586.5</v>
      </c>
      <c r="B408" s="101">
        <f t="shared" ca="1" si="162"/>
        <v>2095.4162756404371</v>
      </c>
      <c r="C408" s="102">
        <f t="shared" ca="1" si="163"/>
        <v>1.5703190946336389</v>
      </c>
      <c r="D408" s="102">
        <f t="shared" si="164"/>
        <v>1.4939960380698409</v>
      </c>
      <c r="E408" s="103">
        <f t="shared" si="165"/>
        <v>0.8374684075304718</v>
      </c>
      <c r="F408" s="101">
        <f t="shared" si="166"/>
        <v>12847.264207666472</v>
      </c>
      <c r="G408" s="104">
        <f t="shared" si="167"/>
        <v>1.5707184892113577</v>
      </c>
      <c r="H408" s="113">
        <f t="shared" si="168"/>
        <v>1605.9083324437647</v>
      </c>
      <c r="I408" s="114">
        <f t="shared" si="169"/>
        <v>1.5701736262058137</v>
      </c>
      <c r="J408" s="101">
        <f t="shared" si="170"/>
        <v>2.5646234860163446</v>
      </c>
      <c r="K408" s="104">
        <f t="shared" si="171"/>
        <v>1.1702507608186505</v>
      </c>
      <c r="L408" s="102">
        <f t="shared" si="172"/>
        <v>1</v>
      </c>
      <c r="M408" s="103">
        <f t="shared" si="173"/>
        <v>1.5350591378099249E-9</v>
      </c>
      <c r="N408" s="101">
        <f t="shared" si="174"/>
        <v>1</v>
      </c>
      <c r="O408" s="104">
        <f t="shared" si="175"/>
        <v>2.0467455170798996E-10</v>
      </c>
      <c r="P408" s="105">
        <f t="shared" ca="1" si="176"/>
        <v>2.2312785334599381</v>
      </c>
      <c r="Q408" s="106">
        <f t="shared" ca="1" si="177"/>
        <v>1.1757423069500625</v>
      </c>
      <c r="R408" s="107">
        <f t="shared" ca="1" si="178"/>
        <v>-24.825624927482288</v>
      </c>
      <c r="S408" s="108">
        <f t="shared" ca="1" si="179"/>
        <v>-176.43597141038225</v>
      </c>
      <c r="T408" s="116">
        <f t="shared" ca="1" si="180"/>
        <v>3.5640285896177488</v>
      </c>
      <c r="V408" s="72">
        <f t="shared" ca="1" si="181"/>
        <v>37586.5</v>
      </c>
      <c r="W408" s="72">
        <f t="shared" si="182"/>
        <v>1412744982.25</v>
      </c>
      <c r="Y408" s="110">
        <f t="shared" si="183"/>
        <v>37.840129269327022</v>
      </c>
      <c r="Z408" s="111">
        <f t="shared" si="184"/>
        <v>-67.081647917939236</v>
      </c>
      <c r="AA408" s="72">
        <f t="shared" si="185"/>
        <v>112.91835208206076</v>
      </c>
      <c r="AB408" s="110">
        <f t="shared" ca="1" si="186"/>
        <v>-45.164528928975301</v>
      </c>
      <c r="AC408" s="111">
        <f t="shared" ca="1" si="187"/>
        <v>-109.354323492443</v>
      </c>
      <c r="AD408" s="72">
        <f t="shared" ca="1" si="188"/>
        <v>70.645676507556999</v>
      </c>
    </row>
    <row r="409" spans="1:30">
      <c r="A409" s="118">
        <v>37802.75</v>
      </c>
      <c r="B409" s="101">
        <f t="shared" ca="1" si="162"/>
        <v>2107.4720314756701</v>
      </c>
      <c r="C409" s="102">
        <f t="shared" ca="1" si="163"/>
        <v>1.5703218246318358</v>
      </c>
      <c r="D409" s="102">
        <f t="shared" si="164"/>
        <v>1.4987466724663077</v>
      </c>
      <c r="E409" s="103">
        <f t="shared" si="165"/>
        <v>0.84032045502235064</v>
      </c>
      <c r="F409" s="101">
        <f t="shared" si="166"/>
        <v>12921.17959931304</v>
      </c>
      <c r="G409" s="104">
        <f t="shared" si="167"/>
        <v>1.5707189344799526</v>
      </c>
      <c r="H409" s="113">
        <f t="shared" si="168"/>
        <v>1615.1477546463409</v>
      </c>
      <c r="I409" s="114">
        <f t="shared" si="169"/>
        <v>1.5701771883532203</v>
      </c>
      <c r="J409" s="101">
        <f t="shared" si="170"/>
        <v>2.5771408565007641</v>
      </c>
      <c r="K409" s="104">
        <f t="shared" si="171"/>
        <v>1.1723065307935241</v>
      </c>
      <c r="L409" s="102">
        <f t="shared" si="172"/>
        <v>1</v>
      </c>
      <c r="M409" s="103">
        <f t="shared" si="173"/>
        <v>1.5438909401472373E-9</v>
      </c>
      <c r="N409" s="101">
        <f t="shared" si="174"/>
        <v>1</v>
      </c>
      <c r="O409" s="104">
        <f t="shared" si="175"/>
        <v>2.0585212535296497E-10</v>
      </c>
      <c r="P409" s="105">
        <f t="shared" ca="1" si="176"/>
        <v>2.2415953095895396</v>
      </c>
      <c r="Q409" s="106">
        <f t="shared" ca="1" si="177"/>
        <v>1.178447866874518</v>
      </c>
      <c r="R409" s="107">
        <f t="shared" ca="1" si="178"/>
        <v>-24.930238621049551</v>
      </c>
      <c r="S409" s="108">
        <f t="shared" ca="1" si="179"/>
        <v>-176.54534306728772</v>
      </c>
      <c r="T409" s="116">
        <f t="shared" ca="1" si="180"/>
        <v>3.4546569327122825</v>
      </c>
      <c r="V409" s="72">
        <f t="shared" ca="1" si="181"/>
        <v>37802.75</v>
      </c>
      <c r="W409" s="72">
        <f t="shared" si="182"/>
        <v>1429047907.5625</v>
      </c>
      <c r="Y409" s="110">
        <f t="shared" si="183"/>
        <v>37.797838431104815</v>
      </c>
      <c r="Z409" s="111">
        <f t="shared" si="184"/>
        <v>-67.199256276843911</v>
      </c>
      <c r="AA409" s="72">
        <f t="shared" si="185"/>
        <v>112.80074372315609</v>
      </c>
      <c r="AB409" s="110">
        <f t="shared" ca="1" si="186"/>
        <v>-45.226851784320374</v>
      </c>
      <c r="AC409" s="111">
        <f t="shared" ca="1" si="187"/>
        <v>-109.34608679044386</v>
      </c>
      <c r="AD409" s="72">
        <f t="shared" ca="1" si="188"/>
        <v>70.653913209556137</v>
      </c>
    </row>
    <row r="410" spans="1:30">
      <c r="A410" s="118">
        <v>38019</v>
      </c>
      <c r="B410" s="101">
        <f t="shared" ca="1" si="162"/>
        <v>2119.5277873264308</v>
      </c>
      <c r="C410" s="102">
        <f t="shared" ca="1" si="163"/>
        <v>1.5703245235738776</v>
      </c>
      <c r="D410" s="102">
        <f t="shared" si="164"/>
        <v>1.5035094208325359</v>
      </c>
      <c r="E410" s="103">
        <f t="shared" si="165"/>
        <v>0.84315445627391838</v>
      </c>
      <c r="F410" s="101">
        <f t="shared" si="166"/>
        <v>12995.094990962138</v>
      </c>
      <c r="G410" s="104">
        <f t="shared" si="167"/>
        <v>1.5707193746832204</v>
      </c>
      <c r="H410" s="113">
        <f t="shared" si="168"/>
        <v>1624.3871768691783</v>
      </c>
      <c r="I410" s="114">
        <f t="shared" si="169"/>
        <v>1.5701807099780418</v>
      </c>
      <c r="J410" s="101">
        <f t="shared" si="170"/>
        <v>2.5896690131561533</v>
      </c>
      <c r="K410" s="104">
        <f t="shared" si="171"/>
        <v>1.174342418724043</v>
      </c>
      <c r="L410" s="102">
        <f t="shared" si="172"/>
        <v>1</v>
      </c>
      <c r="M410" s="103">
        <f t="shared" si="173"/>
        <v>1.5527227424845499E-9</v>
      </c>
      <c r="N410" s="101">
        <f t="shared" si="174"/>
        <v>1</v>
      </c>
      <c r="O410" s="104">
        <f t="shared" si="175"/>
        <v>2.0702969899793998E-10</v>
      </c>
      <c r="P410" s="105">
        <f t="shared" ca="1" si="176"/>
        <v>2.2519247909639435</v>
      </c>
      <c r="Q410" s="106">
        <f t="shared" ca="1" si="177"/>
        <v>1.1811324591077024</v>
      </c>
      <c r="R410" s="107">
        <f t="shared" ca="1" si="178"/>
        <v>-25.034281640205748</v>
      </c>
      <c r="S410" s="108">
        <f t="shared" ca="1" si="179"/>
        <v>-176.6534084323167</v>
      </c>
      <c r="T410" s="116">
        <f t="shared" ca="1" si="180"/>
        <v>3.3465915676833049</v>
      </c>
      <c r="V410" s="72">
        <f t="shared" ca="1" si="181"/>
        <v>38019</v>
      </c>
      <c r="W410" s="72">
        <f t="shared" si="182"/>
        <v>1445444361</v>
      </c>
      <c r="Y410" s="110">
        <f t="shared" si="183"/>
        <v>37.755716328644127</v>
      </c>
      <c r="Z410" s="111">
        <f t="shared" si="184"/>
        <v>-67.315727510068825</v>
      </c>
      <c r="AA410" s="72">
        <f t="shared" si="185"/>
        <v>112.68427248993117</v>
      </c>
      <c r="AB410" s="110">
        <f t="shared" ca="1" si="186"/>
        <v>-45.28877270101588</v>
      </c>
      <c r="AC410" s="111">
        <f t="shared" ca="1" si="187"/>
        <v>-109.33768092224783</v>
      </c>
      <c r="AD410" s="72">
        <f t="shared" ca="1" si="188"/>
        <v>70.662319077752173</v>
      </c>
    </row>
    <row r="411" spans="1:30">
      <c r="A411" s="118">
        <v>38240.5</v>
      </c>
      <c r="B411" s="101">
        <f t="shared" ca="1" si="162"/>
        <v>2131.8762262830328</v>
      </c>
      <c r="C411" s="102">
        <f t="shared" ca="1" si="163"/>
        <v>1.5703272563937436</v>
      </c>
      <c r="D411" s="102">
        <f t="shared" si="164"/>
        <v>1.5084002353739852</v>
      </c>
      <c r="E411" s="103">
        <f t="shared" si="165"/>
        <v>0.84603868244525304</v>
      </c>
      <c r="F411" s="101">
        <f t="shared" si="166"/>
        <v>13070.804860330154</v>
      </c>
      <c r="G411" s="104">
        <f t="shared" si="167"/>
        <v>1.5707198204120334</v>
      </c>
      <c r="H411" s="113">
        <f t="shared" si="168"/>
        <v>1633.8509087851237</v>
      </c>
      <c r="I411" s="114">
        <f t="shared" si="169"/>
        <v>1.5701842758072224</v>
      </c>
      <c r="J411" s="101">
        <f t="shared" si="170"/>
        <v>2.6025123409366286</v>
      </c>
      <c r="K411" s="104">
        <f t="shared" si="171"/>
        <v>1.176407403476547</v>
      </c>
      <c r="L411" s="102">
        <f t="shared" si="172"/>
        <v>1</v>
      </c>
      <c r="M411" s="103">
        <f t="shared" si="173"/>
        <v>1.561768958520225E-9</v>
      </c>
      <c r="N411" s="101">
        <f t="shared" si="174"/>
        <v>1</v>
      </c>
      <c r="O411" s="104">
        <f t="shared" si="175"/>
        <v>2.0823586113602996E-10</v>
      </c>
      <c r="P411" s="105">
        <f t="shared" ca="1" si="176"/>
        <v>2.2625180569256798</v>
      </c>
      <c r="Q411" s="106">
        <f t="shared" ca="1" si="177"/>
        <v>1.1838607622190125</v>
      </c>
      <c r="R411" s="107">
        <f t="shared" ca="1" si="178"/>
        <v>-25.140264527652615</v>
      </c>
      <c r="S411" s="108">
        <f t="shared" ca="1" si="179"/>
        <v>-176.7627674202634</v>
      </c>
      <c r="T411" s="116">
        <f t="shared" ca="1" si="180"/>
        <v>3.2372325797365988</v>
      </c>
      <c r="V411" s="72">
        <f t="shared" ca="1" si="181"/>
        <v>38240.5</v>
      </c>
      <c r="W411" s="72">
        <f t="shared" si="182"/>
        <v>1462335840.25</v>
      </c>
      <c r="Y411" s="110">
        <f t="shared" si="183"/>
        <v>37.712745563107042</v>
      </c>
      <c r="Z411" s="111">
        <f t="shared" si="184"/>
        <v>-67.433863652249258</v>
      </c>
      <c r="AA411" s="72">
        <f t="shared" si="185"/>
        <v>112.56613634775074</v>
      </c>
      <c r="AB411" s="110">
        <f t="shared" ca="1" si="186"/>
        <v>-45.351784822925659</v>
      </c>
      <c r="AC411" s="111">
        <f t="shared" ca="1" si="187"/>
        <v>-109.32890376801411</v>
      </c>
      <c r="AD411" s="72">
        <f t="shared" ca="1" si="188"/>
        <v>70.671096231985885</v>
      </c>
    </row>
    <row r="412" spans="1:30">
      <c r="A412" s="118">
        <v>38462</v>
      </c>
      <c r="B412" s="101">
        <f t="shared" ca="1" si="162"/>
        <v>2144.2246652553731</v>
      </c>
      <c r="C412" s="102">
        <f t="shared" ca="1" si="163"/>
        <v>1.5703299577373748</v>
      </c>
      <c r="D412" s="102">
        <f t="shared" si="164"/>
        <v>1.5133035167678508</v>
      </c>
      <c r="E412" s="103">
        <f t="shared" si="165"/>
        <v>0.84890424186198099</v>
      </c>
      <c r="F412" s="101">
        <f t="shared" si="166"/>
        <v>13146.514729700735</v>
      </c>
      <c r="G412" s="104">
        <f t="shared" si="167"/>
        <v>1.5707202610070035</v>
      </c>
      <c r="H412" s="113">
        <f t="shared" si="168"/>
        <v>1643.3146407216041</v>
      </c>
      <c r="I412" s="114">
        <f t="shared" si="169"/>
        <v>1.5701878005656906</v>
      </c>
      <c r="J412" s="101">
        <f t="shared" si="170"/>
        <v>2.615366657230239</v>
      </c>
      <c r="K412" s="104">
        <f t="shared" si="171"/>
        <v>1.1784520984095108</v>
      </c>
      <c r="L412" s="102">
        <f t="shared" si="172"/>
        <v>1</v>
      </c>
      <c r="M412" s="103">
        <f t="shared" si="173"/>
        <v>1.5708151745558998E-9</v>
      </c>
      <c r="N412" s="101">
        <f t="shared" si="174"/>
        <v>1</v>
      </c>
      <c r="O412" s="104">
        <f t="shared" si="175"/>
        <v>2.0944202327411997E-10</v>
      </c>
      <c r="P412" s="105">
        <f t="shared" ca="1" si="176"/>
        <v>2.2731243290528846</v>
      </c>
      <c r="Q412" s="106">
        <f t="shared" ca="1" si="177"/>
        <v>1.1865676182585647</v>
      </c>
      <c r="R412" s="107">
        <f t="shared" ca="1" si="178"/>
        <v>-25.245659994664663</v>
      </c>
      <c r="S412" s="108">
        <f t="shared" ca="1" si="179"/>
        <v>-176.87080484231893</v>
      </c>
      <c r="T412" s="116">
        <f t="shared" ca="1" si="180"/>
        <v>3.1291951576810675</v>
      </c>
      <c r="V412" s="72">
        <f t="shared" ca="1" si="181"/>
        <v>38462</v>
      </c>
      <c r="W412" s="72">
        <f t="shared" si="182"/>
        <v>1479325444</v>
      </c>
      <c r="Y412" s="110">
        <f t="shared" si="183"/>
        <v>37.669949842244023</v>
      </c>
      <c r="Z412" s="111">
        <f t="shared" si="184"/>
        <v>-67.55083933243256</v>
      </c>
      <c r="AA412" s="72">
        <f t="shared" si="185"/>
        <v>112.44916066756744</v>
      </c>
      <c r="AB412" s="110">
        <f t="shared" ca="1" si="186"/>
        <v>-45.414384569074684</v>
      </c>
      <c r="AC412" s="111">
        <f t="shared" ca="1" si="187"/>
        <v>-109.31996550988634</v>
      </c>
      <c r="AD412" s="72">
        <f t="shared" ca="1" si="188"/>
        <v>70.680034490113655</v>
      </c>
    </row>
    <row r="413" spans="1:30">
      <c r="A413" s="118">
        <v>38683.5</v>
      </c>
      <c r="B413" s="101">
        <f t="shared" ca="1" si="162"/>
        <v>2156.5731042431808</v>
      </c>
      <c r="C413" s="102">
        <f t="shared" ca="1" si="163"/>
        <v>1.5703326281454659</v>
      </c>
      <c r="D413" s="102">
        <f t="shared" si="164"/>
        <v>1.5182191442242914</v>
      </c>
      <c r="E413" s="103">
        <f t="shared" si="165"/>
        <v>0.85175126855035144</v>
      </c>
      <c r="F413" s="101">
        <f t="shared" si="166"/>
        <v>13222.224599073841</v>
      </c>
      <c r="G413" s="104">
        <f t="shared" si="167"/>
        <v>1.5707206965563192</v>
      </c>
      <c r="H413" s="113">
        <f t="shared" si="168"/>
        <v>1652.7783726782673</v>
      </c>
      <c r="I413" s="114">
        <f t="shared" si="169"/>
        <v>1.5701912849589534</v>
      </c>
      <c r="J413" s="101">
        <f t="shared" si="170"/>
        <v>2.6282318008071193</v>
      </c>
      <c r="K413" s="104">
        <f t="shared" si="171"/>
        <v>1.180476784254435</v>
      </c>
      <c r="L413" s="102">
        <f t="shared" si="172"/>
        <v>1</v>
      </c>
      <c r="M413" s="103">
        <f t="shared" si="173"/>
        <v>1.5798613905915749E-9</v>
      </c>
      <c r="N413" s="101">
        <f t="shared" si="174"/>
        <v>1</v>
      </c>
      <c r="O413" s="104">
        <f t="shared" si="175"/>
        <v>2.1064818541220997E-10</v>
      </c>
      <c r="P413" s="105">
        <f t="shared" ca="1" si="176"/>
        <v>2.2837434480334919</v>
      </c>
      <c r="Q413" s="106">
        <f t="shared" ca="1" si="177"/>
        <v>1.189253299773954</v>
      </c>
      <c r="R413" s="107">
        <f t="shared" ca="1" si="178"/>
        <v>-25.35047365975079</v>
      </c>
      <c r="S413" s="108">
        <f t="shared" ca="1" si="179"/>
        <v>-176.97754471551175</v>
      </c>
      <c r="T413" s="116">
        <f t="shared" ca="1" si="180"/>
        <v>3.0224552844882453</v>
      </c>
      <c r="V413" s="72">
        <f t="shared" ca="1" si="181"/>
        <v>38683.5</v>
      </c>
      <c r="W413" s="72">
        <f t="shared" si="182"/>
        <v>1496413172.25</v>
      </c>
      <c r="Y413" s="110">
        <f t="shared" si="183"/>
        <v>37.627328161808727</v>
      </c>
      <c r="Z413" s="111">
        <f t="shared" si="184"/>
        <v>-67.666670599979213</v>
      </c>
      <c r="AA413" s="72">
        <f t="shared" si="185"/>
        <v>112.33332940002079</v>
      </c>
      <c r="AB413" s="110">
        <f t="shared" ca="1" si="186"/>
        <v>-45.476576553725522</v>
      </c>
      <c r="AC413" s="111">
        <f t="shared" ca="1" si="187"/>
        <v>-109.31087411553254</v>
      </c>
      <c r="AD413" s="72">
        <f t="shared" ca="1" si="188"/>
        <v>70.689125884467458</v>
      </c>
    </row>
    <row r="414" spans="1:30">
      <c r="A414" s="118">
        <v>38905</v>
      </c>
      <c r="B414" s="101">
        <f t="shared" ca="1" si="162"/>
        <v>2168.9215432461924</v>
      </c>
      <c r="C414" s="102">
        <f t="shared" ca="1" si="163"/>
        <v>1.5703352681463978</v>
      </c>
      <c r="D414" s="102">
        <f t="shared" si="164"/>
        <v>1.523146998210573</v>
      </c>
      <c r="E414" s="103">
        <f t="shared" si="165"/>
        <v>0.85457989601041828</v>
      </c>
      <c r="F414" s="101">
        <f t="shared" si="166"/>
        <v>13297.934468449426</v>
      </c>
      <c r="G414" s="104">
        <f t="shared" si="167"/>
        <v>1.5707211271461605</v>
      </c>
      <c r="H414" s="113">
        <f t="shared" si="168"/>
        <v>1662.2421046547686</v>
      </c>
      <c r="I414" s="114">
        <f t="shared" si="169"/>
        <v>1.5701947296764507</v>
      </c>
      <c r="J414" s="101">
        <f t="shared" si="170"/>
        <v>2.641107613444392</v>
      </c>
      <c r="K414" s="104">
        <f t="shared" si="171"/>
        <v>1.1824817369315042</v>
      </c>
      <c r="L414" s="102">
        <f t="shared" si="172"/>
        <v>1</v>
      </c>
      <c r="M414" s="103">
        <f t="shared" si="173"/>
        <v>1.58890760662725E-9</v>
      </c>
      <c r="N414" s="101">
        <f t="shared" si="174"/>
        <v>1</v>
      </c>
      <c r="O414" s="104">
        <f t="shared" si="175"/>
        <v>2.1185434755029998E-10</v>
      </c>
      <c r="P414" s="105">
        <f t="shared" ca="1" si="176"/>
        <v>2.2943752574131304</v>
      </c>
      <c r="Q414" s="106">
        <f t="shared" ca="1" si="177"/>
        <v>1.1919180751712333</v>
      </c>
      <c r="R414" s="107">
        <f t="shared" ca="1" si="178"/>
        <v>-25.454711075858842</v>
      </c>
      <c r="S414" s="108">
        <f t="shared" ca="1" si="179"/>
        <v>-177.08301057415807</v>
      </c>
      <c r="T414" s="116">
        <f t="shared" ca="1" si="180"/>
        <v>2.9169894258419333</v>
      </c>
      <c r="V414" s="72">
        <f t="shared" ca="1" si="181"/>
        <v>38905</v>
      </c>
      <c r="W414" s="72">
        <f t="shared" si="182"/>
        <v>1513599025</v>
      </c>
      <c r="Y414" s="110">
        <f t="shared" si="183"/>
        <v>37.584879517611547</v>
      </c>
      <c r="Z414" s="111">
        <f t="shared" si="184"/>
        <v>-67.781373229386972</v>
      </c>
      <c r="AA414" s="72">
        <f t="shared" si="185"/>
        <v>112.21862677061303</v>
      </c>
      <c r="AB414" s="110">
        <f t="shared" ca="1" si="186"/>
        <v>-45.538365325636391</v>
      </c>
      <c r="AC414" s="111">
        <f t="shared" ca="1" si="187"/>
        <v>-109.30163734477105</v>
      </c>
      <c r="AD414" s="72">
        <f t="shared" ca="1" si="188"/>
        <v>70.698362655228948</v>
      </c>
    </row>
    <row r="415" spans="1:30">
      <c r="A415" s="118">
        <v>39131.5</v>
      </c>
      <c r="B415" s="101">
        <f t="shared" ca="1" si="162"/>
        <v>2181.5487280660795</v>
      </c>
      <c r="C415" s="102">
        <f t="shared" ca="1" si="163"/>
        <v>1.5703379368345189</v>
      </c>
      <c r="D415" s="102">
        <f t="shared" si="164"/>
        <v>1.5281986108368972</v>
      </c>
      <c r="E415" s="103">
        <f t="shared" si="165"/>
        <v>0.85745348671644583</v>
      </c>
      <c r="F415" s="101">
        <f t="shared" si="166"/>
        <v>13375.353364224271</v>
      </c>
      <c r="G415" s="104">
        <f t="shared" si="167"/>
        <v>1.5707215624149433</v>
      </c>
      <c r="H415" s="113">
        <f t="shared" si="168"/>
        <v>1671.9194649127537</v>
      </c>
      <c r="I415" s="114">
        <f t="shared" si="169"/>
        <v>1.5701982118254798</v>
      </c>
      <c r="J415" s="101">
        <f t="shared" si="170"/>
        <v>2.6542849477422115</v>
      </c>
      <c r="K415" s="104">
        <f t="shared" si="171"/>
        <v>1.1845118243102069</v>
      </c>
      <c r="L415" s="102">
        <f t="shared" si="172"/>
        <v>1</v>
      </c>
      <c r="M415" s="103">
        <f t="shared" si="173"/>
        <v>1.5981580261851749E-9</v>
      </c>
      <c r="N415" s="101">
        <f t="shared" si="174"/>
        <v>1</v>
      </c>
      <c r="O415" s="104">
        <f t="shared" si="175"/>
        <v>2.1308773682468997E-10</v>
      </c>
      <c r="P415" s="105">
        <f t="shared" ca="1" si="176"/>
        <v>2.3052600257444698</v>
      </c>
      <c r="Q415" s="106">
        <f t="shared" ca="1" si="177"/>
        <v>1.1946216595671355</v>
      </c>
      <c r="R415" s="107">
        <f t="shared" ca="1" si="178"/>
        <v>-25.560711291130392</v>
      </c>
      <c r="S415" s="108">
        <f t="shared" ca="1" si="179"/>
        <v>-177.18956369978946</v>
      </c>
      <c r="T415" s="116">
        <f t="shared" ca="1" si="180"/>
        <v>2.8104363002105401</v>
      </c>
      <c r="V415" s="72">
        <f t="shared" ca="1" si="181"/>
        <v>39131.5</v>
      </c>
      <c r="W415" s="72">
        <f t="shared" si="182"/>
        <v>1531274292.25</v>
      </c>
      <c r="Y415" s="110">
        <f t="shared" si="183"/>
        <v>37.541650558227026</v>
      </c>
      <c r="Z415" s="111">
        <f t="shared" si="184"/>
        <v>-67.897514094523999</v>
      </c>
      <c r="AA415" s="72">
        <f t="shared" si="185"/>
        <v>112.102485905476</v>
      </c>
      <c r="AB415" s="110">
        <f t="shared" ca="1" si="186"/>
        <v>-45.601136581523427</v>
      </c>
      <c r="AC415" s="111">
        <f t="shared" ca="1" si="187"/>
        <v>-109.2920496052655</v>
      </c>
      <c r="AD415" s="72">
        <f t="shared" ca="1" si="188"/>
        <v>70.707950394734496</v>
      </c>
    </row>
    <row r="416" spans="1:30">
      <c r="A416" s="118">
        <v>39358</v>
      </c>
      <c r="B416" s="101">
        <f t="shared" ca="1" si="162"/>
        <v>2194.1759129013249</v>
      </c>
      <c r="C416" s="102">
        <f t="shared" ca="1" si="163"/>
        <v>1.5703405748067636</v>
      </c>
      <c r="D416" s="102">
        <f t="shared" si="164"/>
        <v>1.5332627593866088</v>
      </c>
      <c r="E416" s="103">
        <f t="shared" si="165"/>
        <v>0.86030811874344493</v>
      </c>
      <c r="F416" s="101">
        <f t="shared" si="166"/>
        <v>13452.772260001622</v>
      </c>
      <c r="G416" s="104">
        <f t="shared" si="167"/>
        <v>1.5707219926738996</v>
      </c>
      <c r="H416" s="113">
        <f t="shared" si="168"/>
        <v>1681.5968251907784</v>
      </c>
      <c r="I416" s="114">
        <f t="shared" si="169"/>
        <v>1.570201653895924</v>
      </c>
      <c r="J416" s="101">
        <f t="shared" si="170"/>
        <v>2.667473112921066</v>
      </c>
      <c r="K416" s="104">
        <f t="shared" si="171"/>
        <v>1.1865218461295215</v>
      </c>
      <c r="L416" s="102">
        <f t="shared" si="172"/>
        <v>1</v>
      </c>
      <c r="M416" s="103">
        <f t="shared" si="173"/>
        <v>1.6074084457430999E-9</v>
      </c>
      <c r="N416" s="101">
        <f t="shared" si="174"/>
        <v>1</v>
      </c>
      <c r="O416" s="104">
        <f t="shared" si="175"/>
        <v>2.1432112609907996E-10</v>
      </c>
      <c r="P416" s="105">
        <f t="shared" ca="1" si="176"/>
        <v>2.3161577418843398</v>
      </c>
      <c r="Q416" s="106">
        <f t="shared" ca="1" si="177"/>
        <v>1.1973039380365815</v>
      </c>
      <c r="R416" s="107">
        <f t="shared" ca="1" si="178"/>
        <v>-25.666120485493128</v>
      </c>
      <c r="S416" s="108">
        <f t="shared" ca="1" si="179"/>
        <v>-177.29483291558361</v>
      </c>
      <c r="T416" s="116">
        <f t="shared" ca="1" si="180"/>
        <v>2.705167084416388</v>
      </c>
      <c r="V416" s="72">
        <f t="shared" ca="1" si="181"/>
        <v>39358</v>
      </c>
      <c r="W416" s="72">
        <f t="shared" si="182"/>
        <v>1549052164</v>
      </c>
      <c r="Y416" s="110">
        <f t="shared" si="183"/>
        <v>37.49860041308051</v>
      </c>
      <c r="Z416" s="111">
        <f t="shared" si="184"/>
        <v>-68.012507297085051</v>
      </c>
      <c r="AA416" s="72">
        <f t="shared" si="185"/>
        <v>111.98749270291495</v>
      </c>
      <c r="AB416" s="110">
        <f t="shared" ca="1" si="186"/>
        <v>-45.663495630739632</v>
      </c>
      <c r="AC416" s="111">
        <f t="shared" ca="1" si="187"/>
        <v>-109.28232561849865</v>
      </c>
      <c r="AD416" s="72">
        <f t="shared" ca="1" si="188"/>
        <v>70.717674381501354</v>
      </c>
    </row>
    <row r="417" spans="1:30">
      <c r="A417" s="118">
        <v>39584.5</v>
      </c>
      <c r="B417" s="101">
        <f t="shared" ca="1" si="162"/>
        <v>2206.8030977516642</v>
      </c>
      <c r="C417" s="102">
        <f t="shared" ca="1" si="163"/>
        <v>1.5703431825903946</v>
      </c>
      <c r="D417" s="102">
        <f t="shared" si="164"/>
        <v>1.5383393200565099</v>
      </c>
      <c r="E417" s="103">
        <f t="shared" si="165"/>
        <v>0.86314393302926462</v>
      </c>
      <c r="F417" s="101">
        <f t="shared" si="166"/>
        <v>13530.191155781433</v>
      </c>
      <c r="G417" s="104">
        <f t="shared" si="167"/>
        <v>1.5707224180090269</v>
      </c>
      <c r="H417" s="113">
        <f t="shared" si="168"/>
        <v>1691.2741854884982</v>
      </c>
      <c r="I417" s="114">
        <f t="shared" si="169"/>
        <v>1.5702050565757641</v>
      </c>
      <c r="J417" s="101">
        <f t="shared" si="170"/>
        <v>2.6806719491261348</v>
      </c>
      <c r="K417" s="104">
        <f t="shared" si="171"/>
        <v>1.1885120824174797</v>
      </c>
      <c r="L417" s="102">
        <f t="shared" si="172"/>
        <v>1</v>
      </c>
      <c r="M417" s="103">
        <f t="shared" si="173"/>
        <v>1.616658865301025E-9</v>
      </c>
      <c r="N417" s="101">
        <f t="shared" si="174"/>
        <v>1</v>
      </c>
      <c r="O417" s="104">
        <f t="shared" si="175"/>
        <v>2.1555451537346998E-10</v>
      </c>
      <c r="P417" s="105">
        <f t="shared" ca="1" si="176"/>
        <v>2.3270682474437794</v>
      </c>
      <c r="Q417" s="106">
        <f t="shared" ca="1" si="177"/>
        <v>1.1999651845718522</v>
      </c>
      <c r="R417" s="107">
        <f t="shared" ca="1" si="178"/>
        <v>-25.770944388743295</v>
      </c>
      <c r="S417" s="108">
        <f t="shared" ca="1" si="179"/>
        <v>-177.3988418851412</v>
      </c>
      <c r="T417" s="116">
        <f t="shared" ca="1" si="180"/>
        <v>2.601158114858805</v>
      </c>
      <c r="V417" s="72">
        <f t="shared" ca="1" si="181"/>
        <v>39584.5</v>
      </c>
      <c r="W417" s="72">
        <f t="shared" si="182"/>
        <v>1566932640.25</v>
      </c>
      <c r="Y417" s="110">
        <f t="shared" si="183"/>
        <v>37.455728010711795</v>
      </c>
      <c r="Z417" s="111">
        <f t="shared" si="184"/>
        <v>-68.126368847003405</v>
      </c>
      <c r="AA417" s="72">
        <f t="shared" si="185"/>
        <v>111.87363115299659</v>
      </c>
      <c r="AB417" s="110">
        <f t="shared" ca="1" si="186"/>
        <v>-45.725447131621088</v>
      </c>
      <c r="AC417" s="111">
        <f t="shared" ca="1" si="187"/>
        <v>-109.27247303813776</v>
      </c>
      <c r="AD417" s="72">
        <f t="shared" ca="1" si="188"/>
        <v>70.727526961862239</v>
      </c>
    </row>
    <row r="418" spans="1:30">
      <c r="A418" s="118">
        <v>39811</v>
      </c>
      <c r="B418" s="101">
        <f t="shared" ca="1" si="162"/>
        <v>2219.4302826168405</v>
      </c>
      <c r="C418" s="102">
        <f t="shared" ca="1" si="163"/>
        <v>1.5703457607006754</v>
      </c>
      <c r="D418" s="102">
        <f t="shared" si="164"/>
        <v>1.5434281703707771</v>
      </c>
      <c r="E418" s="103">
        <f t="shared" si="165"/>
        <v>0.8659610698704473</v>
      </c>
      <c r="F418" s="101">
        <f t="shared" si="166"/>
        <v>13607.610051563666</v>
      </c>
      <c r="G418" s="104">
        <f t="shared" si="167"/>
        <v>1.5707228385043657</v>
      </c>
      <c r="H418" s="113">
        <f t="shared" si="168"/>
        <v>1700.9515458055776</v>
      </c>
      <c r="I418" s="114">
        <f t="shared" si="169"/>
        <v>1.5702084205373248</v>
      </c>
      <c r="J418" s="101">
        <f t="shared" si="170"/>
        <v>2.6938812995073862</v>
      </c>
      <c r="K418" s="104">
        <f t="shared" si="171"/>
        <v>1.190482808343333</v>
      </c>
      <c r="L418" s="102">
        <f t="shared" si="172"/>
        <v>1</v>
      </c>
      <c r="M418" s="103">
        <f t="shared" si="173"/>
        <v>1.6259092848589498E-9</v>
      </c>
      <c r="N418" s="101">
        <f t="shared" si="174"/>
        <v>1</v>
      </c>
      <c r="O418" s="104">
        <f t="shared" si="175"/>
        <v>2.1678790464785997E-10</v>
      </c>
      <c r="P418" s="105">
        <f t="shared" ca="1" si="176"/>
        <v>2.337991386913846</v>
      </c>
      <c r="Q418" s="106">
        <f t="shared" ca="1" si="177"/>
        <v>1.2026056689249196</v>
      </c>
      <c r="R418" s="107">
        <f t="shared" ca="1" si="178"/>
        <v>-25.875188662300555</v>
      </c>
      <c r="S418" s="108">
        <f t="shared" ca="1" si="179"/>
        <v>-177.50161378756471</v>
      </c>
      <c r="T418" s="116">
        <f t="shared" ca="1" si="180"/>
        <v>2.4983862124352925</v>
      </c>
      <c r="V418" s="72">
        <f t="shared" ca="1" si="181"/>
        <v>39811</v>
      </c>
      <c r="W418" s="72">
        <f t="shared" si="182"/>
        <v>1584915721</v>
      </c>
      <c r="Y418" s="110">
        <f t="shared" si="183"/>
        <v>37.413032281080838</v>
      </c>
      <c r="Z418" s="111">
        <f t="shared" si="184"/>
        <v>-68.239114476609629</v>
      </c>
      <c r="AA418" s="72">
        <f t="shared" si="185"/>
        <v>111.76088552339037</v>
      </c>
      <c r="AB418" s="110">
        <f t="shared" ca="1" si="186"/>
        <v>-45.786995675547395</v>
      </c>
      <c r="AC418" s="111">
        <f t="shared" ca="1" si="187"/>
        <v>-109.26249931095509</v>
      </c>
      <c r="AD418" s="72">
        <f t="shared" ca="1" si="188"/>
        <v>70.737500689044907</v>
      </c>
    </row>
    <row r="419" spans="1:30">
      <c r="A419" s="118">
        <v>40042.75</v>
      </c>
      <c r="B419" s="101">
        <f t="shared" ca="1" si="162"/>
        <v>2232.3501505900117</v>
      </c>
      <c r="C419" s="102">
        <f t="shared" ca="1" si="163"/>
        <v>1.5703483683806756</v>
      </c>
      <c r="D419" s="102">
        <f t="shared" si="164"/>
        <v>1.548647568037284</v>
      </c>
      <c r="E419" s="103">
        <f t="shared" si="165"/>
        <v>0.86882431838783081</v>
      </c>
      <c r="F419" s="101">
        <f t="shared" si="166"/>
        <v>13686.823425065168</v>
      </c>
      <c r="G419" s="104">
        <f t="shared" si="167"/>
        <v>1.5707232638225885</v>
      </c>
      <c r="H419" s="113">
        <f t="shared" si="168"/>
        <v>1710.8532158185749</v>
      </c>
      <c r="I419" s="114">
        <f t="shared" si="169"/>
        <v>1.5702118230819568</v>
      </c>
      <c r="J419" s="101">
        <f t="shared" si="170"/>
        <v>2.707407548925568</v>
      </c>
      <c r="K419" s="104">
        <f t="shared" si="171"/>
        <v>1.1924793014185917</v>
      </c>
      <c r="L419" s="102">
        <f t="shared" si="172"/>
        <v>1</v>
      </c>
      <c r="M419" s="103">
        <f t="shared" si="173"/>
        <v>1.6353741181152374E-9</v>
      </c>
      <c r="N419" s="101">
        <f t="shared" si="174"/>
        <v>1</v>
      </c>
      <c r="O419" s="104">
        <f t="shared" si="175"/>
        <v>2.1804988241536498E-10</v>
      </c>
      <c r="P419" s="105">
        <f t="shared" ca="1" si="176"/>
        <v>2.3491806290574666</v>
      </c>
      <c r="Q419" s="106">
        <f t="shared" ca="1" si="177"/>
        <v>1.2052861439202955</v>
      </c>
      <c r="R419" s="107">
        <f t="shared" ca="1" si="178"/>
        <v>-25.981255089952008</v>
      </c>
      <c r="S419" s="108">
        <f t="shared" ca="1" si="179"/>
        <v>-177.60551108938552</v>
      </c>
      <c r="T419" s="116">
        <f t="shared" ca="1" si="180"/>
        <v>2.3944889106144842</v>
      </c>
      <c r="V419" s="72">
        <f t="shared" ca="1" si="181"/>
        <v>40042.75</v>
      </c>
      <c r="W419" s="72">
        <f t="shared" si="182"/>
        <v>1603421827.5625</v>
      </c>
      <c r="Y419" s="110">
        <f t="shared" si="183"/>
        <v>37.369528663844569</v>
      </c>
      <c r="Z419" s="111">
        <f t="shared" si="184"/>
        <v>-68.353334520801695</v>
      </c>
      <c r="AA419" s="72">
        <f t="shared" si="185"/>
        <v>111.6466654791983</v>
      </c>
      <c r="AB419" s="110">
        <f t="shared" ca="1" si="186"/>
        <v>-45.849558485962582</v>
      </c>
      <c r="AC419" s="111">
        <f t="shared" ca="1" si="187"/>
        <v>-109.25217656858383</v>
      </c>
      <c r="AD419" s="72">
        <f t="shared" ca="1" si="188"/>
        <v>70.747823431416165</v>
      </c>
    </row>
    <row r="420" spans="1:30">
      <c r="A420" s="118">
        <v>40274.5</v>
      </c>
      <c r="B420" s="101">
        <f t="shared" ca="1" si="162"/>
        <v>2245.2700185781887</v>
      </c>
      <c r="C420" s="102">
        <f t="shared" ca="1" si="163"/>
        <v>1.570350946050137</v>
      </c>
      <c r="D420" s="102">
        <f t="shared" si="164"/>
        <v>1.5538795764624271</v>
      </c>
      <c r="E420" s="103">
        <f t="shared" si="165"/>
        <v>0.87166830862136546</v>
      </c>
      <c r="F420" s="101">
        <f t="shared" si="166"/>
        <v>13766.036798569115</v>
      </c>
      <c r="G420" s="104">
        <f t="shared" si="167"/>
        <v>1.570723684246027</v>
      </c>
      <c r="H420" s="113">
        <f t="shared" si="168"/>
        <v>1720.7548858511516</v>
      </c>
      <c r="I420" s="114">
        <f t="shared" si="169"/>
        <v>1.57021518646834</v>
      </c>
      <c r="J420" s="101">
        <f t="shared" si="170"/>
        <v>2.7209444827092208</v>
      </c>
      <c r="K420" s="104">
        <f t="shared" si="171"/>
        <v>1.1944559368565768</v>
      </c>
      <c r="L420" s="102">
        <f t="shared" si="172"/>
        <v>1</v>
      </c>
      <c r="M420" s="103">
        <f t="shared" si="173"/>
        <v>1.644838951371525E-9</v>
      </c>
      <c r="N420" s="101">
        <f t="shared" si="174"/>
        <v>1</v>
      </c>
      <c r="O420" s="104">
        <f t="shared" si="175"/>
        <v>2.1931186018286997E-10</v>
      </c>
      <c r="P420" s="105">
        <f t="shared" ca="1" si="176"/>
        <v>2.3603827771829842</v>
      </c>
      <c r="Q420" s="106">
        <f t="shared" ca="1" si="177"/>
        <v>1.2079454411514174</v>
      </c>
      <c r="R420" s="107">
        <f t="shared" ca="1" si="178"/>
        <v>-26.086726481777532</v>
      </c>
      <c r="S420" s="108">
        <f t="shared" ca="1" si="179"/>
        <v>-177.70816089794664</v>
      </c>
      <c r="T420" s="116">
        <f t="shared" ca="1" si="180"/>
        <v>2.2918391020533591</v>
      </c>
      <c r="V420" s="72">
        <f t="shared" ca="1" si="181"/>
        <v>40274.5</v>
      </c>
      <c r="W420" s="72">
        <f t="shared" si="182"/>
        <v>1622035350.25</v>
      </c>
      <c r="Y420" s="110">
        <f t="shared" si="183"/>
        <v>37.326207743821577</v>
      </c>
      <c r="Z420" s="111">
        <f t="shared" si="184"/>
        <v>-68.466418769337437</v>
      </c>
      <c r="AA420" s="72">
        <f t="shared" si="185"/>
        <v>111.53358123066256</v>
      </c>
      <c r="AB420" s="110">
        <f t="shared" ca="1" si="186"/>
        <v>-45.911708957765107</v>
      </c>
      <c r="AC420" s="111">
        <f t="shared" ca="1" si="187"/>
        <v>-109.24174212860919</v>
      </c>
      <c r="AD420" s="72">
        <f t="shared" ca="1" si="188"/>
        <v>70.758257871390811</v>
      </c>
    </row>
    <row r="421" spans="1:30">
      <c r="A421" s="118">
        <v>40506.25</v>
      </c>
      <c r="B421" s="101">
        <f t="shared" ca="1" si="162"/>
        <v>2258.1898865811131</v>
      </c>
      <c r="C421" s="102">
        <f t="shared" ca="1" si="163"/>
        <v>1.5703534942241613</v>
      </c>
      <c r="D421" s="102">
        <f t="shared" si="164"/>
        <v>1.5591240686910894</v>
      </c>
      <c r="E421" s="103">
        <f t="shared" si="165"/>
        <v>0.87449318867267534</v>
      </c>
      <c r="F421" s="101">
        <f t="shared" si="166"/>
        <v>13845.25017207547</v>
      </c>
      <c r="G421" s="104">
        <f t="shared" si="167"/>
        <v>1.5707240998586953</v>
      </c>
      <c r="H421" s="113">
        <f t="shared" si="168"/>
        <v>1730.6565559029714</v>
      </c>
      <c r="I421" s="114">
        <f t="shared" si="169"/>
        <v>1.5702185113685867</v>
      </c>
      <c r="J421" s="101">
        <f t="shared" si="170"/>
        <v>2.7344919421814708</v>
      </c>
      <c r="K421" s="104">
        <f t="shared" si="171"/>
        <v>1.1964129942371573</v>
      </c>
      <c r="L421" s="102">
        <f t="shared" si="172"/>
        <v>1</v>
      </c>
      <c r="M421" s="103">
        <f t="shared" si="173"/>
        <v>1.6543037846278123E-9</v>
      </c>
      <c r="N421" s="101">
        <f t="shared" si="174"/>
        <v>1</v>
      </c>
      <c r="O421" s="104">
        <f t="shared" si="175"/>
        <v>2.2057383795037498E-10</v>
      </c>
      <c r="P421" s="105">
        <f t="shared" ca="1" si="176"/>
        <v>2.3715976736994286</v>
      </c>
      <c r="Q421" s="106">
        <f t="shared" ca="1" si="177"/>
        <v>1.2105838362386006</v>
      </c>
      <c r="R421" s="107">
        <f t="shared" ca="1" si="178"/>
        <v>-26.191608685145699</v>
      </c>
      <c r="S421" s="108">
        <f t="shared" ca="1" si="179"/>
        <v>-177.80958653409505</v>
      </c>
      <c r="T421" s="116">
        <f t="shared" ca="1" si="180"/>
        <v>2.1904134659049532</v>
      </c>
      <c r="V421" s="72">
        <f t="shared" ca="1" si="181"/>
        <v>40506.25</v>
      </c>
      <c r="W421" s="72">
        <f t="shared" si="182"/>
        <v>1640756289.0625</v>
      </c>
      <c r="Y421" s="110">
        <f t="shared" si="183"/>
        <v>37.283068381355193</v>
      </c>
      <c r="Z421" s="111">
        <f t="shared" si="184"/>
        <v>-68.578383207267962</v>
      </c>
      <c r="AA421" s="72">
        <f t="shared" si="185"/>
        <v>111.42161679273204</v>
      </c>
      <c r="AB421" s="110">
        <f t="shared" ca="1" si="186"/>
        <v>-45.973451798666893</v>
      </c>
      <c r="AC421" s="111">
        <f t="shared" ca="1" si="187"/>
        <v>-109.23120332682709</v>
      </c>
      <c r="AD421" s="72">
        <f t="shared" ca="1" si="188"/>
        <v>70.768796673172915</v>
      </c>
    </row>
    <row r="422" spans="1:30">
      <c r="A422" s="118">
        <v>40738</v>
      </c>
      <c r="B422" s="101">
        <f t="shared" ca="1" si="162"/>
        <v>2271.1097545985335</v>
      </c>
      <c r="C422" s="102">
        <f t="shared" ca="1" si="163"/>
        <v>1.5703560134061281</v>
      </c>
      <c r="D422" s="102">
        <f t="shared" si="164"/>
        <v>1.5643809191696918</v>
      </c>
      <c r="E422" s="103">
        <f t="shared" si="165"/>
        <v>0.87729910587978388</v>
      </c>
      <c r="F422" s="101">
        <f t="shared" si="166"/>
        <v>13924.463545584187</v>
      </c>
      <c r="G422" s="104">
        <f t="shared" si="167"/>
        <v>1.5707245107426957</v>
      </c>
      <c r="H422" s="113">
        <f t="shared" si="168"/>
        <v>1740.5582259737057</v>
      </c>
      <c r="I422" s="114">
        <f t="shared" si="169"/>
        <v>1.5702217984395155</v>
      </c>
      <c r="J422" s="101">
        <f t="shared" si="170"/>
        <v>2.7480497716722838</v>
      </c>
      <c r="K422" s="104">
        <f t="shared" si="171"/>
        <v>1.1983507482291709</v>
      </c>
      <c r="L422" s="102">
        <f t="shared" si="172"/>
        <v>1</v>
      </c>
      <c r="M422" s="103">
        <f t="shared" si="173"/>
        <v>1.6637686178840999E-9</v>
      </c>
      <c r="N422" s="101">
        <f t="shared" si="174"/>
        <v>1</v>
      </c>
      <c r="O422" s="104">
        <f t="shared" si="175"/>
        <v>2.2183581571787997E-10</v>
      </c>
      <c r="P422" s="105">
        <f t="shared" ca="1" si="176"/>
        <v>2.3828251639216287</v>
      </c>
      <c r="Q422" s="106">
        <f t="shared" ca="1" si="177"/>
        <v>1.2132016004595318</v>
      </c>
      <c r="R422" s="107">
        <f t="shared" ca="1" si="178"/>
        <v>-26.295907476075708</v>
      </c>
      <c r="S422" s="108">
        <f t="shared" ca="1" si="179"/>
        <v>-177.90981083232825</v>
      </c>
      <c r="T422" s="116">
        <f t="shared" ca="1" si="180"/>
        <v>2.0901891676717526</v>
      </c>
      <c r="V422" s="72">
        <f t="shared" ca="1" si="181"/>
        <v>40738</v>
      </c>
      <c r="W422" s="72">
        <f t="shared" si="182"/>
        <v>1659584644</v>
      </c>
      <c r="Y422" s="110">
        <f t="shared" si="183"/>
        <v>37.240109439581389</v>
      </c>
      <c r="Z422" s="111">
        <f t="shared" si="184"/>
        <v>-68.689243539029562</v>
      </c>
      <c r="AA422" s="72">
        <f t="shared" si="185"/>
        <v>111.31075646097044</v>
      </c>
      <c r="AB422" s="110">
        <f t="shared" ca="1" si="186"/>
        <v>-46.034791647823099</v>
      </c>
      <c r="AC422" s="111">
        <f t="shared" ca="1" si="187"/>
        <v>-109.2205672932987</v>
      </c>
      <c r="AD422" s="72">
        <f t="shared" ca="1" si="188"/>
        <v>70.7794327067013</v>
      </c>
    </row>
    <row r="423" spans="1:30">
      <c r="A423" s="118">
        <v>40975.25</v>
      </c>
      <c r="B423" s="101">
        <f t="shared" ca="1" si="162"/>
        <v>2284.3362430151615</v>
      </c>
      <c r="C423" s="102">
        <f t="shared" ca="1" si="163"/>
        <v>1.5703585628558105</v>
      </c>
      <c r="D423" s="102">
        <f t="shared" si="164"/>
        <v>1.5697751997346574</v>
      </c>
      <c r="E423" s="103">
        <f t="shared" si="165"/>
        <v>0.88015212421244404</v>
      </c>
      <c r="F423" s="101">
        <f t="shared" si="166"/>
        <v>14005.556848132197</v>
      </c>
      <c r="G423" s="104">
        <f t="shared" si="167"/>
        <v>1.5707249265634247</v>
      </c>
      <c r="H423" s="113">
        <f t="shared" si="168"/>
        <v>1750.6948871549132</v>
      </c>
      <c r="I423" s="114">
        <f t="shared" si="169"/>
        <v>1.5702251250042729</v>
      </c>
      <c r="J423" s="101">
        <f t="shared" si="170"/>
        <v>2.7619399446026334</v>
      </c>
      <c r="K423" s="104">
        <f t="shared" si="171"/>
        <v>1.2003147756316279</v>
      </c>
      <c r="L423" s="102">
        <f t="shared" si="172"/>
        <v>1</v>
      </c>
      <c r="M423" s="103">
        <f t="shared" si="173"/>
        <v>1.6734580750148623E-9</v>
      </c>
      <c r="N423" s="101">
        <f t="shared" si="174"/>
        <v>1</v>
      </c>
      <c r="O423" s="104">
        <f t="shared" si="175"/>
        <v>2.2312774333531496E-10</v>
      </c>
      <c r="P423" s="105">
        <f t="shared" ca="1" si="176"/>
        <v>2.3943319972801858</v>
      </c>
      <c r="Q423" s="106">
        <f t="shared" ca="1" si="177"/>
        <v>1.2158603983353922</v>
      </c>
      <c r="R423" s="107">
        <f t="shared" ca="1" si="178"/>
        <v>-26.402083146102608</v>
      </c>
      <c r="S423" s="108">
        <f t="shared" ca="1" si="179"/>
        <v>-178.01119259986089</v>
      </c>
      <c r="T423" s="116">
        <f t="shared" ca="1" si="180"/>
        <v>1.9888074001391089</v>
      </c>
      <c r="V423" s="72">
        <f t="shared" ca="1" si="181"/>
        <v>40975.25</v>
      </c>
      <c r="W423" s="72">
        <f t="shared" si="182"/>
        <v>1678971112.5625</v>
      </c>
      <c r="Y423" s="110">
        <f t="shared" si="183"/>
        <v>37.196316686490263</v>
      </c>
      <c r="Z423" s="111">
        <f t="shared" si="184"/>
        <v>-68.801607246337554</v>
      </c>
      <c r="AA423" s="72">
        <f t="shared" si="185"/>
        <v>111.19839275366245</v>
      </c>
      <c r="AB423" s="110">
        <f t="shared" ca="1" si="186"/>
        <v>-46.097174564758873</v>
      </c>
      <c r="AC423" s="111">
        <f t="shared" ca="1" si="187"/>
        <v>-109.20958535352332</v>
      </c>
      <c r="AD423" s="72">
        <f t="shared" ca="1" si="188"/>
        <v>70.790414646476677</v>
      </c>
    </row>
    <row r="424" spans="1:30">
      <c r="A424" s="118">
        <v>41212.5</v>
      </c>
      <c r="B424" s="101">
        <f t="shared" ca="1" si="162"/>
        <v>2297.5627314464655</v>
      </c>
      <c r="C424" s="102">
        <f t="shared" ca="1" si="163"/>
        <v>1.5703610829524168</v>
      </c>
      <c r="D424" s="102">
        <f t="shared" si="164"/>
        <v>1.575182170245385</v>
      </c>
      <c r="E424" s="103">
        <f t="shared" si="165"/>
        <v>0.88298557893483087</v>
      </c>
      <c r="F424" s="101">
        <f t="shared" si="166"/>
        <v>14086.650150682601</v>
      </c>
      <c r="G424" s="104">
        <f t="shared" si="167"/>
        <v>1.570725337596603</v>
      </c>
      <c r="H424" s="113">
        <f t="shared" si="168"/>
        <v>1760.831548355271</v>
      </c>
      <c r="I424" s="114">
        <f t="shared" si="169"/>
        <v>1.570228413268649</v>
      </c>
      <c r="J424" s="101">
        <f t="shared" si="170"/>
        <v>2.7758406648029617</v>
      </c>
      <c r="K424" s="104">
        <f t="shared" si="171"/>
        <v>1.2022591397495632</v>
      </c>
      <c r="L424" s="102">
        <f t="shared" si="172"/>
        <v>1</v>
      </c>
      <c r="M424" s="103">
        <f t="shared" si="173"/>
        <v>1.6831475321456249E-9</v>
      </c>
      <c r="N424" s="101">
        <f t="shared" si="174"/>
        <v>1</v>
      </c>
      <c r="O424" s="104">
        <f t="shared" si="175"/>
        <v>2.2441967095274998E-10</v>
      </c>
      <c r="P424" s="105">
        <f t="shared" ca="1" si="176"/>
        <v>2.4058517101939874</v>
      </c>
      <c r="Q424" s="106">
        <f t="shared" ca="1" si="177"/>
        <v>1.2184981362182845</v>
      </c>
      <c r="R424" s="107">
        <f t="shared" ca="1" si="178"/>
        <v>-26.507659408722255</v>
      </c>
      <c r="S424" s="108">
        <f t="shared" ca="1" si="179"/>
        <v>-178.11136224610104</v>
      </c>
      <c r="T424" s="116">
        <f t="shared" ca="1" si="180"/>
        <v>1.888637753898962</v>
      </c>
      <c r="V424" s="72">
        <f t="shared" ca="1" si="181"/>
        <v>41212.5</v>
      </c>
      <c r="W424" s="72">
        <f t="shared" si="182"/>
        <v>1698470156.25</v>
      </c>
      <c r="Y424" s="110">
        <f t="shared" si="183"/>
        <v>37.152710618284793</v>
      </c>
      <c r="Z424" s="111">
        <f t="shared" si="184"/>
        <v>-68.91284625057358</v>
      </c>
      <c r="AA424" s="72">
        <f t="shared" si="185"/>
        <v>111.08715374942642</v>
      </c>
      <c r="AB424" s="110">
        <f t="shared" ca="1" si="186"/>
        <v>-46.159144759173046</v>
      </c>
      <c r="AC424" s="111">
        <f t="shared" ca="1" si="187"/>
        <v>-109.19851599552752</v>
      </c>
      <c r="AD424" s="72">
        <f t="shared" ca="1" si="188"/>
        <v>70.801484004472485</v>
      </c>
    </row>
    <row r="425" spans="1:30">
      <c r="A425" s="118">
        <v>41449.75</v>
      </c>
      <c r="B425" s="101">
        <f t="shared" ca="1" si="162"/>
        <v>2310.7892198921941</v>
      </c>
      <c r="C425" s="102">
        <f t="shared" ca="1" si="163"/>
        <v>1.5703635741999806</v>
      </c>
      <c r="D425" s="102">
        <f t="shared" si="164"/>
        <v>1.5806017004714188</v>
      </c>
      <c r="E425" s="103">
        <f t="shared" si="165"/>
        <v>0.88579962555403513</v>
      </c>
      <c r="F425" s="101">
        <f t="shared" si="166"/>
        <v>14167.743453235356</v>
      </c>
      <c r="G425" s="104">
        <f t="shared" si="167"/>
        <v>1.5707257439244395</v>
      </c>
      <c r="H425" s="113">
        <f t="shared" si="168"/>
        <v>1770.9682095744499</v>
      </c>
      <c r="I425" s="114">
        <f t="shared" si="169"/>
        <v>1.5702316638903147</v>
      </c>
      <c r="J425" s="101">
        <f t="shared" si="170"/>
        <v>2.7897517746090861</v>
      </c>
      <c r="K425" s="104">
        <f t="shared" si="171"/>
        <v>1.204184119923758</v>
      </c>
      <c r="L425" s="102">
        <f t="shared" si="172"/>
        <v>1</v>
      </c>
      <c r="M425" s="103">
        <f t="shared" si="173"/>
        <v>1.6928369892763873E-9</v>
      </c>
      <c r="N425" s="101">
        <f t="shared" si="174"/>
        <v>1</v>
      </c>
      <c r="O425" s="104">
        <f t="shared" si="175"/>
        <v>2.2571159857018497E-10</v>
      </c>
      <c r="P425" s="105">
        <f t="shared" ca="1" si="176"/>
        <v>2.4173841457772904</v>
      </c>
      <c r="Q425" s="106">
        <f t="shared" ca="1" si="177"/>
        <v>1.2211150915012601</v>
      </c>
      <c r="R425" s="107">
        <f t="shared" ca="1" si="178"/>
        <v>-26.612642234460488</v>
      </c>
      <c r="S425" s="108">
        <f t="shared" ca="1" si="179"/>
        <v>-178.2103427555553</v>
      </c>
      <c r="T425" s="116">
        <f t="shared" ca="1" si="180"/>
        <v>1.7896572444446974</v>
      </c>
      <c r="V425" s="72">
        <f t="shared" ca="1" si="181"/>
        <v>41449.75</v>
      </c>
      <c r="W425" s="72">
        <f t="shared" si="182"/>
        <v>1718081775.0625</v>
      </c>
      <c r="Y425" s="110">
        <f t="shared" si="183"/>
        <v>37.109290026044171</v>
      </c>
      <c r="Z425" s="111">
        <f t="shared" si="184"/>
        <v>-69.022976523813895</v>
      </c>
      <c r="AA425" s="72">
        <f t="shared" si="185"/>
        <v>110.9770234761861</v>
      </c>
      <c r="AB425" s="110">
        <f t="shared" ca="1" si="186"/>
        <v>-46.220706992670664</v>
      </c>
      <c r="AC425" s="111">
        <f t="shared" ca="1" si="187"/>
        <v>-109.18736623174138</v>
      </c>
      <c r="AD425" s="72">
        <f t="shared" ca="1" si="188"/>
        <v>70.812633768258621</v>
      </c>
    </row>
    <row r="426" spans="1:30">
      <c r="A426" s="118">
        <v>41687</v>
      </c>
      <c r="B426" s="101">
        <f t="shared" ca="1" si="162"/>
        <v>2324.0157083521017</v>
      </c>
      <c r="C426" s="102">
        <f t="shared" ca="1" si="163"/>
        <v>1.5703660370910602</v>
      </c>
      <c r="D426" s="102">
        <f t="shared" si="164"/>
        <v>1.5860336616618587</v>
      </c>
      <c r="E426" s="103">
        <f t="shared" si="165"/>
        <v>0.88859441868370015</v>
      </c>
      <c r="F426" s="101">
        <f t="shared" si="166"/>
        <v>14248.836755790424</v>
      </c>
      <c r="G426" s="104">
        <f t="shared" si="167"/>
        <v>1.5707261456272714</v>
      </c>
      <c r="H426" s="113">
        <f t="shared" si="168"/>
        <v>1781.1048708121289</v>
      </c>
      <c r="I426" s="114">
        <f t="shared" si="169"/>
        <v>1.5702348775119683</v>
      </c>
      <c r="J426" s="101">
        <f t="shared" si="170"/>
        <v>2.8036731193693005</v>
      </c>
      <c r="K426" s="104">
        <f t="shared" si="171"/>
        <v>1.2060899905277018</v>
      </c>
      <c r="L426" s="102">
        <f t="shared" si="172"/>
        <v>1</v>
      </c>
      <c r="M426" s="103">
        <f t="shared" si="173"/>
        <v>1.7025264464071499E-9</v>
      </c>
      <c r="N426" s="101">
        <f t="shared" si="174"/>
        <v>1</v>
      </c>
      <c r="O426" s="104">
        <f t="shared" si="175"/>
        <v>2.2700352618761997E-10</v>
      </c>
      <c r="P426" s="105">
        <f t="shared" ca="1" si="176"/>
        <v>2.4289291500788468</v>
      </c>
      <c r="Q426" s="106">
        <f t="shared" ca="1" si="177"/>
        <v>1.2237115371293816</v>
      </c>
      <c r="R426" s="107">
        <f t="shared" ca="1" si="178"/>
        <v>-26.717037519371779</v>
      </c>
      <c r="S426" s="108">
        <f t="shared" ca="1" si="179"/>
        <v>-178.30815662455797</v>
      </c>
      <c r="T426" s="116">
        <f t="shared" ca="1" si="180"/>
        <v>1.6918433754420334</v>
      </c>
      <c r="V426" s="72">
        <f t="shared" ca="1" si="181"/>
        <v>41687</v>
      </c>
      <c r="W426" s="72">
        <f t="shared" si="182"/>
        <v>1737805969</v>
      </c>
      <c r="Y426" s="110">
        <f t="shared" si="183"/>
        <v>37.066053705027898</v>
      </c>
      <c r="Z426" s="111">
        <f t="shared" si="184"/>
        <v>-69.132013754280564</v>
      </c>
      <c r="AA426" s="72">
        <f t="shared" si="185"/>
        <v>110.86798624571944</v>
      </c>
      <c r="AB426" s="110">
        <f t="shared" ca="1" si="186"/>
        <v>-46.281865956565667</v>
      </c>
      <c r="AC426" s="111">
        <f t="shared" ca="1" si="187"/>
        <v>-109.17614287027742</v>
      </c>
      <c r="AD426" s="72">
        <f t="shared" ca="1" si="188"/>
        <v>70.823857129722583</v>
      </c>
    </row>
    <row r="427" spans="1:30">
      <c r="A427" s="118">
        <v>41929.75</v>
      </c>
      <c r="B427" s="101">
        <f t="shared" ca="1" si="162"/>
        <v>2337.5488172122259</v>
      </c>
      <c r="C427" s="102">
        <f t="shared" ca="1" si="163"/>
        <v>1.5703685282295197</v>
      </c>
      <c r="D427" s="102">
        <f t="shared" si="164"/>
        <v>1.5916042820068352</v>
      </c>
      <c r="E427" s="103">
        <f t="shared" si="165"/>
        <v>0.89143423368334096</v>
      </c>
      <c r="F427" s="101">
        <f t="shared" si="166"/>
        <v>14331.80998738495</v>
      </c>
      <c r="G427" s="104">
        <f t="shared" si="167"/>
        <v>1.5707265519373113</v>
      </c>
      <c r="H427" s="113">
        <f t="shared" si="168"/>
        <v>1791.4765231615993</v>
      </c>
      <c r="I427" s="114">
        <f t="shared" si="169"/>
        <v>1.5702381279912829</v>
      </c>
      <c r="J427" s="101">
        <f t="shared" si="170"/>
        <v>2.8179276282694521</v>
      </c>
      <c r="K427" s="104">
        <f t="shared" si="171"/>
        <v>1.2080205454586814</v>
      </c>
      <c r="L427" s="102">
        <f t="shared" si="172"/>
        <v>1</v>
      </c>
      <c r="M427" s="103">
        <f t="shared" si="173"/>
        <v>1.7124405274123874E-9</v>
      </c>
      <c r="N427" s="101">
        <f t="shared" si="174"/>
        <v>1</v>
      </c>
      <c r="O427" s="104">
        <f t="shared" si="175"/>
        <v>2.2832540365498497E-10</v>
      </c>
      <c r="P427" s="105">
        <f t="shared" ca="1" si="176"/>
        <v>2.4407546456905118</v>
      </c>
      <c r="Q427" s="106">
        <f t="shared" ca="1" si="177"/>
        <v>1.2263472260829722</v>
      </c>
      <c r="R427" s="107">
        <f t="shared" ca="1" si="178"/>
        <v>-26.823250869986019</v>
      </c>
      <c r="S427" s="108">
        <f t="shared" ca="1" si="179"/>
        <v>-178.40705348573889</v>
      </c>
      <c r="T427" s="116">
        <f t="shared" ca="1" si="180"/>
        <v>1.592946514261115</v>
      </c>
      <c r="V427" s="72">
        <f t="shared" ca="1" si="181"/>
        <v>41929.75</v>
      </c>
      <c r="W427" s="72">
        <f t="shared" si="182"/>
        <v>1758103935.0625</v>
      </c>
      <c r="Y427" s="110">
        <f t="shared" si="183"/>
        <v>37.022004543303424</v>
      </c>
      <c r="Z427" s="111">
        <f t="shared" si="184"/>
        <v>-69.242463444682102</v>
      </c>
      <c r="AA427" s="72">
        <f t="shared" si="185"/>
        <v>110.7575365553179</v>
      </c>
      <c r="AB427" s="110">
        <f t="shared" ca="1" si="186"/>
        <v>-46.344030145455442</v>
      </c>
      <c r="AC427" s="111">
        <f t="shared" ca="1" si="187"/>
        <v>-109.16459004105675</v>
      </c>
      <c r="AD427" s="72">
        <f t="shared" ca="1" si="188"/>
        <v>70.835409958943245</v>
      </c>
    </row>
    <row r="428" spans="1:30">
      <c r="A428" s="118">
        <v>42172.5</v>
      </c>
      <c r="B428" s="101">
        <f t="shared" ca="1" si="162"/>
        <v>2351.0819260866901</v>
      </c>
      <c r="C428" s="102">
        <f t="shared" ca="1" si="163"/>
        <v>1.5703709906893972</v>
      </c>
      <c r="D428" s="102">
        <f t="shared" si="164"/>
        <v>1.5971876483277692</v>
      </c>
      <c r="E428" s="103">
        <f t="shared" si="165"/>
        <v>0.89425421673466199</v>
      </c>
      <c r="F428" s="101">
        <f t="shared" si="166"/>
        <v>14414.783218981815</v>
      </c>
      <c r="G428" s="104">
        <f t="shared" si="167"/>
        <v>1.5707269535698116</v>
      </c>
      <c r="H428" s="113">
        <f t="shared" si="168"/>
        <v>1801.8481755297796</v>
      </c>
      <c r="I428" s="114">
        <f t="shared" si="169"/>
        <v>1.5702413410503064</v>
      </c>
      <c r="J428" s="101">
        <f t="shared" si="170"/>
        <v>2.8321925339633438</v>
      </c>
      <c r="K428" s="104">
        <f t="shared" si="171"/>
        <v>1.2099316601986483</v>
      </c>
      <c r="L428" s="102">
        <f t="shared" si="172"/>
        <v>1</v>
      </c>
      <c r="M428" s="103">
        <f t="shared" si="173"/>
        <v>1.7223546084176248E-9</v>
      </c>
      <c r="N428" s="101">
        <f t="shared" si="174"/>
        <v>1</v>
      </c>
      <c r="O428" s="104">
        <f t="shared" si="175"/>
        <v>2.2964728112234997E-10</v>
      </c>
      <c r="P428" s="105">
        <f t="shared" ca="1" si="176"/>
        <v>2.4525929825831803</v>
      </c>
      <c r="Q428" s="106">
        <f t="shared" ca="1" si="177"/>
        <v>1.228962007631148</v>
      </c>
      <c r="R428" s="107">
        <f t="shared" ca="1" si="178"/>
        <v>-26.928861376600164</v>
      </c>
      <c r="S428" s="108">
        <f t="shared" ca="1" si="179"/>
        <v>-178.50477511972764</v>
      </c>
      <c r="T428" s="116">
        <f t="shared" ca="1" si="180"/>
        <v>1.4952248802723602</v>
      </c>
      <c r="V428" s="72">
        <f t="shared" ca="1" si="181"/>
        <v>42172.5</v>
      </c>
      <c r="W428" s="72">
        <f t="shared" si="182"/>
        <v>1778519756.25</v>
      </c>
      <c r="Y428" s="110">
        <f t="shared" si="183"/>
        <v>36.978145758196177</v>
      </c>
      <c r="Z428" s="111">
        <f t="shared" si="184"/>
        <v>-69.351801170205903</v>
      </c>
      <c r="AA428" s="72">
        <f t="shared" si="185"/>
        <v>110.6481988297941</v>
      </c>
      <c r="AB428" s="110">
        <f t="shared" ca="1" si="186"/>
        <v>-46.405781866962329</v>
      </c>
      <c r="AC428" s="111">
        <f t="shared" ca="1" si="187"/>
        <v>-109.15297394952172</v>
      </c>
      <c r="AD428" s="72">
        <f t="shared" ca="1" si="188"/>
        <v>70.847026050478277</v>
      </c>
    </row>
    <row r="429" spans="1:30">
      <c r="A429" s="118">
        <v>42415.25</v>
      </c>
      <c r="B429" s="101">
        <f t="shared" ca="1" si="162"/>
        <v>2364.6150349752465</v>
      </c>
      <c r="C429" s="102">
        <f t="shared" ca="1" si="163"/>
        <v>1.5703734249630903</v>
      </c>
      <c r="D429" s="102">
        <f t="shared" si="164"/>
        <v>1.6027836274211844</v>
      </c>
      <c r="E429" s="103">
        <f t="shared" si="165"/>
        <v>0.89705453047644601</v>
      </c>
      <c r="F429" s="101">
        <f t="shared" si="166"/>
        <v>14497.756450580977</v>
      </c>
      <c r="G429" s="104">
        <f t="shared" si="167"/>
        <v>1.5707273506050841</v>
      </c>
      <c r="H429" s="113">
        <f t="shared" si="168"/>
        <v>1812.2198279163488</v>
      </c>
      <c r="I429" s="114">
        <f t="shared" si="169"/>
        <v>1.5702445173315278</v>
      </c>
      <c r="J429" s="101">
        <f t="shared" si="170"/>
        <v>2.8464676801422155</v>
      </c>
      <c r="K429" s="104">
        <f t="shared" si="171"/>
        <v>1.2118236131615105</v>
      </c>
      <c r="L429" s="102">
        <f t="shared" si="172"/>
        <v>1</v>
      </c>
      <c r="M429" s="103">
        <f t="shared" si="173"/>
        <v>1.7322686894228625E-9</v>
      </c>
      <c r="N429" s="101">
        <f t="shared" si="174"/>
        <v>1</v>
      </c>
      <c r="O429" s="104">
        <f t="shared" si="175"/>
        <v>2.3096915858971497E-10</v>
      </c>
      <c r="P429" s="105">
        <f t="shared" ca="1" si="176"/>
        <v>2.4644440049915159</v>
      </c>
      <c r="Q429" s="106">
        <f t="shared" ca="1" si="177"/>
        <v>1.2315561601925924</v>
      </c>
      <c r="R429" s="107">
        <f t="shared" ca="1" si="178"/>
        <v>-27.033875119087444</v>
      </c>
      <c r="S429" s="108">
        <f t="shared" ca="1" si="179"/>
        <v>-178.60134410816778</v>
      </c>
      <c r="T429" s="116">
        <f t="shared" ca="1" si="180"/>
        <v>1.3986558918322203</v>
      </c>
      <c r="V429" s="72">
        <f t="shared" ca="1" si="181"/>
        <v>42415.25</v>
      </c>
      <c r="W429" s="72">
        <f t="shared" si="182"/>
        <v>1799053432.5625</v>
      </c>
      <c r="Y429" s="110">
        <f t="shared" si="183"/>
        <v>36.934476074342165</v>
      </c>
      <c r="Z429" s="111">
        <f t="shared" si="184"/>
        <v>-69.460042850583463</v>
      </c>
      <c r="AA429" s="72">
        <f t="shared" si="185"/>
        <v>110.53995714941654</v>
      </c>
      <c r="AB429" s="110">
        <f t="shared" ca="1" si="186"/>
        <v>-46.46712592559561</v>
      </c>
      <c r="AC429" s="111">
        <f t="shared" ca="1" si="187"/>
        <v>-109.14130125758427</v>
      </c>
      <c r="AD429" s="72">
        <f t="shared" ca="1" si="188"/>
        <v>70.858698742415726</v>
      </c>
    </row>
    <row r="430" spans="1:30">
      <c r="A430" s="118">
        <v>42658</v>
      </c>
      <c r="B430" s="101">
        <f t="shared" ca="1" si="162"/>
        <v>2378.1481438776564</v>
      </c>
      <c r="C430" s="102">
        <f t="shared" ca="1" si="163"/>
        <v>1.5703758315317888</v>
      </c>
      <c r="D430" s="102">
        <f t="shared" si="164"/>
        <v>1.6083920876385696</v>
      </c>
      <c r="E430" s="103">
        <f t="shared" si="165"/>
        <v>0.89983533652059122</v>
      </c>
      <c r="F430" s="101">
        <f t="shared" si="166"/>
        <v>14580.729682182398</v>
      </c>
      <c r="G430" s="104">
        <f t="shared" si="167"/>
        <v>1.5707277431216113</v>
      </c>
      <c r="H430" s="113">
        <f t="shared" si="168"/>
        <v>1822.591480320993</v>
      </c>
      <c r="I430" s="114">
        <f t="shared" si="169"/>
        <v>1.5702476574628108</v>
      </c>
      <c r="J430" s="101">
        <f t="shared" si="170"/>
        <v>2.8607529135061278</v>
      </c>
      <c r="K430" s="104">
        <f t="shared" si="171"/>
        <v>1.2136966777548281</v>
      </c>
      <c r="L430" s="102">
        <f t="shared" si="172"/>
        <v>1</v>
      </c>
      <c r="M430" s="103">
        <f t="shared" si="173"/>
        <v>1.7421827704280999E-9</v>
      </c>
      <c r="N430" s="101">
        <f t="shared" si="174"/>
        <v>1</v>
      </c>
      <c r="O430" s="104">
        <f t="shared" si="175"/>
        <v>2.3229103605707997E-10</v>
      </c>
      <c r="P430" s="105">
        <f t="shared" ca="1" si="176"/>
        <v>2.4763075601037214</v>
      </c>
      <c r="Q430" s="106">
        <f t="shared" ca="1" si="177"/>
        <v>1.2341299576487037</v>
      </c>
      <c r="R430" s="107">
        <f t="shared" ca="1" si="178"/>
        <v>-27.13829809990478</v>
      </c>
      <c r="S430" s="108">
        <f t="shared" ca="1" si="179"/>
        <v>-178.69678254482</v>
      </c>
      <c r="T430" s="116">
        <f t="shared" ca="1" si="180"/>
        <v>1.303217455180004</v>
      </c>
      <c r="V430" s="72">
        <f t="shared" ca="1" si="181"/>
        <v>42658</v>
      </c>
      <c r="W430" s="72">
        <f t="shared" si="182"/>
        <v>1819704964</v>
      </c>
      <c r="Y430" s="110">
        <f t="shared" si="183"/>
        <v>36.89099422194213</v>
      </c>
      <c r="Z430" s="111">
        <f t="shared" si="184"/>
        <v>-69.56720411943688</v>
      </c>
      <c r="AA430" s="72">
        <f t="shared" si="185"/>
        <v>110.43279588056312</v>
      </c>
      <c r="AB430" s="110">
        <f t="shared" ca="1" si="186"/>
        <v>-46.528067054012908</v>
      </c>
      <c r="AC430" s="111">
        <f t="shared" ca="1" si="187"/>
        <v>-109.1295784253831</v>
      </c>
      <c r="AD430" s="72">
        <f t="shared" ca="1" si="188"/>
        <v>70.870421574616898</v>
      </c>
    </row>
    <row r="431" spans="1:30">
      <c r="A431" s="118">
        <v>42906.5</v>
      </c>
      <c r="B431" s="101">
        <f t="shared" ca="1" si="162"/>
        <v>2392.0018104715691</v>
      </c>
      <c r="C431" s="102">
        <f t="shared" ca="1" si="163"/>
        <v>1.5703782668984738</v>
      </c>
      <c r="D431" s="102">
        <f t="shared" si="164"/>
        <v>1.6141461872685254</v>
      </c>
      <c r="E431" s="103">
        <f t="shared" si="165"/>
        <v>0.90266197264290227</v>
      </c>
      <c r="F431" s="101">
        <f t="shared" si="166"/>
        <v>14665.668294143312</v>
      </c>
      <c r="G431" s="104">
        <f t="shared" si="167"/>
        <v>1.5707281403351514</v>
      </c>
      <c r="H431" s="113">
        <f t="shared" si="168"/>
        <v>1833.2088052520792</v>
      </c>
      <c r="I431" s="114">
        <f t="shared" si="169"/>
        <v>1.5702508351701954</v>
      </c>
      <c r="J431" s="101">
        <f t="shared" si="170"/>
        <v>2.8753868115194861</v>
      </c>
      <c r="K431" s="104">
        <f t="shared" si="171"/>
        <v>1.2155948249886424</v>
      </c>
      <c r="L431" s="102">
        <f t="shared" si="172"/>
        <v>1</v>
      </c>
      <c r="M431" s="103">
        <f t="shared" si="173"/>
        <v>1.7523316854839249E-9</v>
      </c>
      <c r="N431" s="101">
        <f t="shared" si="174"/>
        <v>1</v>
      </c>
      <c r="O431" s="104">
        <f t="shared" si="175"/>
        <v>2.3364422473118996E-10</v>
      </c>
      <c r="P431" s="105">
        <f t="shared" ca="1" si="176"/>
        <v>2.4884649513183708</v>
      </c>
      <c r="Q431" s="106">
        <f t="shared" ca="1" si="177"/>
        <v>1.2367439176513548</v>
      </c>
      <c r="R431" s="107">
        <f t="shared" ca="1" si="178"/>
        <v>-27.244588808495195</v>
      </c>
      <c r="S431" s="108">
        <f t="shared" ca="1" si="179"/>
        <v>-178.79333315142895</v>
      </c>
      <c r="T431" s="116">
        <f t="shared" ca="1" si="180"/>
        <v>1.2066668485710466</v>
      </c>
      <c r="V431" s="72">
        <f t="shared" ca="1" si="181"/>
        <v>42906.5</v>
      </c>
      <c r="W431" s="72">
        <f t="shared" si="182"/>
        <v>1840967742.25</v>
      </c>
      <c r="Y431" s="110">
        <f t="shared" si="183"/>
        <v>36.846675656633053</v>
      </c>
      <c r="Z431" s="111">
        <f t="shared" si="184"/>
        <v>-69.675800633886738</v>
      </c>
      <c r="AA431" s="72">
        <f t="shared" si="185"/>
        <v>110.32419936611326</v>
      </c>
      <c r="AB431" s="110">
        <f t="shared" ca="1" si="186"/>
        <v>-46.590039197294253</v>
      </c>
      <c r="AC431" s="111">
        <f t="shared" ca="1" si="187"/>
        <v>-109.11753251754223</v>
      </c>
      <c r="AD431" s="72">
        <f t="shared" ca="1" si="188"/>
        <v>70.88246748245777</v>
      </c>
    </row>
    <row r="432" spans="1:30">
      <c r="A432" s="118">
        <v>43155</v>
      </c>
      <c r="B432" s="101">
        <f t="shared" ca="1" si="162"/>
        <v>2405.8554770795049</v>
      </c>
      <c r="C432" s="102">
        <f t="shared" ca="1" si="163"/>
        <v>1.570380674217956</v>
      </c>
      <c r="D432" s="102">
        <f t="shared" si="164"/>
        <v>1.6199130920379734</v>
      </c>
      <c r="E432" s="103">
        <f t="shared" si="165"/>
        <v>0.90546850535770951</v>
      </c>
      <c r="F432" s="101">
        <f t="shared" si="166"/>
        <v>14750.606906106512</v>
      </c>
      <c r="G432" s="104">
        <f t="shared" si="167"/>
        <v>1.5707285329741316</v>
      </c>
      <c r="H432" s="113">
        <f t="shared" si="168"/>
        <v>1843.8261302014637</v>
      </c>
      <c r="I432" s="114">
        <f t="shared" si="169"/>
        <v>1.570253976281123</v>
      </c>
      <c r="J432" s="101">
        <f t="shared" si="170"/>
        <v>2.8900309645068143</v>
      </c>
      <c r="K432" s="104">
        <f t="shared" si="171"/>
        <v>1.2174737426301325</v>
      </c>
      <c r="L432" s="102">
        <f t="shared" si="172"/>
        <v>1</v>
      </c>
      <c r="M432" s="103">
        <f t="shared" si="173"/>
        <v>1.7624806005397499E-9</v>
      </c>
      <c r="N432" s="101">
        <f t="shared" si="174"/>
        <v>1</v>
      </c>
      <c r="O432" s="104">
        <f t="shared" si="175"/>
        <v>2.3499741340529998E-10</v>
      </c>
      <c r="P432" s="105">
        <f t="shared" ca="1" si="176"/>
        <v>2.5006351611377045</v>
      </c>
      <c r="Q432" s="106">
        <f t="shared" ca="1" si="177"/>
        <v>1.2393371134314897</v>
      </c>
      <c r="R432" s="107">
        <f t="shared" ca="1" si="178"/>
        <v>-27.350272922594723</v>
      </c>
      <c r="S432" s="108">
        <f t="shared" ca="1" si="179"/>
        <v>-178.88874434937674</v>
      </c>
      <c r="T432" s="116">
        <f t="shared" ca="1" si="180"/>
        <v>1.1112556506232636</v>
      </c>
      <c r="V432" s="72">
        <f t="shared" ca="1" si="181"/>
        <v>43155</v>
      </c>
      <c r="W432" s="72">
        <f t="shared" si="182"/>
        <v>1862354025</v>
      </c>
      <c r="Y432" s="110">
        <f t="shared" si="183"/>
        <v>36.802551252370826</v>
      </c>
      <c r="Z432" s="111">
        <f t="shared" si="184"/>
        <v>-69.783297208572975</v>
      </c>
      <c r="AA432" s="72">
        <f t="shared" si="185"/>
        <v>110.21670279142702</v>
      </c>
      <c r="AB432" s="110">
        <f t="shared" ca="1" si="186"/>
        <v>-46.65159890713155</v>
      </c>
      <c r="AC432" s="111">
        <f t="shared" ca="1" si="187"/>
        <v>-109.10544714080372</v>
      </c>
      <c r="AD432" s="72">
        <f t="shared" ca="1" si="188"/>
        <v>70.894552859196281</v>
      </c>
    </row>
    <row r="433" spans="1:30">
      <c r="A433" s="118">
        <v>43403.5</v>
      </c>
      <c r="B433" s="101">
        <f t="shared" ca="1" si="162"/>
        <v>2419.7091437012241</v>
      </c>
      <c r="C433" s="102">
        <f t="shared" ca="1" si="163"/>
        <v>1.5703830539719754</v>
      </c>
      <c r="D433" s="102">
        <f t="shared" si="164"/>
        <v>1.6256926656738926</v>
      </c>
      <c r="E433" s="103">
        <f t="shared" si="165"/>
        <v>0.90825510462860837</v>
      </c>
      <c r="F433" s="101">
        <f t="shared" si="166"/>
        <v>14835.54551807196</v>
      </c>
      <c r="G433" s="104">
        <f t="shared" si="167"/>
        <v>1.5707289211171249</v>
      </c>
      <c r="H433" s="113">
        <f t="shared" si="168"/>
        <v>1854.4434551688321</v>
      </c>
      <c r="I433" s="114">
        <f t="shared" si="169"/>
        <v>1.5702570814241752</v>
      </c>
      <c r="J433" s="101">
        <f t="shared" si="170"/>
        <v>2.9046852173648281</v>
      </c>
      <c r="K433" s="104">
        <f t="shared" si="171"/>
        <v>1.2193337083538434</v>
      </c>
      <c r="L433" s="102">
        <f t="shared" si="172"/>
        <v>1</v>
      </c>
      <c r="M433" s="103">
        <f t="shared" si="173"/>
        <v>1.7726295155955749E-9</v>
      </c>
      <c r="N433" s="101">
        <f t="shared" si="174"/>
        <v>1</v>
      </c>
      <c r="O433" s="104">
        <f t="shared" si="175"/>
        <v>2.3635060207940995E-10</v>
      </c>
      <c r="P433" s="105">
        <f t="shared" ca="1" si="176"/>
        <v>2.5128180348444915</v>
      </c>
      <c r="Q433" s="106">
        <f t="shared" ca="1" si="177"/>
        <v>1.2419098245536389</v>
      </c>
      <c r="R433" s="107">
        <f t="shared" ca="1" si="178"/>
        <v>-27.45535663605116</v>
      </c>
      <c r="S433" s="108">
        <f t="shared" ca="1" si="179"/>
        <v>-178.98303832400217</v>
      </c>
      <c r="T433" s="116">
        <f t="shared" ca="1" si="180"/>
        <v>1.0169616759978339</v>
      </c>
      <c r="V433" s="72">
        <f t="shared" ca="1" si="181"/>
        <v>43403.5</v>
      </c>
      <c r="W433" s="72">
        <f t="shared" si="182"/>
        <v>1883863812.25</v>
      </c>
      <c r="Y433" s="110">
        <f t="shared" si="183"/>
        <v>36.758619666421552</v>
      </c>
      <c r="Z433" s="111">
        <f t="shared" si="184"/>
        <v>-69.889709721561943</v>
      </c>
      <c r="AA433" s="72">
        <f t="shared" si="185"/>
        <v>110.11029027843806</v>
      </c>
      <c r="AB433" s="110">
        <f t="shared" ca="1" si="186"/>
        <v>-46.712751034638707</v>
      </c>
      <c r="AC433" s="111">
        <f t="shared" ca="1" si="187"/>
        <v>-109.09332860244022</v>
      </c>
      <c r="AD433" s="72">
        <f t="shared" ca="1" si="188"/>
        <v>70.906671397559776</v>
      </c>
    </row>
    <row r="434" spans="1:30">
      <c r="A434" s="118">
        <v>43652</v>
      </c>
      <c r="B434" s="101">
        <f t="shared" ca="1" si="162"/>
        <v>2433.5628103364902</v>
      </c>
      <c r="C434" s="102">
        <f t="shared" ca="1" si="163"/>
        <v>1.5703854066313014</v>
      </c>
      <c r="D434" s="102">
        <f t="shared" si="164"/>
        <v>1.6314847735370057</v>
      </c>
      <c r="E434" s="103">
        <f t="shared" si="165"/>
        <v>0.91102193925178909</v>
      </c>
      <c r="F434" s="101">
        <f t="shared" si="166"/>
        <v>14920.484130039618</v>
      </c>
      <c r="G434" s="104">
        <f t="shared" si="167"/>
        <v>1.570729304840915</v>
      </c>
      <c r="H434" s="113">
        <f t="shared" si="168"/>
        <v>1865.0607801538772</v>
      </c>
      <c r="I434" s="114">
        <f t="shared" si="169"/>
        <v>1.5702601512136207</v>
      </c>
      <c r="J434" s="101">
        <f t="shared" si="170"/>
        <v>2.9193494179986268</v>
      </c>
      <c r="K434" s="104">
        <f t="shared" si="171"/>
        <v>1.2211749947854593</v>
      </c>
      <c r="L434" s="102">
        <f t="shared" si="172"/>
        <v>1</v>
      </c>
      <c r="M434" s="103">
        <f t="shared" si="173"/>
        <v>1.7827784306513999E-9</v>
      </c>
      <c r="N434" s="101">
        <f t="shared" si="174"/>
        <v>1</v>
      </c>
      <c r="O434" s="104">
        <f t="shared" si="175"/>
        <v>2.3770379075351997E-10</v>
      </c>
      <c r="P434" s="105">
        <f t="shared" ca="1" si="176"/>
        <v>2.5250134206965886</v>
      </c>
      <c r="Q434" s="106">
        <f t="shared" ca="1" si="177"/>
        <v>1.2444623259534418</v>
      </c>
      <c r="R434" s="107">
        <f t="shared" ca="1" si="178"/>
        <v>-27.559846062227216</v>
      </c>
      <c r="S434" s="108">
        <f t="shared" ca="1" si="179"/>
        <v>-179.07623677312651</v>
      </c>
      <c r="T434" s="116">
        <f t="shared" ca="1" si="180"/>
        <v>0.92376322687348988</v>
      </c>
      <c r="V434" s="72">
        <f t="shared" ca="1" si="181"/>
        <v>43652</v>
      </c>
      <c r="W434" s="72">
        <f t="shared" si="182"/>
        <v>1905497104</v>
      </c>
      <c r="Y434" s="110">
        <f t="shared" si="183"/>
        <v>36.714879563013568</v>
      </c>
      <c r="Z434" s="111">
        <f t="shared" si="184"/>
        <v>-69.995053762359078</v>
      </c>
      <c r="AA434" s="72">
        <f t="shared" si="185"/>
        <v>110.00494623764092</v>
      </c>
      <c r="AB434" s="110">
        <f t="shared" ca="1" si="186"/>
        <v>-46.773500357406789</v>
      </c>
      <c r="AC434" s="111">
        <f t="shared" ca="1" si="187"/>
        <v>-109.0811830107674</v>
      </c>
      <c r="AD434" s="72">
        <f t="shared" ca="1" si="188"/>
        <v>70.918816989232596</v>
      </c>
    </row>
    <row r="435" spans="1:30">
      <c r="A435" s="118">
        <v>43906</v>
      </c>
      <c r="B435" s="101">
        <f t="shared" ca="1" si="162"/>
        <v>2447.7230973738228</v>
      </c>
      <c r="C435" s="102">
        <f t="shared" ca="1" si="163"/>
        <v>1.5703877838396536</v>
      </c>
      <c r="D435" s="102">
        <f t="shared" si="164"/>
        <v>1.6374178918919684</v>
      </c>
      <c r="E435" s="103">
        <f t="shared" si="165"/>
        <v>0.91382976050219433</v>
      </c>
      <c r="F435" s="101">
        <f t="shared" si="166"/>
        <v>15007.302671047035</v>
      </c>
      <c r="G435" s="104">
        <f t="shared" si="167"/>
        <v>1.5707296925687029</v>
      </c>
      <c r="H435" s="113">
        <f t="shared" si="168"/>
        <v>1875.9130962531265</v>
      </c>
      <c r="I435" s="114">
        <f t="shared" si="169"/>
        <v>1.570263253035052</v>
      </c>
      <c r="J435" s="101">
        <f t="shared" si="170"/>
        <v>2.9343483036099807</v>
      </c>
      <c r="K435" s="104">
        <f t="shared" si="171"/>
        <v>1.22303800868011</v>
      </c>
      <c r="L435" s="102">
        <f t="shared" si="172"/>
        <v>1</v>
      </c>
      <c r="M435" s="103">
        <f t="shared" si="173"/>
        <v>1.7931519695817E-9</v>
      </c>
      <c r="N435" s="101">
        <f t="shared" si="174"/>
        <v>1</v>
      </c>
      <c r="O435" s="104">
        <f t="shared" si="175"/>
        <v>2.3908692927755997E-10</v>
      </c>
      <c r="P435" s="105">
        <f t="shared" ca="1" si="176"/>
        <v>2.53749150022175</v>
      </c>
      <c r="Q435" s="106">
        <f t="shared" ca="1" si="177"/>
        <v>1.2470507172002263</v>
      </c>
      <c r="R435" s="107">
        <f t="shared" ca="1" si="178"/>
        <v>-27.666040250286649</v>
      </c>
      <c r="S435" s="108">
        <f t="shared" ca="1" si="179"/>
        <v>-179.17038789084529</v>
      </c>
      <c r="T435" s="116">
        <f t="shared" ca="1" si="180"/>
        <v>0.82961210915470929</v>
      </c>
      <c r="V435" s="72">
        <f t="shared" ca="1" si="181"/>
        <v>43906</v>
      </c>
      <c r="W435" s="72">
        <f t="shared" si="182"/>
        <v>1927736836</v>
      </c>
      <c r="Y435" s="110">
        <f t="shared" si="183"/>
        <v>36.670367872141064</v>
      </c>
      <c r="Z435" s="111">
        <f t="shared" si="184"/>
        <v>-70.101641089192512</v>
      </c>
      <c r="AA435" s="72">
        <f t="shared" si="185"/>
        <v>109.89835891080749</v>
      </c>
      <c r="AB435" s="110">
        <f t="shared" ca="1" si="186"/>
        <v>-46.835182854593711</v>
      </c>
      <c r="AC435" s="111">
        <f t="shared" ca="1" si="187"/>
        <v>-109.06874680165278</v>
      </c>
      <c r="AD435" s="72">
        <f t="shared" ca="1" si="188"/>
        <v>70.931253198347221</v>
      </c>
    </row>
    <row r="436" spans="1:30">
      <c r="A436" s="118">
        <v>44160</v>
      </c>
      <c r="B436" s="101">
        <f t="shared" ca="1" si="162"/>
        <v>2461.8833844248293</v>
      </c>
      <c r="C436" s="102">
        <f t="shared" ca="1" si="163"/>
        <v>1.5703901337015009</v>
      </c>
      <c r="D436" s="102">
        <f t="shared" si="164"/>
        <v>1.6433638261482508</v>
      </c>
      <c r="E436" s="103">
        <f t="shared" si="165"/>
        <v>0.91661728536872433</v>
      </c>
      <c r="F436" s="101">
        <f t="shared" si="166"/>
        <v>15094.121212056682</v>
      </c>
      <c r="G436" s="104">
        <f t="shared" si="167"/>
        <v>1.5707300758362166</v>
      </c>
      <c r="H436" s="113">
        <f t="shared" si="168"/>
        <v>1886.7654123702168</v>
      </c>
      <c r="I436" s="114">
        <f t="shared" si="169"/>
        <v>1.5702663191743087</v>
      </c>
      <c r="J436" s="101">
        <f t="shared" si="170"/>
        <v>2.9493572702108315</v>
      </c>
      <c r="K436" s="104">
        <f t="shared" si="171"/>
        <v>1.2248820675604328</v>
      </c>
      <c r="L436" s="102">
        <f t="shared" si="172"/>
        <v>1</v>
      </c>
      <c r="M436" s="103">
        <f t="shared" si="173"/>
        <v>1.8035255085119998E-9</v>
      </c>
      <c r="N436" s="101">
        <f t="shared" si="174"/>
        <v>1</v>
      </c>
      <c r="O436" s="104">
        <f t="shared" si="175"/>
        <v>2.4047006780159997E-10</v>
      </c>
      <c r="P436" s="105">
        <f t="shared" ca="1" si="176"/>
        <v>2.5499823405398332</v>
      </c>
      <c r="Q436" s="106">
        <f t="shared" ca="1" si="177"/>
        <v>1.2496185606380144</v>
      </c>
      <c r="R436" s="107">
        <f t="shared" ca="1" si="178"/>
        <v>-27.771626216288769</v>
      </c>
      <c r="S436" s="108">
        <f t="shared" ca="1" si="179"/>
        <v>-179.26343878268673</v>
      </c>
      <c r="T436" s="116">
        <f t="shared" ca="1" si="180"/>
        <v>0.73656121731326607</v>
      </c>
      <c r="V436" s="72">
        <f t="shared" ca="1" si="181"/>
        <v>44160</v>
      </c>
      <c r="W436" s="72">
        <f t="shared" si="182"/>
        <v>1950105600</v>
      </c>
      <c r="Y436" s="110">
        <f t="shared" si="183"/>
        <v>36.626053434712858</v>
      </c>
      <c r="Z436" s="111">
        <f t="shared" si="184"/>
        <v>-70.207144162586218</v>
      </c>
      <c r="AA436" s="72">
        <f t="shared" si="185"/>
        <v>109.79285583741378</v>
      </c>
      <c r="AB436" s="110">
        <f t="shared" ca="1" si="186"/>
        <v>-46.896454383167629</v>
      </c>
      <c r="AC436" s="111">
        <f t="shared" ca="1" si="187"/>
        <v>-109.05629462010053</v>
      </c>
      <c r="AD436" s="72">
        <f t="shared" ca="1" si="188"/>
        <v>70.94370537989947</v>
      </c>
    </row>
    <row r="437" spans="1:30">
      <c r="A437" s="118">
        <v>44414</v>
      </c>
      <c r="B437" s="101">
        <f t="shared" ca="1" si="162"/>
        <v>2476.0436714892739</v>
      </c>
      <c r="C437" s="102">
        <f t="shared" ca="1" si="163"/>
        <v>1.570392456686021</v>
      </c>
      <c r="D437" s="102">
        <f t="shared" si="164"/>
        <v>1.6493224376989282</v>
      </c>
      <c r="E437" s="103">
        <f t="shared" si="165"/>
        <v>0.91938469027464187</v>
      </c>
      <c r="F437" s="101">
        <f t="shared" si="166"/>
        <v>15180.939753068518</v>
      </c>
      <c r="G437" s="104">
        <f t="shared" si="167"/>
        <v>1.5707304547199796</v>
      </c>
      <c r="H437" s="113">
        <f t="shared" si="168"/>
        <v>1897.6177285048418</v>
      </c>
      <c r="I437" s="114">
        <f t="shared" si="169"/>
        <v>1.5702693502435803</v>
      </c>
      <c r="J437" s="101">
        <f t="shared" si="170"/>
        <v>2.9643761646776672</v>
      </c>
      <c r="K437" s="104">
        <f t="shared" si="171"/>
        <v>1.2267074468931549</v>
      </c>
      <c r="L437" s="102">
        <f t="shared" si="172"/>
        <v>1</v>
      </c>
      <c r="M437" s="103">
        <f t="shared" si="173"/>
        <v>1.8138990474422999E-9</v>
      </c>
      <c r="N437" s="101">
        <f t="shared" si="174"/>
        <v>1</v>
      </c>
      <c r="O437" s="104">
        <f t="shared" si="175"/>
        <v>2.4185320632563997E-10</v>
      </c>
      <c r="P437" s="105">
        <f t="shared" ca="1" si="176"/>
        <v>2.5624857888341945</v>
      </c>
      <c r="Q437" s="106">
        <f t="shared" ca="1" si="177"/>
        <v>1.2521661354233573</v>
      </c>
      <c r="R437" s="107">
        <f t="shared" ca="1" si="178"/>
        <v>-27.876610235095857</v>
      </c>
      <c r="S437" s="108">
        <f t="shared" ca="1" si="179"/>
        <v>-179.35541111410606</v>
      </c>
      <c r="T437" s="116">
        <f t="shared" ca="1" si="180"/>
        <v>0.64458888589393837</v>
      </c>
      <c r="V437" s="72">
        <f t="shared" ca="1" si="181"/>
        <v>44414</v>
      </c>
      <c r="W437" s="72">
        <f t="shared" si="182"/>
        <v>1972603396</v>
      </c>
      <c r="Y437" s="110">
        <f t="shared" si="183"/>
        <v>36.581934847959204</v>
      </c>
      <c r="Z437" s="111">
        <f t="shared" si="184"/>
        <v>-70.311578734929725</v>
      </c>
      <c r="AA437" s="72">
        <f t="shared" si="185"/>
        <v>109.68842126507028</v>
      </c>
      <c r="AB437" s="110">
        <f t="shared" ca="1" si="186"/>
        <v>-46.957319815221055</v>
      </c>
      <c r="AC437" s="111">
        <f t="shared" ca="1" si="187"/>
        <v>-109.04383237917638</v>
      </c>
      <c r="AD437" s="72">
        <f t="shared" ca="1" si="188"/>
        <v>70.956167620823621</v>
      </c>
    </row>
    <row r="438" spans="1:30">
      <c r="A438" s="118">
        <v>44668</v>
      </c>
      <c r="B438" s="101">
        <f t="shared" ca="1" si="162"/>
        <v>2490.2039585669281</v>
      </c>
      <c r="C438" s="102">
        <f t="shared" ca="1" si="163"/>
        <v>1.5703947532517188</v>
      </c>
      <c r="D438" s="102">
        <f t="shared" si="164"/>
        <v>1.6552935896394594</v>
      </c>
      <c r="E438" s="103">
        <f t="shared" si="165"/>
        <v>0.92213215033839313</v>
      </c>
      <c r="F438" s="101">
        <f t="shared" si="166"/>
        <v>15267.758294082512</v>
      </c>
      <c r="G438" s="104">
        <f t="shared" si="167"/>
        <v>1.5707308292947755</v>
      </c>
      <c r="H438" s="113">
        <f t="shared" si="168"/>
        <v>1908.4700446567031</v>
      </c>
      <c r="I438" s="114">
        <f t="shared" si="169"/>
        <v>1.5702723468411326</v>
      </c>
      <c r="J438" s="101">
        <f t="shared" si="170"/>
        <v>2.9794048368742252</v>
      </c>
      <c r="K438" s="104">
        <f t="shared" si="171"/>
        <v>1.2285144170904325</v>
      </c>
      <c r="L438" s="102">
        <f t="shared" si="172"/>
        <v>1</v>
      </c>
      <c r="M438" s="103">
        <f t="shared" si="173"/>
        <v>1.8242725863725999E-9</v>
      </c>
      <c r="N438" s="101">
        <f t="shared" si="174"/>
        <v>1</v>
      </c>
      <c r="O438" s="104">
        <f t="shared" si="175"/>
        <v>2.4323634484967997E-10</v>
      </c>
      <c r="P438" s="105">
        <f t="shared" ca="1" si="176"/>
        <v>2.5750016952635897</v>
      </c>
      <c r="Q438" s="106">
        <f t="shared" ca="1" si="177"/>
        <v>1.2546937160272351</v>
      </c>
      <c r="R438" s="107">
        <f t="shared" ca="1" si="178"/>
        <v>-27.980998498553731</v>
      </c>
      <c r="S438" s="108">
        <f t="shared" ca="1" si="179"/>
        <v>-179.4463260673366</v>
      </c>
      <c r="T438" s="116">
        <f t="shared" ca="1" si="180"/>
        <v>0.55367393266340059</v>
      </c>
      <c r="V438" s="72">
        <f t="shared" ca="1" si="181"/>
        <v>44668</v>
      </c>
      <c r="W438" s="72">
        <f t="shared" si="182"/>
        <v>1995230224</v>
      </c>
      <c r="Y438" s="110">
        <f t="shared" si="183"/>
        <v>36.538010717421024</v>
      </c>
      <c r="Z438" s="111">
        <f t="shared" si="184"/>
        <v>-70.414960269704963</v>
      </c>
      <c r="AA438" s="72">
        <f t="shared" si="185"/>
        <v>109.58503973029504</v>
      </c>
      <c r="AB438" s="110">
        <f t="shared" ca="1" si="186"/>
        <v>-47.017783948140767</v>
      </c>
      <c r="AC438" s="111">
        <f t="shared" ca="1" si="187"/>
        <v>-109.03136579763162</v>
      </c>
      <c r="AD438" s="72">
        <f t="shared" ca="1" si="188"/>
        <v>70.968634202368378</v>
      </c>
    </row>
    <row r="439" spans="1:30">
      <c r="A439" s="118">
        <v>44928.25</v>
      </c>
      <c r="B439" s="101">
        <f t="shared" ca="1" si="162"/>
        <v>2504.7126779188179</v>
      </c>
      <c r="C439" s="102">
        <f t="shared" ca="1" si="163"/>
        <v>1.5703970793940341</v>
      </c>
      <c r="D439" s="102">
        <f t="shared" si="164"/>
        <v>1.661424535182555</v>
      </c>
      <c r="E439" s="103">
        <f t="shared" si="165"/>
        <v>0.92492670993907367</v>
      </c>
      <c r="F439" s="101">
        <f t="shared" si="166"/>
        <v>15356.713118096091</v>
      </c>
      <c r="G439" s="104">
        <f t="shared" si="167"/>
        <v>1.5707312086935805</v>
      </c>
      <c r="H439" s="113">
        <f t="shared" si="168"/>
        <v>1919.5893961645181</v>
      </c>
      <c r="I439" s="114">
        <f t="shared" si="169"/>
        <v>1.5702753820307567</v>
      </c>
      <c r="J439" s="101">
        <f t="shared" si="170"/>
        <v>2.994813296724669</v>
      </c>
      <c r="K439" s="104">
        <f t="shared" si="171"/>
        <v>1.2303470335294209</v>
      </c>
      <c r="L439" s="102">
        <f t="shared" si="172"/>
        <v>1</v>
      </c>
      <c r="M439" s="103">
        <f t="shared" si="173"/>
        <v>1.8349013797057124E-9</v>
      </c>
      <c r="N439" s="101">
        <f t="shared" si="174"/>
        <v>1</v>
      </c>
      <c r="O439" s="104">
        <f t="shared" si="175"/>
        <v>2.4465351729409498E-10</v>
      </c>
      <c r="P439" s="105">
        <f t="shared" ca="1" si="176"/>
        <v>2.5878383399312814</v>
      </c>
      <c r="Q439" s="106">
        <f t="shared" ca="1" si="177"/>
        <v>1.2572630350103162</v>
      </c>
      <c r="R439" s="107">
        <f t="shared" ca="1" si="178"/>
        <v>-28.087343834991387</v>
      </c>
      <c r="S439" s="108">
        <f t="shared" ca="1" si="179"/>
        <v>-179.53840303010293</v>
      </c>
      <c r="T439" s="116">
        <f t="shared" ca="1" si="180"/>
        <v>0.461596969897073</v>
      </c>
      <c r="V439" s="72">
        <f t="shared" ca="1" si="181"/>
        <v>44928.25</v>
      </c>
      <c r="W439" s="72">
        <f t="shared" si="182"/>
        <v>2018547648.0625</v>
      </c>
      <c r="Y439" s="110">
        <f t="shared" si="183"/>
        <v>36.493206019626243</v>
      </c>
      <c r="Z439" s="111">
        <f t="shared" si="184"/>
        <v>-70.519809291112068</v>
      </c>
      <c r="AA439" s="72">
        <f t="shared" si="185"/>
        <v>109.48019070888793</v>
      </c>
      <c r="AB439" s="110">
        <f t="shared" ca="1" si="186"/>
        <v>-47.079324586783635</v>
      </c>
      <c r="AC439" s="111">
        <f t="shared" ca="1" si="187"/>
        <v>-109.01859373899087</v>
      </c>
      <c r="AD439" s="72">
        <f t="shared" ca="1" si="188"/>
        <v>70.981406261009127</v>
      </c>
    </row>
    <row r="440" spans="1:30">
      <c r="A440" s="118">
        <v>45188.5</v>
      </c>
      <c r="B440" s="101">
        <f t="shared" ca="1" si="162"/>
        <v>2519.2213972841046</v>
      </c>
      <c r="C440" s="102">
        <f t="shared" ca="1" si="163"/>
        <v>1.5703993787428758</v>
      </c>
      <c r="D440" s="102">
        <f t="shared" si="164"/>
        <v>1.6675683602597653</v>
      </c>
      <c r="E440" s="103">
        <f t="shared" si="165"/>
        <v>0.92770069906887376</v>
      </c>
      <c r="F440" s="101">
        <f t="shared" si="166"/>
        <v>15445.667942111857</v>
      </c>
      <c r="G440" s="104">
        <f t="shared" si="167"/>
        <v>1.5707315837223117</v>
      </c>
      <c r="H440" s="113">
        <f t="shared" si="168"/>
        <v>1930.7087476898134</v>
      </c>
      <c r="I440" s="114">
        <f t="shared" si="169"/>
        <v>1.5702783822598094</v>
      </c>
      <c r="J440" s="101">
        <f t="shared" si="170"/>
        <v>3.0102317116171244</v>
      </c>
      <c r="K440" s="104">
        <f t="shared" si="171"/>
        <v>1.2321608826756876</v>
      </c>
      <c r="L440" s="102">
        <f t="shared" si="172"/>
        <v>1</v>
      </c>
      <c r="M440" s="103">
        <f t="shared" si="173"/>
        <v>1.8455301730388249E-9</v>
      </c>
      <c r="N440" s="101">
        <f t="shared" si="174"/>
        <v>1</v>
      </c>
      <c r="O440" s="104">
        <f t="shared" si="175"/>
        <v>2.4607068973850994E-10</v>
      </c>
      <c r="P440" s="105">
        <f t="shared" ca="1" si="176"/>
        <v>2.6006877541905755</v>
      </c>
      <c r="Q440" s="106">
        <f t="shared" ca="1" si="177"/>
        <v>1.2598119324188388</v>
      </c>
      <c r="R440" s="107">
        <f t="shared" ca="1" si="178"/>
        <v>-28.193076635177356</v>
      </c>
      <c r="S440" s="108">
        <f t="shared" ca="1" si="179"/>
        <v>-179.62941345488656</v>
      </c>
      <c r="T440" s="116">
        <f t="shared" ca="1" si="180"/>
        <v>0.37058654511344002</v>
      </c>
      <c r="V440" s="72">
        <f t="shared" ca="1" si="181"/>
        <v>45188.5</v>
      </c>
      <c r="W440" s="72">
        <f t="shared" si="182"/>
        <v>2042000532.25</v>
      </c>
      <c r="Y440" s="110">
        <f t="shared" si="183"/>
        <v>36.448602528972479</v>
      </c>
      <c r="Z440" s="111">
        <f t="shared" si="184"/>
        <v>-70.623584778558552</v>
      </c>
      <c r="AA440" s="72">
        <f t="shared" si="185"/>
        <v>109.37641522144145</v>
      </c>
      <c r="AB440" s="110">
        <f t="shared" ca="1" si="186"/>
        <v>-47.140453896315833</v>
      </c>
      <c r="AC440" s="111">
        <f t="shared" ca="1" si="187"/>
        <v>-109.00582867632801</v>
      </c>
      <c r="AD440" s="72">
        <f t="shared" ca="1" si="188"/>
        <v>70.994171323671992</v>
      </c>
    </row>
    <row r="441" spans="1:30">
      <c r="A441" s="118">
        <v>45448.75</v>
      </c>
      <c r="B441" s="101">
        <f t="shared" ca="1" si="162"/>
        <v>2533.730116662558</v>
      </c>
      <c r="C441" s="102">
        <f t="shared" ca="1" si="163"/>
        <v>1.5704016517585204</v>
      </c>
      <c r="D441" s="102">
        <f t="shared" si="164"/>
        <v>1.6737249230384625</v>
      </c>
      <c r="E441" s="103">
        <f t="shared" si="165"/>
        <v>0.93045430179688604</v>
      </c>
      <c r="F441" s="101">
        <f t="shared" si="166"/>
        <v>15534.622766129771</v>
      </c>
      <c r="G441" s="104">
        <f t="shared" si="167"/>
        <v>1.5707319544560414</v>
      </c>
      <c r="H441" s="113">
        <f t="shared" si="168"/>
        <v>1941.8280992322889</v>
      </c>
      <c r="I441" s="114">
        <f t="shared" si="169"/>
        <v>1.5702813481288675</v>
      </c>
      <c r="J441" s="101">
        <f t="shared" si="170"/>
        <v>3.0256599293623481</v>
      </c>
      <c r="K441" s="104">
        <f t="shared" si="171"/>
        <v>1.2339562395921573</v>
      </c>
      <c r="L441" s="102">
        <f t="shared" si="172"/>
        <v>1</v>
      </c>
      <c r="M441" s="103">
        <f t="shared" si="173"/>
        <v>1.8561589663719373E-9</v>
      </c>
      <c r="N441" s="101">
        <f t="shared" si="174"/>
        <v>1</v>
      </c>
      <c r="O441" s="104">
        <f t="shared" si="175"/>
        <v>2.4748786218292495E-10</v>
      </c>
      <c r="P441" s="105">
        <f t="shared" ca="1" si="176"/>
        <v>2.6135497861647465</v>
      </c>
      <c r="Q441" s="106">
        <f t="shared" ca="1" si="177"/>
        <v>1.2623406887574316</v>
      </c>
      <c r="R441" s="107">
        <f t="shared" ca="1" si="178"/>
        <v>-28.298203295946607</v>
      </c>
      <c r="S441" s="108">
        <f t="shared" ca="1" si="179"/>
        <v>-179.7193786232441</v>
      </c>
      <c r="T441" s="116">
        <f t="shared" ca="1" si="180"/>
        <v>0.28062137675590293</v>
      </c>
      <c r="V441" s="72">
        <f t="shared" ca="1" si="181"/>
        <v>45448.75</v>
      </c>
      <c r="W441" s="72">
        <f t="shared" si="182"/>
        <v>2065588876.5625</v>
      </c>
      <c r="Y441" s="110">
        <f t="shared" si="183"/>
        <v>36.404198773572936</v>
      </c>
      <c r="Z441" s="111">
        <f t="shared" si="184"/>
        <v>-70.726302461879882</v>
      </c>
      <c r="AA441" s="72">
        <f t="shared" si="185"/>
        <v>109.27369753812012</v>
      </c>
      <c r="AB441" s="110">
        <f t="shared" ca="1" si="186"/>
        <v>-47.201176801685534</v>
      </c>
      <c r="AC441" s="111">
        <f t="shared" ca="1" si="187"/>
        <v>-108.99307616136414</v>
      </c>
      <c r="AD441" s="72">
        <f t="shared" ca="1" si="188"/>
        <v>71.006923838635856</v>
      </c>
    </row>
    <row r="442" spans="1:30">
      <c r="A442" s="118">
        <v>45709</v>
      </c>
      <c r="B442" s="101">
        <f t="shared" ca="1" si="162"/>
        <v>2548.238836053953</v>
      </c>
      <c r="C442" s="102">
        <f t="shared" ca="1" si="163"/>
        <v>1.5704038988907623</v>
      </c>
      <c r="D442" s="102">
        <f t="shared" si="164"/>
        <v>1.6798940834732894</v>
      </c>
      <c r="E442" s="103">
        <f t="shared" si="165"/>
        <v>0.93318770073333812</v>
      </c>
      <c r="F442" s="101">
        <f t="shared" si="166"/>
        <v>15623.577590149795</v>
      </c>
      <c r="G442" s="104">
        <f t="shared" si="167"/>
        <v>1.5707323209681316</v>
      </c>
      <c r="H442" s="113">
        <f t="shared" si="168"/>
        <v>1952.9474507916507</v>
      </c>
      <c r="I442" s="114">
        <f t="shared" si="169"/>
        <v>1.5702842802248298</v>
      </c>
      <c r="J442" s="101">
        <f t="shared" si="170"/>
        <v>3.0410978007636822</v>
      </c>
      <c r="K442" s="104">
        <f t="shared" si="171"/>
        <v>1.235733374238611</v>
      </c>
      <c r="L442" s="102">
        <f t="shared" si="172"/>
        <v>1</v>
      </c>
      <c r="M442" s="103">
        <f t="shared" si="173"/>
        <v>1.86678775970505E-9</v>
      </c>
      <c r="N442" s="101">
        <f t="shared" si="174"/>
        <v>1</v>
      </c>
      <c r="O442" s="104">
        <f t="shared" si="175"/>
        <v>2.4890503462733997E-10</v>
      </c>
      <c r="P442" s="105">
        <f t="shared" ca="1" si="176"/>
        <v>2.6264242869784029</v>
      </c>
      <c r="Q442" s="106">
        <f t="shared" ca="1" si="177"/>
        <v>1.2648495797498336</v>
      </c>
      <c r="R442" s="107">
        <f t="shared" ca="1" si="178"/>
        <v>-28.402730127832605</v>
      </c>
      <c r="S442" s="108">
        <f t="shared" ca="1" si="179"/>
        <v>-179.80831933409056</v>
      </c>
      <c r="T442" s="116">
        <f t="shared" ca="1" si="180"/>
        <v>0.19168066590944477</v>
      </c>
      <c r="V442" s="72">
        <f t="shared" ca="1" si="181"/>
        <v>45709</v>
      </c>
      <c r="W442" s="72">
        <f t="shared" si="182"/>
        <v>2089312681</v>
      </c>
      <c r="Y442" s="110">
        <f t="shared" si="183"/>
        <v>36.359993291275941</v>
      </c>
      <c r="Z442" s="111">
        <f t="shared" si="184"/>
        <v>-70.827977779208695</v>
      </c>
      <c r="AA442" s="72">
        <f t="shared" si="185"/>
        <v>109.17202222079131</v>
      </c>
      <c r="AB442" s="110">
        <f t="shared" ca="1" si="186"/>
        <v>-47.261498151274552</v>
      </c>
      <c r="AC442" s="111">
        <f t="shared" ca="1" si="187"/>
        <v>-108.98034155488183</v>
      </c>
      <c r="AD442" s="72">
        <f t="shared" ca="1" si="188"/>
        <v>71.019658445118168</v>
      </c>
    </row>
    <row r="443" spans="1:30">
      <c r="A443" s="118">
        <v>45975.25</v>
      </c>
      <c r="B443" s="101">
        <f t="shared" ca="1" si="162"/>
        <v>2563.0820504300709</v>
      </c>
      <c r="C443" s="102">
        <f t="shared" ca="1" si="163"/>
        <v>1.5704061715030664</v>
      </c>
      <c r="D443" s="102">
        <f t="shared" si="164"/>
        <v>1.6862183648605034</v>
      </c>
      <c r="E443" s="103">
        <f t="shared" si="165"/>
        <v>0.93596339855406296</v>
      </c>
      <c r="F443" s="101">
        <f t="shared" si="166"/>
        <v>15714.583245849661</v>
      </c>
      <c r="G443" s="104">
        <f t="shared" si="167"/>
        <v>1.5707326916360744</v>
      </c>
      <c r="H443" s="113">
        <f t="shared" si="168"/>
        <v>1964.3231562946294</v>
      </c>
      <c r="I443" s="114">
        <f t="shared" si="169"/>
        <v>1.57028724556761</v>
      </c>
      <c r="J443" s="101">
        <f t="shared" si="170"/>
        <v>3.056901426055973</v>
      </c>
      <c r="K443" s="104">
        <f t="shared" si="171"/>
        <v>1.2375328992905408</v>
      </c>
      <c r="L443" s="102">
        <f t="shared" si="172"/>
        <v>1</v>
      </c>
      <c r="M443" s="103">
        <f t="shared" si="173"/>
        <v>1.8776615972648624E-9</v>
      </c>
      <c r="N443" s="101">
        <f t="shared" si="174"/>
        <v>1</v>
      </c>
      <c r="O443" s="104">
        <f t="shared" si="175"/>
        <v>2.5035487963531498E-10</v>
      </c>
      <c r="P443" s="105">
        <f t="shared" ca="1" si="176"/>
        <v>2.6396083574377882</v>
      </c>
      <c r="Q443" s="106">
        <f t="shared" ca="1" si="177"/>
        <v>1.2673960376056728</v>
      </c>
      <c r="R443" s="107">
        <f t="shared" ca="1" si="178"/>
        <v>-28.509052560021789</v>
      </c>
      <c r="S443" s="108">
        <f t="shared" ca="1" si="179"/>
        <v>-179.89827158894943</v>
      </c>
      <c r="T443" s="116">
        <f t="shared" ca="1" si="180"/>
        <v>0.10172841105057273</v>
      </c>
      <c r="V443" s="72">
        <f t="shared" ca="1" si="181"/>
        <v>45975.25</v>
      </c>
      <c r="W443" s="72">
        <f t="shared" si="182"/>
        <v>2113723612.5625</v>
      </c>
      <c r="Y443" s="110">
        <f t="shared" si="183"/>
        <v>36.314972330513882</v>
      </c>
      <c r="Z443" s="111">
        <f t="shared" si="184"/>
        <v>-70.930934305472633</v>
      </c>
      <c r="AA443" s="72">
        <f t="shared" si="185"/>
        <v>109.06906569452737</v>
      </c>
      <c r="AB443" s="110">
        <f t="shared" ca="1" si="186"/>
        <v>-47.32279962270168</v>
      </c>
      <c r="AC443" s="111">
        <f t="shared" ca="1" si="187"/>
        <v>-108.96733728347679</v>
      </c>
      <c r="AD443" s="72">
        <f t="shared" ca="1" si="188"/>
        <v>71.032662716523205</v>
      </c>
    </row>
    <row r="444" spans="1:30">
      <c r="A444" s="118">
        <v>46241.5</v>
      </c>
      <c r="B444" s="101">
        <f t="shared" ca="1" si="162"/>
        <v>2577.9252648192746</v>
      </c>
      <c r="C444" s="102">
        <f t="shared" ca="1" si="163"/>
        <v>1.5704084179448126</v>
      </c>
      <c r="D444" s="102">
        <f t="shared" si="164"/>
        <v>1.6925555405703017</v>
      </c>
      <c r="E444" s="103">
        <f t="shared" si="165"/>
        <v>0.93871833223011092</v>
      </c>
      <c r="F444" s="101">
        <f t="shared" si="166"/>
        <v>15805.58890155166</v>
      </c>
      <c r="G444" s="104">
        <f t="shared" si="167"/>
        <v>1.5707330580355423</v>
      </c>
      <c r="H444" s="113">
        <f t="shared" si="168"/>
        <v>1975.6988618146815</v>
      </c>
      <c r="I444" s="114">
        <f t="shared" si="169"/>
        <v>1.5702901767626092</v>
      </c>
      <c r="J444" s="101">
        <f t="shared" si="170"/>
        <v>3.0727148486375513</v>
      </c>
      <c r="K444" s="104">
        <f t="shared" si="171"/>
        <v>1.2393139079057072</v>
      </c>
      <c r="L444" s="102">
        <f t="shared" si="172"/>
        <v>1</v>
      </c>
      <c r="M444" s="103">
        <f t="shared" si="173"/>
        <v>1.8885354348246747E-9</v>
      </c>
      <c r="N444" s="101">
        <f t="shared" si="174"/>
        <v>1</v>
      </c>
      <c r="O444" s="104">
        <f t="shared" si="175"/>
        <v>2.5180472464328995E-10</v>
      </c>
      <c r="P444" s="105">
        <f t="shared" ca="1" si="176"/>
        <v>2.6528051724011976</v>
      </c>
      <c r="Q444" s="106">
        <f t="shared" ca="1" si="177"/>
        <v>1.2699222724701158</v>
      </c>
      <c r="R444" s="107">
        <f t="shared" ca="1" si="178"/>
        <v>-28.614760277586836</v>
      </c>
      <c r="S444" s="108">
        <f t="shared" ca="1" si="179"/>
        <v>-179.98719414842367</v>
      </c>
      <c r="T444" s="116">
        <f t="shared" ca="1" si="180"/>
        <v>1.2805851576331406E-2</v>
      </c>
      <c r="V444" s="72">
        <f t="shared" ca="1" si="181"/>
        <v>46241.5</v>
      </c>
      <c r="W444" s="72">
        <f t="shared" si="182"/>
        <v>2138276322.25</v>
      </c>
      <c r="Y444" s="110">
        <f t="shared" si="183"/>
        <v>36.270155826216673</v>
      </c>
      <c r="Z444" s="111">
        <f t="shared" si="184"/>
        <v>-71.032831630015352</v>
      </c>
      <c r="AA444" s="72">
        <f t="shared" si="185"/>
        <v>108.96716836998465</v>
      </c>
      <c r="AB444" s="110">
        <f t="shared" ca="1" si="186"/>
        <v>-47.38369083596951</v>
      </c>
      <c r="AC444" s="111">
        <f t="shared" ca="1" si="187"/>
        <v>-108.95436251840835</v>
      </c>
      <c r="AD444" s="72">
        <f t="shared" ca="1" si="188"/>
        <v>71.045637481591655</v>
      </c>
    </row>
    <row r="445" spans="1:30">
      <c r="A445" s="118">
        <v>46507.75</v>
      </c>
      <c r="B445" s="101">
        <f t="shared" ca="1" si="162"/>
        <v>2592.7684792213381</v>
      </c>
      <c r="C445" s="102">
        <f t="shared" ca="1" si="163"/>
        <v>1.5704106386654679</v>
      </c>
      <c r="D445" s="102">
        <f t="shared" si="164"/>
        <v>1.6989054663093388</v>
      </c>
      <c r="E445" s="103">
        <f t="shared" si="165"/>
        <v>0.9414526925363258</v>
      </c>
      <c r="F445" s="101">
        <f t="shared" si="166"/>
        <v>15896.594557255759</v>
      </c>
      <c r="G445" s="104">
        <f t="shared" si="167"/>
        <v>1.5707334202398444</v>
      </c>
      <c r="H445" s="113">
        <f t="shared" si="168"/>
        <v>1987.0745673515148</v>
      </c>
      <c r="I445" s="114">
        <f t="shared" si="169"/>
        <v>1.5702930743962997</v>
      </c>
      <c r="J445" s="101">
        <f t="shared" si="170"/>
        <v>3.088537918021026</v>
      </c>
      <c r="K445" s="104">
        <f t="shared" si="171"/>
        <v>1.2410766732857565</v>
      </c>
      <c r="L445" s="102">
        <f t="shared" si="172"/>
        <v>1</v>
      </c>
      <c r="M445" s="103">
        <f t="shared" si="173"/>
        <v>1.8994092723844875E-9</v>
      </c>
      <c r="N445" s="101">
        <f t="shared" si="174"/>
        <v>1</v>
      </c>
      <c r="O445" s="104">
        <f t="shared" si="175"/>
        <v>2.5325456965126496E-10</v>
      </c>
      <c r="P445" s="105">
        <f t="shared" ca="1" si="176"/>
        <v>2.6660145817833838</v>
      </c>
      <c r="Q445" s="106">
        <f t="shared" ca="1" si="177"/>
        <v>1.272428564642571</v>
      </c>
      <c r="R445" s="107">
        <f t="shared" ca="1" si="178"/>
        <v>-28.719859765515537</v>
      </c>
      <c r="S445" s="108">
        <f t="shared" ca="1" si="179"/>
        <v>-180.07510779154478</v>
      </c>
      <c r="T445" s="116">
        <f t="shared" ca="1" si="180"/>
        <v>-7.5107791544780866E-2</v>
      </c>
      <c r="V445" s="72">
        <f t="shared" ca="1" si="181"/>
        <v>46507.75</v>
      </c>
      <c r="W445" s="72">
        <f t="shared" si="182"/>
        <v>2162970810.0625</v>
      </c>
      <c r="Y445" s="110">
        <f t="shared" si="183"/>
        <v>36.2255422450895</v>
      </c>
      <c r="Z445" s="111">
        <f t="shared" si="184"/>
        <v>-71.133685376736025</v>
      </c>
      <c r="AA445" s="72">
        <f t="shared" si="185"/>
        <v>108.86631462326397</v>
      </c>
      <c r="AB445" s="110">
        <f t="shared" ca="1" si="186"/>
        <v>-47.444176742771027</v>
      </c>
      <c r="AC445" s="111">
        <f t="shared" ca="1" si="187"/>
        <v>-108.94142241480873</v>
      </c>
      <c r="AD445" s="72">
        <f t="shared" ca="1" si="188"/>
        <v>71.058577585191273</v>
      </c>
    </row>
    <row r="446" spans="1:30">
      <c r="A446" s="118">
        <v>46774</v>
      </c>
      <c r="B446" s="101">
        <f t="shared" ca="1" si="162"/>
        <v>2607.6116936360431</v>
      </c>
      <c r="C446" s="102">
        <f t="shared" ca="1" si="163"/>
        <v>1.5704128341042665</v>
      </c>
      <c r="D446" s="102">
        <f t="shared" si="164"/>
        <v>1.7052679996453368</v>
      </c>
      <c r="E446" s="103">
        <f t="shared" si="165"/>
        <v>0.94416666863949339</v>
      </c>
      <c r="F446" s="101">
        <f t="shared" si="166"/>
        <v>15987.600212961919</v>
      </c>
      <c r="G446" s="104">
        <f t="shared" si="167"/>
        <v>1.5707337783206208</v>
      </c>
      <c r="H446" s="113">
        <f t="shared" si="168"/>
        <v>1998.450272904842</v>
      </c>
      <c r="I446" s="114">
        <f t="shared" si="169"/>
        <v>1.5702959390418014</v>
      </c>
      <c r="J446" s="101">
        <f t="shared" si="170"/>
        <v>3.1043704866962849</v>
      </c>
      <c r="K446" s="104">
        <f t="shared" si="171"/>
        <v>1.2428214635175401</v>
      </c>
      <c r="L446" s="102">
        <f t="shared" si="172"/>
        <v>1</v>
      </c>
      <c r="M446" s="103">
        <f t="shared" si="173"/>
        <v>1.9102831099442999E-9</v>
      </c>
      <c r="N446" s="101">
        <f t="shared" si="174"/>
        <v>1</v>
      </c>
      <c r="O446" s="104">
        <f t="shared" si="175"/>
        <v>2.5470441465923998E-10</v>
      </c>
      <c r="P446" s="105">
        <f t="shared" ca="1" si="176"/>
        <v>2.6792364385049998</v>
      </c>
      <c r="Q446" s="106">
        <f t="shared" ca="1" si="177"/>
        <v>1.2749151895818309</v>
      </c>
      <c r="R446" s="107">
        <f t="shared" ca="1" si="178"/>
        <v>-28.8243574197835</v>
      </c>
      <c r="S446" s="108">
        <f t="shared" ca="1" si="179"/>
        <v>-180.16203281915918</v>
      </c>
      <c r="T446" s="116">
        <f t="shared" ca="1" si="180"/>
        <v>-0.16203281915917955</v>
      </c>
      <c r="V446" s="72">
        <f t="shared" ca="1" si="181"/>
        <v>46774</v>
      </c>
      <c r="W446" s="72">
        <f t="shared" si="182"/>
        <v>2187807076</v>
      </c>
      <c r="Y446" s="110">
        <f t="shared" si="183"/>
        <v>36.181130064936148</v>
      </c>
      <c r="Z446" s="111">
        <f t="shared" si="184"/>
        <v>-71.23351087714714</v>
      </c>
      <c r="AA446" s="72">
        <f t="shared" si="185"/>
        <v>108.76648912285286</v>
      </c>
      <c r="AB446" s="110">
        <f t="shared" ca="1" si="186"/>
        <v>-47.504262216885643</v>
      </c>
      <c r="AC446" s="111">
        <f t="shared" ca="1" si="187"/>
        <v>-108.92852194201201</v>
      </c>
      <c r="AD446" s="72">
        <f t="shared" ca="1" si="188"/>
        <v>71.071478057987989</v>
      </c>
    </row>
    <row r="447" spans="1:30">
      <c r="A447" s="118">
        <v>47046.25</v>
      </c>
      <c r="B447" s="101">
        <f t="shared" ca="1" si="162"/>
        <v>2622.7894030363218</v>
      </c>
      <c r="C447" s="102">
        <f t="shared" ca="1" si="163"/>
        <v>1.5704150533220549</v>
      </c>
      <c r="D447" s="102">
        <f t="shared" si="164"/>
        <v>1.7117868045199991</v>
      </c>
      <c r="E447" s="103">
        <f t="shared" si="165"/>
        <v>0.94692092173822828</v>
      </c>
      <c r="F447" s="101">
        <f t="shared" si="166"/>
        <v>16080.65670034806</v>
      </c>
      <c r="G447" s="104">
        <f t="shared" si="167"/>
        <v>1.570734140279801</v>
      </c>
      <c r="H447" s="113">
        <f t="shared" si="168"/>
        <v>2010.0823324028956</v>
      </c>
      <c r="I447" s="114">
        <f t="shared" si="169"/>
        <v>1.5702988347145328</v>
      </c>
      <c r="J447" s="101">
        <f t="shared" si="170"/>
        <v>3.1205695178231778</v>
      </c>
      <c r="K447" s="104">
        <f t="shared" si="171"/>
        <v>1.2445872597022263</v>
      </c>
      <c r="L447" s="102">
        <f t="shared" si="172"/>
        <v>1</v>
      </c>
      <c r="M447" s="103">
        <f t="shared" si="173"/>
        <v>1.9214019917308125E-9</v>
      </c>
      <c r="N447" s="101">
        <f t="shared" si="174"/>
        <v>1</v>
      </c>
      <c r="O447" s="104">
        <f t="shared" si="175"/>
        <v>2.5618693223077495E-10</v>
      </c>
      <c r="P447" s="105">
        <f t="shared" ca="1" si="176"/>
        <v>2.6927689736643874</v>
      </c>
      <c r="Q447" s="106">
        <f t="shared" ca="1" si="177"/>
        <v>1.2774377961129215</v>
      </c>
      <c r="R447" s="107">
        <f t="shared" ca="1" si="178"/>
        <v>-28.9305941922639</v>
      </c>
      <c r="S447" s="108">
        <f t="shared" ca="1" si="179"/>
        <v>-180.24991509762566</v>
      </c>
      <c r="T447" s="116">
        <f t="shared" ca="1" si="180"/>
        <v>-0.24991509762566011</v>
      </c>
      <c r="V447" s="72">
        <f t="shared" ca="1" si="181"/>
        <v>47046.25</v>
      </c>
      <c r="W447" s="72">
        <f t="shared" si="182"/>
        <v>2213349639.0625</v>
      </c>
      <c r="Y447" s="110">
        <f t="shared" si="183"/>
        <v>36.135923732805686</v>
      </c>
      <c r="Z447" s="111">
        <f t="shared" si="184"/>
        <v>-71.334538374480303</v>
      </c>
      <c r="AA447" s="72">
        <f t="shared" si="185"/>
        <v>108.6654616255197</v>
      </c>
      <c r="AB447" s="110">
        <f t="shared" ca="1" si="186"/>
        <v>-47.565292657235581</v>
      </c>
      <c r="AC447" s="111">
        <f t="shared" ca="1" si="187"/>
        <v>-108.91537672314536</v>
      </c>
      <c r="AD447" s="72">
        <f t="shared" ca="1" si="188"/>
        <v>71.084623276854643</v>
      </c>
    </row>
    <row r="448" spans="1:30">
      <c r="A448" s="118">
        <v>47318.5</v>
      </c>
      <c r="B448" s="101">
        <f t="shared" ca="1" si="162"/>
        <v>2637.9671124493684</v>
      </c>
      <c r="C448" s="102">
        <f t="shared" ca="1" si="163"/>
        <v>1.5704172470030255</v>
      </c>
      <c r="D448" s="102">
        <f t="shared" si="164"/>
        <v>1.7183184962721281</v>
      </c>
      <c r="E448" s="103">
        <f t="shared" si="165"/>
        <v>0.94965425644452894</v>
      </c>
      <c r="F448" s="101">
        <f t="shared" si="166"/>
        <v>16173.713187736281</v>
      </c>
      <c r="G448" s="104">
        <f t="shared" si="167"/>
        <v>1.5707344980738707</v>
      </c>
      <c r="H448" s="113">
        <f t="shared" si="168"/>
        <v>2021.7143919176094</v>
      </c>
      <c r="I448" s="114">
        <f t="shared" si="169"/>
        <v>1.5703016970663977</v>
      </c>
      <c r="J448" s="101">
        <f t="shared" si="170"/>
        <v>3.1367781784847555</v>
      </c>
      <c r="K448" s="104">
        <f t="shared" si="171"/>
        <v>1.2463348125066611</v>
      </c>
      <c r="L448" s="102">
        <f t="shared" si="172"/>
        <v>1</v>
      </c>
      <c r="M448" s="103">
        <f t="shared" si="173"/>
        <v>1.9325208735173248E-9</v>
      </c>
      <c r="N448" s="101">
        <f t="shared" si="174"/>
        <v>1</v>
      </c>
      <c r="O448" s="104">
        <f t="shared" si="175"/>
        <v>2.5766944980230997E-10</v>
      </c>
      <c r="P448" s="105">
        <f t="shared" ca="1" si="176"/>
        <v>2.7063142217927023</v>
      </c>
      <c r="Q448" s="106">
        <f t="shared" ca="1" si="177"/>
        <v>1.2799404064482689</v>
      </c>
      <c r="R448" s="107">
        <f t="shared" ca="1" si="178"/>
        <v>-29.036214947198818</v>
      </c>
      <c r="S448" s="108">
        <f t="shared" ca="1" si="179"/>
        <v>-180.33680515272675</v>
      </c>
      <c r="T448" s="116">
        <f t="shared" ca="1" si="180"/>
        <v>-0.33680515272675393</v>
      </c>
      <c r="V448" s="72">
        <f t="shared" ca="1" si="181"/>
        <v>47318.5</v>
      </c>
      <c r="W448" s="72">
        <f t="shared" si="182"/>
        <v>2239040442.25</v>
      </c>
      <c r="Y448" s="110">
        <f t="shared" si="183"/>
        <v>36.090924797988187</v>
      </c>
      <c r="Z448" s="111">
        <f t="shared" si="184"/>
        <v>-71.434522273621596</v>
      </c>
      <c r="AA448" s="72">
        <f t="shared" si="185"/>
        <v>108.5654777263784</v>
      </c>
      <c r="AB448" s="110">
        <f t="shared" ca="1" si="186"/>
        <v>-47.625914477353</v>
      </c>
      <c r="AC448" s="111">
        <f t="shared" ca="1" si="187"/>
        <v>-108.90228287910521</v>
      </c>
      <c r="AD448" s="72">
        <f t="shared" ca="1" si="188"/>
        <v>71.097717120894785</v>
      </c>
    </row>
    <row r="449" spans="1:30">
      <c r="A449" s="118">
        <v>47590.75</v>
      </c>
      <c r="B449" s="101">
        <f t="shared" ca="1" si="162"/>
        <v>2653.1448218749642</v>
      </c>
      <c r="C449" s="102">
        <f t="shared" ca="1" si="163"/>
        <v>1.5704194155854398</v>
      </c>
      <c r="D449" s="102">
        <f t="shared" si="164"/>
        <v>1.7248629285020767</v>
      </c>
      <c r="E449" s="103">
        <f t="shared" si="165"/>
        <v>0.95236686978745999</v>
      </c>
      <c r="F449" s="101">
        <f t="shared" si="166"/>
        <v>16266.769675126552</v>
      </c>
      <c r="G449" s="104">
        <f t="shared" si="167"/>
        <v>1.5707348517743116</v>
      </c>
      <c r="H449" s="113">
        <f t="shared" si="168"/>
        <v>2033.346451448698</v>
      </c>
      <c r="I449" s="114">
        <f t="shared" si="169"/>
        <v>1.5703045266692472</v>
      </c>
      <c r="J449" s="101">
        <f t="shared" si="170"/>
        <v>3.1529963201728948</v>
      </c>
      <c r="K449" s="104">
        <f t="shared" si="171"/>
        <v>1.248064392690633</v>
      </c>
      <c r="L449" s="102">
        <f t="shared" si="172"/>
        <v>1</v>
      </c>
      <c r="M449" s="103">
        <f t="shared" si="173"/>
        <v>1.9436397553038375E-9</v>
      </c>
      <c r="N449" s="101">
        <f t="shared" si="174"/>
        <v>1</v>
      </c>
      <c r="O449" s="104">
        <f t="shared" si="175"/>
        <v>2.5915196737384498E-10</v>
      </c>
      <c r="P449" s="105">
        <f t="shared" ca="1" si="176"/>
        <v>2.719872034960666</v>
      </c>
      <c r="Q449" s="106">
        <f t="shared" ca="1" si="177"/>
        <v>1.2824233000062575</v>
      </c>
      <c r="R449" s="107">
        <f t="shared" ca="1" si="178"/>
        <v>-29.141226242829479</v>
      </c>
      <c r="S449" s="108">
        <f t="shared" ca="1" si="179"/>
        <v>-180.4227232148574</v>
      </c>
      <c r="T449" s="116">
        <f t="shared" ca="1" si="180"/>
        <v>-0.42272321485739894</v>
      </c>
      <c r="V449" s="72">
        <f t="shared" ca="1" si="181"/>
        <v>47590.75</v>
      </c>
      <c r="W449" s="72">
        <f t="shared" si="182"/>
        <v>2264879485.5625</v>
      </c>
      <c r="Y449" s="110">
        <f t="shared" si="183"/>
        <v>36.046131669525167</v>
      </c>
      <c r="Z449" s="111">
        <f t="shared" si="184"/>
        <v>-71.533478059295078</v>
      </c>
      <c r="AA449" s="72">
        <f t="shared" si="185"/>
        <v>108.46652194070492</v>
      </c>
      <c r="AB449" s="110">
        <f t="shared" ca="1" si="186"/>
        <v>-47.68613264452064</v>
      </c>
      <c r="AC449" s="111">
        <f t="shared" ca="1" si="187"/>
        <v>-108.88924515556232</v>
      </c>
      <c r="AD449" s="72">
        <f t="shared" ca="1" si="188"/>
        <v>71.110754844437679</v>
      </c>
    </row>
    <row r="450" spans="1:30">
      <c r="A450" s="118">
        <v>47863</v>
      </c>
      <c r="B450" s="101">
        <f t="shared" ca="1" si="162"/>
        <v>2668.3225313128955</v>
      </c>
      <c r="C450" s="102">
        <f t="shared" ca="1" si="163"/>
        <v>1.5704215594975879</v>
      </c>
      <c r="D450" s="102">
        <f t="shared" si="164"/>
        <v>1.7314199567402326</v>
      </c>
      <c r="E450" s="103">
        <f t="shared" si="165"/>
        <v>0.95505895703992905</v>
      </c>
      <c r="F450" s="101">
        <f t="shared" si="166"/>
        <v>16359.826162518833</v>
      </c>
      <c r="G450" s="104">
        <f t="shared" si="167"/>
        <v>1.5707352014509786</v>
      </c>
      <c r="H450" s="113">
        <f t="shared" si="168"/>
        <v>2044.9785109958816</v>
      </c>
      <c r="I450" s="114">
        <f t="shared" si="169"/>
        <v>1.570307324081921</v>
      </c>
      <c r="J450" s="101">
        <f t="shared" si="170"/>
        <v>3.1692237973333781</v>
      </c>
      <c r="K450" s="104">
        <f t="shared" si="171"/>
        <v>1.2497762659034006</v>
      </c>
      <c r="L450" s="102">
        <f t="shared" si="172"/>
        <v>1</v>
      </c>
      <c r="M450" s="103">
        <f t="shared" si="173"/>
        <v>1.9547586370903497E-9</v>
      </c>
      <c r="N450" s="101">
        <f t="shared" si="174"/>
        <v>1</v>
      </c>
      <c r="O450" s="104">
        <f t="shared" si="175"/>
        <v>2.6063448494537995E-10</v>
      </c>
      <c r="P450" s="105">
        <f t="shared" ca="1" si="176"/>
        <v>2.7334422682404389</v>
      </c>
      <c r="Q450" s="106">
        <f t="shared" ca="1" si="177"/>
        <v>1.2848867513215285</v>
      </c>
      <c r="R450" s="107">
        <f t="shared" ca="1" si="178"/>
        <v>-29.245634545932791</v>
      </c>
      <c r="S450" s="108">
        <f t="shared" ca="1" si="179"/>
        <v>-180.50768904248412</v>
      </c>
      <c r="T450" s="116">
        <f t="shared" ca="1" si="180"/>
        <v>-0.50768904248411673</v>
      </c>
      <c r="V450" s="72">
        <f t="shared" ca="1" si="181"/>
        <v>47863</v>
      </c>
      <c r="W450" s="72">
        <f t="shared" si="182"/>
        <v>2290866769</v>
      </c>
      <c r="Y450" s="110">
        <f t="shared" si="183"/>
        <v>36.001542768881677</v>
      </c>
      <c r="Z450" s="111">
        <f t="shared" si="184"/>
        <v>-71.631420924065409</v>
      </c>
      <c r="AA450" s="72">
        <f t="shared" si="185"/>
        <v>108.36857907593459</v>
      </c>
      <c r="AB450" s="110">
        <f t="shared" ca="1" si="186"/>
        <v>-47.745952046980463</v>
      </c>
      <c r="AC450" s="111">
        <f t="shared" ca="1" si="187"/>
        <v>-108.87626811841874</v>
      </c>
      <c r="AD450" s="72">
        <f t="shared" ca="1" si="188"/>
        <v>71.123731881581264</v>
      </c>
    </row>
    <row r="451" spans="1:30">
      <c r="A451" s="118">
        <v>48141.75</v>
      </c>
      <c r="B451" s="101">
        <f t="shared" ca="1" si="162"/>
        <v>2683.862610318381</v>
      </c>
      <c r="C451" s="102">
        <f t="shared" ca="1" si="163"/>
        <v>1.5704237294721821</v>
      </c>
      <c r="D451" s="102">
        <f t="shared" si="164"/>
        <v>1.7381464365996642</v>
      </c>
      <c r="E451" s="103">
        <f t="shared" si="165"/>
        <v>0.95779425323917378</v>
      </c>
      <c r="F451" s="101">
        <f t="shared" si="166"/>
        <v>16455.104384231072</v>
      </c>
      <c r="G451" s="104">
        <f t="shared" si="167"/>
        <v>1.5707355553784859</v>
      </c>
      <c r="H451" s="113">
        <f t="shared" si="168"/>
        <v>2056.888287316322</v>
      </c>
      <c r="I451" s="114">
        <f t="shared" si="169"/>
        <v>1.5703101555013168</v>
      </c>
      <c r="J451" s="101">
        <f t="shared" si="170"/>
        <v>3.1858482308548917</v>
      </c>
      <c r="K451" s="104">
        <f t="shared" si="171"/>
        <v>1.2515109363143089</v>
      </c>
      <c r="L451" s="102">
        <f t="shared" si="172"/>
        <v>1</v>
      </c>
      <c r="M451" s="103">
        <f t="shared" si="173"/>
        <v>1.9661429834557873E-9</v>
      </c>
      <c r="N451" s="101">
        <f t="shared" si="174"/>
        <v>1</v>
      </c>
      <c r="O451" s="104">
        <f t="shared" si="175"/>
        <v>2.6215239779410494E-10</v>
      </c>
      <c r="P451" s="105">
        <f t="shared" ca="1" si="176"/>
        <v>2.7473492125740835</v>
      </c>
      <c r="Q451" s="106">
        <f t="shared" ca="1" si="177"/>
        <v>1.2873891554380339</v>
      </c>
      <c r="R451" s="107">
        <f t="shared" ca="1" si="178"/>
        <v>-29.351917509046615</v>
      </c>
      <c r="S451" s="108">
        <f t="shared" ca="1" si="179"/>
        <v>-180.5937169825423</v>
      </c>
      <c r="T451" s="116">
        <f t="shared" ca="1" si="180"/>
        <v>-0.59371698254230409</v>
      </c>
      <c r="V451" s="72">
        <f t="shared" ca="1" si="181"/>
        <v>48141.75</v>
      </c>
      <c r="W451" s="72">
        <f t="shared" si="182"/>
        <v>2317628093.0625</v>
      </c>
      <c r="Y451" s="110">
        <f t="shared" si="183"/>
        <v>35.95609926765669</v>
      </c>
      <c r="Z451" s="111">
        <f t="shared" si="184"/>
        <v>-71.730668267175787</v>
      </c>
      <c r="AA451" s="72">
        <f t="shared" si="185"/>
        <v>108.26933173282421</v>
      </c>
      <c r="AB451" s="110">
        <f t="shared" ca="1" si="186"/>
        <v>-47.80679150886931</v>
      </c>
      <c r="AC451" s="111">
        <f t="shared" ca="1" si="187"/>
        <v>-108.86304871536657</v>
      </c>
      <c r="AD451" s="72">
        <f t="shared" ca="1" si="188"/>
        <v>71.136951284633426</v>
      </c>
    </row>
    <row r="452" spans="1:30">
      <c r="A452" s="118">
        <v>48420.5</v>
      </c>
      <c r="B452" s="101">
        <f t="shared" ca="1" si="162"/>
        <v>2699.402689336358</v>
      </c>
      <c r="C452" s="102">
        <f t="shared" ca="1" si="163"/>
        <v>1.5704258744623036</v>
      </c>
      <c r="D452" s="102">
        <f t="shared" si="164"/>
        <v>1.7448858206811304</v>
      </c>
      <c r="E452" s="103">
        <f t="shared" si="165"/>
        <v>0.96050844019630088</v>
      </c>
      <c r="F452" s="101">
        <f t="shared" si="166"/>
        <v>16550.382605945346</v>
      </c>
      <c r="G452" s="104">
        <f t="shared" si="167"/>
        <v>1.5707359052309715</v>
      </c>
      <c r="H452" s="113">
        <f t="shared" si="168"/>
        <v>2068.7980636530624</v>
      </c>
      <c r="I452" s="114">
        <f t="shared" si="169"/>
        <v>1.5703129543205547</v>
      </c>
      <c r="J452" s="101">
        <f t="shared" si="170"/>
        <v>3.2024821513075552</v>
      </c>
      <c r="K452" s="104">
        <f t="shared" si="171"/>
        <v>1.2532275918427613</v>
      </c>
      <c r="L452" s="102">
        <f t="shared" si="172"/>
        <v>1</v>
      </c>
      <c r="M452" s="103">
        <f t="shared" si="173"/>
        <v>1.977527329821225E-9</v>
      </c>
      <c r="N452" s="101">
        <f t="shared" si="174"/>
        <v>1</v>
      </c>
      <c r="O452" s="104">
        <f t="shared" si="175"/>
        <v>2.6367031064282999E-10</v>
      </c>
      <c r="P452" s="105">
        <f t="shared" ca="1" si="176"/>
        <v>2.761268879025025</v>
      </c>
      <c r="Q452" s="106">
        <f t="shared" ca="1" si="177"/>
        <v>1.2898717450625456</v>
      </c>
      <c r="R452" s="107">
        <f t="shared" ca="1" si="178"/>
        <v>-29.457581775585119</v>
      </c>
      <c r="S452" s="108">
        <f t="shared" ca="1" si="179"/>
        <v>-180.67878713244897</v>
      </c>
      <c r="T452" s="116">
        <f t="shared" ca="1" si="180"/>
        <v>-0.67878713244897426</v>
      </c>
      <c r="V452" s="72">
        <f t="shared" ca="1" si="181"/>
        <v>48420.5</v>
      </c>
      <c r="W452" s="72">
        <f t="shared" si="182"/>
        <v>2344544820.25</v>
      </c>
      <c r="Y452" s="110">
        <f t="shared" si="183"/>
        <v>35.910866553558485</v>
      </c>
      <c r="Z452" s="111">
        <f t="shared" si="184"/>
        <v>-71.828885067921775</v>
      </c>
      <c r="AA452" s="72">
        <f t="shared" si="185"/>
        <v>108.17111493207823</v>
      </c>
      <c r="AB452" s="110">
        <f t="shared" ca="1" si="186"/>
        <v>-47.867223061309609</v>
      </c>
      <c r="AC452" s="111">
        <f t="shared" ca="1" si="187"/>
        <v>-108.84990206452726</v>
      </c>
      <c r="AD452" s="72">
        <f t="shared" ca="1" si="188"/>
        <v>71.150097935472743</v>
      </c>
    </row>
    <row r="453" spans="1:30">
      <c r="A453" s="118">
        <v>48699.25</v>
      </c>
      <c r="B453" s="101">
        <f t="shared" ca="1" si="162"/>
        <v>2714.9427683666127</v>
      </c>
      <c r="C453" s="102">
        <f t="shared" ca="1" si="163"/>
        <v>1.5704279948969786</v>
      </c>
      <c r="D453" s="102">
        <f t="shared" si="164"/>
        <v>1.7516379600386038</v>
      </c>
      <c r="E453" s="103">
        <f t="shared" si="165"/>
        <v>0.96320172180273911</v>
      </c>
      <c r="F453" s="101">
        <f t="shared" si="166"/>
        <v>16645.660827661617</v>
      </c>
      <c r="G453" s="104">
        <f t="shared" si="167"/>
        <v>1.5707362510784109</v>
      </c>
      <c r="H453" s="113">
        <f t="shared" si="168"/>
        <v>2080.7078400058226</v>
      </c>
      <c r="I453" s="114">
        <f t="shared" si="169"/>
        <v>1.5703157210994356</v>
      </c>
      <c r="J453" s="101">
        <f t="shared" si="170"/>
        <v>3.2191254116282675</v>
      </c>
      <c r="K453" s="104">
        <f t="shared" si="171"/>
        <v>1.2549265017091815</v>
      </c>
      <c r="L453" s="102">
        <f t="shared" si="172"/>
        <v>1</v>
      </c>
      <c r="M453" s="103">
        <f t="shared" si="173"/>
        <v>1.9889116761866622E-9</v>
      </c>
      <c r="N453" s="101">
        <f t="shared" si="174"/>
        <v>1</v>
      </c>
      <c r="O453" s="104">
        <f t="shared" si="175"/>
        <v>2.6518822349155498E-10</v>
      </c>
      <c r="P453" s="105">
        <f t="shared" ca="1" si="176"/>
        <v>2.7752011213787897</v>
      </c>
      <c r="Q453" s="106">
        <f t="shared" ca="1" si="177"/>
        <v>1.2923347995876251</v>
      </c>
      <c r="R453" s="107">
        <f t="shared" ca="1" si="178"/>
        <v>-29.562633997910723</v>
      </c>
      <c r="S453" s="108">
        <f t="shared" ca="1" si="179"/>
        <v>-180.76291923981088</v>
      </c>
      <c r="T453" s="116">
        <f t="shared" ca="1" si="180"/>
        <v>-0.76291923981088416</v>
      </c>
      <c r="V453" s="72">
        <f t="shared" ca="1" si="181"/>
        <v>48699.25</v>
      </c>
      <c r="W453" s="72">
        <f t="shared" si="182"/>
        <v>2371616950.5625</v>
      </c>
      <c r="Y453" s="110">
        <f t="shared" si="183"/>
        <v>35.865842973016861</v>
      </c>
      <c r="Z453" s="111">
        <f t="shared" si="184"/>
        <v>-71.926086723432462</v>
      </c>
      <c r="AA453" s="72">
        <f t="shared" si="185"/>
        <v>108.07391327656754</v>
      </c>
      <c r="AB453" s="110">
        <f t="shared" ca="1" si="186"/>
        <v>-47.927251703093589</v>
      </c>
      <c r="AC453" s="111">
        <f t="shared" ca="1" si="187"/>
        <v>-108.83683251637845</v>
      </c>
      <c r="AD453" s="72">
        <f t="shared" ca="1" si="188"/>
        <v>71.16316748362155</v>
      </c>
    </row>
    <row r="454" spans="1:30">
      <c r="A454" s="118">
        <v>48978</v>
      </c>
      <c r="B454" s="101">
        <f t="shared" ca="1" si="162"/>
        <v>2730.4828474089359</v>
      </c>
      <c r="C454" s="102">
        <f t="shared" ca="1" si="163"/>
        <v>1.5704300911954665</v>
      </c>
      <c r="D454" s="102">
        <f t="shared" si="164"/>
        <v>1.7584027077340763</v>
      </c>
      <c r="E454" s="103">
        <f t="shared" si="165"/>
        <v>0.96587430003438857</v>
      </c>
      <c r="F454" s="101">
        <f t="shared" si="166"/>
        <v>16740.939049379864</v>
      </c>
      <c r="G454" s="104">
        <f t="shared" si="167"/>
        <v>1.5707365929891857</v>
      </c>
      <c r="H454" s="113">
        <f t="shared" si="168"/>
        <v>2092.6176163743294</v>
      </c>
      <c r="I454" s="114">
        <f t="shared" si="169"/>
        <v>1.5703184563850161</v>
      </c>
      <c r="J454" s="101">
        <f t="shared" si="170"/>
        <v>3.2357778676978795</v>
      </c>
      <c r="K454" s="104">
        <f t="shared" si="171"/>
        <v>1.2566079300064141</v>
      </c>
      <c r="L454" s="102">
        <f t="shared" si="172"/>
        <v>1</v>
      </c>
      <c r="M454" s="103">
        <f t="shared" si="173"/>
        <v>2.0002960225520998E-9</v>
      </c>
      <c r="N454" s="101">
        <f t="shared" si="174"/>
        <v>1</v>
      </c>
      <c r="O454" s="104">
        <f t="shared" si="175"/>
        <v>2.6670613634027997E-10</v>
      </c>
      <c r="P454" s="105">
        <f t="shared" ca="1" si="176"/>
        <v>2.7891457964306881</v>
      </c>
      <c r="Q454" s="106">
        <f t="shared" ca="1" si="177"/>
        <v>1.2947785934600291</v>
      </c>
      <c r="R454" s="107">
        <f t="shared" ca="1" si="178"/>
        <v>-29.667080734068918</v>
      </c>
      <c r="S454" s="108">
        <f t="shared" ca="1" si="179"/>
        <v>-180.84613258490336</v>
      </c>
      <c r="T454" s="116">
        <f t="shared" ca="1" si="180"/>
        <v>-0.84613258490335852</v>
      </c>
      <c r="V454" s="72">
        <f t="shared" ca="1" si="181"/>
        <v>48978</v>
      </c>
      <c r="W454" s="72">
        <f t="shared" si="182"/>
        <v>2398844484</v>
      </c>
      <c r="Y454" s="110">
        <f t="shared" si="183"/>
        <v>35.821026886261365</v>
      </c>
      <c r="Z454" s="111">
        <f t="shared" si="184"/>
        <v>-72.022288337687215</v>
      </c>
      <c r="AA454" s="72">
        <f t="shared" si="185"/>
        <v>107.97771166231279</v>
      </c>
      <c r="AB454" s="110">
        <f t="shared" ca="1" si="186"/>
        <v>-47.986882352496281</v>
      </c>
      <c r="AC454" s="111">
        <f t="shared" ca="1" si="187"/>
        <v>-108.82384424721621</v>
      </c>
      <c r="AD454" s="72">
        <f t="shared" ca="1" si="188"/>
        <v>71.176155752783785</v>
      </c>
    </row>
    <row r="455" spans="1:30">
      <c r="A455" s="118">
        <v>49263.25</v>
      </c>
      <c r="B455" s="101">
        <f t="shared" ca="1" si="162"/>
        <v>2746.3852960196828</v>
      </c>
      <c r="C455" s="102">
        <f t="shared" ca="1" si="163"/>
        <v>1.5704322118167302</v>
      </c>
      <c r="D455" s="102">
        <f t="shared" si="164"/>
        <v>1.7653380999780834</v>
      </c>
      <c r="E455" s="103">
        <f t="shared" si="165"/>
        <v>0.96858797403476093</v>
      </c>
      <c r="F455" s="101">
        <f t="shared" si="166"/>
        <v>16838.439005418208</v>
      </c>
      <c r="G455" s="104">
        <f t="shared" si="167"/>
        <v>1.5707369388670569</v>
      </c>
      <c r="H455" s="113">
        <f t="shared" si="168"/>
        <v>2104.8051095172286</v>
      </c>
      <c r="I455" s="114">
        <f t="shared" si="169"/>
        <v>1.5703212234073674</v>
      </c>
      <c r="J455" s="101">
        <f t="shared" si="170"/>
        <v>3.2528280047094333</v>
      </c>
      <c r="K455" s="104">
        <f t="shared" si="171"/>
        <v>1.2583107389806971</v>
      </c>
      <c r="L455" s="102">
        <f t="shared" si="172"/>
        <v>1</v>
      </c>
      <c r="M455" s="103">
        <f t="shared" si="173"/>
        <v>2.0119458334964624E-9</v>
      </c>
      <c r="N455" s="101">
        <f t="shared" si="174"/>
        <v>1</v>
      </c>
      <c r="O455" s="104">
        <f t="shared" si="175"/>
        <v>2.6825944446619494E-10</v>
      </c>
      <c r="P455" s="105">
        <f t="shared" ca="1" si="176"/>
        <v>2.8034283634185186</v>
      </c>
      <c r="Q455" s="106">
        <f t="shared" ca="1" si="177"/>
        <v>1.2972597143258693</v>
      </c>
      <c r="R455" s="107">
        <f t="shared" ca="1" si="178"/>
        <v>-29.773342914879237</v>
      </c>
      <c r="S455" s="108">
        <f t="shared" ca="1" si="179"/>
        <v>-180.93035482013136</v>
      </c>
      <c r="T455" s="116">
        <f t="shared" ca="1" si="180"/>
        <v>-0.93035482013135606</v>
      </c>
      <c r="V455" s="72">
        <f t="shared" ca="1" si="181"/>
        <v>49263.25</v>
      </c>
      <c r="W455" s="72">
        <f t="shared" si="182"/>
        <v>2426867800.5625</v>
      </c>
      <c r="Y455" s="110">
        <f t="shared" si="183"/>
        <v>35.775378872268504</v>
      </c>
      <c r="Z455" s="111">
        <f t="shared" si="184"/>
        <v>-72.119713383403166</v>
      </c>
      <c r="AA455" s="72">
        <f t="shared" si="185"/>
        <v>107.88028661659683</v>
      </c>
      <c r="AB455" s="110">
        <f t="shared" ca="1" si="186"/>
        <v>-48.047496519313739</v>
      </c>
      <c r="AC455" s="111">
        <f t="shared" ca="1" si="187"/>
        <v>-108.81064143672826</v>
      </c>
      <c r="AD455" s="72">
        <f t="shared" ca="1" si="188"/>
        <v>71.189358563271739</v>
      </c>
    </row>
    <row r="456" spans="1:30">
      <c r="A456" s="118">
        <v>49548.5</v>
      </c>
      <c r="B456" s="101">
        <f t="shared" ca="1" si="162"/>
        <v>2762.2877446426373</v>
      </c>
      <c r="C456" s="102">
        <f t="shared" ca="1" si="163"/>
        <v>1.5704343080212253</v>
      </c>
      <c r="D456" s="102">
        <f t="shared" si="164"/>
        <v>1.7722863904188269</v>
      </c>
      <c r="E456" s="103">
        <f t="shared" si="165"/>
        <v>0.97128038968753616</v>
      </c>
      <c r="F456" s="101">
        <f t="shared" si="166"/>
        <v>16935.938961458538</v>
      </c>
      <c r="G456" s="104">
        <f t="shared" si="167"/>
        <v>1.5707372807625002</v>
      </c>
      <c r="H456" s="113">
        <f t="shared" si="168"/>
        <v>2116.9926026760568</v>
      </c>
      <c r="I456" s="114">
        <f t="shared" si="169"/>
        <v>1.5703239585703102</v>
      </c>
      <c r="J456" s="101">
        <f t="shared" si="170"/>
        <v>3.2698874751100182</v>
      </c>
      <c r="K456" s="104">
        <f t="shared" si="171"/>
        <v>1.2599957852028014</v>
      </c>
      <c r="L456" s="102">
        <f t="shared" si="172"/>
        <v>1</v>
      </c>
      <c r="M456" s="103">
        <f t="shared" si="173"/>
        <v>2.0235956444408249E-9</v>
      </c>
      <c r="N456" s="101">
        <f t="shared" si="174"/>
        <v>1</v>
      </c>
      <c r="O456" s="104">
        <f t="shared" si="175"/>
        <v>2.6981275259210995E-10</v>
      </c>
      <c r="P456" s="105">
        <f t="shared" ca="1" si="176"/>
        <v>2.8177236556260659</v>
      </c>
      <c r="Q456" s="106">
        <f t="shared" ca="1" si="177"/>
        <v>1.2997212318746432</v>
      </c>
      <c r="R456" s="107">
        <f t="shared" ca="1" si="178"/>
        <v>-29.878984641427827</v>
      </c>
      <c r="S456" s="108">
        <f t="shared" ca="1" si="179"/>
        <v>-181.01365434914592</v>
      </c>
      <c r="T456" s="116">
        <f t="shared" ca="1" si="180"/>
        <v>-1.0136543491459236</v>
      </c>
      <c r="V456" s="72">
        <f t="shared" ca="1" si="181"/>
        <v>49548.5</v>
      </c>
      <c r="W456" s="72">
        <f t="shared" si="182"/>
        <v>2455053852.25</v>
      </c>
      <c r="Y456" s="110">
        <f t="shared" si="183"/>
        <v>35.729944711716158</v>
      </c>
      <c r="Z456" s="111">
        <f t="shared" si="184"/>
        <v>-72.216122295618902</v>
      </c>
      <c r="AA456" s="72">
        <f t="shared" si="185"/>
        <v>107.7838777043811</v>
      </c>
      <c r="AB456" s="110">
        <f t="shared" ca="1" si="186"/>
        <v>-48.10770408530999</v>
      </c>
      <c r="AC456" s="111">
        <f t="shared" ca="1" si="187"/>
        <v>-108.79753205352698</v>
      </c>
      <c r="AD456" s="72">
        <f t="shared" ca="1" si="188"/>
        <v>71.202467946473021</v>
      </c>
    </row>
    <row r="457" spans="1:30">
      <c r="A457" s="118">
        <v>49833.75</v>
      </c>
      <c r="B457" s="101">
        <f t="shared" ca="1" si="162"/>
        <v>2778.1901932775913</v>
      </c>
      <c r="C457" s="102">
        <f t="shared" ca="1" si="163"/>
        <v>1.5704363802282384</v>
      </c>
      <c r="D457" s="102">
        <f t="shared" si="164"/>
        <v>1.779247427946778</v>
      </c>
      <c r="E457" s="103">
        <f t="shared" si="165"/>
        <v>0.9739517572380697</v>
      </c>
      <c r="F457" s="101">
        <f t="shared" si="166"/>
        <v>17033.438917500825</v>
      </c>
      <c r="G457" s="104">
        <f t="shared" si="167"/>
        <v>1.5707376187439024</v>
      </c>
      <c r="H457" s="113">
        <f t="shared" si="168"/>
        <v>2129.1800958505414</v>
      </c>
      <c r="I457" s="114">
        <f t="shared" si="169"/>
        <v>1.5703266624209373</v>
      </c>
      <c r="J457" s="101">
        <f t="shared" si="170"/>
        <v>3.2869561335773376</v>
      </c>
      <c r="K457" s="104">
        <f t="shared" si="171"/>
        <v>1.261663335746271</v>
      </c>
      <c r="L457" s="102">
        <f t="shared" si="172"/>
        <v>1</v>
      </c>
      <c r="M457" s="103">
        <f t="shared" si="173"/>
        <v>2.0352454553851875E-9</v>
      </c>
      <c r="N457" s="101">
        <f t="shared" si="174"/>
        <v>1</v>
      </c>
      <c r="O457" s="104">
        <f t="shared" si="175"/>
        <v>2.7136606071802497E-10</v>
      </c>
      <c r="P457" s="105">
        <f t="shared" ca="1" si="176"/>
        <v>2.8320315289425149</v>
      </c>
      <c r="Q457" s="106">
        <f t="shared" ca="1" si="177"/>
        <v>1.3021634247708902</v>
      </c>
      <c r="R457" s="107">
        <f t="shared" ca="1" si="178"/>
        <v>-29.984012644376339</v>
      </c>
      <c r="S457" s="108">
        <f t="shared" ca="1" si="179"/>
        <v>-181.09605039085983</v>
      </c>
      <c r="T457" s="116">
        <f t="shared" ca="1" si="180"/>
        <v>-1.0960503908598298</v>
      </c>
      <c r="V457" s="72">
        <f t="shared" ca="1" si="181"/>
        <v>49833.75</v>
      </c>
      <c r="W457" s="72">
        <f t="shared" si="182"/>
        <v>2483402639.0625</v>
      </c>
      <c r="Y457" s="110">
        <f t="shared" si="183"/>
        <v>35.684722692355926</v>
      </c>
      <c r="Z457" s="111">
        <f t="shared" si="184"/>
        <v>-72.31153034909353</v>
      </c>
      <c r="AA457" s="72">
        <f t="shared" si="185"/>
        <v>107.68846965090647</v>
      </c>
      <c r="AB457" s="110">
        <f t="shared" ca="1" si="186"/>
        <v>-48.167510068898267</v>
      </c>
      <c r="AC457" s="111">
        <f t="shared" ca="1" si="187"/>
        <v>-108.78452004176627</v>
      </c>
      <c r="AD457" s="72">
        <f t="shared" ca="1" si="188"/>
        <v>71.215479958233729</v>
      </c>
    </row>
    <row r="458" spans="1:30">
      <c r="A458" s="118">
        <v>50119</v>
      </c>
      <c r="B458" s="101">
        <f t="shared" ca="1" si="162"/>
        <v>2794.0926419243392</v>
      </c>
      <c r="C458" s="102">
        <f t="shared" ca="1" si="163"/>
        <v>1.5704384288475115</v>
      </c>
      <c r="D458" s="102">
        <f t="shared" si="164"/>
        <v>1.7862210635328768</v>
      </c>
      <c r="E458" s="103">
        <f t="shared" si="165"/>
        <v>0.97660228485906797</v>
      </c>
      <c r="F458" s="101">
        <f t="shared" si="166"/>
        <v>17130.938873545041</v>
      </c>
      <c r="G458" s="104">
        <f t="shared" si="167"/>
        <v>1.5707379528780931</v>
      </c>
      <c r="H458" s="113">
        <f t="shared" si="168"/>
        <v>2141.3675890404152</v>
      </c>
      <c r="I458" s="114">
        <f t="shared" si="169"/>
        <v>1.5703293354938865</v>
      </c>
      <c r="J458" s="101">
        <f t="shared" si="170"/>
        <v>3.3040338377145728</v>
      </c>
      <c r="K458" s="104">
        <f t="shared" si="171"/>
        <v>1.2633136525565889</v>
      </c>
      <c r="L458" s="102">
        <f t="shared" si="172"/>
        <v>1</v>
      </c>
      <c r="M458" s="103">
        <f t="shared" si="173"/>
        <v>2.0468952663295497E-9</v>
      </c>
      <c r="N458" s="101">
        <f t="shared" si="174"/>
        <v>1</v>
      </c>
      <c r="O458" s="104">
        <f t="shared" si="175"/>
        <v>2.7291936884393999E-10</v>
      </c>
      <c r="P458" s="105">
        <f t="shared" ca="1" si="176"/>
        <v>2.8463518422656939</v>
      </c>
      <c r="Q458" s="106">
        <f t="shared" ca="1" si="177"/>
        <v>1.3045865666886125</v>
      </c>
      <c r="R458" s="107">
        <f t="shared" ca="1" si="178"/>
        <v>-30.088433557502093</v>
      </c>
      <c r="S458" s="108">
        <f t="shared" ca="1" si="179"/>
        <v>-181.17756170326456</v>
      </c>
      <c r="T458" s="116">
        <f t="shared" ca="1" si="180"/>
        <v>-1.1775617032645584</v>
      </c>
      <c r="V458" s="72">
        <f t="shared" ca="1" si="181"/>
        <v>50119</v>
      </c>
      <c r="W458" s="72">
        <f t="shared" si="182"/>
        <v>2511914161</v>
      </c>
      <c r="Y458" s="110">
        <f t="shared" si="183"/>
        <v>35.639711117073645</v>
      </c>
      <c r="Z458" s="111">
        <f t="shared" si="184"/>
        <v>-72.405952525394255</v>
      </c>
      <c r="AA458" s="72">
        <f t="shared" si="185"/>
        <v>107.59404747460574</v>
      </c>
      <c r="AB458" s="110">
        <f t="shared" ca="1" si="186"/>
        <v>-48.22691940674175</v>
      </c>
      <c r="AC458" s="111">
        <f t="shared" ca="1" si="187"/>
        <v>-108.77160917787035</v>
      </c>
      <c r="AD458" s="72">
        <f t="shared" ca="1" si="188"/>
        <v>71.228390822129654</v>
      </c>
    </row>
    <row r="459" spans="1:30">
      <c r="A459" s="118">
        <v>50410.75</v>
      </c>
      <c r="B459" s="101">
        <f t="shared" ca="1" si="162"/>
        <v>2810.357460140322</v>
      </c>
      <c r="C459" s="102">
        <f t="shared" ca="1" si="163"/>
        <v>1.5704405001659765</v>
      </c>
      <c r="D459" s="102">
        <f t="shared" si="164"/>
        <v>1.7933664863089342</v>
      </c>
      <c r="E459" s="103">
        <f t="shared" si="165"/>
        <v>0.97929186728378481</v>
      </c>
      <c r="F459" s="101">
        <f t="shared" si="166"/>
        <v>17230.660563909481</v>
      </c>
      <c r="G459" s="104">
        <f t="shared" si="167"/>
        <v>1.5707382907145704</v>
      </c>
      <c r="H459" s="113">
        <f t="shared" si="168"/>
        <v>2153.8327990057392</v>
      </c>
      <c r="I459" s="114">
        <f t="shared" si="169"/>
        <v>1.5703320381851267</v>
      </c>
      <c r="J459" s="101">
        <f t="shared" si="170"/>
        <v>3.3215099037659197</v>
      </c>
      <c r="K459" s="104">
        <f t="shared" si="171"/>
        <v>1.2649840156910657</v>
      </c>
      <c r="L459" s="102">
        <f t="shared" si="172"/>
        <v>1</v>
      </c>
      <c r="M459" s="103">
        <f t="shared" si="173"/>
        <v>2.0588105418528372E-9</v>
      </c>
      <c r="N459" s="101">
        <f t="shared" si="174"/>
        <v>1</v>
      </c>
      <c r="O459" s="104">
        <f t="shared" si="175"/>
        <v>2.7450807224704498E-10</v>
      </c>
      <c r="P459" s="105">
        <f t="shared" ca="1" si="176"/>
        <v>2.8610111974359995</v>
      </c>
      <c r="Q459" s="106">
        <f t="shared" ca="1" si="177"/>
        <v>1.3070454978412975</v>
      </c>
      <c r="R459" s="107">
        <f t="shared" ca="1" si="178"/>
        <v>-30.194612729382527</v>
      </c>
      <c r="S459" s="108">
        <f t="shared" ca="1" si="179"/>
        <v>-181.2600342978092</v>
      </c>
      <c r="T459" s="116">
        <f t="shared" ca="1" si="180"/>
        <v>-1.2600342978091987</v>
      </c>
      <c r="V459" s="72">
        <f t="shared" ca="1" si="181"/>
        <v>50410.75</v>
      </c>
      <c r="W459" s="72">
        <f t="shared" si="182"/>
        <v>2541243715.5625</v>
      </c>
      <c r="Y459" s="110">
        <f t="shared" si="183"/>
        <v>35.593889800474997</v>
      </c>
      <c r="Z459" s="111">
        <f t="shared" si="184"/>
        <v>-72.501521786574472</v>
      </c>
      <c r="AA459" s="72">
        <f t="shared" si="185"/>
        <v>107.49847821342553</v>
      </c>
      <c r="AB459" s="110">
        <f t="shared" ca="1" si="186"/>
        <v>-48.287277262023522</v>
      </c>
      <c r="AC459" s="111">
        <f t="shared" ca="1" si="187"/>
        <v>-108.75851251123473</v>
      </c>
      <c r="AD459" s="72">
        <f t="shared" ca="1" si="188"/>
        <v>71.241487488765273</v>
      </c>
    </row>
    <row r="460" spans="1:30">
      <c r="A460" s="118">
        <v>50702.5</v>
      </c>
      <c r="B460" s="101">
        <f t="shared" ca="1" si="162"/>
        <v>2826.6222783682242</v>
      </c>
      <c r="C460" s="102">
        <f t="shared" ca="1" si="163"/>
        <v>1.5704425476470731</v>
      </c>
      <c r="D460" s="102">
        <f t="shared" si="164"/>
        <v>1.80052477901426</v>
      </c>
      <c r="E460" s="103">
        <f t="shared" si="165"/>
        <v>0.98196008309701288</v>
      </c>
      <c r="F460" s="101">
        <f t="shared" si="166"/>
        <v>17330.382254275868</v>
      </c>
      <c r="G460" s="104">
        <f t="shared" si="167"/>
        <v>1.5707386246631212</v>
      </c>
      <c r="H460" s="113">
        <f t="shared" si="168"/>
        <v>2166.2980089866151</v>
      </c>
      <c r="I460" s="114">
        <f t="shared" si="169"/>
        <v>1.5703347097729694</v>
      </c>
      <c r="J460" s="101">
        <f t="shared" si="170"/>
        <v>3.3389951401805247</v>
      </c>
      <c r="K460" s="104">
        <f t="shared" si="171"/>
        <v>1.2666368890953144</v>
      </c>
      <c r="L460" s="102">
        <f t="shared" si="172"/>
        <v>1</v>
      </c>
      <c r="M460" s="103">
        <f t="shared" si="173"/>
        <v>2.0707258173761247E-9</v>
      </c>
      <c r="N460" s="101">
        <f t="shared" si="174"/>
        <v>1</v>
      </c>
      <c r="O460" s="104">
        <f t="shared" si="175"/>
        <v>2.7609677565014997E-10</v>
      </c>
      <c r="P460" s="105">
        <f t="shared" ca="1" si="176"/>
        <v>2.8756832767776341</v>
      </c>
      <c r="Q460" s="106">
        <f t="shared" ca="1" si="177"/>
        <v>1.309485063455597</v>
      </c>
      <c r="R460" s="107">
        <f t="shared" ca="1" si="178"/>
        <v>-30.30017056246297</v>
      </c>
      <c r="S460" s="108">
        <f t="shared" ca="1" si="179"/>
        <v>-181.34161965122016</v>
      </c>
      <c r="T460" s="116">
        <f t="shared" ca="1" si="180"/>
        <v>-1.3416196512201566</v>
      </c>
      <c r="V460" s="72">
        <f t="shared" ca="1" si="181"/>
        <v>50702.5</v>
      </c>
      <c r="W460" s="72">
        <f t="shared" si="182"/>
        <v>2570743506.25</v>
      </c>
      <c r="Y460" s="110">
        <f t="shared" si="183"/>
        <v>35.548285085245929</v>
      </c>
      <c r="Z460" s="111">
        <f t="shared" si="184"/>
        <v>-72.596090519358285</v>
      </c>
      <c r="AA460" s="72">
        <f t="shared" si="185"/>
        <v>107.40390948064172</v>
      </c>
      <c r="AB460" s="110">
        <f t="shared" ca="1" si="186"/>
        <v>-48.347230379874901</v>
      </c>
      <c r="AC460" s="111">
        <f t="shared" ca="1" si="187"/>
        <v>-108.74552913186191</v>
      </c>
      <c r="AD460" s="72">
        <f t="shared" ca="1" si="188"/>
        <v>71.254470868138085</v>
      </c>
    </row>
    <row r="461" spans="1:30">
      <c r="A461" s="118">
        <v>50994.25</v>
      </c>
      <c r="B461" s="101">
        <f t="shared" ca="1" si="162"/>
        <v>2842.8870966078398</v>
      </c>
      <c r="C461" s="102">
        <f t="shared" ca="1" si="163"/>
        <v>1.5704445716999387</v>
      </c>
      <c r="D461" s="102">
        <f t="shared" si="164"/>
        <v>1.8076957887580016</v>
      </c>
      <c r="E461" s="103">
        <f t="shared" si="165"/>
        <v>0.98460714835975438</v>
      </c>
      <c r="F461" s="101">
        <f t="shared" si="166"/>
        <v>17430.103944644165</v>
      </c>
      <c r="G461" s="104">
        <f t="shared" si="167"/>
        <v>1.5707389547904769</v>
      </c>
      <c r="H461" s="113">
        <f t="shared" si="168"/>
        <v>2178.7632189827764</v>
      </c>
      <c r="I461" s="114">
        <f t="shared" si="169"/>
        <v>1.5703373507912644</v>
      </c>
      <c r="J461" s="101">
        <f t="shared" si="170"/>
        <v>3.3564894036426081</v>
      </c>
      <c r="K461" s="104">
        <f t="shared" si="171"/>
        <v>1.2682725371399926</v>
      </c>
      <c r="L461" s="102">
        <f t="shared" si="172"/>
        <v>1</v>
      </c>
      <c r="M461" s="103">
        <f t="shared" si="173"/>
        <v>2.0826410928994122E-9</v>
      </c>
      <c r="N461" s="101">
        <f t="shared" si="174"/>
        <v>1</v>
      </c>
      <c r="O461" s="104">
        <f t="shared" si="175"/>
        <v>2.7768547905325495E-10</v>
      </c>
      <c r="P461" s="105">
        <f t="shared" ca="1" si="176"/>
        <v>2.890367938643494</v>
      </c>
      <c r="Q461" s="106">
        <f t="shared" ca="1" si="177"/>
        <v>1.311905540810643</v>
      </c>
      <c r="R461" s="107">
        <f t="shared" ca="1" si="178"/>
        <v>-30.405113850207847</v>
      </c>
      <c r="S461" s="108">
        <f t="shared" ca="1" si="179"/>
        <v>-181.42233641503896</v>
      </c>
      <c r="T461" s="116">
        <f t="shared" ca="1" si="180"/>
        <v>-1.4223364150389557</v>
      </c>
      <c r="V461" s="72">
        <f t="shared" ca="1" si="181"/>
        <v>50994.25</v>
      </c>
      <c r="W461" s="72">
        <f t="shared" si="182"/>
        <v>2600413533.0625</v>
      </c>
      <c r="Y461" s="110">
        <f t="shared" si="183"/>
        <v>35.502895204550327</v>
      </c>
      <c r="Z461" s="111">
        <f t="shared" si="184"/>
        <v>-72.689673844304693</v>
      </c>
      <c r="AA461" s="72">
        <f t="shared" si="185"/>
        <v>107.31032615569531</v>
      </c>
      <c r="AB461" s="110">
        <f t="shared" ca="1" si="186"/>
        <v>-48.406783786924173</v>
      </c>
      <c r="AC461" s="111">
        <f t="shared" ca="1" si="187"/>
        <v>-108.73266257073429</v>
      </c>
      <c r="AD461" s="72">
        <f t="shared" ca="1" si="188"/>
        <v>71.267337429265709</v>
      </c>
    </row>
    <row r="462" spans="1:30">
      <c r="A462" s="118">
        <v>51286</v>
      </c>
      <c r="B462" s="101">
        <f t="shared" ref="B462:B525" ca="1" si="189">SQRT(1+(A462/Pole1)^2)</f>
        <v>2859.1519148589696</v>
      </c>
      <c r="C462" s="102">
        <f t="shared" ref="C462:C525" ca="1" si="190">ATAN(A462/Pole1)</f>
        <v>1.5704465727244008</v>
      </c>
      <c r="D462" s="102">
        <f t="shared" ref="D462:D525" si="191">SQRT(1+(A462/Zero1)^2)</f>
        <v>1.8148793647962507</v>
      </c>
      <c r="E462" s="103">
        <f t="shared" ref="E462:E525" si="192">ATAN(A462/Zero1)</f>
        <v>0.98723327690690976</v>
      </c>
      <c r="F462" s="101">
        <f t="shared" ref="F462:F525" si="193">SQRT(1+(A462/Pole2)^2)</f>
        <v>17529.825635014338</v>
      </c>
      <c r="G462" s="104">
        <f t="shared" ref="G462:G525" si="194">ATAN(A462/Pole2)</f>
        <v>1.5707392811618501</v>
      </c>
      <c r="H462" s="113">
        <f t="shared" ref="H462:H525" si="195">SQRT(1+(A462/Zero2)^2)</f>
        <v>2191.2284289939607</v>
      </c>
      <c r="I462" s="114">
        <f t="shared" ref="I462:I525" si="196">ATAN(A462/Zero2)</f>
        <v>1.5703399617617126</v>
      </c>
      <c r="J462" s="101">
        <f t="shared" ref="J462:J525" si="197">SQRT(1+(A462/pole4)^2)</f>
        <v>3.3739925537355493</v>
      </c>
      <c r="K462" s="104">
        <f t="shared" ref="K462:K525" si="198">ATAN(A462/pole4)</f>
        <v>1.2698912190828211</v>
      </c>
      <c r="L462" s="102">
        <f t="shared" ref="L462:L525" si="199">SQRT(1+(A462/Zerofeed)^2)</f>
        <v>1</v>
      </c>
      <c r="M462" s="103">
        <f t="shared" ref="M462:M525" si="200">ATAN(A462/Zerofeed)</f>
        <v>2.0945563684226998E-9</v>
      </c>
      <c r="N462" s="101">
        <f t="shared" ref="N462:N525" si="201">SQRT(1+(A462/Polefeed)^2)</f>
        <v>1</v>
      </c>
      <c r="O462" s="104">
        <f t="shared" ref="O462:O525" si="202">ATAN(A462/Polefeed)</f>
        <v>2.7927418245635994E-10</v>
      </c>
      <c r="P462" s="105">
        <f t="shared" ref="P462:P525" ca="1" si="203">SQRT((1-(W462/pterm2))^2+(A462/pterm1)^2)</f>
        <v>2.9050650443850423</v>
      </c>
      <c r="Q462" s="106">
        <f t="shared" ref="Q462:Q525" ca="1" si="204">IF((ATAN((A462/pterm1)/(1-A462^2/pterm2))&gt;0),ATAN((A462/pterm1)/(1-A462^2/pterm2)),PI()+ATAN((A462/pterm1)/(1-A462^2/pterm2)))</f>
        <v>1.3143072021670967</v>
      </c>
      <c r="R462" s="107">
        <f t="shared" ref="R462:R525" ca="1" si="205">20*LOG10(((D462*H462*L462)/(B462*F462*P462*J462*N462))*Adc)</f>
        <v>-30.509449286925022</v>
      </c>
      <c r="S462" s="108">
        <f t="shared" ref="S462:S525" ca="1" si="206">((E462+I462+M462)-(C462+G462+Q462+K462+O462))*radconv</f>
        <v>-181.50220278794177</v>
      </c>
      <c r="T462" s="116">
        <f t="shared" ref="T462:T525" ca="1" si="207">IF(S462&gt;0,S462,S462+180)</f>
        <v>-1.5022027879417692</v>
      </c>
      <c r="V462" s="72">
        <f t="shared" ref="V462:V525" ca="1" si="208">IF(R462&lt;0,A462,1000000000)</f>
        <v>51286</v>
      </c>
      <c r="W462" s="72">
        <f t="shared" ref="W462:W525" si="209">A462^2</f>
        <v>2630253796</v>
      </c>
      <c r="Y462" s="110">
        <f t="shared" ref="Y462:Y525" si="210">20*LOG10(((H462*L462)/(F462*J462*N462))*Aea)</f>
        <v>35.457718407969956</v>
      </c>
      <c r="Z462" s="111">
        <f t="shared" ref="Z462:Z525" si="211">(I462+M462-(G462+K462+O462))*radconv</f>
        <v>-72.782286589632108</v>
      </c>
      <c r="AA462" s="72">
        <f t="shared" ref="AA462:AA525" si="212">IF(Z462&gt;0,Z462,Z462+180)</f>
        <v>107.21771341036789</v>
      </c>
      <c r="AB462" s="110">
        <f t="shared" ref="AB462:AB525" ca="1" si="213">20*LOG10((D462/(B462*P462))*Acs*Am)</f>
        <v>-48.465942427060973</v>
      </c>
      <c r="AC462" s="111">
        <f t="shared" ref="AC462:AC525" ca="1" si="214">(E462-(C462+Q462))*radconv</f>
        <v>-108.71991619830973</v>
      </c>
      <c r="AD462" s="72">
        <f t="shared" ref="AD462:AD525" ca="1" si="215">IF(AC462&gt;0,AC462,AC462+180)</f>
        <v>71.280083801690267</v>
      </c>
    </row>
    <row r="463" spans="1:30">
      <c r="A463" s="118">
        <v>51584.75</v>
      </c>
      <c r="B463" s="101">
        <f t="shared" ca="1" si="189"/>
        <v>2875.8069772615295</v>
      </c>
      <c r="C463" s="102">
        <f t="shared" ca="1" si="190"/>
        <v>1.5704485983040559</v>
      </c>
      <c r="D463" s="102">
        <f t="shared" si="191"/>
        <v>1.8222481643442421</v>
      </c>
      <c r="E463" s="103">
        <f t="shared" si="192"/>
        <v>0.98990093932624457</v>
      </c>
      <c r="F463" s="101">
        <f t="shared" si="193"/>
        <v>17631.93996234475</v>
      </c>
      <c r="G463" s="104">
        <f t="shared" si="194"/>
        <v>1.5707396115382277</v>
      </c>
      <c r="H463" s="113">
        <f t="shared" si="195"/>
        <v>2203.9927186094055</v>
      </c>
      <c r="I463" s="114">
        <f t="shared" si="196"/>
        <v>1.5703426047721933</v>
      </c>
      <c r="J463" s="101">
        <f t="shared" si="197"/>
        <v>3.3919247247566378</v>
      </c>
      <c r="K463" s="104">
        <f t="shared" si="198"/>
        <v>1.2715314222687908</v>
      </c>
      <c r="L463" s="102">
        <f t="shared" si="199"/>
        <v>1</v>
      </c>
      <c r="M463" s="103">
        <f t="shared" si="200"/>
        <v>2.1067575288771373E-9</v>
      </c>
      <c r="N463" s="101">
        <f t="shared" si="201"/>
        <v>1</v>
      </c>
      <c r="O463" s="104">
        <f t="shared" si="202"/>
        <v>2.8090100385028498E-10</v>
      </c>
      <c r="P463" s="105">
        <f t="shared" ca="1" si="203"/>
        <v>2.9201275334722494</v>
      </c>
      <c r="Q463" s="106">
        <f t="shared" ca="1" si="204"/>
        <v>1.3167472675673413</v>
      </c>
      <c r="R463" s="107">
        <f t="shared" ca="1" si="205"/>
        <v>-30.615665046712333</v>
      </c>
      <c r="S463" s="108">
        <f t="shared" ca="1" si="206"/>
        <v>-181.58312271189635</v>
      </c>
      <c r="T463" s="116">
        <f t="shared" ca="1" si="207"/>
        <v>-1.5831227118963511</v>
      </c>
      <c r="V463" s="72">
        <f t="shared" ca="1" si="208"/>
        <v>51584.75</v>
      </c>
      <c r="W463" s="72">
        <f t="shared" si="209"/>
        <v>2660986432.5625</v>
      </c>
      <c r="Y463" s="110">
        <f t="shared" si="210"/>
        <v>35.411676681019969</v>
      </c>
      <c r="Z463" s="111">
        <f t="shared" si="211"/>
        <v>-72.876130805059788</v>
      </c>
      <c r="AA463" s="72">
        <f t="shared" si="212"/>
        <v>107.12386919494021</v>
      </c>
      <c r="AB463" s="110">
        <f t="shared" ca="1" si="213"/>
        <v>-48.526116459898304</v>
      </c>
      <c r="AC463" s="111">
        <f t="shared" ca="1" si="214"/>
        <v>-108.70699190683662</v>
      </c>
      <c r="AD463" s="72">
        <f t="shared" ca="1" si="215"/>
        <v>71.29300809316338</v>
      </c>
    </row>
    <row r="464" spans="1:30">
      <c r="A464" s="118">
        <v>51883.5</v>
      </c>
      <c r="B464" s="101">
        <f t="shared" ca="1" si="189"/>
        <v>2892.4620396757518</v>
      </c>
      <c r="C464" s="102">
        <f t="shared" ca="1" si="190"/>
        <v>1.5704506005567631</v>
      </c>
      <c r="D464" s="102">
        <f t="shared" si="191"/>
        <v>1.8296298272711555</v>
      </c>
      <c r="E464" s="103">
        <f t="shared" si="192"/>
        <v>0.99254709501998828</v>
      </c>
      <c r="F464" s="101">
        <f t="shared" si="193"/>
        <v>17734.054289677064</v>
      </c>
      <c r="G464" s="104">
        <f t="shared" si="194"/>
        <v>1.5707399381099296</v>
      </c>
      <c r="H464" s="113">
        <f t="shared" si="195"/>
        <v>2216.7570082400689</v>
      </c>
      <c r="I464" s="114">
        <f t="shared" si="196"/>
        <v>1.5703452173452819</v>
      </c>
      <c r="J464" s="101">
        <f t="shared" si="197"/>
        <v>3.4098659249679426</v>
      </c>
      <c r="K464" s="104">
        <f t="shared" si="198"/>
        <v>1.2731543697411878</v>
      </c>
      <c r="L464" s="102">
        <f t="shared" si="199"/>
        <v>1</v>
      </c>
      <c r="M464" s="103">
        <f t="shared" si="200"/>
        <v>2.1189586893315748E-9</v>
      </c>
      <c r="N464" s="101">
        <f t="shared" si="201"/>
        <v>1</v>
      </c>
      <c r="O464" s="104">
        <f t="shared" si="202"/>
        <v>2.8252782524420996E-10</v>
      </c>
      <c r="P464" s="105">
        <f t="shared" ca="1" si="203"/>
        <v>2.9352027858197665</v>
      </c>
      <c r="Q464" s="106">
        <f t="shared" ca="1" si="204"/>
        <v>1.3191681653695533</v>
      </c>
      <c r="R464" s="107">
        <f t="shared" ca="1" si="205"/>
        <v>-30.721257332796434</v>
      </c>
      <c r="S464" s="108">
        <f t="shared" ca="1" si="206"/>
        <v>-181.6631881678332</v>
      </c>
      <c r="T464" s="116">
        <f t="shared" ca="1" si="207"/>
        <v>-1.6631881678331979</v>
      </c>
      <c r="V464" s="72">
        <f t="shared" ca="1" si="208"/>
        <v>51883.5</v>
      </c>
      <c r="W464" s="72">
        <f t="shared" si="209"/>
        <v>2691897572.25</v>
      </c>
      <c r="Y464" s="110">
        <f t="shared" si="210"/>
        <v>35.365854723592349</v>
      </c>
      <c r="Z464" s="111">
        <f t="shared" si="211"/>
        <v>-72.96898786686836</v>
      </c>
      <c r="AA464" s="72">
        <f t="shared" si="212"/>
        <v>107.03101213313164</v>
      </c>
      <c r="AB464" s="110">
        <f t="shared" ca="1" si="213"/>
        <v>-48.585886788554788</v>
      </c>
      <c r="AC464" s="111">
        <f t="shared" ca="1" si="214"/>
        <v>-108.69420030096488</v>
      </c>
      <c r="AD464" s="72">
        <f t="shared" ca="1" si="215"/>
        <v>71.30579969903512</v>
      </c>
    </row>
    <row r="465" spans="1:30">
      <c r="A465" s="118">
        <v>52182.25</v>
      </c>
      <c r="B465" s="101">
        <f t="shared" ca="1" si="189"/>
        <v>2909.1171021014379</v>
      </c>
      <c r="C465" s="102">
        <f t="shared" ca="1" si="190"/>
        <v>1.5704525798831717</v>
      </c>
      <c r="D465" s="102">
        <f t="shared" si="191"/>
        <v>1.8370241985113305</v>
      </c>
      <c r="E465" s="103">
        <f t="shared" si="192"/>
        <v>0.99517196641212269</v>
      </c>
      <c r="F465" s="101">
        <f t="shared" si="193"/>
        <v>17836.168617011248</v>
      </c>
      <c r="G465" s="104">
        <f t="shared" si="194"/>
        <v>1.5707402609423027</v>
      </c>
      <c r="H465" s="113">
        <f t="shared" si="195"/>
        <v>2229.5212978856894</v>
      </c>
      <c r="I465" s="114">
        <f t="shared" si="196"/>
        <v>1.5703478000037518</v>
      </c>
      <c r="J465" s="101">
        <f t="shared" si="197"/>
        <v>3.4278160125930337</v>
      </c>
      <c r="K465" s="104">
        <f t="shared" si="198"/>
        <v>1.2747603239662799</v>
      </c>
      <c r="L465" s="102">
        <f t="shared" si="199"/>
        <v>1</v>
      </c>
      <c r="M465" s="103">
        <f t="shared" si="200"/>
        <v>2.1311598497860124E-9</v>
      </c>
      <c r="N465" s="101">
        <f t="shared" si="201"/>
        <v>1</v>
      </c>
      <c r="O465" s="104">
        <f t="shared" si="202"/>
        <v>2.8415464663813495E-10</v>
      </c>
      <c r="P465" s="105">
        <f t="shared" ca="1" si="203"/>
        <v>2.9502906618833591</v>
      </c>
      <c r="Q465" s="106">
        <f t="shared" ca="1" si="204"/>
        <v>1.3215701722311275</v>
      </c>
      <c r="R465" s="107">
        <f t="shared" ca="1" si="205"/>
        <v>-30.826233020595105</v>
      </c>
      <c r="S465" s="108">
        <f t="shared" ca="1" si="206"/>
        <v>-181.74241729805436</v>
      </c>
      <c r="T465" s="116">
        <f t="shared" ca="1" si="207"/>
        <v>-1.7424172980543631</v>
      </c>
      <c r="V465" s="72">
        <f t="shared" ca="1" si="208"/>
        <v>52182.25</v>
      </c>
      <c r="W465" s="72">
        <f t="shared" si="209"/>
        <v>2722987215.0625</v>
      </c>
      <c r="Y465" s="110">
        <f t="shared" si="210"/>
        <v>35.320250709352486</v>
      </c>
      <c r="Z465" s="111">
        <f t="shared" si="211"/>
        <v>-73.060872787058656</v>
      </c>
      <c r="AA465" s="72">
        <f t="shared" si="212"/>
        <v>106.93912721294134</v>
      </c>
      <c r="AB465" s="110">
        <f t="shared" ca="1" si="213"/>
        <v>-48.645258462113581</v>
      </c>
      <c r="AC465" s="111">
        <f t="shared" ca="1" si="214"/>
        <v>-108.68154451099562</v>
      </c>
      <c r="AD465" s="72">
        <f t="shared" ca="1" si="215"/>
        <v>71.318455489004378</v>
      </c>
    </row>
    <row r="466" spans="1:30">
      <c r="A466" s="118">
        <v>52481</v>
      </c>
      <c r="B466" s="101">
        <f t="shared" ca="1" si="189"/>
        <v>2925.7721645383917</v>
      </c>
      <c r="C466" s="102">
        <f t="shared" ca="1" si="190"/>
        <v>1.5704545366748077</v>
      </c>
      <c r="D466" s="102">
        <f t="shared" si="191"/>
        <v>1.8444311252209211</v>
      </c>
      <c r="E466" s="103">
        <f t="shared" si="192"/>
        <v>0.99777577353615776</v>
      </c>
      <c r="F466" s="101">
        <f t="shared" si="193"/>
        <v>17938.282944347273</v>
      </c>
      <c r="G466" s="104">
        <f t="shared" si="194"/>
        <v>1.5707405800992056</v>
      </c>
      <c r="H466" s="113">
        <f t="shared" si="195"/>
        <v>2242.2855875460123</v>
      </c>
      <c r="I466" s="114">
        <f t="shared" si="196"/>
        <v>1.5703503532584735</v>
      </c>
      <c r="J466" s="101">
        <f t="shared" si="197"/>
        <v>3.4457748487402022</v>
      </c>
      <c r="K466" s="104">
        <f t="shared" si="198"/>
        <v>1.276349542293298</v>
      </c>
      <c r="L466" s="102">
        <f t="shared" si="199"/>
        <v>1</v>
      </c>
      <c r="M466" s="103">
        <f t="shared" si="200"/>
        <v>2.1433610102404499E-9</v>
      </c>
      <c r="N466" s="101">
        <f t="shared" si="201"/>
        <v>1</v>
      </c>
      <c r="O466" s="104">
        <f t="shared" si="202"/>
        <v>2.8578146803205998E-10</v>
      </c>
      <c r="P466" s="105">
        <f t="shared" ca="1" si="203"/>
        <v>2.9653910251187328</v>
      </c>
      <c r="Q466" s="106">
        <f t="shared" ca="1" si="204"/>
        <v>1.3239535597457188</v>
      </c>
      <c r="R466" s="107">
        <f t="shared" ca="1" si="205"/>
        <v>-30.930598883724358</v>
      </c>
      <c r="S466" s="108">
        <f t="shared" ca="1" si="206"/>
        <v>-181.82082779858405</v>
      </c>
      <c r="T466" s="116">
        <f t="shared" ca="1" si="207"/>
        <v>-1.8208277985840482</v>
      </c>
      <c r="V466" s="72">
        <f t="shared" ca="1" si="208"/>
        <v>52481</v>
      </c>
      <c r="W466" s="72">
        <f t="shared" si="209"/>
        <v>2754255361</v>
      </c>
      <c r="Y466" s="110">
        <f t="shared" si="210"/>
        <v>35.27486282972702</v>
      </c>
      <c r="Z466" s="111">
        <f t="shared" si="211"/>
        <v>-73.151800285043677</v>
      </c>
      <c r="AA466" s="72">
        <f t="shared" si="212"/>
        <v>106.84819971495632</v>
      </c>
      <c r="AB466" s="110">
        <f t="shared" ca="1" si="213"/>
        <v>-48.704236445617383</v>
      </c>
      <c r="AC466" s="111">
        <f t="shared" ca="1" si="214"/>
        <v>-108.66902751354041</v>
      </c>
      <c r="AD466" s="72">
        <f t="shared" ca="1" si="215"/>
        <v>71.330972486459586</v>
      </c>
    </row>
    <row r="467" spans="1:30">
      <c r="A467" s="118">
        <v>52786.5</v>
      </c>
      <c r="B467" s="101">
        <f t="shared" ca="1" si="189"/>
        <v>2942.8035338368377</v>
      </c>
      <c r="C467" s="102">
        <f t="shared" ca="1" si="190"/>
        <v>1.5704565147728751</v>
      </c>
      <c r="D467" s="102">
        <f t="shared" si="191"/>
        <v>1.8520182323195515</v>
      </c>
      <c r="E467" s="103">
        <f t="shared" si="192"/>
        <v>1.0004168546828534</v>
      </c>
      <c r="F467" s="101">
        <f t="shared" si="193"/>
        <v>18042.704457323711</v>
      </c>
      <c r="G467" s="104">
        <f t="shared" si="194"/>
        <v>1.5707409027312327</v>
      </c>
      <c r="H467" s="113">
        <f t="shared" si="195"/>
        <v>2255.3382753977039</v>
      </c>
      <c r="I467" s="114">
        <f t="shared" si="196"/>
        <v>1.5703529343141878</v>
      </c>
      <c r="J467" s="101">
        <f t="shared" si="197"/>
        <v>3.4641483548708276</v>
      </c>
      <c r="K467" s="104">
        <f t="shared" si="198"/>
        <v>1.2779576231805234</v>
      </c>
      <c r="L467" s="102">
        <f t="shared" si="199"/>
        <v>1</v>
      </c>
      <c r="M467" s="103">
        <f t="shared" si="200"/>
        <v>2.1558378454499247E-9</v>
      </c>
      <c r="N467" s="101">
        <f t="shared" si="201"/>
        <v>1</v>
      </c>
      <c r="O467" s="104">
        <f t="shared" si="202"/>
        <v>2.8744504605998995E-10</v>
      </c>
      <c r="P467" s="105">
        <f t="shared" ca="1" si="203"/>
        <v>2.9808453424729739</v>
      </c>
      <c r="Q467" s="106">
        <f t="shared" ca="1" si="204"/>
        <v>1.3263718205160535</v>
      </c>
      <c r="R467" s="107">
        <f t="shared" ca="1" si="205"/>
        <v>-31.036699108826106</v>
      </c>
      <c r="S467" s="108">
        <f t="shared" ca="1" si="206"/>
        <v>-181.90018131737889</v>
      </c>
      <c r="T467" s="116">
        <f t="shared" ca="1" si="207"/>
        <v>-1.9001813173788946</v>
      </c>
      <c r="V467" s="72">
        <f t="shared" ca="1" si="208"/>
        <v>52786.5</v>
      </c>
      <c r="W467" s="72">
        <f t="shared" si="209"/>
        <v>2786414582.25</v>
      </c>
      <c r="Y467" s="110">
        <f t="shared" si="210"/>
        <v>35.228671098839158</v>
      </c>
      <c r="Z467" s="111">
        <f t="shared" si="211"/>
        <v>-73.243807134337288</v>
      </c>
      <c r="AA467" s="72">
        <f t="shared" si="212"/>
        <v>106.75619286566271</v>
      </c>
      <c r="AB467" s="110">
        <f t="shared" ca="1" si="213"/>
        <v>-48.764144939831262</v>
      </c>
      <c r="AC467" s="111">
        <f t="shared" ca="1" si="214"/>
        <v>-108.65637418304166</v>
      </c>
      <c r="AD467" s="72">
        <f t="shared" ca="1" si="215"/>
        <v>71.343625816958337</v>
      </c>
    </row>
    <row r="468" spans="1:30">
      <c r="A468" s="118">
        <v>53092</v>
      </c>
      <c r="B468" s="101">
        <f t="shared" ca="1" si="189"/>
        <v>2959.834903146666</v>
      </c>
      <c r="C468" s="102">
        <f t="shared" ca="1" si="190"/>
        <v>1.5704584701063491</v>
      </c>
      <c r="D468" s="102">
        <f t="shared" si="191"/>
        <v>1.859618152354191</v>
      </c>
      <c r="E468" s="103">
        <f t="shared" si="192"/>
        <v>1.0030363667439244</v>
      </c>
      <c r="F468" s="101">
        <f t="shared" si="193"/>
        <v>18147.125970302011</v>
      </c>
      <c r="G468" s="104">
        <f t="shared" si="194"/>
        <v>1.5707412216503056</v>
      </c>
      <c r="H468" s="113">
        <f t="shared" si="195"/>
        <v>2268.3909632642481</v>
      </c>
      <c r="I468" s="114">
        <f t="shared" si="196"/>
        <v>1.5703554856662796</v>
      </c>
      <c r="J468" s="101">
        <f t="shared" si="197"/>
        <v>3.4825307244894765</v>
      </c>
      <c r="K468" s="104">
        <f t="shared" si="198"/>
        <v>1.2795487317920946</v>
      </c>
      <c r="L468" s="102">
        <f t="shared" si="199"/>
        <v>1</v>
      </c>
      <c r="M468" s="103">
        <f t="shared" si="200"/>
        <v>2.1683146806593999E-9</v>
      </c>
      <c r="N468" s="101">
        <f t="shared" si="201"/>
        <v>1</v>
      </c>
      <c r="O468" s="104">
        <f t="shared" si="202"/>
        <v>2.8910862408791997E-10</v>
      </c>
      <c r="P468" s="105">
        <f t="shared" ca="1" si="203"/>
        <v>2.996312438154503</v>
      </c>
      <c r="Q468" s="106">
        <f t="shared" ca="1" si="204"/>
        <v>1.328771169741485</v>
      </c>
      <c r="R468" s="107">
        <f t="shared" ca="1" si="205"/>
        <v>-31.142175649049367</v>
      </c>
      <c r="S468" s="108">
        <f t="shared" ca="1" si="206"/>
        <v>-181.97871484711692</v>
      </c>
      <c r="T468" s="116">
        <f t="shared" ca="1" si="207"/>
        <v>-1.9787148471169189</v>
      </c>
      <c r="V468" s="72">
        <f t="shared" ca="1" si="208"/>
        <v>53092</v>
      </c>
      <c r="W468" s="72">
        <f t="shared" si="209"/>
        <v>2818760464</v>
      </c>
      <c r="Y468" s="110">
        <f t="shared" si="210"/>
        <v>35.182701610928177</v>
      </c>
      <c r="Z468" s="111">
        <f t="shared" si="211"/>
        <v>-73.334843033021684</v>
      </c>
      <c r="AA468" s="72">
        <f t="shared" si="212"/>
        <v>106.66515696697832</v>
      </c>
      <c r="AB468" s="110">
        <f t="shared" ca="1" si="213"/>
        <v>-48.823651992143546</v>
      </c>
      <c r="AC468" s="111">
        <f t="shared" ca="1" si="214"/>
        <v>-108.64387181409523</v>
      </c>
      <c r="AD468" s="72">
        <f t="shared" ca="1" si="215"/>
        <v>71.356128185904765</v>
      </c>
    </row>
    <row r="469" spans="1:30">
      <c r="A469" s="118">
        <v>53397.5</v>
      </c>
      <c r="B469" s="101">
        <f t="shared" ca="1" si="189"/>
        <v>2976.8662724676815</v>
      </c>
      <c r="C469" s="102">
        <f t="shared" ca="1" si="190"/>
        <v>1.5704604030659552</v>
      </c>
      <c r="D469" s="102">
        <f t="shared" si="191"/>
        <v>1.867230728872908</v>
      </c>
      <c r="E469" s="103">
        <f t="shared" si="192"/>
        <v>1.0056345373566031</v>
      </c>
      <c r="F469" s="101">
        <f t="shared" si="193"/>
        <v>18251.547483282138</v>
      </c>
      <c r="G469" s="104">
        <f t="shared" si="194"/>
        <v>1.5707415369201523</v>
      </c>
      <c r="H469" s="113">
        <f t="shared" si="195"/>
        <v>2281.4436511453887</v>
      </c>
      <c r="I469" s="114">
        <f t="shared" si="196"/>
        <v>1.5703580078245734</v>
      </c>
      <c r="J469" s="101">
        <f t="shared" si="197"/>
        <v>3.500921817976999</v>
      </c>
      <c r="K469" s="104">
        <f t="shared" si="198"/>
        <v>1.2811231274847639</v>
      </c>
      <c r="L469" s="102">
        <f t="shared" si="199"/>
        <v>1</v>
      </c>
      <c r="M469" s="103">
        <f t="shared" si="200"/>
        <v>2.1807915158688748E-9</v>
      </c>
      <c r="N469" s="101">
        <f t="shared" si="201"/>
        <v>1</v>
      </c>
      <c r="O469" s="104">
        <f t="shared" si="202"/>
        <v>2.9077220211584994E-10</v>
      </c>
      <c r="P469" s="105">
        <f t="shared" ca="1" si="203"/>
        <v>3.0117921754341399</v>
      </c>
      <c r="Q469" s="106">
        <f t="shared" ca="1" si="204"/>
        <v>1.3311518821138317</v>
      </c>
      <c r="R469" s="107">
        <f t="shared" ca="1" si="205"/>
        <v>-31.247035428640899</v>
      </c>
      <c r="S469" s="108">
        <f t="shared" ca="1" si="206"/>
        <v>-182.05644594070182</v>
      </c>
      <c r="T469" s="116">
        <f t="shared" ca="1" si="207"/>
        <v>-2.0564459407018205</v>
      </c>
      <c r="V469" s="72">
        <f t="shared" ca="1" si="208"/>
        <v>53397.5</v>
      </c>
      <c r="W469" s="72">
        <f t="shared" si="209"/>
        <v>2851293006.25</v>
      </c>
      <c r="Y469" s="110">
        <f t="shared" si="210"/>
        <v>35.136952489048262</v>
      </c>
      <c r="Z469" s="111">
        <f t="shared" si="211"/>
        <v>-73.424922815584694</v>
      </c>
      <c r="AA469" s="72">
        <f t="shared" si="212"/>
        <v>106.57507718441531</v>
      </c>
      <c r="AB469" s="110">
        <f t="shared" ca="1" si="213"/>
        <v>-48.882762649855167</v>
      </c>
      <c r="AC469" s="111">
        <f t="shared" ca="1" si="214"/>
        <v>-108.63152312511714</v>
      </c>
      <c r="AD469" s="72">
        <f t="shared" ca="1" si="215"/>
        <v>71.368476874882859</v>
      </c>
    </row>
    <row r="470" spans="1:30">
      <c r="A470" s="118">
        <v>53703</v>
      </c>
      <c r="B470" s="101">
        <f t="shared" ca="1" si="189"/>
        <v>2993.8976417996932</v>
      </c>
      <c r="C470" s="102">
        <f t="shared" ca="1" si="190"/>
        <v>1.5704623140335274</v>
      </c>
      <c r="D470" s="102">
        <f t="shared" si="191"/>
        <v>1.8748558077063269</v>
      </c>
      <c r="E470" s="103">
        <f t="shared" si="192"/>
        <v>1.0082115916166641</v>
      </c>
      <c r="F470" s="101">
        <f t="shared" si="193"/>
        <v>18355.968996264059</v>
      </c>
      <c r="G470" s="104">
        <f t="shared" si="194"/>
        <v>1.5707418486030509</v>
      </c>
      <c r="H470" s="113">
        <f t="shared" si="195"/>
        <v>2294.4963390408775</v>
      </c>
      <c r="I470" s="114">
        <f t="shared" si="196"/>
        <v>1.570360501287293</v>
      </c>
      <c r="J470" s="101">
        <f t="shared" si="197"/>
        <v>3.5193214985671299</v>
      </c>
      <c r="K470" s="104">
        <f t="shared" si="198"/>
        <v>1.2826810645267039</v>
      </c>
      <c r="L470" s="102">
        <f t="shared" si="199"/>
        <v>1</v>
      </c>
      <c r="M470" s="103">
        <f t="shared" si="200"/>
        <v>2.19326835107835E-9</v>
      </c>
      <c r="N470" s="101">
        <f t="shared" si="201"/>
        <v>1</v>
      </c>
      <c r="O470" s="104">
        <f t="shared" si="202"/>
        <v>2.9243578014377996E-10</v>
      </c>
      <c r="P470" s="105">
        <f t="shared" ca="1" si="203"/>
        <v>3.0272844205650782</v>
      </c>
      <c r="Q470" s="106">
        <f t="shared" ca="1" si="204"/>
        <v>1.3335142272497196</v>
      </c>
      <c r="R470" s="107">
        <f t="shared" ca="1" si="205"/>
        <v>-31.35128526805682</v>
      </c>
      <c r="S470" s="108">
        <f t="shared" ca="1" si="206"/>
        <v>-182.13339171438349</v>
      </c>
      <c r="T470" s="116">
        <f t="shared" ca="1" si="207"/>
        <v>-2.1333917143834924</v>
      </c>
      <c r="V470" s="72">
        <f t="shared" ca="1" si="208"/>
        <v>53703</v>
      </c>
      <c r="W470" s="72">
        <f t="shared" si="209"/>
        <v>2884012209</v>
      </c>
      <c r="Y470" s="110">
        <f t="shared" si="210"/>
        <v>35.091421875241046</v>
      </c>
      <c r="Z470" s="111">
        <f t="shared" si="211"/>
        <v>-73.514061025541707</v>
      </c>
      <c r="AA470" s="72">
        <f t="shared" si="212"/>
        <v>106.48593897445829</v>
      </c>
      <c r="AB470" s="110">
        <f t="shared" ca="1" si="213"/>
        <v>-48.941481875463865</v>
      </c>
      <c r="AC470" s="111">
        <f t="shared" ca="1" si="214"/>
        <v>-108.6193306888418</v>
      </c>
      <c r="AD470" s="72">
        <f t="shared" ca="1" si="215"/>
        <v>71.380669311158201</v>
      </c>
    </row>
    <row r="471" spans="1:30">
      <c r="A471" s="118">
        <v>54015.75</v>
      </c>
      <c r="B471" s="101">
        <f t="shared" ca="1" si="189"/>
        <v>3011.3331925754928</v>
      </c>
      <c r="C471" s="102">
        <f t="shared" ca="1" si="190"/>
        <v>1.5704642479598991</v>
      </c>
      <c r="D471" s="102">
        <f t="shared" si="191"/>
        <v>1.8826746340460236</v>
      </c>
      <c r="E471" s="103">
        <f t="shared" si="192"/>
        <v>1.0108281618476158</v>
      </c>
      <c r="F471" s="101">
        <f t="shared" si="193"/>
        <v>18462.868597526427</v>
      </c>
      <c r="G471" s="104">
        <f t="shared" si="194"/>
        <v>1.5707421640305783</v>
      </c>
      <c r="H471" s="113">
        <f t="shared" si="195"/>
        <v>2307.8587879566776</v>
      </c>
      <c r="I471" s="114">
        <f t="shared" si="196"/>
        <v>1.5703630247070435</v>
      </c>
      <c r="J471" s="101">
        <f t="shared" si="197"/>
        <v>3.5381665881149145</v>
      </c>
      <c r="K471" s="104">
        <f t="shared" si="198"/>
        <v>1.2842591849742295</v>
      </c>
      <c r="L471" s="102">
        <f t="shared" si="199"/>
        <v>1</v>
      </c>
      <c r="M471" s="103">
        <f t="shared" si="200"/>
        <v>2.2060412813950875E-9</v>
      </c>
      <c r="N471" s="101">
        <f t="shared" si="201"/>
        <v>1</v>
      </c>
      <c r="O471" s="104">
        <f t="shared" si="202"/>
        <v>2.9413883751934493E-10</v>
      </c>
      <c r="P471" s="105">
        <f t="shared" ca="1" si="203"/>
        <v>3.0431571413046576</v>
      </c>
      <c r="Q471" s="106">
        <f t="shared" ca="1" si="204"/>
        <v>1.335913884637167</v>
      </c>
      <c r="R471" s="107">
        <f t="shared" ca="1" si="205"/>
        <v>-31.457384311428349</v>
      </c>
      <c r="S471" s="108">
        <f t="shared" ca="1" si="206"/>
        <v>-182.21136746177331</v>
      </c>
      <c r="T471" s="116">
        <f t="shared" ca="1" si="207"/>
        <v>-2.2113674617733068</v>
      </c>
      <c r="V471" s="72">
        <f t="shared" ca="1" si="208"/>
        <v>54015.75</v>
      </c>
      <c r="W471" s="72">
        <f t="shared" si="209"/>
        <v>2917701248.0625</v>
      </c>
      <c r="Y471" s="110">
        <f t="shared" si="210"/>
        <v>35.045035175570547</v>
      </c>
      <c r="Z471" s="111">
        <f t="shared" si="211"/>
        <v>-73.60435415758154</v>
      </c>
      <c r="AA471" s="72">
        <f t="shared" si="212"/>
        <v>106.39564584241846</v>
      </c>
      <c r="AB471" s="110">
        <f t="shared" ca="1" si="213"/>
        <v>-49.001194219164894</v>
      </c>
      <c r="AC471" s="111">
        <f t="shared" ca="1" si="214"/>
        <v>-108.60701330419174</v>
      </c>
      <c r="AD471" s="72">
        <f t="shared" ca="1" si="215"/>
        <v>71.392986695808261</v>
      </c>
    </row>
    <row r="472" spans="1:30">
      <c r="A472" s="118">
        <v>54328.5</v>
      </c>
      <c r="B472" s="101">
        <f t="shared" ca="1" si="189"/>
        <v>3028.768743362426</v>
      </c>
      <c r="C472" s="102">
        <f t="shared" ca="1" si="190"/>
        <v>1.5704661596204104</v>
      </c>
      <c r="D472" s="102">
        <f t="shared" si="191"/>
        <v>1.8905062433342528</v>
      </c>
      <c r="E472" s="103">
        <f t="shared" si="192"/>
        <v>1.0134230709196013</v>
      </c>
      <c r="F472" s="101">
        <f t="shared" si="193"/>
        <v>18569.768198790607</v>
      </c>
      <c r="G472" s="104">
        <f t="shared" si="194"/>
        <v>1.5707424758264958</v>
      </c>
      <c r="H472" s="113">
        <f t="shared" si="195"/>
        <v>2321.2212368870041</v>
      </c>
      <c r="I472" s="114">
        <f t="shared" si="196"/>
        <v>1.5703655190739256</v>
      </c>
      <c r="J472" s="101">
        <f t="shared" si="197"/>
        <v>3.5570203959585016</v>
      </c>
      <c r="K472" s="104">
        <f t="shared" si="198"/>
        <v>1.2858205797798397</v>
      </c>
      <c r="L472" s="102">
        <f t="shared" si="199"/>
        <v>1</v>
      </c>
      <c r="M472" s="103">
        <f t="shared" si="200"/>
        <v>2.2188142117118247E-9</v>
      </c>
      <c r="N472" s="101">
        <f t="shared" si="201"/>
        <v>1</v>
      </c>
      <c r="O472" s="104">
        <f t="shared" si="202"/>
        <v>2.9584189489490996E-10</v>
      </c>
      <c r="P472" s="105">
        <f t="shared" ca="1" si="203"/>
        <v>3.0590426962097022</v>
      </c>
      <c r="Q472" s="106">
        <f t="shared" ca="1" si="204"/>
        <v>1.3382948486890311</v>
      </c>
      <c r="R472" s="107">
        <f t="shared" ca="1" si="205"/>
        <v>-31.562858261647992</v>
      </c>
      <c r="S472" s="108">
        <f t="shared" ca="1" si="206"/>
        <v>-182.28855512501593</v>
      </c>
      <c r="T472" s="116">
        <f t="shared" ca="1" si="207"/>
        <v>-2.2885551250159324</v>
      </c>
      <c r="V472" s="72">
        <f t="shared" ca="1" si="208"/>
        <v>54328.5</v>
      </c>
      <c r="W472" s="72">
        <f t="shared" si="209"/>
        <v>2951585912.25</v>
      </c>
      <c r="Y472" s="110">
        <f t="shared" si="210"/>
        <v>34.998873597957285</v>
      </c>
      <c r="Z472" s="111">
        <f t="shared" si="211"/>
        <v>-73.693690437459722</v>
      </c>
      <c r="AA472" s="72">
        <f t="shared" si="212"/>
        <v>106.30630956254028</v>
      </c>
      <c r="AB472" s="110">
        <f t="shared" ca="1" si="213"/>
        <v>-49.060506591771272</v>
      </c>
      <c r="AC472" s="111">
        <f t="shared" ca="1" si="214"/>
        <v>-108.59486468755622</v>
      </c>
      <c r="AD472" s="72">
        <f t="shared" ca="1" si="215"/>
        <v>71.405135312443775</v>
      </c>
    </row>
    <row r="473" spans="1:30">
      <c r="A473" s="118">
        <v>54641.25</v>
      </c>
      <c r="B473" s="101">
        <f t="shared" ca="1" si="189"/>
        <v>3046.2042941603004</v>
      </c>
      <c r="C473" s="102">
        <f t="shared" ca="1" si="190"/>
        <v>1.5704680493973897</v>
      </c>
      <c r="D473" s="102">
        <f t="shared" si="191"/>
        <v>1.8983504773635778</v>
      </c>
      <c r="E473" s="103">
        <f t="shared" si="192"/>
        <v>1.0159965521895584</v>
      </c>
      <c r="F473" s="101">
        <f t="shared" si="193"/>
        <v>18676.667800056573</v>
      </c>
      <c r="G473" s="104">
        <f t="shared" si="194"/>
        <v>1.5707427840531623</v>
      </c>
      <c r="H473" s="113">
        <f t="shared" si="195"/>
        <v>2334.5836858316075</v>
      </c>
      <c r="I473" s="114">
        <f t="shared" si="196"/>
        <v>1.5703679848868088</v>
      </c>
      <c r="J473" s="101">
        <f t="shared" si="197"/>
        <v>3.5758827841965006</v>
      </c>
      <c r="K473" s="104">
        <f t="shared" si="198"/>
        <v>1.2873655059472684</v>
      </c>
      <c r="L473" s="102">
        <f t="shared" si="199"/>
        <v>1</v>
      </c>
      <c r="M473" s="103">
        <f t="shared" si="200"/>
        <v>2.2315871420285622E-9</v>
      </c>
      <c r="N473" s="101">
        <f t="shared" si="201"/>
        <v>1</v>
      </c>
      <c r="O473" s="104">
        <f t="shared" si="202"/>
        <v>2.9754495227047498E-10</v>
      </c>
      <c r="P473" s="105">
        <f t="shared" ca="1" si="203"/>
        <v>3.0749409510425889</v>
      </c>
      <c r="Q473" s="106">
        <f t="shared" ca="1" si="204"/>
        <v>1.3406573928584298</v>
      </c>
      <c r="R473" s="107">
        <f t="shared" ca="1" si="205"/>
        <v>-31.667714110149674</v>
      </c>
      <c r="S473" s="108">
        <f t="shared" ca="1" si="206"/>
        <v>-182.36497172357826</v>
      </c>
      <c r="T473" s="116">
        <f t="shared" ca="1" si="207"/>
        <v>-2.3649717235782646</v>
      </c>
      <c r="V473" s="72">
        <f t="shared" ca="1" si="208"/>
        <v>54641.25</v>
      </c>
      <c r="W473" s="72">
        <f t="shared" si="209"/>
        <v>2985666201.5625</v>
      </c>
      <c r="Y473" s="110">
        <f t="shared" si="210"/>
        <v>34.952935210007688</v>
      </c>
      <c r="Z473" s="111">
        <f t="shared" si="211"/>
        <v>-73.782084565395294</v>
      </c>
      <c r="AA473" s="72">
        <f t="shared" si="212"/>
        <v>106.21791543460471</v>
      </c>
      <c r="AB473" s="110">
        <f t="shared" ca="1" si="213"/>
        <v>-49.119424052323367</v>
      </c>
      <c r="AC473" s="111">
        <f t="shared" ca="1" si="214"/>
        <v>-108.58288715818297</v>
      </c>
      <c r="AD473" s="72">
        <f t="shared" ca="1" si="215"/>
        <v>71.41711284181703</v>
      </c>
    </row>
    <row r="474" spans="1:30">
      <c r="A474" s="118">
        <v>54954</v>
      </c>
      <c r="B474" s="101">
        <f t="shared" ca="1" si="189"/>
        <v>3063.63984496893</v>
      </c>
      <c r="C474" s="102">
        <f t="shared" ca="1" si="190"/>
        <v>1.5704699176644632</v>
      </c>
      <c r="D474" s="102">
        <f t="shared" si="191"/>
        <v>1.9062071802777716</v>
      </c>
      <c r="E474" s="103">
        <f t="shared" si="192"/>
        <v>1.0185488363117636</v>
      </c>
      <c r="F474" s="101">
        <f t="shared" si="193"/>
        <v>18783.567401324293</v>
      </c>
      <c r="G474" s="104">
        <f t="shared" si="194"/>
        <v>1.5707430887715166</v>
      </c>
      <c r="H474" s="113">
        <f t="shared" si="195"/>
        <v>2347.9461347902443</v>
      </c>
      <c r="I474" s="114">
        <f t="shared" si="196"/>
        <v>1.570370422633206</v>
      </c>
      <c r="J474" s="101">
        <f t="shared" si="197"/>
        <v>3.5947536177597987</v>
      </c>
      <c r="K474" s="104">
        <f t="shared" si="198"/>
        <v>1.2888942154017893</v>
      </c>
      <c r="L474" s="102">
        <f t="shared" si="199"/>
        <v>1</v>
      </c>
      <c r="M474" s="103">
        <f t="shared" si="200"/>
        <v>2.2443600723452998E-9</v>
      </c>
      <c r="N474" s="101">
        <f t="shared" si="201"/>
        <v>1</v>
      </c>
      <c r="O474" s="104">
        <f t="shared" si="202"/>
        <v>2.9924800964603996E-10</v>
      </c>
      <c r="P474" s="105">
        <f t="shared" ca="1" si="203"/>
        <v>3.0908517745413682</v>
      </c>
      <c r="Q474" s="106">
        <f t="shared" ca="1" si="204"/>
        <v>1.3430017854952143</v>
      </c>
      <c r="R474" s="107">
        <f t="shared" ca="1" si="205"/>
        <v>-31.771958742231359</v>
      </c>
      <c r="S474" s="108">
        <f t="shared" ca="1" si="206"/>
        <v>-182.4406338484788</v>
      </c>
      <c r="T474" s="116">
        <f t="shared" ca="1" si="207"/>
        <v>-2.4406338484787966</v>
      </c>
      <c r="V474" s="72">
        <f t="shared" ca="1" si="208"/>
        <v>54954</v>
      </c>
      <c r="W474" s="72">
        <f t="shared" si="209"/>
        <v>3019942116</v>
      </c>
      <c r="Y474" s="110">
        <f t="shared" si="210"/>
        <v>34.907218099603263</v>
      </c>
      <c r="Z474" s="111">
        <f t="shared" si="211"/>
        <v>-73.869550951202342</v>
      </c>
      <c r="AA474" s="72">
        <f t="shared" si="212"/>
        <v>106.13044904879766</v>
      </c>
      <c r="AB474" s="110">
        <f t="shared" ca="1" si="213"/>
        <v>-49.17795157400063</v>
      </c>
      <c r="AC474" s="111">
        <f t="shared" ca="1" si="214"/>
        <v>-108.57108289727647</v>
      </c>
      <c r="AD474" s="72">
        <f t="shared" ca="1" si="215"/>
        <v>71.428917102723531</v>
      </c>
    </row>
    <row r="475" spans="1:30">
      <c r="A475" s="118">
        <v>55274</v>
      </c>
      <c r="B475" s="101">
        <f t="shared" ca="1" si="189"/>
        <v>3081.4795772221146</v>
      </c>
      <c r="C475" s="102">
        <f t="shared" ca="1" si="190"/>
        <v>1.5704718073578885</v>
      </c>
      <c r="D475" s="102">
        <f t="shared" si="191"/>
        <v>1.9142587586637199</v>
      </c>
      <c r="E475" s="103">
        <f t="shared" si="192"/>
        <v>1.0211385839494305</v>
      </c>
      <c r="F475" s="101">
        <f t="shared" si="193"/>
        <v>18892.945090872588</v>
      </c>
      <c r="G475" s="104">
        <f t="shared" si="194"/>
        <v>1.5707433969845543</v>
      </c>
      <c r="H475" s="113">
        <f t="shared" si="195"/>
        <v>2361.6183447701924</v>
      </c>
      <c r="I475" s="114">
        <f t="shared" si="196"/>
        <v>1.5703728883370704</v>
      </c>
      <c r="J475" s="101">
        <f t="shared" si="197"/>
        <v>3.6140705079703555</v>
      </c>
      <c r="K475" s="104">
        <f t="shared" si="198"/>
        <v>1.2904418351719389</v>
      </c>
      <c r="L475" s="102">
        <f t="shared" si="199"/>
        <v>1</v>
      </c>
      <c r="M475" s="103">
        <f t="shared" si="200"/>
        <v>2.2574290977692997E-9</v>
      </c>
      <c r="N475" s="101">
        <f t="shared" si="201"/>
        <v>1</v>
      </c>
      <c r="O475" s="104">
        <f t="shared" si="202"/>
        <v>3.0099054636923994E-10</v>
      </c>
      <c r="P475" s="105">
        <f t="shared" ca="1" si="203"/>
        <v>3.1071443092952089</v>
      </c>
      <c r="Q475" s="106">
        <f t="shared" ca="1" si="204"/>
        <v>1.3453820116494957</v>
      </c>
      <c r="R475" s="107">
        <f t="shared" ca="1" si="205"/>
        <v>-31.877994354854348</v>
      </c>
      <c r="S475" s="108">
        <f t="shared" ca="1" si="206"/>
        <v>-182.51728588866186</v>
      </c>
      <c r="T475" s="116">
        <f t="shared" ca="1" si="207"/>
        <v>-2.5172858886618599</v>
      </c>
      <c r="V475" s="72">
        <f t="shared" ca="1" si="208"/>
        <v>55274</v>
      </c>
      <c r="W475" s="72">
        <f t="shared" si="209"/>
        <v>3055215076</v>
      </c>
      <c r="Y475" s="110">
        <f t="shared" si="210"/>
        <v>34.860668258062212</v>
      </c>
      <c r="Z475" s="111">
        <f t="shared" si="211"/>
        <v>-73.95809941665641</v>
      </c>
      <c r="AA475" s="72">
        <f t="shared" si="212"/>
        <v>106.04190058334359</v>
      </c>
      <c r="AB475" s="110">
        <f t="shared" ca="1" si="213"/>
        <v>-49.237437345082562</v>
      </c>
      <c r="AC475" s="111">
        <f t="shared" ca="1" si="214"/>
        <v>-108.55918647200539</v>
      </c>
      <c r="AD475" s="72">
        <f t="shared" ca="1" si="215"/>
        <v>71.440813527994607</v>
      </c>
    </row>
    <row r="476" spans="1:30">
      <c r="A476" s="118">
        <v>55594</v>
      </c>
      <c r="B476" s="101">
        <f t="shared" ca="1" si="189"/>
        <v>3099.3193094861754</v>
      </c>
      <c r="C476" s="102">
        <f t="shared" ca="1" si="190"/>
        <v>1.5704736752971016</v>
      </c>
      <c r="D476" s="102">
        <f t="shared" si="191"/>
        <v>1.9223230679891301</v>
      </c>
      <c r="E476" s="103">
        <f t="shared" si="192"/>
        <v>1.0237066202655407</v>
      </c>
      <c r="F476" s="101">
        <f t="shared" si="193"/>
        <v>19002.322780422655</v>
      </c>
      <c r="G476" s="104">
        <f t="shared" si="194"/>
        <v>1.5707437016494332</v>
      </c>
      <c r="H476" s="113">
        <f t="shared" si="195"/>
        <v>2375.2905547643331</v>
      </c>
      <c r="I476" s="114">
        <f t="shared" si="196"/>
        <v>1.5703753256556741</v>
      </c>
      <c r="J476" s="101">
        <f t="shared" si="197"/>
        <v>3.6333959622859351</v>
      </c>
      <c r="K476" s="104">
        <f t="shared" si="198"/>
        <v>1.2919729954909409</v>
      </c>
      <c r="L476" s="102">
        <f t="shared" si="199"/>
        <v>1</v>
      </c>
      <c r="M476" s="103">
        <f t="shared" si="200"/>
        <v>2.2704981231933E-9</v>
      </c>
      <c r="N476" s="101">
        <f t="shared" si="201"/>
        <v>1</v>
      </c>
      <c r="O476" s="104">
        <f t="shared" si="202"/>
        <v>3.0273308309243997E-10</v>
      </c>
      <c r="P476" s="105">
        <f t="shared" ca="1" si="203"/>
        <v>3.1234497334036457</v>
      </c>
      <c r="Q476" s="106">
        <f t="shared" ca="1" si="204"/>
        <v>1.3477437874622009</v>
      </c>
      <c r="R476" s="107">
        <f t="shared" ca="1" si="205"/>
        <v>-31.983404336254964</v>
      </c>
      <c r="S476" s="108">
        <f t="shared" ca="1" si="206"/>
        <v>-182.59318188878663</v>
      </c>
      <c r="T476" s="116">
        <f t="shared" ca="1" si="207"/>
        <v>-2.5931818887866314</v>
      </c>
      <c r="V476" s="72">
        <f t="shared" ca="1" si="208"/>
        <v>55594</v>
      </c>
      <c r="W476" s="72">
        <f t="shared" si="209"/>
        <v>3090692836</v>
      </c>
      <c r="Y476" s="110">
        <f t="shared" si="210"/>
        <v>34.814346086360672</v>
      </c>
      <c r="Z476" s="111">
        <f t="shared" si="211"/>
        <v>-74.045706248086688</v>
      </c>
      <c r="AA476" s="72">
        <f t="shared" si="212"/>
        <v>105.95429375191331</v>
      </c>
      <c r="AB476" s="110">
        <f t="shared" ca="1" si="213"/>
        <v>-49.296525154781641</v>
      </c>
      <c r="AC476" s="111">
        <f t="shared" ca="1" si="214"/>
        <v>-108.54747564069996</v>
      </c>
      <c r="AD476" s="72">
        <f t="shared" ca="1" si="215"/>
        <v>71.452524359300043</v>
      </c>
    </row>
    <row r="477" spans="1:30">
      <c r="A477" s="118">
        <v>55914</v>
      </c>
      <c r="B477" s="101">
        <f t="shared" ca="1" si="189"/>
        <v>3117.1590417609273</v>
      </c>
      <c r="C477" s="102">
        <f t="shared" ca="1" si="190"/>
        <v>1.5704755218556057</v>
      </c>
      <c r="D477" s="102">
        <f t="shared" si="191"/>
        <v>1.9303999487022532</v>
      </c>
      <c r="E477" s="103">
        <f t="shared" si="192"/>
        <v>1.0262531836986799</v>
      </c>
      <c r="F477" s="101">
        <f t="shared" si="193"/>
        <v>19111.700469974465</v>
      </c>
      <c r="G477" s="104">
        <f t="shared" si="194"/>
        <v>1.5707440028270725</v>
      </c>
      <c r="H477" s="113">
        <f t="shared" si="195"/>
        <v>2388.9627647724224</v>
      </c>
      <c r="I477" s="114">
        <f t="shared" si="196"/>
        <v>1.5703777350763697</v>
      </c>
      <c r="J477" s="101">
        <f t="shared" si="197"/>
        <v>3.652729844776514</v>
      </c>
      <c r="K477" s="104">
        <f t="shared" si="198"/>
        <v>1.2934879504811836</v>
      </c>
      <c r="L477" s="102">
        <f t="shared" si="199"/>
        <v>1</v>
      </c>
      <c r="M477" s="103">
        <f t="shared" si="200"/>
        <v>2.2835671486172999E-9</v>
      </c>
      <c r="N477" s="101">
        <f t="shared" si="201"/>
        <v>1</v>
      </c>
      <c r="O477" s="104">
        <f t="shared" si="202"/>
        <v>3.0447561981563995E-10</v>
      </c>
      <c r="P477" s="105">
        <f t="shared" ca="1" si="203"/>
        <v>3.139767915479958</v>
      </c>
      <c r="Q477" s="106">
        <f t="shared" ca="1" si="204"/>
        <v>1.3500873845151828</v>
      </c>
      <c r="R477" s="107">
        <f t="shared" ca="1" si="205"/>
        <v>-32.088195729026928</v>
      </c>
      <c r="S477" s="108">
        <f t="shared" ca="1" si="206"/>
        <v>-182.6683383049303</v>
      </c>
      <c r="T477" s="116">
        <f t="shared" ca="1" si="207"/>
        <v>-2.6683383049303018</v>
      </c>
      <c r="V477" s="72">
        <f t="shared" ca="1" si="208"/>
        <v>55914</v>
      </c>
      <c r="W477" s="72">
        <f t="shared" si="209"/>
        <v>3126375396</v>
      </c>
      <c r="Y477" s="110">
        <f t="shared" si="210"/>
        <v>34.768249601153357</v>
      </c>
      <c r="Z477" s="111">
        <f t="shared" si="211"/>
        <v>-74.13238598120067</v>
      </c>
      <c r="AA477" s="72">
        <f t="shared" si="212"/>
        <v>105.86761401879933</v>
      </c>
      <c r="AB477" s="110">
        <f t="shared" ca="1" si="213"/>
        <v>-49.355220062346284</v>
      </c>
      <c r="AC477" s="111">
        <f t="shared" ca="1" si="214"/>
        <v>-108.53595232372966</v>
      </c>
      <c r="AD477" s="72">
        <f t="shared" ca="1" si="215"/>
        <v>71.46404767627034</v>
      </c>
    </row>
    <row r="478" spans="1:30">
      <c r="A478" s="118">
        <v>56234</v>
      </c>
      <c r="B478" s="101">
        <f t="shared" ca="1" si="189"/>
        <v>3134.998774046187</v>
      </c>
      <c r="C478" s="102">
        <f t="shared" ca="1" si="190"/>
        <v>1.5704773473984015</v>
      </c>
      <c r="D478" s="102">
        <f t="shared" si="191"/>
        <v>1.9384892436638188</v>
      </c>
      <c r="E478" s="103">
        <f t="shared" si="192"/>
        <v>1.0287785098307389</v>
      </c>
      <c r="F478" s="101">
        <f t="shared" si="193"/>
        <v>19221.078159527991</v>
      </c>
      <c r="G478" s="104">
        <f t="shared" si="194"/>
        <v>1.5707443005770043</v>
      </c>
      <c r="H478" s="113">
        <f t="shared" si="195"/>
        <v>2402.6349747942231</v>
      </c>
      <c r="I478" s="114">
        <f t="shared" si="196"/>
        <v>1.5703801170754168</v>
      </c>
      <c r="J478" s="101">
        <f t="shared" si="197"/>
        <v>3.6720720223161565</v>
      </c>
      <c r="K478" s="104">
        <f t="shared" si="198"/>
        <v>1.2949869492118788</v>
      </c>
      <c r="L478" s="102">
        <f t="shared" si="199"/>
        <v>1</v>
      </c>
      <c r="M478" s="103">
        <f t="shared" si="200"/>
        <v>2.2966361740412998E-9</v>
      </c>
      <c r="N478" s="101">
        <f t="shared" si="201"/>
        <v>1</v>
      </c>
      <c r="O478" s="104">
        <f t="shared" si="202"/>
        <v>3.0621815653883998E-10</v>
      </c>
      <c r="P478" s="105">
        <f t="shared" ca="1" si="203"/>
        <v>3.1560987270975946</v>
      </c>
      <c r="Q478" s="106">
        <f t="shared" ca="1" si="204"/>
        <v>1.3524130692757799</v>
      </c>
      <c r="R478" s="107">
        <f t="shared" ca="1" si="205"/>
        <v>-32.192375467616088</v>
      </c>
      <c r="S478" s="108">
        <f t="shared" ca="1" si="206"/>
        <v>-182.74277117434951</v>
      </c>
      <c r="T478" s="116">
        <f t="shared" ca="1" si="207"/>
        <v>-2.7427711743495138</v>
      </c>
      <c r="V478" s="72">
        <f t="shared" ca="1" si="208"/>
        <v>56234</v>
      </c>
      <c r="W478" s="72">
        <f t="shared" si="209"/>
        <v>3162262756</v>
      </c>
      <c r="Y478" s="110">
        <f t="shared" si="210"/>
        <v>34.72237684059273</v>
      </c>
      <c r="Z478" s="111">
        <f t="shared" si="211"/>
        <v>-74.218152862736247</v>
      </c>
      <c r="AA478" s="72">
        <f t="shared" si="212"/>
        <v>105.78184713726375</v>
      </c>
      <c r="AB478" s="110">
        <f t="shared" ca="1" si="213"/>
        <v>-49.413527040374817</v>
      </c>
      <c r="AC478" s="111">
        <f t="shared" ca="1" si="214"/>
        <v>-108.52461831161324</v>
      </c>
      <c r="AD478" s="72">
        <f t="shared" ca="1" si="215"/>
        <v>71.475381688386761</v>
      </c>
    </row>
    <row r="479" spans="1:30">
      <c r="A479" s="118">
        <v>56561.5</v>
      </c>
      <c r="B479" s="101">
        <f t="shared" ca="1" si="189"/>
        <v>3153.2566250675764</v>
      </c>
      <c r="C479" s="102">
        <f t="shared" ca="1" si="190"/>
        <v>1.5704791943392593</v>
      </c>
      <c r="D479" s="102">
        <f t="shared" si="191"/>
        <v>1.946780824084662</v>
      </c>
      <c r="E479" s="103">
        <f t="shared" si="192"/>
        <v>1.031341276400872</v>
      </c>
      <c r="F479" s="101">
        <f t="shared" si="193"/>
        <v>19333.019388682173</v>
      </c>
      <c r="G479" s="104">
        <f t="shared" si="194"/>
        <v>1.5707446018170057</v>
      </c>
      <c r="H479" s="113">
        <f t="shared" si="195"/>
        <v>2416.6276272523633</v>
      </c>
      <c r="I479" s="114">
        <f t="shared" si="196"/>
        <v>1.570382526995018</v>
      </c>
      <c r="J479" s="101">
        <f t="shared" si="197"/>
        <v>3.6918759850414813</v>
      </c>
      <c r="K479" s="104">
        <f t="shared" si="198"/>
        <v>1.2965048138532804</v>
      </c>
      <c r="L479" s="102">
        <f t="shared" si="199"/>
        <v>1</v>
      </c>
      <c r="M479" s="103">
        <f t="shared" si="200"/>
        <v>2.3100115047486748E-9</v>
      </c>
      <c r="N479" s="101">
        <f t="shared" si="201"/>
        <v>1</v>
      </c>
      <c r="O479" s="104">
        <f t="shared" si="202"/>
        <v>3.0800153396648997E-10</v>
      </c>
      <c r="P479" s="105">
        <f t="shared" ca="1" si="203"/>
        <v>3.1728252381465043</v>
      </c>
      <c r="Q479" s="106">
        <f t="shared" ca="1" si="204"/>
        <v>1.3547749881473186</v>
      </c>
      <c r="R479" s="107">
        <f t="shared" ca="1" si="205"/>
        <v>-32.298370717978152</v>
      </c>
      <c r="S479" s="108">
        <f t="shared" ca="1" si="206"/>
        <v>-182.81821568961641</v>
      </c>
      <c r="T479" s="116">
        <f t="shared" ca="1" si="207"/>
        <v>-2.8182156896164088</v>
      </c>
      <c r="V479" s="72">
        <f t="shared" ca="1" si="208"/>
        <v>56561.5</v>
      </c>
      <c r="W479" s="72">
        <f t="shared" si="209"/>
        <v>3199203282.25</v>
      </c>
      <c r="Y479" s="110">
        <f t="shared" si="210"/>
        <v>34.675658563755853</v>
      </c>
      <c r="Z479" s="111">
        <f t="shared" si="211"/>
        <v>-74.304999281554345</v>
      </c>
      <c r="AA479" s="72">
        <f t="shared" si="212"/>
        <v>105.69500071844566</v>
      </c>
      <c r="AB479" s="110">
        <f t="shared" ca="1" si="213"/>
        <v>-49.472804013900003</v>
      </c>
      <c r="AC479" s="111">
        <f t="shared" ca="1" si="214"/>
        <v>-108.51321640806199</v>
      </c>
      <c r="AD479" s="72">
        <f t="shared" ca="1" si="215"/>
        <v>71.486783591938007</v>
      </c>
    </row>
    <row r="480" spans="1:30">
      <c r="A480" s="118">
        <v>56889</v>
      </c>
      <c r="B480" s="101">
        <f t="shared" ca="1" si="189"/>
        <v>3171.5144760995986</v>
      </c>
      <c r="C480" s="102">
        <f t="shared" ca="1" si="190"/>
        <v>1.5704810200150898</v>
      </c>
      <c r="D480" s="102">
        <f t="shared" si="191"/>
        <v>1.9550850820184946</v>
      </c>
      <c r="E480" s="103">
        <f t="shared" si="192"/>
        <v>1.0338822887506594</v>
      </c>
      <c r="F480" s="101">
        <f t="shared" si="193"/>
        <v>19444.960617838082</v>
      </c>
      <c r="G480" s="104">
        <f t="shared" si="194"/>
        <v>1.5707448995886351</v>
      </c>
      <c r="H480" s="113">
        <f t="shared" si="195"/>
        <v>2430.6202797243764</v>
      </c>
      <c r="I480" s="114">
        <f t="shared" si="196"/>
        <v>1.5703849091676545</v>
      </c>
      <c r="J480" s="101">
        <f t="shared" si="197"/>
        <v>3.7116883627506563</v>
      </c>
      <c r="K480" s="104">
        <f t="shared" si="198"/>
        <v>1.2980064777035771</v>
      </c>
      <c r="L480" s="102">
        <f t="shared" si="199"/>
        <v>1</v>
      </c>
      <c r="M480" s="103">
        <f t="shared" si="200"/>
        <v>2.3233868354560497E-9</v>
      </c>
      <c r="N480" s="101">
        <f t="shared" si="201"/>
        <v>1</v>
      </c>
      <c r="O480" s="104">
        <f t="shared" si="202"/>
        <v>3.0978491139413997E-10</v>
      </c>
      <c r="P480" s="105">
        <f t="shared" ca="1" si="203"/>
        <v>3.1895647146898591</v>
      </c>
      <c r="Q480" s="106">
        <f t="shared" ca="1" si="204"/>
        <v>1.3571186940774616</v>
      </c>
      <c r="R480" s="107">
        <f t="shared" ca="1" si="205"/>
        <v>-32.403739665223966</v>
      </c>
      <c r="S480" s="108">
        <f t="shared" ca="1" si="206"/>
        <v>-182.89293504092987</v>
      </c>
      <c r="T480" s="116">
        <f t="shared" ca="1" si="207"/>
        <v>-2.8929350409298706</v>
      </c>
      <c r="V480" s="72">
        <f t="shared" ca="1" si="208"/>
        <v>56889</v>
      </c>
      <c r="W480" s="72">
        <f t="shared" si="209"/>
        <v>3236358321</v>
      </c>
      <c r="Y480" s="110">
        <f t="shared" si="210"/>
        <v>34.629170531757147</v>
      </c>
      <c r="Z480" s="111">
        <f t="shared" si="211"/>
        <v>-74.390918854477221</v>
      </c>
      <c r="AA480" s="72">
        <f t="shared" si="212"/>
        <v>105.60908114552278</v>
      </c>
      <c r="AB480" s="110">
        <f t="shared" ca="1" si="213"/>
        <v>-49.531684929147119</v>
      </c>
      <c r="AC480" s="111">
        <f t="shared" ca="1" si="214"/>
        <v>-108.50201618645259</v>
      </c>
      <c r="AD480" s="72">
        <f t="shared" ca="1" si="215"/>
        <v>71.497983813547407</v>
      </c>
    </row>
    <row r="481" spans="1:30">
      <c r="A481" s="118">
        <v>57216.5</v>
      </c>
      <c r="B481" s="101">
        <f t="shared" ca="1" si="189"/>
        <v>3189.77232714207</v>
      </c>
      <c r="C481" s="102">
        <f t="shared" ca="1" si="190"/>
        <v>1.5704828247910478</v>
      </c>
      <c r="D481" s="102">
        <f t="shared" si="191"/>
        <v>1.9634018566057356</v>
      </c>
      <c r="E481" s="103">
        <f t="shared" si="192"/>
        <v>1.0364017903035063</v>
      </c>
      <c r="F481" s="101">
        <f t="shared" si="193"/>
        <v>19556.901846995705</v>
      </c>
      <c r="G481" s="104">
        <f t="shared" si="194"/>
        <v>1.5707451939514503</v>
      </c>
      <c r="H481" s="113">
        <f t="shared" si="195"/>
        <v>2444.6129322100255</v>
      </c>
      <c r="I481" s="114">
        <f t="shared" si="196"/>
        <v>1.5703872640697867</v>
      </c>
      <c r="J481" s="101">
        <f t="shared" si="197"/>
        <v>3.731509021406084</v>
      </c>
      <c r="K481" s="104">
        <f t="shared" si="198"/>
        <v>1.2994921920970535</v>
      </c>
      <c r="L481" s="102">
        <f t="shared" si="199"/>
        <v>1</v>
      </c>
      <c r="M481" s="103">
        <f t="shared" si="200"/>
        <v>2.3367621661634247E-9</v>
      </c>
      <c r="N481" s="101">
        <f t="shared" si="201"/>
        <v>1</v>
      </c>
      <c r="O481" s="104">
        <f t="shared" si="202"/>
        <v>3.1156828882178996E-10</v>
      </c>
      <c r="P481" s="105">
        <f t="shared" ca="1" si="203"/>
        <v>3.2063170282312718</v>
      </c>
      <c r="Q481" s="106">
        <f t="shared" ca="1" si="204"/>
        <v>1.3594444568057906</v>
      </c>
      <c r="R481" s="107">
        <f t="shared" ca="1" si="205"/>
        <v>-32.508489403796588</v>
      </c>
      <c r="S481" s="108">
        <f t="shared" ca="1" si="206"/>
        <v>-182.96694513352452</v>
      </c>
      <c r="T481" s="116">
        <f t="shared" ca="1" si="207"/>
        <v>-2.9669451335245185</v>
      </c>
      <c r="V481" s="72">
        <f t="shared" ca="1" si="208"/>
        <v>57216.5</v>
      </c>
      <c r="W481" s="72">
        <f t="shared" si="209"/>
        <v>3273727872.25</v>
      </c>
      <c r="Y481" s="110">
        <f t="shared" si="210"/>
        <v>34.582910710223508</v>
      </c>
      <c r="Z481" s="111">
        <f t="shared" si="211"/>
        <v>-74.475925958011814</v>
      </c>
      <c r="AA481" s="72">
        <f t="shared" si="212"/>
        <v>105.52407404198819</v>
      </c>
      <c r="AB481" s="110">
        <f t="shared" ca="1" si="213"/>
        <v>-49.590174846186095</v>
      </c>
      <c r="AC481" s="111">
        <f t="shared" ca="1" si="214"/>
        <v>-108.49101917551269</v>
      </c>
      <c r="AD481" s="72">
        <f t="shared" ca="1" si="215"/>
        <v>71.50898082448731</v>
      </c>
    </row>
    <row r="482" spans="1:30">
      <c r="A482" s="118">
        <v>57544</v>
      </c>
      <c r="B482" s="101">
        <f t="shared" ca="1" si="189"/>
        <v>3208.0301781948137</v>
      </c>
      <c r="C482" s="102">
        <f t="shared" ca="1" si="190"/>
        <v>1.5704846090239755</v>
      </c>
      <c r="D482" s="102">
        <f t="shared" si="191"/>
        <v>1.9717309894604063</v>
      </c>
      <c r="E482" s="103">
        <f t="shared" si="192"/>
        <v>1.0389000214713491</v>
      </c>
      <c r="F482" s="101">
        <f t="shared" si="193"/>
        <v>19668.843076154997</v>
      </c>
      <c r="G482" s="104">
        <f t="shared" si="194"/>
        <v>1.5707454849636533</v>
      </c>
      <c r="H482" s="113">
        <f t="shared" si="195"/>
        <v>2458.605584709077</v>
      </c>
      <c r="I482" s="114">
        <f t="shared" si="196"/>
        <v>1.5703895921670281</v>
      </c>
      <c r="J482" s="101">
        <f t="shared" si="197"/>
        <v>3.7513378297475461</v>
      </c>
      <c r="K482" s="104">
        <f t="shared" si="198"/>
        <v>1.3009622033389763</v>
      </c>
      <c r="L482" s="102">
        <f t="shared" si="199"/>
        <v>1</v>
      </c>
      <c r="M482" s="103">
        <f t="shared" si="200"/>
        <v>2.3501374968707997E-9</v>
      </c>
      <c r="N482" s="101">
        <f t="shared" si="201"/>
        <v>1</v>
      </c>
      <c r="O482" s="104">
        <f t="shared" si="202"/>
        <v>3.1335166624943996E-10</v>
      </c>
      <c r="P482" s="105">
        <f t="shared" ca="1" si="203"/>
        <v>3.2230820532197448</v>
      </c>
      <c r="Q482" s="106">
        <f t="shared" ca="1" si="204"/>
        <v>1.3617525409466289</v>
      </c>
      <c r="R482" s="107">
        <f t="shared" ca="1" si="205"/>
        <v>-32.612626917979952</v>
      </c>
      <c r="S482" s="108">
        <f t="shared" ca="1" si="206"/>
        <v>-183.04026146344998</v>
      </c>
      <c r="T482" s="116">
        <f t="shared" ca="1" si="207"/>
        <v>-3.0402614634499798</v>
      </c>
      <c r="V482" s="72">
        <f t="shared" ca="1" si="208"/>
        <v>57544</v>
      </c>
      <c r="W482" s="72">
        <f t="shared" si="209"/>
        <v>3311311936</v>
      </c>
      <c r="Y482" s="110">
        <f t="shared" si="210"/>
        <v>34.536877087499931</v>
      </c>
      <c r="Z482" s="111">
        <f t="shared" si="211"/>
        <v>-74.560034681067521</v>
      </c>
      <c r="AA482" s="72">
        <f t="shared" si="212"/>
        <v>105.43996531893248</v>
      </c>
      <c r="AB482" s="110">
        <f t="shared" ca="1" si="213"/>
        <v>-49.648278737645882</v>
      </c>
      <c r="AC482" s="111">
        <f t="shared" ca="1" si="214"/>
        <v>-108.48022678238247</v>
      </c>
      <c r="AD482" s="72">
        <f t="shared" ca="1" si="215"/>
        <v>71.519773217617526</v>
      </c>
    </row>
    <row r="483" spans="1:30">
      <c r="A483" s="118">
        <v>57879</v>
      </c>
      <c r="B483" s="101">
        <f t="shared" ca="1" si="189"/>
        <v>3226.706147984401</v>
      </c>
      <c r="C483" s="102">
        <f t="shared" ca="1" si="190"/>
        <v>1.5704864132266492</v>
      </c>
      <c r="D483" s="102">
        <f t="shared" si="191"/>
        <v>1.9802634892743824</v>
      </c>
      <c r="E483" s="103">
        <f t="shared" si="192"/>
        <v>1.0414337049230997</v>
      </c>
      <c r="F483" s="101">
        <f t="shared" si="193"/>
        <v>19783.347844915064</v>
      </c>
      <c r="G483" s="104">
        <f t="shared" si="194"/>
        <v>1.570745779232964</v>
      </c>
      <c r="H483" s="113">
        <f t="shared" si="195"/>
        <v>2472.9186796454001</v>
      </c>
      <c r="I483" s="114">
        <f t="shared" si="196"/>
        <v>1.5703919463211331</v>
      </c>
      <c r="J483" s="101">
        <f t="shared" si="197"/>
        <v>3.771629030708564</v>
      </c>
      <c r="K483" s="104">
        <f t="shared" si="198"/>
        <v>1.3024498839009073</v>
      </c>
      <c r="L483" s="102">
        <f t="shared" si="199"/>
        <v>1</v>
      </c>
      <c r="M483" s="103">
        <f t="shared" si="200"/>
        <v>2.3638191328615497E-9</v>
      </c>
      <c r="N483" s="101">
        <f t="shared" si="201"/>
        <v>1</v>
      </c>
      <c r="O483" s="104">
        <f t="shared" si="202"/>
        <v>3.1517588438153997E-10</v>
      </c>
      <c r="P483" s="105">
        <f t="shared" ca="1" si="203"/>
        <v>3.2402440336361136</v>
      </c>
      <c r="Q483" s="106">
        <f t="shared" ca="1" si="204"/>
        <v>1.3640954620843047</v>
      </c>
      <c r="R483" s="107">
        <f t="shared" ca="1" si="205"/>
        <v>-32.718523013040759</v>
      </c>
      <c r="S483" s="108">
        <f t="shared" ca="1" si="206"/>
        <v>-183.11455475532475</v>
      </c>
      <c r="T483" s="116">
        <f t="shared" ca="1" si="207"/>
        <v>-3.1145547553247468</v>
      </c>
      <c r="V483" s="72">
        <f t="shared" ca="1" si="208"/>
        <v>57879</v>
      </c>
      <c r="W483" s="72">
        <f t="shared" si="209"/>
        <v>3349978641</v>
      </c>
      <c r="Y483" s="110">
        <f t="shared" si="210"/>
        <v>34.490021214397842</v>
      </c>
      <c r="Z483" s="111">
        <f t="shared" si="211"/>
        <v>-74.645154475242691</v>
      </c>
      <c r="AA483" s="72">
        <f t="shared" si="212"/>
        <v>105.35484552475731</v>
      </c>
      <c r="AB483" s="110">
        <f t="shared" ca="1" si="213"/>
        <v>-49.707318959604606</v>
      </c>
      <c r="AC483" s="111">
        <f t="shared" ca="1" si="214"/>
        <v>-108.46940028008206</v>
      </c>
      <c r="AD483" s="72">
        <f t="shared" ca="1" si="215"/>
        <v>71.530599719917944</v>
      </c>
    </row>
    <row r="484" spans="1:30">
      <c r="A484" s="118">
        <v>58214</v>
      </c>
      <c r="B484" s="101">
        <f t="shared" ca="1" si="189"/>
        <v>3245.3821177843706</v>
      </c>
      <c r="C484" s="102">
        <f t="shared" ca="1" si="190"/>
        <v>1.5704881966642892</v>
      </c>
      <c r="D484" s="102">
        <f t="shared" si="191"/>
        <v>1.9888085923661454</v>
      </c>
      <c r="E484" s="103">
        <f t="shared" si="192"/>
        <v>1.0439456319667955</v>
      </c>
      <c r="F484" s="101">
        <f t="shared" si="193"/>
        <v>19897.852613676823</v>
      </c>
      <c r="G484" s="104">
        <f t="shared" si="194"/>
        <v>1.570746070115453</v>
      </c>
      <c r="H484" s="113">
        <f t="shared" si="195"/>
        <v>2487.2317745952701</v>
      </c>
      <c r="I484" s="114">
        <f t="shared" si="196"/>
        <v>1.5703942733806731</v>
      </c>
      <c r="J484" s="101">
        <f t="shared" si="197"/>
        <v>3.7919284896676677</v>
      </c>
      <c r="K484" s="104">
        <f t="shared" si="198"/>
        <v>1.3039216395898459</v>
      </c>
      <c r="L484" s="102">
        <f t="shared" si="199"/>
        <v>1</v>
      </c>
      <c r="M484" s="103">
        <f t="shared" si="200"/>
        <v>2.3775007688522997E-9</v>
      </c>
      <c r="N484" s="101">
        <f t="shared" si="201"/>
        <v>1</v>
      </c>
      <c r="O484" s="104">
        <f t="shared" si="202"/>
        <v>3.1700010251363993E-10</v>
      </c>
      <c r="P484" s="105">
        <f t="shared" ca="1" si="203"/>
        <v>3.2574190577572861</v>
      </c>
      <c r="Q484" s="106">
        <f t="shared" ca="1" si="204"/>
        <v>1.3664204298184641</v>
      </c>
      <c r="R484" s="107">
        <f t="shared" ca="1" si="205"/>
        <v>-32.823792960732661</v>
      </c>
      <c r="S484" s="108">
        <f t="shared" ca="1" si="206"/>
        <v>-183.18815368390133</v>
      </c>
      <c r="T484" s="116">
        <f t="shared" ca="1" si="207"/>
        <v>-3.1881536839013336</v>
      </c>
      <c r="V484" s="72">
        <f t="shared" ca="1" si="208"/>
        <v>58214</v>
      </c>
      <c r="W484" s="72">
        <f t="shared" si="209"/>
        <v>3388869796</v>
      </c>
      <c r="Y484" s="110">
        <f t="shared" si="210"/>
        <v>34.44339783288909</v>
      </c>
      <c r="Z484" s="111">
        <f t="shared" si="211"/>
        <v>-74.729363199758708</v>
      </c>
      <c r="AA484" s="72">
        <f t="shared" si="212"/>
        <v>105.27063680024129</v>
      </c>
      <c r="AB484" s="110">
        <f t="shared" ca="1" si="213"/>
        <v>-49.765965525787756</v>
      </c>
      <c r="AC484" s="111">
        <f t="shared" ca="1" si="214"/>
        <v>-108.45879048414263</v>
      </c>
      <c r="AD484" s="72">
        <f t="shared" ca="1" si="215"/>
        <v>71.541209515857375</v>
      </c>
    </row>
    <row r="485" spans="1:30">
      <c r="A485" s="118">
        <v>58549</v>
      </c>
      <c r="B485" s="101">
        <f t="shared" ca="1" si="189"/>
        <v>3264.0580875945448</v>
      </c>
      <c r="C485" s="102">
        <f t="shared" ca="1" si="190"/>
        <v>1.5704899596933293</v>
      </c>
      <c r="D485" s="102">
        <f t="shared" si="191"/>
        <v>1.9973661369782159</v>
      </c>
      <c r="E485" s="103">
        <f t="shared" si="192"/>
        <v>1.0464360503388006</v>
      </c>
      <c r="F485" s="101">
        <f t="shared" si="193"/>
        <v>20012.357382440245</v>
      </c>
      <c r="G485" s="104">
        <f t="shared" si="194"/>
        <v>1.5707463576692555</v>
      </c>
      <c r="H485" s="113">
        <f t="shared" si="195"/>
        <v>2501.544869558455</v>
      </c>
      <c r="I485" s="114">
        <f t="shared" si="196"/>
        <v>1.5703965738107295</v>
      </c>
      <c r="J485" s="101">
        <f t="shared" si="197"/>
        <v>3.8122360747078772</v>
      </c>
      <c r="K485" s="104">
        <f t="shared" si="198"/>
        <v>1.3053777184714437</v>
      </c>
      <c r="L485" s="102">
        <f t="shared" si="199"/>
        <v>1</v>
      </c>
      <c r="M485" s="103">
        <f t="shared" si="200"/>
        <v>2.3911824048430498E-9</v>
      </c>
      <c r="N485" s="101">
        <f t="shared" si="201"/>
        <v>1</v>
      </c>
      <c r="O485" s="104">
        <f t="shared" si="202"/>
        <v>3.1882432064573994E-10</v>
      </c>
      <c r="P485" s="105">
        <f t="shared" ca="1" si="203"/>
        <v>3.274607000315028</v>
      </c>
      <c r="Q485" s="106">
        <f t="shared" ca="1" si="204"/>
        <v>1.3687277114605054</v>
      </c>
      <c r="R485" s="107">
        <f t="shared" ca="1" si="205"/>
        <v>-32.928443891702834</v>
      </c>
      <c r="S485" s="108">
        <f t="shared" ca="1" si="206"/>
        <v>-183.26107358096735</v>
      </c>
      <c r="T485" s="116">
        <f t="shared" ca="1" si="207"/>
        <v>-3.2610735809673486</v>
      </c>
      <c r="V485" s="72">
        <f t="shared" ca="1" si="208"/>
        <v>58549</v>
      </c>
      <c r="W485" s="72">
        <f t="shared" si="209"/>
        <v>3427985401</v>
      </c>
      <c r="Y485" s="110">
        <f t="shared" si="210"/>
        <v>34.397004862220733</v>
      </c>
      <c r="Z485" s="111">
        <f t="shared" si="211"/>
        <v>-74.812675044414192</v>
      </c>
      <c r="AA485" s="72">
        <f t="shared" si="212"/>
        <v>105.18732495558581</v>
      </c>
      <c r="AB485" s="110">
        <f t="shared" ca="1" si="213"/>
        <v>-49.824223486089565</v>
      </c>
      <c r="AC485" s="111">
        <f t="shared" ca="1" si="214"/>
        <v>-108.44839853655316</v>
      </c>
      <c r="AD485" s="72">
        <f t="shared" ca="1" si="215"/>
        <v>71.551601463446843</v>
      </c>
    </row>
    <row r="486" spans="1:30">
      <c r="A486" s="118">
        <v>58884</v>
      </c>
      <c r="B486" s="101">
        <f t="shared" ca="1" si="189"/>
        <v>3282.7340574147493</v>
      </c>
      <c r="C486" s="102">
        <f t="shared" ca="1" si="190"/>
        <v>1.5704917026620926</v>
      </c>
      <c r="D486" s="102">
        <f t="shared" si="191"/>
        <v>2.0059359638798964</v>
      </c>
      <c r="E486" s="103">
        <f t="shared" si="192"/>
        <v>1.0489052046183784</v>
      </c>
      <c r="F486" s="101">
        <f t="shared" si="193"/>
        <v>20126.862151205303</v>
      </c>
      <c r="G486" s="104">
        <f t="shared" si="194"/>
        <v>1.5707466419511837</v>
      </c>
      <c r="H486" s="113">
        <f t="shared" si="195"/>
        <v>2515.8579645347272</v>
      </c>
      <c r="I486" s="114">
        <f t="shared" si="196"/>
        <v>1.5703988480657998</v>
      </c>
      <c r="J486" s="101">
        <f t="shared" si="197"/>
        <v>3.8325516566559195</v>
      </c>
      <c r="K486" s="104">
        <f t="shared" si="198"/>
        <v>1.3068183636206367</v>
      </c>
      <c r="L486" s="102">
        <f t="shared" si="199"/>
        <v>1</v>
      </c>
      <c r="M486" s="103">
        <f t="shared" si="200"/>
        <v>2.4048640408337998E-9</v>
      </c>
      <c r="N486" s="101">
        <f t="shared" si="201"/>
        <v>1</v>
      </c>
      <c r="O486" s="104">
        <f t="shared" si="202"/>
        <v>3.2064853877783996E-10</v>
      </c>
      <c r="P486" s="105">
        <f t="shared" ca="1" si="203"/>
        <v>3.2918077389634641</v>
      </c>
      <c r="Q486" s="106">
        <f t="shared" ca="1" si="204"/>
        <v>1.3710175692019242</v>
      </c>
      <c r="R486" s="107">
        <f t="shared" ca="1" si="205"/>
        <v>-33.032482824770192</v>
      </c>
      <c r="S486" s="108">
        <f t="shared" ca="1" si="206"/>
        <v>-183.33332937996897</v>
      </c>
      <c r="T486" s="116">
        <f t="shared" ca="1" si="207"/>
        <v>-3.3333293799689727</v>
      </c>
      <c r="V486" s="72">
        <f t="shared" ca="1" si="208"/>
        <v>58884</v>
      </c>
      <c r="W486" s="72">
        <f t="shared" si="209"/>
        <v>3467325456</v>
      </c>
      <c r="Y486" s="110">
        <f t="shared" si="210"/>
        <v>34.35084024550445</v>
      </c>
      <c r="Z486" s="111">
        <f t="shared" si="211"/>
        <v>-74.89510391359137</v>
      </c>
      <c r="AA486" s="72">
        <f t="shared" si="212"/>
        <v>105.10489608640863</v>
      </c>
      <c r="AB486" s="110">
        <f t="shared" ca="1" si="213"/>
        <v>-49.88209780244064</v>
      </c>
      <c r="AC486" s="111">
        <f t="shared" ca="1" si="214"/>
        <v>-108.43822546637765</v>
      </c>
      <c r="AD486" s="72">
        <f t="shared" ca="1" si="215"/>
        <v>71.561774533622355</v>
      </c>
    </row>
    <row r="487" spans="1:30">
      <c r="A487" s="118">
        <v>59227</v>
      </c>
      <c r="B487" s="101">
        <f t="shared" ca="1" si="189"/>
        <v>3301.8560205543072</v>
      </c>
      <c r="C487" s="102">
        <f t="shared" ca="1" si="190"/>
        <v>1.5704934668249093</v>
      </c>
      <c r="D487" s="102">
        <f t="shared" si="191"/>
        <v>2.0147230054338316</v>
      </c>
      <c r="E487" s="103">
        <f t="shared" si="192"/>
        <v>1.0514115440696659</v>
      </c>
      <c r="F487" s="101">
        <f t="shared" si="193"/>
        <v>20244.101362211193</v>
      </c>
      <c r="G487" s="104">
        <f t="shared" si="194"/>
        <v>1.5707469296899073</v>
      </c>
      <c r="H487" s="113">
        <f t="shared" si="195"/>
        <v>2530.5128647774927</v>
      </c>
      <c r="I487" s="114">
        <f t="shared" si="196"/>
        <v>1.5704011499752304</v>
      </c>
      <c r="J487" s="101">
        <f t="shared" si="197"/>
        <v>3.8533605403805322</v>
      </c>
      <c r="K487" s="104">
        <f t="shared" si="198"/>
        <v>1.3082776699937437</v>
      </c>
      <c r="L487" s="102">
        <f t="shared" si="199"/>
        <v>1</v>
      </c>
      <c r="M487" s="103">
        <f t="shared" si="200"/>
        <v>2.41887240246015E-9</v>
      </c>
      <c r="N487" s="101">
        <f t="shared" si="201"/>
        <v>1</v>
      </c>
      <c r="O487" s="104">
        <f t="shared" si="202"/>
        <v>3.2251632032801995E-10</v>
      </c>
      <c r="P487" s="105">
        <f t="shared" ca="1" si="203"/>
        <v>3.3094323748494814</v>
      </c>
      <c r="Q487" s="106">
        <f t="shared" ca="1" si="204"/>
        <v>1.3733443256692381</v>
      </c>
      <c r="R487" s="107">
        <f t="shared" ca="1" si="205"/>
        <v>-33.138379389817857</v>
      </c>
      <c r="S487" s="108">
        <f t="shared" ca="1" si="206"/>
        <v>-183.40663780410171</v>
      </c>
      <c r="T487" s="116">
        <f t="shared" ca="1" si="207"/>
        <v>-3.406637804101706</v>
      </c>
      <c r="V487" s="72">
        <f t="shared" ca="1" si="208"/>
        <v>59227</v>
      </c>
      <c r="W487" s="72">
        <f t="shared" si="209"/>
        <v>3507837529</v>
      </c>
      <c r="Y487" s="110">
        <f t="shared" si="210"/>
        <v>34.30380766576944</v>
      </c>
      <c r="Z487" s="111">
        <f t="shared" si="211"/>
        <v>-74.978600605706021</v>
      </c>
      <c r="AA487" s="72">
        <f t="shared" si="212"/>
        <v>105.02139939429398</v>
      </c>
      <c r="AB487" s="110">
        <f t="shared" ca="1" si="213"/>
        <v>-49.940961787753288</v>
      </c>
      <c r="AC487" s="111">
        <f t="shared" ca="1" si="214"/>
        <v>-108.42803719839574</v>
      </c>
      <c r="AD487" s="72">
        <f t="shared" ca="1" si="215"/>
        <v>71.571962801604258</v>
      </c>
    </row>
    <row r="488" spans="1:30">
      <c r="A488" s="118">
        <v>59570</v>
      </c>
      <c r="B488" s="101">
        <f t="shared" ca="1" si="189"/>
        <v>3320.9779837040232</v>
      </c>
      <c r="C488" s="102">
        <f t="shared" ca="1" si="190"/>
        <v>1.5704952106718693</v>
      </c>
      <c r="D488" s="102">
        <f t="shared" si="191"/>
        <v>2.0235225929868652</v>
      </c>
      <c r="E488" s="103">
        <f t="shared" si="192"/>
        <v>1.0538961006391634</v>
      </c>
      <c r="F488" s="101">
        <f t="shared" si="193"/>
        <v>20361.340573218742</v>
      </c>
      <c r="G488" s="104">
        <f t="shared" si="194"/>
        <v>1.5707472141150705</v>
      </c>
      <c r="H488" s="113">
        <f t="shared" si="195"/>
        <v>2545.1677650335123</v>
      </c>
      <c r="I488" s="114">
        <f t="shared" si="196"/>
        <v>1.5704034253761898</v>
      </c>
      <c r="J488" s="101">
        <f t="shared" si="197"/>
        <v>3.8741775419636988</v>
      </c>
      <c r="K488" s="104">
        <f t="shared" si="198"/>
        <v>1.3097212969196685</v>
      </c>
      <c r="L488" s="102">
        <f t="shared" si="199"/>
        <v>1</v>
      </c>
      <c r="M488" s="103">
        <f t="shared" si="200"/>
        <v>2.4328807640864998E-9</v>
      </c>
      <c r="N488" s="101">
        <f t="shared" si="201"/>
        <v>1</v>
      </c>
      <c r="O488" s="104">
        <f t="shared" si="202"/>
        <v>3.2438410187819995E-10</v>
      </c>
      <c r="P488" s="105">
        <f t="shared" ca="1" si="203"/>
        <v>3.3270701747813041</v>
      </c>
      <c r="Q488" s="106">
        <f t="shared" ca="1" si="204"/>
        <v>1.3756533564574427</v>
      </c>
      <c r="R488" s="107">
        <f t="shared" ca="1" si="205"/>
        <v>-33.243648919852987</v>
      </c>
      <c r="S488" s="108">
        <f t="shared" ca="1" si="206"/>
        <v>-183.47928048763302</v>
      </c>
      <c r="T488" s="116">
        <f t="shared" ca="1" si="207"/>
        <v>-3.4792804876330194</v>
      </c>
      <c r="V488" s="72">
        <f t="shared" ca="1" si="208"/>
        <v>59570</v>
      </c>
      <c r="W488" s="72">
        <f t="shared" si="209"/>
        <v>3548584900</v>
      </c>
      <c r="Y488" s="110">
        <f t="shared" si="210"/>
        <v>34.257010188117889</v>
      </c>
      <c r="Z488" s="111">
        <f t="shared" si="211"/>
        <v>-75.061200260641499</v>
      </c>
      <c r="AA488" s="72">
        <f t="shared" si="212"/>
        <v>104.9387997393585</v>
      </c>
      <c r="AB488" s="110">
        <f t="shared" ca="1" si="213"/>
        <v>-49.999433840136874</v>
      </c>
      <c r="AC488" s="111">
        <f t="shared" ca="1" si="214"/>
        <v>-108.41808022699146</v>
      </c>
      <c r="AD488" s="72">
        <f t="shared" ca="1" si="215"/>
        <v>71.581919773008536</v>
      </c>
    </row>
    <row r="489" spans="1:30">
      <c r="A489" s="118">
        <v>59913</v>
      </c>
      <c r="B489" s="101">
        <f t="shared" ca="1" si="189"/>
        <v>3340.0999468637228</v>
      </c>
      <c r="C489" s="102">
        <f t="shared" ca="1" si="190"/>
        <v>1.5704969345518955</v>
      </c>
      <c r="D489" s="102">
        <f t="shared" si="191"/>
        <v>2.0323345635742744</v>
      </c>
      <c r="E489" s="103">
        <f t="shared" si="192"/>
        <v>1.0563591267962318</v>
      </c>
      <c r="F489" s="101">
        <f t="shared" si="193"/>
        <v>20478.579784227917</v>
      </c>
      <c r="G489" s="104">
        <f t="shared" si="194"/>
        <v>1.570747495283584</v>
      </c>
      <c r="H489" s="113">
        <f t="shared" si="195"/>
        <v>2559.8226653025581</v>
      </c>
      <c r="I489" s="114">
        <f t="shared" si="196"/>
        <v>1.5704056747239585</v>
      </c>
      <c r="J489" s="101">
        <f t="shared" si="197"/>
        <v>3.8950025312467327</v>
      </c>
      <c r="K489" s="104">
        <f t="shared" si="198"/>
        <v>1.3111494898272902</v>
      </c>
      <c r="L489" s="102">
        <f t="shared" si="199"/>
        <v>1</v>
      </c>
      <c r="M489" s="103">
        <f t="shared" si="200"/>
        <v>2.4468891257128499E-9</v>
      </c>
      <c r="N489" s="101">
        <f t="shared" si="201"/>
        <v>1</v>
      </c>
      <c r="O489" s="104">
        <f t="shared" si="202"/>
        <v>3.2625188342837995E-10</v>
      </c>
      <c r="P489" s="105">
        <f t="shared" ca="1" si="203"/>
        <v>3.3447210165002539</v>
      </c>
      <c r="Q489" s="106">
        <f t="shared" ca="1" si="204"/>
        <v>1.3779449270633233</v>
      </c>
      <c r="R489" s="107">
        <f t="shared" ca="1" si="205"/>
        <v>-33.348298597916539</v>
      </c>
      <c r="S489" s="108">
        <f t="shared" ca="1" si="206"/>
        <v>-183.55127223618496</v>
      </c>
      <c r="T489" s="116">
        <f t="shared" ca="1" si="207"/>
        <v>-3.5512722361849569</v>
      </c>
      <c r="V489" s="72">
        <f t="shared" ca="1" si="208"/>
        <v>59913</v>
      </c>
      <c r="W489" s="72">
        <f t="shared" si="209"/>
        <v>3589567569</v>
      </c>
      <c r="Y489" s="110">
        <f t="shared" si="210"/>
        <v>34.210445680820655</v>
      </c>
      <c r="Z489" s="111">
        <f t="shared" si="211"/>
        <v>-75.142916917611856</v>
      </c>
      <c r="AA489" s="72">
        <f t="shared" si="212"/>
        <v>104.85708308238814</v>
      </c>
      <c r="AB489" s="110">
        <f t="shared" ca="1" si="213"/>
        <v>-50.057519010903199</v>
      </c>
      <c r="AC489" s="111">
        <f t="shared" ca="1" si="214"/>
        <v>-108.4083553185731</v>
      </c>
      <c r="AD489" s="72">
        <f t="shared" ca="1" si="215"/>
        <v>71.591644681426899</v>
      </c>
    </row>
    <row r="490" spans="1:30">
      <c r="A490" s="118">
        <v>60256</v>
      </c>
      <c r="B490" s="101">
        <f t="shared" ca="1" si="189"/>
        <v>3359.2219100332354</v>
      </c>
      <c r="C490" s="102">
        <f t="shared" ca="1" si="190"/>
        <v>1.5704986388059659</v>
      </c>
      <c r="D490" s="102">
        <f t="shared" si="191"/>
        <v>2.0411587568181417</v>
      </c>
      <c r="E490" s="103">
        <f t="shared" si="192"/>
        <v>1.0588008716985295</v>
      </c>
      <c r="F490" s="101">
        <f t="shared" si="193"/>
        <v>20595.818995238693</v>
      </c>
      <c r="G490" s="104">
        <f t="shared" si="194"/>
        <v>1.5707477732510622</v>
      </c>
      <c r="H490" s="113">
        <f t="shared" si="195"/>
        <v>2574.4775655844082</v>
      </c>
      <c r="I490" s="114">
        <f t="shared" si="196"/>
        <v>1.5704078984634502</v>
      </c>
      <c r="J490" s="101">
        <f t="shared" si="197"/>
        <v>3.9158353807903419</v>
      </c>
      <c r="K490" s="104">
        <f t="shared" si="198"/>
        <v>1.3125624891774761</v>
      </c>
      <c r="L490" s="102">
        <f t="shared" si="199"/>
        <v>1</v>
      </c>
      <c r="M490" s="103">
        <f t="shared" si="200"/>
        <v>2.4608974873391997E-9</v>
      </c>
      <c r="N490" s="101">
        <f t="shared" si="201"/>
        <v>1</v>
      </c>
      <c r="O490" s="104">
        <f t="shared" si="202"/>
        <v>3.2811966497855995E-10</v>
      </c>
      <c r="P490" s="105">
        <f t="shared" ca="1" si="203"/>
        <v>3.3623847806561158</v>
      </c>
      <c r="Q490" s="106">
        <f t="shared" ca="1" si="204"/>
        <v>1.3802192978547312</v>
      </c>
      <c r="R490" s="107">
        <f t="shared" ca="1" si="205"/>
        <v>-33.452335493233733</v>
      </c>
      <c r="S490" s="108">
        <f t="shared" ca="1" si="206"/>
        <v>-183.62262746667872</v>
      </c>
      <c r="T490" s="116">
        <f t="shared" ca="1" si="207"/>
        <v>-3.6226274666787219</v>
      </c>
      <c r="V490" s="72">
        <f t="shared" ca="1" si="208"/>
        <v>60256</v>
      </c>
      <c r="W490" s="72">
        <f t="shared" si="209"/>
        <v>3630785536</v>
      </c>
      <c r="Y490" s="110">
        <f t="shared" si="210"/>
        <v>34.164112037226275</v>
      </c>
      <c r="Z490" s="111">
        <f t="shared" si="211"/>
        <v>-75.223764331704757</v>
      </c>
      <c r="AA490" s="72">
        <f t="shared" si="212"/>
        <v>104.77623566829524</v>
      </c>
      <c r="AB490" s="110">
        <f t="shared" ca="1" si="213"/>
        <v>-50.11522226262602</v>
      </c>
      <c r="AC490" s="111">
        <f t="shared" ca="1" si="214"/>
        <v>-108.39886313497395</v>
      </c>
      <c r="AD490" s="72">
        <f t="shared" ca="1" si="215"/>
        <v>71.601136865026049</v>
      </c>
    </row>
    <row r="491" spans="1:30">
      <c r="A491" s="118">
        <v>60607</v>
      </c>
      <c r="B491" s="101">
        <f t="shared" ca="1" si="189"/>
        <v>3378.789866522809</v>
      </c>
      <c r="C491" s="102">
        <f t="shared" ca="1" si="190"/>
        <v>1.5705003628391303</v>
      </c>
      <c r="D491" s="102">
        <f t="shared" si="191"/>
        <v>2.0502012510879464</v>
      </c>
      <c r="E491" s="103">
        <f t="shared" si="192"/>
        <v>1.0612777918568037</v>
      </c>
      <c r="F491" s="101">
        <f t="shared" si="193"/>
        <v>20715.792648490416</v>
      </c>
      <c r="G491" s="104">
        <f t="shared" si="194"/>
        <v>1.5707480544445522</v>
      </c>
      <c r="H491" s="113">
        <f t="shared" si="195"/>
        <v>2589.4742711336748</v>
      </c>
      <c r="I491" s="114">
        <f t="shared" si="196"/>
        <v>1.5704101480110395</v>
      </c>
      <c r="J491" s="101">
        <f t="shared" si="197"/>
        <v>3.9371621349148711</v>
      </c>
      <c r="K491" s="104">
        <f t="shared" si="198"/>
        <v>1.3139929613268004</v>
      </c>
      <c r="L491" s="102">
        <f t="shared" si="199"/>
        <v>1</v>
      </c>
      <c r="M491" s="103">
        <f t="shared" si="200"/>
        <v>2.47523257460115E-9</v>
      </c>
      <c r="N491" s="101">
        <f t="shared" si="201"/>
        <v>1</v>
      </c>
      <c r="O491" s="104">
        <f t="shared" si="202"/>
        <v>3.3003100994681994E-10</v>
      </c>
      <c r="P491" s="105">
        <f t="shared" ca="1" si="203"/>
        <v>3.3804737841561869</v>
      </c>
      <c r="Q491" s="106">
        <f t="shared" ca="1" si="204"/>
        <v>1.3825291753450653</v>
      </c>
      <c r="R491" s="107">
        <f t="shared" ca="1" si="205"/>
        <v>-33.558171775401917</v>
      </c>
      <c r="S491" s="108">
        <f t="shared" ca="1" si="206"/>
        <v>-183.69500264448686</v>
      </c>
      <c r="T491" s="116">
        <f t="shared" ca="1" si="207"/>
        <v>-3.6950026444868627</v>
      </c>
      <c r="V491" s="72">
        <f t="shared" ca="1" si="208"/>
        <v>60607</v>
      </c>
      <c r="W491" s="72">
        <f t="shared" si="209"/>
        <v>3673208449</v>
      </c>
      <c r="Y491" s="110">
        <f t="shared" si="210"/>
        <v>34.116934557047792</v>
      </c>
      <c r="Z491" s="111">
        <f t="shared" si="211"/>
        <v>-75.305611569571269</v>
      </c>
      <c r="AA491" s="72">
        <f t="shared" si="212"/>
        <v>104.69438843042873</v>
      </c>
      <c r="AB491" s="110">
        <f t="shared" ca="1" si="213"/>
        <v>-50.173881064615699</v>
      </c>
      <c r="AC491" s="111">
        <f t="shared" ca="1" si="214"/>
        <v>-108.38939107491562</v>
      </c>
      <c r="AD491" s="72">
        <f t="shared" ca="1" si="215"/>
        <v>71.610608925084378</v>
      </c>
    </row>
    <row r="492" spans="1:30">
      <c r="A492" s="118">
        <v>60958</v>
      </c>
      <c r="B492" s="101">
        <f t="shared" ca="1" si="189"/>
        <v>3398.3578230223097</v>
      </c>
      <c r="C492" s="102">
        <f t="shared" ca="1" si="190"/>
        <v>1.5705020670181136</v>
      </c>
      <c r="D492" s="102">
        <f t="shared" si="191"/>
        <v>2.0592562131053493</v>
      </c>
      <c r="E492" s="103">
        <f t="shared" si="192"/>
        <v>1.06373294393956</v>
      </c>
      <c r="F492" s="101">
        <f t="shared" si="193"/>
        <v>20835.766301743763</v>
      </c>
      <c r="G492" s="104">
        <f t="shared" si="194"/>
        <v>1.5707483323997828</v>
      </c>
      <c r="H492" s="113">
        <f t="shared" si="195"/>
        <v>2604.470976695894</v>
      </c>
      <c r="I492" s="114">
        <f t="shared" si="196"/>
        <v>1.5704123716525595</v>
      </c>
      <c r="J492" s="101">
        <f t="shared" si="197"/>
        <v>3.958496858640745</v>
      </c>
      <c r="K492" s="104">
        <f t="shared" si="198"/>
        <v>1.3154080169937965</v>
      </c>
      <c r="L492" s="102">
        <f t="shared" si="199"/>
        <v>1</v>
      </c>
      <c r="M492" s="103">
        <f t="shared" si="200"/>
        <v>2.4895676618630999E-9</v>
      </c>
      <c r="N492" s="101">
        <f t="shared" si="201"/>
        <v>1</v>
      </c>
      <c r="O492" s="104">
        <f t="shared" si="202"/>
        <v>3.3194235491507997E-10</v>
      </c>
      <c r="P492" s="105">
        <f t="shared" ca="1" si="203"/>
        <v>3.3985760760610977</v>
      </c>
      <c r="Q492" s="106">
        <f t="shared" ca="1" si="204"/>
        <v>1.3848215770655727</v>
      </c>
      <c r="R492" s="107">
        <f t="shared" ca="1" si="205"/>
        <v>-33.66338097950586</v>
      </c>
      <c r="S492" s="108">
        <f t="shared" ca="1" si="206"/>
        <v>-183.76674061513151</v>
      </c>
      <c r="T492" s="116">
        <f t="shared" ca="1" si="207"/>
        <v>-3.7667406151315106</v>
      </c>
      <c r="V492" s="72">
        <f t="shared" ca="1" si="208"/>
        <v>60958</v>
      </c>
      <c r="W492" s="72">
        <f t="shared" si="209"/>
        <v>3715877764</v>
      </c>
      <c r="Y492" s="110">
        <f t="shared" si="210"/>
        <v>34.069994450896282</v>
      </c>
      <c r="Z492" s="111">
        <f t="shared" si="211"/>
        <v>-75.386576806834285</v>
      </c>
      <c r="AA492" s="72">
        <f t="shared" si="212"/>
        <v>104.61342319316572</v>
      </c>
      <c r="AB492" s="110">
        <f t="shared" ca="1" si="213"/>
        <v>-50.232150162568139</v>
      </c>
      <c r="AC492" s="111">
        <f t="shared" ca="1" si="214"/>
        <v>-108.38016380829727</v>
      </c>
      <c r="AD492" s="72">
        <f t="shared" ca="1" si="215"/>
        <v>71.619836191702731</v>
      </c>
    </row>
    <row r="493" spans="1:30">
      <c r="A493" s="118">
        <v>61309</v>
      </c>
      <c r="B493" s="101">
        <f t="shared" ca="1" si="189"/>
        <v>3417.9257795315671</v>
      </c>
      <c r="C493" s="102">
        <f t="shared" ca="1" si="190"/>
        <v>1.5705037516839169</v>
      </c>
      <c r="D493" s="102">
        <f t="shared" si="191"/>
        <v>2.0683234791218204</v>
      </c>
      <c r="E493" s="103">
        <f t="shared" si="192"/>
        <v>1.0661665844383801</v>
      </c>
      <c r="F493" s="101">
        <f t="shared" si="193"/>
        <v>20955.739954998695</v>
      </c>
      <c r="G493" s="104">
        <f t="shared" si="194"/>
        <v>1.570748607172372</v>
      </c>
      <c r="H493" s="113">
        <f t="shared" si="195"/>
        <v>2619.4676822708439</v>
      </c>
      <c r="I493" s="114">
        <f t="shared" si="196"/>
        <v>1.5704145698329544</v>
      </c>
      <c r="J493" s="101">
        <f t="shared" si="197"/>
        <v>3.9798394238000476</v>
      </c>
      <c r="K493" s="104">
        <f t="shared" si="198"/>
        <v>1.3168078984859779</v>
      </c>
      <c r="L493" s="102">
        <f t="shared" si="199"/>
        <v>1</v>
      </c>
      <c r="M493" s="103">
        <f t="shared" si="200"/>
        <v>2.5039027491250498E-9</v>
      </c>
      <c r="N493" s="101">
        <f t="shared" si="201"/>
        <v>1</v>
      </c>
      <c r="O493" s="104">
        <f t="shared" si="202"/>
        <v>3.3385369988333996E-10</v>
      </c>
      <c r="P493" s="105">
        <f t="shared" ca="1" si="203"/>
        <v>3.4166915374729006</v>
      </c>
      <c r="Q493" s="106">
        <f t="shared" ca="1" si="204"/>
        <v>1.3870967661100866</v>
      </c>
      <c r="R493" s="107">
        <f t="shared" ca="1" si="205"/>
        <v>-33.7679703249798</v>
      </c>
      <c r="S493" s="108">
        <f t="shared" ca="1" si="206"/>
        <v>-183.83785563732283</v>
      </c>
      <c r="T493" s="116">
        <f t="shared" ca="1" si="207"/>
        <v>-3.8378556373228321</v>
      </c>
      <c r="V493" s="72">
        <f t="shared" ca="1" si="208"/>
        <v>61309</v>
      </c>
      <c r="W493" s="72">
        <f t="shared" si="209"/>
        <v>3758793481</v>
      </c>
      <c r="Y493" s="110">
        <f t="shared" si="210"/>
        <v>34.023289540902319</v>
      </c>
      <c r="Z493" s="111">
        <f t="shared" si="211"/>
        <v>-75.466673904384891</v>
      </c>
      <c r="AA493" s="72">
        <f t="shared" si="212"/>
        <v>104.53332609561511</v>
      </c>
      <c r="AB493" s="110">
        <f t="shared" ca="1" si="213"/>
        <v>-50.290034598048116</v>
      </c>
      <c r="AC493" s="111">
        <f t="shared" ca="1" si="214"/>
        <v>-108.37118173293796</v>
      </c>
      <c r="AD493" s="72">
        <f t="shared" ca="1" si="215"/>
        <v>71.628818267062044</v>
      </c>
    </row>
    <row r="494" spans="1:30">
      <c r="A494" s="118">
        <v>61660</v>
      </c>
      <c r="B494" s="101">
        <f t="shared" ca="1" si="189"/>
        <v>3437.4937360504146</v>
      </c>
      <c r="C494" s="102">
        <f t="shared" ca="1" si="190"/>
        <v>1.5705054171697772</v>
      </c>
      <c r="D494" s="102">
        <f t="shared" si="191"/>
        <v>2.077402888027116</v>
      </c>
      <c r="E494" s="103">
        <f t="shared" si="192"/>
        <v>1.0685789663891787</v>
      </c>
      <c r="F494" s="101">
        <f t="shared" si="193"/>
        <v>21075.713608255192</v>
      </c>
      <c r="G494" s="104">
        <f t="shared" si="194"/>
        <v>1.570748878816671</v>
      </c>
      <c r="H494" s="113">
        <f t="shared" si="195"/>
        <v>2634.4643878583065</v>
      </c>
      <c r="I494" s="114">
        <f t="shared" si="196"/>
        <v>1.570416742987037</v>
      </c>
      <c r="J494" s="101">
        <f t="shared" si="197"/>
        <v>4.0011897049128748</v>
      </c>
      <c r="K494" s="104">
        <f t="shared" si="198"/>
        <v>1.3181928431798142</v>
      </c>
      <c r="L494" s="102">
        <f t="shared" si="199"/>
        <v>1</v>
      </c>
      <c r="M494" s="103">
        <f t="shared" si="200"/>
        <v>2.5182378363869997E-9</v>
      </c>
      <c r="N494" s="101">
        <f t="shared" si="201"/>
        <v>1</v>
      </c>
      <c r="O494" s="104">
        <f t="shared" si="202"/>
        <v>3.3576504485159994E-10</v>
      </c>
      <c r="P494" s="105">
        <f t="shared" ca="1" si="203"/>
        <v>3.4348200523798367</v>
      </c>
      <c r="Q494" s="106">
        <f t="shared" ca="1" si="204"/>
        <v>1.3893550004507467</v>
      </c>
      <c r="R494" s="107">
        <f t="shared" ca="1" si="205"/>
        <v>-33.871946915811662</v>
      </c>
      <c r="S494" s="108">
        <f t="shared" ca="1" si="206"/>
        <v>-183.9083615918498</v>
      </c>
      <c r="T494" s="116">
        <f t="shared" ca="1" si="207"/>
        <v>-3.9083615918497969</v>
      </c>
      <c r="V494" s="72">
        <f t="shared" ca="1" si="208"/>
        <v>61660</v>
      </c>
      <c r="W494" s="72">
        <f t="shared" si="209"/>
        <v>3801955600</v>
      </c>
      <c r="Y494" s="110">
        <f t="shared" si="210"/>
        <v>33.976817675408576</v>
      </c>
      <c r="Z494" s="111">
        <f t="shared" si="211"/>
        <v>-75.545916441094164</v>
      </c>
      <c r="AA494" s="72">
        <f t="shared" si="212"/>
        <v>104.45408355890584</v>
      </c>
      <c r="AB494" s="110">
        <f t="shared" ca="1" si="213"/>
        <v>-50.347539323386236</v>
      </c>
      <c r="AC494" s="111">
        <f t="shared" ca="1" si="214"/>
        <v>-108.36244515075565</v>
      </c>
      <c r="AD494" s="72">
        <f t="shared" ca="1" si="215"/>
        <v>71.637554849244353</v>
      </c>
    </row>
    <row r="495" spans="1:30">
      <c r="A495" s="118">
        <v>62019</v>
      </c>
      <c r="B495" s="101">
        <f t="shared" ca="1" si="189"/>
        <v>3457.5076858899829</v>
      </c>
      <c r="C495" s="102">
        <f t="shared" ca="1" si="190"/>
        <v>1.5705071011142067</v>
      </c>
      <c r="D495" s="102">
        <f t="shared" si="191"/>
        <v>2.0867016310002588</v>
      </c>
      <c r="E495" s="103">
        <f t="shared" si="192"/>
        <v>1.0710246007118314</v>
      </c>
      <c r="F495" s="101">
        <f t="shared" si="193"/>
        <v>21198.421703752741</v>
      </c>
      <c r="G495" s="104">
        <f t="shared" si="194"/>
        <v>1.5707491534716018</v>
      </c>
      <c r="H495" s="113">
        <f t="shared" si="195"/>
        <v>2649.8028987140465</v>
      </c>
      <c r="I495" s="114">
        <f t="shared" si="196"/>
        <v>1.5704189402261741</v>
      </c>
      <c r="J495" s="101">
        <f t="shared" si="197"/>
        <v>4.0230344558269842</v>
      </c>
      <c r="K495" s="104">
        <f t="shared" si="198"/>
        <v>1.3195941446050503</v>
      </c>
      <c r="L495" s="102">
        <f t="shared" si="199"/>
        <v>1</v>
      </c>
      <c r="M495" s="103">
        <f t="shared" si="200"/>
        <v>2.5328996492845497E-9</v>
      </c>
      <c r="N495" s="101">
        <f t="shared" si="201"/>
        <v>1</v>
      </c>
      <c r="O495" s="104">
        <f t="shared" si="202"/>
        <v>3.3771995323793997E-10</v>
      </c>
      <c r="P495" s="105">
        <f t="shared" ca="1" si="203"/>
        <v>3.453375138001185</v>
      </c>
      <c r="Q495" s="106">
        <f t="shared" ca="1" si="204"/>
        <v>1.3916474294068553</v>
      </c>
      <c r="R495" s="107">
        <f t="shared" ca="1" si="205"/>
        <v>-33.977666766678226</v>
      </c>
      <c r="S495" s="108">
        <f t="shared" ca="1" si="206"/>
        <v>-183.97985855474141</v>
      </c>
      <c r="T495" s="116">
        <f t="shared" ca="1" si="207"/>
        <v>-3.979858554741412</v>
      </c>
      <c r="V495" s="72">
        <f t="shared" ca="1" si="208"/>
        <v>62019</v>
      </c>
      <c r="W495" s="72">
        <f t="shared" si="209"/>
        <v>3846356361</v>
      </c>
      <c r="Y495" s="110">
        <f t="shared" si="210"/>
        <v>33.929525478910499</v>
      </c>
      <c r="Z495" s="111">
        <f t="shared" si="211"/>
        <v>-75.626094941988626</v>
      </c>
      <c r="AA495" s="72">
        <f t="shared" si="212"/>
        <v>104.37390505801137</v>
      </c>
      <c r="AB495" s="110">
        <f t="shared" ca="1" si="213"/>
        <v>-50.40596697775473</v>
      </c>
      <c r="AC495" s="111">
        <f t="shared" ca="1" si="214"/>
        <v>-108.35376361275273</v>
      </c>
      <c r="AD495" s="72">
        <f t="shared" ca="1" si="215"/>
        <v>71.646236387247271</v>
      </c>
    </row>
    <row r="496" spans="1:30">
      <c r="A496" s="118">
        <v>62378</v>
      </c>
      <c r="B496" s="101">
        <f t="shared" ca="1" si="189"/>
        <v>3477.5216357392437</v>
      </c>
      <c r="C496" s="102">
        <f t="shared" ca="1" si="190"/>
        <v>1.5705087656756487</v>
      </c>
      <c r="D496" s="102">
        <f t="shared" si="191"/>
        <v>2.0960127440182514</v>
      </c>
      <c r="E496" s="103">
        <f t="shared" si="192"/>
        <v>1.0734485209527274</v>
      </c>
      <c r="F496" s="101">
        <f t="shared" si="193"/>
        <v>21321.129799251878</v>
      </c>
      <c r="G496" s="104">
        <f t="shared" si="194"/>
        <v>1.5707494249651257</v>
      </c>
      <c r="H496" s="113">
        <f t="shared" si="195"/>
        <v>2665.141409582433</v>
      </c>
      <c r="I496" s="114">
        <f t="shared" si="196"/>
        <v>1.570421112174063</v>
      </c>
      <c r="J496" s="101">
        <f t="shared" si="197"/>
        <v>4.0448870212191315</v>
      </c>
      <c r="K496" s="104">
        <f t="shared" si="198"/>
        <v>1.3209803076220363</v>
      </c>
      <c r="L496" s="102">
        <f t="shared" si="199"/>
        <v>1</v>
      </c>
      <c r="M496" s="103">
        <f t="shared" si="200"/>
        <v>2.5475614621820997E-9</v>
      </c>
      <c r="N496" s="101">
        <f t="shared" si="201"/>
        <v>1</v>
      </c>
      <c r="O496" s="104">
        <f t="shared" si="202"/>
        <v>3.3967486162427994E-10</v>
      </c>
      <c r="P496" s="105">
        <f t="shared" ca="1" si="203"/>
        <v>3.4719436423808645</v>
      </c>
      <c r="Q496" s="106">
        <f t="shared" ca="1" si="204"/>
        <v>1.3939226519766017</v>
      </c>
      <c r="R496" s="107">
        <f t="shared" ca="1" si="205"/>
        <v>-34.082760285059656</v>
      </c>
      <c r="S496" s="108">
        <f t="shared" ca="1" si="206"/>
        <v>-184.05074658003554</v>
      </c>
      <c r="T496" s="116">
        <f t="shared" ca="1" si="207"/>
        <v>-4.0507465800355362</v>
      </c>
      <c r="V496" s="72">
        <f t="shared" ca="1" si="208"/>
        <v>62378</v>
      </c>
      <c r="W496" s="72">
        <f t="shared" si="209"/>
        <v>3891014884</v>
      </c>
      <c r="Y496" s="110">
        <f t="shared" si="210"/>
        <v>33.882472600617987</v>
      </c>
      <c r="Z496" s="111">
        <f t="shared" si="211"/>
        <v>-75.705407343927376</v>
      </c>
      <c r="AA496" s="72">
        <f t="shared" si="212"/>
        <v>104.29459265607262</v>
      </c>
      <c r="AB496" s="110">
        <f t="shared" ca="1" si="213"/>
        <v>-50.464007617843635</v>
      </c>
      <c r="AC496" s="111">
        <f t="shared" ca="1" si="214"/>
        <v>-108.34533923610819</v>
      </c>
      <c r="AD496" s="72">
        <f t="shared" ca="1" si="215"/>
        <v>71.654660763891812</v>
      </c>
    </row>
    <row r="497" spans="1:30">
      <c r="A497" s="118">
        <v>62737</v>
      </c>
      <c r="B497" s="101">
        <f t="shared" ca="1" si="189"/>
        <v>3497.5355855980288</v>
      </c>
      <c r="C497" s="102">
        <f t="shared" ca="1" si="190"/>
        <v>1.5705104111868489</v>
      </c>
      <c r="D497" s="102">
        <f t="shared" si="191"/>
        <v>2.1053360629568725</v>
      </c>
      <c r="E497" s="103">
        <f t="shared" si="192"/>
        <v>1.0758509869161417</v>
      </c>
      <c r="F497" s="101">
        <f t="shared" si="193"/>
        <v>21443.837894752563</v>
      </c>
      <c r="G497" s="104">
        <f t="shared" si="194"/>
        <v>1.5707496933515144</v>
      </c>
      <c r="H497" s="113">
        <f t="shared" si="195"/>
        <v>2680.4799204632473</v>
      </c>
      <c r="I497" s="114">
        <f t="shared" si="196"/>
        <v>1.5704232592648761</v>
      </c>
      <c r="J497" s="101">
        <f t="shared" si="197"/>
        <v>4.0667472751166098</v>
      </c>
      <c r="K497" s="104">
        <f t="shared" si="198"/>
        <v>1.3223515709839533</v>
      </c>
      <c r="L497" s="102">
        <f t="shared" si="199"/>
        <v>1</v>
      </c>
      <c r="M497" s="103">
        <f t="shared" si="200"/>
        <v>2.5622232750796497E-9</v>
      </c>
      <c r="N497" s="101">
        <f t="shared" si="201"/>
        <v>1</v>
      </c>
      <c r="O497" s="104">
        <f t="shared" si="202"/>
        <v>3.4162977001061996E-10</v>
      </c>
      <c r="P497" s="105">
        <f t="shared" ca="1" si="203"/>
        <v>3.4905254503039287</v>
      </c>
      <c r="Q497" s="106">
        <f t="shared" ca="1" si="204"/>
        <v>1.3961809283146112</v>
      </c>
      <c r="R497" s="107">
        <f t="shared" ca="1" si="205"/>
        <v>-34.187234711544612</v>
      </c>
      <c r="S497" s="108">
        <f t="shared" ca="1" si="206"/>
        <v>-184.12103936465374</v>
      </c>
      <c r="T497" s="116">
        <f t="shared" ca="1" si="207"/>
        <v>-4.1210393646537398</v>
      </c>
      <c r="V497" s="72">
        <f t="shared" ca="1" si="208"/>
        <v>62737</v>
      </c>
      <c r="W497" s="72">
        <f t="shared" si="209"/>
        <v>3935931169</v>
      </c>
      <c r="Y497" s="110">
        <f t="shared" si="210"/>
        <v>33.835656821355307</v>
      </c>
      <c r="Z497" s="111">
        <f t="shared" si="211"/>
        <v>-75.78386730469326</v>
      </c>
      <c r="AA497" s="72">
        <f t="shared" si="212"/>
        <v>104.21613269530674</v>
      </c>
      <c r="AB497" s="110">
        <f t="shared" ca="1" si="213"/>
        <v>-50.521666265065917</v>
      </c>
      <c r="AC497" s="111">
        <f t="shared" ca="1" si="214"/>
        <v>-108.33717205996048</v>
      </c>
      <c r="AD497" s="72">
        <f t="shared" ca="1" si="215"/>
        <v>71.66282794003952</v>
      </c>
    </row>
    <row r="498" spans="1:30">
      <c r="A498" s="118">
        <v>63096</v>
      </c>
      <c r="B498" s="101">
        <f t="shared" ca="1" si="189"/>
        <v>3517.5495354661766</v>
      </c>
      <c r="C498" s="102">
        <f t="shared" ca="1" si="190"/>
        <v>1.5705120379729802</v>
      </c>
      <c r="D498" s="102">
        <f t="shared" si="191"/>
        <v>2.1146714263730453</v>
      </c>
      <c r="E498" s="103">
        <f t="shared" si="192"/>
        <v>1.0782322548183221</v>
      </c>
      <c r="F498" s="101">
        <f t="shared" si="193"/>
        <v>21566.545990254777</v>
      </c>
      <c r="G498" s="104">
        <f t="shared" si="194"/>
        <v>1.5707499586838041</v>
      </c>
      <c r="H498" s="113">
        <f t="shared" si="195"/>
        <v>2695.8184313562783</v>
      </c>
      <c r="I498" s="114">
        <f t="shared" si="196"/>
        <v>1.5704253819229046</v>
      </c>
      <c r="J498" s="101">
        <f t="shared" si="197"/>
        <v>4.0886150941969701</v>
      </c>
      <c r="K498" s="104">
        <f t="shared" si="198"/>
        <v>1.3237081685629675</v>
      </c>
      <c r="L498" s="102">
        <f t="shared" si="199"/>
        <v>1</v>
      </c>
      <c r="M498" s="103">
        <f t="shared" si="200"/>
        <v>2.5768850879771997E-9</v>
      </c>
      <c r="N498" s="101">
        <f t="shared" si="201"/>
        <v>1</v>
      </c>
      <c r="O498" s="104">
        <f t="shared" si="202"/>
        <v>3.4358467839695993E-10</v>
      </c>
      <c r="P498" s="105">
        <f t="shared" ca="1" si="203"/>
        <v>3.5091204494116472</v>
      </c>
      <c r="Q498" s="106">
        <f t="shared" ca="1" si="204"/>
        <v>1.3984225134762966</v>
      </c>
      <c r="R498" s="107">
        <f t="shared" ca="1" si="205"/>
        <v>-34.291097169995517</v>
      </c>
      <c r="S498" s="108">
        <f t="shared" ca="1" si="206"/>
        <v>-184.1907502393328</v>
      </c>
      <c r="T498" s="116">
        <f t="shared" ca="1" si="207"/>
        <v>-4.1907502393328002</v>
      </c>
      <c r="V498" s="72">
        <f t="shared" ca="1" si="208"/>
        <v>63096</v>
      </c>
      <c r="W498" s="72">
        <f t="shared" si="209"/>
        <v>3981105216</v>
      </c>
      <c r="Y498" s="110">
        <f t="shared" si="210"/>
        <v>33.789075949210051</v>
      </c>
      <c r="Z498" s="111">
        <f t="shared" si="211"/>
        <v>-75.861488202903047</v>
      </c>
      <c r="AA498" s="72">
        <f t="shared" si="212"/>
        <v>104.13851179709695</v>
      </c>
      <c r="AB498" s="110">
        <f t="shared" ca="1" si="213"/>
        <v>-50.578947851371574</v>
      </c>
      <c r="AC498" s="111">
        <f t="shared" ca="1" si="214"/>
        <v>-108.32926203642978</v>
      </c>
      <c r="AD498" s="72">
        <f t="shared" ca="1" si="215"/>
        <v>71.670737963570218</v>
      </c>
    </row>
    <row r="499" spans="1:30">
      <c r="A499" s="118">
        <v>63463.25</v>
      </c>
      <c r="B499" s="101">
        <f t="shared" ca="1" si="189"/>
        <v>3538.0234159466663</v>
      </c>
      <c r="C499" s="102">
        <f t="shared" ca="1" si="190"/>
        <v>1.5705136830993214</v>
      </c>
      <c r="D499" s="102">
        <f t="shared" si="191"/>
        <v>2.1242336183902268</v>
      </c>
      <c r="E499" s="103">
        <f t="shared" si="192"/>
        <v>1.0806465745140268</v>
      </c>
      <c r="F499" s="101">
        <f t="shared" si="193"/>
        <v>21692.073979318138</v>
      </c>
      <c r="G499" s="104">
        <f t="shared" si="194"/>
        <v>1.570750227007421</v>
      </c>
      <c r="H499" s="113">
        <f t="shared" si="195"/>
        <v>2711.5094289326739</v>
      </c>
      <c r="I499" s="114">
        <f t="shared" si="196"/>
        <v>1.5704275285115499</v>
      </c>
      <c r="J499" s="101">
        <f t="shared" si="197"/>
        <v>4.110993148806048</v>
      </c>
      <c r="K499" s="104">
        <f t="shared" si="198"/>
        <v>1.325081005096947</v>
      </c>
      <c r="L499" s="102">
        <f t="shared" si="199"/>
        <v>1</v>
      </c>
      <c r="M499" s="103">
        <f t="shared" si="200"/>
        <v>2.5918838366864622E-9</v>
      </c>
      <c r="N499" s="101">
        <f t="shared" si="201"/>
        <v>1</v>
      </c>
      <c r="O499" s="104">
        <f t="shared" si="202"/>
        <v>3.4558451155819495E-10</v>
      </c>
      <c r="P499" s="105">
        <f t="shared" ca="1" si="203"/>
        <v>3.5281563060684404</v>
      </c>
      <c r="Q499" s="106">
        <f t="shared" ca="1" si="204"/>
        <v>1.4006986011627203</v>
      </c>
      <c r="R499" s="107">
        <f t="shared" ca="1" si="205"/>
        <v>-34.396720522983934</v>
      </c>
      <c r="S499" s="108">
        <f t="shared" ca="1" si="206"/>
        <v>-184.26147450943898</v>
      </c>
      <c r="T499" s="116">
        <f t="shared" ca="1" si="207"/>
        <v>-4.2614745094389832</v>
      </c>
      <c r="V499" s="72">
        <f t="shared" ca="1" si="208"/>
        <v>63463.25</v>
      </c>
      <c r="W499" s="72">
        <f t="shared" si="209"/>
        <v>4027584100.5625</v>
      </c>
      <c r="Y499" s="110">
        <f t="shared" si="210"/>
        <v>33.741665434632445</v>
      </c>
      <c r="Z499" s="111">
        <f t="shared" si="211"/>
        <v>-75.940038324947494</v>
      </c>
      <c r="AA499" s="72">
        <f t="shared" si="212"/>
        <v>104.05996167505251</v>
      </c>
      <c r="AB499" s="110">
        <f t="shared" ca="1" si="213"/>
        <v>-50.637160689782377</v>
      </c>
      <c r="AC499" s="111">
        <f t="shared" ca="1" si="214"/>
        <v>-108.32143618449155</v>
      </c>
      <c r="AD499" s="72">
        <f t="shared" ca="1" si="215"/>
        <v>71.678563815508454</v>
      </c>
    </row>
    <row r="500" spans="1:30">
      <c r="A500" s="118">
        <v>63830.5</v>
      </c>
      <c r="B500" s="101">
        <f t="shared" ca="1" si="189"/>
        <v>3558.4972964366211</v>
      </c>
      <c r="C500" s="102">
        <f t="shared" ca="1" si="190"/>
        <v>1.5705153092951325</v>
      </c>
      <c r="D500" s="102">
        <f t="shared" si="191"/>
        <v>2.1338080814202804</v>
      </c>
      <c r="E500" s="103">
        <f t="shared" si="192"/>
        <v>1.0830392417977091</v>
      </c>
      <c r="F500" s="101">
        <f t="shared" si="193"/>
        <v>21817.601968383038</v>
      </c>
      <c r="G500" s="104">
        <f t="shared" si="194"/>
        <v>1.5707504922434277</v>
      </c>
      <c r="H500" s="113">
        <f t="shared" si="195"/>
        <v>2727.20042652142</v>
      </c>
      <c r="I500" s="114">
        <f t="shared" si="196"/>
        <v>1.5704296503993211</v>
      </c>
      <c r="J500" s="101">
        <f t="shared" si="197"/>
        <v>4.1333788674197232</v>
      </c>
      <c r="K500" s="104">
        <f t="shared" si="198"/>
        <v>1.3264389740411822</v>
      </c>
      <c r="L500" s="102">
        <f t="shared" si="199"/>
        <v>1</v>
      </c>
      <c r="M500" s="103">
        <f t="shared" si="200"/>
        <v>2.6068825853957247E-9</v>
      </c>
      <c r="N500" s="101">
        <f t="shared" si="201"/>
        <v>1</v>
      </c>
      <c r="O500" s="104">
        <f t="shared" si="202"/>
        <v>3.4758434471942998E-10</v>
      </c>
      <c r="P500" s="105">
        <f t="shared" ca="1" si="203"/>
        <v>3.5472057381376167</v>
      </c>
      <c r="Q500" s="106">
        <f t="shared" ca="1" si="204"/>
        <v>1.4029577458471565</v>
      </c>
      <c r="R500" s="107">
        <f t="shared" ca="1" si="205"/>
        <v>-34.50171817535491</v>
      </c>
      <c r="S500" s="108">
        <f t="shared" ca="1" si="206"/>
        <v>-184.33161691242898</v>
      </c>
      <c r="T500" s="116">
        <f t="shared" ca="1" si="207"/>
        <v>-4.3316169124289843</v>
      </c>
      <c r="V500" s="72">
        <f t="shared" ca="1" si="208"/>
        <v>63830.5</v>
      </c>
      <c r="W500" s="72">
        <f t="shared" si="209"/>
        <v>4074332730.25</v>
      </c>
      <c r="Y500" s="110">
        <f t="shared" si="210"/>
        <v>33.69449619328384</v>
      </c>
      <c r="Z500" s="111">
        <f t="shared" si="211"/>
        <v>-76.017737835195874</v>
      </c>
      <c r="AA500" s="72">
        <f t="shared" si="212"/>
        <v>103.98226216480413</v>
      </c>
      <c r="AB500" s="110">
        <f t="shared" ca="1" si="213"/>
        <v>-50.694989100804747</v>
      </c>
      <c r="AC500" s="111">
        <f t="shared" ca="1" si="214"/>
        <v>-108.31387907723312</v>
      </c>
      <c r="AD500" s="72">
        <f t="shared" ca="1" si="215"/>
        <v>71.686120922766875</v>
      </c>
    </row>
    <row r="501" spans="1:30">
      <c r="A501" s="118">
        <v>64197.75</v>
      </c>
      <c r="B501" s="101">
        <f t="shared" ca="1" si="189"/>
        <v>3578.9711769358792</v>
      </c>
      <c r="C501" s="102">
        <f t="shared" ca="1" si="190"/>
        <v>1.5705169168852957</v>
      </c>
      <c r="D501" s="102">
        <f t="shared" si="191"/>
        <v>2.1433946510207584</v>
      </c>
      <c r="E501" s="103">
        <f t="shared" si="192"/>
        <v>1.0854105196176298</v>
      </c>
      <c r="F501" s="101">
        <f t="shared" si="193"/>
        <v>21943.129957449455</v>
      </c>
      <c r="G501" s="104">
        <f t="shared" si="194"/>
        <v>1.5707507544448132</v>
      </c>
      <c r="H501" s="113">
        <f t="shared" si="195"/>
        <v>2742.8914241223047</v>
      </c>
      <c r="I501" s="114">
        <f t="shared" si="196"/>
        <v>1.5704317480101302</v>
      </c>
      <c r="J501" s="101">
        <f t="shared" si="197"/>
        <v>4.155772126187907</v>
      </c>
      <c r="K501" s="104">
        <f t="shared" si="198"/>
        <v>1.3277823106871174</v>
      </c>
      <c r="L501" s="102">
        <f t="shared" si="199"/>
        <v>1</v>
      </c>
      <c r="M501" s="103">
        <f t="shared" si="200"/>
        <v>2.6218813341049872E-9</v>
      </c>
      <c r="N501" s="101">
        <f t="shared" si="201"/>
        <v>1</v>
      </c>
      <c r="O501" s="104">
        <f t="shared" si="202"/>
        <v>3.4958417788066494E-10</v>
      </c>
      <c r="P501" s="105">
        <f t="shared" ca="1" si="203"/>
        <v>3.5662686341566725</v>
      </c>
      <c r="Q501" s="106">
        <f t="shared" ca="1" si="204"/>
        <v>1.4052002047805667</v>
      </c>
      <c r="R501" s="107">
        <f t="shared" ca="1" si="205"/>
        <v>-34.606097389139507</v>
      </c>
      <c r="S501" s="108">
        <f t="shared" ca="1" si="206"/>
        <v>-184.40119060044034</v>
      </c>
      <c r="T501" s="116">
        <f t="shared" ca="1" si="207"/>
        <v>-4.4011906004403443</v>
      </c>
      <c r="V501" s="72">
        <f t="shared" ca="1" si="208"/>
        <v>64197.75</v>
      </c>
      <c r="W501" s="72">
        <f t="shared" si="209"/>
        <v>4121351105.0625</v>
      </c>
      <c r="Y501" s="110">
        <f t="shared" si="210"/>
        <v>33.647565964891193</v>
      </c>
      <c r="Z501" s="111">
        <f t="shared" si="211"/>
        <v>-76.094600193602616</v>
      </c>
      <c r="AA501" s="72">
        <f t="shared" si="212"/>
        <v>103.90539980639738</v>
      </c>
      <c r="AB501" s="110">
        <f t="shared" ca="1" si="213"/>
        <v>-50.75243808619669</v>
      </c>
      <c r="AC501" s="111">
        <f t="shared" ca="1" si="214"/>
        <v>-108.30659040683771</v>
      </c>
      <c r="AD501" s="72">
        <f t="shared" ca="1" si="215"/>
        <v>71.693409593162286</v>
      </c>
    </row>
    <row r="502" spans="1:30">
      <c r="A502" s="118">
        <v>64565</v>
      </c>
      <c r="B502" s="101">
        <f t="shared" ca="1" si="189"/>
        <v>3599.4450574442808</v>
      </c>
      <c r="C502" s="102">
        <f t="shared" ca="1" si="190"/>
        <v>1.5705185061873017</v>
      </c>
      <c r="D502" s="102">
        <f t="shared" si="191"/>
        <v>2.1529931654719521</v>
      </c>
      <c r="E502" s="103">
        <f t="shared" si="192"/>
        <v>1.0877606672040008</v>
      </c>
      <c r="F502" s="101">
        <f t="shared" si="193"/>
        <v>22068.657946517367</v>
      </c>
      <c r="G502" s="104">
        <f t="shared" si="194"/>
        <v>1.5707510136633611</v>
      </c>
      <c r="H502" s="113">
        <f t="shared" si="195"/>
        <v>2758.5824217351205</v>
      </c>
      <c r="I502" s="114">
        <f t="shared" si="196"/>
        <v>1.5704338217582436</v>
      </c>
      <c r="J502" s="101">
        <f t="shared" si="197"/>
        <v>4.1781728038743768</v>
      </c>
      <c r="K502" s="104">
        <f t="shared" si="198"/>
        <v>1.3291112454940681</v>
      </c>
      <c r="L502" s="102">
        <f t="shared" si="199"/>
        <v>1</v>
      </c>
      <c r="M502" s="103">
        <f t="shared" si="200"/>
        <v>2.6368800828142496E-9</v>
      </c>
      <c r="N502" s="101">
        <f t="shared" si="201"/>
        <v>1</v>
      </c>
      <c r="O502" s="104">
        <f t="shared" si="202"/>
        <v>3.5158401104189997E-10</v>
      </c>
      <c r="P502" s="105">
        <f t="shared" ca="1" si="203"/>
        <v>3.5853448854899486</v>
      </c>
      <c r="Q502" s="106">
        <f t="shared" ca="1" si="204"/>
        <v>1.4074262301376765</v>
      </c>
      <c r="R502" s="107">
        <f t="shared" ca="1" si="205"/>
        <v>-34.70986530838583</v>
      </c>
      <c r="S502" s="108">
        <f t="shared" ca="1" si="206"/>
        <v>-184.47020837099166</v>
      </c>
      <c r="T502" s="116">
        <f t="shared" ca="1" si="207"/>
        <v>-4.4702083709916565</v>
      </c>
      <c r="V502" s="72">
        <f t="shared" ca="1" si="208"/>
        <v>64565</v>
      </c>
      <c r="W502" s="72">
        <f t="shared" si="209"/>
        <v>4168639225</v>
      </c>
      <c r="Y502" s="110">
        <f t="shared" si="210"/>
        <v>33.600872517485854</v>
      </c>
      <c r="Z502" s="111">
        <f t="shared" si="211"/>
        <v>-76.170638583745145</v>
      </c>
      <c r="AA502" s="72">
        <f t="shared" si="212"/>
        <v>103.82936141625486</v>
      </c>
      <c r="AB502" s="110">
        <f t="shared" ca="1" si="213"/>
        <v>-50.809512558037682</v>
      </c>
      <c r="AC502" s="111">
        <f t="shared" ca="1" si="214"/>
        <v>-108.29956978724657</v>
      </c>
      <c r="AD502" s="72">
        <f t="shared" ca="1" si="215"/>
        <v>71.700430212753432</v>
      </c>
    </row>
    <row r="503" spans="1:30">
      <c r="A503" s="118">
        <v>64941</v>
      </c>
      <c r="B503" s="101">
        <f t="shared" ca="1" si="189"/>
        <v>3620.4067431476942</v>
      </c>
      <c r="C503" s="102">
        <f t="shared" ca="1" si="190"/>
        <v>1.5705201147326446</v>
      </c>
      <c r="D503" s="102">
        <f t="shared" si="191"/>
        <v>2.1628325806173994</v>
      </c>
      <c r="E503" s="103">
        <f t="shared" si="192"/>
        <v>1.0901451842313654</v>
      </c>
      <c r="F503" s="101">
        <f t="shared" si="193"/>
        <v>22197.176731786509</v>
      </c>
      <c r="G503" s="104">
        <f t="shared" si="194"/>
        <v>1.5707512760205382</v>
      </c>
      <c r="H503" s="113">
        <f t="shared" si="195"/>
        <v>2774.6472688607319</v>
      </c>
      <c r="I503" s="114">
        <f t="shared" si="196"/>
        <v>1.5704359206153899</v>
      </c>
      <c r="J503" s="101">
        <f t="shared" si="197"/>
        <v>4.2011147563386428</v>
      </c>
      <c r="K503" s="104">
        <f t="shared" si="198"/>
        <v>1.3304571582254916</v>
      </c>
      <c r="L503" s="102">
        <f t="shared" si="199"/>
        <v>1</v>
      </c>
      <c r="M503" s="103">
        <f t="shared" si="200"/>
        <v>2.6522361876874496E-9</v>
      </c>
      <c r="N503" s="101">
        <f t="shared" si="201"/>
        <v>1</v>
      </c>
      <c r="O503" s="104">
        <f t="shared" si="202"/>
        <v>3.5363149169165995E-10</v>
      </c>
      <c r="P503" s="105">
        <f t="shared" ca="1" si="203"/>
        <v>3.604889368328215</v>
      </c>
      <c r="Q503" s="106">
        <f t="shared" ca="1" si="204"/>
        <v>1.4096885247519571</v>
      </c>
      <c r="R503" s="107">
        <f t="shared" ca="1" si="205"/>
        <v>-34.815479598112454</v>
      </c>
      <c r="S503" s="108">
        <f t="shared" ca="1" si="206"/>
        <v>-184.54030760014314</v>
      </c>
      <c r="T503" s="116">
        <f t="shared" ca="1" si="207"/>
        <v>-4.5403076001431373</v>
      </c>
      <c r="V503" s="72">
        <f t="shared" ca="1" si="208"/>
        <v>64941</v>
      </c>
      <c r="W503" s="72">
        <f t="shared" si="209"/>
        <v>4217333481</v>
      </c>
      <c r="Y503" s="110">
        <f t="shared" si="210"/>
        <v>33.553309573532715</v>
      </c>
      <c r="Z503" s="111">
        <f t="shared" si="211"/>
        <v>-76.247648478476762</v>
      </c>
      <c r="AA503" s="72">
        <f t="shared" si="212"/>
        <v>103.75235152152324</v>
      </c>
      <c r="AB503" s="110">
        <f t="shared" ca="1" si="213"/>
        <v>-50.867563903811174</v>
      </c>
      <c r="AC503" s="111">
        <f t="shared" ca="1" si="214"/>
        <v>-108.29265912166635</v>
      </c>
      <c r="AD503" s="72">
        <f t="shared" ca="1" si="215"/>
        <v>71.707340878333653</v>
      </c>
    </row>
    <row r="504" spans="1:30">
      <c r="A504" s="118">
        <v>65317</v>
      </c>
      <c r="B504" s="101">
        <f t="shared" ca="1" si="189"/>
        <v>3641.3684288603677</v>
      </c>
      <c r="C504" s="102">
        <f t="shared" ca="1" si="190"/>
        <v>1.5705217047586741</v>
      </c>
      <c r="D504" s="102">
        <f t="shared" si="191"/>
        <v>2.1726841820335125</v>
      </c>
      <c r="E504" s="103">
        <f t="shared" si="192"/>
        <v>1.0925080903626547</v>
      </c>
      <c r="F504" s="101">
        <f t="shared" si="193"/>
        <v>22325.69551705716</v>
      </c>
      <c r="G504" s="104">
        <f t="shared" si="194"/>
        <v>1.5707515353571755</v>
      </c>
      <c r="H504" s="113">
        <f t="shared" si="195"/>
        <v>2790.7121159984254</v>
      </c>
      <c r="I504" s="114">
        <f t="shared" si="196"/>
        <v>1.5704379953082244</v>
      </c>
      <c r="J504" s="101">
        <f t="shared" si="197"/>
        <v>4.224064236368573</v>
      </c>
      <c r="K504" s="104">
        <f t="shared" si="198"/>
        <v>1.3317884485703957</v>
      </c>
      <c r="L504" s="102">
        <f t="shared" si="199"/>
        <v>1</v>
      </c>
      <c r="M504" s="103">
        <f t="shared" si="200"/>
        <v>2.6675922925606496E-9</v>
      </c>
      <c r="N504" s="101">
        <f t="shared" si="201"/>
        <v>1</v>
      </c>
      <c r="O504" s="104">
        <f t="shared" si="202"/>
        <v>3.5567897234141994E-10</v>
      </c>
      <c r="P504" s="105">
        <f t="shared" ca="1" si="203"/>
        <v>3.6244476287771352</v>
      </c>
      <c r="Q504" s="106">
        <f t="shared" ca="1" si="204"/>
        <v>1.4119341125549607</v>
      </c>
      <c r="R504" s="107">
        <f t="shared" ca="1" si="205"/>
        <v>-34.920467903865806</v>
      </c>
      <c r="S504" s="108">
        <f t="shared" ca="1" si="206"/>
        <v>-184.60985016199166</v>
      </c>
      <c r="T504" s="116">
        <f t="shared" ca="1" si="207"/>
        <v>-4.609850161991659</v>
      </c>
      <c r="V504" s="72">
        <f t="shared" ca="1" si="208"/>
        <v>65317</v>
      </c>
      <c r="W504" s="72">
        <f t="shared" si="209"/>
        <v>4266310489</v>
      </c>
      <c r="Y504" s="110">
        <f t="shared" si="210"/>
        <v>33.50599018225865</v>
      </c>
      <c r="Z504" s="111">
        <f t="shared" si="211"/>
        <v>-76.323821783622407</v>
      </c>
      <c r="AA504" s="72">
        <f t="shared" si="212"/>
        <v>103.67617821637759</v>
      </c>
      <c r="AB504" s="110">
        <f t="shared" ca="1" si="213"/>
        <v>-50.925232818290453</v>
      </c>
      <c r="AC504" s="111">
        <f t="shared" ca="1" si="214"/>
        <v>-108.28602837836929</v>
      </c>
      <c r="AD504" s="72">
        <f t="shared" ca="1" si="215"/>
        <v>71.713971621630705</v>
      </c>
    </row>
    <row r="505" spans="1:30">
      <c r="A505" s="118">
        <v>65693</v>
      </c>
      <c r="B505" s="101">
        <f t="shared" ca="1" si="189"/>
        <v>3662.330114582142</v>
      </c>
      <c r="C505" s="102">
        <f t="shared" ca="1" si="190"/>
        <v>1.5705232765833812</v>
      </c>
      <c r="D505" s="102">
        <f t="shared" si="191"/>
        <v>2.182547804700846</v>
      </c>
      <c r="E505" s="103">
        <f t="shared" si="192"/>
        <v>1.0948496520316164</v>
      </c>
      <c r="F505" s="101">
        <f t="shared" si="193"/>
        <v>22454.214302329296</v>
      </c>
      <c r="G505" s="104">
        <f t="shared" si="194"/>
        <v>1.5707517917251379</v>
      </c>
      <c r="H505" s="113">
        <f t="shared" si="195"/>
        <v>2806.7769631479937</v>
      </c>
      <c r="I505" s="114">
        <f t="shared" si="196"/>
        <v>1.5704400462516666</v>
      </c>
      <c r="J505" s="101">
        <f t="shared" si="197"/>
        <v>4.2470211219348357</v>
      </c>
      <c r="K505" s="104">
        <f t="shared" si="198"/>
        <v>1.3331053488910791</v>
      </c>
      <c r="L505" s="102">
        <f t="shared" si="199"/>
        <v>1</v>
      </c>
      <c r="M505" s="103">
        <f t="shared" si="200"/>
        <v>2.68294839743385E-9</v>
      </c>
      <c r="N505" s="101">
        <f t="shared" si="201"/>
        <v>1</v>
      </c>
      <c r="O505" s="104">
        <f t="shared" si="202"/>
        <v>3.5772645299117993E-10</v>
      </c>
      <c r="P505" s="105">
        <f t="shared" ca="1" si="203"/>
        <v>3.6440195590030728</v>
      </c>
      <c r="Q505" s="106">
        <f t="shared" ca="1" si="204"/>
        <v>1.4141632484158486</v>
      </c>
      <c r="R505" s="107">
        <f t="shared" ca="1" si="205"/>
        <v>-35.024837523462033</v>
      </c>
      <c r="S505" s="108">
        <f t="shared" ca="1" si="206"/>
        <v>-184.67884870473245</v>
      </c>
      <c r="T505" s="116">
        <f t="shared" ca="1" si="207"/>
        <v>-4.6788487047324452</v>
      </c>
      <c r="V505" s="72">
        <f t="shared" ca="1" si="208"/>
        <v>65693</v>
      </c>
      <c r="W505" s="72">
        <f t="shared" si="209"/>
        <v>4315570249</v>
      </c>
      <c r="Y505" s="110">
        <f t="shared" si="210"/>
        <v>33.458912038025773</v>
      </c>
      <c r="Z505" s="111">
        <f t="shared" si="211"/>
        <v>-76.399171791759528</v>
      </c>
      <c r="AA505" s="72">
        <f t="shared" si="212"/>
        <v>103.60082820824047</v>
      </c>
      <c r="AB505" s="110">
        <f t="shared" ca="1" si="213"/>
        <v>-50.982524293653803</v>
      </c>
      <c r="AC505" s="111">
        <f t="shared" ca="1" si="214"/>
        <v>-108.2796769129729</v>
      </c>
      <c r="AD505" s="72">
        <f t="shared" ca="1" si="215"/>
        <v>71.720323087027097</v>
      </c>
    </row>
    <row r="506" spans="1:30">
      <c r="A506" s="118">
        <v>66069</v>
      </c>
      <c r="B506" s="101">
        <f t="shared" ca="1" si="189"/>
        <v>3683.2918003128616</v>
      </c>
      <c r="C506" s="102">
        <f t="shared" ca="1" si="190"/>
        <v>1.5705248305175177</v>
      </c>
      <c r="D506" s="102">
        <f t="shared" si="191"/>
        <v>2.1924232863700532</v>
      </c>
      <c r="E506" s="103">
        <f t="shared" si="192"/>
        <v>1.097170131816565</v>
      </c>
      <c r="F506" s="101">
        <f t="shared" si="193"/>
        <v>22582.73308760289</v>
      </c>
      <c r="G506" s="104">
        <f t="shared" si="194"/>
        <v>1.57075204517511</v>
      </c>
      <c r="H506" s="113">
        <f t="shared" si="195"/>
        <v>2822.841810309234</v>
      </c>
      <c r="I506" s="114">
        <f t="shared" si="196"/>
        <v>1.5704420738511915</v>
      </c>
      <c r="J506" s="101">
        <f t="shared" si="197"/>
        <v>4.2699852935934262</v>
      </c>
      <c r="K506" s="104">
        <f t="shared" si="198"/>
        <v>1.3344080867532939</v>
      </c>
      <c r="L506" s="102">
        <f t="shared" si="199"/>
        <v>1</v>
      </c>
      <c r="M506" s="103">
        <f t="shared" si="200"/>
        <v>2.69830450230705E-9</v>
      </c>
      <c r="N506" s="101">
        <f t="shared" si="201"/>
        <v>1</v>
      </c>
      <c r="O506" s="104">
        <f t="shared" si="202"/>
        <v>3.5977393364093997E-10</v>
      </c>
      <c r="P506" s="105">
        <f t="shared" ca="1" si="203"/>
        <v>3.663605053977542</v>
      </c>
      <c r="Q506" s="106">
        <f t="shared" ca="1" si="204"/>
        <v>1.4163761821380814</v>
      </c>
      <c r="R506" s="107">
        <f t="shared" ca="1" si="205"/>
        <v>-35.128595635194337</v>
      </c>
      <c r="S506" s="108">
        <f t="shared" ca="1" si="206"/>
        <v>-184.74731553245414</v>
      </c>
      <c r="T506" s="116">
        <f t="shared" ca="1" si="207"/>
        <v>-4.7473155324541381</v>
      </c>
      <c r="V506" s="72">
        <f t="shared" ca="1" si="208"/>
        <v>66069</v>
      </c>
      <c r="W506" s="72">
        <f t="shared" si="209"/>
        <v>4365112761</v>
      </c>
      <c r="Y506" s="110">
        <f t="shared" si="210"/>
        <v>33.412072864608319</v>
      </c>
      <c r="Z506" s="111">
        <f t="shared" si="211"/>
        <v>-76.47371152111738</v>
      </c>
      <c r="AA506" s="72">
        <f t="shared" si="212"/>
        <v>103.52628847888262</v>
      </c>
      <c r="AB506" s="110">
        <f t="shared" ca="1" si="213"/>
        <v>-51.039443231968662</v>
      </c>
      <c r="AC506" s="111">
        <f t="shared" ca="1" si="214"/>
        <v>-108.27360401133674</v>
      </c>
      <c r="AD506" s="72">
        <f t="shared" ca="1" si="215"/>
        <v>71.726395988663256</v>
      </c>
    </row>
    <row r="507" spans="1:30">
      <c r="A507" s="118">
        <v>66453.75</v>
      </c>
      <c r="B507" s="101">
        <f t="shared" ca="1" si="189"/>
        <v>3704.7412912392347</v>
      </c>
      <c r="C507" s="102">
        <f t="shared" ca="1" si="190"/>
        <v>1.5705264024105656</v>
      </c>
      <c r="D507" s="102">
        <f t="shared" si="191"/>
        <v>2.2025406928696047</v>
      </c>
      <c r="E507" s="103">
        <f t="shared" si="192"/>
        <v>1.0995230585705205</v>
      </c>
      <c r="F507" s="101">
        <f t="shared" si="193"/>
        <v>22714.242669077823</v>
      </c>
      <c r="G507" s="104">
        <f t="shared" si="194"/>
        <v>1.5707523015542186</v>
      </c>
      <c r="H507" s="113">
        <f t="shared" si="195"/>
        <v>2839.2805069841079</v>
      </c>
      <c r="I507" s="114">
        <f t="shared" si="196"/>
        <v>1.5704441248838088</v>
      </c>
      <c r="J507" s="101">
        <f t="shared" si="197"/>
        <v>4.2934912912798247</v>
      </c>
      <c r="K507" s="104">
        <f t="shared" si="198"/>
        <v>1.3357267128199086</v>
      </c>
      <c r="L507" s="102">
        <f t="shared" si="199"/>
        <v>1</v>
      </c>
      <c r="M507" s="103">
        <f t="shared" si="200"/>
        <v>2.7140179633441875E-9</v>
      </c>
      <c r="N507" s="101">
        <f t="shared" si="201"/>
        <v>1</v>
      </c>
      <c r="O507" s="104">
        <f t="shared" si="202"/>
        <v>3.6186906177922493E-10</v>
      </c>
      <c r="P507" s="105">
        <f t="shared" ca="1" si="203"/>
        <v>3.6836602636502849</v>
      </c>
      <c r="Q507" s="106">
        <f t="shared" ca="1" si="204"/>
        <v>1.4186240969694381</v>
      </c>
      <c r="R507" s="107">
        <f t="shared" ca="1" si="205"/>
        <v>-35.234142676927853</v>
      </c>
      <c r="S507" s="108">
        <f t="shared" ca="1" si="206"/>
        <v>-184.81683773692853</v>
      </c>
      <c r="T507" s="116">
        <f t="shared" ca="1" si="207"/>
        <v>-4.8168377369285338</v>
      </c>
      <c r="V507" s="72">
        <f t="shared" ca="1" si="208"/>
        <v>66453.75</v>
      </c>
      <c r="W507" s="72">
        <f t="shared" si="209"/>
        <v>4416100889.0625</v>
      </c>
      <c r="Y507" s="110">
        <f t="shared" si="210"/>
        <v>33.364388716933988</v>
      </c>
      <c r="Z507" s="111">
        <f t="shared" si="211"/>
        <v>-76.549160402724567</v>
      </c>
      <c r="AA507" s="72">
        <f t="shared" si="212"/>
        <v>103.45083959727543</v>
      </c>
      <c r="AB507" s="110">
        <f t="shared" ca="1" si="213"/>
        <v>-51.097306126027831</v>
      </c>
      <c r="AC507" s="111">
        <f t="shared" ca="1" si="214"/>
        <v>-108.26767733420401</v>
      </c>
      <c r="AD507" s="72">
        <f t="shared" ca="1" si="215"/>
        <v>71.732322665795991</v>
      </c>
    </row>
    <row r="508" spans="1:30">
      <c r="A508" s="118">
        <v>66838.5</v>
      </c>
      <c r="B508" s="101">
        <f t="shared" ca="1" si="189"/>
        <v>3726.1907821746568</v>
      </c>
      <c r="C508" s="102">
        <f t="shared" ca="1" si="190"/>
        <v>1.5705279562066843</v>
      </c>
      <c r="D508" s="102">
        <f t="shared" si="191"/>
        <v>2.2126701816649867</v>
      </c>
      <c r="E508" s="103">
        <f t="shared" si="192"/>
        <v>1.1018544549813045</v>
      </c>
      <c r="F508" s="101">
        <f t="shared" si="193"/>
        <v>22845.752250554229</v>
      </c>
      <c r="G508" s="104">
        <f t="shared" si="194"/>
        <v>1.5707525549816794</v>
      </c>
      <c r="H508" s="113">
        <f t="shared" si="195"/>
        <v>2855.7192036707879</v>
      </c>
      <c r="I508" s="114">
        <f t="shared" si="196"/>
        <v>1.5704461523032478</v>
      </c>
      <c r="J508" s="101">
        <f t="shared" si="197"/>
        <v>4.3170046730747087</v>
      </c>
      <c r="K508" s="104">
        <f t="shared" si="198"/>
        <v>1.3370309768416646</v>
      </c>
      <c r="L508" s="102">
        <f t="shared" si="199"/>
        <v>1</v>
      </c>
      <c r="M508" s="103">
        <f t="shared" si="200"/>
        <v>2.7297314243813246E-9</v>
      </c>
      <c r="N508" s="101">
        <f t="shared" si="201"/>
        <v>1</v>
      </c>
      <c r="O508" s="104">
        <f t="shared" si="202"/>
        <v>3.6396418991750993E-10</v>
      </c>
      <c r="P508" s="105">
        <f t="shared" ca="1" si="203"/>
        <v>3.7037294629419537</v>
      </c>
      <c r="Q508" s="106">
        <f t="shared" ca="1" si="204"/>
        <v>1.4208555602894333</v>
      </c>
      <c r="R508" s="107">
        <f t="shared" ca="1" si="205"/>
        <v>-35.339064253043311</v>
      </c>
      <c r="S508" s="108">
        <f t="shared" ca="1" si="206"/>
        <v>-184.88582819941516</v>
      </c>
      <c r="T508" s="116">
        <f t="shared" ca="1" si="207"/>
        <v>-4.8858281994151582</v>
      </c>
      <c r="V508" s="72">
        <f t="shared" ca="1" si="208"/>
        <v>66838.5</v>
      </c>
      <c r="W508" s="72">
        <f t="shared" si="209"/>
        <v>4467385082.25</v>
      </c>
      <c r="Y508" s="110">
        <f t="shared" si="210"/>
        <v>33.316950062060734</v>
      </c>
      <c r="Z508" s="111">
        <f t="shared" si="211"/>
        <v>-76.623787583593668</v>
      </c>
      <c r="AA508" s="72">
        <f t="shared" si="212"/>
        <v>103.37621241640633</v>
      </c>
      <c r="AB508" s="110">
        <f t="shared" ca="1" si="213"/>
        <v>-51.154789047270043</v>
      </c>
      <c r="AC508" s="111">
        <f t="shared" ca="1" si="214"/>
        <v>-108.26204061582152</v>
      </c>
      <c r="AD508" s="72">
        <f t="shared" ca="1" si="215"/>
        <v>71.737959384178481</v>
      </c>
    </row>
    <row r="509" spans="1:30">
      <c r="A509" s="118">
        <v>67223.25</v>
      </c>
      <c r="B509" s="101">
        <f t="shared" ca="1" si="189"/>
        <v>3747.6402731189719</v>
      </c>
      <c r="C509" s="102">
        <f t="shared" ca="1" si="190"/>
        <v>1.5705294922166049</v>
      </c>
      <c r="D509" s="102">
        <f t="shared" si="191"/>
        <v>2.2228115875769143</v>
      </c>
      <c r="E509" s="103">
        <f t="shared" si="192"/>
        <v>1.1041645902218278</v>
      </c>
      <c r="F509" s="101">
        <f t="shared" si="193"/>
        <v>22977.261832032083</v>
      </c>
      <c r="G509" s="104">
        <f t="shared" si="194"/>
        <v>1.570752805508173</v>
      </c>
      <c r="H509" s="113">
        <f t="shared" si="195"/>
        <v>2872.1579003690717</v>
      </c>
      <c r="I509" s="114">
        <f t="shared" si="196"/>
        <v>1.5704481565149564</v>
      </c>
      <c r="J509" s="101">
        <f t="shared" si="197"/>
        <v>4.3405253189750725</v>
      </c>
      <c r="K509" s="104">
        <f t="shared" si="198"/>
        <v>1.3383211078219488</v>
      </c>
      <c r="L509" s="102">
        <f t="shared" si="199"/>
        <v>1</v>
      </c>
      <c r="M509" s="103">
        <f t="shared" si="200"/>
        <v>2.7454448854184621E-9</v>
      </c>
      <c r="N509" s="101">
        <f t="shared" si="201"/>
        <v>1</v>
      </c>
      <c r="O509" s="104">
        <f t="shared" si="202"/>
        <v>3.6605931805579494E-10</v>
      </c>
      <c r="P509" s="105">
        <f t="shared" ca="1" si="203"/>
        <v>3.7238125479865487</v>
      </c>
      <c r="Q509" s="106">
        <f t="shared" ca="1" si="204"/>
        <v>1.4230708240563141</v>
      </c>
      <c r="R509" s="107">
        <f t="shared" ca="1" si="205"/>
        <v>-35.443367681679881</v>
      </c>
      <c r="S509" s="108">
        <f t="shared" ca="1" si="206"/>
        <v>-184.95429905199089</v>
      </c>
      <c r="T509" s="116">
        <f t="shared" ca="1" si="207"/>
        <v>-4.9542990519908869</v>
      </c>
      <c r="V509" s="72">
        <f t="shared" ca="1" si="208"/>
        <v>67223.25</v>
      </c>
      <c r="W509" s="72">
        <f t="shared" si="209"/>
        <v>4518965340.5625</v>
      </c>
      <c r="Y509" s="110">
        <f t="shared" si="210"/>
        <v>33.269754554050294</v>
      </c>
      <c r="Z509" s="111">
        <f t="shared" si="211"/>
        <v>-76.697606164325705</v>
      </c>
      <c r="AA509" s="72">
        <f t="shared" si="212"/>
        <v>103.30239383567429</v>
      </c>
      <c r="AB509" s="110">
        <f t="shared" ca="1" si="213"/>
        <v>-51.211896967896173</v>
      </c>
      <c r="AC509" s="111">
        <f t="shared" ca="1" si="214"/>
        <v>-108.25669288766522</v>
      </c>
      <c r="AD509" s="72">
        <f t="shared" ca="1" si="215"/>
        <v>71.743307112334776</v>
      </c>
    </row>
    <row r="510" spans="1:30">
      <c r="A510" s="118">
        <v>67608</v>
      </c>
      <c r="B510" s="101">
        <f t="shared" ca="1" si="189"/>
        <v>3769.0897640720286</v>
      </c>
      <c r="C510" s="102">
        <f t="shared" ca="1" si="190"/>
        <v>1.5705310107439858</v>
      </c>
      <c r="D510" s="102">
        <f t="shared" si="191"/>
        <v>2.2329647482342905</v>
      </c>
      <c r="E510" s="103">
        <f t="shared" si="192"/>
        <v>1.1064537294857117</v>
      </c>
      <c r="F510" s="101">
        <f t="shared" si="193"/>
        <v>23108.771413511367</v>
      </c>
      <c r="G510" s="104">
        <f t="shared" si="194"/>
        <v>1.570753053183227</v>
      </c>
      <c r="H510" s="113">
        <f t="shared" si="195"/>
        <v>2888.596597078762</v>
      </c>
      <c r="I510" s="114">
        <f t="shared" si="196"/>
        <v>1.5704501379151528</v>
      </c>
      <c r="J510" s="101">
        <f t="shared" si="197"/>
        <v>4.3640531115283254</v>
      </c>
      <c r="K510" s="104">
        <f t="shared" si="198"/>
        <v>1.3395973300161561</v>
      </c>
      <c r="L510" s="102">
        <f t="shared" si="199"/>
        <v>1</v>
      </c>
      <c r="M510" s="103">
        <f t="shared" si="200"/>
        <v>2.7611583464555996E-9</v>
      </c>
      <c r="N510" s="101">
        <f t="shared" si="201"/>
        <v>1</v>
      </c>
      <c r="O510" s="104">
        <f t="shared" si="202"/>
        <v>3.6815444619407995E-10</v>
      </c>
      <c r="P510" s="105">
        <f t="shared" ca="1" si="203"/>
        <v>3.7439094176938039</v>
      </c>
      <c r="Q510" s="106">
        <f t="shared" ca="1" si="204"/>
        <v>1.4252701351883297</v>
      </c>
      <c r="R510" s="107">
        <f t="shared" ca="1" si="205"/>
        <v>-35.547060160276978</v>
      </c>
      <c r="S510" s="108">
        <f t="shared" ca="1" si="206"/>
        <v>-185.0222620939762</v>
      </c>
      <c r="T510" s="116">
        <f t="shared" ca="1" si="207"/>
        <v>-5.0222620939761953</v>
      </c>
      <c r="V510" s="72">
        <f t="shared" ca="1" si="208"/>
        <v>67608</v>
      </c>
      <c r="W510" s="72">
        <f t="shared" si="209"/>
        <v>4570841664</v>
      </c>
      <c r="Y510" s="110">
        <f t="shared" si="210"/>
        <v>33.22279987739433</v>
      </c>
      <c r="Z510" s="111">
        <f t="shared" si="211"/>
        <v>-76.770628973944383</v>
      </c>
      <c r="AA510" s="72">
        <f t="shared" si="212"/>
        <v>103.22937102605562</v>
      </c>
      <c r="AB510" s="110">
        <f t="shared" ca="1" si="213"/>
        <v>-51.268634769837305</v>
      </c>
      <c r="AC510" s="111">
        <f t="shared" ca="1" si="214"/>
        <v>-108.25163312003184</v>
      </c>
      <c r="AD510" s="72">
        <f t="shared" ca="1" si="215"/>
        <v>71.74836687996816</v>
      </c>
    </row>
    <row r="511" spans="1:30">
      <c r="A511" s="118">
        <v>68001.75</v>
      </c>
      <c r="B511" s="101">
        <f t="shared" ca="1" si="189"/>
        <v>3791.0409975124144</v>
      </c>
      <c r="C511" s="102">
        <f t="shared" ca="1" si="190"/>
        <v>1.5705325470013642</v>
      </c>
      <c r="D511" s="102">
        <f t="shared" si="191"/>
        <v>2.2433674136002035</v>
      </c>
      <c r="E511" s="103">
        <f t="shared" si="192"/>
        <v>1.1087749500449995</v>
      </c>
      <c r="F511" s="101">
        <f t="shared" si="193"/>
        <v>23243.357242512084</v>
      </c>
      <c r="G511" s="104">
        <f t="shared" si="194"/>
        <v>1.5707533037500812</v>
      </c>
      <c r="H511" s="113">
        <f t="shared" si="195"/>
        <v>2905.4198247172444</v>
      </c>
      <c r="I511" s="114">
        <f t="shared" si="196"/>
        <v>1.5704521424497508</v>
      </c>
      <c r="J511" s="101">
        <f t="shared" si="197"/>
        <v>4.3881385412226477</v>
      </c>
      <c r="K511" s="104">
        <f t="shared" si="198"/>
        <v>1.3408892338810947</v>
      </c>
      <c r="L511" s="102">
        <f t="shared" si="199"/>
        <v>1</v>
      </c>
      <c r="M511" s="103">
        <f t="shared" si="200"/>
        <v>2.7772393738327874E-9</v>
      </c>
      <c r="N511" s="101">
        <f t="shared" si="201"/>
        <v>1</v>
      </c>
      <c r="O511" s="104">
        <f t="shared" si="202"/>
        <v>3.7029858317770494E-10</v>
      </c>
      <c r="P511" s="105">
        <f t="shared" ca="1" si="203"/>
        <v>3.7644905590808211</v>
      </c>
      <c r="Q511" s="106">
        <f t="shared" ca="1" si="204"/>
        <v>1.4275046279349168</v>
      </c>
      <c r="R511" s="107">
        <f t="shared" ca="1" si="205"/>
        <v>-35.652553025873694</v>
      </c>
      <c r="S511" s="108">
        <f t="shared" ca="1" si="206"/>
        <v>-185.09130112073493</v>
      </c>
      <c r="T511" s="116">
        <f t="shared" ca="1" si="207"/>
        <v>-5.0913011207349257</v>
      </c>
      <c r="V511" s="72">
        <f t="shared" ca="1" si="208"/>
        <v>68001.75</v>
      </c>
      <c r="W511" s="72">
        <f t="shared" si="209"/>
        <v>4624238003.0625</v>
      </c>
      <c r="Y511" s="110">
        <f t="shared" si="210"/>
        <v>33.174993808580794</v>
      </c>
      <c r="Z511" s="111">
        <f t="shared" si="211"/>
        <v>-76.844549117278802</v>
      </c>
      <c r="AA511" s="72">
        <f t="shared" si="212"/>
        <v>103.1554508827212</v>
      </c>
      <c r="AB511" s="110">
        <f t="shared" ca="1" si="213"/>
        <v>-51.326321566620486</v>
      </c>
      <c r="AC511" s="111">
        <f t="shared" ca="1" si="214"/>
        <v>-108.24675200345617</v>
      </c>
      <c r="AD511" s="72">
        <f t="shared" ca="1" si="215"/>
        <v>71.753247996543834</v>
      </c>
    </row>
    <row r="512" spans="1:30">
      <c r="A512" s="118">
        <v>68395.5</v>
      </c>
      <c r="B512" s="101">
        <f t="shared" ca="1" si="189"/>
        <v>3812.992230961645</v>
      </c>
      <c r="C512" s="102">
        <f t="shared" ca="1" si="190"/>
        <v>1.5705340655704065</v>
      </c>
      <c r="D512" s="102">
        <f t="shared" si="191"/>
        <v>2.2537820547550536</v>
      </c>
      <c r="E512" s="103">
        <f t="shared" si="192"/>
        <v>1.1110747303566062</v>
      </c>
      <c r="F512" s="101">
        <f t="shared" si="193"/>
        <v>23377.943071514244</v>
      </c>
      <c r="G512" s="104">
        <f t="shared" si="194"/>
        <v>1.5707535514319297</v>
      </c>
      <c r="H512" s="113">
        <f t="shared" si="195"/>
        <v>2922.2430523672674</v>
      </c>
      <c r="I512" s="114">
        <f t="shared" si="196"/>
        <v>1.5704541239043099</v>
      </c>
      <c r="J512" s="101">
        <f t="shared" si="197"/>
        <v>4.4122312148226417</v>
      </c>
      <c r="K512" s="104">
        <f t="shared" si="198"/>
        <v>1.3421670311616583</v>
      </c>
      <c r="L512" s="102">
        <f t="shared" si="199"/>
        <v>1</v>
      </c>
      <c r="M512" s="103">
        <f t="shared" si="200"/>
        <v>2.7933204012099747E-9</v>
      </c>
      <c r="N512" s="101">
        <f t="shared" si="201"/>
        <v>1</v>
      </c>
      <c r="O512" s="104">
        <f t="shared" si="202"/>
        <v>3.7244272016132992E-10</v>
      </c>
      <c r="P512" s="105">
        <f t="shared" ca="1" si="203"/>
        <v>3.7850859319459835</v>
      </c>
      <c r="Q512" s="106">
        <f t="shared" ca="1" si="204"/>
        <v>1.4297229206067232</v>
      </c>
      <c r="R512" s="107">
        <f t="shared" ca="1" si="205"/>
        <v>-35.757420900603861</v>
      </c>
      <c r="S512" s="108">
        <f t="shared" ca="1" si="206"/>
        <v>-185.15983228315937</v>
      </c>
      <c r="T512" s="116">
        <f t="shared" ca="1" si="207"/>
        <v>-5.1598322831593748</v>
      </c>
      <c r="V512" s="72">
        <f t="shared" ca="1" si="208"/>
        <v>68395.5</v>
      </c>
      <c r="W512" s="72">
        <f t="shared" si="209"/>
        <v>4677944420.25</v>
      </c>
      <c r="Y512" s="110">
        <f t="shared" si="210"/>
        <v>33.127435158620457</v>
      </c>
      <c r="Z512" s="111">
        <f t="shared" si="211"/>
        <v>-76.917662169954468</v>
      </c>
      <c r="AA512" s="72">
        <f t="shared" si="212"/>
        <v>103.08233783004553</v>
      </c>
      <c r="AB512" s="110">
        <f t="shared" ca="1" si="213"/>
        <v>-51.383630791390324</v>
      </c>
      <c r="AC512" s="111">
        <f t="shared" ca="1" si="214"/>
        <v>-108.24217011320489</v>
      </c>
      <c r="AD512" s="72">
        <f t="shared" ca="1" si="215"/>
        <v>71.757829886795108</v>
      </c>
    </row>
    <row r="513" spans="1:30">
      <c r="A513" s="118">
        <v>68789.25</v>
      </c>
      <c r="B513" s="101">
        <f t="shared" ca="1" si="189"/>
        <v>3834.9434644195671</v>
      </c>
      <c r="C513" s="102">
        <f t="shared" ca="1" si="190"/>
        <v>1.5705355667548568</v>
      </c>
      <c r="D513" s="102">
        <f t="shared" si="191"/>
        <v>2.2642085064443522</v>
      </c>
      <c r="E513" s="103">
        <f t="shared" si="192"/>
        <v>1.1133533421149651</v>
      </c>
      <c r="F513" s="101">
        <f t="shared" si="193"/>
        <v>23512.528900517817</v>
      </c>
      <c r="G513" s="104">
        <f t="shared" si="194"/>
        <v>1.570753796278314</v>
      </c>
      <c r="H513" s="113">
        <f t="shared" si="195"/>
        <v>2939.0662800286314</v>
      </c>
      <c r="I513" s="114">
        <f t="shared" si="196"/>
        <v>1.5704560826751606</v>
      </c>
      <c r="J513" s="101">
        <f t="shared" si="197"/>
        <v>4.436331014308446</v>
      </c>
      <c r="K513" s="104">
        <f t="shared" si="198"/>
        <v>1.3434309475474406</v>
      </c>
      <c r="L513" s="102">
        <f t="shared" si="199"/>
        <v>1</v>
      </c>
      <c r="M513" s="103">
        <f t="shared" si="200"/>
        <v>2.8094014285871625E-9</v>
      </c>
      <c r="N513" s="101">
        <f t="shared" si="201"/>
        <v>1</v>
      </c>
      <c r="O513" s="104">
        <f t="shared" si="202"/>
        <v>3.7458685714495496E-10</v>
      </c>
      <c r="P513" s="105">
        <f t="shared" ca="1" si="203"/>
        <v>3.8056954365145605</v>
      </c>
      <c r="Q513" s="106">
        <f t="shared" ca="1" si="204"/>
        <v>1.431925262243487</v>
      </c>
      <c r="R513" s="107">
        <f t="shared" ca="1" si="205"/>
        <v>-35.861671122195467</v>
      </c>
      <c r="S513" s="108">
        <f t="shared" ca="1" si="206"/>
        <v>-185.2278672118259</v>
      </c>
      <c r="T513" s="116">
        <f t="shared" ca="1" si="207"/>
        <v>-5.2278672118258953</v>
      </c>
      <c r="V513" s="72">
        <f t="shared" ca="1" si="208"/>
        <v>68789.25</v>
      </c>
      <c r="W513" s="72">
        <f t="shared" si="209"/>
        <v>4731960915.5625</v>
      </c>
      <c r="Y513" s="110">
        <f t="shared" si="210"/>
        <v>33.080121541765855</v>
      </c>
      <c r="Z513" s="111">
        <f t="shared" si="211"/>
        <v>-76.989981043163027</v>
      </c>
      <c r="AA513" s="72">
        <f t="shared" si="212"/>
        <v>103.01001895683697</v>
      </c>
      <c r="AB513" s="110">
        <f t="shared" ca="1" si="213"/>
        <v>-51.440567396127328</v>
      </c>
      <c r="AC513" s="111">
        <f t="shared" ca="1" si="214"/>
        <v>-108.23788616866294</v>
      </c>
      <c r="AD513" s="72">
        <f t="shared" ca="1" si="215"/>
        <v>71.762113831337061</v>
      </c>
    </row>
    <row r="514" spans="1:30">
      <c r="A514" s="118">
        <v>69183</v>
      </c>
      <c r="B514" s="101">
        <f t="shared" ca="1" si="189"/>
        <v>3856.8946978860336</v>
      </c>
      <c r="C514" s="102">
        <f t="shared" ca="1" si="190"/>
        <v>1.5705370508515446</v>
      </c>
      <c r="D514" s="102">
        <f t="shared" si="191"/>
        <v>2.2746466062578654</v>
      </c>
      <c r="E514" s="103">
        <f t="shared" si="192"/>
        <v>1.1156110529151668</v>
      </c>
      <c r="F514" s="101">
        <f t="shared" si="193"/>
        <v>23647.114729522793</v>
      </c>
      <c r="G514" s="104">
        <f t="shared" si="194"/>
        <v>1.5707540383376477</v>
      </c>
      <c r="H514" s="113">
        <f t="shared" si="195"/>
        <v>2955.8895077011448</v>
      </c>
      <c r="I514" s="114">
        <f t="shared" si="196"/>
        <v>1.5704580191496109</v>
      </c>
      <c r="J514" s="101">
        <f t="shared" si="197"/>
        <v>4.4604378241763225</v>
      </c>
      <c r="K514" s="104">
        <f t="shared" si="198"/>
        <v>1.3446812040285707</v>
      </c>
      <c r="L514" s="102">
        <f t="shared" si="199"/>
        <v>1</v>
      </c>
      <c r="M514" s="103">
        <f t="shared" si="200"/>
        <v>2.8254824559643498E-9</v>
      </c>
      <c r="N514" s="101">
        <f t="shared" si="201"/>
        <v>1</v>
      </c>
      <c r="O514" s="104">
        <f t="shared" si="202"/>
        <v>3.7673099412857995E-10</v>
      </c>
      <c r="P514" s="105">
        <f t="shared" ca="1" si="203"/>
        <v>3.8263189757579967</v>
      </c>
      <c r="Q514" s="106">
        <f t="shared" ca="1" si="204"/>
        <v>1.4341118968721092</v>
      </c>
      <c r="R514" s="107">
        <f t="shared" ca="1" si="205"/>
        <v>-35.96531090654517</v>
      </c>
      <c r="S514" s="108">
        <f t="shared" ca="1" si="206"/>
        <v>-185.29541721576842</v>
      </c>
      <c r="T514" s="116">
        <f t="shared" ca="1" si="207"/>
        <v>-5.2954172157684241</v>
      </c>
      <c r="V514" s="72">
        <f t="shared" ca="1" si="208"/>
        <v>69183</v>
      </c>
      <c r="W514" s="72">
        <f t="shared" si="209"/>
        <v>4786287489</v>
      </c>
      <c r="Y514" s="110">
        <f t="shared" si="210"/>
        <v>33.033050603703764</v>
      </c>
      <c r="Z514" s="111">
        <f t="shared" si="211"/>
        <v>-77.061518379288927</v>
      </c>
      <c r="AA514" s="72">
        <f t="shared" si="212"/>
        <v>102.93848162071107</v>
      </c>
      <c r="AB514" s="110">
        <f t="shared" ca="1" si="213"/>
        <v>-51.497136242414932</v>
      </c>
      <c r="AC514" s="111">
        <f t="shared" ca="1" si="214"/>
        <v>-108.23389883647951</v>
      </c>
      <c r="AD514" s="72">
        <f t="shared" ca="1" si="215"/>
        <v>71.766101163520489</v>
      </c>
    </row>
    <row r="515" spans="1:30">
      <c r="A515" s="118">
        <v>69586</v>
      </c>
      <c r="B515" s="101">
        <f t="shared" ca="1" si="189"/>
        <v>3879.3616111315191</v>
      </c>
      <c r="C515" s="102">
        <f t="shared" ca="1" si="190"/>
        <v>1.5705385524208333</v>
      </c>
      <c r="D515" s="102">
        <f t="shared" si="191"/>
        <v>2.2853418138021229</v>
      </c>
      <c r="E515" s="103">
        <f t="shared" si="192"/>
        <v>1.117900433799025</v>
      </c>
      <c r="F515" s="101">
        <f t="shared" si="193"/>
        <v>23784.862257369299</v>
      </c>
      <c r="G515" s="104">
        <f t="shared" si="194"/>
        <v>1.5707542832467998</v>
      </c>
      <c r="H515" s="113">
        <f t="shared" si="195"/>
        <v>2973.1079477176281</v>
      </c>
      <c r="I515" s="114">
        <f t="shared" si="196"/>
        <v>1.5704599784226074</v>
      </c>
      <c r="J515" s="101">
        <f t="shared" si="197"/>
        <v>4.4851180941308089</v>
      </c>
      <c r="K515" s="104">
        <f t="shared" si="198"/>
        <v>1.3459469124142007</v>
      </c>
      <c r="L515" s="102">
        <f t="shared" si="199"/>
        <v>1</v>
      </c>
      <c r="M515" s="103">
        <f t="shared" si="200"/>
        <v>2.8419412598576997E-9</v>
      </c>
      <c r="N515" s="101">
        <f t="shared" si="201"/>
        <v>1</v>
      </c>
      <c r="O515" s="104">
        <f t="shared" si="202"/>
        <v>3.7892550131435992E-10</v>
      </c>
      <c r="P515" s="105">
        <f t="shared" ca="1" si="203"/>
        <v>3.8474414391453036</v>
      </c>
      <c r="Q515" s="106">
        <f t="shared" ca="1" si="204"/>
        <v>1.4363338847707698</v>
      </c>
      <c r="R515" s="107">
        <f t="shared" ca="1" si="205"/>
        <v>-36.07076069239384</v>
      </c>
      <c r="S515" s="108">
        <f t="shared" ca="1" si="206"/>
        <v>-185.36406343776997</v>
      </c>
      <c r="T515" s="116">
        <f t="shared" ca="1" si="207"/>
        <v>-5.3640634377699712</v>
      </c>
      <c r="V515" s="72">
        <f t="shared" ca="1" si="208"/>
        <v>69586</v>
      </c>
      <c r="W515" s="72">
        <f t="shared" si="209"/>
        <v>4842211396</v>
      </c>
      <c r="Y515" s="110">
        <f t="shared" si="210"/>
        <v>32.985122744952605</v>
      </c>
      <c r="Z515" s="111">
        <f t="shared" si="211"/>
        <v>-77.133939901332482</v>
      </c>
      <c r="AA515" s="72">
        <f t="shared" si="212"/>
        <v>102.86606009866752</v>
      </c>
      <c r="AB515" s="110">
        <f t="shared" ca="1" si="213"/>
        <v>-51.554658169512436</v>
      </c>
      <c r="AC515" s="111">
        <f t="shared" ca="1" si="214"/>
        <v>-108.2301235364375</v>
      </c>
      <c r="AD515" s="72">
        <f t="shared" ca="1" si="215"/>
        <v>71.769876463562497</v>
      </c>
    </row>
    <row r="516" spans="1:30">
      <c r="A516" s="118">
        <v>69989</v>
      </c>
      <c r="B516" s="101">
        <f t="shared" ca="1" si="189"/>
        <v>3901.8285243856508</v>
      </c>
      <c r="C516" s="102">
        <f t="shared" ca="1" si="190"/>
        <v>1.5705400366979081</v>
      </c>
      <c r="D516" s="102">
        <f t="shared" si="191"/>
        <v>2.2960488878016134</v>
      </c>
      <c r="E516" s="103">
        <f t="shared" si="192"/>
        <v>1.1201684745193923</v>
      </c>
      <c r="F516" s="101">
        <f t="shared" si="193"/>
        <v>23922.609785217213</v>
      </c>
      <c r="G516" s="104">
        <f t="shared" si="194"/>
        <v>1.5707545253355546</v>
      </c>
      <c r="H516" s="113">
        <f t="shared" si="195"/>
        <v>2990.3263877453933</v>
      </c>
      <c r="I516" s="114">
        <f t="shared" si="196"/>
        <v>1.5704619151324317</v>
      </c>
      <c r="J516" s="101">
        <f t="shared" si="197"/>
        <v>4.5098054706736921</v>
      </c>
      <c r="K516" s="104">
        <f t="shared" si="198"/>
        <v>1.3471987654179571</v>
      </c>
      <c r="L516" s="102">
        <f t="shared" si="199"/>
        <v>1</v>
      </c>
      <c r="M516" s="103">
        <f t="shared" si="200"/>
        <v>2.8584000637510497E-9</v>
      </c>
      <c r="N516" s="101">
        <f t="shared" si="201"/>
        <v>1</v>
      </c>
      <c r="O516" s="104">
        <f t="shared" si="202"/>
        <v>3.8112000850013995E-10</v>
      </c>
      <c r="P516" s="105">
        <f t="shared" ca="1" si="203"/>
        <v>3.8685784072021017</v>
      </c>
      <c r="Q516" s="106">
        <f t="shared" ca="1" si="204"/>
        <v>1.438539920707627</v>
      </c>
      <c r="R516" s="107">
        <f t="shared" ca="1" si="205"/>
        <v>-36.175585938526453</v>
      </c>
      <c r="S516" s="108">
        <f t="shared" ca="1" si="206"/>
        <v>-185.43222466648868</v>
      </c>
      <c r="T516" s="116">
        <f t="shared" ca="1" si="207"/>
        <v>-5.4322246664886791</v>
      </c>
      <c r="V516" s="72">
        <f t="shared" ca="1" si="208"/>
        <v>69989</v>
      </c>
      <c r="W516" s="72">
        <f t="shared" si="209"/>
        <v>4898460121</v>
      </c>
      <c r="Y516" s="110">
        <f t="shared" si="210"/>
        <v>32.93744420939602</v>
      </c>
      <c r="Z516" s="111">
        <f t="shared" si="211"/>
        <v>-77.205568699647927</v>
      </c>
      <c r="AA516" s="72">
        <f t="shared" si="212"/>
        <v>102.79443130035207</v>
      </c>
      <c r="AB516" s="110">
        <f t="shared" ca="1" si="213"/>
        <v>-51.611804880088471</v>
      </c>
      <c r="AC516" s="111">
        <f t="shared" ca="1" si="214"/>
        <v>-108.2266559668408</v>
      </c>
      <c r="AD516" s="72">
        <f t="shared" ca="1" si="215"/>
        <v>71.773344033159205</v>
      </c>
    </row>
    <row r="517" spans="1:30">
      <c r="A517" s="118">
        <v>70392</v>
      </c>
      <c r="B517" s="101">
        <f t="shared" ca="1" si="189"/>
        <v>3924.2954376482803</v>
      </c>
      <c r="C517" s="102">
        <f t="shared" ca="1" si="190"/>
        <v>1.5705415039797668</v>
      </c>
      <c r="D517" s="102">
        <f t="shared" si="191"/>
        <v>2.3067676630186171</v>
      </c>
      <c r="E517" s="103">
        <f t="shared" si="192"/>
        <v>1.1224154490606915</v>
      </c>
      <c r="F517" s="101">
        <f t="shared" si="193"/>
        <v>24060.357313066514</v>
      </c>
      <c r="G517" s="104">
        <f t="shared" si="194"/>
        <v>1.5707547646523534</v>
      </c>
      <c r="H517" s="113">
        <f t="shared" si="195"/>
        <v>3007.5448277842461</v>
      </c>
      <c r="I517" s="114">
        <f t="shared" si="196"/>
        <v>1.570463829666612</v>
      </c>
      <c r="J517" s="101">
        <f t="shared" si="197"/>
        <v>4.5344998377328407</v>
      </c>
      <c r="K517" s="104">
        <f t="shared" si="198"/>
        <v>1.3484369854482789</v>
      </c>
      <c r="L517" s="102">
        <f t="shared" si="199"/>
        <v>1</v>
      </c>
      <c r="M517" s="103">
        <f t="shared" si="200"/>
        <v>2.8748588676444E-9</v>
      </c>
      <c r="N517" s="101">
        <f t="shared" si="201"/>
        <v>1</v>
      </c>
      <c r="O517" s="104">
        <f t="shared" si="202"/>
        <v>3.8331451568591992E-10</v>
      </c>
      <c r="P517" s="105">
        <f t="shared" ca="1" si="203"/>
        <v>3.8897297843854433</v>
      </c>
      <c r="Q517" s="106">
        <f t="shared" ca="1" si="204"/>
        <v>1.4407302507850406</v>
      </c>
      <c r="R517" s="107">
        <f t="shared" ca="1" si="205"/>
        <v>-36.279794001236624</v>
      </c>
      <c r="S517" s="108">
        <f t="shared" ca="1" si="206"/>
        <v>-185.49991204505349</v>
      </c>
      <c r="T517" s="116">
        <f t="shared" ca="1" si="207"/>
        <v>-5.4999120450534917</v>
      </c>
      <c r="V517" s="72">
        <f t="shared" ca="1" si="208"/>
        <v>70392</v>
      </c>
      <c r="W517" s="72">
        <f t="shared" si="209"/>
        <v>4955033664</v>
      </c>
      <c r="Y517" s="110">
        <f t="shared" si="210"/>
        <v>32.890012572063725</v>
      </c>
      <c r="Z517" s="111">
        <f t="shared" si="211"/>
        <v>-77.276417497871876</v>
      </c>
      <c r="AA517" s="72">
        <f t="shared" si="212"/>
        <v>102.72358250212812</v>
      </c>
      <c r="AB517" s="110">
        <f t="shared" ca="1" si="213"/>
        <v>-51.668581305466347</v>
      </c>
      <c r="AC517" s="111">
        <f t="shared" ca="1" si="214"/>
        <v>-108.2234945471816</v>
      </c>
      <c r="AD517" s="72">
        <f t="shared" ca="1" si="215"/>
        <v>71.776505452818398</v>
      </c>
    </row>
    <row r="518" spans="1:30">
      <c r="A518" s="118">
        <v>70795</v>
      </c>
      <c r="B518" s="101">
        <f t="shared" ca="1" si="189"/>
        <v>3946.7623509192622</v>
      </c>
      <c r="C518" s="102">
        <f t="shared" ca="1" si="190"/>
        <v>1.5705429545566449</v>
      </c>
      <c r="D518" s="102">
        <f t="shared" si="191"/>
        <v>2.31749797709349</v>
      </c>
      <c r="E518" s="103">
        <f t="shared" si="192"/>
        <v>1.1246416271922253</v>
      </c>
      <c r="F518" s="101">
        <f t="shared" si="193"/>
        <v>24198.104840917174</v>
      </c>
      <c r="G518" s="104">
        <f t="shared" si="194"/>
        <v>1.5707550012445339</v>
      </c>
      <c r="H518" s="113">
        <f t="shared" si="195"/>
        <v>3024.7632678339974</v>
      </c>
      <c r="I518" s="114">
        <f t="shared" si="196"/>
        <v>1.5704657224038518</v>
      </c>
      <c r="J518" s="101">
        <f t="shared" si="197"/>
        <v>4.5592010817183706</v>
      </c>
      <c r="K518" s="104">
        <f t="shared" si="198"/>
        <v>1.3496617902629391</v>
      </c>
      <c r="L518" s="102">
        <f t="shared" si="199"/>
        <v>1</v>
      </c>
      <c r="M518" s="103">
        <f t="shared" si="200"/>
        <v>2.8913176715377499E-9</v>
      </c>
      <c r="N518" s="101">
        <f t="shared" si="201"/>
        <v>1</v>
      </c>
      <c r="O518" s="104">
        <f t="shared" si="202"/>
        <v>3.8550902287169995E-10</v>
      </c>
      <c r="P518" s="105">
        <f t="shared" ca="1" si="203"/>
        <v>3.9108954778686442</v>
      </c>
      <c r="Q518" s="106">
        <f t="shared" ca="1" si="204"/>
        <v>1.4429051161214155</v>
      </c>
      <c r="R518" s="107">
        <f t="shared" ca="1" si="205"/>
        <v>-36.383392113906538</v>
      </c>
      <c r="S518" s="108">
        <f t="shared" ca="1" si="206"/>
        <v>-185.56713640613353</v>
      </c>
      <c r="T518" s="116">
        <f t="shared" ca="1" si="207"/>
        <v>-5.5671364061335282</v>
      </c>
      <c r="V518" s="72">
        <f t="shared" ca="1" si="208"/>
        <v>70795</v>
      </c>
      <c r="W518" s="72">
        <f t="shared" si="209"/>
        <v>5011932025</v>
      </c>
      <c r="Y518" s="110">
        <f t="shared" si="210"/>
        <v>32.842825440409086</v>
      </c>
      <c r="Z518" s="111">
        <f t="shared" si="211"/>
        <v>-77.346498753619841</v>
      </c>
      <c r="AA518" s="72">
        <f t="shared" si="212"/>
        <v>102.65350124638016</v>
      </c>
      <c r="AB518" s="110">
        <f t="shared" ca="1" si="213"/>
        <v>-51.72499228648163</v>
      </c>
      <c r="AC518" s="111">
        <f t="shared" ca="1" si="214"/>
        <v>-108.22063765251369</v>
      </c>
      <c r="AD518" s="72">
        <f t="shared" ca="1" si="215"/>
        <v>71.779362347486313</v>
      </c>
    </row>
    <row r="519" spans="1:30">
      <c r="A519" s="118">
        <v>71207.25</v>
      </c>
      <c r="B519" s="101">
        <f t="shared" ca="1" si="189"/>
        <v>3969.7449439698466</v>
      </c>
      <c r="C519" s="102">
        <f t="shared" ca="1" si="190"/>
        <v>1.5705444214395929</v>
      </c>
      <c r="D519" s="102">
        <f t="shared" si="191"/>
        <v>2.3284863553473945</v>
      </c>
      <c r="E519" s="103">
        <f t="shared" si="192"/>
        <v>1.1268976614880521</v>
      </c>
      <c r="F519" s="101">
        <f t="shared" si="193"/>
        <v>24339.014067609471</v>
      </c>
      <c r="G519" s="104">
        <f t="shared" si="194"/>
        <v>1.570755240496269</v>
      </c>
      <c r="H519" s="113">
        <f t="shared" si="195"/>
        <v>3042.3769202284802</v>
      </c>
      <c r="I519" s="114">
        <f t="shared" si="196"/>
        <v>1.5704676364175285</v>
      </c>
      <c r="J519" s="101">
        <f t="shared" si="197"/>
        <v>4.5844762893507038</v>
      </c>
      <c r="K519" s="104">
        <f t="shared" si="198"/>
        <v>1.3509010495020566</v>
      </c>
      <c r="L519" s="102">
        <f t="shared" si="199"/>
        <v>1</v>
      </c>
      <c r="M519" s="103">
        <f t="shared" si="200"/>
        <v>2.9081542519472624E-9</v>
      </c>
      <c r="N519" s="101">
        <f t="shared" si="201"/>
        <v>1</v>
      </c>
      <c r="O519" s="104">
        <f t="shared" si="202"/>
        <v>3.8775390025963497E-10</v>
      </c>
      <c r="P519" s="105">
        <f t="shared" ca="1" si="203"/>
        <v>3.9325617033795148</v>
      </c>
      <c r="Q519" s="106">
        <f t="shared" ca="1" si="204"/>
        <v>1.4451141458630674</v>
      </c>
      <c r="R519" s="107">
        <f t="shared" ca="1" si="205"/>
        <v>-36.488744403444997</v>
      </c>
      <c r="S519" s="108">
        <f t="shared" ca="1" si="206"/>
        <v>-185.63543565633847</v>
      </c>
      <c r="T519" s="116">
        <f t="shared" ca="1" si="207"/>
        <v>-5.6354356563384727</v>
      </c>
      <c r="V519" s="72">
        <f t="shared" ca="1" si="208"/>
        <v>71207.25</v>
      </c>
      <c r="W519" s="72">
        <f t="shared" si="209"/>
        <v>5070472452.5625</v>
      </c>
      <c r="Y519" s="110">
        <f t="shared" si="210"/>
        <v>32.794805756645133</v>
      </c>
      <c r="Z519" s="111">
        <f t="shared" si="211"/>
        <v>-77.417407120197893</v>
      </c>
      <c r="AA519" s="72">
        <f t="shared" si="212"/>
        <v>102.58259287980211</v>
      </c>
      <c r="AB519" s="110">
        <f t="shared" ca="1" si="213"/>
        <v>-51.782324892256135</v>
      </c>
      <c r="AC519" s="111">
        <f t="shared" ca="1" si="214"/>
        <v>-108.21802853614055</v>
      </c>
      <c r="AD519" s="72">
        <f t="shared" ca="1" si="215"/>
        <v>71.781971463859449</v>
      </c>
    </row>
    <row r="520" spans="1:30">
      <c r="A520" s="118">
        <v>71619.5</v>
      </c>
      <c r="B520" s="101">
        <f t="shared" ca="1" si="189"/>
        <v>3992.7275370288744</v>
      </c>
      <c r="C520" s="102">
        <f t="shared" ca="1" si="190"/>
        <v>1.570545871435451</v>
      </c>
      <c r="D520" s="102">
        <f t="shared" si="191"/>
        <v>2.3394864735127952</v>
      </c>
      <c r="E520" s="103">
        <f t="shared" si="192"/>
        <v>1.1291324916069898</v>
      </c>
      <c r="F520" s="101">
        <f t="shared" si="193"/>
        <v>24479.923294303142</v>
      </c>
      <c r="G520" s="104">
        <f t="shared" si="194"/>
        <v>1.5707554769936838</v>
      </c>
      <c r="H520" s="113">
        <f t="shared" si="195"/>
        <v>3059.9905726339807</v>
      </c>
      <c r="I520" s="114">
        <f t="shared" si="196"/>
        <v>1.5704695283966457</v>
      </c>
      <c r="J520" s="101">
        <f t="shared" si="197"/>
        <v>4.6097584604402462</v>
      </c>
      <c r="K520" s="104">
        <f t="shared" si="198"/>
        <v>1.3521267171981959</v>
      </c>
      <c r="L520" s="102">
        <f t="shared" si="199"/>
        <v>1</v>
      </c>
      <c r="M520" s="103">
        <f t="shared" si="200"/>
        <v>2.9249908323567749E-9</v>
      </c>
      <c r="N520" s="101">
        <f t="shared" si="201"/>
        <v>1</v>
      </c>
      <c r="O520" s="104">
        <f t="shared" si="202"/>
        <v>3.8999877764756993E-10</v>
      </c>
      <c r="P520" s="105">
        <f t="shared" ca="1" si="203"/>
        <v>3.9542427218336798</v>
      </c>
      <c r="Q520" s="106">
        <f t="shared" ca="1" si="204"/>
        <v>1.4473074877687624</v>
      </c>
      <c r="R520" s="107">
        <f t="shared" ca="1" si="205"/>
        <v>-36.593473350842302</v>
      </c>
      <c r="S520" s="108">
        <f t="shared" ca="1" si="206"/>
        <v>-185.70327236866427</v>
      </c>
      <c r="T520" s="116">
        <f t="shared" ca="1" si="207"/>
        <v>-5.7032723686642726</v>
      </c>
      <c r="V520" s="72">
        <f t="shared" ca="1" si="208"/>
        <v>71619.5</v>
      </c>
      <c r="W520" s="72">
        <f t="shared" si="209"/>
        <v>5129352780.25</v>
      </c>
      <c r="Y520" s="110">
        <f t="shared" si="210"/>
        <v>32.747036968544741</v>
      </c>
      <c r="Z520" s="111">
        <f t="shared" si="211"/>
        <v>-77.48753785340169</v>
      </c>
      <c r="AA520" s="72">
        <f t="shared" si="212"/>
        <v>102.51246214659831</v>
      </c>
      <c r="AB520" s="110">
        <f t="shared" ca="1" si="213"/>
        <v>-51.839285051553041</v>
      </c>
      <c r="AC520" s="111">
        <f t="shared" ca="1" si="214"/>
        <v>-108.21573451526258</v>
      </c>
      <c r="AD520" s="72">
        <f t="shared" ca="1" si="215"/>
        <v>71.784265484737418</v>
      </c>
    </row>
    <row r="521" spans="1:30">
      <c r="A521" s="118">
        <v>72031.75</v>
      </c>
      <c r="B521" s="101">
        <f t="shared" ca="1" si="189"/>
        <v>4015.7101300962008</v>
      </c>
      <c r="C521" s="102">
        <f t="shared" ca="1" si="190"/>
        <v>1.5705473048341627</v>
      </c>
      <c r="D521" s="102">
        <f t="shared" si="191"/>
        <v>2.3504981667645355</v>
      </c>
      <c r="E521" s="103">
        <f t="shared" si="192"/>
        <v>1.1313463930817051</v>
      </c>
      <c r="F521" s="101">
        <f t="shared" si="193"/>
        <v>24620.832520998167</v>
      </c>
      <c r="G521" s="104">
        <f t="shared" si="194"/>
        <v>1.5707557107840684</v>
      </c>
      <c r="H521" s="113">
        <f t="shared" si="195"/>
        <v>3077.6042250503092</v>
      </c>
      <c r="I521" s="114">
        <f t="shared" si="196"/>
        <v>1.5704713987195265</v>
      </c>
      <c r="J521" s="101">
        <f t="shared" si="197"/>
        <v>4.6350474810390931</v>
      </c>
      <c r="K521" s="104">
        <f t="shared" si="198"/>
        <v>1.3533390121065063</v>
      </c>
      <c r="L521" s="102">
        <f t="shared" si="199"/>
        <v>1</v>
      </c>
      <c r="M521" s="103">
        <f t="shared" si="200"/>
        <v>2.9418274127662874E-9</v>
      </c>
      <c r="N521" s="101">
        <f t="shared" si="201"/>
        <v>1</v>
      </c>
      <c r="O521" s="104">
        <f t="shared" si="202"/>
        <v>3.9224365503550495E-10</v>
      </c>
      <c r="P521" s="105">
        <f t="shared" ca="1" si="203"/>
        <v>3.9759384422399675</v>
      </c>
      <c r="Q521" s="106">
        <f t="shared" ca="1" si="204"/>
        <v>1.4494853845376889</v>
      </c>
      <c r="R521" s="107">
        <f t="shared" ca="1" si="205"/>
        <v>-36.69758631638696</v>
      </c>
      <c r="S521" s="108">
        <f t="shared" ca="1" si="206"/>
        <v>-185.77065719328374</v>
      </c>
      <c r="T521" s="116">
        <f t="shared" ca="1" si="207"/>
        <v>-5.7706571932837392</v>
      </c>
      <c r="V521" s="72">
        <f t="shared" ca="1" si="208"/>
        <v>72031.75</v>
      </c>
      <c r="W521" s="72">
        <f t="shared" si="209"/>
        <v>5188573008.0625</v>
      </c>
      <c r="Y521" s="110">
        <f t="shared" si="210"/>
        <v>32.699516617042057</v>
      </c>
      <c r="Z521" s="111">
        <f t="shared" si="211"/>
        <v>-77.556903468011214</v>
      </c>
      <c r="AA521" s="72">
        <f t="shared" si="212"/>
        <v>102.44309653198879</v>
      </c>
      <c r="AB521" s="110">
        <f t="shared" ca="1" si="213"/>
        <v>-51.895877665595016</v>
      </c>
      <c r="AC521" s="111">
        <f t="shared" ca="1" si="214"/>
        <v>-108.21375372527254</v>
      </c>
      <c r="AD521" s="72">
        <f t="shared" ca="1" si="215"/>
        <v>71.786246274727461</v>
      </c>
    </row>
    <row r="522" spans="1:30">
      <c r="A522" s="118">
        <v>72444</v>
      </c>
      <c r="B522" s="101">
        <f t="shared" ca="1" si="189"/>
        <v>4038.6927231716841</v>
      </c>
      <c r="C522" s="102">
        <f t="shared" ca="1" si="190"/>
        <v>1.5705487219190712</v>
      </c>
      <c r="D522" s="102">
        <f t="shared" si="191"/>
        <v>2.3615212731799216</v>
      </c>
      <c r="E522" s="103">
        <f t="shared" si="192"/>
        <v>1.1335396371290996</v>
      </c>
      <c r="F522" s="101">
        <f t="shared" si="193"/>
        <v>24761.741747694523</v>
      </c>
      <c r="G522" s="104">
        <f t="shared" si="194"/>
        <v>1.5707559419136365</v>
      </c>
      <c r="H522" s="113">
        <f t="shared" si="195"/>
        <v>3095.217877477281</v>
      </c>
      <c r="I522" s="114">
        <f t="shared" si="196"/>
        <v>1.5704732477558818</v>
      </c>
      <c r="J522" s="101">
        <f t="shared" si="197"/>
        <v>4.6603432396421232</v>
      </c>
      <c r="K522" s="104">
        <f t="shared" si="198"/>
        <v>1.3545381483918002</v>
      </c>
      <c r="L522" s="102">
        <f t="shared" si="199"/>
        <v>1</v>
      </c>
      <c r="M522" s="103">
        <f t="shared" si="200"/>
        <v>2.9586639931757999E-9</v>
      </c>
      <c r="N522" s="101">
        <f t="shared" si="201"/>
        <v>1</v>
      </c>
      <c r="O522" s="104">
        <f t="shared" si="202"/>
        <v>3.9448853242343996E-10</v>
      </c>
      <c r="P522" s="105">
        <f t="shared" ca="1" si="203"/>
        <v>3.9976487762866069</v>
      </c>
      <c r="Q522" s="106">
        <f t="shared" ca="1" si="204"/>
        <v>1.4516480739277557</v>
      </c>
      <c r="R522" s="107">
        <f t="shared" ca="1" si="205"/>
        <v>-36.80109053673042</v>
      </c>
      <c r="S522" s="108">
        <f t="shared" ca="1" si="206"/>
        <v>-185.83760048157714</v>
      </c>
      <c r="T522" s="116">
        <f t="shared" ca="1" si="207"/>
        <v>-5.837600481577141</v>
      </c>
      <c r="V522" s="72">
        <f t="shared" ca="1" si="208"/>
        <v>72444</v>
      </c>
      <c r="W522" s="72">
        <f t="shared" si="209"/>
        <v>5248133136</v>
      </c>
      <c r="Y522" s="110">
        <f t="shared" si="210"/>
        <v>32.652242276387547</v>
      </c>
      <c r="Z522" s="111">
        <f t="shared" si="211"/>
        <v>-77.625516216231375</v>
      </c>
      <c r="AA522" s="72">
        <f t="shared" si="212"/>
        <v>102.37448378376862</v>
      </c>
      <c r="AB522" s="110">
        <f t="shared" ca="1" si="213"/>
        <v>-51.952107545283965</v>
      </c>
      <c r="AC522" s="111">
        <f t="shared" ca="1" si="214"/>
        <v>-108.21208426534575</v>
      </c>
      <c r="AD522" s="72">
        <f t="shared" ca="1" si="215"/>
        <v>71.787915734654248</v>
      </c>
    </row>
    <row r="523" spans="1:30">
      <c r="A523" s="118">
        <v>72865.75</v>
      </c>
      <c r="B523" s="101">
        <f t="shared" ca="1" si="189"/>
        <v>4062.2049333184532</v>
      </c>
      <c r="C523" s="102">
        <f t="shared" ca="1" si="190"/>
        <v>1.5705501550663612</v>
      </c>
      <c r="D523" s="102">
        <f t="shared" si="191"/>
        <v>2.372810043865123</v>
      </c>
      <c r="E523" s="103">
        <f t="shared" si="192"/>
        <v>1.1357623242880461</v>
      </c>
      <c r="F523" s="101">
        <f t="shared" si="193"/>
        <v>24905.898124552608</v>
      </c>
      <c r="G523" s="104">
        <f t="shared" si="194"/>
        <v>1.5707561756630135</v>
      </c>
      <c r="H523" s="113">
        <f t="shared" si="195"/>
        <v>3113.2374236641535</v>
      </c>
      <c r="I523" s="114">
        <f t="shared" si="196"/>
        <v>1.5704751177507053</v>
      </c>
      <c r="J523" s="101">
        <f t="shared" si="197"/>
        <v>4.6862287794380215</v>
      </c>
      <c r="K523" s="104">
        <f t="shared" si="198"/>
        <v>1.3557515195699603</v>
      </c>
      <c r="L523" s="102">
        <f t="shared" si="199"/>
        <v>1</v>
      </c>
      <c r="M523" s="103">
        <f t="shared" si="200"/>
        <v>2.9758885602775873E-9</v>
      </c>
      <c r="N523" s="101">
        <f t="shared" si="201"/>
        <v>1</v>
      </c>
      <c r="O523" s="104">
        <f t="shared" si="202"/>
        <v>3.9678514137034493E-10</v>
      </c>
      <c r="P523" s="105">
        <f t="shared" ca="1" si="203"/>
        <v>4.0198744424256709</v>
      </c>
      <c r="Q523" s="106">
        <f t="shared" ca="1" si="204"/>
        <v>1.4538451067082836</v>
      </c>
      <c r="R523" s="107">
        <f t="shared" ca="1" si="205"/>
        <v>-36.906357406544842</v>
      </c>
      <c r="S523" s="108">
        <f t="shared" ca="1" si="206"/>
        <v>-185.90564000401432</v>
      </c>
      <c r="T523" s="116">
        <f t="shared" ca="1" si="207"/>
        <v>-5.905640004014316</v>
      </c>
      <c r="V523" s="72">
        <f t="shared" ca="1" si="208"/>
        <v>72865.75</v>
      </c>
      <c r="W523" s="72">
        <f t="shared" si="209"/>
        <v>5309417523.0625</v>
      </c>
      <c r="Y523" s="110">
        <f t="shared" si="210"/>
        <v>32.604130617832837</v>
      </c>
      <c r="Z523" s="111">
        <f t="shared" si="211"/>
        <v>-77.694943512988459</v>
      </c>
      <c r="AA523" s="72">
        <f t="shared" si="212"/>
        <v>102.30505648701154</v>
      </c>
      <c r="AB523" s="110">
        <f t="shared" ca="1" si="213"/>
        <v>-52.009262756543684</v>
      </c>
      <c r="AC523" s="111">
        <f t="shared" ca="1" si="214"/>
        <v>-108.21069649102589</v>
      </c>
      <c r="AD523" s="72">
        <f t="shared" ca="1" si="215"/>
        <v>71.789303508974115</v>
      </c>
    </row>
    <row r="524" spans="1:30">
      <c r="A524" s="118">
        <v>73287.5</v>
      </c>
      <c r="B524" s="101">
        <f t="shared" ca="1" si="189"/>
        <v>4085.7171434734692</v>
      </c>
      <c r="C524" s="102">
        <f t="shared" ca="1" si="190"/>
        <v>1.570551571718892</v>
      </c>
      <c r="D524" s="102">
        <f t="shared" si="191"/>
        <v>2.3841104259888422</v>
      </c>
      <c r="E524" s="103">
        <f t="shared" si="192"/>
        <v>1.1379639517255788</v>
      </c>
      <c r="F524" s="101">
        <f t="shared" si="193"/>
        <v>25050.05450141204</v>
      </c>
      <c r="G524" s="104">
        <f t="shared" si="194"/>
        <v>1.5707564067220596</v>
      </c>
      <c r="H524" s="113">
        <f t="shared" si="195"/>
        <v>3131.2569698617876</v>
      </c>
      <c r="I524" s="114">
        <f t="shared" si="196"/>
        <v>1.5704769662228888</v>
      </c>
      <c r="J524" s="101">
        <f t="shared" si="197"/>
        <v>4.7121211428181118</v>
      </c>
      <c r="K524" s="104">
        <f t="shared" si="198"/>
        <v>1.3569515579317939</v>
      </c>
      <c r="L524" s="102">
        <f t="shared" si="199"/>
        <v>1</v>
      </c>
      <c r="M524" s="103">
        <f t="shared" si="200"/>
        <v>2.9931131273793747E-9</v>
      </c>
      <c r="N524" s="101">
        <f t="shared" si="201"/>
        <v>1</v>
      </c>
      <c r="O524" s="104">
        <f t="shared" si="202"/>
        <v>3.9908175031724995E-10</v>
      </c>
      <c r="P524" s="105">
        <f t="shared" ca="1" si="203"/>
        <v>4.0421152247902592</v>
      </c>
      <c r="Q524" s="106">
        <f t="shared" ca="1" si="204"/>
        <v>1.4560267112513263</v>
      </c>
      <c r="R524" s="107">
        <f t="shared" ca="1" si="205"/>
        <v>-37.011002089234651</v>
      </c>
      <c r="S524" s="108">
        <f t="shared" ca="1" si="206"/>
        <v>-185.97323840653976</v>
      </c>
      <c r="T524" s="116">
        <f t="shared" ca="1" si="207"/>
        <v>-5.9732384065397639</v>
      </c>
      <c r="V524" s="72">
        <f t="shared" ca="1" si="208"/>
        <v>73287.5</v>
      </c>
      <c r="W524" s="72">
        <f t="shared" si="209"/>
        <v>5371057656.25</v>
      </c>
      <c r="Y524" s="110">
        <f t="shared" si="210"/>
        <v>32.556271407348277</v>
      </c>
      <c r="Z524" s="111">
        <f t="shared" si="211"/>
        <v>-77.763607974651947</v>
      </c>
      <c r="AA524" s="72">
        <f t="shared" si="212"/>
        <v>102.23639202534805</v>
      </c>
      <c r="AB524" s="110">
        <f t="shared" ca="1" si="213"/>
        <v>-52.066048228748926</v>
      </c>
      <c r="AC524" s="111">
        <f t="shared" ca="1" si="214"/>
        <v>-108.20963043188782</v>
      </c>
      <c r="AD524" s="72">
        <f t="shared" ca="1" si="215"/>
        <v>71.790369568112183</v>
      </c>
    </row>
    <row r="525" spans="1:30">
      <c r="A525" s="118">
        <v>73709.25</v>
      </c>
      <c r="B525" s="101">
        <f t="shared" ca="1" si="189"/>
        <v>4109.2293536365914</v>
      </c>
      <c r="C525" s="102">
        <f t="shared" ca="1" si="190"/>
        <v>1.5705529721598031</v>
      </c>
      <c r="D525" s="102">
        <f t="shared" si="191"/>
        <v>2.3954222552205269</v>
      </c>
      <c r="E525" s="103">
        <f t="shared" si="192"/>
        <v>1.1401447962952325</v>
      </c>
      <c r="F525" s="101">
        <f t="shared" si="193"/>
        <v>25194.210878272792</v>
      </c>
      <c r="G525" s="104">
        <f t="shared" si="194"/>
        <v>1.570756635136956</v>
      </c>
      <c r="H525" s="113">
        <f t="shared" si="195"/>
        <v>3149.2765160699983</v>
      </c>
      <c r="I525" s="114">
        <f t="shared" si="196"/>
        <v>1.5704787935418774</v>
      </c>
      <c r="J525" s="101">
        <f t="shared" si="197"/>
        <v>4.7380202179136974</v>
      </c>
      <c r="K525" s="104">
        <f t="shared" si="198"/>
        <v>1.3581384786327746</v>
      </c>
      <c r="L525" s="102">
        <f t="shared" si="199"/>
        <v>1</v>
      </c>
      <c r="M525" s="103">
        <f t="shared" si="200"/>
        <v>3.0103376944811625E-9</v>
      </c>
      <c r="N525" s="101">
        <f t="shared" si="201"/>
        <v>1</v>
      </c>
      <c r="O525" s="104">
        <f t="shared" si="202"/>
        <v>4.0137835926415496E-10</v>
      </c>
      <c r="P525" s="105">
        <f t="shared" ca="1" si="203"/>
        <v>4.0643710370834061</v>
      </c>
      <c r="Q525" s="106">
        <f t="shared" ca="1" si="204"/>
        <v>1.4581931268592652</v>
      </c>
      <c r="R525" s="107">
        <f t="shared" ca="1" si="205"/>
        <v>-37.115031948433376</v>
      </c>
      <c r="S525" s="108">
        <f t="shared" ca="1" si="206"/>
        <v>-186.04040586283244</v>
      </c>
      <c r="T525" s="116">
        <f t="shared" ca="1" si="207"/>
        <v>-6.0404058628324435</v>
      </c>
      <c r="V525" s="72">
        <f t="shared" ca="1" si="208"/>
        <v>73709.25</v>
      </c>
      <c r="W525" s="72">
        <f t="shared" si="209"/>
        <v>5433053535.5625</v>
      </c>
      <c r="Y525" s="110">
        <f t="shared" si="210"/>
        <v>32.5086621523877</v>
      </c>
      <c r="Z525" s="111">
        <f t="shared" si="211"/>
        <v>-77.83152191020082</v>
      </c>
      <c r="AA525" s="72">
        <f t="shared" si="212"/>
        <v>102.16847808979918</v>
      </c>
      <c r="AB525" s="110">
        <f t="shared" ca="1" si="213"/>
        <v>-52.122468832987074</v>
      </c>
      <c r="AC525" s="111">
        <f t="shared" ca="1" si="214"/>
        <v>-108.20888395263161</v>
      </c>
      <c r="AD525" s="72">
        <f t="shared" ca="1" si="215"/>
        <v>71.791116047368391</v>
      </c>
    </row>
    <row r="526" spans="1:30">
      <c r="A526" s="118">
        <v>74131</v>
      </c>
      <c r="B526" s="101">
        <f t="shared" ref="B526:B589" ca="1" si="216">SQRT(1+(A526/Pole1)^2)</f>
        <v>4132.7415638076809</v>
      </c>
      <c r="C526" s="102">
        <f t="shared" ref="C526:C589" ca="1" si="217">ATAN(A526/Pole1)</f>
        <v>1.5705543566657902</v>
      </c>
      <c r="D526" s="102">
        <f t="shared" ref="D526:D589" si="218">SQRT(1+(A526/Zero1)^2)</f>
        <v>2.4067453701541619</v>
      </c>
      <c r="E526" s="103">
        <f t="shared" ref="E526:E589" si="219">ATAN(A526/Zero1)</f>
        <v>1.1423051304391312</v>
      </c>
      <c r="F526" s="101">
        <f t="shared" ref="F526:F589" si="220">SQRT(1+(A526/Pole2)^2)</f>
        <v>25338.367255134843</v>
      </c>
      <c r="G526" s="104">
        <f t="shared" ref="G526:G589" si="221">ATAN(A526/Pole2)</f>
        <v>1.5707568609528322</v>
      </c>
      <c r="H526" s="113">
        <f t="shared" ref="H526:H589" si="222">SQRT(1+(A526/Zero2)^2)</f>
        <v>3167.2960622886048</v>
      </c>
      <c r="I526" s="114">
        <f t="shared" ref="I526:I589" si="223">ATAN(A526/Zero2)</f>
        <v>1.5704806000687088</v>
      </c>
      <c r="J526" s="101">
        <f t="shared" ref="J526:J589" si="224">SQRT(1+(A526/pole4)^2)</f>
        <v>4.7639258952600878</v>
      </c>
      <c r="K526" s="104">
        <f t="shared" ref="K526:K589" si="225">ATAN(A526/pole4)</f>
        <v>1.3593124922980793</v>
      </c>
      <c r="L526" s="102">
        <f t="shared" ref="L526:L589" si="226">SQRT(1+(A526/Zerofeed)^2)</f>
        <v>1</v>
      </c>
      <c r="M526" s="103">
        <f t="shared" ref="M526:M589" si="227">ATAN(A526/Zerofeed)</f>
        <v>3.0275622615829499E-9</v>
      </c>
      <c r="N526" s="101">
        <f t="shared" ref="N526:N589" si="228">SQRT(1+(A526/Polefeed)^2)</f>
        <v>1</v>
      </c>
      <c r="O526" s="104">
        <f t="shared" ref="O526:O589" si="229">ATAN(A526/Polefeed)</f>
        <v>4.0367496821105993E-10</v>
      </c>
      <c r="P526" s="105">
        <f t="shared" ref="P526:P589" ca="1" si="230">SQRT((1-(W526/pterm2))^2+(A526/pterm1)^2)</f>
        <v>4.086641795650606</v>
      </c>
      <c r="Q526" s="106">
        <f t="shared" ref="Q526:Q589" ca="1" si="231">IF((ATAN((A526/pterm1)/(1-A526^2/pterm2))&gt;0),ATAN((A526/pterm1)/(1-A526^2/pterm2)),PI()+ATAN((A526/pterm1)/(1-A526^2/pterm2)))</f>
        <v>1.4603445879370032</v>
      </c>
      <c r="R526" s="107">
        <f t="shared" ref="R526:R589" ca="1" si="232">20*LOG10(((D526*H526*L526)/(B526*F526*P526*J526*N526))*Adc)</f>
        <v>-37.218454223458316</v>
      </c>
      <c r="S526" s="108">
        <f t="shared" ref="S526:S589" ca="1" si="233">((E526+I526+M526)-(C526+G526+Q526+K526+O526))*radconv</f>
        <v>-186.10715225920714</v>
      </c>
      <c r="T526" s="116">
        <f t="shared" ref="T526:T589" ca="1" si="234">IF(S526&gt;0,S526,S526+180)</f>
        <v>-6.1071522592071403</v>
      </c>
      <c r="V526" s="72">
        <f t="shared" ref="V526:V589" ca="1" si="235">IF(R526&lt;0,A526,1000000000)</f>
        <v>74131</v>
      </c>
      <c r="W526" s="72">
        <f t="shared" ref="W526:W589" si="236">A526^2</f>
        <v>5495405161</v>
      </c>
      <c r="Y526" s="110">
        <f t="shared" ref="Y526:Y589" si="237">20*LOG10(((H526*L526)/(F526*J526*N526))*Aea)</f>
        <v>32.461300394596556</v>
      </c>
      <c r="Z526" s="111">
        <f t="shared" ref="Z526:Z589" si="238">(I526+M526-(G526+K526+O526))*radconv</f>
        <v>-77.898697369468564</v>
      </c>
      <c r="AA526" s="72">
        <f t="shared" ref="AA526:AA589" si="239">IF(Z526&gt;0,Z526,Z526+180)</f>
        <v>102.10130263053144</v>
      </c>
      <c r="AB526" s="110">
        <f t="shared" ref="AB526:AB589" ca="1" si="240">20*LOG10((D526/(B526*P526))*Acs*Am)</f>
        <v>-52.17852935022087</v>
      </c>
      <c r="AC526" s="111">
        <f t="shared" ref="AC526:AC589" ca="1" si="241">(E526-(C526+Q526))*radconv</f>
        <v>-108.20845488973855</v>
      </c>
      <c r="AD526" s="72">
        <f t="shared" ref="AD526:AD589" ca="1" si="242">IF(AC526&gt;0,AC526,AC526+180)</f>
        <v>71.791545110261453</v>
      </c>
    </row>
    <row r="527" spans="1:30">
      <c r="A527" s="118">
        <v>74562.75</v>
      </c>
      <c r="B527" s="101">
        <f t="shared" ca="1" si="216"/>
        <v>4156.8112656329067</v>
      </c>
      <c r="C527" s="102">
        <f t="shared" ca="1" si="217"/>
        <v>1.5705557577755829</v>
      </c>
      <c r="D527" s="102">
        <f t="shared" si="218"/>
        <v>2.4183484891551656</v>
      </c>
      <c r="E527" s="103">
        <f t="shared" si="219"/>
        <v>1.1444957219006686</v>
      </c>
      <c r="F527" s="101">
        <f t="shared" si="220"/>
        <v>25485.941684798741</v>
      </c>
      <c r="G527" s="104">
        <f t="shared" si="221"/>
        <v>1.5707570894768244</v>
      </c>
      <c r="H527" s="113">
        <f t="shared" si="222"/>
        <v>3185.7428650967786</v>
      </c>
      <c r="I527" s="114">
        <f t="shared" si="223"/>
        <v>1.5704824282604675</v>
      </c>
      <c r="J527" s="101">
        <f t="shared" si="224"/>
        <v>4.7904525422001933</v>
      </c>
      <c r="K527" s="104">
        <f t="shared" si="225"/>
        <v>1.3605011882317439</v>
      </c>
      <c r="L527" s="102">
        <f t="shared" si="226"/>
        <v>1</v>
      </c>
      <c r="M527" s="103">
        <f t="shared" si="227"/>
        <v>3.0451952357292372E-9</v>
      </c>
      <c r="N527" s="101">
        <f t="shared" si="228"/>
        <v>1</v>
      </c>
      <c r="O527" s="104">
        <f t="shared" si="229"/>
        <v>4.0602603143056497E-10</v>
      </c>
      <c r="P527" s="105">
        <f t="shared" ca="1" si="230"/>
        <v>4.109456007561918</v>
      </c>
      <c r="Q527" s="106">
        <f t="shared" ca="1" si="231"/>
        <v>1.4625318108284455</v>
      </c>
      <c r="R527" s="107">
        <f t="shared" ca="1" si="232"/>
        <v>-37.323706781988982</v>
      </c>
      <c r="S527" s="108">
        <f t="shared" ca="1" si="233"/>
        <v>-186.17505513714912</v>
      </c>
      <c r="T527" s="116">
        <f t="shared" ca="1" si="234"/>
        <v>-6.1750551371491156</v>
      </c>
      <c r="V527" s="72">
        <f t="shared" ca="1" si="235"/>
        <v>74562.75</v>
      </c>
      <c r="W527" s="72">
        <f t="shared" si="236"/>
        <v>5559603687.5625</v>
      </c>
      <c r="Y527" s="110">
        <f t="shared" si="237"/>
        <v>32.413069492957618</v>
      </c>
      <c r="Z527" s="111">
        <f t="shared" si="238"/>
        <v>-77.966712974582379</v>
      </c>
      <c r="AA527" s="72">
        <f t="shared" si="239"/>
        <v>102.03328702541762</v>
      </c>
      <c r="AB527" s="110">
        <f t="shared" ca="1" si="240"/>
        <v>-52.235551007112598</v>
      </c>
      <c r="AC527" s="111">
        <f t="shared" ca="1" si="241"/>
        <v>-108.20834216256672</v>
      </c>
      <c r="AD527" s="72">
        <f t="shared" ca="1" si="242"/>
        <v>71.791657837433277</v>
      </c>
    </row>
    <row r="528" spans="1:30">
      <c r="A528" s="118">
        <v>74994.5</v>
      </c>
      <c r="B528" s="101">
        <f t="shared" ca="1" si="216"/>
        <v>4180.8809674661989</v>
      </c>
      <c r="C528" s="102">
        <f t="shared" ca="1" si="217"/>
        <v>1.5705571427527494</v>
      </c>
      <c r="D528" s="102">
        <f t="shared" si="218"/>
        <v>2.4299631022035824</v>
      </c>
      <c r="E528" s="103">
        <f t="shared" si="219"/>
        <v>1.1466653827374855</v>
      </c>
      <c r="F528" s="101">
        <f t="shared" si="220"/>
        <v>25633.516114463953</v>
      </c>
      <c r="G528" s="104">
        <f t="shared" si="221"/>
        <v>1.5707573153695507</v>
      </c>
      <c r="H528" s="113">
        <f t="shared" si="222"/>
        <v>3204.1896679154779</v>
      </c>
      <c r="I528" s="114">
        <f t="shared" si="223"/>
        <v>1.5704842354021034</v>
      </c>
      <c r="J528" s="101">
        <f t="shared" si="224"/>
        <v>4.8169858834834516</v>
      </c>
      <c r="K528" s="104">
        <f t="shared" si="225"/>
        <v>1.3616767904543232</v>
      </c>
      <c r="L528" s="102">
        <f t="shared" si="226"/>
        <v>1</v>
      </c>
      <c r="M528" s="103">
        <f t="shared" si="227"/>
        <v>3.062828209875525E-9</v>
      </c>
      <c r="N528" s="101">
        <f t="shared" si="228"/>
        <v>1</v>
      </c>
      <c r="O528" s="104">
        <f t="shared" si="229"/>
        <v>4.0837709465006995E-10</v>
      </c>
      <c r="P528" s="105">
        <f t="shared" ca="1" si="230"/>
        <v>4.1322857136989457</v>
      </c>
      <c r="Q528" s="106">
        <f t="shared" ca="1" si="231"/>
        <v>1.4647038435410982</v>
      </c>
      <c r="R528" s="107">
        <f t="shared" ca="1" si="232"/>
        <v>-37.4283375676847</v>
      </c>
      <c r="S528" s="108">
        <f t="shared" ca="1" si="233"/>
        <v>-186.24253683502303</v>
      </c>
      <c r="T528" s="116">
        <f t="shared" ca="1" si="234"/>
        <v>-6.2425368350230315</v>
      </c>
      <c r="V528" s="72">
        <f t="shared" ca="1" si="235"/>
        <v>74994.5</v>
      </c>
      <c r="W528" s="72">
        <f t="shared" si="236"/>
        <v>5624175030.25</v>
      </c>
      <c r="Y528" s="110">
        <f t="shared" si="237"/>
        <v>32.365092857963106</v>
      </c>
      <c r="Z528" s="111">
        <f t="shared" si="238"/>
        <v>-78.033979420634765</v>
      </c>
      <c r="AA528" s="72">
        <f t="shared" si="239"/>
        <v>101.96602057936524</v>
      </c>
      <c r="AB528" s="110">
        <f t="shared" ca="1" si="240"/>
        <v>-52.292205157813811</v>
      </c>
      <c r="AC528" s="111">
        <f t="shared" ca="1" si="241"/>
        <v>-108.20855741438825</v>
      </c>
      <c r="AD528" s="72">
        <f t="shared" ca="1" si="242"/>
        <v>71.791442585611748</v>
      </c>
    </row>
    <row r="529" spans="1:30">
      <c r="A529" s="118">
        <v>75426.25</v>
      </c>
      <c r="B529" s="101">
        <f t="shared" ca="1" si="216"/>
        <v>4204.950669307419</v>
      </c>
      <c r="C529" s="102">
        <f t="shared" ca="1" si="217"/>
        <v>1.5705585118743257</v>
      </c>
      <c r="D529" s="102">
        <f t="shared" si="218"/>
        <v>2.4415890452682358</v>
      </c>
      <c r="E529" s="103">
        <f t="shared" si="219"/>
        <v>1.1488143913672826</v>
      </c>
      <c r="F529" s="101">
        <f t="shared" si="220"/>
        <v>25781.09054413046</v>
      </c>
      <c r="G529" s="104">
        <f t="shared" si="221"/>
        <v>1.5707575386761963</v>
      </c>
      <c r="H529" s="113">
        <f t="shared" si="222"/>
        <v>3222.6364707445214</v>
      </c>
      <c r="I529" s="114">
        <f t="shared" si="223"/>
        <v>1.5704860218550978</v>
      </c>
      <c r="J529" s="101">
        <f t="shared" si="224"/>
        <v>4.8435258090929247</v>
      </c>
      <c r="K529" s="104">
        <f t="shared" si="225"/>
        <v>1.362839510928926</v>
      </c>
      <c r="L529" s="102">
        <f t="shared" si="226"/>
        <v>1</v>
      </c>
      <c r="M529" s="103">
        <f t="shared" si="227"/>
        <v>3.0804611840218123E-9</v>
      </c>
      <c r="N529" s="101">
        <f t="shared" si="228"/>
        <v>1</v>
      </c>
      <c r="O529" s="104">
        <f t="shared" si="229"/>
        <v>4.1072815786957494E-10</v>
      </c>
      <c r="P529" s="105">
        <f t="shared" ca="1" si="230"/>
        <v>4.1551308324785241</v>
      </c>
      <c r="Q529" s="106">
        <f t="shared" ca="1" si="231"/>
        <v>1.4668609223838394</v>
      </c>
      <c r="R529" s="107">
        <f t="shared" ca="1" si="232"/>
        <v>-37.532353959339389</v>
      </c>
      <c r="S529" s="108">
        <f t="shared" ca="1" si="233"/>
        <v>-186.30960708251314</v>
      </c>
      <c r="T529" s="116">
        <f t="shared" ca="1" si="234"/>
        <v>-6.3096070825131392</v>
      </c>
      <c r="V529" s="72">
        <f t="shared" ca="1" si="235"/>
        <v>75426.25</v>
      </c>
      <c r="W529" s="72">
        <f t="shared" si="236"/>
        <v>5689119189.0625</v>
      </c>
      <c r="Y529" s="110">
        <f t="shared" si="237"/>
        <v>32.317367959925257</v>
      </c>
      <c r="Z529" s="111">
        <f t="shared" si="238"/>
        <v>-78.100508834094867</v>
      </c>
      <c r="AA529" s="72">
        <f t="shared" si="239"/>
        <v>101.89949116590513</v>
      </c>
      <c r="AB529" s="110">
        <f t="shared" ca="1" si="240"/>
        <v>-52.348496651430636</v>
      </c>
      <c r="AC529" s="111">
        <f t="shared" ca="1" si="241"/>
        <v>-108.20909824841831</v>
      </c>
      <c r="AD529" s="72">
        <f t="shared" ca="1" si="242"/>
        <v>71.790901751581686</v>
      </c>
    </row>
    <row r="530" spans="1:30">
      <c r="A530" s="118">
        <v>75858</v>
      </c>
      <c r="B530" s="101">
        <f t="shared" ca="1" si="216"/>
        <v>4229.0203711564318</v>
      </c>
      <c r="C530" s="102">
        <f t="shared" ca="1" si="217"/>
        <v>1.5705598654110406</v>
      </c>
      <c r="D530" s="102">
        <f t="shared" si="218"/>
        <v>2.4532261572688445</v>
      </c>
      <c r="E530" s="103">
        <f t="shared" si="219"/>
        <v>1.1509430216957106</v>
      </c>
      <c r="F530" s="101">
        <f t="shared" si="220"/>
        <v>25928.664973798241</v>
      </c>
      <c r="G530" s="104">
        <f t="shared" si="221"/>
        <v>1.5707577594409177</v>
      </c>
      <c r="H530" s="113">
        <f t="shared" si="222"/>
        <v>3241.0832735837325</v>
      </c>
      <c r="I530" s="114">
        <f t="shared" si="223"/>
        <v>1.5704877879727019</v>
      </c>
      <c r="J530" s="101">
        <f t="shared" si="224"/>
        <v>4.8700722113828627</v>
      </c>
      <c r="K530" s="104">
        <f t="shared" si="225"/>
        <v>1.3639895571381271</v>
      </c>
      <c r="L530" s="102">
        <f t="shared" si="226"/>
        <v>1</v>
      </c>
      <c r="M530" s="103">
        <f t="shared" si="227"/>
        <v>3.0980941581680997E-9</v>
      </c>
      <c r="N530" s="101">
        <f t="shared" si="228"/>
        <v>1</v>
      </c>
      <c r="O530" s="104">
        <f t="shared" si="229"/>
        <v>4.1307922108907993E-10</v>
      </c>
      <c r="P530" s="105">
        <f t="shared" ca="1" si="230"/>
        <v>4.1779912849287193</v>
      </c>
      <c r="Q530" s="106">
        <f t="shared" ca="1" si="231"/>
        <v>1.4690032788020841</v>
      </c>
      <c r="R530" s="107">
        <f t="shared" ca="1" si="232"/>
        <v>-37.635763210516153</v>
      </c>
      <c r="S530" s="108">
        <f t="shared" ca="1" si="233"/>
        <v>-186.37627533250486</v>
      </c>
      <c r="T530" s="116">
        <f t="shared" ca="1" si="234"/>
        <v>-6.3762753325048607</v>
      </c>
      <c r="V530" s="72">
        <f t="shared" ca="1" si="235"/>
        <v>75858</v>
      </c>
      <c r="W530" s="72">
        <f t="shared" si="236"/>
        <v>5754436164</v>
      </c>
      <c r="Y530" s="110">
        <f t="shared" si="237"/>
        <v>32.269892304285001</v>
      </c>
      <c r="Z530" s="111">
        <f t="shared" si="238"/>
        <v>-78.166313085128635</v>
      </c>
      <c r="AA530" s="72">
        <f t="shared" si="239"/>
        <v>101.83368691487136</v>
      </c>
      <c r="AB530" s="110">
        <f t="shared" ca="1" si="240"/>
        <v>-52.404430246967159</v>
      </c>
      <c r="AC530" s="111">
        <f t="shared" ca="1" si="241"/>
        <v>-108.20996224737618</v>
      </c>
      <c r="AD530" s="72">
        <f t="shared" ca="1" si="242"/>
        <v>71.790037752623817</v>
      </c>
    </row>
    <row r="531" spans="1:30">
      <c r="A531" s="118">
        <v>76299.75</v>
      </c>
      <c r="B531" s="101">
        <f t="shared" ca="1" si="216"/>
        <v>4253.6475646601348</v>
      </c>
      <c r="C531" s="102">
        <f t="shared" ca="1" si="217"/>
        <v>1.5705612344432125</v>
      </c>
      <c r="D531" s="102">
        <f t="shared" si="218"/>
        <v>2.4651441978318243</v>
      </c>
      <c r="E531" s="103">
        <f t="shared" si="219"/>
        <v>1.1531001436844344</v>
      </c>
      <c r="F531" s="101">
        <f t="shared" si="220"/>
        <v>26079.657456267956</v>
      </c>
      <c r="G531" s="104">
        <f t="shared" si="221"/>
        <v>1.570757982732981</v>
      </c>
      <c r="H531" s="113">
        <f t="shared" si="222"/>
        <v>3259.9573330132348</v>
      </c>
      <c r="I531" s="114">
        <f t="shared" si="223"/>
        <v>1.5704895743090417</v>
      </c>
      <c r="J531" s="101">
        <f t="shared" si="224"/>
        <v>4.8972400631244346</v>
      </c>
      <c r="K531" s="104">
        <f t="shared" si="225"/>
        <v>1.3651533340301494</v>
      </c>
      <c r="L531" s="102">
        <f t="shared" si="226"/>
        <v>1</v>
      </c>
      <c r="M531" s="103">
        <f t="shared" si="227"/>
        <v>3.1161355393588874E-9</v>
      </c>
      <c r="N531" s="101">
        <f t="shared" si="228"/>
        <v>1</v>
      </c>
      <c r="O531" s="104">
        <f t="shared" si="229"/>
        <v>4.1548473858118493E-10</v>
      </c>
      <c r="P531" s="105">
        <f t="shared" ca="1" si="230"/>
        <v>4.2013970117436914</v>
      </c>
      <c r="Q531" s="106">
        <f t="shared" ca="1" si="231"/>
        <v>1.4711802540782626</v>
      </c>
      <c r="R531" s="107">
        <f t="shared" ca="1" si="232"/>
        <v>-37.740946620550261</v>
      </c>
      <c r="S531" s="108">
        <f t="shared" ca="1" si="233"/>
        <v>-186.44408122940007</v>
      </c>
      <c r="T531" s="116">
        <f t="shared" ca="1" si="234"/>
        <v>-6.4440812294000693</v>
      </c>
      <c r="V531" s="72">
        <f t="shared" ca="1" si="235"/>
        <v>76299.75</v>
      </c>
      <c r="W531" s="72">
        <f t="shared" si="236"/>
        <v>5821651850.0625</v>
      </c>
      <c r="Y531" s="110">
        <f t="shared" si="237"/>
        <v>32.221572441703287</v>
      </c>
      <c r="Z531" s="111">
        <f t="shared" si="238"/>
        <v>-78.232903032676347</v>
      </c>
      <c r="AA531" s="72">
        <f t="shared" si="239"/>
        <v>101.76709696732365</v>
      </c>
      <c r="AB531" s="110">
        <f t="shared" ca="1" si="240"/>
        <v>-52.461293794419547</v>
      </c>
      <c r="AC531" s="111">
        <f t="shared" ca="1" si="241"/>
        <v>-108.21117819672364</v>
      </c>
      <c r="AD531" s="72">
        <f t="shared" ca="1" si="242"/>
        <v>71.788821803276363</v>
      </c>
    </row>
    <row r="532" spans="1:30">
      <c r="A532" s="118">
        <v>76741.5</v>
      </c>
      <c r="B532" s="101">
        <f t="shared" ca="1" si="216"/>
        <v>4278.2747581717185</v>
      </c>
      <c r="C532" s="102">
        <f t="shared" ca="1" si="217"/>
        <v>1.5705625877141618</v>
      </c>
      <c r="D532" s="102">
        <f t="shared" si="218"/>
        <v>2.4770735987325585</v>
      </c>
      <c r="E532" s="103">
        <f t="shared" si="219"/>
        <v>1.1552364984585612</v>
      </c>
      <c r="F532" s="101">
        <f t="shared" si="220"/>
        <v>26230.649938738952</v>
      </c>
      <c r="G532" s="104">
        <f t="shared" si="221"/>
        <v>1.570758203454355</v>
      </c>
      <c r="H532" s="113">
        <f t="shared" si="222"/>
        <v>3278.8313924530189</v>
      </c>
      <c r="I532" s="114">
        <f t="shared" si="223"/>
        <v>1.5704913400798723</v>
      </c>
      <c r="J532" s="101">
        <f t="shared" si="224"/>
        <v>4.9244144743835019</v>
      </c>
      <c r="K532" s="104">
        <f t="shared" si="225"/>
        <v>1.3663042683195943</v>
      </c>
      <c r="L532" s="102">
        <f t="shared" si="226"/>
        <v>1</v>
      </c>
      <c r="M532" s="103">
        <f t="shared" si="227"/>
        <v>3.1341769205496747E-9</v>
      </c>
      <c r="N532" s="101">
        <f t="shared" si="228"/>
        <v>1</v>
      </c>
      <c r="O532" s="104">
        <f t="shared" si="229"/>
        <v>4.1789025607328994E-10</v>
      </c>
      <c r="P532" s="105">
        <f t="shared" ca="1" si="230"/>
        <v>4.2248186315779597</v>
      </c>
      <c r="Q532" s="106">
        <f t="shared" ca="1" si="231"/>
        <v>1.4733422921643882</v>
      </c>
      <c r="R532" s="107">
        <f t="shared" ca="1" si="232"/>
        <v>-37.845509412611037</v>
      </c>
      <c r="S532" s="108">
        <f t="shared" ca="1" si="233"/>
        <v>-186.51148546314568</v>
      </c>
      <c r="T532" s="116">
        <f t="shared" ca="1" si="234"/>
        <v>-6.5114854631456751</v>
      </c>
      <c r="V532" s="72">
        <f t="shared" ca="1" si="235"/>
        <v>76741.5</v>
      </c>
      <c r="W532" s="72">
        <f t="shared" si="236"/>
        <v>5889257822.25</v>
      </c>
      <c r="Y532" s="110">
        <f t="shared" si="237"/>
        <v>32.173508327608722</v>
      </c>
      <c r="Z532" s="111">
        <f t="shared" si="238"/>
        <v>-78.298758184324825</v>
      </c>
      <c r="AA532" s="72">
        <f t="shared" si="239"/>
        <v>101.70124181567517</v>
      </c>
      <c r="AB532" s="110">
        <f t="shared" ca="1" si="240"/>
        <v>-52.51779247238575</v>
      </c>
      <c r="AC532" s="111">
        <f t="shared" ca="1" si="241"/>
        <v>-108.21272727882081</v>
      </c>
      <c r="AD532" s="72">
        <f t="shared" ca="1" si="242"/>
        <v>71.787272721179193</v>
      </c>
    </row>
    <row r="533" spans="1:30">
      <c r="A533" s="118">
        <v>77183.25</v>
      </c>
      <c r="B533" s="101">
        <f t="shared" ca="1" si="216"/>
        <v>4302.9019516910485</v>
      </c>
      <c r="C533" s="102">
        <f t="shared" ca="1" si="217"/>
        <v>1.5705639254945116</v>
      </c>
      <c r="D533" s="102">
        <f t="shared" si="218"/>
        <v>2.4890141966268375</v>
      </c>
      <c r="E533" s="103">
        <f t="shared" si="219"/>
        <v>1.1573523652569984</v>
      </c>
      <c r="F533" s="101">
        <f t="shared" si="220"/>
        <v>26381.642421211214</v>
      </c>
      <c r="G533" s="104">
        <f t="shared" si="221"/>
        <v>1.5707584216491792</v>
      </c>
      <c r="H533" s="113">
        <f t="shared" si="222"/>
        <v>3297.7054519029098</v>
      </c>
      <c r="I533" s="114">
        <f t="shared" si="223"/>
        <v>1.5704930856383073</v>
      </c>
      <c r="J533" s="101">
        <f t="shared" si="224"/>
        <v>4.9515953371639458</v>
      </c>
      <c r="K533" s="104">
        <f t="shared" si="225"/>
        <v>1.3674425684231628</v>
      </c>
      <c r="L533" s="102">
        <f t="shared" si="226"/>
        <v>1</v>
      </c>
      <c r="M533" s="103">
        <f t="shared" si="227"/>
        <v>3.1522183017404624E-9</v>
      </c>
      <c r="N533" s="101">
        <f t="shared" si="228"/>
        <v>1</v>
      </c>
      <c r="O533" s="104">
        <f t="shared" si="229"/>
        <v>4.2029577356539495E-10</v>
      </c>
      <c r="P533" s="105">
        <f t="shared" ca="1" si="230"/>
        <v>4.2482560678941024</v>
      </c>
      <c r="Q533" s="106">
        <f t="shared" ca="1" si="231"/>
        <v>1.4754896259334884</v>
      </c>
      <c r="R533" s="107">
        <f t="shared" ca="1" si="232"/>
        <v>-37.949458966280659</v>
      </c>
      <c r="S533" s="108">
        <f t="shared" ca="1" si="233"/>
        <v>-186.57849731637242</v>
      </c>
      <c r="T533" s="116">
        <f t="shared" ca="1" si="234"/>
        <v>-6.5784973163724203</v>
      </c>
      <c r="V533" s="72">
        <f t="shared" ca="1" si="235"/>
        <v>77183.25</v>
      </c>
      <c r="W533" s="72">
        <f t="shared" si="236"/>
        <v>5957254080.5625</v>
      </c>
      <c r="Y533" s="110">
        <f t="shared" si="237"/>
        <v>32.125697400442832</v>
      </c>
      <c r="Z533" s="111">
        <f t="shared" si="238"/>
        <v>-78.363890463768499</v>
      </c>
      <c r="AA533" s="72">
        <f t="shared" si="239"/>
        <v>101.6361095362315</v>
      </c>
      <c r="AB533" s="110">
        <f t="shared" ca="1" si="240"/>
        <v>-52.573931098889489</v>
      </c>
      <c r="AC533" s="111">
        <f t="shared" ca="1" si="241"/>
        <v>-108.21460685260395</v>
      </c>
      <c r="AD533" s="72">
        <f t="shared" ca="1" si="242"/>
        <v>71.78539314739605</v>
      </c>
    </row>
    <row r="534" spans="1:30">
      <c r="A534" s="118">
        <v>77625</v>
      </c>
      <c r="B534" s="101">
        <f t="shared" ca="1" si="216"/>
        <v>4327.5291452179908</v>
      </c>
      <c r="C534" s="102">
        <f t="shared" ca="1" si="217"/>
        <v>1.5705652480487247</v>
      </c>
      <c r="D534" s="102">
        <f t="shared" si="218"/>
        <v>2.5009658311380685</v>
      </c>
      <c r="E534" s="103">
        <f t="shared" si="219"/>
        <v>1.1594480187222422</v>
      </c>
      <c r="F534" s="101">
        <f t="shared" si="220"/>
        <v>26532.634903684717</v>
      </c>
      <c r="G534" s="104">
        <f t="shared" si="221"/>
        <v>1.570758637360588</v>
      </c>
      <c r="H534" s="113">
        <f t="shared" si="222"/>
        <v>3316.5795113627341</v>
      </c>
      <c r="I534" s="114">
        <f t="shared" si="223"/>
        <v>1.5704948113294221</v>
      </c>
      <c r="J534" s="101">
        <f t="shared" si="224"/>
        <v>4.9787825458026376</v>
      </c>
      <c r="K534" s="104">
        <f t="shared" si="225"/>
        <v>1.3685684383378145</v>
      </c>
      <c r="L534" s="102">
        <f t="shared" si="226"/>
        <v>1</v>
      </c>
      <c r="M534" s="103">
        <f t="shared" si="227"/>
        <v>3.1702596829312497E-9</v>
      </c>
      <c r="N534" s="101">
        <f t="shared" si="228"/>
        <v>1</v>
      </c>
      <c r="O534" s="104">
        <f t="shared" si="229"/>
        <v>4.2270129105749996E-10</v>
      </c>
      <c r="P534" s="105">
        <f t="shared" ca="1" si="230"/>
        <v>4.2717092467279372</v>
      </c>
      <c r="Q534" s="106">
        <f t="shared" ca="1" si="231"/>
        <v>1.4776224834423841</v>
      </c>
      <c r="R534" s="107">
        <f t="shared" ca="1" si="232"/>
        <v>-38.052802535349308</v>
      </c>
      <c r="S534" s="108">
        <f t="shared" ca="1" si="233"/>
        <v>-186.64512580593538</v>
      </c>
      <c r="T534" s="116">
        <f t="shared" ca="1" si="234"/>
        <v>-6.645125805935379</v>
      </c>
      <c r="V534" s="72">
        <f t="shared" ca="1" si="235"/>
        <v>77625</v>
      </c>
      <c r="W534" s="72">
        <f t="shared" si="236"/>
        <v>6025640625</v>
      </c>
      <c r="Y534" s="110">
        <f t="shared" si="237"/>
        <v>32.078137134610941</v>
      </c>
      <c r="Z534" s="111">
        <f t="shared" si="238"/>
        <v>-78.428311541872233</v>
      </c>
      <c r="AA534" s="72">
        <f t="shared" si="239"/>
        <v>101.57168845812777</v>
      </c>
      <c r="AB534" s="110">
        <f t="shared" ca="1" si="240"/>
        <v>-52.629714402126247</v>
      </c>
      <c r="AC534" s="111">
        <f t="shared" ca="1" si="241"/>
        <v>-108.21681426406316</v>
      </c>
      <c r="AD534" s="72">
        <f t="shared" ca="1" si="242"/>
        <v>71.78318573593684</v>
      </c>
    </row>
    <row r="535" spans="1:30">
      <c r="A535" s="118">
        <v>78077</v>
      </c>
      <c r="B535" s="101">
        <f t="shared" ca="1" si="216"/>
        <v>4352.7277676913336</v>
      </c>
      <c r="C535" s="102">
        <f t="shared" ca="1" si="217"/>
        <v>1.5705665857997857</v>
      </c>
      <c r="D535" s="102">
        <f t="shared" si="218"/>
        <v>2.5132060409229466</v>
      </c>
      <c r="E535" s="103">
        <f t="shared" si="219"/>
        <v>1.1615716574354027</v>
      </c>
      <c r="F535" s="101">
        <f t="shared" si="220"/>
        <v>26687.130890280263</v>
      </c>
      <c r="G535" s="104">
        <f t="shared" si="221"/>
        <v>1.5707588555506349</v>
      </c>
      <c r="H535" s="113">
        <f t="shared" si="222"/>
        <v>3335.8915088280542</v>
      </c>
      <c r="I535" s="114">
        <f t="shared" si="223"/>
        <v>1.5704965568496418</v>
      </c>
      <c r="J535" s="101">
        <f t="shared" si="224"/>
        <v>5.0066070444435846</v>
      </c>
      <c r="K535" s="104">
        <f t="shared" si="225"/>
        <v>1.3697077741070085</v>
      </c>
      <c r="L535" s="102">
        <f t="shared" si="226"/>
        <v>1</v>
      </c>
      <c r="M535" s="103">
        <f t="shared" si="227"/>
        <v>3.1887196813426497E-9</v>
      </c>
      <c r="N535" s="101">
        <f t="shared" si="228"/>
        <v>1</v>
      </c>
      <c r="O535" s="104">
        <f t="shared" si="229"/>
        <v>4.2516262417901995E-10</v>
      </c>
      <c r="P535" s="105">
        <f t="shared" ca="1" si="230"/>
        <v>4.2957228337867894</v>
      </c>
      <c r="Q535" s="106">
        <f t="shared" ca="1" si="231"/>
        <v>1.4797900789608696</v>
      </c>
      <c r="R535" s="107">
        <f t="shared" ca="1" si="232"/>
        <v>-38.157924201035101</v>
      </c>
      <c r="S535" s="108">
        <f t="shared" ca="1" si="233"/>
        <v>-186.71291261346229</v>
      </c>
      <c r="T535" s="116">
        <f t="shared" ca="1" si="234"/>
        <v>-6.7129126134622936</v>
      </c>
      <c r="V535" s="72">
        <f t="shared" ca="1" si="235"/>
        <v>78077</v>
      </c>
      <c r="W535" s="72">
        <f t="shared" si="236"/>
        <v>6096017929</v>
      </c>
      <c r="Y535" s="110">
        <f t="shared" si="237"/>
        <v>32.029730175588277</v>
      </c>
      <c r="Z535" s="111">
        <f t="shared" si="238"/>
        <v>-78.493503162480323</v>
      </c>
      <c r="AA535" s="72">
        <f t="shared" si="239"/>
        <v>101.50649683751968</v>
      </c>
      <c r="AB535" s="110">
        <f t="shared" ca="1" si="240"/>
        <v>-52.686429108789383</v>
      </c>
      <c r="AC535" s="111">
        <f t="shared" ca="1" si="241"/>
        <v>-108.21940945098194</v>
      </c>
      <c r="AD535" s="72">
        <f t="shared" ca="1" si="242"/>
        <v>71.780590549018058</v>
      </c>
    </row>
    <row r="536" spans="1:30">
      <c r="A536" s="118">
        <v>78529</v>
      </c>
      <c r="B536" s="101">
        <f t="shared" ca="1" si="216"/>
        <v>4377.9263901723771</v>
      </c>
      <c r="C536" s="102">
        <f t="shared" ca="1" si="217"/>
        <v>1.5705679081510975</v>
      </c>
      <c r="D536" s="102">
        <f t="shared" si="218"/>
        <v>2.5254574749715593</v>
      </c>
      <c r="E536" s="103">
        <f t="shared" si="219"/>
        <v>1.1636747012739459</v>
      </c>
      <c r="F536" s="101">
        <f t="shared" si="220"/>
        <v>26841.626876877064</v>
      </c>
      <c r="G536" s="104">
        <f t="shared" si="221"/>
        <v>1.5707590712289499</v>
      </c>
      <c r="H536" s="113">
        <f t="shared" si="222"/>
        <v>3355.2035063034209</v>
      </c>
      <c r="I536" s="114">
        <f t="shared" si="223"/>
        <v>1.5704982822760094</v>
      </c>
      <c r="J536" s="101">
        <f t="shared" si="224"/>
        <v>5.0344379702482795</v>
      </c>
      <c r="K536" s="104">
        <f t="shared" si="225"/>
        <v>1.370834514578936</v>
      </c>
      <c r="L536" s="102">
        <f t="shared" si="226"/>
        <v>1</v>
      </c>
      <c r="M536" s="103">
        <f t="shared" si="227"/>
        <v>3.2071796797540497E-9</v>
      </c>
      <c r="N536" s="101">
        <f t="shared" si="228"/>
        <v>1</v>
      </c>
      <c r="O536" s="104">
        <f t="shared" si="229"/>
        <v>4.2762395730053994E-10</v>
      </c>
      <c r="P536" s="105">
        <f t="shared" ca="1" si="230"/>
        <v>4.3197527536832414</v>
      </c>
      <c r="Q536" s="106">
        <f t="shared" ca="1" si="231"/>
        <v>1.4819429867758898</v>
      </c>
      <c r="R536" s="107">
        <f t="shared" ca="1" si="232"/>
        <v>-38.262426407519733</v>
      </c>
      <c r="S536" s="108">
        <f t="shared" ca="1" si="233"/>
        <v>-186.78031634463022</v>
      </c>
      <c r="T536" s="116">
        <f t="shared" ca="1" si="234"/>
        <v>-6.7803163446302221</v>
      </c>
      <c r="V536" s="72">
        <f t="shared" ca="1" si="235"/>
        <v>78529</v>
      </c>
      <c r="W536" s="72">
        <f t="shared" si="236"/>
        <v>6166803841</v>
      </c>
      <c r="Y536" s="110">
        <f t="shared" si="237"/>
        <v>31.981580408130394</v>
      </c>
      <c r="Z536" s="111">
        <f t="shared" si="238"/>
        <v>-78.55797413309385</v>
      </c>
      <c r="AA536" s="72">
        <f t="shared" si="239"/>
        <v>101.44202586690615</v>
      </c>
      <c r="AB536" s="110">
        <f t="shared" ca="1" si="240"/>
        <v>-52.742781547816129</v>
      </c>
      <c r="AC536" s="111">
        <f t="shared" ca="1" si="241"/>
        <v>-108.22234221153639</v>
      </c>
      <c r="AD536" s="72">
        <f t="shared" ca="1" si="242"/>
        <v>71.777657788463614</v>
      </c>
    </row>
    <row r="537" spans="1:30">
      <c r="A537" s="118">
        <v>78981</v>
      </c>
      <c r="B537" s="101">
        <f t="shared" ca="1" si="216"/>
        <v>4403.1250126609884</v>
      </c>
      <c r="C537" s="102">
        <f t="shared" ca="1" si="217"/>
        <v>1.5705692153670536</v>
      </c>
      <c r="D537" s="102">
        <f t="shared" si="218"/>
        <v>2.5377199707206715</v>
      </c>
      <c r="E537" s="103">
        <f t="shared" si="219"/>
        <v>1.1657574300483684</v>
      </c>
      <c r="F537" s="101">
        <f t="shared" si="220"/>
        <v>26996.122863475102</v>
      </c>
      <c r="G537" s="104">
        <f t="shared" si="221"/>
        <v>1.5707592844386558</v>
      </c>
      <c r="H537" s="113">
        <f t="shared" si="222"/>
        <v>3374.515503788662</v>
      </c>
      <c r="I537" s="114">
        <f t="shared" si="223"/>
        <v>1.5704999879535093</v>
      </c>
      <c r="J537" s="101">
        <f t="shared" si="224"/>
        <v>5.0622752172126582</v>
      </c>
      <c r="K537" s="104">
        <f t="shared" si="225"/>
        <v>1.3719488646519475</v>
      </c>
      <c r="L537" s="102">
        <f t="shared" si="226"/>
        <v>1</v>
      </c>
      <c r="M537" s="103">
        <f t="shared" si="227"/>
        <v>3.2256396781654497E-9</v>
      </c>
      <c r="N537" s="101">
        <f t="shared" si="228"/>
        <v>1</v>
      </c>
      <c r="O537" s="104">
        <f t="shared" si="229"/>
        <v>4.3008529042205993E-10</v>
      </c>
      <c r="P537" s="105">
        <f t="shared" ca="1" si="230"/>
        <v>4.343798935115732</v>
      </c>
      <c r="Q537" s="106">
        <f t="shared" ca="1" si="231"/>
        <v>1.4840814363091104</v>
      </c>
      <c r="R537" s="107">
        <f t="shared" ca="1" si="232"/>
        <v>-38.36631653390257</v>
      </c>
      <c r="S537" s="108">
        <f t="shared" ca="1" si="233"/>
        <v>-186.84734585003571</v>
      </c>
      <c r="T537" s="116">
        <f t="shared" ca="1" si="234"/>
        <v>-6.8473458500357083</v>
      </c>
      <c r="V537" s="72">
        <f t="shared" ca="1" si="235"/>
        <v>78981</v>
      </c>
      <c r="W537" s="72">
        <f t="shared" si="236"/>
        <v>6237998361</v>
      </c>
      <c r="Y537" s="110">
        <f t="shared" si="237"/>
        <v>31.93368523967241</v>
      </c>
      <c r="Z537" s="111">
        <f t="shared" si="238"/>
        <v>-78.62173617622804</v>
      </c>
      <c r="AA537" s="72">
        <f t="shared" si="239"/>
        <v>101.37826382377196</v>
      </c>
      <c r="AB537" s="110">
        <f t="shared" ca="1" si="240"/>
        <v>-52.798776505740975</v>
      </c>
      <c r="AC537" s="111">
        <f t="shared" ca="1" si="241"/>
        <v>-108.22560967380771</v>
      </c>
      <c r="AD537" s="72">
        <f t="shared" ca="1" si="242"/>
        <v>71.77439032619229</v>
      </c>
    </row>
    <row r="538" spans="1:30">
      <c r="A538" s="118">
        <v>79433</v>
      </c>
      <c r="B538" s="101">
        <f t="shared" ca="1" si="216"/>
        <v>4428.3236351570376</v>
      </c>
      <c r="C538" s="102">
        <f t="shared" ca="1" si="217"/>
        <v>1.5705705077060297</v>
      </c>
      <c r="D538" s="102">
        <f t="shared" si="218"/>
        <v>2.5499933685886322</v>
      </c>
      <c r="E538" s="103">
        <f t="shared" si="219"/>
        <v>1.1678201188944137</v>
      </c>
      <c r="F538" s="101">
        <f t="shared" si="220"/>
        <v>27150.618850074348</v>
      </c>
      <c r="G538" s="104">
        <f t="shared" si="221"/>
        <v>1.5707594952218946</v>
      </c>
      <c r="H538" s="113">
        <f t="shared" si="222"/>
        <v>3393.8275012836093</v>
      </c>
      <c r="I538" s="114">
        <f t="shared" si="223"/>
        <v>1.5705016742192746</v>
      </c>
      <c r="J538" s="101">
        <f t="shared" si="224"/>
        <v>5.0901186816277351</v>
      </c>
      <c r="K538" s="104">
        <f t="shared" si="225"/>
        <v>1.3730510248657564</v>
      </c>
      <c r="L538" s="102">
        <f t="shared" si="226"/>
        <v>1</v>
      </c>
      <c r="M538" s="103">
        <f t="shared" si="227"/>
        <v>3.2440996765768497E-9</v>
      </c>
      <c r="N538" s="101">
        <f t="shared" si="228"/>
        <v>1</v>
      </c>
      <c r="O538" s="104">
        <f t="shared" si="229"/>
        <v>4.3254662354357992E-10</v>
      </c>
      <c r="P538" s="105">
        <f t="shared" ca="1" si="230"/>
        <v>4.3678613093174228</v>
      </c>
      <c r="Q538" s="106">
        <f t="shared" ca="1" si="231"/>
        <v>1.4862056522148599</v>
      </c>
      <c r="R538" s="107">
        <f t="shared" ca="1" si="232"/>
        <v>-38.469601832988729</v>
      </c>
      <c r="S538" s="108">
        <f t="shared" ca="1" si="233"/>
        <v>-186.91400972528811</v>
      </c>
      <c r="T538" s="116">
        <f t="shared" ca="1" si="234"/>
        <v>-6.9140097252881105</v>
      </c>
      <c r="V538" s="72">
        <f t="shared" ca="1" si="235"/>
        <v>79433</v>
      </c>
      <c r="W538" s="72">
        <f t="shared" si="236"/>
        <v>6309601489</v>
      </c>
      <c r="Y538" s="110">
        <f t="shared" si="237"/>
        <v>31.886042114426569</v>
      </c>
      <c r="Z538" s="111">
        <f t="shared" si="238"/>
        <v>-78.684800765060416</v>
      </c>
      <c r="AA538" s="72">
        <f t="shared" si="239"/>
        <v>101.31519923493958</v>
      </c>
      <c r="AB538" s="110">
        <f t="shared" ca="1" si="240"/>
        <v>-52.8544186795813</v>
      </c>
      <c r="AC538" s="111">
        <f t="shared" ca="1" si="241"/>
        <v>-108.22920896022774</v>
      </c>
      <c r="AD538" s="72">
        <f t="shared" ca="1" si="242"/>
        <v>71.770791039772263</v>
      </c>
    </row>
    <row r="539" spans="1:30">
      <c r="A539" s="118">
        <v>79895.5</v>
      </c>
      <c r="B539" s="101">
        <f t="shared" ca="1" si="216"/>
        <v>4454.1076238912046</v>
      </c>
      <c r="C539" s="102">
        <f t="shared" ca="1" si="217"/>
        <v>1.5705718149301546</v>
      </c>
      <c r="D539" s="102">
        <f t="shared" si="218"/>
        <v>2.5625630001172381</v>
      </c>
      <c r="E539" s="103">
        <f t="shared" si="219"/>
        <v>1.1699102627455074</v>
      </c>
      <c r="F539" s="101">
        <f t="shared" si="220"/>
        <v>27308.703792115746</v>
      </c>
      <c r="G539" s="104">
        <f t="shared" si="221"/>
        <v>1.5707597084329328</v>
      </c>
      <c r="H539" s="113">
        <f t="shared" si="222"/>
        <v>3413.5881181992654</v>
      </c>
      <c r="I539" s="114">
        <f t="shared" si="223"/>
        <v>1.5705033799074348</v>
      </c>
      <c r="J539" s="101">
        <f t="shared" si="224"/>
        <v>5.1186152821229243</v>
      </c>
      <c r="K539" s="104">
        <f t="shared" si="225"/>
        <v>1.3741663751890805</v>
      </c>
      <c r="L539" s="102">
        <f t="shared" si="226"/>
        <v>1</v>
      </c>
      <c r="M539" s="103">
        <f t="shared" si="227"/>
        <v>3.2629885023849748E-9</v>
      </c>
      <c r="N539" s="101">
        <f t="shared" si="228"/>
        <v>1</v>
      </c>
      <c r="O539" s="104">
        <f t="shared" si="229"/>
        <v>4.3506513365132995E-10</v>
      </c>
      <c r="P539" s="105">
        <f t="shared" ca="1" si="230"/>
        <v>4.3924993468349065</v>
      </c>
      <c r="Q539" s="106">
        <f t="shared" ca="1" si="231"/>
        <v>1.4883647098718964</v>
      </c>
      <c r="R539" s="107">
        <f t="shared" ca="1" si="232"/>
        <v>-38.574667828942324</v>
      </c>
      <c r="S539" s="108">
        <f t="shared" ca="1" si="233"/>
        <v>-186.98185244664856</v>
      </c>
      <c r="T539" s="116">
        <f t="shared" ca="1" si="234"/>
        <v>-6.9818524466485599</v>
      </c>
      <c r="V539" s="72">
        <f t="shared" ca="1" si="235"/>
        <v>79895.5</v>
      </c>
      <c r="W539" s="72">
        <f t="shared" si="236"/>
        <v>6383290920.25</v>
      </c>
      <c r="Y539" s="110">
        <f t="shared" si="237"/>
        <v>31.837550500756958</v>
      </c>
      <c r="Z539" s="111">
        <f t="shared" si="238"/>
        <v>-78.748620117760296</v>
      </c>
      <c r="AA539" s="72">
        <f t="shared" si="239"/>
        <v>101.2513798822397</v>
      </c>
      <c r="AB539" s="110">
        <f t="shared" ca="1" si="240"/>
        <v>-52.910993061865277</v>
      </c>
      <c r="AC539" s="111">
        <f t="shared" ca="1" si="241"/>
        <v>-108.23323232888828</v>
      </c>
      <c r="AD539" s="72">
        <f t="shared" ca="1" si="242"/>
        <v>71.766767671111722</v>
      </c>
    </row>
    <row r="540" spans="1:30">
      <c r="A540" s="118">
        <v>80358</v>
      </c>
      <c r="B540" s="101">
        <f t="shared" ca="1" si="216"/>
        <v>4479.891612632895</v>
      </c>
      <c r="C540" s="102">
        <f t="shared" ca="1" si="217"/>
        <v>1.570573107106839</v>
      </c>
      <c r="D540" s="102">
        <f t="shared" si="218"/>
        <v>2.5751437174004499</v>
      </c>
      <c r="E540" s="103">
        <f t="shared" si="219"/>
        <v>1.171979993008808</v>
      </c>
      <c r="F540" s="101">
        <f t="shared" si="220"/>
        <v>27466.788734158366</v>
      </c>
      <c r="G540" s="104">
        <f t="shared" si="221"/>
        <v>1.570759919189701</v>
      </c>
      <c r="H540" s="113">
        <f t="shared" si="222"/>
        <v>3433.3487351247381</v>
      </c>
      <c r="I540" s="114">
        <f t="shared" si="223"/>
        <v>1.5705050659614403</v>
      </c>
      <c r="J540" s="101">
        <f t="shared" si="224"/>
        <v>5.1471181796961201</v>
      </c>
      <c r="K540" s="104">
        <f t="shared" si="225"/>
        <v>1.3752693740504203</v>
      </c>
      <c r="L540" s="102">
        <f t="shared" si="226"/>
        <v>1</v>
      </c>
      <c r="M540" s="103">
        <f t="shared" si="227"/>
        <v>3.2818773281930998E-9</v>
      </c>
      <c r="N540" s="101">
        <f t="shared" si="228"/>
        <v>1</v>
      </c>
      <c r="O540" s="104">
        <f t="shared" si="229"/>
        <v>4.3758364375907994E-10</v>
      </c>
      <c r="P540" s="105">
        <f t="shared" ca="1" si="230"/>
        <v>4.4171542003496054</v>
      </c>
      <c r="Q540" s="106">
        <f t="shared" ca="1" si="231"/>
        <v>1.4905093260418734</v>
      </c>
      <c r="R540" s="107">
        <f t="shared" ca="1" si="232"/>
        <v>-38.679115541423307</v>
      </c>
      <c r="S540" s="108">
        <f t="shared" ca="1" si="233"/>
        <v>-187.04932977971293</v>
      </c>
      <c r="T540" s="116">
        <f t="shared" ca="1" si="234"/>
        <v>-7.0493297797129344</v>
      </c>
      <c r="V540" s="72">
        <f t="shared" ca="1" si="235"/>
        <v>80358</v>
      </c>
      <c r="W540" s="72">
        <f t="shared" si="236"/>
        <v>6457408164</v>
      </c>
      <c r="Y540" s="110">
        <f t="shared" si="237"/>
        <v>31.789317477485085</v>
      </c>
      <c r="Z540" s="111">
        <f t="shared" si="238"/>
        <v>-78.811732768151742</v>
      </c>
      <c r="AA540" s="72">
        <f t="shared" si="239"/>
        <v>101.18826723184826</v>
      </c>
      <c r="AB540" s="110">
        <f t="shared" ca="1" si="240"/>
        <v>-52.96720775107439</v>
      </c>
      <c r="AC540" s="111">
        <f t="shared" ca="1" si="241"/>
        <v>-108.23759701156123</v>
      </c>
      <c r="AD540" s="72">
        <f t="shared" ca="1" si="242"/>
        <v>71.762402988438765</v>
      </c>
    </row>
    <row r="541" spans="1:30">
      <c r="A541" s="118">
        <v>80820.5</v>
      </c>
      <c r="B541" s="101">
        <f t="shared" ca="1" si="216"/>
        <v>4505.6756013819804</v>
      </c>
      <c r="C541" s="102">
        <f t="shared" ca="1" si="217"/>
        <v>1.5705743844944116</v>
      </c>
      <c r="D541" s="102">
        <f t="shared" si="218"/>
        <v>2.5877353587524055</v>
      </c>
      <c r="E541" s="103">
        <f t="shared" si="219"/>
        <v>1.1740295898123236</v>
      </c>
      <c r="F541" s="101">
        <f t="shared" si="220"/>
        <v>27624.873676202191</v>
      </c>
      <c r="G541" s="104">
        <f t="shared" si="221"/>
        <v>1.5707601275343339</v>
      </c>
      <c r="H541" s="113">
        <f t="shared" si="222"/>
        <v>3453.1093520598592</v>
      </c>
      <c r="I541" s="114">
        <f t="shared" si="223"/>
        <v>1.5705067327183635</v>
      </c>
      <c r="J541" s="101">
        <f t="shared" si="224"/>
        <v>5.1756272703106747</v>
      </c>
      <c r="K541" s="104">
        <f t="shared" si="225"/>
        <v>1.3763602228515157</v>
      </c>
      <c r="L541" s="102">
        <f t="shared" si="226"/>
        <v>1</v>
      </c>
      <c r="M541" s="103">
        <f t="shared" si="227"/>
        <v>3.3007661540012248E-9</v>
      </c>
      <c r="N541" s="101">
        <f t="shared" si="228"/>
        <v>1</v>
      </c>
      <c r="O541" s="104">
        <f t="shared" si="229"/>
        <v>4.4010215386682992E-10</v>
      </c>
      <c r="P541" s="105">
        <f t="shared" ca="1" si="230"/>
        <v>4.4418258040013674</v>
      </c>
      <c r="Q541" s="106">
        <f t="shared" ca="1" si="231"/>
        <v>1.4926397266744651</v>
      </c>
      <c r="R541" s="107">
        <f t="shared" ca="1" si="232"/>
        <v>-38.782952347610909</v>
      </c>
      <c r="S541" s="108">
        <f t="shared" ca="1" si="233"/>
        <v>-187.11645015766365</v>
      </c>
      <c r="T541" s="116">
        <f t="shared" ca="1" si="234"/>
        <v>-7.1164501576636496</v>
      </c>
      <c r="V541" s="72">
        <f t="shared" ca="1" si="235"/>
        <v>80820.5</v>
      </c>
      <c r="W541" s="72">
        <f t="shared" si="236"/>
        <v>6531953220.25</v>
      </c>
      <c r="Y541" s="110">
        <f t="shared" si="237"/>
        <v>31.741340421980475</v>
      </c>
      <c r="Z541" s="111">
        <f t="shared" si="238"/>
        <v>-78.874150238805768</v>
      </c>
      <c r="AA541" s="72">
        <f t="shared" si="239"/>
        <v>101.12584976119423</v>
      </c>
      <c r="AB541" s="110">
        <f t="shared" ca="1" si="240"/>
        <v>-53.023067501757382</v>
      </c>
      <c r="AC541" s="111">
        <f t="shared" ca="1" si="241"/>
        <v>-108.24229991885788</v>
      </c>
      <c r="AD541" s="72">
        <f t="shared" ca="1" si="242"/>
        <v>71.757700081142119</v>
      </c>
    </row>
    <row r="542" spans="1:30">
      <c r="A542" s="118">
        <v>81283</v>
      </c>
      <c r="B542" s="101">
        <f t="shared" ca="1" si="216"/>
        <v>4531.4595901383336</v>
      </c>
      <c r="C542" s="102">
        <f t="shared" ca="1" si="217"/>
        <v>1.570575647345323</v>
      </c>
      <c r="D542" s="102">
        <f t="shared" si="218"/>
        <v>2.6003377654799302</v>
      </c>
      <c r="E542" s="103">
        <f t="shared" si="219"/>
        <v>1.1760593285372631</v>
      </c>
      <c r="F542" s="101">
        <f t="shared" si="220"/>
        <v>27782.958618247209</v>
      </c>
      <c r="G542" s="104">
        <f t="shared" si="221"/>
        <v>1.570760333508006</v>
      </c>
      <c r="H542" s="113">
        <f t="shared" si="222"/>
        <v>3472.869969004465</v>
      </c>
      <c r="I542" s="114">
        <f t="shared" si="223"/>
        <v>1.5705083805076057</v>
      </c>
      <c r="J542" s="101">
        <f t="shared" si="224"/>
        <v>5.2041424521872983</v>
      </c>
      <c r="K542" s="104">
        <f t="shared" si="225"/>
        <v>1.3774391186970338</v>
      </c>
      <c r="L542" s="102">
        <f t="shared" si="226"/>
        <v>1</v>
      </c>
      <c r="M542" s="103">
        <f t="shared" si="227"/>
        <v>3.3196549798093498E-9</v>
      </c>
      <c r="N542" s="101">
        <f t="shared" si="228"/>
        <v>1</v>
      </c>
      <c r="O542" s="104">
        <f t="shared" si="229"/>
        <v>4.4262066397457995E-10</v>
      </c>
      <c r="P542" s="105">
        <f t="shared" ca="1" si="230"/>
        <v>4.4665140944255572</v>
      </c>
      <c r="Q542" s="106">
        <f t="shared" ca="1" si="231"/>
        <v>1.4947561330026025</v>
      </c>
      <c r="R542" s="107">
        <f t="shared" ca="1" si="232"/>
        <v>-38.886185497949882</v>
      </c>
      <c r="S542" s="108">
        <f t="shared" ca="1" si="233"/>
        <v>-187.18322176924858</v>
      </c>
      <c r="T542" s="116">
        <f t="shared" ca="1" si="234"/>
        <v>-7.1832217692485756</v>
      </c>
      <c r="V542" s="72">
        <f t="shared" ca="1" si="235"/>
        <v>81283</v>
      </c>
      <c r="W542" s="72">
        <f t="shared" si="236"/>
        <v>6606926089</v>
      </c>
      <c r="Y542" s="110">
        <f t="shared" si="237"/>
        <v>31.69361674917997</v>
      </c>
      <c r="Z542" s="111">
        <f t="shared" si="238"/>
        <v>-78.93588380647374</v>
      </c>
      <c r="AA542" s="72">
        <f t="shared" si="239"/>
        <v>101.06411619352626</v>
      </c>
      <c r="AB542" s="110">
        <f t="shared" ca="1" si="240"/>
        <v>-53.078576979295846</v>
      </c>
      <c r="AC542" s="111">
        <f t="shared" ca="1" si="241"/>
        <v>-108.24733796277476</v>
      </c>
      <c r="AD542" s="72">
        <f t="shared" ca="1" si="242"/>
        <v>71.752662037225235</v>
      </c>
    </row>
    <row r="543" spans="1:30">
      <c r="A543" s="118">
        <v>81756.25</v>
      </c>
      <c r="B543" s="101">
        <f t="shared" ca="1" si="216"/>
        <v>4557.8428824245275</v>
      </c>
      <c r="C543" s="102">
        <f t="shared" ca="1" si="217"/>
        <v>1.5705769247589294</v>
      </c>
      <c r="D543" s="102">
        <f t="shared" si="218"/>
        <v>2.6132440741587435</v>
      </c>
      <c r="E543" s="103">
        <f t="shared" si="219"/>
        <v>1.1781159715618597</v>
      </c>
      <c r="F543" s="101">
        <f t="shared" si="220"/>
        <v>27944.717967054472</v>
      </c>
      <c r="G543" s="104">
        <f t="shared" si="221"/>
        <v>1.5707605418568846</v>
      </c>
      <c r="H543" s="113">
        <f t="shared" si="222"/>
        <v>3493.0898867849996</v>
      </c>
      <c r="I543" s="114">
        <f t="shared" si="223"/>
        <v>1.5705100472984994</v>
      </c>
      <c r="J543" s="101">
        <f t="shared" si="224"/>
        <v>5.2333266207842319</v>
      </c>
      <c r="K543" s="104">
        <f t="shared" si="225"/>
        <v>1.378530919879204</v>
      </c>
      <c r="L543" s="102">
        <f t="shared" si="226"/>
        <v>1</v>
      </c>
      <c r="M543" s="103">
        <f t="shared" si="227"/>
        <v>3.3389828431903122E-9</v>
      </c>
      <c r="N543" s="101">
        <f t="shared" si="228"/>
        <v>1</v>
      </c>
      <c r="O543" s="104">
        <f t="shared" si="229"/>
        <v>4.4519771242537494E-10</v>
      </c>
      <c r="P543" s="105">
        <f t="shared" ca="1" si="230"/>
        <v>4.4917934303007936</v>
      </c>
      <c r="Q543" s="106">
        <f t="shared" ca="1" si="231"/>
        <v>1.4969074714408517</v>
      </c>
      <c r="R543" s="107">
        <f t="shared" ca="1" si="232"/>
        <v>-38.991200689510627</v>
      </c>
      <c r="S543" s="108">
        <f t="shared" ca="1" si="233"/>
        <v>-187.25119264354987</v>
      </c>
      <c r="T543" s="116">
        <f t="shared" ca="1" si="234"/>
        <v>-7.2511926435498708</v>
      </c>
      <c r="V543" s="72">
        <f t="shared" ca="1" si="235"/>
        <v>81756.25</v>
      </c>
      <c r="W543" s="72">
        <f t="shared" si="236"/>
        <v>6684084414.0625</v>
      </c>
      <c r="Y543" s="110">
        <f t="shared" si="237"/>
        <v>31.645043450843858</v>
      </c>
      <c r="Z543" s="111">
        <f t="shared" si="238"/>
        <v>-78.998355842818981</v>
      </c>
      <c r="AA543" s="72">
        <f t="shared" si="239"/>
        <v>101.00164415718102</v>
      </c>
      <c r="AB543" s="110">
        <f t="shared" ca="1" si="240"/>
        <v>-53.13501887252049</v>
      </c>
      <c r="AC543" s="111">
        <f t="shared" ca="1" si="241"/>
        <v>-108.25283680073092</v>
      </c>
      <c r="AD543" s="72">
        <f t="shared" ca="1" si="242"/>
        <v>71.747163199269082</v>
      </c>
    </row>
    <row r="544" spans="1:30">
      <c r="A544" s="118">
        <v>82229.5</v>
      </c>
      <c r="B544" s="101">
        <f t="shared" ca="1" si="216"/>
        <v>4584.2261747180728</v>
      </c>
      <c r="C544" s="102">
        <f t="shared" ca="1" si="217"/>
        <v>1.5705781874689084</v>
      </c>
      <c r="D544" s="102">
        <f t="shared" si="218"/>
        <v>2.6261613276146694</v>
      </c>
      <c r="E544" s="103">
        <f t="shared" si="219"/>
        <v>1.1801523911819927</v>
      </c>
      <c r="F544" s="101">
        <f t="shared" si="220"/>
        <v>28106.477315862936</v>
      </c>
      <c r="G544" s="104">
        <f t="shared" si="221"/>
        <v>1.5707607478075702</v>
      </c>
      <c r="H544" s="113">
        <f t="shared" si="222"/>
        <v>3513.3098045751267</v>
      </c>
      <c r="I544" s="114">
        <f t="shared" si="223"/>
        <v>1.5705116949038518</v>
      </c>
      <c r="J544" s="101">
        <f t="shared" si="224"/>
        <v>5.2625169584673852</v>
      </c>
      <c r="K544" s="104">
        <f t="shared" si="225"/>
        <v>1.3796106102443693</v>
      </c>
      <c r="L544" s="102">
        <f t="shared" si="226"/>
        <v>1</v>
      </c>
      <c r="M544" s="103">
        <f t="shared" si="227"/>
        <v>3.358310706571275E-9</v>
      </c>
      <c r="N544" s="101">
        <f t="shared" si="228"/>
        <v>1</v>
      </c>
      <c r="O544" s="104">
        <f t="shared" si="229"/>
        <v>4.4777476087616992E-10</v>
      </c>
      <c r="P544" s="105">
        <f t="shared" ca="1" si="230"/>
        <v>4.5170901111605213</v>
      </c>
      <c r="Q544" s="106">
        <f t="shared" ca="1" si="231"/>
        <v>1.4990446115128797</v>
      </c>
      <c r="R544" s="107">
        <f t="shared" ca="1" si="232"/>
        <v>-39.095598802039888</v>
      </c>
      <c r="S544" s="108">
        <f t="shared" ca="1" si="233"/>
        <v>-187.31881494780126</v>
      </c>
      <c r="T544" s="116">
        <f t="shared" ca="1" si="234"/>
        <v>-7.3188149478012576</v>
      </c>
      <c r="V544" s="72">
        <f t="shared" ca="1" si="235"/>
        <v>82229.5</v>
      </c>
      <c r="W544" s="72">
        <f t="shared" si="236"/>
        <v>6761690670.25</v>
      </c>
      <c r="Y544" s="110">
        <f t="shared" si="237"/>
        <v>31.596730092417427</v>
      </c>
      <c r="Z544" s="111">
        <f t="shared" si="238"/>
        <v>-79.060134942306831</v>
      </c>
      <c r="AA544" s="72">
        <f t="shared" si="239"/>
        <v>100.93986505769317</v>
      </c>
      <c r="AB544" s="110">
        <f t="shared" ca="1" si="240"/>
        <v>-53.191103626623317</v>
      </c>
      <c r="AC544" s="111">
        <f t="shared" ca="1" si="241"/>
        <v>-108.2586800054944</v>
      </c>
      <c r="AD544" s="72">
        <f t="shared" ca="1" si="242"/>
        <v>71.741319994505602</v>
      </c>
    </row>
    <row r="545" spans="1:30">
      <c r="A545" s="118">
        <v>82702.75</v>
      </c>
      <c r="B545" s="101">
        <f t="shared" ca="1" si="216"/>
        <v>4610.609467018845</v>
      </c>
      <c r="C545" s="102">
        <f t="shared" ca="1" si="217"/>
        <v>1.5705794357276757</v>
      </c>
      <c r="D545" s="102">
        <f t="shared" si="218"/>
        <v>2.6390893651372096</v>
      </c>
      <c r="E545" s="103">
        <f t="shared" si="219"/>
        <v>1.1821688675860975</v>
      </c>
      <c r="F545" s="101">
        <f t="shared" si="220"/>
        <v>28268.236664672579</v>
      </c>
      <c r="G545" s="104">
        <f t="shared" si="221"/>
        <v>1.5707609514012324</v>
      </c>
      <c r="H545" s="113">
        <f t="shared" si="222"/>
        <v>3533.529722374682</v>
      </c>
      <c r="I545" s="114">
        <f t="shared" si="223"/>
        <v>1.5705133236530193</v>
      </c>
      <c r="J545" s="101">
        <f t="shared" si="224"/>
        <v>5.2917133631463606</v>
      </c>
      <c r="K545" s="104">
        <f t="shared" si="225"/>
        <v>1.3806783877142306</v>
      </c>
      <c r="L545" s="102">
        <f t="shared" si="226"/>
        <v>1</v>
      </c>
      <c r="M545" s="103">
        <f t="shared" si="227"/>
        <v>3.3776385699522373E-9</v>
      </c>
      <c r="N545" s="101">
        <f t="shared" si="228"/>
        <v>1</v>
      </c>
      <c r="O545" s="104">
        <f t="shared" si="229"/>
        <v>4.5035180932696496E-10</v>
      </c>
      <c r="P545" s="105">
        <f t="shared" ca="1" si="230"/>
        <v>4.5424040768066849</v>
      </c>
      <c r="Q545" s="106">
        <f t="shared" ca="1" si="231"/>
        <v>1.5011677756717643</v>
      </c>
      <c r="R545" s="107">
        <f t="shared" ca="1" si="232"/>
        <v>-39.199387209214109</v>
      </c>
      <c r="S545" s="108">
        <f t="shared" ca="1" si="233"/>
        <v>-187.38609671203858</v>
      </c>
      <c r="T545" s="116">
        <f t="shared" ca="1" si="234"/>
        <v>-7.3860967120385794</v>
      </c>
      <c r="V545" s="72">
        <f t="shared" ca="1" si="235"/>
        <v>82702.75</v>
      </c>
      <c r="W545" s="72">
        <f t="shared" si="236"/>
        <v>6839744857.5625</v>
      </c>
      <c r="Y545" s="110">
        <f t="shared" si="237"/>
        <v>31.548674022218247</v>
      </c>
      <c r="Z545" s="111">
        <f t="shared" si="238"/>
        <v>-79.12123242850349</v>
      </c>
      <c r="AA545" s="72">
        <f t="shared" si="239"/>
        <v>100.87876757149651</v>
      </c>
      <c r="AB545" s="110">
        <f t="shared" ca="1" si="240"/>
        <v>-53.246835963598343</v>
      </c>
      <c r="AC545" s="111">
        <f t="shared" ca="1" si="241"/>
        <v>-108.26486428353516</v>
      </c>
      <c r="AD545" s="72">
        <f t="shared" ca="1" si="242"/>
        <v>71.735135716464839</v>
      </c>
    </row>
    <row r="546" spans="1:30">
      <c r="A546" s="118">
        <v>83176</v>
      </c>
      <c r="B546" s="101">
        <f t="shared" ca="1" si="216"/>
        <v>4636.9927593267175</v>
      </c>
      <c r="C546" s="102">
        <f t="shared" ca="1" si="217"/>
        <v>1.5705806697819027</v>
      </c>
      <c r="D546" s="102">
        <f t="shared" si="218"/>
        <v>2.6520280290167038</v>
      </c>
      <c r="E546" s="103">
        <f t="shared" si="219"/>
        <v>1.1841656761502986</v>
      </c>
      <c r="F546" s="101">
        <f t="shared" si="220"/>
        <v>28429.996013483382</v>
      </c>
      <c r="G546" s="104">
        <f t="shared" si="221"/>
        <v>1.5707611526781036</v>
      </c>
      <c r="H546" s="113">
        <f t="shared" si="222"/>
        <v>3553.7496401835047</v>
      </c>
      <c r="I546" s="114">
        <f t="shared" si="223"/>
        <v>1.5705149338678628</v>
      </c>
      <c r="J546" s="101">
        <f t="shared" si="224"/>
        <v>5.3209157349504927</v>
      </c>
      <c r="K546" s="104">
        <f t="shared" si="225"/>
        <v>1.3817344459755547</v>
      </c>
      <c r="L546" s="102">
        <f t="shared" si="226"/>
        <v>1</v>
      </c>
      <c r="M546" s="103">
        <f t="shared" si="227"/>
        <v>3.3969664333331997E-9</v>
      </c>
      <c r="N546" s="101">
        <f t="shared" si="228"/>
        <v>1</v>
      </c>
      <c r="O546" s="104">
        <f t="shared" si="229"/>
        <v>4.5292885777775994E-10</v>
      </c>
      <c r="P546" s="105">
        <f t="shared" ca="1" si="230"/>
        <v>4.567735269496783</v>
      </c>
      <c r="Q546" s="106">
        <f t="shared" ca="1" si="231"/>
        <v>1.5032771817062385</v>
      </c>
      <c r="R546" s="107">
        <f t="shared" ca="1" si="232"/>
        <v>-39.302573157599632</v>
      </c>
      <c r="S546" s="108">
        <f t="shared" ca="1" si="233"/>
        <v>-187.45304573217925</v>
      </c>
      <c r="T546" s="116">
        <f t="shared" ca="1" si="234"/>
        <v>-7.4530457321792483</v>
      </c>
      <c r="V546" s="72">
        <f t="shared" ca="1" si="235"/>
        <v>83176</v>
      </c>
      <c r="W546" s="72">
        <f t="shared" si="236"/>
        <v>6918246976</v>
      </c>
      <c r="Y546" s="110">
        <f t="shared" si="237"/>
        <v>31.500872626896907</v>
      </c>
      <c r="Z546" s="111">
        <f t="shared" si="238"/>
        <v>-79.181659382707153</v>
      </c>
      <c r="AA546" s="72">
        <f t="shared" si="239"/>
        <v>100.81834061729285</v>
      </c>
      <c r="AB546" s="110">
        <f t="shared" ca="1" si="240"/>
        <v>-53.302220516662537</v>
      </c>
      <c r="AC546" s="111">
        <f t="shared" ca="1" si="241"/>
        <v>-108.27138634947202</v>
      </c>
      <c r="AD546" s="72">
        <f t="shared" ca="1" si="242"/>
        <v>71.728613650527976</v>
      </c>
    </row>
    <row r="547" spans="1:30">
      <c r="A547" s="118">
        <v>83660.5</v>
      </c>
      <c r="B547" s="101">
        <f t="shared" ca="1" si="216"/>
        <v>4664.0032297473981</v>
      </c>
      <c r="C547" s="102">
        <f t="shared" ca="1" si="217"/>
        <v>1.570581918708452</v>
      </c>
      <c r="D547" s="102">
        <f t="shared" si="218"/>
        <v>2.6652851147874457</v>
      </c>
      <c r="E547" s="103">
        <f t="shared" si="219"/>
        <v>1.1861898603016052</v>
      </c>
      <c r="F547" s="101">
        <f t="shared" si="220"/>
        <v>28595.600671696568</v>
      </c>
      <c r="G547" s="104">
        <f t="shared" si="221"/>
        <v>1.5707613563806821</v>
      </c>
      <c r="H547" s="113">
        <f t="shared" si="222"/>
        <v>3574.4502216580745</v>
      </c>
      <c r="I547" s="114">
        <f t="shared" si="223"/>
        <v>1.5705165634883647</v>
      </c>
      <c r="J547" s="101">
        <f t="shared" si="224"/>
        <v>5.3508183790022281</v>
      </c>
      <c r="K547" s="104">
        <f t="shared" si="225"/>
        <v>1.3828036661402661</v>
      </c>
      <c r="L547" s="102">
        <f t="shared" si="226"/>
        <v>1</v>
      </c>
      <c r="M547" s="103">
        <f t="shared" si="227"/>
        <v>3.4167537546392249E-9</v>
      </c>
      <c r="N547" s="101">
        <f t="shared" si="228"/>
        <v>1</v>
      </c>
      <c r="O547" s="104">
        <f t="shared" si="229"/>
        <v>4.5556716728522995E-10</v>
      </c>
      <c r="P547" s="105">
        <f t="shared" ca="1" si="230"/>
        <v>4.5936864184066852</v>
      </c>
      <c r="Q547" s="106">
        <f t="shared" ca="1" si="231"/>
        <v>1.5054227021349849</v>
      </c>
      <c r="R547" s="107">
        <f t="shared" ca="1" si="232"/>
        <v>-39.407595345401873</v>
      </c>
      <c r="S547" s="108">
        <f t="shared" ca="1" si="233"/>
        <v>-187.52124944982316</v>
      </c>
      <c r="T547" s="116">
        <f t="shared" ca="1" si="234"/>
        <v>-7.5212494498231592</v>
      </c>
      <c r="V547" s="72">
        <f t="shared" ca="1" si="235"/>
        <v>83660.5</v>
      </c>
      <c r="W547" s="72">
        <f t="shared" si="236"/>
        <v>6999079260.25</v>
      </c>
      <c r="Y547" s="110">
        <f t="shared" si="237"/>
        <v>31.452196045572094</v>
      </c>
      <c r="Z547" s="111">
        <f t="shared" si="238"/>
        <v>-79.242839485523803</v>
      </c>
      <c r="AA547" s="72">
        <f t="shared" si="239"/>
        <v>100.7571605144762</v>
      </c>
      <c r="AB547" s="110">
        <f t="shared" ca="1" si="240"/>
        <v>-53.358566123139965</v>
      </c>
      <c r="AC547" s="111">
        <f t="shared" ca="1" si="241"/>
        <v>-108.27840996429937</v>
      </c>
      <c r="AD547" s="72">
        <f t="shared" ca="1" si="242"/>
        <v>71.721590035700629</v>
      </c>
    </row>
    <row r="548" spans="1:30">
      <c r="A548" s="118">
        <v>84145</v>
      </c>
      <c r="B548" s="101">
        <f t="shared" ca="1" si="216"/>
        <v>4691.0137001752701</v>
      </c>
      <c r="C548" s="102">
        <f t="shared" ca="1" si="217"/>
        <v>1.5705831532525689</v>
      </c>
      <c r="D548" s="102">
        <f t="shared" si="218"/>
        <v>2.6785530129632193</v>
      </c>
      <c r="E548" s="103">
        <f t="shared" si="219"/>
        <v>1.1881939994793371</v>
      </c>
      <c r="F548" s="101">
        <f t="shared" si="220"/>
        <v>28761.205329910932</v>
      </c>
      <c r="G548" s="104">
        <f t="shared" si="221"/>
        <v>1.5707615577374552</v>
      </c>
      <c r="H548" s="113">
        <f t="shared" si="222"/>
        <v>3595.1508031420276</v>
      </c>
      <c r="I548" s="114">
        <f t="shared" si="223"/>
        <v>1.5705181743424261</v>
      </c>
      <c r="J548" s="101">
        <f t="shared" si="224"/>
        <v>5.380727072284162</v>
      </c>
      <c r="K548" s="104">
        <f t="shared" si="225"/>
        <v>1.3838610010130714</v>
      </c>
      <c r="L548" s="102">
        <f t="shared" si="226"/>
        <v>1</v>
      </c>
      <c r="M548" s="103">
        <f t="shared" si="227"/>
        <v>3.4365410759452496E-9</v>
      </c>
      <c r="N548" s="101">
        <f t="shared" si="228"/>
        <v>1</v>
      </c>
      <c r="O548" s="104">
        <f t="shared" si="229"/>
        <v>4.5820547679269991E-10</v>
      </c>
      <c r="P548" s="105">
        <f t="shared" ca="1" si="230"/>
        <v>4.6196555082560744</v>
      </c>
      <c r="Q548" s="106">
        <f t="shared" ca="1" si="231"/>
        <v>1.507554250043396</v>
      </c>
      <c r="R548" s="107">
        <f t="shared" ca="1" si="232"/>
        <v>-39.512001065672436</v>
      </c>
      <c r="S548" s="108">
        <f t="shared" ca="1" si="233"/>
        <v>-187.5891202331247</v>
      </c>
      <c r="T548" s="116">
        <f t="shared" ca="1" si="234"/>
        <v>-7.589120233124703</v>
      </c>
      <c r="V548" s="72">
        <f t="shared" ca="1" si="235"/>
        <v>84145</v>
      </c>
      <c r="W548" s="72">
        <f t="shared" si="236"/>
        <v>7080381025</v>
      </c>
      <c r="Y548" s="110">
        <f t="shared" si="237"/>
        <v>31.403780968084881</v>
      </c>
      <c r="Z548" s="111">
        <f t="shared" si="238"/>
        <v>-79.303339552108255</v>
      </c>
      <c r="AA548" s="72">
        <f t="shared" si="239"/>
        <v>100.69666044789174</v>
      </c>
      <c r="AB548" s="110">
        <f t="shared" ca="1" si="240"/>
        <v>-53.414556765923322</v>
      </c>
      <c r="AC548" s="111">
        <f t="shared" ca="1" si="241"/>
        <v>-108.28578068101635</v>
      </c>
      <c r="AD548" s="72">
        <f t="shared" ca="1" si="242"/>
        <v>71.714219318983652</v>
      </c>
    </row>
    <row r="549" spans="1:30">
      <c r="A549" s="118">
        <v>84629.5</v>
      </c>
      <c r="B549" s="101">
        <f t="shared" ca="1" si="216"/>
        <v>4718.0241706102097</v>
      </c>
      <c r="C549" s="102">
        <f t="shared" ca="1" si="217"/>
        <v>1.5705843736612699</v>
      </c>
      <c r="D549" s="102">
        <f t="shared" si="218"/>
        <v>2.6918315636626793</v>
      </c>
      <c r="E549" s="103">
        <f t="shared" si="219"/>
        <v>1.1901783741037741</v>
      </c>
      <c r="F549" s="101">
        <f t="shared" si="220"/>
        <v>28926.809988126442</v>
      </c>
      <c r="G549" s="104">
        <f t="shared" si="221"/>
        <v>1.5707617567887118</v>
      </c>
      <c r="H549" s="113">
        <f t="shared" si="222"/>
        <v>3615.8513846352021</v>
      </c>
      <c r="I549" s="114">
        <f t="shared" si="223"/>
        <v>1.570519766752358</v>
      </c>
      <c r="J549" s="101">
        <f t="shared" si="224"/>
        <v>5.4106417144803363</v>
      </c>
      <c r="K549" s="104">
        <f t="shared" si="225"/>
        <v>1.3849066453461352</v>
      </c>
      <c r="L549" s="102">
        <f t="shared" si="226"/>
        <v>1</v>
      </c>
      <c r="M549" s="103">
        <f t="shared" si="227"/>
        <v>3.4563283972512748E-9</v>
      </c>
      <c r="N549" s="101">
        <f t="shared" si="228"/>
        <v>1</v>
      </c>
      <c r="O549" s="104">
        <f t="shared" si="229"/>
        <v>4.6084378630016992E-10</v>
      </c>
      <c r="P549" s="105">
        <f t="shared" ca="1" si="230"/>
        <v>4.6456424846624156</v>
      </c>
      <c r="Q549" s="106">
        <f t="shared" ca="1" si="231"/>
        <v>1.509672044696061</v>
      </c>
      <c r="R549" s="107">
        <f t="shared" ca="1" si="232"/>
        <v>-39.615797698195493</v>
      </c>
      <c r="S549" s="108">
        <f t="shared" ca="1" si="233"/>
        <v>-187.656665734592</v>
      </c>
      <c r="T549" s="116">
        <f t="shared" ca="1" si="234"/>
        <v>-7.6566657345919964</v>
      </c>
      <c r="V549" s="72">
        <f t="shared" ca="1" si="235"/>
        <v>84629.5</v>
      </c>
      <c r="W549" s="72">
        <f t="shared" si="236"/>
        <v>7162152270.25</v>
      </c>
      <c r="Y549" s="110">
        <f t="shared" si="237"/>
        <v>31.355624710661417</v>
      </c>
      <c r="Z549" s="111">
        <f t="shared" si="238"/>
        <v>-79.363170724778954</v>
      </c>
      <c r="AA549" s="72">
        <f t="shared" si="239"/>
        <v>100.63682927522105</v>
      </c>
      <c r="AB549" s="110">
        <f t="shared" ca="1" si="240"/>
        <v>-53.470197141022908</v>
      </c>
      <c r="AC549" s="111">
        <f t="shared" ca="1" si="241"/>
        <v>-108.29349500981299</v>
      </c>
      <c r="AD549" s="72">
        <f t="shared" ca="1" si="242"/>
        <v>71.706504990187014</v>
      </c>
    </row>
    <row r="550" spans="1:30">
      <c r="A550" s="118">
        <v>85114</v>
      </c>
      <c r="B550" s="101">
        <f t="shared" ca="1" si="216"/>
        <v>4745.034641052096</v>
      </c>
      <c r="C550" s="102">
        <f t="shared" ca="1" si="217"/>
        <v>1.5705855801759465</v>
      </c>
      <c r="D550" s="102">
        <f t="shared" si="218"/>
        <v>2.7051206100165848</v>
      </c>
      <c r="E550" s="103">
        <f t="shared" si="219"/>
        <v>1.192143259714149</v>
      </c>
      <c r="F550" s="101">
        <f t="shared" si="220"/>
        <v>29092.414646343095</v>
      </c>
      <c r="G550" s="104">
        <f t="shared" si="221"/>
        <v>1.5707619535738233</v>
      </c>
      <c r="H550" s="113">
        <f t="shared" si="222"/>
        <v>3636.5519661374424</v>
      </c>
      <c r="I550" s="114">
        <f t="shared" si="223"/>
        <v>1.5705213410331327</v>
      </c>
      <c r="J550" s="101">
        <f t="shared" si="224"/>
        <v>5.4405622074613875</v>
      </c>
      <c r="K550" s="104">
        <f t="shared" si="225"/>
        <v>1.3859407897109866</v>
      </c>
      <c r="L550" s="102">
        <f t="shared" si="226"/>
        <v>1</v>
      </c>
      <c r="M550" s="103">
        <f t="shared" si="227"/>
        <v>3.4761157185573E-9</v>
      </c>
      <c r="N550" s="101">
        <f t="shared" si="228"/>
        <v>1</v>
      </c>
      <c r="O550" s="104">
        <f t="shared" si="229"/>
        <v>4.6348209580763993E-10</v>
      </c>
      <c r="P550" s="105">
        <f t="shared" ca="1" si="230"/>
        <v>4.6716472956627868</v>
      </c>
      <c r="Q550" s="106">
        <f t="shared" ca="1" si="231"/>
        <v>1.5117763007380811</v>
      </c>
      <c r="R550" s="107">
        <f t="shared" ca="1" si="232"/>
        <v>-39.718992495075852</v>
      </c>
      <c r="S550" s="108">
        <f t="shared" ca="1" si="233"/>
        <v>-187.72389338223272</v>
      </c>
      <c r="T550" s="116">
        <f t="shared" ca="1" si="234"/>
        <v>-7.7238933822327169</v>
      </c>
      <c r="V550" s="72">
        <f t="shared" ca="1" si="235"/>
        <v>85114</v>
      </c>
      <c r="W550" s="72">
        <f t="shared" si="236"/>
        <v>7244392996</v>
      </c>
      <c r="Y550" s="110">
        <f t="shared" si="237"/>
        <v>31.307724628680617</v>
      </c>
      <c r="Z550" s="111">
        <f t="shared" si="238"/>
        <v>-79.422343906689434</v>
      </c>
      <c r="AA550" s="72">
        <f t="shared" si="239"/>
        <v>100.57765609331057</v>
      </c>
      <c r="AB550" s="110">
        <f t="shared" ca="1" si="240"/>
        <v>-53.525491855922461</v>
      </c>
      <c r="AC550" s="111">
        <f t="shared" ca="1" si="241"/>
        <v>-108.30154947554327</v>
      </c>
      <c r="AD550" s="72">
        <f t="shared" ca="1" si="242"/>
        <v>71.698450524456732</v>
      </c>
    </row>
    <row r="551" spans="1:30">
      <c r="A551" s="118">
        <v>85609.5</v>
      </c>
      <c r="B551" s="101">
        <f t="shared" ca="1" si="216"/>
        <v>4772.6583523160307</v>
      </c>
      <c r="C551" s="102">
        <f t="shared" ca="1" si="217"/>
        <v>1.5705867999581744</v>
      </c>
      <c r="D551" s="102">
        <f t="shared" si="218"/>
        <v>2.7187220638678267</v>
      </c>
      <c r="E551" s="103">
        <f t="shared" si="219"/>
        <v>1.1941328801185458</v>
      </c>
      <c r="F551" s="101">
        <f t="shared" si="220"/>
        <v>29261.779162642179</v>
      </c>
      <c r="G551" s="104">
        <f t="shared" si="221"/>
        <v>1.5707621525229005</v>
      </c>
      <c r="H551" s="113">
        <f t="shared" si="222"/>
        <v>3657.7225298914659</v>
      </c>
      <c r="I551" s="114">
        <f t="shared" si="223"/>
        <v>1.5705229326256327</v>
      </c>
      <c r="J551" s="101">
        <f t="shared" si="224"/>
        <v>5.4711679613913562</v>
      </c>
      <c r="K551" s="104">
        <f t="shared" si="225"/>
        <v>1.3869867128666207</v>
      </c>
      <c r="L551" s="102">
        <f t="shared" si="226"/>
        <v>1</v>
      </c>
      <c r="M551" s="103">
        <f t="shared" si="227"/>
        <v>3.4963522876122748E-9</v>
      </c>
      <c r="N551" s="101">
        <f t="shared" si="228"/>
        <v>1</v>
      </c>
      <c r="O551" s="104">
        <f t="shared" si="229"/>
        <v>4.6618030501496995E-10</v>
      </c>
      <c r="P551" s="105">
        <f t="shared" ca="1" si="230"/>
        <v>4.6982609100443087</v>
      </c>
      <c r="Q551" s="106">
        <f t="shared" ca="1" si="231"/>
        <v>1.5139145472333084</v>
      </c>
      <c r="R551" s="107">
        <f t="shared" ca="1" si="232"/>
        <v>-39.823915148053871</v>
      </c>
      <c r="S551" s="108">
        <f t="shared" ca="1" si="233"/>
        <v>-187.79232610733209</v>
      </c>
      <c r="T551" s="116">
        <f t="shared" ca="1" si="234"/>
        <v>-7.7923261073320873</v>
      </c>
      <c r="V551" s="72">
        <f t="shared" ca="1" si="235"/>
        <v>85609.5</v>
      </c>
      <c r="W551" s="72">
        <f t="shared" si="236"/>
        <v>7328986490.25</v>
      </c>
      <c r="Y551" s="110">
        <f t="shared" si="237"/>
        <v>31.258999281864938</v>
      </c>
      <c r="Z551" s="111">
        <f t="shared" si="238"/>
        <v>-79.482191095675304</v>
      </c>
      <c r="AA551" s="72">
        <f t="shared" si="239"/>
        <v>100.5178089043247</v>
      </c>
      <c r="AB551" s="110">
        <f t="shared" ca="1" si="240"/>
        <v>-53.581689162084807</v>
      </c>
      <c r="AC551" s="111">
        <f t="shared" ca="1" si="241"/>
        <v>-108.3101350116568</v>
      </c>
      <c r="AD551" s="72">
        <f t="shared" ca="1" si="242"/>
        <v>71.689864988343203</v>
      </c>
    </row>
    <row r="552" spans="1:30">
      <c r="A552" s="118">
        <v>86105</v>
      </c>
      <c r="B552" s="101">
        <f t="shared" ca="1" si="216"/>
        <v>4800.2820635869857</v>
      </c>
      <c r="C552" s="102">
        <f t="shared" ca="1" si="217"/>
        <v>1.5705880057016803</v>
      </c>
      <c r="D552" s="102">
        <f t="shared" si="218"/>
        <v>2.7323341728499084</v>
      </c>
      <c r="E552" s="103">
        <f t="shared" si="219"/>
        <v>1.1961026842315057</v>
      </c>
      <c r="F552" s="101">
        <f t="shared" si="220"/>
        <v>29431.143678942411</v>
      </c>
      <c r="G552" s="104">
        <f t="shared" si="221"/>
        <v>1.5707623491822322</v>
      </c>
      <c r="H552" s="113">
        <f t="shared" si="222"/>
        <v>3678.893093654649</v>
      </c>
      <c r="I552" s="114">
        <f t="shared" si="223"/>
        <v>1.5705245059001718</v>
      </c>
      <c r="J552" s="101">
        <f t="shared" si="224"/>
        <v>5.501779633940358</v>
      </c>
      <c r="K552" s="104">
        <f t="shared" si="225"/>
        <v>1.3880209981975686</v>
      </c>
      <c r="L552" s="102">
        <f t="shared" si="226"/>
        <v>1</v>
      </c>
      <c r="M552" s="103">
        <f t="shared" si="227"/>
        <v>3.5165888566672496E-9</v>
      </c>
      <c r="N552" s="101">
        <f t="shared" si="228"/>
        <v>1</v>
      </c>
      <c r="O552" s="104">
        <f t="shared" si="229"/>
        <v>4.6887851422229993E-10</v>
      </c>
      <c r="P552" s="105">
        <f t="shared" ca="1" si="230"/>
        <v>4.7248930755764675</v>
      </c>
      <c r="Q552" s="106">
        <f t="shared" ca="1" si="231"/>
        <v>1.5160390731999847</v>
      </c>
      <c r="R552" s="107">
        <f t="shared" ca="1" si="232"/>
        <v>-39.928223273052474</v>
      </c>
      <c r="S552" s="108">
        <f t="shared" ca="1" si="233"/>
        <v>-187.8604414096697</v>
      </c>
      <c r="T552" s="116">
        <f t="shared" ca="1" si="234"/>
        <v>-7.8604414096697042</v>
      </c>
      <c r="V552" s="72">
        <f t="shared" ca="1" si="235"/>
        <v>86105</v>
      </c>
      <c r="W552" s="72">
        <f t="shared" si="236"/>
        <v>7414071025</v>
      </c>
      <c r="Y552" s="110">
        <f t="shared" si="237"/>
        <v>31.210536402226651</v>
      </c>
      <c r="Z552" s="111">
        <f t="shared" si="238"/>
        <v>-79.541372404772275</v>
      </c>
      <c r="AA552" s="72">
        <f t="shared" si="239"/>
        <v>100.45862759522772</v>
      </c>
      <c r="AB552" s="110">
        <f t="shared" ca="1" si="240"/>
        <v>-53.637534407445131</v>
      </c>
      <c r="AC552" s="111">
        <f t="shared" ca="1" si="241"/>
        <v>-108.31906900489743</v>
      </c>
      <c r="AD552" s="72">
        <f t="shared" ca="1" si="242"/>
        <v>71.680930995102571</v>
      </c>
    </row>
    <row r="553" spans="1:30">
      <c r="A553" s="118">
        <v>86600.5</v>
      </c>
      <c r="B553" s="101">
        <f t="shared" ca="1" si="216"/>
        <v>4827.9057748648393</v>
      </c>
      <c r="C553" s="102">
        <f t="shared" ca="1" si="217"/>
        <v>1.5705891976474395</v>
      </c>
      <c r="D553" s="102">
        <f t="shared" si="218"/>
        <v>2.7459567785057142</v>
      </c>
      <c r="E553" s="103">
        <f t="shared" si="219"/>
        <v>1.198052951576194</v>
      </c>
      <c r="F553" s="101">
        <f t="shared" si="220"/>
        <v>29600.508195243765</v>
      </c>
      <c r="G553" s="104">
        <f t="shared" si="221"/>
        <v>1.5707625435911221</v>
      </c>
      <c r="H553" s="113">
        <f t="shared" si="222"/>
        <v>3700.0636574268333</v>
      </c>
      <c r="I553" s="114">
        <f t="shared" si="223"/>
        <v>1.5705260611711778</v>
      </c>
      <c r="J553" s="101">
        <f t="shared" si="224"/>
        <v>5.5323971268622865</v>
      </c>
      <c r="K553" s="104">
        <f t="shared" si="225"/>
        <v>1.3890438366912001</v>
      </c>
      <c r="L553" s="102">
        <f t="shared" si="226"/>
        <v>1</v>
      </c>
      <c r="M553" s="103">
        <f t="shared" si="227"/>
        <v>3.5368254257222249E-9</v>
      </c>
      <c r="N553" s="101">
        <f t="shared" si="228"/>
        <v>1</v>
      </c>
      <c r="O553" s="104">
        <f t="shared" si="229"/>
        <v>4.715767234296299E-10</v>
      </c>
      <c r="P553" s="105">
        <f t="shared" ca="1" si="230"/>
        <v>4.7515437441120953</v>
      </c>
      <c r="Q553" s="106">
        <f t="shared" ca="1" si="231"/>
        <v>1.5181500940041084</v>
      </c>
      <c r="R553" s="107">
        <f t="shared" ca="1" si="232"/>
        <v>-40.031924231251253</v>
      </c>
      <c r="S553" s="108">
        <f t="shared" ca="1" si="233"/>
        <v>-187.92824655412431</v>
      </c>
      <c r="T553" s="116">
        <f t="shared" ca="1" si="234"/>
        <v>-7.9282465541243141</v>
      </c>
      <c r="V553" s="72">
        <f t="shared" ca="1" si="235"/>
        <v>86600.5</v>
      </c>
      <c r="W553" s="72">
        <f t="shared" si="236"/>
        <v>7499646600.25</v>
      </c>
      <c r="Y553" s="110">
        <f t="shared" si="237"/>
        <v>31.162333283371847</v>
      </c>
      <c r="Z553" s="111">
        <f t="shared" si="238"/>
        <v>-79.599898760987102</v>
      </c>
      <c r="AA553" s="72">
        <f t="shared" si="239"/>
        <v>100.4001012390129</v>
      </c>
      <c r="AB553" s="110">
        <f t="shared" ca="1" si="240"/>
        <v>-53.693032246789095</v>
      </c>
      <c r="AC553" s="111">
        <f t="shared" ca="1" si="241"/>
        <v>-108.32834779313723</v>
      </c>
      <c r="AD553" s="72">
        <f t="shared" ca="1" si="242"/>
        <v>71.671652206862774</v>
      </c>
    </row>
    <row r="554" spans="1:30">
      <c r="A554" s="118">
        <v>87096</v>
      </c>
      <c r="B554" s="101">
        <f t="shared" ca="1" si="216"/>
        <v>4855.5294861494731</v>
      </c>
      <c r="C554" s="102">
        <f t="shared" ca="1" si="217"/>
        <v>1.5705903760309434</v>
      </c>
      <c r="D554" s="102">
        <f t="shared" si="218"/>
        <v>2.7595897253860029</v>
      </c>
      <c r="E554" s="103">
        <f t="shared" si="219"/>
        <v>1.1999839567530384</v>
      </c>
      <c r="F554" s="101">
        <f t="shared" si="220"/>
        <v>29769.872711546228</v>
      </c>
      <c r="G554" s="104">
        <f t="shared" si="221"/>
        <v>1.570762735787979</v>
      </c>
      <c r="H554" s="113">
        <f t="shared" si="222"/>
        <v>3721.2342212078656</v>
      </c>
      <c r="I554" s="114">
        <f t="shared" si="223"/>
        <v>1.570527598745924</v>
      </c>
      <c r="J554" s="101">
        <f t="shared" si="224"/>
        <v>5.5630203440554489</v>
      </c>
      <c r="K554" s="104">
        <f t="shared" si="225"/>
        <v>1.3900554152265185</v>
      </c>
      <c r="L554" s="102">
        <f t="shared" si="226"/>
        <v>1</v>
      </c>
      <c r="M554" s="103">
        <f t="shared" si="227"/>
        <v>3.5570619947771997E-9</v>
      </c>
      <c r="N554" s="101">
        <f t="shared" si="228"/>
        <v>1</v>
      </c>
      <c r="O554" s="104">
        <f t="shared" si="229"/>
        <v>4.7427493263695997E-10</v>
      </c>
      <c r="P554" s="105">
        <f t="shared" ca="1" si="230"/>
        <v>4.7782128698767492</v>
      </c>
      <c r="Q554" s="106">
        <f t="shared" ca="1" si="231"/>
        <v>1.5202478204579946</v>
      </c>
      <c r="R554" s="107">
        <f t="shared" ca="1" si="232"/>
        <v>-40.135025256176185</v>
      </c>
      <c r="S554" s="108">
        <f t="shared" ca="1" si="233"/>
        <v>-187.99574859137238</v>
      </c>
      <c r="T554" s="116">
        <f t="shared" ca="1" si="234"/>
        <v>-7.9957485913723758</v>
      </c>
      <c r="V554" s="72">
        <f t="shared" ca="1" si="235"/>
        <v>87096</v>
      </c>
      <c r="W554" s="72">
        <f t="shared" si="236"/>
        <v>7585713216</v>
      </c>
      <c r="Y554" s="110">
        <f t="shared" si="237"/>
        <v>31.114387258690329</v>
      </c>
      <c r="Z554" s="111">
        <f t="shared" si="238"/>
        <v>-79.657780856293229</v>
      </c>
      <c r="AA554" s="72">
        <f t="shared" si="239"/>
        <v>100.34221914370677</v>
      </c>
      <c r="AB554" s="110">
        <f t="shared" ca="1" si="240"/>
        <v>-53.748187247032519</v>
      </c>
      <c r="AC554" s="111">
        <f t="shared" ca="1" si="241"/>
        <v>-108.33796773507916</v>
      </c>
      <c r="AD554" s="72">
        <f t="shared" ca="1" si="242"/>
        <v>71.662032264920839</v>
      </c>
    </row>
    <row r="555" spans="1:30">
      <c r="A555" s="118">
        <v>87603.25</v>
      </c>
      <c r="B555" s="101">
        <f t="shared" ca="1" si="216"/>
        <v>4883.8082501304052</v>
      </c>
      <c r="C555" s="102">
        <f t="shared" ca="1" si="217"/>
        <v>1.570591568549738</v>
      </c>
      <c r="D555" s="102">
        <f t="shared" si="218"/>
        <v>2.773556508835076</v>
      </c>
      <c r="E555" s="103">
        <f t="shared" si="219"/>
        <v>1.2019410815556164</v>
      </c>
      <c r="F555" s="101">
        <f t="shared" si="220"/>
        <v>29943.253439891294</v>
      </c>
      <c r="G555" s="104">
        <f t="shared" si="221"/>
        <v>1.5707629302903319</v>
      </c>
      <c r="H555" s="113">
        <f t="shared" si="222"/>
        <v>3742.9068114851461</v>
      </c>
      <c r="I555" s="114">
        <f t="shared" si="223"/>
        <v>1.5705291547646372</v>
      </c>
      <c r="J555" s="101">
        <f t="shared" si="224"/>
        <v>5.594375573834852</v>
      </c>
      <c r="K555" s="104">
        <f t="shared" si="225"/>
        <v>1.3910795090157266</v>
      </c>
      <c r="L555" s="102">
        <f t="shared" si="226"/>
        <v>1</v>
      </c>
      <c r="M555" s="103">
        <f t="shared" si="227"/>
        <v>3.5777784421094625E-9</v>
      </c>
      <c r="N555" s="101">
        <f t="shared" si="228"/>
        <v>1</v>
      </c>
      <c r="O555" s="104">
        <f t="shared" si="229"/>
        <v>4.7703712561459494E-10</v>
      </c>
      <c r="P555" s="105">
        <f t="shared" ca="1" si="230"/>
        <v>4.8055334854212797</v>
      </c>
      <c r="Q555" s="106">
        <f t="shared" ca="1" si="231"/>
        <v>1.5223817356494387</v>
      </c>
      <c r="R555" s="107">
        <f t="shared" ca="1" si="232"/>
        <v>-40.239957138446449</v>
      </c>
      <c r="S555" s="108">
        <f t="shared" ca="1" si="233"/>
        <v>-188.06454450266278</v>
      </c>
      <c r="T555" s="116">
        <f t="shared" ca="1" si="234"/>
        <v>-8.064544502662784</v>
      </c>
      <c r="V555" s="72">
        <f t="shared" ca="1" si="235"/>
        <v>87603.25</v>
      </c>
      <c r="W555" s="72">
        <f t="shared" si="236"/>
        <v>7674329410.5625</v>
      </c>
      <c r="Y555" s="110">
        <f t="shared" si="237"/>
        <v>31.065567838047908</v>
      </c>
      <c r="Z555" s="111">
        <f t="shared" si="238"/>
        <v>-79.71637909813748</v>
      </c>
      <c r="AA555" s="72">
        <f t="shared" si="239"/>
        <v>100.28362090186252</v>
      </c>
      <c r="AB555" s="110">
        <f t="shared" ca="1" si="240"/>
        <v>-53.804299708660359</v>
      </c>
      <c r="AC555" s="111">
        <f t="shared" ca="1" si="241"/>
        <v>-108.34816540452525</v>
      </c>
      <c r="AD555" s="72">
        <f t="shared" ca="1" si="242"/>
        <v>71.651834595474753</v>
      </c>
    </row>
    <row r="556" spans="1:30">
      <c r="A556" s="118">
        <v>88110.5</v>
      </c>
      <c r="B556" s="101">
        <f t="shared" ca="1" si="216"/>
        <v>4912.0870141182022</v>
      </c>
      <c r="C556" s="102">
        <f t="shared" ca="1" si="217"/>
        <v>1.57059274733793</v>
      </c>
      <c r="D556" s="102">
        <f t="shared" si="218"/>
        <v>2.7875338094595423</v>
      </c>
      <c r="E556" s="103">
        <f t="shared" si="219"/>
        <v>1.2038785868190085</v>
      </c>
      <c r="F556" s="101">
        <f t="shared" si="220"/>
        <v>30116.634168237484</v>
      </c>
      <c r="G556" s="104">
        <f t="shared" si="221"/>
        <v>1.5707631225531942</v>
      </c>
      <c r="H556" s="113">
        <f t="shared" si="222"/>
        <v>3764.5794017713852</v>
      </c>
      <c r="I556" s="114">
        <f t="shared" si="223"/>
        <v>1.5705306928674279</v>
      </c>
      <c r="J556" s="101">
        <f t="shared" si="224"/>
        <v>5.6257366054111735</v>
      </c>
      <c r="K556" s="104">
        <f t="shared" si="225"/>
        <v>1.3920921861033859</v>
      </c>
      <c r="L556" s="102">
        <f t="shared" si="226"/>
        <v>1</v>
      </c>
      <c r="M556" s="103">
        <f t="shared" si="227"/>
        <v>3.5984948894417248E-9</v>
      </c>
      <c r="N556" s="101">
        <f t="shared" si="228"/>
        <v>1</v>
      </c>
      <c r="O556" s="104">
        <f t="shared" si="229"/>
        <v>4.7979931859222991E-10</v>
      </c>
      <c r="P556" s="105">
        <f t="shared" ca="1" si="230"/>
        <v>4.8328733542058968</v>
      </c>
      <c r="Q556" s="106">
        <f t="shared" ca="1" si="231"/>
        <v>1.5245021514836856</v>
      </c>
      <c r="R556" s="107">
        <f t="shared" ca="1" si="232"/>
        <v>-40.34427524054685</v>
      </c>
      <c r="S556" s="108">
        <f t="shared" ca="1" si="233"/>
        <v>-188.13303705722365</v>
      </c>
      <c r="T556" s="116">
        <f t="shared" ca="1" si="234"/>
        <v>-8.1330370572236461</v>
      </c>
      <c r="V556" s="72">
        <f t="shared" ca="1" si="235"/>
        <v>88110.5</v>
      </c>
      <c r="W556" s="72">
        <f t="shared" si="236"/>
        <v>7763460210.25</v>
      </c>
      <c r="Y556" s="110">
        <f t="shared" si="237"/>
        <v>31.017012318481079</v>
      </c>
      <c r="Z556" s="111">
        <f t="shared" si="238"/>
        <v>-79.774324109359682</v>
      </c>
      <c r="AA556" s="72">
        <f t="shared" si="239"/>
        <v>100.22567589064032</v>
      </c>
      <c r="AB556" s="110">
        <f t="shared" ca="1" si="240"/>
        <v>-53.860062291193927</v>
      </c>
      <c r="AC556" s="111">
        <f t="shared" ca="1" si="241"/>
        <v>-108.35871294786396</v>
      </c>
      <c r="AD556" s="72">
        <f t="shared" ca="1" si="242"/>
        <v>71.641287052136036</v>
      </c>
    </row>
    <row r="557" spans="1:30">
      <c r="A557" s="118">
        <v>88617.75</v>
      </c>
      <c r="B557" s="101">
        <f t="shared" ca="1" si="216"/>
        <v>4940.3657781127476</v>
      </c>
      <c r="C557" s="102">
        <f t="shared" ca="1" si="217"/>
        <v>1.570593912631302</v>
      </c>
      <c r="D557" s="102">
        <f t="shared" si="218"/>
        <v>2.8015214698430975</v>
      </c>
      <c r="E557" s="103">
        <f t="shared" si="219"/>
        <v>1.2057967517608954</v>
      </c>
      <c r="F557" s="101">
        <f t="shared" si="220"/>
        <v>30290.014896584773</v>
      </c>
      <c r="G557" s="104">
        <f t="shared" si="221"/>
        <v>1.5707633126150227</v>
      </c>
      <c r="H557" s="113">
        <f t="shared" si="222"/>
        <v>3786.2519920664276</v>
      </c>
      <c r="I557" s="114">
        <f t="shared" si="223"/>
        <v>1.5705322133619499</v>
      </c>
      <c r="J557" s="101">
        <f t="shared" si="224"/>
        <v>5.6571033422949224</v>
      </c>
      <c r="K557" s="104">
        <f t="shared" si="225"/>
        <v>1.3930936343003231</v>
      </c>
      <c r="L557" s="102">
        <f t="shared" si="226"/>
        <v>1</v>
      </c>
      <c r="M557" s="103">
        <f t="shared" si="227"/>
        <v>3.6192113367739871E-9</v>
      </c>
      <c r="N557" s="101">
        <f t="shared" si="228"/>
        <v>1</v>
      </c>
      <c r="O557" s="104">
        <f t="shared" si="229"/>
        <v>4.8256151156986498E-10</v>
      </c>
      <c r="P557" s="105">
        <f t="shared" ca="1" si="230"/>
        <v>4.8602324344366785</v>
      </c>
      <c r="Q557" s="106">
        <f t="shared" ca="1" si="231"/>
        <v>1.5266092800529085</v>
      </c>
      <c r="R557" s="107">
        <f t="shared" ca="1" si="232"/>
        <v>-40.447986925519324</v>
      </c>
      <c r="S557" s="108">
        <f t="shared" ca="1" si="233"/>
        <v>-188.20123316790006</v>
      </c>
      <c r="T557" s="116">
        <f t="shared" ca="1" si="234"/>
        <v>-8.2012331679000567</v>
      </c>
      <c r="V557" s="72">
        <f t="shared" ca="1" si="235"/>
        <v>88617.75</v>
      </c>
      <c r="W557" s="72">
        <f t="shared" si="236"/>
        <v>7853105615.0625</v>
      </c>
      <c r="Y557" s="110">
        <f t="shared" si="237"/>
        <v>30.968717963965226</v>
      </c>
      <c r="Z557" s="111">
        <f t="shared" si="238"/>
        <v>-79.831626635303678</v>
      </c>
      <c r="AA557" s="72">
        <f t="shared" si="239"/>
        <v>100.16837336469632</v>
      </c>
      <c r="AB557" s="110">
        <f t="shared" ca="1" si="240"/>
        <v>-53.915479621650555</v>
      </c>
      <c r="AC557" s="111">
        <f t="shared" ca="1" si="241"/>
        <v>-108.36960653259634</v>
      </c>
      <c r="AD557" s="72">
        <f t="shared" ca="1" si="242"/>
        <v>71.630393467403664</v>
      </c>
    </row>
    <row r="558" spans="1:30">
      <c r="A558" s="118">
        <v>89125</v>
      </c>
      <c r="B558" s="101">
        <f t="shared" ca="1" si="216"/>
        <v>4968.6445421139242</v>
      </c>
      <c r="C558" s="102">
        <f t="shared" ca="1" si="217"/>
        <v>1.5705950646602691</v>
      </c>
      <c r="D558" s="102">
        <f t="shared" si="218"/>
        <v>2.8155193355821271</v>
      </c>
      <c r="E558" s="103">
        <f t="shared" si="219"/>
        <v>1.2076958506216977</v>
      </c>
      <c r="F558" s="101">
        <f t="shared" si="220"/>
        <v>30463.395624933146</v>
      </c>
      <c r="G558" s="104">
        <f t="shared" si="221"/>
        <v>1.5707635005133982</v>
      </c>
      <c r="H558" s="113">
        <f t="shared" si="222"/>
        <v>3807.9245823701244</v>
      </c>
      <c r="I558" s="114">
        <f t="shared" si="223"/>
        <v>1.5705337165488524</v>
      </c>
      <c r="J558" s="101">
        <f t="shared" si="224"/>
        <v>5.6884756901074578</v>
      </c>
      <c r="K558" s="104">
        <f t="shared" si="225"/>
        <v>1.3940840373654309</v>
      </c>
      <c r="L558" s="102">
        <f t="shared" si="226"/>
        <v>1</v>
      </c>
      <c r="M558" s="103">
        <f t="shared" si="227"/>
        <v>3.6399277841062498E-9</v>
      </c>
      <c r="N558" s="101">
        <f t="shared" si="228"/>
        <v>1</v>
      </c>
      <c r="O558" s="104">
        <f t="shared" si="229"/>
        <v>4.8532370454749994E-10</v>
      </c>
      <c r="P558" s="105">
        <f t="shared" ca="1" si="230"/>
        <v>4.8876106866540674</v>
      </c>
      <c r="Q558" s="106">
        <f t="shared" ca="1" si="231"/>
        <v>1.5287033289448984</v>
      </c>
      <c r="R558" s="107">
        <f t="shared" ca="1" si="232"/>
        <v>-40.551099428331824</v>
      </c>
      <c r="S558" s="108">
        <f t="shared" ca="1" si="233"/>
        <v>-188.26913954251566</v>
      </c>
      <c r="T558" s="116">
        <f t="shared" ca="1" si="234"/>
        <v>-8.26913954251566</v>
      </c>
      <c r="V558" s="72">
        <f t="shared" ca="1" si="235"/>
        <v>89125</v>
      </c>
      <c r="W558" s="72">
        <f t="shared" si="236"/>
        <v>7943265625</v>
      </c>
      <c r="Y558" s="110">
        <f t="shared" si="237"/>
        <v>30.920682079022402</v>
      </c>
      <c r="Z558" s="111">
        <f t="shared" si="238"/>
        <v>-79.888297189505806</v>
      </c>
      <c r="AA558" s="72">
        <f t="shared" si="239"/>
        <v>100.11170281049419</v>
      </c>
      <c r="AB558" s="110">
        <f t="shared" ca="1" si="240"/>
        <v>-53.970556239520221</v>
      </c>
      <c r="AC558" s="111">
        <f t="shared" ca="1" si="241"/>
        <v>-108.38084235300985</v>
      </c>
      <c r="AD558" s="72">
        <f t="shared" ca="1" si="242"/>
        <v>71.619157646990146</v>
      </c>
    </row>
    <row r="559" spans="1:30">
      <c r="A559" s="118">
        <v>89644</v>
      </c>
      <c r="B559" s="101">
        <f t="shared" ca="1" si="216"/>
        <v>4997.5783588118702</v>
      </c>
      <c r="C559" s="102">
        <f t="shared" ca="1" si="217"/>
        <v>1.5705962298809764</v>
      </c>
      <c r="D559" s="102">
        <f t="shared" si="218"/>
        <v>2.8298518543010043</v>
      </c>
      <c r="E559" s="103">
        <f t="shared" si="219"/>
        <v>1.2096194876883966</v>
      </c>
      <c r="F559" s="101">
        <f t="shared" si="220"/>
        <v>30640.792565324198</v>
      </c>
      <c r="G559" s="104">
        <f t="shared" si="221"/>
        <v>1.5707636905633746</v>
      </c>
      <c r="H559" s="113">
        <f t="shared" si="222"/>
        <v>3830.0991991706842</v>
      </c>
      <c r="I559" s="114">
        <f t="shared" si="223"/>
        <v>1.570535236948561</v>
      </c>
      <c r="J559" s="101">
        <f t="shared" si="224"/>
        <v>5.7205804618667724</v>
      </c>
      <c r="K559" s="104">
        <f t="shared" si="225"/>
        <v>1.3950861378992161</v>
      </c>
      <c r="L559" s="102">
        <f t="shared" si="226"/>
        <v>1</v>
      </c>
      <c r="M559" s="103">
        <f t="shared" si="227"/>
        <v>3.6611241097157999E-9</v>
      </c>
      <c r="N559" s="101">
        <f t="shared" si="228"/>
        <v>1</v>
      </c>
      <c r="O559" s="104">
        <f t="shared" si="229"/>
        <v>4.881498812954399E-10</v>
      </c>
      <c r="P559" s="105">
        <f t="shared" ca="1" si="230"/>
        <v>4.9156429365072158</v>
      </c>
      <c r="Q559" s="106">
        <f t="shared" ca="1" si="231"/>
        <v>1.5308325588946896</v>
      </c>
      <c r="R559" s="107">
        <f t="shared" ca="1" si="232"/>
        <v>-40.655987694134353</v>
      </c>
      <c r="S559" s="108">
        <f t="shared" ca="1" si="233"/>
        <v>-188.33832581607879</v>
      </c>
      <c r="T559" s="116">
        <f t="shared" ca="1" si="234"/>
        <v>-8.3383258160787932</v>
      </c>
      <c r="V559" s="72">
        <f t="shared" ca="1" si="235"/>
        <v>89644</v>
      </c>
      <c r="W559" s="72">
        <f t="shared" si="236"/>
        <v>8036046736</v>
      </c>
      <c r="Y559" s="110">
        <f t="shared" si="237"/>
        <v>30.871798235152184</v>
      </c>
      <c r="Z559" s="111">
        <f t="shared" si="238"/>
        <v>-79.945637096327545</v>
      </c>
      <c r="AA559" s="72">
        <f t="shared" si="239"/>
        <v>100.05436290367246</v>
      </c>
      <c r="AB559" s="110">
        <f t="shared" ca="1" si="240"/>
        <v>-54.026560661452542</v>
      </c>
      <c r="AC559" s="111">
        <f t="shared" ca="1" si="241"/>
        <v>-108.39268871975125</v>
      </c>
      <c r="AD559" s="72">
        <f t="shared" ca="1" si="242"/>
        <v>71.607311280248751</v>
      </c>
    </row>
    <row r="560" spans="1:30">
      <c r="A560" s="118">
        <v>90163</v>
      </c>
      <c r="B560" s="101">
        <f t="shared" ca="1" si="216"/>
        <v>5026.5121755165237</v>
      </c>
      <c r="C560" s="102">
        <f t="shared" ca="1" si="217"/>
        <v>1.5705973816871006</v>
      </c>
      <c r="D560" s="102">
        <f t="shared" si="218"/>
        <v>2.8441947389867672</v>
      </c>
      <c r="E560" s="103">
        <f t="shared" si="219"/>
        <v>1.2115237304656858</v>
      </c>
      <c r="F560" s="101">
        <f t="shared" si="220"/>
        <v>30818.189505716349</v>
      </c>
      <c r="G560" s="104">
        <f t="shared" si="221"/>
        <v>1.5707638784254039</v>
      </c>
      <c r="H560" s="113">
        <f t="shared" si="222"/>
        <v>3852.2738159799965</v>
      </c>
      <c r="I560" s="114">
        <f t="shared" si="223"/>
        <v>1.5705367398446952</v>
      </c>
      <c r="J560" s="101">
        <f t="shared" si="224"/>
        <v>5.75269091414133</v>
      </c>
      <c r="K560" s="104">
        <f t="shared" si="225"/>
        <v>1.3960770523407147</v>
      </c>
      <c r="L560" s="102">
        <f t="shared" si="226"/>
        <v>1</v>
      </c>
      <c r="M560" s="103">
        <f t="shared" si="227"/>
        <v>3.6823204353253497E-9</v>
      </c>
      <c r="N560" s="101">
        <f t="shared" si="228"/>
        <v>1</v>
      </c>
      <c r="O560" s="104">
        <f t="shared" si="229"/>
        <v>4.9097605804337997E-10</v>
      </c>
      <c r="P560" s="105">
        <f t="shared" ca="1" si="230"/>
        <v>4.9436951804761886</v>
      </c>
      <c r="Q560" s="106">
        <f t="shared" ca="1" si="231"/>
        <v>1.532948521914971</v>
      </c>
      <c r="R560" s="107">
        <f t="shared" ca="1" si="232"/>
        <v>-40.760263622425086</v>
      </c>
      <c r="S560" s="108">
        <f t="shared" ca="1" si="233"/>
        <v>-188.407222354548</v>
      </c>
      <c r="T560" s="116">
        <f t="shared" ca="1" si="234"/>
        <v>-8.4072223545479972</v>
      </c>
      <c r="V560" s="72">
        <f t="shared" ca="1" si="235"/>
        <v>90163</v>
      </c>
      <c r="W560" s="72">
        <f t="shared" si="236"/>
        <v>8129366569</v>
      </c>
      <c r="Y560" s="110">
        <f t="shared" si="237"/>
        <v>30.823179391763752</v>
      </c>
      <c r="Z560" s="111">
        <f t="shared" si="238"/>
        <v>-80.002336964792121</v>
      </c>
      <c r="AA560" s="72">
        <f t="shared" si="239"/>
        <v>99.997663035207879</v>
      </c>
      <c r="AB560" s="110">
        <f t="shared" ca="1" si="240"/>
        <v>-54.082217746354829</v>
      </c>
      <c r="AC560" s="111">
        <f t="shared" ca="1" si="241"/>
        <v>-108.40488538975588</v>
      </c>
      <c r="AD560" s="72">
        <f t="shared" ca="1" si="242"/>
        <v>71.595114610244124</v>
      </c>
    </row>
    <row r="561" spans="1:30">
      <c r="A561" s="118">
        <v>90682</v>
      </c>
      <c r="B561" s="101">
        <f t="shared" ca="1" si="216"/>
        <v>5055.4459922277692</v>
      </c>
      <c r="C561" s="102">
        <f t="shared" ca="1" si="217"/>
        <v>1.5705985203089687</v>
      </c>
      <c r="D561" s="102">
        <f t="shared" si="218"/>
        <v>2.8585478336043888</v>
      </c>
      <c r="E561" s="103">
        <f t="shared" si="219"/>
        <v>1.2134088571814066</v>
      </c>
      <c r="F561" s="101">
        <f t="shared" si="220"/>
        <v>30995.586446109573</v>
      </c>
      <c r="G561" s="104">
        <f t="shared" si="221"/>
        <v>1.5707640641370531</v>
      </c>
      <c r="H561" s="113">
        <f t="shared" si="222"/>
        <v>3874.4484327979098</v>
      </c>
      <c r="I561" s="114">
        <f t="shared" si="223"/>
        <v>1.5705382255377893</v>
      </c>
      <c r="J561" s="101">
        <f t="shared" si="224"/>
        <v>5.7848069523364867</v>
      </c>
      <c r="K561" s="104">
        <f t="shared" si="225"/>
        <v>1.3970569650360976</v>
      </c>
      <c r="L561" s="102">
        <f t="shared" si="226"/>
        <v>1</v>
      </c>
      <c r="M561" s="103">
        <f t="shared" si="227"/>
        <v>3.7035167609348999E-9</v>
      </c>
      <c r="N561" s="101">
        <f t="shared" si="228"/>
        <v>1</v>
      </c>
      <c r="O561" s="104">
        <f t="shared" si="229"/>
        <v>4.9380223479131993E-10</v>
      </c>
      <c r="P561" s="105">
        <f t="shared" ca="1" si="230"/>
        <v>4.9717673834756706</v>
      </c>
      <c r="Q561" s="106">
        <f t="shared" ca="1" si="231"/>
        <v>1.5350514264622144</v>
      </c>
      <c r="R561" s="107">
        <f t="shared" ca="1" si="232"/>
        <v>-40.863934564835716</v>
      </c>
      <c r="S561" s="108">
        <f t="shared" ca="1" si="233"/>
        <v>-188.47583572070559</v>
      </c>
      <c r="T561" s="116">
        <f t="shared" ca="1" si="234"/>
        <v>-8.4758357207055894</v>
      </c>
      <c r="V561" s="72">
        <f t="shared" ca="1" si="235"/>
        <v>90682</v>
      </c>
      <c r="W561" s="72">
        <f t="shared" si="236"/>
        <v>8223225124</v>
      </c>
      <c r="Y561" s="110">
        <f t="shared" si="237"/>
        <v>30.774822788611552</v>
      </c>
      <c r="Z561" s="111">
        <f t="shared" si="238"/>
        <v>-80.058407342090149</v>
      </c>
      <c r="AA561" s="72">
        <f t="shared" si="239"/>
        <v>99.941592657909851</v>
      </c>
      <c r="AB561" s="110">
        <f t="shared" ca="1" si="240"/>
        <v>-54.13753208561328</v>
      </c>
      <c r="AC561" s="111">
        <f t="shared" ca="1" si="241"/>
        <v>-108.41742837861544</v>
      </c>
      <c r="AD561" s="72">
        <f t="shared" ca="1" si="242"/>
        <v>71.58257162138456</v>
      </c>
    </row>
    <row r="562" spans="1:30">
      <c r="A562" s="118">
        <v>91201</v>
      </c>
      <c r="B562" s="101">
        <f t="shared" ca="1" si="216"/>
        <v>5084.379808945494</v>
      </c>
      <c r="C562" s="102">
        <f t="shared" ca="1" si="217"/>
        <v>1.5705996459716647</v>
      </c>
      <c r="D562" s="102">
        <f t="shared" si="218"/>
        <v>2.8729109851270791</v>
      </c>
      <c r="E562" s="103">
        <f t="shared" si="219"/>
        <v>1.2152751410488032</v>
      </c>
      <c r="F562" s="101">
        <f t="shared" si="220"/>
        <v>31172.983386503853</v>
      </c>
      <c r="G562" s="104">
        <f t="shared" si="221"/>
        <v>1.5707642477350334</v>
      </c>
      <c r="H562" s="113">
        <f t="shared" si="222"/>
        <v>3896.6230496242779</v>
      </c>
      <c r="I562" s="114">
        <f t="shared" si="223"/>
        <v>1.5705396943215366</v>
      </c>
      <c r="J562" s="101">
        <f t="shared" si="224"/>
        <v>5.8169284839304076</v>
      </c>
      <c r="K562" s="104">
        <f t="shared" si="225"/>
        <v>1.39802605634522</v>
      </c>
      <c r="L562" s="102">
        <f t="shared" si="226"/>
        <v>1</v>
      </c>
      <c r="M562" s="103">
        <f t="shared" si="227"/>
        <v>3.7247130865444496E-9</v>
      </c>
      <c r="N562" s="101">
        <f t="shared" si="228"/>
        <v>1</v>
      </c>
      <c r="O562" s="104">
        <f t="shared" si="229"/>
        <v>4.9662841153925989E-10</v>
      </c>
      <c r="P562" s="105">
        <f t="shared" ca="1" si="230"/>
        <v>4.9998595127103753</v>
      </c>
      <c r="Q562" s="106">
        <f t="shared" ca="1" si="231"/>
        <v>1.5371414765490052</v>
      </c>
      <c r="R562" s="107">
        <f t="shared" ca="1" si="232"/>
        <v>-40.967007744834582</v>
      </c>
      <c r="S562" s="108">
        <f t="shared" ca="1" si="233"/>
        <v>-188.54417228167682</v>
      </c>
      <c r="T562" s="116">
        <f t="shared" ca="1" si="234"/>
        <v>-8.544172281676822</v>
      </c>
      <c r="V562" s="72">
        <f t="shared" ca="1" si="235"/>
        <v>91201</v>
      </c>
      <c r="W562" s="72">
        <f t="shared" si="236"/>
        <v>8317622401</v>
      </c>
      <c r="Y562" s="110">
        <f t="shared" si="237"/>
        <v>30.726725706648722</v>
      </c>
      <c r="Z562" s="111">
        <f t="shared" si="238"/>
        <v>-80.113858547356173</v>
      </c>
      <c r="AA562" s="72">
        <f t="shared" si="239"/>
        <v>99.886141452643827</v>
      </c>
      <c r="AB562" s="110">
        <f t="shared" ca="1" si="240"/>
        <v>-54.192508183649295</v>
      </c>
      <c r="AC562" s="111">
        <f t="shared" ca="1" si="241"/>
        <v>-108.43031373432071</v>
      </c>
      <c r="AD562" s="72">
        <f t="shared" ca="1" si="242"/>
        <v>71.569686265679294</v>
      </c>
    </row>
    <row r="563" spans="1:30">
      <c r="A563" s="118">
        <v>91732</v>
      </c>
      <c r="B563" s="101">
        <f t="shared" ca="1" si="216"/>
        <v>5113.9826156517229</v>
      </c>
      <c r="C563" s="102">
        <f t="shared" ca="1" si="217"/>
        <v>1.5706007844785594</v>
      </c>
      <c r="D563" s="102">
        <f t="shared" si="218"/>
        <v>2.8876164845131846</v>
      </c>
      <c r="E563" s="103">
        <f t="shared" si="219"/>
        <v>1.2171653543858905</v>
      </c>
      <c r="F563" s="101">
        <f t="shared" si="220"/>
        <v>31354.481990260927</v>
      </c>
      <c r="G563" s="104">
        <f t="shared" si="221"/>
        <v>1.5707644334279298</v>
      </c>
      <c r="H563" s="113">
        <f t="shared" si="222"/>
        <v>3919.3103743627462</v>
      </c>
      <c r="I563" s="114">
        <f t="shared" si="223"/>
        <v>1.5705411798646123</v>
      </c>
      <c r="J563" s="101">
        <f t="shared" si="224"/>
        <v>5.8497983009079073</v>
      </c>
      <c r="K563" s="104">
        <f t="shared" si="225"/>
        <v>1.3990065388350066</v>
      </c>
      <c r="L563" s="102">
        <f t="shared" si="226"/>
        <v>1</v>
      </c>
      <c r="M563" s="103">
        <f t="shared" si="227"/>
        <v>3.7463995006073996E-9</v>
      </c>
      <c r="N563" s="101">
        <f t="shared" si="228"/>
        <v>1</v>
      </c>
      <c r="O563" s="104">
        <f t="shared" si="229"/>
        <v>4.9951993341431996E-10</v>
      </c>
      <c r="P563" s="105">
        <f t="shared" ca="1" si="230"/>
        <v>5.0286217617226221</v>
      </c>
      <c r="Q563" s="106">
        <f t="shared" ca="1" si="231"/>
        <v>1.5392667560074149</v>
      </c>
      <c r="R563" s="107">
        <f t="shared" ca="1" si="232"/>
        <v>-41.071852868047401</v>
      </c>
      <c r="S563" s="108">
        <f t="shared" ca="1" si="233"/>
        <v>-188.61380884159982</v>
      </c>
      <c r="T563" s="116">
        <f t="shared" ca="1" si="234"/>
        <v>-8.6138088415998197</v>
      </c>
      <c r="V563" s="72">
        <f t="shared" ca="1" si="235"/>
        <v>91732</v>
      </c>
      <c r="W563" s="72">
        <f t="shared" si="236"/>
        <v>8414759824</v>
      </c>
      <c r="Y563" s="110">
        <f t="shared" si="237"/>
        <v>30.677782351355361</v>
      </c>
      <c r="Z563" s="111">
        <f t="shared" si="238"/>
        <v>-80.169961578965371</v>
      </c>
      <c r="AA563" s="72">
        <f t="shared" si="239"/>
        <v>99.830038421034629</v>
      </c>
      <c r="AB563" s="110">
        <f t="shared" ca="1" si="240"/>
        <v>-54.248409951568767</v>
      </c>
      <c r="AC563" s="111">
        <f t="shared" ca="1" si="241"/>
        <v>-108.44384726263448</v>
      </c>
      <c r="AD563" s="72">
        <f t="shared" ca="1" si="242"/>
        <v>71.556152737365522</v>
      </c>
    </row>
    <row r="564" spans="1:30">
      <c r="A564" s="118">
        <v>92263</v>
      </c>
      <c r="B564" s="101">
        <f t="shared" ca="1" si="216"/>
        <v>5143.5854223645047</v>
      </c>
      <c r="C564" s="102">
        <f t="shared" ca="1" si="217"/>
        <v>1.5706019098805879</v>
      </c>
      <c r="D564" s="102">
        <f t="shared" si="218"/>
        <v>2.902332196511558</v>
      </c>
      <c r="E564" s="103">
        <f t="shared" si="219"/>
        <v>1.2190364064321204</v>
      </c>
      <c r="F564" s="101">
        <f t="shared" si="220"/>
        <v>31535.980594019067</v>
      </c>
      <c r="G564" s="104">
        <f t="shared" si="221"/>
        <v>1.5707646169833946</v>
      </c>
      <c r="H564" s="113">
        <f t="shared" si="222"/>
        <v>3941.9976991097642</v>
      </c>
      <c r="I564" s="114">
        <f t="shared" si="223"/>
        <v>1.5705426483082372</v>
      </c>
      <c r="J564" s="101">
        <f t="shared" si="224"/>
        <v>5.8826736787166167</v>
      </c>
      <c r="K564" s="104">
        <f t="shared" si="225"/>
        <v>1.3999760633767395</v>
      </c>
      <c r="L564" s="102">
        <f t="shared" si="226"/>
        <v>1</v>
      </c>
      <c r="M564" s="103">
        <f t="shared" si="227"/>
        <v>3.7680859146703496E-9</v>
      </c>
      <c r="N564" s="101">
        <f t="shared" si="228"/>
        <v>1</v>
      </c>
      <c r="O564" s="104">
        <f t="shared" si="229"/>
        <v>5.0241145528937993E-10</v>
      </c>
      <c r="P564" s="105">
        <f t="shared" ca="1" si="230"/>
        <v>5.0574048066871224</v>
      </c>
      <c r="Q564" s="106">
        <f t="shared" ca="1" si="231"/>
        <v>1.5413789980054118</v>
      </c>
      <c r="R564" s="107">
        <f t="shared" ca="1" si="232"/>
        <v>-41.17608716616899</v>
      </c>
      <c r="S564" s="108">
        <f t="shared" ca="1" si="233"/>
        <v>-188.68316853339283</v>
      </c>
      <c r="T564" s="116">
        <f t="shared" ca="1" si="234"/>
        <v>-8.6831685333928306</v>
      </c>
      <c r="V564" s="72">
        <f t="shared" ca="1" si="235"/>
        <v>92263</v>
      </c>
      <c r="W564" s="72">
        <f t="shared" si="236"/>
        <v>8512461169</v>
      </c>
      <c r="Y564" s="110">
        <f t="shared" si="237"/>
        <v>30.629105027420948</v>
      </c>
      <c r="Z564" s="111">
        <f t="shared" si="238"/>
        <v>-80.22543762365882</v>
      </c>
      <c r="AA564" s="72">
        <f t="shared" si="239"/>
        <v>99.77456237634118</v>
      </c>
      <c r="AB564" s="110">
        <f t="shared" ca="1" si="240"/>
        <v>-54.303966925755944</v>
      </c>
      <c r="AC564" s="111">
        <f t="shared" ca="1" si="241"/>
        <v>-108.45773090973402</v>
      </c>
      <c r="AD564" s="72">
        <f t="shared" ca="1" si="242"/>
        <v>71.542269090265975</v>
      </c>
    </row>
    <row r="565" spans="1:30">
      <c r="A565" s="118">
        <v>92794</v>
      </c>
      <c r="B565" s="101">
        <f t="shared" ca="1" si="216"/>
        <v>5173.1882290837275</v>
      </c>
      <c r="C565" s="102">
        <f t="shared" ca="1" si="217"/>
        <v>1.5706030224027221</v>
      </c>
      <c r="D565" s="102">
        <f t="shared" si="218"/>
        <v>2.9170579665631968</v>
      </c>
      <c r="E565" s="103">
        <f t="shared" si="219"/>
        <v>1.220888574174652</v>
      </c>
      <c r="F565" s="101">
        <f t="shared" si="220"/>
        <v>31717.479197778259</v>
      </c>
      <c r="G565" s="104">
        <f t="shared" si="221"/>
        <v>1.5707647984381212</v>
      </c>
      <c r="H565" s="113">
        <f t="shared" si="222"/>
        <v>3964.6850238651855</v>
      </c>
      <c r="I565" s="114">
        <f t="shared" si="223"/>
        <v>1.5705440999459581</v>
      </c>
      <c r="J565" s="101">
        <f t="shared" si="224"/>
        <v>5.9155545246444738</v>
      </c>
      <c r="K565" s="104">
        <f t="shared" si="225"/>
        <v>1.4009348108574105</v>
      </c>
      <c r="L565" s="102">
        <f t="shared" si="226"/>
        <v>1</v>
      </c>
      <c r="M565" s="103">
        <f t="shared" si="227"/>
        <v>3.7897723287332995E-9</v>
      </c>
      <c r="N565" s="101">
        <f t="shared" si="228"/>
        <v>1</v>
      </c>
      <c r="O565" s="104">
        <f t="shared" si="229"/>
        <v>5.053029771644399E-10</v>
      </c>
      <c r="P565" s="105">
        <f t="shared" ca="1" si="230"/>
        <v>5.0862086195212006</v>
      </c>
      <c r="Q565" s="106">
        <f t="shared" ca="1" si="231"/>
        <v>1.543478407334266</v>
      </c>
      <c r="R565" s="107">
        <f t="shared" ca="1" si="232"/>
        <v>-41.279717977402129</v>
      </c>
      <c r="S565" s="108">
        <f t="shared" ca="1" si="233"/>
        <v>-188.75225758277071</v>
      </c>
      <c r="T565" s="116">
        <f t="shared" ca="1" si="234"/>
        <v>-8.7522575827707101</v>
      </c>
      <c r="V565" s="72">
        <f t="shared" ca="1" si="235"/>
        <v>92794</v>
      </c>
      <c r="W565" s="72">
        <f t="shared" si="236"/>
        <v>8610726436</v>
      </c>
      <c r="Y565" s="110">
        <f t="shared" si="237"/>
        <v>30.580690951688165</v>
      </c>
      <c r="Z565" s="111">
        <f t="shared" si="238"/>
        <v>-80.280297030781085</v>
      </c>
      <c r="AA565" s="72">
        <f t="shared" si="239"/>
        <v>99.719702969218915</v>
      </c>
      <c r="AB565" s="110">
        <f t="shared" ca="1" si="240"/>
        <v>-54.359183661256303</v>
      </c>
      <c r="AC565" s="111">
        <f t="shared" ca="1" si="241"/>
        <v>-108.47196055198958</v>
      </c>
      <c r="AD565" s="72">
        <f t="shared" ca="1" si="242"/>
        <v>71.528039448010418</v>
      </c>
    </row>
    <row r="566" spans="1:30">
      <c r="A566" s="118">
        <v>93325</v>
      </c>
      <c r="B566" s="101">
        <f t="shared" ca="1" si="216"/>
        <v>5202.7910358092786</v>
      </c>
      <c r="C566" s="102">
        <f t="shared" ca="1" si="217"/>
        <v>1.5706041222648137</v>
      </c>
      <c r="D566" s="102">
        <f t="shared" si="218"/>
        <v>2.9317936431097782</v>
      </c>
      <c r="E566" s="103">
        <f t="shared" si="219"/>
        <v>1.2227221295558985</v>
      </c>
      <c r="F566" s="101">
        <f t="shared" si="220"/>
        <v>31898.977801538487</v>
      </c>
      <c r="G566" s="104">
        <f t="shared" si="221"/>
        <v>1.5707649778279678</v>
      </c>
      <c r="H566" s="113">
        <f t="shared" si="222"/>
        <v>3987.3723486288663</v>
      </c>
      <c r="I566" s="114">
        <f t="shared" si="223"/>
        <v>1.5705455350646418</v>
      </c>
      <c r="J566" s="101">
        <f t="shared" si="224"/>
        <v>5.9484407480140762</v>
      </c>
      <c r="K566" s="104">
        <f t="shared" si="225"/>
        <v>1.4018829582440953</v>
      </c>
      <c r="L566" s="102">
        <f t="shared" si="226"/>
        <v>1</v>
      </c>
      <c r="M566" s="103">
        <f t="shared" si="227"/>
        <v>3.8114587427962495E-9</v>
      </c>
      <c r="N566" s="101">
        <f t="shared" si="228"/>
        <v>1</v>
      </c>
      <c r="O566" s="104">
        <f t="shared" si="229"/>
        <v>5.0819449903949997E-10</v>
      </c>
      <c r="P566" s="105">
        <f t="shared" ca="1" si="230"/>
        <v>5.1150331743866859</v>
      </c>
      <c r="Q566" s="106">
        <f t="shared" ca="1" si="231"/>
        <v>1.5455651844037044</v>
      </c>
      <c r="R566" s="107">
        <f t="shared" ca="1" si="232"/>
        <v>-41.382752511767308</v>
      </c>
      <c r="S566" s="108">
        <f t="shared" ca="1" si="233"/>
        <v>-188.82108202889376</v>
      </c>
      <c r="T566" s="116">
        <f t="shared" ca="1" si="234"/>
        <v>-8.8210820288937555</v>
      </c>
      <c r="V566" s="72">
        <f t="shared" ca="1" si="235"/>
        <v>93325</v>
      </c>
      <c r="W566" s="72">
        <f t="shared" si="236"/>
        <v>8709555625</v>
      </c>
      <c r="Y566" s="110">
        <f t="shared" si="237"/>
        <v>30.532537382819363</v>
      </c>
      <c r="Z566" s="111">
        <f t="shared" si="238"/>
        <v>-80.334549925417022</v>
      </c>
      <c r="AA566" s="72">
        <f t="shared" si="239"/>
        <v>99.665450074582978</v>
      </c>
      <c r="AB566" s="110">
        <f t="shared" ca="1" si="240"/>
        <v>-54.414064626752676</v>
      </c>
      <c r="AC566" s="111">
        <f t="shared" ca="1" si="241"/>
        <v>-108.48653210347672</v>
      </c>
      <c r="AD566" s="72">
        <f t="shared" ca="1" si="242"/>
        <v>71.513467896523281</v>
      </c>
    </row>
    <row r="567" spans="1:30">
      <c r="A567" s="118">
        <v>93868.5</v>
      </c>
      <c r="B567" s="101">
        <f t="shared" ca="1" si="216"/>
        <v>5233.0907071063757</v>
      </c>
      <c r="C567" s="102">
        <f t="shared" ca="1" si="217"/>
        <v>1.5706052351318516</v>
      </c>
      <c r="D567" s="102">
        <f t="shared" si="218"/>
        <v>2.9468863086359849</v>
      </c>
      <c r="E567" s="103">
        <f t="shared" si="219"/>
        <v>1.2245798516410833</v>
      </c>
      <c r="F567" s="101">
        <f t="shared" si="220"/>
        <v>32084.748971301651</v>
      </c>
      <c r="G567" s="104">
        <f t="shared" si="221"/>
        <v>1.5707651593389487</v>
      </c>
      <c r="H567" s="113">
        <f t="shared" si="222"/>
        <v>4010.5937441345623</v>
      </c>
      <c r="I567" s="114">
        <f t="shared" si="223"/>
        <v>1.5705469871524</v>
      </c>
      <c r="J567" s="101">
        <f t="shared" si="224"/>
        <v>5.9821066054341365</v>
      </c>
      <c r="K567" s="104">
        <f t="shared" si="225"/>
        <v>1.4028426288542624</v>
      </c>
      <c r="L567" s="102">
        <f t="shared" si="226"/>
        <v>1</v>
      </c>
      <c r="M567" s="103">
        <f t="shared" si="227"/>
        <v>3.8336556656648247E-9</v>
      </c>
      <c r="N567" s="101">
        <f t="shared" si="228"/>
        <v>1</v>
      </c>
      <c r="O567" s="104">
        <f t="shared" si="229"/>
        <v>5.1115408875530996E-10</v>
      </c>
      <c r="P567" s="105">
        <f t="shared" ca="1" si="230"/>
        <v>5.1445577289059079</v>
      </c>
      <c r="Q567" s="106">
        <f t="shared" ca="1" si="231"/>
        <v>1.5476882081039889</v>
      </c>
      <c r="R567" s="107">
        <f t="shared" ca="1" si="232"/>
        <v>-41.487602426139304</v>
      </c>
      <c r="S567" s="108">
        <f t="shared" ca="1" si="233"/>
        <v>-188.89125873029781</v>
      </c>
      <c r="T567" s="116">
        <f t="shared" ca="1" si="234"/>
        <v>-8.8912587302978068</v>
      </c>
      <c r="V567" s="72">
        <f t="shared" ca="1" si="235"/>
        <v>93868.5</v>
      </c>
      <c r="W567" s="72">
        <f t="shared" si="236"/>
        <v>8811295292.25</v>
      </c>
      <c r="Y567" s="110">
        <f t="shared" si="237"/>
        <v>30.483517214988851</v>
      </c>
      <c r="Z567" s="111">
        <f t="shared" si="238"/>
        <v>-80.389462201376006</v>
      </c>
      <c r="AA567" s="72">
        <f t="shared" si="239"/>
        <v>99.610537798623994</v>
      </c>
      <c r="AB567" s="110">
        <f t="shared" ca="1" si="240"/>
        <v>-54.469894373294146</v>
      </c>
      <c r="AC567" s="111">
        <f t="shared" ca="1" si="241"/>
        <v>-108.5017965289218</v>
      </c>
      <c r="AD567" s="72">
        <f t="shared" ca="1" si="242"/>
        <v>71.498203471078199</v>
      </c>
    </row>
    <row r="568" spans="1:30">
      <c r="A568" s="118">
        <v>94412</v>
      </c>
      <c r="B568" s="101">
        <f t="shared" ca="1" si="216"/>
        <v>5263.3903784098793</v>
      </c>
      <c r="C568" s="102">
        <f t="shared" ca="1" si="217"/>
        <v>1.5706063351860435</v>
      </c>
      <c r="D568" s="102">
        <f t="shared" si="218"/>
        <v>2.9619890405911735</v>
      </c>
      <c r="E568" s="103">
        <f t="shared" si="219"/>
        <v>1.2264186355331994</v>
      </c>
      <c r="F568" s="101">
        <f t="shared" si="220"/>
        <v>32270.520141065859</v>
      </c>
      <c r="G568" s="104">
        <f t="shared" si="221"/>
        <v>1.5707653387601272</v>
      </c>
      <c r="H568" s="113">
        <f t="shared" si="222"/>
        <v>4033.8151396486173</v>
      </c>
      <c r="I568" s="114">
        <f t="shared" si="223"/>
        <v>1.5705484225217401</v>
      </c>
      <c r="J568" s="101">
        <f t="shared" si="224"/>
        <v>6.0157779105148483</v>
      </c>
      <c r="K568" s="104">
        <f t="shared" si="225"/>
        <v>1.4037915574596063</v>
      </c>
      <c r="L568" s="102">
        <f t="shared" si="226"/>
        <v>1</v>
      </c>
      <c r="M568" s="103">
        <f t="shared" si="227"/>
        <v>3.8558525885333999E-9</v>
      </c>
      <c r="N568" s="101">
        <f t="shared" si="228"/>
        <v>1</v>
      </c>
      <c r="O568" s="104">
        <f t="shared" si="229"/>
        <v>5.1411367847111995E-10</v>
      </c>
      <c r="P568" s="105">
        <f t="shared" ca="1" si="230"/>
        <v>5.1741039656691843</v>
      </c>
      <c r="Q568" s="106">
        <f t="shared" ca="1" si="231"/>
        <v>1.5497984090880033</v>
      </c>
      <c r="R568" s="107">
        <f t="shared" ca="1" si="232"/>
        <v>-41.591842545706321</v>
      </c>
      <c r="S568" s="108">
        <f t="shared" ca="1" si="233"/>
        <v>-188.96117045520791</v>
      </c>
      <c r="T568" s="116">
        <f t="shared" ca="1" si="234"/>
        <v>-8.9611704552079061</v>
      </c>
      <c r="V568" s="72">
        <f t="shared" ca="1" si="235"/>
        <v>94412</v>
      </c>
      <c r="W568" s="72">
        <f t="shared" si="236"/>
        <v>8913625744</v>
      </c>
      <c r="Y568" s="110">
        <f t="shared" si="237"/>
        <v>30.4347642826453</v>
      </c>
      <c r="Z568" s="111">
        <f t="shared" si="238"/>
        <v>-80.443759843952336</v>
      </c>
      <c r="AA568" s="72">
        <f t="shared" si="239"/>
        <v>99.556240156047664</v>
      </c>
      <c r="AB568" s="110">
        <f t="shared" ca="1" si="240"/>
        <v>-54.525381560517623</v>
      </c>
      <c r="AC568" s="111">
        <f t="shared" ca="1" si="241"/>
        <v>-108.51741061125556</v>
      </c>
      <c r="AD568" s="72">
        <f t="shared" ca="1" si="242"/>
        <v>71.482589388744444</v>
      </c>
    </row>
    <row r="569" spans="1:30">
      <c r="A569" s="118">
        <v>94955.5</v>
      </c>
      <c r="B569" s="101">
        <f t="shared" ca="1" si="216"/>
        <v>5293.6900497196802</v>
      </c>
      <c r="C569" s="102">
        <f t="shared" ca="1" si="217"/>
        <v>1.5706074226474012</v>
      </c>
      <c r="D569" s="102">
        <f t="shared" si="218"/>
        <v>2.9771016857754304</v>
      </c>
      <c r="E569" s="103">
        <f t="shared" si="219"/>
        <v>1.2282387571099798</v>
      </c>
      <c r="F569" s="101">
        <f t="shared" si="220"/>
        <v>32456.291310831097</v>
      </c>
      <c r="G569" s="104">
        <f t="shared" si="221"/>
        <v>1.5707655161273875</v>
      </c>
      <c r="H569" s="113">
        <f t="shared" si="222"/>
        <v>4057.0365351708883</v>
      </c>
      <c r="I569" s="114">
        <f t="shared" si="223"/>
        <v>1.5705498414597372</v>
      </c>
      <c r="J569" s="101">
        <f t="shared" si="224"/>
        <v>6.0494545722910633</v>
      </c>
      <c r="K569" s="104">
        <f t="shared" si="225"/>
        <v>1.4047299217354952</v>
      </c>
      <c r="L569" s="102">
        <f t="shared" si="226"/>
        <v>1</v>
      </c>
      <c r="M569" s="103">
        <f t="shared" si="227"/>
        <v>3.8780495114019751E-9</v>
      </c>
      <c r="N569" s="101">
        <f t="shared" si="228"/>
        <v>1</v>
      </c>
      <c r="O569" s="104">
        <f t="shared" si="229"/>
        <v>5.1707326818692995E-10</v>
      </c>
      <c r="P569" s="105">
        <f t="shared" ca="1" si="230"/>
        <v>5.2036718638779691</v>
      </c>
      <c r="Q569" s="106">
        <f t="shared" ca="1" si="231"/>
        <v>1.5518959887280861</v>
      </c>
      <c r="R569" s="107">
        <f t="shared" ca="1" si="232"/>
        <v>-41.695480203205307</v>
      </c>
      <c r="S569" s="108">
        <f t="shared" ca="1" si="233"/>
        <v>-189.03082311304161</v>
      </c>
      <c r="T569" s="116">
        <f t="shared" ca="1" si="234"/>
        <v>-9.0308231130416061</v>
      </c>
      <c r="V569" s="72">
        <f t="shared" ca="1" si="235"/>
        <v>94955.5</v>
      </c>
      <c r="W569" s="72">
        <f t="shared" si="236"/>
        <v>9016546980.25</v>
      </c>
      <c r="Y569" s="110">
        <f t="shared" si="237"/>
        <v>30.386275777227674</v>
      </c>
      <c r="Z569" s="111">
        <f t="shared" si="238"/>
        <v>-80.497453018802531</v>
      </c>
      <c r="AA569" s="72">
        <f t="shared" si="239"/>
        <v>99.502546981197469</v>
      </c>
      <c r="AB569" s="110">
        <f t="shared" ca="1" si="240"/>
        <v>-54.580530712598978</v>
      </c>
      <c r="AC569" s="111">
        <f t="shared" ca="1" si="241"/>
        <v>-108.53337009423909</v>
      </c>
      <c r="AD569" s="72">
        <f t="shared" ca="1" si="242"/>
        <v>71.466629905760911</v>
      </c>
    </row>
    <row r="570" spans="1:30">
      <c r="A570" s="118">
        <v>95499</v>
      </c>
      <c r="B570" s="101">
        <f t="shared" ca="1" si="216"/>
        <v>5323.9897210356685</v>
      </c>
      <c r="C570" s="102">
        <f t="shared" ca="1" si="217"/>
        <v>1.570608497730928</v>
      </c>
      <c r="D570" s="102">
        <f t="shared" si="218"/>
        <v>2.9922240939843188</v>
      </c>
      <c r="E570" s="103">
        <f t="shared" si="219"/>
        <v>1.2300404871722279</v>
      </c>
      <c r="F570" s="101">
        <f t="shared" si="220"/>
        <v>32642.062480597342</v>
      </c>
      <c r="G570" s="104">
        <f t="shared" si="221"/>
        <v>1.5707656914757973</v>
      </c>
      <c r="H570" s="113">
        <f t="shared" si="222"/>
        <v>4080.2579307012352</v>
      </c>
      <c r="I570" s="114">
        <f t="shared" si="223"/>
        <v>1.5705512442469316</v>
      </c>
      <c r="J570" s="101">
        <f t="shared" si="224"/>
        <v>6.0831365017976777</v>
      </c>
      <c r="K570" s="104">
        <f t="shared" si="225"/>
        <v>1.4056578954975494</v>
      </c>
      <c r="L570" s="102">
        <f t="shared" si="226"/>
        <v>1</v>
      </c>
      <c r="M570" s="103">
        <f t="shared" si="227"/>
        <v>3.9002464342705495E-9</v>
      </c>
      <c r="N570" s="101">
        <f t="shared" si="228"/>
        <v>1</v>
      </c>
      <c r="O570" s="104">
        <f t="shared" si="229"/>
        <v>5.2003285790273994E-10</v>
      </c>
      <c r="P570" s="105">
        <f t="shared" ca="1" si="230"/>
        <v>5.2332614049354254</v>
      </c>
      <c r="Q570" s="106">
        <f t="shared" ca="1" si="231"/>
        <v>1.5539811440713298</v>
      </c>
      <c r="R570" s="107">
        <f t="shared" ca="1" si="232"/>
        <v>-41.798522603009225</v>
      </c>
      <c r="S570" s="108">
        <f t="shared" ca="1" si="233"/>
        <v>-189.10022243517841</v>
      </c>
      <c r="T570" s="116">
        <f t="shared" ca="1" si="234"/>
        <v>-9.1002224351784093</v>
      </c>
      <c r="V570" s="72">
        <f t="shared" ca="1" si="235"/>
        <v>95499</v>
      </c>
      <c r="W570" s="72">
        <f t="shared" si="236"/>
        <v>9120059001</v>
      </c>
      <c r="Y570" s="110">
        <f t="shared" si="237"/>
        <v>30.338048932660939</v>
      </c>
      <c r="Z570" s="111">
        <f t="shared" si="238"/>
        <v>-80.550551670763653</v>
      </c>
      <c r="AA570" s="72">
        <f t="shared" si="239"/>
        <v>99.449448329236347</v>
      </c>
      <c r="AB570" s="110">
        <f t="shared" ca="1" si="240"/>
        <v>-54.635346267836162</v>
      </c>
      <c r="AC570" s="111">
        <f t="shared" ca="1" si="241"/>
        <v>-108.54967076441477</v>
      </c>
      <c r="AD570" s="72">
        <f t="shared" ca="1" si="242"/>
        <v>71.45032923558523</v>
      </c>
    </row>
    <row r="571" spans="1:30">
      <c r="A571" s="118">
        <v>96611.5</v>
      </c>
      <c r="B571" s="101">
        <f t="shared" ca="1" si="216"/>
        <v>5386.0106674005046</v>
      </c>
      <c r="C571" s="102">
        <f t="shared" ca="1" si="217"/>
        <v>1.5706106606186676</v>
      </c>
      <c r="D571" s="102">
        <f t="shared" si="218"/>
        <v>3.0232082539860685</v>
      </c>
      <c r="E571" s="103">
        <f t="shared" si="219"/>
        <v>1.2336722419779473</v>
      </c>
      <c r="F571" s="101">
        <f t="shared" si="220"/>
        <v>33022.320854776961</v>
      </c>
      <c r="G571" s="104">
        <f t="shared" si="221"/>
        <v>1.5707660442473872</v>
      </c>
      <c r="H571" s="113">
        <f t="shared" si="222"/>
        <v>4127.7902260846495</v>
      </c>
      <c r="I571" s="114">
        <f t="shared" si="223"/>
        <v>1.5705540664194875</v>
      </c>
      <c r="J571" s="101">
        <f t="shared" si="224"/>
        <v>6.1520967166264979</v>
      </c>
      <c r="K571" s="104">
        <f t="shared" si="225"/>
        <v>1.4075256914236078</v>
      </c>
      <c r="L571" s="102">
        <f t="shared" si="226"/>
        <v>1</v>
      </c>
      <c r="M571" s="103">
        <f t="shared" si="227"/>
        <v>3.9456817179711751E-9</v>
      </c>
      <c r="N571" s="101">
        <f t="shared" si="228"/>
        <v>1</v>
      </c>
      <c r="O571" s="104">
        <f t="shared" si="229"/>
        <v>5.2609089572948991E-10</v>
      </c>
      <c r="P571" s="105">
        <f t="shared" ca="1" si="230"/>
        <v>5.2938961968231242</v>
      </c>
      <c r="Q571" s="106">
        <f t="shared" ca="1" si="231"/>
        <v>1.5582113491257901</v>
      </c>
      <c r="R571" s="107">
        <f t="shared" ca="1" si="232"/>
        <v>-42.007615352839558</v>
      </c>
      <c r="S571" s="108">
        <f t="shared" ca="1" si="233"/>
        <v>-189.24151036822573</v>
      </c>
      <c r="T571" s="116">
        <f t="shared" ca="1" si="234"/>
        <v>-9.2415103682257325</v>
      </c>
      <c r="V571" s="72">
        <f t="shared" ca="1" si="235"/>
        <v>96611.5</v>
      </c>
      <c r="W571" s="72">
        <f t="shared" si="236"/>
        <v>9333781932.25</v>
      </c>
      <c r="Y571" s="110">
        <f t="shared" si="237"/>
        <v>30.240137077059117</v>
      </c>
      <c r="Z571" s="111">
        <f t="shared" si="238"/>
        <v>-80.657427005931183</v>
      </c>
      <c r="AA571" s="72">
        <f t="shared" si="239"/>
        <v>99.342572994068817</v>
      </c>
      <c r="AB571" s="110">
        <f t="shared" ca="1" si="240"/>
        <v>-54.746527162064673</v>
      </c>
      <c r="AC571" s="111">
        <f t="shared" ca="1" si="241"/>
        <v>-108.58408336229454</v>
      </c>
      <c r="AD571" s="72">
        <f t="shared" ca="1" si="242"/>
        <v>71.415916637705465</v>
      </c>
    </row>
    <row r="572" spans="1:30">
      <c r="A572" s="118">
        <v>97724</v>
      </c>
      <c r="B572" s="101">
        <f t="shared" ca="1" si="216"/>
        <v>5448.0316137899626</v>
      </c>
      <c r="C572" s="102">
        <f t="shared" ca="1" si="217"/>
        <v>1.5706127742613387</v>
      </c>
      <c r="D572" s="102">
        <f t="shared" si="218"/>
        <v>3.0542314796842605</v>
      </c>
      <c r="E572" s="103">
        <f t="shared" si="219"/>
        <v>1.237230264133524</v>
      </c>
      <c r="F572" s="101">
        <f t="shared" si="220"/>
        <v>33402.579228960582</v>
      </c>
      <c r="G572" s="104">
        <f t="shared" si="221"/>
        <v>1.5707663889870018</v>
      </c>
      <c r="H572" s="113">
        <f t="shared" si="222"/>
        <v>4175.3225215001903</v>
      </c>
      <c r="I572" s="114">
        <f t="shared" si="223"/>
        <v>1.5705568243362455</v>
      </c>
      <c r="J572" s="101">
        <f t="shared" si="224"/>
        <v>6.2210779181734326</v>
      </c>
      <c r="K572" s="104">
        <f t="shared" si="225"/>
        <v>1.4093520722269732</v>
      </c>
      <c r="L572" s="102">
        <f t="shared" si="226"/>
        <v>1</v>
      </c>
      <c r="M572" s="103">
        <f t="shared" si="227"/>
        <v>3.9911170016717999E-9</v>
      </c>
      <c r="N572" s="101">
        <f t="shared" si="228"/>
        <v>1</v>
      </c>
      <c r="O572" s="104">
        <f t="shared" si="229"/>
        <v>5.3214893355623997E-10</v>
      </c>
      <c r="P572" s="105">
        <f t="shared" ca="1" si="230"/>
        <v>5.3546214885562726</v>
      </c>
      <c r="Q572" s="106">
        <f t="shared" ca="1" si="231"/>
        <v>1.5623919022652601</v>
      </c>
      <c r="R572" s="107">
        <f t="shared" ca="1" si="232"/>
        <v>-42.214302698809092</v>
      </c>
      <c r="S572" s="108">
        <f t="shared" ca="1" si="233"/>
        <v>-189.38180551387859</v>
      </c>
      <c r="T572" s="116">
        <f t="shared" ca="1" si="234"/>
        <v>-9.3818055138785894</v>
      </c>
      <c r="V572" s="72">
        <f t="shared" ca="1" si="235"/>
        <v>97724</v>
      </c>
      <c r="W572" s="72">
        <f t="shared" si="236"/>
        <v>9549980176</v>
      </c>
      <c r="Y572" s="110">
        <f t="shared" si="237"/>
        <v>30.143287341357627</v>
      </c>
      <c r="Z572" s="111">
        <f t="shared" si="238"/>
        <v>-80.761932650745493</v>
      </c>
      <c r="AA572" s="72">
        <f t="shared" si="239"/>
        <v>99.238067349254507</v>
      </c>
      <c r="AB572" s="110">
        <f t="shared" ca="1" si="240"/>
        <v>-54.856364772332718</v>
      </c>
      <c r="AC572" s="111">
        <f t="shared" ca="1" si="241"/>
        <v>-108.61987286313311</v>
      </c>
      <c r="AD572" s="72">
        <f t="shared" ca="1" si="242"/>
        <v>71.380127136866889</v>
      </c>
    </row>
    <row r="573" spans="1:30">
      <c r="A573" s="118">
        <v>98862</v>
      </c>
      <c r="B573" s="101">
        <f t="shared" ca="1" si="216"/>
        <v>5511.4741639190242</v>
      </c>
      <c r="C573" s="102">
        <f t="shared" ca="1" si="217"/>
        <v>1.5706148871336107</v>
      </c>
      <c r="D573" s="102">
        <f t="shared" si="218"/>
        <v>3.0860049903536293</v>
      </c>
      <c r="E573" s="103">
        <f t="shared" si="219"/>
        <v>1.2407957796844351</v>
      </c>
      <c r="F573" s="101">
        <f t="shared" si="220"/>
        <v>33791.553637792444</v>
      </c>
      <c r="G573" s="104">
        <f t="shared" si="221"/>
        <v>1.5707667336009623</v>
      </c>
      <c r="H573" s="113">
        <f t="shared" si="222"/>
        <v>4223.9443212472543</v>
      </c>
      <c r="I573" s="114">
        <f t="shared" si="223"/>
        <v>1.5705595812477757</v>
      </c>
      <c r="J573" s="101">
        <f t="shared" si="224"/>
        <v>6.2916612560028584</v>
      </c>
      <c r="K573" s="104">
        <f t="shared" si="225"/>
        <v>1.4111788738909423</v>
      </c>
      <c r="L573" s="102">
        <f t="shared" si="226"/>
        <v>1</v>
      </c>
      <c r="M573" s="103">
        <f t="shared" si="227"/>
        <v>4.0375937233358998E-9</v>
      </c>
      <c r="N573" s="101">
        <f t="shared" si="228"/>
        <v>1</v>
      </c>
      <c r="O573" s="104">
        <f t="shared" si="229"/>
        <v>5.3834582977811991E-10</v>
      </c>
      <c r="P573" s="105">
        <f t="shared" ca="1" si="230"/>
        <v>5.4168322380431491</v>
      </c>
      <c r="Q573" s="106">
        <f t="shared" ca="1" si="231"/>
        <v>1.5666185046954686</v>
      </c>
      <c r="R573" s="107">
        <f t="shared" ca="1" si="232"/>
        <v>-42.423298347148588</v>
      </c>
      <c r="S573" s="108">
        <f t="shared" ca="1" si="233"/>
        <v>-189.52433386935587</v>
      </c>
      <c r="T573" s="116">
        <f t="shared" ca="1" si="234"/>
        <v>-9.5243338693558712</v>
      </c>
      <c r="V573" s="72">
        <f t="shared" ca="1" si="235"/>
        <v>98862</v>
      </c>
      <c r="W573" s="72">
        <f t="shared" si="236"/>
        <v>9773695044</v>
      </c>
      <c r="Y573" s="110">
        <f t="shared" si="237"/>
        <v>30.045293510894599</v>
      </c>
      <c r="Z573" s="111">
        <f t="shared" si="238"/>
        <v>-80.866462459440271</v>
      </c>
      <c r="AA573" s="72">
        <f t="shared" si="239"/>
        <v>99.133537540559729</v>
      </c>
      <c r="AB573" s="110">
        <f t="shared" ca="1" si="240"/>
        <v>-54.967366590209188</v>
      </c>
      <c r="AC573" s="111">
        <f t="shared" ca="1" si="241"/>
        <v>-108.65787140991559</v>
      </c>
      <c r="AD573" s="72">
        <f t="shared" ca="1" si="242"/>
        <v>71.342128590084414</v>
      </c>
    </row>
    <row r="574" spans="1:30">
      <c r="A574" s="118">
        <v>100000</v>
      </c>
      <c r="B574" s="101">
        <f t="shared" ca="1" si="216"/>
        <v>5574.9167140721302</v>
      </c>
      <c r="C574" s="102">
        <f t="shared" ca="1" si="217"/>
        <v>1.5706169519169118</v>
      </c>
      <c r="D574" s="102">
        <f t="shared" si="218"/>
        <v>3.1178169331878136</v>
      </c>
      <c r="E574" s="103">
        <f t="shared" si="219"/>
        <v>1.2442885790176574</v>
      </c>
      <c r="F574" s="101">
        <f t="shared" si="220"/>
        <v>34180.528046628213</v>
      </c>
      <c r="G574" s="104">
        <f t="shared" si="221"/>
        <v>1.5707670703715091</v>
      </c>
      <c r="H574" s="113">
        <f t="shared" si="222"/>
        <v>4272.5661210256922</v>
      </c>
      <c r="I574" s="114">
        <f t="shared" si="223"/>
        <v>1.5705622754120032</v>
      </c>
      <c r="J574" s="101">
        <f t="shared" si="224"/>
        <v>6.3622651244769814</v>
      </c>
      <c r="K574" s="104">
        <f t="shared" si="225"/>
        <v>1.4129651363293696</v>
      </c>
      <c r="L574" s="102">
        <f t="shared" si="226"/>
        <v>1</v>
      </c>
      <c r="M574" s="103">
        <f t="shared" si="227"/>
        <v>4.0840704449999998E-9</v>
      </c>
      <c r="N574" s="101">
        <f t="shared" si="228"/>
        <v>1</v>
      </c>
      <c r="O574" s="104">
        <f t="shared" si="229"/>
        <v>5.4454272599999995E-10</v>
      </c>
      <c r="P574" s="105">
        <f t="shared" ca="1" si="230"/>
        <v>5.4791375502033848</v>
      </c>
      <c r="Q574" s="106" t="e">
        <f t="shared" ca="1" si="231"/>
        <v>#DIV/0!</v>
      </c>
      <c r="R574" s="107">
        <f t="shared" ca="1" si="232"/>
        <v>-42.629895729259715</v>
      </c>
      <c r="S574" s="108" t="e">
        <f t="shared" ca="1" si="233"/>
        <v>#DIV/0!</v>
      </c>
      <c r="T574" s="116" t="e">
        <f t="shared" ca="1" si="234"/>
        <v>#DIV/0!</v>
      </c>
      <c r="V574" s="72">
        <f t="shared" ca="1" si="235"/>
        <v>100000</v>
      </c>
      <c r="W574" s="72">
        <f t="shared" si="236"/>
        <v>10000000000</v>
      </c>
      <c r="Y574" s="110">
        <f t="shared" si="237"/>
        <v>29.948364891343431</v>
      </c>
      <c r="Z574" s="111">
        <f t="shared" si="238"/>
        <v>-80.968672687365284</v>
      </c>
      <c r="AA574" s="72">
        <f t="shared" si="239"/>
        <v>99.031327312634716</v>
      </c>
      <c r="AB574" s="110">
        <f t="shared" ca="1" si="240"/>
        <v>-55.077035352769144</v>
      </c>
      <c r="AC574" s="111" t="e">
        <f t="shared" ca="1" si="241"/>
        <v>#DIV/0!</v>
      </c>
      <c r="AD574" s="72" t="e">
        <f t="shared" ca="1" si="242"/>
        <v>#DIV/0!</v>
      </c>
    </row>
    <row r="575" spans="1:30">
      <c r="A575" s="118">
        <v>101165</v>
      </c>
      <c r="B575" s="101">
        <f t="shared" ca="1" si="216"/>
        <v>5639.8644917133861</v>
      </c>
      <c r="C575" s="102">
        <f t="shared" ca="1" si="217"/>
        <v>1.5706190175693453</v>
      </c>
      <c r="D575" s="102">
        <f t="shared" si="218"/>
        <v>3.1504222361230561</v>
      </c>
      <c r="E575" s="103">
        <f t="shared" si="219"/>
        <v>1.2477911356302109</v>
      </c>
      <c r="F575" s="101">
        <f t="shared" si="220"/>
        <v>34578.731198032561</v>
      </c>
      <c r="G575" s="104">
        <f t="shared" si="221"/>
        <v>1.5707674072838129</v>
      </c>
      <c r="H575" s="113">
        <f t="shared" si="222"/>
        <v>4322.3415136246431</v>
      </c>
      <c r="I575" s="114">
        <f t="shared" si="223"/>
        <v>1.5705649707102909</v>
      </c>
      <c r="J575" s="101">
        <f t="shared" si="224"/>
        <v>6.4345646901508822</v>
      </c>
      <c r="K575" s="104">
        <f t="shared" si="225"/>
        <v>1.4147531675199347</v>
      </c>
      <c r="L575" s="102">
        <f t="shared" si="226"/>
        <v>1</v>
      </c>
      <c r="M575" s="103">
        <f t="shared" si="227"/>
        <v>4.1316498656842496E-9</v>
      </c>
      <c r="N575" s="101">
        <f t="shared" si="228"/>
        <v>1</v>
      </c>
      <c r="O575" s="104">
        <f t="shared" si="229"/>
        <v>5.5088664875789992E-10</v>
      </c>
      <c r="P575" s="105">
        <f t="shared" ca="1" si="230"/>
        <v>5.5430190456595057</v>
      </c>
      <c r="Q575" s="106">
        <f t="shared" ca="1" si="231"/>
        <v>1.5750243101608772</v>
      </c>
      <c r="R575" s="107">
        <f t="shared" ca="1" si="232"/>
        <v>-42.838969918551506</v>
      </c>
      <c r="S575" s="108">
        <f t="shared" ca="1" si="233"/>
        <v>-189.80990507164793</v>
      </c>
      <c r="T575" s="116">
        <f t="shared" ca="1" si="234"/>
        <v>-9.8099050716479326</v>
      </c>
      <c r="V575" s="72">
        <f t="shared" ca="1" si="235"/>
        <v>101165</v>
      </c>
      <c r="W575" s="72">
        <f t="shared" si="236"/>
        <v>10234357225</v>
      </c>
      <c r="Y575" s="110">
        <f t="shared" si="237"/>
        <v>29.850216713444691</v>
      </c>
      <c r="Z575" s="111">
        <f t="shared" si="238"/>
        <v>-81.070984200413378</v>
      </c>
      <c r="AA575" s="72">
        <f t="shared" si="239"/>
        <v>98.929015799586622</v>
      </c>
      <c r="AB575" s="110">
        <f t="shared" ca="1" si="240"/>
        <v>-55.187961364162199</v>
      </c>
      <c r="AC575" s="111">
        <f t="shared" ca="1" si="241"/>
        <v>-108.73892087123453</v>
      </c>
      <c r="AD575" s="72">
        <f t="shared" ca="1" si="242"/>
        <v>71.261079128765473</v>
      </c>
    </row>
    <row r="576" spans="1:30">
      <c r="A576" s="118">
        <v>102330</v>
      </c>
      <c r="B576" s="101">
        <f t="shared" ca="1" si="216"/>
        <v>5704.8122693781588</v>
      </c>
      <c r="C576" s="102">
        <f t="shared" ca="1" si="217"/>
        <v>1.5706210361879667</v>
      </c>
      <c r="D576" s="102">
        <f t="shared" si="218"/>
        <v>3.1830653960657074</v>
      </c>
      <c r="E576" s="103">
        <f t="shared" si="219"/>
        <v>1.2512218943647144</v>
      </c>
      <c r="F576" s="101">
        <f t="shared" si="220"/>
        <v>34976.934349440737</v>
      </c>
      <c r="G576" s="104">
        <f t="shared" si="221"/>
        <v>1.5707677365248018</v>
      </c>
      <c r="H576" s="113">
        <f t="shared" si="222"/>
        <v>4372.1169062542795</v>
      </c>
      <c r="I576" s="114">
        <f t="shared" si="223"/>
        <v>1.5705676046380648</v>
      </c>
      <c r="J576" s="101">
        <f t="shared" si="224"/>
        <v>6.5068843702942099</v>
      </c>
      <c r="K576" s="104">
        <f t="shared" si="225"/>
        <v>1.4165014586484348</v>
      </c>
      <c r="L576" s="102">
        <f t="shared" si="226"/>
        <v>1</v>
      </c>
      <c r="M576" s="103">
        <f t="shared" si="227"/>
        <v>4.1792292863684995E-9</v>
      </c>
      <c r="N576" s="101">
        <f t="shared" si="228"/>
        <v>1</v>
      </c>
      <c r="O576" s="104">
        <f t="shared" si="229"/>
        <v>5.5723057151579989E-10</v>
      </c>
      <c r="P576" s="105">
        <f t="shared" ca="1" si="230"/>
        <v>5.6069996441277157</v>
      </c>
      <c r="Q576" s="106">
        <f t="shared" ca="1" si="231"/>
        <v>1.5792042897784424</v>
      </c>
      <c r="R576" s="107">
        <f t="shared" ca="1" si="232"/>
        <v>-43.045649252686658</v>
      </c>
      <c r="S576" s="108">
        <f t="shared" ca="1" si="233"/>
        <v>-189.9529855764961</v>
      </c>
      <c r="T576" s="116">
        <f t="shared" ca="1" si="234"/>
        <v>-9.9529855764961042</v>
      </c>
      <c r="V576" s="72">
        <f t="shared" ca="1" si="235"/>
        <v>102330</v>
      </c>
      <c r="W576" s="72">
        <f t="shared" si="236"/>
        <v>10471428900</v>
      </c>
      <c r="Y576" s="110">
        <f t="shared" si="237"/>
        <v>29.753138352300439</v>
      </c>
      <c r="Z576" s="111">
        <f t="shared" si="238"/>
        <v>-81.171021852362429</v>
      </c>
      <c r="AA576" s="72">
        <f t="shared" si="239"/>
        <v>98.828978147637571</v>
      </c>
      <c r="AB576" s="110">
        <f t="shared" ca="1" si="240"/>
        <v>-55.297562337153103</v>
      </c>
      <c r="AC576" s="111">
        <f t="shared" ca="1" si="241"/>
        <v>-108.78196372413369</v>
      </c>
      <c r="AD576" s="72">
        <f t="shared" ca="1" si="242"/>
        <v>71.218036275866311</v>
      </c>
    </row>
    <row r="577" spans="1:30">
      <c r="A577" s="118">
        <v>103520</v>
      </c>
      <c r="B577" s="101">
        <f t="shared" ca="1" si="216"/>
        <v>5771.1537762008211</v>
      </c>
      <c r="C577" s="102">
        <f t="shared" ca="1" si="217"/>
        <v>1.5706230512171209</v>
      </c>
      <c r="D577" s="102">
        <f t="shared" si="218"/>
        <v>3.2164469388015666</v>
      </c>
      <c r="E577" s="103">
        <f t="shared" si="219"/>
        <v>1.2546543393675267</v>
      </c>
      <c r="F577" s="101">
        <f t="shared" si="220"/>
        <v>35383.682632857206</v>
      </c>
      <c r="G577" s="104">
        <f t="shared" si="221"/>
        <v>1.5707680651803408</v>
      </c>
      <c r="H577" s="113">
        <f t="shared" si="222"/>
        <v>4422.9604403872572</v>
      </c>
      <c r="I577" s="114">
        <f t="shared" si="223"/>
        <v>1.5705702338822429</v>
      </c>
      <c r="J577" s="101">
        <f t="shared" si="224"/>
        <v>6.5807760519233591</v>
      </c>
      <c r="K577" s="104">
        <f t="shared" si="225"/>
        <v>1.4182475897542428</v>
      </c>
      <c r="L577" s="102">
        <f t="shared" si="226"/>
        <v>1</v>
      </c>
      <c r="M577" s="103">
        <f t="shared" si="227"/>
        <v>4.2278297246639998E-9</v>
      </c>
      <c r="N577" s="101">
        <f t="shared" si="228"/>
        <v>1</v>
      </c>
      <c r="O577" s="104">
        <f t="shared" si="229"/>
        <v>5.6371062995519992E-10</v>
      </c>
      <c r="P577" s="105">
        <f t="shared" ca="1" si="230"/>
        <v>5.6724555848218126</v>
      </c>
      <c r="Q577" s="106">
        <f t="shared" ca="1" si="231"/>
        <v>1.5834259443309155</v>
      </c>
      <c r="R577" s="107">
        <f t="shared" ca="1" si="232"/>
        <v>-43.254350398692253</v>
      </c>
      <c r="S577" s="108">
        <f t="shared" ca="1" si="233"/>
        <v>-190.09823353208179</v>
      </c>
      <c r="T577" s="116">
        <f t="shared" ca="1" si="234"/>
        <v>-10.098233532081792</v>
      </c>
      <c r="V577" s="72">
        <f t="shared" ca="1" si="235"/>
        <v>103520</v>
      </c>
      <c r="W577" s="72">
        <f t="shared" si="236"/>
        <v>10716390400</v>
      </c>
      <c r="Y577" s="110">
        <f t="shared" si="237"/>
        <v>29.655057897241338</v>
      </c>
      <c r="Z577" s="111">
        <f t="shared" si="238"/>
        <v>-81.270935978883145</v>
      </c>
      <c r="AA577" s="72">
        <f t="shared" si="239"/>
        <v>98.729064021116855</v>
      </c>
      <c r="AB577" s="110">
        <f t="shared" ca="1" si="240"/>
        <v>-55.408183028099586</v>
      </c>
      <c r="AC577" s="111">
        <f t="shared" ca="1" si="241"/>
        <v>-108.8272975531986</v>
      </c>
      <c r="AD577" s="72">
        <f t="shared" ca="1" si="242"/>
        <v>71.172702446801395</v>
      </c>
    </row>
    <row r="578" spans="1:30">
      <c r="A578" s="118">
        <v>104710</v>
      </c>
      <c r="B578" s="101">
        <f t="shared" ca="1" si="216"/>
        <v>5837.4952830463853</v>
      </c>
      <c r="C578" s="102">
        <f t="shared" ca="1" si="217"/>
        <v>1.5706250204457857</v>
      </c>
      <c r="D578" s="102">
        <f t="shared" si="218"/>
        <v>3.249865597931783</v>
      </c>
      <c r="E578" s="103">
        <f t="shared" si="219"/>
        <v>1.2580162310243408</v>
      </c>
      <c r="F578" s="101">
        <f t="shared" si="220"/>
        <v>35790.430916277423</v>
      </c>
      <c r="G578" s="104">
        <f t="shared" si="221"/>
        <v>1.5707683863657225</v>
      </c>
      <c r="H578" s="113">
        <f t="shared" si="222"/>
        <v>4473.8039745501155</v>
      </c>
      <c r="I578" s="114">
        <f t="shared" si="223"/>
        <v>1.5705728033651676</v>
      </c>
      <c r="J578" s="101">
        <f t="shared" si="224"/>
        <v>6.6546873525482209</v>
      </c>
      <c r="K578" s="104">
        <f t="shared" si="225"/>
        <v>1.4199549386265975</v>
      </c>
      <c r="L578" s="102">
        <f t="shared" si="226"/>
        <v>1</v>
      </c>
      <c r="M578" s="103">
        <f t="shared" si="227"/>
        <v>4.2764301629594994E-9</v>
      </c>
      <c r="N578" s="101">
        <f t="shared" si="228"/>
        <v>1</v>
      </c>
      <c r="O578" s="104">
        <f t="shared" si="229"/>
        <v>5.7019068839459995E-10</v>
      </c>
      <c r="P578" s="105">
        <f t="shared" ca="1" si="230"/>
        <v>5.738015066644568</v>
      </c>
      <c r="Q578" s="106">
        <f t="shared" ca="1" si="231"/>
        <v>1.5876005608092745</v>
      </c>
      <c r="R578" s="107">
        <f t="shared" ca="1" si="232"/>
        <v>-43.460670639480242</v>
      </c>
      <c r="S578" s="108">
        <f t="shared" ca="1" si="233"/>
        <v>-190.2426071270869</v>
      </c>
      <c r="T578" s="116">
        <f t="shared" ca="1" si="234"/>
        <v>-10.242607127086899</v>
      </c>
      <c r="V578" s="72">
        <f t="shared" ca="1" si="235"/>
        <v>104710</v>
      </c>
      <c r="W578" s="72">
        <f t="shared" si="236"/>
        <v>10964184100</v>
      </c>
      <c r="Y578" s="110">
        <f t="shared" si="237"/>
        <v>29.558046997535655</v>
      </c>
      <c r="Z578" s="111">
        <f t="shared" si="238"/>
        <v>-81.368631043163518</v>
      </c>
      <c r="AA578" s="72">
        <f t="shared" si="239"/>
        <v>98.631368956836482</v>
      </c>
      <c r="AB578" s="110">
        <f t="shared" ca="1" si="240"/>
        <v>-55.517492369181902</v>
      </c>
      <c r="AC578" s="111">
        <f t="shared" ca="1" si="241"/>
        <v>-108.87397608392335</v>
      </c>
      <c r="AD578" s="72">
        <f t="shared" ca="1" si="242"/>
        <v>71.126023916076647</v>
      </c>
    </row>
    <row r="579" spans="1:30">
      <c r="A579" s="118">
        <v>105930</v>
      </c>
      <c r="B579" s="101">
        <f t="shared" ca="1" si="216"/>
        <v>5905.5092648774071</v>
      </c>
      <c r="C579" s="102">
        <f t="shared" ca="1" si="217"/>
        <v>1.5706269933877464</v>
      </c>
      <c r="D579" s="102">
        <f t="shared" si="218"/>
        <v>3.2841640898621778</v>
      </c>
      <c r="E579" s="103">
        <f t="shared" si="219"/>
        <v>1.2613918089064908</v>
      </c>
      <c r="F579" s="101">
        <f t="shared" si="220"/>
        <v>36207.433358106922</v>
      </c>
      <c r="G579" s="104">
        <f t="shared" si="221"/>
        <v>1.5707687081567503</v>
      </c>
      <c r="H579" s="113">
        <f t="shared" si="222"/>
        <v>4525.9292785117523</v>
      </c>
      <c r="I579" s="114">
        <f t="shared" si="223"/>
        <v>1.5705753776932647</v>
      </c>
      <c r="J579" s="101">
        <f t="shared" si="224"/>
        <v>6.7304816537686891</v>
      </c>
      <c r="K579" s="104">
        <f t="shared" si="225"/>
        <v>1.4216663960886895</v>
      </c>
      <c r="L579" s="102">
        <f t="shared" si="226"/>
        <v>1</v>
      </c>
      <c r="M579" s="103">
        <f t="shared" si="227"/>
        <v>4.3262558223885E-9</v>
      </c>
      <c r="N579" s="101">
        <f t="shared" si="228"/>
        <v>1</v>
      </c>
      <c r="O579" s="104">
        <f t="shared" si="229"/>
        <v>5.7683410965179994E-10</v>
      </c>
      <c r="P579" s="105">
        <f t="shared" ca="1" si="230"/>
        <v>5.8053349225793509</v>
      </c>
      <c r="Q579" s="106">
        <f t="shared" ca="1" si="231"/>
        <v>1.5918330971303072</v>
      </c>
      <c r="R579" s="107">
        <f t="shared" ca="1" si="232"/>
        <v>-43.669779630583193</v>
      </c>
      <c r="S579" s="108">
        <f t="shared" ca="1" si="233"/>
        <v>-190.3897504963212</v>
      </c>
      <c r="T579" s="116">
        <f t="shared" ca="1" si="234"/>
        <v>-10.389750496321199</v>
      </c>
      <c r="V579" s="72">
        <f t="shared" ca="1" si="235"/>
        <v>105930</v>
      </c>
      <c r="W579" s="72">
        <f t="shared" si="236"/>
        <v>11221164900</v>
      </c>
      <c r="Y579" s="110">
        <f t="shared" si="237"/>
        <v>29.459677226540599</v>
      </c>
      <c r="Z579" s="111">
        <f t="shared" si="238"/>
        <v>-81.466561269328025</v>
      </c>
      <c r="AA579" s="72">
        <f t="shared" si="239"/>
        <v>98.533438730671975</v>
      </c>
      <c r="AB579" s="110">
        <f t="shared" ca="1" si="240"/>
        <v>-55.628231589289797</v>
      </c>
      <c r="AC579" s="111">
        <f t="shared" ca="1" si="241"/>
        <v>-108.92318922699329</v>
      </c>
      <c r="AD579" s="72">
        <f t="shared" ca="1" si="242"/>
        <v>71.076810773006713</v>
      </c>
    </row>
    <row r="580" spans="1:30">
      <c r="A580" s="118">
        <v>107150</v>
      </c>
      <c r="B580" s="101">
        <f t="shared" ca="1" si="216"/>
        <v>5973.5232467308933</v>
      </c>
      <c r="C580" s="102">
        <f t="shared" ca="1" si="217"/>
        <v>1.5706289214022386</v>
      </c>
      <c r="D580" s="102">
        <f t="shared" si="218"/>
        <v>3.3184992294971924</v>
      </c>
      <c r="E580" s="103">
        <f t="shared" si="219"/>
        <v>1.2646975723919789</v>
      </c>
      <c r="F580" s="101">
        <f t="shared" si="220"/>
        <v>36624.435799940096</v>
      </c>
      <c r="G580" s="104">
        <f t="shared" si="221"/>
        <v>1.5707690226200122</v>
      </c>
      <c r="H580" s="113">
        <f t="shared" si="222"/>
        <v>4578.0545825026993</v>
      </c>
      <c r="I580" s="114">
        <f t="shared" si="223"/>
        <v>1.5705778933992411</v>
      </c>
      <c r="J580" s="101">
        <f t="shared" si="224"/>
        <v>6.8062952300494715</v>
      </c>
      <c r="K580" s="104">
        <f t="shared" si="225"/>
        <v>1.4233397313904248</v>
      </c>
      <c r="L580" s="102">
        <f t="shared" si="226"/>
        <v>1</v>
      </c>
      <c r="M580" s="103">
        <f t="shared" si="227"/>
        <v>4.3760814818174999E-9</v>
      </c>
      <c r="N580" s="101">
        <f t="shared" si="228"/>
        <v>1</v>
      </c>
      <c r="O580" s="104">
        <f t="shared" si="229"/>
        <v>5.8347753090899994E-10</v>
      </c>
      <c r="P580" s="105">
        <f t="shared" ca="1" si="230"/>
        <v>5.8727638920370389</v>
      </c>
      <c r="Q580" s="106">
        <f t="shared" ca="1" si="231"/>
        <v>1.5960191960528693</v>
      </c>
      <c r="R580" s="107">
        <f t="shared" ca="1" si="232"/>
        <v>-43.87650421338067</v>
      </c>
      <c r="S580" s="108">
        <f t="shared" ca="1" si="233"/>
        <v>-190.53604939479015</v>
      </c>
      <c r="T580" s="116">
        <f t="shared" ca="1" si="234"/>
        <v>-10.536049394790155</v>
      </c>
      <c r="V580" s="72">
        <f t="shared" ca="1" si="235"/>
        <v>107150</v>
      </c>
      <c r="W580" s="72">
        <f t="shared" si="236"/>
        <v>11481122500</v>
      </c>
      <c r="Y580" s="110">
        <f t="shared" si="237"/>
        <v>29.362384454501932</v>
      </c>
      <c r="Z580" s="111">
        <f t="shared" si="238"/>
        <v>-81.562310195545734</v>
      </c>
      <c r="AA580" s="72">
        <f t="shared" si="239"/>
        <v>98.437689804454266</v>
      </c>
      <c r="AB580" s="110">
        <f t="shared" ca="1" si="240"/>
        <v>-55.737663400048596</v>
      </c>
      <c r="AC580" s="111">
        <f t="shared" ca="1" si="241"/>
        <v>-108.97373919924445</v>
      </c>
      <c r="AD580" s="72">
        <f t="shared" ca="1" si="242"/>
        <v>71.026260800755551</v>
      </c>
    </row>
    <row r="581" spans="1:30">
      <c r="A581" s="118">
        <v>108400</v>
      </c>
      <c r="B581" s="101">
        <f t="shared" ca="1" si="216"/>
        <v>6043.2097035704965</v>
      </c>
      <c r="C581" s="102">
        <f t="shared" ca="1" si="217"/>
        <v>1.5706308518149414</v>
      </c>
      <c r="D581" s="102">
        <f t="shared" si="218"/>
        <v>3.353715509362921</v>
      </c>
      <c r="E581" s="103">
        <f t="shared" si="219"/>
        <v>1.2680143823961663</v>
      </c>
      <c r="F581" s="101">
        <f t="shared" si="220"/>
        <v>37051.692400182663</v>
      </c>
      <c r="G581" s="104">
        <f t="shared" si="221"/>
        <v>1.5707693374744272</v>
      </c>
      <c r="H581" s="113">
        <f t="shared" si="222"/>
        <v>4631.4616562932806</v>
      </c>
      <c r="I581" s="114">
        <f t="shared" si="223"/>
        <v>1.5705804122344444</v>
      </c>
      <c r="J581" s="101">
        <f t="shared" si="224"/>
        <v>6.8839924005253446</v>
      </c>
      <c r="K581" s="104">
        <f t="shared" si="225"/>
        <v>1.4250159818845851</v>
      </c>
      <c r="L581" s="102">
        <f t="shared" si="226"/>
        <v>1</v>
      </c>
      <c r="M581" s="103">
        <f t="shared" si="227"/>
        <v>4.42713236238E-9</v>
      </c>
      <c r="N581" s="101">
        <f t="shared" si="228"/>
        <v>1</v>
      </c>
      <c r="O581" s="104">
        <f t="shared" si="229"/>
        <v>5.9028431498399989E-10</v>
      </c>
      <c r="P581" s="105">
        <f t="shared" ca="1" si="230"/>
        <v>5.9419643235000779</v>
      </c>
      <c r="Q581" s="106">
        <f t="shared" ca="1" si="231"/>
        <v>1.6002615547274728</v>
      </c>
      <c r="R581" s="107">
        <f t="shared" ca="1" si="232"/>
        <v>-44.08589835132392</v>
      </c>
      <c r="S581" s="108">
        <f t="shared" ca="1" si="233"/>
        <v>-190.68510582939967</v>
      </c>
      <c r="T581" s="116">
        <f t="shared" ca="1" si="234"/>
        <v>-10.685105829399674</v>
      </c>
      <c r="V581" s="72">
        <f t="shared" ca="1" si="235"/>
        <v>108400</v>
      </c>
      <c r="W581" s="72">
        <f t="shared" si="236"/>
        <v>11750560000</v>
      </c>
      <c r="Y581" s="110">
        <f t="shared" si="237"/>
        <v>29.263792468115192</v>
      </c>
      <c r="Z581" s="111">
        <f t="shared" si="238"/>
        <v>-81.658225993045122</v>
      </c>
      <c r="AA581" s="72">
        <f t="shared" si="239"/>
        <v>98.341774006954878</v>
      </c>
      <c r="AB581" s="110">
        <f t="shared" ca="1" si="240"/>
        <v>-55.848465551605102</v>
      </c>
      <c r="AC581" s="111">
        <f t="shared" ca="1" si="241"/>
        <v>-109.02687983635452</v>
      </c>
      <c r="AD581" s="72">
        <f t="shared" ca="1" si="242"/>
        <v>70.973120163645476</v>
      </c>
    </row>
    <row r="582" spans="1:30">
      <c r="A582" s="118">
        <v>109650</v>
      </c>
      <c r="B582" s="101">
        <f t="shared" ca="1" si="216"/>
        <v>6112.8961604321039</v>
      </c>
      <c r="C582" s="102">
        <f t="shared" ca="1" si="217"/>
        <v>1.5706327382145877</v>
      </c>
      <c r="D582" s="102">
        <f t="shared" si="218"/>
        <v>3.3889679172010991</v>
      </c>
      <c r="E582" s="103">
        <f t="shared" si="219"/>
        <v>1.2712622238870381</v>
      </c>
      <c r="F582" s="101">
        <f t="shared" si="220"/>
        <v>37478.949000428831</v>
      </c>
      <c r="G582" s="104">
        <f t="shared" si="221"/>
        <v>1.5707696451502191</v>
      </c>
      <c r="H582" s="113">
        <f t="shared" si="222"/>
        <v>4684.8687301125783</v>
      </c>
      <c r="I582" s="114">
        <f t="shared" si="223"/>
        <v>1.5705828736406671</v>
      </c>
      <c r="J582" s="101">
        <f t="shared" si="224"/>
        <v>6.9617084819647808</v>
      </c>
      <c r="K582" s="104">
        <f t="shared" si="225"/>
        <v>1.4266548117115512</v>
      </c>
      <c r="L582" s="102">
        <f t="shared" si="226"/>
        <v>1</v>
      </c>
      <c r="M582" s="103">
        <f t="shared" si="227"/>
        <v>4.4781832429424993E-9</v>
      </c>
      <c r="N582" s="101">
        <f t="shared" si="228"/>
        <v>1</v>
      </c>
      <c r="O582" s="104">
        <f t="shared" si="229"/>
        <v>5.9709109905899995E-10</v>
      </c>
      <c r="P582" s="105">
        <f t="shared" ca="1" si="230"/>
        <v>6.0112797420392505</v>
      </c>
      <c r="Q582" s="106">
        <f t="shared" ca="1" si="231"/>
        <v>1.604458121114275</v>
      </c>
      <c r="R582" s="107">
        <f t="shared" ca="1" si="232"/>
        <v>-44.29290766960635</v>
      </c>
      <c r="S582" s="108">
        <f t="shared" ca="1" si="233"/>
        <v>-190.83334647498953</v>
      </c>
      <c r="T582" s="116">
        <f t="shared" ca="1" si="234"/>
        <v>-10.833346474989526</v>
      </c>
      <c r="V582" s="72">
        <f t="shared" ca="1" si="235"/>
        <v>109650</v>
      </c>
      <c r="W582" s="72">
        <f t="shared" si="236"/>
        <v>12023122500</v>
      </c>
      <c r="Y582" s="110">
        <f t="shared" si="237"/>
        <v>29.166283438734201</v>
      </c>
      <c r="Z582" s="111">
        <f t="shared" si="238"/>
        <v>-81.75200062337872</v>
      </c>
      <c r="AA582" s="72">
        <f t="shared" si="239"/>
        <v>98.24799937662128</v>
      </c>
      <c r="AB582" s="110">
        <f t="shared" ca="1" si="240"/>
        <v>-55.95796584050656</v>
      </c>
      <c r="AC582" s="111">
        <f t="shared" ca="1" si="241"/>
        <v>-109.08134585161076</v>
      </c>
      <c r="AD582" s="72">
        <f t="shared" ca="1" si="242"/>
        <v>70.918654148389237</v>
      </c>
    </row>
    <row r="583" spans="1:30">
      <c r="A583" s="118">
        <v>110925</v>
      </c>
      <c r="B583" s="101">
        <f t="shared" ca="1" si="216"/>
        <v>6183.9763464528451</v>
      </c>
      <c r="C583" s="102">
        <f t="shared" ca="1" si="217"/>
        <v>1.5706346185430642</v>
      </c>
      <c r="D583" s="102">
        <f t="shared" si="218"/>
        <v>3.4249614353026008</v>
      </c>
      <c r="E583" s="103">
        <f t="shared" si="219"/>
        <v>1.2745061094810237</v>
      </c>
      <c r="F583" s="101">
        <f t="shared" si="220"/>
        <v>37914.750732683482</v>
      </c>
      <c r="G583" s="104">
        <f t="shared" si="221"/>
        <v>1.5707699518357898</v>
      </c>
      <c r="H583" s="113">
        <f t="shared" si="222"/>
        <v>4739.3439454368363</v>
      </c>
      <c r="I583" s="114">
        <f t="shared" si="223"/>
        <v>1.5705853271251253</v>
      </c>
      <c r="J583" s="101">
        <f t="shared" si="224"/>
        <v>7.0409977176971088</v>
      </c>
      <c r="K583" s="104">
        <f t="shared" si="225"/>
        <v>1.4282891434283358</v>
      </c>
      <c r="L583" s="102">
        <f t="shared" si="226"/>
        <v>1</v>
      </c>
      <c r="M583" s="103">
        <f t="shared" si="227"/>
        <v>4.5302551411162499E-9</v>
      </c>
      <c r="N583" s="101">
        <f t="shared" si="228"/>
        <v>1</v>
      </c>
      <c r="O583" s="104">
        <f t="shared" si="229"/>
        <v>6.0403401881549996E-10</v>
      </c>
      <c r="P583" s="105">
        <f t="shared" ca="1" si="230"/>
        <v>6.0821002087630864</v>
      </c>
      <c r="Q583" s="106">
        <f t="shared" ca="1" si="231"/>
        <v>1.6086928954965989</v>
      </c>
      <c r="R583" s="107">
        <f t="shared" ca="1" si="232"/>
        <v>-44.501659183983342</v>
      </c>
      <c r="S583" s="108">
        <f t="shared" ca="1" si="233"/>
        <v>-190.98374526018048</v>
      </c>
      <c r="T583" s="116">
        <f t="shared" ca="1" si="234"/>
        <v>-10.983745260180484</v>
      </c>
      <c r="V583" s="72">
        <f t="shared" ca="1" si="235"/>
        <v>110925</v>
      </c>
      <c r="W583" s="72">
        <f t="shared" si="236"/>
        <v>12304355625</v>
      </c>
      <c r="Y583" s="110">
        <f t="shared" si="237"/>
        <v>29.067916032730668</v>
      </c>
      <c r="Z583" s="111">
        <f t="shared" si="238"/>
        <v>-81.84551792808027</v>
      </c>
      <c r="AA583" s="72">
        <f t="shared" si="239"/>
        <v>98.15448207191973</v>
      </c>
      <c r="AB583" s="110">
        <f t="shared" ca="1" si="240"/>
        <v>-56.068349948880005</v>
      </c>
      <c r="AC583" s="111">
        <f t="shared" ca="1" si="241"/>
        <v>-109.13822733210019</v>
      </c>
      <c r="AD583" s="72">
        <f t="shared" ca="1" si="242"/>
        <v>70.861772667899814</v>
      </c>
    </row>
    <row r="584" spans="1:30">
      <c r="A584" s="118">
        <v>112200</v>
      </c>
      <c r="B584" s="101">
        <f t="shared" ca="1" si="216"/>
        <v>6255.056532494953</v>
      </c>
      <c r="C584" s="102">
        <f t="shared" ca="1" si="217"/>
        <v>1.5706364561368036</v>
      </c>
      <c r="D584" s="102">
        <f t="shared" si="218"/>
        <v>3.4609902437292326</v>
      </c>
      <c r="E584" s="103">
        <f t="shared" si="219"/>
        <v>1.2776824904115733</v>
      </c>
      <c r="F584" s="101">
        <f t="shared" si="220"/>
        <v>38350.552464941626</v>
      </c>
      <c r="G584" s="104">
        <f t="shared" si="221"/>
        <v>1.5707702515512341</v>
      </c>
      <c r="H584" s="113">
        <f t="shared" si="222"/>
        <v>4793.8191607889739</v>
      </c>
      <c r="I584" s="114">
        <f t="shared" si="223"/>
        <v>1.5705877248485753</v>
      </c>
      <c r="J584" s="101">
        <f t="shared" si="224"/>
        <v>7.1203053413365431</v>
      </c>
      <c r="K584" s="104">
        <f t="shared" si="225"/>
        <v>1.4298870721977537</v>
      </c>
      <c r="L584" s="102">
        <f t="shared" si="226"/>
        <v>1</v>
      </c>
      <c r="M584" s="103">
        <f t="shared" si="227"/>
        <v>4.5823270392899997E-9</v>
      </c>
      <c r="N584" s="101">
        <f t="shared" si="228"/>
        <v>1</v>
      </c>
      <c r="O584" s="104">
        <f t="shared" si="229"/>
        <v>6.1097693857199997E-10</v>
      </c>
      <c r="P584" s="105">
        <f t="shared" ca="1" si="230"/>
        <v>6.1530409065486689</v>
      </c>
      <c r="Q584" s="106">
        <f t="shared" ca="1" si="231"/>
        <v>1.6128829057309753</v>
      </c>
      <c r="R584" s="107">
        <f t="shared" ca="1" si="232"/>
        <v>-44.708046699823917</v>
      </c>
      <c r="S584" s="108">
        <f t="shared" ca="1" si="233"/>
        <v>-191.1333615926776</v>
      </c>
      <c r="T584" s="116">
        <f t="shared" ca="1" si="234"/>
        <v>-11.133361592677602</v>
      </c>
      <c r="V584" s="72">
        <f t="shared" ca="1" si="235"/>
        <v>112200</v>
      </c>
      <c r="W584" s="72">
        <f t="shared" si="236"/>
        <v>12588840000</v>
      </c>
      <c r="Y584" s="110">
        <f t="shared" si="237"/>
        <v>28.970627740015193</v>
      </c>
      <c r="Z584" s="111">
        <f t="shared" si="238"/>
        <v>-81.936952293045138</v>
      </c>
      <c r="AA584" s="72">
        <f t="shared" si="239"/>
        <v>98.063047706954862</v>
      </c>
      <c r="AB584" s="110">
        <f t="shared" ca="1" si="240"/>
        <v>-56.177449172005112</v>
      </c>
      <c r="AC584" s="111">
        <f t="shared" ca="1" si="241"/>
        <v>-109.19640929963245</v>
      </c>
      <c r="AD584" s="72">
        <f t="shared" ca="1" si="242"/>
        <v>70.80359070036755</v>
      </c>
    </row>
    <row r="585" spans="1:30">
      <c r="A585" s="118">
        <v>113510</v>
      </c>
      <c r="B585" s="101">
        <f t="shared" ca="1" si="216"/>
        <v>6328.0879393518717</v>
      </c>
      <c r="C585" s="102">
        <f t="shared" ca="1" si="217"/>
        <v>1.5706383011774043</v>
      </c>
      <c r="D585" s="102">
        <f t="shared" si="218"/>
        <v>3.4980436888714901</v>
      </c>
      <c r="E585" s="103">
        <f t="shared" si="219"/>
        <v>1.2808778825043021</v>
      </c>
      <c r="F585" s="101">
        <f t="shared" si="220"/>
        <v>38798.317382010362</v>
      </c>
      <c r="G585" s="104">
        <f t="shared" si="221"/>
        <v>1.5707705524812772</v>
      </c>
      <c r="H585" s="113">
        <f t="shared" si="222"/>
        <v>4849.7897742376535</v>
      </c>
      <c r="I585" s="114">
        <f t="shared" si="223"/>
        <v>1.5705901322888176</v>
      </c>
      <c r="J585" s="101">
        <f t="shared" si="224"/>
        <v>7.2018085504759046</v>
      </c>
      <c r="K585" s="104">
        <f t="shared" si="225"/>
        <v>1.4314922057019597</v>
      </c>
      <c r="L585" s="102">
        <f t="shared" si="226"/>
        <v>1</v>
      </c>
      <c r="M585" s="103">
        <f t="shared" si="227"/>
        <v>4.6358283621194996E-9</v>
      </c>
      <c r="N585" s="101">
        <f t="shared" si="228"/>
        <v>1</v>
      </c>
      <c r="O585" s="104">
        <f t="shared" si="229"/>
        <v>6.1811044828259995E-10</v>
      </c>
      <c r="P585" s="105">
        <f t="shared" ca="1" si="230"/>
        <v>6.2260545880715039</v>
      </c>
      <c r="Q585" s="106">
        <f t="shared" ca="1" si="231"/>
        <v>1.6171427404255156</v>
      </c>
      <c r="R585" s="107">
        <f t="shared" ca="1" si="232"/>
        <v>-44.917696469477136</v>
      </c>
      <c r="S585" s="108">
        <f t="shared" ca="1" si="233"/>
        <v>-191.28630205305498</v>
      </c>
      <c r="T585" s="116">
        <f t="shared" ca="1" si="234"/>
        <v>-11.286302053054982</v>
      </c>
      <c r="V585" s="72">
        <f t="shared" ca="1" si="235"/>
        <v>113510</v>
      </c>
      <c r="W585" s="72">
        <f t="shared" si="236"/>
        <v>12884520100</v>
      </c>
      <c r="Y585" s="110">
        <f t="shared" si="237"/>
        <v>28.871768652910053</v>
      </c>
      <c r="Z585" s="111">
        <f t="shared" si="238"/>
        <v>-82.028798971695537</v>
      </c>
      <c r="AA585" s="72">
        <f t="shared" si="239"/>
        <v>97.971201028304463</v>
      </c>
      <c r="AB585" s="110">
        <f t="shared" ca="1" si="240"/>
        <v>-56.28823985455319</v>
      </c>
      <c r="AC585" s="111">
        <f t="shared" ca="1" si="241"/>
        <v>-109.25750308135945</v>
      </c>
      <c r="AD585" s="72">
        <f t="shared" ca="1" si="242"/>
        <v>70.742496918640555</v>
      </c>
    </row>
    <row r="586" spans="1:30">
      <c r="A586" s="118">
        <v>114820</v>
      </c>
      <c r="B586" s="101">
        <f t="shared" ca="1" si="216"/>
        <v>6401.1193462298424</v>
      </c>
      <c r="C586" s="102">
        <f t="shared" ca="1" si="217"/>
        <v>1.5706401041172713</v>
      </c>
      <c r="D586" s="102">
        <f t="shared" si="218"/>
        <v>3.5351321019537068</v>
      </c>
      <c r="E586" s="103">
        <f t="shared" si="219"/>
        <v>1.284006257840139</v>
      </c>
      <c r="F586" s="101">
        <f t="shared" si="220"/>
        <v>39246.082299082533</v>
      </c>
      <c r="G586" s="104">
        <f t="shared" si="221"/>
        <v>1.5707708465446009</v>
      </c>
      <c r="H586" s="113">
        <f t="shared" si="222"/>
        <v>4905.7603877138008</v>
      </c>
      <c r="I586" s="114">
        <f t="shared" si="223"/>
        <v>1.5705924847953099</v>
      </c>
      <c r="J586" s="101">
        <f t="shared" si="224"/>
        <v>7.2833298994353681</v>
      </c>
      <c r="K586" s="104">
        <f t="shared" si="225"/>
        <v>1.4330614110797362</v>
      </c>
      <c r="L586" s="102">
        <f t="shared" si="226"/>
        <v>1</v>
      </c>
      <c r="M586" s="103">
        <f t="shared" si="227"/>
        <v>4.6893296849489995E-9</v>
      </c>
      <c r="N586" s="101">
        <f t="shared" si="228"/>
        <v>1</v>
      </c>
      <c r="O586" s="104">
        <f t="shared" si="229"/>
        <v>6.2524395799319993E-10</v>
      </c>
      <c r="P586" s="105">
        <f t="shared" ca="1" si="230"/>
        <v>6.2991959656290959</v>
      </c>
      <c r="Q586" s="106">
        <f t="shared" ca="1" si="231"/>
        <v>1.6213581653934173</v>
      </c>
      <c r="R586" s="107">
        <f t="shared" ca="1" si="232"/>
        <v>-45.124968586550942</v>
      </c>
      <c r="S586" s="108">
        <f t="shared" ca="1" si="233"/>
        <v>-191.43847961268568</v>
      </c>
      <c r="T586" s="116">
        <f t="shared" ca="1" si="234"/>
        <v>-11.438479612685683</v>
      </c>
      <c r="V586" s="72">
        <f t="shared" ca="1" si="235"/>
        <v>114820</v>
      </c>
      <c r="W586" s="72">
        <f t="shared" si="236"/>
        <v>13183632400</v>
      </c>
      <c r="Y586" s="110">
        <f t="shared" si="237"/>
        <v>28.774000454347494</v>
      </c>
      <c r="Z586" s="111">
        <f t="shared" si="238"/>
        <v>-82.118589874371338</v>
      </c>
      <c r="AA586" s="72">
        <f t="shared" si="239"/>
        <v>97.881410125628662</v>
      </c>
      <c r="AB586" s="110">
        <f t="shared" ca="1" si="240"/>
        <v>-56.397743773064441</v>
      </c>
      <c r="AC586" s="111">
        <f t="shared" ca="1" si="241"/>
        <v>-109.31988973831437</v>
      </c>
      <c r="AD586" s="72">
        <f t="shared" ca="1" si="242"/>
        <v>70.680110261685627</v>
      </c>
    </row>
    <row r="587" spans="1:30">
      <c r="A587" s="118">
        <v>116155</v>
      </c>
      <c r="B587" s="101">
        <f t="shared" ca="1" si="216"/>
        <v>6475.5444822676227</v>
      </c>
      <c r="C587" s="102">
        <f t="shared" ca="1" si="217"/>
        <v>1.5706418996256117</v>
      </c>
      <c r="D587" s="102">
        <f t="shared" si="218"/>
        <v>3.5729631570427745</v>
      </c>
      <c r="E587" s="103">
        <f t="shared" si="219"/>
        <v>1.2871274859634851</v>
      </c>
      <c r="F587" s="101">
        <f t="shared" si="220"/>
        <v>39702.392348163303</v>
      </c>
      <c r="G587" s="104">
        <f t="shared" si="221"/>
        <v>1.5707711393958266</v>
      </c>
      <c r="H587" s="113">
        <f t="shared" si="222"/>
        <v>4962.799142695796</v>
      </c>
      <c r="I587" s="114">
        <f t="shared" si="223"/>
        <v>1.5705948276050212</v>
      </c>
      <c r="J587" s="101">
        <f t="shared" si="224"/>
        <v>7.3664250381918936</v>
      </c>
      <c r="K587" s="104">
        <f t="shared" si="225"/>
        <v>1.4346248270893702</v>
      </c>
      <c r="L587" s="102">
        <f t="shared" si="226"/>
        <v>1</v>
      </c>
      <c r="M587" s="103">
        <f t="shared" si="227"/>
        <v>4.7438520253897499E-9</v>
      </c>
      <c r="N587" s="101">
        <f t="shared" si="228"/>
        <v>1</v>
      </c>
      <c r="O587" s="104">
        <f t="shared" si="229"/>
        <v>6.3251360338529986E-10</v>
      </c>
      <c r="P587" s="105">
        <f t="shared" ca="1" si="230"/>
        <v>6.3738649973288757</v>
      </c>
      <c r="Q587" s="106">
        <f t="shared" ca="1" si="231"/>
        <v>1.6256097446640891</v>
      </c>
      <c r="R587" s="107">
        <f t="shared" ca="1" si="232"/>
        <v>-45.333808771854585</v>
      </c>
      <c r="S587" s="108">
        <f t="shared" ca="1" si="233"/>
        <v>-191.5928065203201</v>
      </c>
      <c r="T587" s="116">
        <f t="shared" ca="1" si="234"/>
        <v>-11.592806520320096</v>
      </c>
      <c r="V587" s="72">
        <f t="shared" ca="1" si="235"/>
        <v>116155</v>
      </c>
      <c r="W587" s="72">
        <f t="shared" si="236"/>
        <v>13491984025</v>
      </c>
      <c r="Y587" s="110">
        <f t="shared" si="237"/>
        <v>28.675464611531901</v>
      </c>
      <c r="Z587" s="111">
        <f t="shared" si="238"/>
        <v>-82.208049556771996</v>
      </c>
      <c r="AA587" s="72">
        <f t="shared" si="239"/>
        <v>97.791950443228004</v>
      </c>
      <c r="AB587" s="110">
        <f t="shared" ca="1" si="240"/>
        <v>-56.508048115552484</v>
      </c>
      <c r="AC587" s="111">
        <f t="shared" ca="1" si="241"/>
        <v>-109.38475696354803</v>
      </c>
      <c r="AD587" s="72">
        <f t="shared" ca="1" si="242"/>
        <v>70.615243036451972</v>
      </c>
    </row>
    <row r="588" spans="1:30">
      <c r="A588" s="118">
        <v>117490</v>
      </c>
      <c r="B588" s="101">
        <f t="shared" ca="1" si="216"/>
        <v>6549.9696183258066</v>
      </c>
      <c r="C588" s="102">
        <f t="shared" ca="1" si="217"/>
        <v>1.5706436543304187</v>
      </c>
      <c r="D588" s="102">
        <f t="shared" si="218"/>
        <v>3.6108282906002831</v>
      </c>
      <c r="E588" s="103">
        <f t="shared" si="219"/>
        <v>1.2901832815054119</v>
      </c>
      <c r="F588" s="101">
        <f t="shared" si="220"/>
        <v>40158.702397247405</v>
      </c>
      <c r="G588" s="104">
        <f t="shared" si="221"/>
        <v>1.5707714255919092</v>
      </c>
      <c r="H588" s="113">
        <f t="shared" si="222"/>
        <v>5019.8378977044113</v>
      </c>
      <c r="I588" s="114">
        <f t="shared" si="223"/>
        <v>1.5705971171735917</v>
      </c>
      <c r="J588" s="101">
        <f t="shared" si="224"/>
        <v>7.4495377807701937</v>
      </c>
      <c r="K588" s="104">
        <f t="shared" si="225"/>
        <v>1.4361533614358815</v>
      </c>
      <c r="L588" s="102">
        <f t="shared" si="226"/>
        <v>1</v>
      </c>
      <c r="M588" s="103">
        <f t="shared" si="227"/>
        <v>4.7983743658304994E-9</v>
      </c>
      <c r="N588" s="101">
        <f t="shared" si="228"/>
        <v>1</v>
      </c>
      <c r="O588" s="104">
        <f t="shared" si="229"/>
        <v>6.397832487773999E-10</v>
      </c>
      <c r="P588" s="105">
        <f t="shared" ca="1" si="230"/>
        <v>6.4486675891643879</v>
      </c>
      <c r="Q588" s="106">
        <f t="shared" ca="1" si="231"/>
        <v>1.6298179690282897</v>
      </c>
      <c r="R588" s="107">
        <f t="shared" ca="1" si="232"/>
        <v>-45.540296366885144</v>
      </c>
      <c r="S588" s="108">
        <f t="shared" ca="1" si="233"/>
        <v>-191.74640014478089</v>
      </c>
      <c r="T588" s="116">
        <f t="shared" ca="1" si="234"/>
        <v>-11.746400144780893</v>
      </c>
      <c r="V588" s="72">
        <f t="shared" ca="1" si="235"/>
        <v>117490</v>
      </c>
      <c r="W588" s="72">
        <f t="shared" si="236"/>
        <v>13803900100</v>
      </c>
      <c r="Y588" s="110">
        <f t="shared" si="237"/>
        <v>28.578013542031158</v>
      </c>
      <c r="Z588" s="111">
        <f t="shared" si="238"/>
        <v>-82.295513336272094</v>
      </c>
      <c r="AA588" s="72">
        <f t="shared" si="239"/>
        <v>97.704486663727906</v>
      </c>
      <c r="AB588" s="110">
        <f t="shared" ca="1" si="240"/>
        <v>-56.6170846410823</v>
      </c>
      <c r="AC588" s="111">
        <f t="shared" ca="1" si="241"/>
        <v>-109.45088680850884</v>
      </c>
      <c r="AD588" s="72">
        <f t="shared" ca="1" si="242"/>
        <v>70.549113191491159</v>
      </c>
    </row>
    <row r="589" spans="1:30">
      <c r="A589" s="118">
        <v>118860</v>
      </c>
      <c r="B589" s="101">
        <f t="shared" ca="1" si="216"/>
        <v>6626.3459752000117</v>
      </c>
      <c r="C589" s="102">
        <f t="shared" ca="1" si="217"/>
        <v>1.5706454140584445</v>
      </c>
      <c r="D589" s="102">
        <f t="shared" si="218"/>
        <v>3.6497204609678171</v>
      </c>
      <c r="E589" s="103">
        <f t="shared" si="219"/>
        <v>1.2932532402294381</v>
      </c>
      <c r="F589" s="101">
        <f t="shared" si="220"/>
        <v>40626.975631142297</v>
      </c>
      <c r="G589" s="104">
        <f t="shared" si="221"/>
        <v>1.5707717126072893</v>
      </c>
      <c r="H589" s="113">
        <f t="shared" si="222"/>
        <v>5078.3720508111501</v>
      </c>
      <c r="I589" s="114">
        <f t="shared" si="223"/>
        <v>1.5705994132965437</v>
      </c>
      <c r="J589" s="101">
        <f t="shared" si="224"/>
        <v>7.5348472003292368</v>
      </c>
      <c r="K589" s="104">
        <f t="shared" si="225"/>
        <v>1.437686907510052</v>
      </c>
      <c r="L589" s="102">
        <f t="shared" si="226"/>
        <v>1</v>
      </c>
      <c r="M589" s="103">
        <f t="shared" si="227"/>
        <v>4.8543261309269999E-9</v>
      </c>
      <c r="N589" s="101">
        <f t="shared" si="228"/>
        <v>1</v>
      </c>
      <c r="O589" s="104">
        <f t="shared" si="229"/>
        <v>6.4724348412359991E-10</v>
      </c>
      <c r="P589" s="105">
        <f t="shared" ca="1" si="230"/>
        <v>6.5255706999789469</v>
      </c>
      <c r="Q589" s="106">
        <f t="shared" ca="1" si="231"/>
        <v>1.634092815526184</v>
      </c>
      <c r="R589" s="107">
        <f t="shared" ca="1" si="232"/>
        <v>-45.749810115858821</v>
      </c>
      <c r="S589" s="108">
        <f t="shared" ca="1" si="233"/>
        <v>-191.90328655575473</v>
      </c>
      <c r="T589" s="116">
        <f t="shared" ca="1" si="234"/>
        <v>-11.903286555754732</v>
      </c>
      <c r="V589" s="72">
        <f t="shared" ca="1" si="235"/>
        <v>118860</v>
      </c>
      <c r="W589" s="72">
        <f t="shared" si="236"/>
        <v>14127699600</v>
      </c>
      <c r="Y589" s="110">
        <f t="shared" si="237"/>
        <v>28.479111085984204</v>
      </c>
      <c r="Z589" s="111">
        <f t="shared" si="238"/>
        <v>-82.383263937948399</v>
      </c>
      <c r="AA589" s="72">
        <f t="shared" si="239"/>
        <v>97.616736062051601</v>
      </c>
      <c r="AB589" s="110">
        <f t="shared" ca="1" si="240"/>
        <v>-56.72769593400902</v>
      </c>
      <c r="AC589" s="111">
        <f t="shared" ca="1" si="241"/>
        <v>-109.52002261780636</v>
      </c>
      <c r="AD589" s="72">
        <f t="shared" ca="1" si="242"/>
        <v>70.479977382193638</v>
      </c>
    </row>
    <row r="590" spans="1:30">
      <c r="A590" s="118">
        <v>120230</v>
      </c>
      <c r="B590" s="101">
        <f t="shared" ref="B590:B614" ca="1" si="243">SQRT(1+(A590/Pole1)^2)</f>
        <v>6702.7223320942703</v>
      </c>
      <c r="C590" s="102">
        <f t="shared" ref="C590:C614" ca="1" si="244">ATAN(A590/Pole1)</f>
        <v>1.5706471336828798</v>
      </c>
      <c r="D590" s="102">
        <f t="shared" ref="D590:D614" si="245">SQRT(1+(A590/Zero1)^2)</f>
        <v>3.6886463031203007</v>
      </c>
      <c r="E590" s="103">
        <f t="shared" ref="E590:E614" si="246">ATAN(A590/Zero1)</f>
        <v>1.2962584329678639</v>
      </c>
      <c r="F590" s="101">
        <f t="shared" ref="F590:F614" si="247">SQRT(1+(A590/Pole2)^2)</f>
        <v>41095.248865040463</v>
      </c>
      <c r="G590" s="104">
        <f t="shared" ref="G590:G614" si="248">ATAN(A590/Pole2)</f>
        <v>1.5707719930816886</v>
      </c>
      <c r="H590" s="113">
        <f t="shared" ref="H590:H614" si="249">SQRT(1+(A590/Zero2)^2)</f>
        <v>5136.9062039440523</v>
      </c>
      <c r="I590" s="114">
        <f t="shared" ref="I590:I614" si="250">ATAN(A590/Zero2)</f>
        <v>1.5706016570916523</v>
      </c>
      <c r="J590" s="101">
        <f t="shared" ref="J590:J614" si="251">SQRT(1+(A590/pole4)^2)</f>
        <v>7.6201739432812587</v>
      </c>
      <c r="K590" s="104">
        <f t="shared" ref="K590:K614" si="252">ATAN(A590/pole4)</f>
        <v>1.4391861133424675</v>
      </c>
      <c r="L590" s="102">
        <f t="shared" ref="L590:L614" si="253">SQRT(1+(A590/Zerofeed)^2)</f>
        <v>1</v>
      </c>
      <c r="M590" s="103">
        <f t="shared" ref="M590:M614" si="254">ATAN(A590/Zerofeed)</f>
        <v>4.9102778960234995E-9</v>
      </c>
      <c r="N590" s="101">
        <f t="shared" ref="N590:N614" si="255">SQRT(1+(A590/Polefeed)^2)</f>
        <v>1</v>
      </c>
      <c r="O590" s="104">
        <f t="shared" ref="O590:O614" si="256">ATAN(A590/Polefeed)</f>
        <v>6.5470371946979992E-10</v>
      </c>
      <c r="P590" s="105">
        <f t="shared" ref="P590:P614" ca="1" si="257">SQRT((1-(W590/pterm2))^2+(A590/pterm1)^2)</f>
        <v>6.6026156008705676</v>
      </c>
      <c r="Q590" s="106">
        <f t="shared" ref="Q590:Q614" ca="1" si="258">IF((ATAN((A590/pterm1)/(1-A590^2/pterm2))&gt;0),ATAN((A590/pterm1)/(1-A590^2/pterm2)),PI()+ATAN((A590/pterm1)/(1-A590^2/pterm2)))</f>
        <v>1.6383247280696576</v>
      </c>
      <c r="R590" s="107">
        <f t="shared" ref="R590:R614" ca="1" si="259">20*LOG10(((D590*H590*L590)/(B590*F590*P590*J590*N590))*Adc)</f>
        <v>-45.956963309259663</v>
      </c>
      <c r="S590" s="108">
        <f t="shared" ref="S590:S614" ca="1" si="260">((E590+I590+M590)-(C590+G590+Q590+K590+O590))*radconv</f>
        <v>-192.05945662468</v>
      </c>
      <c r="T590" s="116">
        <f t="shared" ref="T590:T614" ca="1" si="261">IF(S590&gt;0,S590,S590+180)</f>
        <v>-12.059456624679996</v>
      </c>
      <c r="V590" s="72">
        <f t="shared" ref="V590:V614" ca="1" si="262">IF(R590&lt;0,A590,1000000000)</f>
        <v>120230</v>
      </c>
      <c r="W590" s="72">
        <f t="shared" ref="W590:W614" si="263">A590^2</f>
        <v>14455252900</v>
      </c>
      <c r="Y590" s="110">
        <f t="shared" ref="Y590:Y614" si="264">20*LOG10(((H590*L590)/(F590*J590*N590))*Aea)</f>
        <v>28.381302376200914</v>
      </c>
      <c r="Z590" s="111">
        <f t="shared" ref="Z590:Z614" si="265">(I590+M590-(G590+K590+O590))*radconv</f>
        <v>-82.469049612096356</v>
      </c>
      <c r="AA590" s="72">
        <f t="shared" ref="AA590:AA614" si="266">IF(Z590&gt;0,Z590,Z590+180)</f>
        <v>97.530950387903644</v>
      </c>
      <c r="AB590" s="110">
        <f t="shared" ref="AB590:AB614" ca="1" si="267">20*LOG10((D590/(B590*P590))*Acs*Am)</f>
        <v>-56.837040417626582</v>
      </c>
      <c r="AC590" s="111">
        <f t="shared" ref="AC590:AC614" ca="1" si="268">(E590-(C590+Q590))*radconv</f>
        <v>-109.59040701258363</v>
      </c>
      <c r="AD590" s="72">
        <f t="shared" ref="AD590:AD614" ca="1" si="269">IF(AC590&gt;0,AC590,AC590+180)</f>
        <v>70.409592987416374</v>
      </c>
    </row>
    <row r="591" spans="1:30">
      <c r="A591" s="118">
        <v>126030</v>
      </c>
      <c r="B591" s="101">
        <f t="shared" ca="1" si="243"/>
        <v>7026.0674928755907</v>
      </c>
      <c r="C591" s="102">
        <f t="shared" ca="1" si="244"/>
        <v>1.5706539996674687</v>
      </c>
      <c r="D591" s="102">
        <f t="shared" si="245"/>
        <v>3.8537913644182771</v>
      </c>
      <c r="E591" s="103">
        <f t="shared" si="246"/>
        <v>1.3083077107161136</v>
      </c>
      <c r="F591" s="101">
        <f t="shared" si="247"/>
        <v>43077.719490336531</v>
      </c>
      <c r="G591" s="104">
        <f t="shared" si="248"/>
        <v>1.570773112938362</v>
      </c>
      <c r="H591" s="113">
        <f t="shared" si="249"/>
        <v>5384.7150276966258</v>
      </c>
      <c r="I591" s="114">
        <f t="shared" si="250"/>
        <v>1.5706106159447208</v>
      </c>
      <c r="J591" s="101">
        <f t="shared" si="251"/>
        <v>7.9815903729858704</v>
      </c>
      <c r="K591" s="104">
        <f t="shared" si="252"/>
        <v>1.4451778972153959</v>
      </c>
      <c r="L591" s="102">
        <f t="shared" si="253"/>
        <v>1</v>
      </c>
      <c r="M591" s="103">
        <f t="shared" si="254"/>
        <v>5.1471539818334999E-9</v>
      </c>
      <c r="N591" s="101">
        <f t="shared" si="255"/>
        <v>1</v>
      </c>
      <c r="O591" s="104">
        <f t="shared" si="256"/>
        <v>6.8628719757779995E-10</v>
      </c>
      <c r="P591" s="105">
        <f t="shared" ca="1" si="257"/>
        <v>6.9303765366008454</v>
      </c>
      <c r="Q591" s="106">
        <f t="shared" ca="1" si="258"/>
        <v>1.6557938911630736</v>
      </c>
      <c r="R591" s="107">
        <f t="shared" ca="1" si="259"/>
        <v>-46.809068740655647</v>
      </c>
      <c r="S591" s="108">
        <f t="shared" ca="1" si="260"/>
        <v>-192.71324134759095</v>
      </c>
      <c r="T591" s="116">
        <f t="shared" ca="1" si="261"/>
        <v>-12.713241347590952</v>
      </c>
      <c r="V591" s="72">
        <f t="shared" ca="1" si="262"/>
        <v>126030</v>
      </c>
      <c r="W591" s="72">
        <f t="shared" si="263"/>
        <v>15883560900</v>
      </c>
      <c r="Y591" s="110">
        <f t="shared" si="264"/>
        <v>27.978811353015782</v>
      </c>
      <c r="Z591" s="111">
        <f t="shared" si="265"/>
        <v>-82.811904386990022</v>
      </c>
      <c r="AA591" s="72">
        <f t="shared" si="266"/>
        <v>97.188095613009978</v>
      </c>
      <c r="AB591" s="110">
        <f t="shared" ca="1" si="267"/>
        <v>-57.286654825837438</v>
      </c>
      <c r="AC591" s="111">
        <f t="shared" ca="1" si="268"/>
        <v>-109.90133696060089</v>
      </c>
      <c r="AD591" s="72">
        <f t="shared" ca="1" si="269"/>
        <v>70.098663039399113</v>
      </c>
    </row>
    <row r="592" spans="1:30">
      <c r="A592" s="118">
        <v>131830</v>
      </c>
      <c r="B592" s="101">
        <f t="shared" ca="1" si="243"/>
        <v>7349.4126539589861</v>
      </c>
      <c r="C592" s="102">
        <f t="shared" ca="1" si="244"/>
        <v>1.5706602614995908</v>
      </c>
      <c r="D592" s="102">
        <f t="shared" si="245"/>
        <v>4.0194499170394158</v>
      </c>
      <c r="E592" s="103">
        <f t="shared" si="246"/>
        <v>1.3193652820234016</v>
      </c>
      <c r="F592" s="101">
        <f t="shared" si="247"/>
        <v>45060.190115681879</v>
      </c>
      <c r="G592" s="104">
        <f t="shared" si="248"/>
        <v>1.5707741342564827</v>
      </c>
      <c r="H592" s="113">
        <f t="shared" si="249"/>
        <v>5632.5238518433544</v>
      </c>
      <c r="I592" s="114">
        <f t="shared" si="250"/>
        <v>1.5706187864894212</v>
      </c>
      <c r="J592" s="101">
        <f t="shared" si="251"/>
        <v>8.3432685220753786</v>
      </c>
      <c r="K592" s="104">
        <f t="shared" si="252"/>
        <v>1.4506503796025416</v>
      </c>
      <c r="L592" s="102">
        <f t="shared" si="253"/>
        <v>1</v>
      </c>
      <c r="M592" s="103">
        <f t="shared" si="254"/>
        <v>5.3840300676434995E-9</v>
      </c>
      <c r="N592" s="101">
        <f t="shared" si="255"/>
        <v>1</v>
      </c>
      <c r="O592" s="104">
        <f t="shared" si="256"/>
        <v>7.1787067568579987E-10</v>
      </c>
      <c r="P592" s="105">
        <f t="shared" ca="1" si="257"/>
        <v>7.2607417966094294</v>
      </c>
      <c r="Q592" s="106">
        <f t="shared" ca="1" si="258"/>
        <v>1.6726028845107295</v>
      </c>
      <c r="R592" s="107">
        <f t="shared" ca="1" si="259"/>
        <v>-47.623725566956068</v>
      </c>
      <c r="S592" s="108">
        <f t="shared" ca="1" si="260"/>
        <v>-193.35627284596083</v>
      </c>
      <c r="T592" s="116">
        <f t="shared" ca="1" si="261"/>
        <v>-13.356272845960831</v>
      </c>
      <c r="V592" s="72">
        <f t="shared" ca="1" si="262"/>
        <v>131830</v>
      </c>
      <c r="W592" s="72">
        <f t="shared" si="263"/>
        <v>17379148900</v>
      </c>
      <c r="Y592" s="110">
        <f t="shared" si="264"/>
        <v>27.593875622768959</v>
      </c>
      <c r="Z592" s="111">
        <f t="shared" si="265"/>
        <v>-83.125044899318766</v>
      </c>
      <c r="AA592" s="72">
        <f t="shared" si="266"/>
        <v>96.874955100681234</v>
      </c>
      <c r="AB592" s="110">
        <f t="shared" ca="1" si="267"/>
        <v>-57.716375921891029</v>
      </c>
      <c r="AC592" s="111">
        <f t="shared" ca="1" si="268"/>
        <v>-110.23122794664205</v>
      </c>
      <c r="AD592" s="72">
        <f t="shared" ca="1" si="269"/>
        <v>69.768772053357949</v>
      </c>
    </row>
    <row r="593" spans="1:30">
      <c r="A593" s="118">
        <v>144540</v>
      </c>
      <c r="B593" s="101">
        <f t="shared" ca="1" si="243"/>
        <v>8057.9845509358893</v>
      </c>
      <c r="C593" s="102">
        <f t="shared" ca="1" si="244"/>
        <v>1.5706722262836279</v>
      </c>
      <c r="D593" s="102">
        <f t="shared" si="245"/>
        <v>4.3839815636998072</v>
      </c>
      <c r="E593" s="103">
        <f t="shared" si="246"/>
        <v>1.3406673016992252</v>
      </c>
      <c r="F593" s="101">
        <f t="shared" si="247"/>
        <v>49404.535227573331</v>
      </c>
      <c r="G593" s="104">
        <f t="shared" si="248"/>
        <v>1.5707760857381705</v>
      </c>
      <c r="H593" s="113">
        <f t="shared" si="249"/>
        <v>6175.5669831458263</v>
      </c>
      <c r="I593" s="114">
        <f t="shared" si="250"/>
        <v>1.5706343983424809</v>
      </c>
      <c r="J593" s="101">
        <f t="shared" si="251"/>
        <v>9.1366058302384463</v>
      </c>
      <c r="K593" s="104">
        <f t="shared" si="252"/>
        <v>1.4611267839582136</v>
      </c>
      <c r="L593" s="102">
        <f t="shared" si="253"/>
        <v>1</v>
      </c>
      <c r="M593" s="103">
        <f t="shared" si="254"/>
        <v>5.9031154212029994E-9</v>
      </c>
      <c r="N593" s="101">
        <f t="shared" si="255"/>
        <v>1</v>
      </c>
      <c r="O593" s="104">
        <f t="shared" si="256"/>
        <v>7.8708205616039987E-10</v>
      </c>
      <c r="P593" s="105">
        <f t="shared" ca="1" si="257"/>
        <v>7.9940925176382427</v>
      </c>
      <c r="Q593" s="106">
        <f t="shared" ca="1" si="258"/>
        <v>1.7074696858572296</v>
      </c>
      <c r="R593" s="107">
        <f t="shared" ca="1" si="259"/>
        <v>-49.293896495450547</v>
      </c>
      <c r="S593" s="108">
        <f t="shared" ca="1" si="260"/>
        <v>-194.73363416555941</v>
      </c>
      <c r="T593" s="116">
        <f t="shared" ca="1" si="261"/>
        <v>-14.733634165559408</v>
      </c>
      <c r="V593" s="72">
        <f t="shared" ca="1" si="262"/>
        <v>144540</v>
      </c>
      <c r="W593" s="72">
        <f t="shared" si="263"/>
        <v>20891811600</v>
      </c>
      <c r="Y593" s="110">
        <f t="shared" si="264"/>
        <v>26.804902244104408</v>
      </c>
      <c r="Z593" s="111">
        <f t="shared" si="265"/>
        <v>-83.724515946654165</v>
      </c>
      <c r="AA593" s="72">
        <f t="shared" si="266"/>
        <v>96.275484053345835</v>
      </c>
      <c r="AB593" s="110">
        <f t="shared" ca="1" si="267"/>
        <v>-58.597573471720949</v>
      </c>
      <c r="AC593" s="111">
        <f t="shared" ca="1" si="268"/>
        <v>-111.00911821890524</v>
      </c>
      <c r="AD593" s="72">
        <f t="shared" ca="1" si="269"/>
        <v>68.990881781094757</v>
      </c>
    </row>
    <row r="594" spans="1:30">
      <c r="A594" s="118">
        <v>158490</v>
      </c>
      <c r="B594" s="101">
        <f t="shared" ca="1" si="243"/>
        <v>8835.6854145760026</v>
      </c>
      <c r="C594" s="102">
        <f t="shared" ca="1" si="244"/>
        <v>1.5706831493836133</v>
      </c>
      <c r="D594" s="102">
        <f t="shared" si="245"/>
        <v>4.7860007560125286</v>
      </c>
      <c r="E594" s="103">
        <f t="shared" si="246"/>
        <v>1.3603026386595869</v>
      </c>
      <c r="F594" s="101">
        <f t="shared" si="247"/>
        <v>54172.718887146548</v>
      </c>
      <c r="G594" s="104">
        <f t="shared" si="248"/>
        <v>1.5707778673189723</v>
      </c>
      <c r="H594" s="113">
        <f t="shared" si="249"/>
        <v>6771.5899335775039</v>
      </c>
      <c r="I594" s="114">
        <f t="shared" si="250"/>
        <v>1.5706486509885582</v>
      </c>
      <c r="J594" s="101">
        <f t="shared" si="251"/>
        <v>10.008304210798288</v>
      </c>
      <c r="K594" s="104">
        <f t="shared" si="252"/>
        <v>1.4707122964929438</v>
      </c>
      <c r="L594" s="102">
        <f t="shared" si="253"/>
        <v>1</v>
      </c>
      <c r="M594" s="103">
        <f t="shared" si="254"/>
        <v>6.4728432482804999E-9</v>
      </c>
      <c r="N594" s="101">
        <f t="shared" si="255"/>
        <v>1</v>
      </c>
      <c r="O594" s="104">
        <f t="shared" si="256"/>
        <v>8.6304576643739991E-10</v>
      </c>
      <c r="P594" s="105">
        <f t="shared" ca="1" si="257"/>
        <v>8.8145179288670708</v>
      </c>
      <c r="Q594" s="106">
        <f t="shared" ca="1" si="258"/>
        <v>1.7431734780719867</v>
      </c>
      <c r="R594" s="107">
        <f t="shared" ca="1" si="259"/>
        <v>-50.972192005727017</v>
      </c>
      <c r="S594" s="108">
        <f t="shared" ca="1" si="260"/>
        <v>-196.2034095291518</v>
      </c>
      <c r="T594" s="116">
        <f t="shared" ca="1" si="261"/>
        <v>-16.203409529151799</v>
      </c>
      <c r="V594" s="72">
        <f t="shared" ca="1" si="262"/>
        <v>158490</v>
      </c>
      <c r="W594" s="72">
        <f t="shared" si="263"/>
        <v>25119080100</v>
      </c>
      <c r="Y594" s="110">
        <f t="shared" si="264"/>
        <v>26.013390053892962</v>
      </c>
      <c r="Z594" s="111">
        <f t="shared" si="265"/>
        <v>-84.273010792293789</v>
      </c>
      <c r="AA594" s="72">
        <f t="shared" si="266"/>
        <v>95.726989207706211</v>
      </c>
      <c r="AB594" s="110">
        <f t="shared" ca="1" si="267"/>
        <v>-59.484356791785984</v>
      </c>
      <c r="AC594" s="111">
        <f t="shared" ca="1" si="268"/>
        <v>-111.93039873685797</v>
      </c>
      <c r="AD594" s="72">
        <f t="shared" ca="1" si="269"/>
        <v>68.069601263142033</v>
      </c>
    </row>
    <row r="595" spans="1:30">
      <c r="A595" s="118">
        <v>173780</v>
      </c>
      <c r="B595" s="101">
        <f t="shared" ca="1" si="243"/>
        <v>9688.0901614654758</v>
      </c>
      <c r="C595" s="102">
        <f t="shared" ca="1" si="244"/>
        <v>1.5706931072763837</v>
      </c>
      <c r="D595" s="102">
        <f t="shared" si="245"/>
        <v>5.2284143657486046</v>
      </c>
      <c r="E595" s="103">
        <f t="shared" si="246"/>
        <v>1.3783480181503884</v>
      </c>
      <c r="F595" s="101">
        <f t="shared" si="247"/>
        <v>59398.92162242726</v>
      </c>
      <c r="G595" s="104">
        <f t="shared" si="248"/>
        <v>1.5707794914724238</v>
      </c>
      <c r="H595" s="113">
        <f t="shared" si="249"/>
        <v>7424.8652690924901</v>
      </c>
      <c r="I595" s="114">
        <f t="shared" si="250"/>
        <v>1.5706616442159163</v>
      </c>
      <c r="J595" s="101">
        <f t="shared" si="251"/>
        <v>10.964615870008899</v>
      </c>
      <c r="K595" s="104">
        <f t="shared" si="252"/>
        <v>1.4794669503983886</v>
      </c>
      <c r="L595" s="102">
        <f t="shared" si="253"/>
        <v>1</v>
      </c>
      <c r="M595" s="103">
        <f t="shared" si="254"/>
        <v>7.0972976193209997E-9</v>
      </c>
      <c r="N595" s="101">
        <f t="shared" si="255"/>
        <v>1</v>
      </c>
      <c r="O595" s="104">
        <f t="shared" si="256"/>
        <v>9.4630634924279978E-10</v>
      </c>
      <c r="P595" s="105">
        <f t="shared" ca="1" si="257"/>
        <v>9.7335461827912351</v>
      </c>
      <c r="Q595" s="106">
        <f t="shared" ca="1" si="258"/>
        <v>1.7798399639680573</v>
      </c>
      <c r="R595" s="107">
        <f t="shared" ca="1" si="259"/>
        <v>-52.658314875964734</v>
      </c>
      <c r="S595" s="108">
        <f t="shared" ca="1" si="260"/>
        <v>-197.77184417197827</v>
      </c>
      <c r="T595" s="116">
        <f t="shared" ca="1" si="261"/>
        <v>-17.771844171978273</v>
      </c>
      <c r="V595" s="72">
        <f t="shared" ca="1" si="262"/>
        <v>173780</v>
      </c>
      <c r="W595" s="72">
        <f t="shared" si="263"/>
        <v>30199488400</v>
      </c>
      <c r="Y595" s="110">
        <f t="shared" si="264"/>
        <v>25.220731563228753</v>
      </c>
      <c r="Z595" s="111">
        <f t="shared" si="265"/>
        <v>-84.773964081785977</v>
      </c>
      <c r="AA595" s="72">
        <f t="shared" si="266"/>
        <v>95.226035918214023</v>
      </c>
      <c r="AB595" s="110">
        <f t="shared" ca="1" si="267"/>
        <v>-60.377821171359486</v>
      </c>
      <c r="AC595" s="111">
        <f t="shared" ca="1" si="268"/>
        <v>-112.99788009019228</v>
      </c>
      <c r="AD595" s="72">
        <f t="shared" ca="1" si="269"/>
        <v>67.002119909807718</v>
      </c>
    </row>
    <row r="596" spans="1:30">
      <c r="A596" s="118">
        <v>190550</v>
      </c>
      <c r="B596" s="101">
        <f t="shared" ca="1" si="243"/>
        <v>10623.003674832697</v>
      </c>
      <c r="C596" s="102">
        <f t="shared" ca="1" si="244"/>
        <v>1.5707021914606647</v>
      </c>
      <c r="D596" s="102">
        <f t="shared" si="245"/>
        <v>5.7152911321001154</v>
      </c>
      <c r="E596" s="103">
        <f t="shared" si="246"/>
        <v>1.3949218265627215</v>
      </c>
      <c r="F596" s="101">
        <f t="shared" si="247"/>
        <v>65130.996172652842</v>
      </c>
      <c r="G596" s="104">
        <f t="shared" si="248"/>
        <v>1.5707809731221631</v>
      </c>
      <c r="H596" s="113">
        <f t="shared" si="249"/>
        <v>8141.3745820366921</v>
      </c>
      <c r="I596" s="114">
        <f t="shared" si="250"/>
        <v>1.5706734974136369</v>
      </c>
      <c r="J596" s="101">
        <f t="shared" si="251"/>
        <v>12.01429899637122</v>
      </c>
      <c r="K596" s="104">
        <f t="shared" si="252"/>
        <v>1.4874657663549764</v>
      </c>
      <c r="L596" s="102">
        <f t="shared" si="253"/>
        <v>1</v>
      </c>
      <c r="M596" s="103">
        <f t="shared" si="254"/>
        <v>7.7821962329474999E-9</v>
      </c>
      <c r="N596" s="101">
        <f t="shared" si="255"/>
        <v>1</v>
      </c>
      <c r="O596" s="104">
        <f t="shared" si="256"/>
        <v>1.0376261643929998E-9</v>
      </c>
      <c r="P596" s="105">
        <f t="shared" ca="1" si="257"/>
        <v>10.766882709257706</v>
      </c>
      <c r="Q596" s="106">
        <f t="shared" ca="1" si="258"/>
        <v>1.8176497101891795</v>
      </c>
      <c r="R596" s="107">
        <f t="shared" ca="1" si="259"/>
        <v>-54.355608967825916</v>
      </c>
      <c r="S596" s="108">
        <f t="shared" ca="1" si="260"/>
        <v>-199.44679838523618</v>
      </c>
      <c r="T596" s="116">
        <f t="shared" ca="1" si="261"/>
        <v>-19.446798385236178</v>
      </c>
      <c r="V596" s="72">
        <f t="shared" ca="1" si="262"/>
        <v>190550</v>
      </c>
      <c r="W596" s="72">
        <f t="shared" si="263"/>
        <v>36309302500</v>
      </c>
      <c r="Y596" s="110">
        <f t="shared" si="264"/>
        <v>24.426631259647724</v>
      </c>
      <c r="Z596" s="111">
        <f t="shared" si="265"/>
        <v>-85.231668197787442</v>
      </c>
      <c r="AA596" s="72">
        <f t="shared" si="266"/>
        <v>94.768331802212558</v>
      </c>
      <c r="AB596" s="110">
        <f t="shared" ca="1" si="267"/>
        <v>-61.281014959639641</v>
      </c>
      <c r="AC596" s="111">
        <f t="shared" ca="1" si="268"/>
        <v>-114.21513018744874</v>
      </c>
      <c r="AD596" s="72">
        <f t="shared" ca="1" si="269"/>
        <v>65.784869812551264</v>
      </c>
    </row>
    <row r="597" spans="1:30">
      <c r="A597" s="118">
        <v>208930</v>
      </c>
      <c r="B597" s="101">
        <f t="shared" ca="1" si="243"/>
        <v>11647.673346253963</v>
      </c>
      <c r="C597" s="102">
        <f t="shared" ca="1" si="244"/>
        <v>1.5707104727387688</v>
      </c>
      <c r="D597" s="102">
        <f t="shared" si="245"/>
        <v>6.2504189452672039</v>
      </c>
      <c r="E597" s="103">
        <f t="shared" si="246"/>
        <v>1.4101165380772971</v>
      </c>
      <c r="F597" s="101">
        <f t="shared" si="247"/>
        <v>71413.377224259108</v>
      </c>
      <c r="G597" s="104">
        <f t="shared" si="248"/>
        <v>1.5707823238161984</v>
      </c>
      <c r="H597" s="113">
        <f t="shared" si="249"/>
        <v>8926.6722081691169</v>
      </c>
      <c r="I597" s="114">
        <f t="shared" si="250"/>
        <v>1.5706843029657729</v>
      </c>
      <c r="J597" s="101">
        <f t="shared" si="251"/>
        <v>13.165492054544567</v>
      </c>
      <c r="K597" s="104">
        <f t="shared" si="252"/>
        <v>1.494766957227772</v>
      </c>
      <c r="L597" s="102">
        <f t="shared" si="253"/>
        <v>1</v>
      </c>
      <c r="M597" s="103">
        <f t="shared" si="254"/>
        <v>8.5328483807384996E-9</v>
      </c>
      <c r="N597" s="101">
        <f t="shared" si="255"/>
        <v>1</v>
      </c>
      <c r="O597" s="104">
        <f t="shared" si="256"/>
        <v>1.1377131174317999E-9</v>
      </c>
      <c r="P597" s="105">
        <f t="shared" ca="1" si="257"/>
        <v>11.931935174435763</v>
      </c>
      <c r="Q597" s="106">
        <f t="shared" ca="1" si="258"/>
        <v>1.8567066179517226</v>
      </c>
      <c r="R597" s="107">
        <f t="shared" ca="1" si="259"/>
        <v>-56.065221851385651</v>
      </c>
      <c r="S597" s="108">
        <f t="shared" ca="1" si="260"/>
        <v>-201.23226166617309</v>
      </c>
      <c r="T597" s="116">
        <f t="shared" ca="1" si="261"/>
        <v>-21.232261666173088</v>
      </c>
      <c r="V597" s="72">
        <f t="shared" ca="1" si="262"/>
        <v>208930</v>
      </c>
      <c r="W597" s="72">
        <f t="shared" si="263"/>
        <v>43651744900</v>
      </c>
      <c r="Y597" s="110">
        <f t="shared" si="264"/>
        <v>23.631858060669927</v>
      </c>
      <c r="Z597" s="111">
        <f t="shared" si="265"/>
        <v>-85.649453859955742</v>
      </c>
      <c r="AA597" s="72">
        <f t="shared" si="266"/>
        <v>94.350546140044258</v>
      </c>
      <c r="AB597" s="110">
        <f t="shared" ca="1" si="267"/>
        <v>-62.195854644221583</v>
      </c>
      <c r="AC597" s="111">
        <f t="shared" ca="1" si="268"/>
        <v>-115.58280780621735</v>
      </c>
      <c r="AD597" s="72">
        <f t="shared" ca="1" si="269"/>
        <v>64.417192193782654</v>
      </c>
    </row>
    <row r="598" spans="1:30">
      <c r="A598" s="118">
        <v>229090</v>
      </c>
      <c r="B598" s="101">
        <f t="shared" ca="1" si="243"/>
        <v>12771.576533952324</v>
      </c>
      <c r="C598" s="102">
        <f t="shared" ca="1" si="244"/>
        <v>1.5707180279256565</v>
      </c>
      <c r="D598" s="102">
        <f t="shared" si="245"/>
        <v>6.8387578743699295</v>
      </c>
      <c r="E598" s="103">
        <f t="shared" si="246"/>
        <v>1.4240447684059132</v>
      </c>
      <c r="F598" s="101">
        <f t="shared" si="247"/>
        <v>78304.171674894154</v>
      </c>
      <c r="G598" s="104">
        <f t="shared" si="248"/>
        <v>1.5707835560832137</v>
      </c>
      <c r="H598" s="113">
        <f t="shared" si="249"/>
        <v>9788.0215096464472</v>
      </c>
      <c r="I598" s="114">
        <f t="shared" si="250"/>
        <v>1.5706941611017835</v>
      </c>
      <c r="J598" s="101">
        <f t="shared" si="251"/>
        <v>14.428843727076419</v>
      </c>
      <c r="K598" s="104">
        <f t="shared" si="252"/>
        <v>1.5014351015200793</v>
      </c>
      <c r="L598" s="102">
        <f t="shared" si="253"/>
        <v>1</v>
      </c>
      <c r="M598" s="103">
        <f t="shared" si="254"/>
        <v>9.3561969824504992E-9</v>
      </c>
      <c r="N598" s="101">
        <f t="shared" si="255"/>
        <v>1</v>
      </c>
      <c r="O598" s="104">
        <f t="shared" si="256"/>
        <v>1.2474929309933999E-9</v>
      </c>
      <c r="P598" s="105">
        <f t="shared" ca="1" si="257"/>
        <v>13.251566800120713</v>
      </c>
      <c r="Q598" s="106">
        <f t="shared" ca="1" si="258"/>
        <v>1.8971408981201221</v>
      </c>
      <c r="R598" s="107">
        <f t="shared" ca="1" si="259"/>
        <v>-57.790981999017454</v>
      </c>
      <c r="S598" s="108">
        <f t="shared" ca="1" si="260"/>
        <v>-203.13294159441091</v>
      </c>
      <c r="T598" s="116">
        <f t="shared" ca="1" si="261"/>
        <v>-23.132941594410909</v>
      </c>
      <c r="V598" s="72">
        <f t="shared" ca="1" si="262"/>
        <v>229090</v>
      </c>
      <c r="W598" s="72">
        <f t="shared" si="263"/>
        <v>52482228100</v>
      </c>
      <c r="Y598" s="110">
        <f t="shared" si="264"/>
        <v>22.835969362464056</v>
      </c>
      <c r="Z598" s="111">
        <f t="shared" si="265"/>
        <v>-86.031016118752675</v>
      </c>
      <c r="AA598" s="72">
        <f t="shared" si="266"/>
        <v>93.968983881247325</v>
      </c>
      <c r="AB598" s="110">
        <f t="shared" ca="1" si="267"/>
        <v>-63.125726093647508</v>
      </c>
      <c r="AC598" s="111">
        <f t="shared" ca="1" si="268"/>
        <v>-117.10192547565823</v>
      </c>
      <c r="AD598" s="72">
        <f t="shared" ca="1" si="269"/>
        <v>62.898074524341766</v>
      </c>
    </row>
    <row r="599" spans="1:30">
      <c r="A599" s="118">
        <v>251190</v>
      </c>
      <c r="B599" s="101">
        <f t="shared" ca="1" si="243"/>
        <v>14003.633104496927</v>
      </c>
      <c r="C599" s="102">
        <f t="shared" ca="1" si="244"/>
        <v>1.5707249167548458</v>
      </c>
      <c r="D599" s="102">
        <f t="shared" si="245"/>
        <v>7.4849857504855555</v>
      </c>
      <c r="E599" s="103">
        <f t="shared" si="246"/>
        <v>1.4367948675154096</v>
      </c>
      <c r="F599" s="101">
        <f t="shared" si="247"/>
        <v>85858.068369404369</v>
      </c>
      <c r="G599" s="104">
        <f t="shared" si="248"/>
        <v>1.5707846796658729</v>
      </c>
      <c r="H599" s="113">
        <f t="shared" si="249"/>
        <v>10732.258592036116</v>
      </c>
      <c r="I599" s="114">
        <f t="shared" si="250"/>
        <v>1.5707031497629727</v>
      </c>
      <c r="J599" s="101">
        <f t="shared" si="251"/>
        <v>15.8143816143454</v>
      </c>
      <c r="K599" s="104">
        <f t="shared" si="252"/>
        <v>1.5075205288107589</v>
      </c>
      <c r="L599" s="102">
        <f t="shared" si="253"/>
        <v>1</v>
      </c>
      <c r="M599" s="103">
        <f t="shared" si="254"/>
        <v>1.02587765507955E-8</v>
      </c>
      <c r="N599" s="101">
        <f t="shared" si="255"/>
        <v>1</v>
      </c>
      <c r="O599" s="104">
        <f t="shared" si="256"/>
        <v>1.3678368734393998E-9</v>
      </c>
      <c r="P599" s="105">
        <f t="shared" ca="1" si="257"/>
        <v>14.751736120010822</v>
      </c>
      <c r="Q599" s="106">
        <f t="shared" ca="1" si="258"/>
        <v>1.9389927675322876</v>
      </c>
      <c r="R599" s="107">
        <f t="shared" ca="1" si="259"/>
        <v>-59.534563068009739</v>
      </c>
      <c r="S599" s="108">
        <f t="shared" ca="1" si="260"/>
        <v>-205.14896353192057</v>
      </c>
      <c r="T599" s="116">
        <f t="shared" ca="1" si="261"/>
        <v>-25.148963531920572</v>
      </c>
      <c r="V599" s="72">
        <f t="shared" ca="1" si="262"/>
        <v>251190</v>
      </c>
      <c r="W599" s="72">
        <f t="shared" si="263"/>
        <v>63096416100</v>
      </c>
      <c r="Y599" s="110">
        <f t="shared" si="264"/>
        <v>22.039555660805945</v>
      </c>
      <c r="Z599" s="111">
        <f t="shared" si="265"/>
        <v>-86.379234738816152</v>
      </c>
      <c r="AA599" s="72">
        <f t="shared" si="266"/>
        <v>93.620765261183848</v>
      </c>
      <c r="AB599" s="110">
        <f t="shared" ca="1" si="267"/>
        <v>-64.072893460981689</v>
      </c>
      <c r="AC599" s="111">
        <f t="shared" ca="1" si="268"/>
        <v>-118.76972879310442</v>
      </c>
      <c r="AD599" s="72">
        <f t="shared" ca="1" si="269"/>
        <v>61.23027120689558</v>
      </c>
    </row>
    <row r="600" spans="1:30">
      <c r="A600" s="118">
        <v>275420</v>
      </c>
      <c r="B600" s="101">
        <f t="shared" ca="1" si="243"/>
        <v>15354.435399444199</v>
      </c>
      <c r="C600" s="102">
        <f t="shared" ca="1" si="244"/>
        <v>1.5707311990337844</v>
      </c>
      <c r="D600" s="102">
        <f t="shared" si="245"/>
        <v>8.194664180249152</v>
      </c>
      <c r="E600" s="103">
        <f t="shared" si="246"/>
        <v>1.4484607837069483</v>
      </c>
      <c r="F600" s="101">
        <f t="shared" si="247"/>
        <v>94140.010311045655</v>
      </c>
      <c r="G600" s="104">
        <f t="shared" si="248"/>
        <v>1.5707857043188982</v>
      </c>
      <c r="H600" s="113">
        <f t="shared" si="249"/>
        <v>11767.501330706706</v>
      </c>
      <c r="I600" s="114">
        <f t="shared" si="250"/>
        <v>1.5707113469871108</v>
      </c>
      <c r="J600" s="101">
        <f t="shared" si="251"/>
        <v>17.334018007793684</v>
      </c>
      <c r="K600" s="104">
        <f t="shared" si="252"/>
        <v>1.5130742497874803</v>
      </c>
      <c r="L600" s="102">
        <f t="shared" si="253"/>
        <v>1</v>
      </c>
      <c r="M600" s="103">
        <f t="shared" si="254"/>
        <v>1.1248346819618999E-8</v>
      </c>
      <c r="N600" s="101">
        <f t="shared" si="255"/>
        <v>1</v>
      </c>
      <c r="O600" s="104">
        <f t="shared" si="256"/>
        <v>1.4997795759491997E-9</v>
      </c>
      <c r="P600" s="105">
        <f t="shared" ca="1" si="257"/>
        <v>16.465047666166754</v>
      </c>
      <c r="Q600" s="106">
        <f t="shared" ca="1" si="258"/>
        <v>1.9822865716857763</v>
      </c>
      <c r="R600" s="107">
        <f t="shared" ca="1" si="259"/>
        <v>-61.29895969701635</v>
      </c>
      <c r="S600" s="108">
        <f t="shared" ca="1" si="260"/>
        <v>-207.27926174292401</v>
      </c>
      <c r="T600" s="116">
        <f t="shared" ca="1" si="261"/>
        <v>-27.279261742924007</v>
      </c>
      <c r="V600" s="72">
        <f t="shared" ca="1" si="262"/>
        <v>275420</v>
      </c>
      <c r="W600" s="72">
        <f t="shared" si="263"/>
        <v>75856176400</v>
      </c>
      <c r="Y600" s="110">
        <f t="shared" si="264"/>
        <v>21.242615076079581</v>
      </c>
      <c r="Z600" s="111">
        <f t="shared" si="265"/>
        <v>-86.697028504547191</v>
      </c>
      <c r="AA600" s="72">
        <f t="shared" si="266"/>
        <v>93.302971495452809</v>
      </c>
      <c r="AB600" s="110">
        <f t="shared" ca="1" si="267"/>
        <v>-65.040349505261929</v>
      </c>
      <c r="AC600" s="111">
        <f t="shared" ca="1" si="268"/>
        <v>-120.58223323837679</v>
      </c>
      <c r="AD600" s="72">
        <f t="shared" ca="1" si="269"/>
        <v>59.417766761623213</v>
      </c>
    </row>
    <row r="601" spans="1:30">
      <c r="A601" s="118">
        <v>302000</v>
      </c>
      <c r="B601" s="101">
        <f t="shared" ca="1" si="243"/>
        <v>16836.248235339597</v>
      </c>
      <c r="C601" s="102">
        <f t="shared" ca="1" si="244"/>
        <v>1.5707369311393675</v>
      </c>
      <c r="D601" s="102">
        <f t="shared" si="245"/>
        <v>8.9742422557166481</v>
      </c>
      <c r="E601" s="103">
        <f t="shared" si="246"/>
        <v>1.4591344101440471</v>
      </c>
      <c r="F601" s="101">
        <f t="shared" si="247"/>
        <v>103225.19466148379</v>
      </c>
      <c r="G601" s="104">
        <f t="shared" si="248"/>
        <v>1.570786639237481</v>
      </c>
      <c r="H601" s="113">
        <f t="shared" si="249"/>
        <v>12903.149370830231</v>
      </c>
      <c r="I601" s="114">
        <f t="shared" si="250"/>
        <v>1.5707188263357248</v>
      </c>
      <c r="J601" s="101">
        <f t="shared" si="251"/>
        <v>19.001551491810524</v>
      </c>
      <c r="K601" s="104">
        <f t="shared" si="252"/>
        <v>1.5181447219076576</v>
      </c>
      <c r="L601" s="102">
        <f t="shared" si="253"/>
        <v>1</v>
      </c>
      <c r="M601" s="103">
        <f t="shared" si="254"/>
        <v>1.2333892743899999E-8</v>
      </c>
      <c r="N601" s="101">
        <f t="shared" si="255"/>
        <v>1</v>
      </c>
      <c r="O601" s="104">
        <f t="shared" si="256"/>
        <v>1.6445190325199998E-9</v>
      </c>
      <c r="P601" s="105">
        <f t="shared" ca="1" si="257"/>
        <v>18.432144557295612</v>
      </c>
      <c r="Q601" s="106">
        <f t="shared" ca="1" si="258"/>
        <v>2.0270147402562153</v>
      </c>
      <c r="R601" s="107">
        <f t="shared" ca="1" si="259"/>
        <v>-63.087910414321072</v>
      </c>
      <c r="S601" s="108">
        <f t="shared" ca="1" si="260"/>
        <v>-209.52091333893452</v>
      </c>
      <c r="T601" s="116">
        <f t="shared" ca="1" si="261"/>
        <v>-29.52091333893452</v>
      </c>
      <c r="V601" s="72">
        <f t="shared" ca="1" si="262"/>
        <v>302000</v>
      </c>
      <c r="W601" s="72">
        <f t="shared" si="263"/>
        <v>91204000000</v>
      </c>
      <c r="Y601" s="110">
        <f t="shared" si="264"/>
        <v>20.444818681139587</v>
      </c>
      <c r="Z601" s="111">
        <f t="shared" si="265"/>
        <v>-86.987170135379316</v>
      </c>
      <c r="AA601" s="72">
        <f t="shared" si="266"/>
        <v>93.012829864620684</v>
      </c>
      <c r="AB601" s="110">
        <f t="shared" ca="1" si="267"/>
        <v>-66.031503827626651</v>
      </c>
      <c r="AC601" s="111">
        <f t="shared" ca="1" si="268"/>
        <v>-122.53374320355519</v>
      </c>
      <c r="AD601" s="72">
        <f t="shared" ca="1" si="269"/>
        <v>57.46625679644481</v>
      </c>
    </row>
    <row r="602" spans="1:30">
      <c r="A602" s="118">
        <v>331130</v>
      </c>
      <c r="B602" s="101">
        <f t="shared" ca="1" si="243"/>
        <v>18460.221445410294</v>
      </c>
      <c r="C602" s="102">
        <f t="shared" ca="1" si="244"/>
        <v>1.5707421562637658</v>
      </c>
      <c r="D602" s="102">
        <f t="shared" si="245"/>
        <v>9.829589521474281</v>
      </c>
      <c r="E602" s="103">
        <f t="shared" si="246"/>
        <v>1.4688863704039086</v>
      </c>
      <c r="F602" s="101">
        <f t="shared" si="247"/>
        <v>113181.98247677927</v>
      </c>
      <c r="G602" s="104">
        <f t="shared" si="248"/>
        <v>1.5707874914663564</v>
      </c>
      <c r="H602" s="113">
        <f t="shared" si="249"/>
        <v>14147.747844386515</v>
      </c>
      <c r="I602" s="114">
        <f t="shared" si="250"/>
        <v>1.570725644166691</v>
      </c>
      <c r="J602" s="101">
        <f t="shared" si="251"/>
        <v>20.829529713996873</v>
      </c>
      <c r="K602" s="104">
        <f t="shared" si="252"/>
        <v>1.5227691004023414</v>
      </c>
      <c r="L602" s="102">
        <f t="shared" si="253"/>
        <v>1</v>
      </c>
      <c r="M602" s="103">
        <f t="shared" si="254"/>
        <v>1.3523582464528499E-8</v>
      </c>
      <c r="N602" s="101">
        <f t="shared" si="255"/>
        <v>1</v>
      </c>
      <c r="O602" s="104">
        <f t="shared" si="256"/>
        <v>1.8031443286037997E-9</v>
      </c>
      <c r="P602" s="105">
        <f t="shared" ca="1" si="257"/>
        <v>20.699428058958386</v>
      </c>
      <c r="Q602" s="106">
        <f t="shared" ca="1" si="258"/>
        <v>2.073047766447659</v>
      </c>
      <c r="R602" s="107">
        <f t="shared" ca="1" si="259"/>
        <v>-64.902447865749707</v>
      </c>
      <c r="S602" s="108">
        <f t="shared" ca="1" si="260"/>
        <v>-211.86458018102229</v>
      </c>
      <c r="T602" s="116">
        <f t="shared" ca="1" si="261"/>
        <v>-31.864580181022291</v>
      </c>
      <c r="V602" s="72">
        <f t="shared" ca="1" si="262"/>
        <v>331130</v>
      </c>
      <c r="W602" s="72">
        <f t="shared" si="263"/>
        <v>109647076900</v>
      </c>
      <c r="Y602" s="110">
        <f t="shared" si="264"/>
        <v>19.647010642185091</v>
      </c>
      <c r="Z602" s="111">
        <f t="shared" si="265"/>
        <v>-87.251785643400424</v>
      </c>
      <c r="AA602" s="72">
        <f t="shared" si="266"/>
        <v>92.748214356599576</v>
      </c>
      <c r="AB602" s="110">
        <f t="shared" ca="1" si="267"/>
        <v>-67.048233240100799</v>
      </c>
      <c r="AC602" s="111">
        <f t="shared" ca="1" si="268"/>
        <v>-124.6127945376218</v>
      </c>
      <c r="AD602" s="72">
        <f t="shared" ca="1" si="269"/>
        <v>55.387205462378205</v>
      </c>
    </row>
    <row r="603" spans="1:30">
      <c r="A603" s="118">
        <v>363080</v>
      </c>
      <c r="B603" s="101">
        <f t="shared" ca="1" si="243"/>
        <v>20241.407304517776</v>
      </c>
      <c r="C603" s="102">
        <f t="shared" ca="1" si="244"/>
        <v>1.5707469231153321</v>
      </c>
      <c r="D603" s="102">
        <f t="shared" si="245"/>
        <v>10.768636583739831</v>
      </c>
      <c r="E603" s="103">
        <f t="shared" si="246"/>
        <v>1.4778000749797691</v>
      </c>
      <c r="F603" s="101">
        <f t="shared" si="247"/>
        <v>124102.66118261452</v>
      </c>
      <c r="G603" s="104">
        <f t="shared" si="248"/>
        <v>1.5707882689499602</v>
      </c>
      <c r="H603" s="113">
        <f t="shared" si="249"/>
        <v>15512.83267955458</v>
      </c>
      <c r="I603" s="114">
        <f t="shared" si="250"/>
        <v>1.5707318640354928</v>
      </c>
      <c r="J603" s="101">
        <f t="shared" si="251"/>
        <v>22.834896007145055</v>
      </c>
      <c r="K603" s="104">
        <f t="shared" si="252"/>
        <v>1.5269896938171408</v>
      </c>
      <c r="L603" s="102">
        <f t="shared" si="253"/>
        <v>1</v>
      </c>
      <c r="M603" s="103">
        <f t="shared" si="254"/>
        <v>1.4828442971705997E-8</v>
      </c>
      <c r="N603" s="101">
        <f t="shared" si="255"/>
        <v>1</v>
      </c>
      <c r="O603" s="104">
        <f t="shared" si="256"/>
        <v>1.9771257295607997E-9</v>
      </c>
      <c r="P603" s="105">
        <f t="shared" ca="1" si="257"/>
        <v>23.327576047761163</v>
      </c>
      <c r="Q603" s="106">
        <f t="shared" ca="1" si="258"/>
        <v>2.120277614535806</v>
      </c>
      <c r="R603" s="107">
        <f t="shared" ca="1" si="259"/>
        <v>-66.746633883783929</v>
      </c>
      <c r="S603" s="108">
        <f t="shared" ca="1" si="260"/>
        <v>-214.3017169139668</v>
      </c>
      <c r="T603" s="116">
        <f t="shared" ca="1" si="261"/>
        <v>-34.3017169139668</v>
      </c>
      <c r="V603" s="72">
        <f t="shared" ca="1" si="262"/>
        <v>363080</v>
      </c>
      <c r="W603" s="72">
        <f t="shared" si="263"/>
        <v>131827086400</v>
      </c>
      <c r="Y603" s="110">
        <f t="shared" si="264"/>
        <v>18.848619168677146</v>
      </c>
      <c r="Z603" s="111">
        <f t="shared" si="265"/>
        <v>-87.493295942888167</v>
      </c>
      <c r="AA603" s="72">
        <f t="shared" si="266"/>
        <v>92.506704057111833</v>
      </c>
      <c r="AB603" s="110">
        <f t="shared" ca="1" si="267"/>
        <v>-68.094027784627073</v>
      </c>
      <c r="AC603" s="111">
        <f t="shared" ca="1" si="268"/>
        <v>-126.8084209710786</v>
      </c>
      <c r="AD603" s="72">
        <f t="shared" ca="1" si="269"/>
        <v>53.191579028921396</v>
      </c>
    </row>
    <row r="604" spans="1:30">
      <c r="A604" s="118">
        <v>398110</v>
      </c>
      <c r="B604" s="101">
        <f t="shared" ca="1" si="243"/>
        <v>22194.300595866203</v>
      </c>
      <c r="C604" s="102">
        <f t="shared" ca="1" si="244"/>
        <v>1.570751270182456</v>
      </c>
      <c r="D604" s="102">
        <f t="shared" si="245"/>
        <v>11.799027574737186</v>
      </c>
      <c r="E604" s="103">
        <f t="shared" si="246"/>
        <v>1.4859417867632296</v>
      </c>
      <c r="F604" s="101">
        <f t="shared" si="247"/>
        <v>136076.10015186964</v>
      </c>
      <c r="G604" s="104">
        <f t="shared" si="248"/>
        <v>1.5707889779658304</v>
      </c>
      <c r="H604" s="113">
        <f t="shared" si="249"/>
        <v>17009.51254791972</v>
      </c>
      <c r="I604" s="114">
        <f t="shared" si="250"/>
        <v>1.5707375361624338</v>
      </c>
      <c r="J604" s="101">
        <f t="shared" si="251"/>
        <v>25.033969832680562</v>
      </c>
      <c r="K604" s="104">
        <f t="shared" si="252"/>
        <v>1.5308399738361644</v>
      </c>
      <c r="L604" s="102">
        <f t="shared" si="253"/>
        <v>1</v>
      </c>
      <c r="M604" s="103">
        <f t="shared" si="254"/>
        <v>1.6259092848589499E-8</v>
      </c>
      <c r="N604" s="101">
        <f t="shared" si="255"/>
        <v>1</v>
      </c>
      <c r="O604" s="104">
        <f t="shared" si="256"/>
        <v>2.1678790464785998E-9</v>
      </c>
      <c r="P604" s="105">
        <f t="shared" ca="1" si="257"/>
        <v>26.387576602502829</v>
      </c>
      <c r="Q604" s="106">
        <f t="shared" ca="1" si="258"/>
        <v>2.1684844462566444</v>
      </c>
      <c r="R604" s="107">
        <f t="shared" ca="1" si="259"/>
        <v>-68.622150767839514</v>
      </c>
      <c r="S604" s="108">
        <f t="shared" ca="1" si="260"/>
        <v>-216.81784862221366</v>
      </c>
      <c r="T604" s="116">
        <f t="shared" ca="1" si="261"/>
        <v>-36.81784862221366</v>
      </c>
      <c r="V604" s="72">
        <f t="shared" ca="1" si="262"/>
        <v>398110</v>
      </c>
      <c r="W604" s="72">
        <f t="shared" si="263"/>
        <v>158491572100</v>
      </c>
      <c r="Y604" s="110">
        <f t="shared" si="264"/>
        <v>18.050005437113942</v>
      </c>
      <c r="Z604" s="111">
        <f t="shared" si="265"/>
        <v>-87.713616301815108</v>
      </c>
      <c r="AA604" s="72">
        <f t="shared" si="266"/>
        <v>92.286383698184892</v>
      </c>
      <c r="AB604" s="110">
        <f t="shared" ca="1" si="267"/>
        <v>-69.170930937119437</v>
      </c>
      <c r="AC604" s="111">
        <f t="shared" ca="1" si="268"/>
        <v>-129.10423232039861</v>
      </c>
      <c r="AD604" s="72">
        <f t="shared" ca="1" si="269"/>
        <v>50.895767679601391</v>
      </c>
    </row>
    <row r="605" spans="1:30">
      <c r="A605" s="118">
        <v>436520</v>
      </c>
      <c r="B605" s="101">
        <f t="shared" ca="1" si="243"/>
        <v>24335.626069310063</v>
      </c>
      <c r="C605" s="102">
        <f t="shared" ca="1" si="244"/>
        <v>1.5707552347762475</v>
      </c>
      <c r="D605" s="102">
        <f t="shared" si="245"/>
        <v>12.929588416817817</v>
      </c>
      <c r="E605" s="103">
        <f t="shared" si="246"/>
        <v>1.4933770289285679</v>
      </c>
      <c r="F605" s="101">
        <f t="shared" si="247"/>
        <v>149204.84096863752</v>
      </c>
      <c r="G605" s="104">
        <f t="shared" si="248"/>
        <v>1.5707896245994886</v>
      </c>
      <c r="H605" s="113">
        <f t="shared" si="249"/>
        <v>18650.605147469585</v>
      </c>
      <c r="I605" s="114">
        <f t="shared" si="250"/>
        <v>1.5707427092316824</v>
      </c>
      <c r="J605" s="101">
        <f t="shared" si="251"/>
        <v>27.445584388693419</v>
      </c>
      <c r="K605" s="104">
        <f t="shared" si="252"/>
        <v>1.5343525266350102</v>
      </c>
      <c r="L605" s="102">
        <f t="shared" si="253"/>
        <v>1</v>
      </c>
      <c r="M605" s="103">
        <f t="shared" si="254"/>
        <v>1.7827784306513996E-8</v>
      </c>
      <c r="N605" s="101">
        <f t="shared" si="255"/>
        <v>1</v>
      </c>
      <c r="O605" s="104">
        <f t="shared" si="256"/>
        <v>2.3770379075351998E-9</v>
      </c>
      <c r="P605" s="105">
        <f t="shared" ca="1" si="257"/>
        <v>29.967153344815305</v>
      </c>
      <c r="Q605" s="106">
        <f t="shared" ca="1" si="258"/>
        <v>2.2174161249723596</v>
      </c>
      <c r="R605" s="107">
        <f t="shared" ca="1" si="259"/>
        <v>-70.531177102863111</v>
      </c>
      <c r="S605" s="108">
        <f t="shared" ca="1" si="260"/>
        <v>-219.39664148596088</v>
      </c>
      <c r="T605" s="116">
        <f t="shared" ca="1" si="261"/>
        <v>-39.396641485960885</v>
      </c>
      <c r="V605" s="72">
        <f t="shared" ca="1" si="262"/>
        <v>436520</v>
      </c>
      <c r="W605" s="72">
        <f t="shared" si="263"/>
        <v>190549710400</v>
      </c>
      <c r="Y605" s="110">
        <f t="shared" si="264"/>
        <v>17.251150275807554</v>
      </c>
      <c r="Z605" s="111">
        <f t="shared" si="265"/>
        <v>-87.914611329184439</v>
      </c>
      <c r="AA605" s="72">
        <f t="shared" si="266"/>
        <v>92.085388670815561</v>
      </c>
      <c r="AB605" s="110">
        <f t="shared" ca="1" si="267"/>
        <v>-70.28110211083667</v>
      </c>
      <c r="AC605" s="111">
        <f t="shared" ca="1" si="268"/>
        <v>-131.48203015677637</v>
      </c>
      <c r="AD605" s="72">
        <f t="shared" ca="1" si="269"/>
        <v>48.517969843223625</v>
      </c>
    </row>
    <row r="606" spans="1:30">
      <c r="A606" s="118">
        <v>478630</v>
      </c>
      <c r="B606" s="101">
        <f t="shared" ca="1" si="243"/>
        <v>26683.22345803081</v>
      </c>
      <c r="C606" s="102">
        <f t="shared" ca="1" si="244"/>
        <v>1.5707588500634286</v>
      </c>
      <c r="D606" s="102">
        <f t="shared" si="245"/>
        <v>14.169739117564406</v>
      </c>
      <c r="E606" s="103">
        <f t="shared" si="246"/>
        <v>1.5001646837284499</v>
      </c>
      <c r="F606" s="101">
        <f t="shared" si="247"/>
        <v>163598.26132261788</v>
      </c>
      <c r="G606" s="104">
        <f t="shared" si="248"/>
        <v>1.5707902142604973</v>
      </c>
      <c r="H606" s="113">
        <f t="shared" si="249"/>
        <v>20449.782689395339</v>
      </c>
      <c r="I606" s="114">
        <f t="shared" si="250"/>
        <v>1.5707474265197403</v>
      </c>
      <c r="J606" s="101">
        <f t="shared" si="251"/>
        <v>30.089831301594558</v>
      </c>
      <c r="K606" s="104">
        <f t="shared" si="252"/>
        <v>1.537556387273626</v>
      </c>
      <c r="L606" s="102">
        <f t="shared" si="253"/>
        <v>1.0000000000000002</v>
      </c>
      <c r="M606" s="103">
        <f t="shared" si="254"/>
        <v>1.9547586370903496E-8</v>
      </c>
      <c r="N606" s="101">
        <f t="shared" si="255"/>
        <v>1</v>
      </c>
      <c r="O606" s="104">
        <f t="shared" si="256"/>
        <v>2.6063448494537996E-9</v>
      </c>
      <c r="P606" s="105">
        <f t="shared" ca="1" si="257"/>
        <v>34.172059466146976</v>
      </c>
      <c r="Q606" s="106">
        <f t="shared" ca="1" si="258"/>
        <v>2.2667636602546692</v>
      </c>
      <c r="R606" s="107">
        <f t="shared" ca="1" si="259"/>
        <v>-72.475008089442824</v>
      </c>
      <c r="S606" s="108">
        <f t="shared" ca="1" si="260"/>
        <v>-222.01868126961079</v>
      </c>
      <c r="T606" s="116">
        <f t="shared" ca="1" si="261"/>
        <v>-42.018681269610795</v>
      </c>
      <c r="V606" s="72">
        <f t="shared" ca="1" si="262"/>
        <v>478630</v>
      </c>
      <c r="W606" s="72">
        <f t="shared" si="263"/>
        <v>229086676900</v>
      </c>
      <c r="Y606" s="110">
        <f t="shared" si="264"/>
        <v>16.452204865937031</v>
      </c>
      <c r="Z606" s="111">
        <f t="shared" si="265"/>
        <v>-88.097942441126278</v>
      </c>
      <c r="AA606" s="72">
        <f t="shared" si="266"/>
        <v>91.902057558873722</v>
      </c>
      <c r="AB606" s="110">
        <f t="shared" ca="1" si="267"/>
        <v>-71.425987687545842</v>
      </c>
      <c r="AC606" s="111">
        <f t="shared" ca="1" si="268"/>
        <v>-133.92073882848453</v>
      </c>
      <c r="AD606" s="72">
        <f t="shared" ca="1" si="269"/>
        <v>46.079261171515469</v>
      </c>
    </row>
    <row r="607" spans="1:30">
      <c r="A607" s="118">
        <v>524810</v>
      </c>
      <c r="B607" s="101">
        <f t="shared" ca="1" si="243"/>
        <v>29257.719953522806</v>
      </c>
      <c r="C607" s="102">
        <f t="shared" ca="1" si="244"/>
        <v>1.5707621477815701</v>
      </c>
      <c r="D607" s="102">
        <f t="shared" si="245"/>
        <v>15.530377251321724</v>
      </c>
      <c r="E607" s="103">
        <f t="shared" si="246"/>
        <v>1.5063618132681398</v>
      </c>
      <c r="F607" s="101">
        <f t="shared" si="247"/>
        <v>179382.82916752654</v>
      </c>
      <c r="G607" s="104">
        <f t="shared" si="248"/>
        <v>1.5707907521253217</v>
      </c>
      <c r="H607" s="113">
        <f t="shared" si="249"/>
        <v>22422.853667891079</v>
      </c>
      <c r="I607" s="114">
        <f t="shared" si="250"/>
        <v>1.5707517294383271</v>
      </c>
      <c r="J607" s="101">
        <f t="shared" si="251"/>
        <v>32.98994438948111</v>
      </c>
      <c r="K607" s="104">
        <f t="shared" si="252"/>
        <v>1.5404794159669519</v>
      </c>
      <c r="L607" s="102">
        <f t="shared" si="253"/>
        <v>1.0000000000000002</v>
      </c>
      <c r="M607" s="103">
        <f t="shared" si="254"/>
        <v>2.1433610102404497E-8</v>
      </c>
      <c r="N607" s="101">
        <f t="shared" si="255"/>
        <v>1</v>
      </c>
      <c r="O607" s="104">
        <f t="shared" si="256"/>
        <v>2.8578146803205997E-9</v>
      </c>
      <c r="P607" s="105">
        <f t="shared" ca="1" si="257"/>
        <v>39.132604436091391</v>
      </c>
      <c r="Q607" s="106">
        <f t="shared" ca="1" si="258"/>
        <v>2.316204905902397</v>
      </c>
      <c r="R607" s="107">
        <f t="shared" ca="1" si="259"/>
        <v>-74.455237382339163</v>
      </c>
      <c r="S607" s="108">
        <f t="shared" ca="1" si="260"/>
        <v>-224.66383695190908</v>
      </c>
      <c r="T607" s="116">
        <f t="shared" ca="1" si="261"/>
        <v>-44.663836951909076</v>
      </c>
      <c r="V607" s="72">
        <f t="shared" ca="1" si="262"/>
        <v>524810</v>
      </c>
      <c r="W607" s="72">
        <f t="shared" si="263"/>
        <v>275425536100</v>
      </c>
      <c r="Y607" s="110">
        <f t="shared" si="264"/>
        <v>15.652968252501424</v>
      </c>
      <c r="Z607" s="111">
        <f t="shared" si="265"/>
        <v>-88.265203833497395</v>
      </c>
      <c r="AA607" s="72">
        <f t="shared" si="266"/>
        <v>91.734796166502605</v>
      </c>
      <c r="AB607" s="110">
        <f t="shared" ca="1" si="267"/>
        <v>-72.606980367006585</v>
      </c>
      <c r="AC607" s="111">
        <f t="shared" ca="1" si="268"/>
        <v>-136.39863311841171</v>
      </c>
      <c r="AD607" s="72">
        <f t="shared" ca="1" si="269"/>
        <v>43.601366881588291</v>
      </c>
    </row>
    <row r="608" spans="1:30">
      <c r="A608" s="118">
        <v>575440</v>
      </c>
      <c r="B608" s="101">
        <f t="shared" ca="1" si="243"/>
        <v>32080.300238945154</v>
      </c>
      <c r="C608" s="102">
        <f t="shared" ca="1" si="244"/>
        <v>1.5707651550168049</v>
      </c>
      <c r="D608" s="102">
        <f t="shared" si="245"/>
        <v>17.02269982934115</v>
      </c>
      <c r="E608" s="103">
        <f t="shared" si="246"/>
        <v>1.5120173981116856</v>
      </c>
      <c r="F608" s="101">
        <f t="shared" si="247"/>
        <v>196688.43050988292</v>
      </c>
      <c r="G608" s="104">
        <f t="shared" si="248"/>
        <v>1.5707912426117678</v>
      </c>
      <c r="H608" s="113">
        <f t="shared" si="249"/>
        <v>24586.053833754337</v>
      </c>
      <c r="I608" s="114">
        <f t="shared" si="250"/>
        <v>1.5707556533298892</v>
      </c>
      <c r="J608" s="101">
        <f t="shared" si="251"/>
        <v>36.169787824778609</v>
      </c>
      <c r="K608" s="104">
        <f t="shared" si="252"/>
        <v>1.5431454197730159</v>
      </c>
      <c r="L608" s="102">
        <f t="shared" si="253"/>
        <v>1.0000000000000002</v>
      </c>
      <c r="M608" s="103">
        <f t="shared" si="254"/>
        <v>2.3501374968707996E-8</v>
      </c>
      <c r="N608" s="101">
        <f t="shared" si="255"/>
        <v>1</v>
      </c>
      <c r="O608" s="104">
        <f t="shared" si="256"/>
        <v>3.1335166624943997E-9</v>
      </c>
      <c r="P608" s="105">
        <f t="shared" ca="1" si="257"/>
        <v>45.003774054970449</v>
      </c>
      <c r="Q608" s="106">
        <f t="shared" ca="1" si="258"/>
        <v>2.3653700564728259</v>
      </c>
      <c r="R608" s="107">
        <f t="shared" ca="1" si="259"/>
        <v>-76.471758788020765</v>
      </c>
      <c r="S608" s="108">
        <f t="shared" ca="1" si="260"/>
        <v>-227.30947768536967</v>
      </c>
      <c r="T608" s="116">
        <f t="shared" ca="1" si="261"/>
        <v>-47.309477685369671</v>
      </c>
      <c r="V608" s="72">
        <f t="shared" ca="1" si="262"/>
        <v>575440</v>
      </c>
      <c r="W608" s="72">
        <f t="shared" si="263"/>
        <v>331131193600</v>
      </c>
      <c r="Y608" s="110">
        <f t="shared" si="264"/>
        <v>14.853680697178318</v>
      </c>
      <c r="Z608" s="111">
        <f t="shared" si="265"/>
        <v>-88.417757777624814</v>
      </c>
      <c r="AA608" s="72">
        <f t="shared" si="266"/>
        <v>91.582242222375186</v>
      </c>
      <c r="AB608" s="110">
        <f t="shared" ca="1" si="267"/>
        <v>-73.824214217365082</v>
      </c>
      <c r="AC608" s="111">
        <f t="shared" ca="1" si="268"/>
        <v>-138.89171990774491</v>
      </c>
      <c r="AD608" s="72">
        <f t="shared" ca="1" si="269"/>
        <v>41.108280092255086</v>
      </c>
    </row>
    <row r="609" spans="1:30">
      <c r="A609" s="118">
        <v>630960</v>
      </c>
      <c r="B609" s="101">
        <f t="shared" ca="1" si="243"/>
        <v>35175.493947432093</v>
      </c>
      <c r="C609" s="102">
        <f t="shared" ca="1" si="244"/>
        <v>1.5707678979119468</v>
      </c>
      <c r="D609" s="102">
        <f t="shared" si="245"/>
        <v>18.659676421413664</v>
      </c>
      <c r="E609" s="103">
        <f t="shared" si="246"/>
        <v>1.5171791433089885</v>
      </c>
      <c r="F609" s="101">
        <f t="shared" si="247"/>
        <v>215665.45967302565</v>
      </c>
      <c r="G609" s="104">
        <f t="shared" si="248"/>
        <v>1.5707916899837842</v>
      </c>
      <c r="H609" s="113">
        <f t="shared" si="249"/>
        <v>26958.18247738565</v>
      </c>
      <c r="I609" s="114">
        <f t="shared" si="250"/>
        <v>1.5707592323060131</v>
      </c>
      <c r="J609" s="101">
        <f t="shared" si="251"/>
        <v>39.656996089587139</v>
      </c>
      <c r="K609" s="104">
        <f t="shared" si="252"/>
        <v>1.5455774220532046</v>
      </c>
      <c r="L609" s="102">
        <f t="shared" si="253"/>
        <v>1.0000000000000004</v>
      </c>
      <c r="M609" s="103">
        <f t="shared" si="254"/>
        <v>2.5768850879771991E-8</v>
      </c>
      <c r="N609" s="101">
        <f t="shared" si="255"/>
        <v>1</v>
      </c>
      <c r="O609" s="104">
        <f t="shared" si="256"/>
        <v>3.4358467839695996E-9</v>
      </c>
      <c r="P609" s="105">
        <f t="shared" ca="1" si="257"/>
        <v>51.975603009424326</v>
      </c>
      <c r="Q609" s="106">
        <f t="shared" ca="1" si="258"/>
        <v>2.4139084346978095</v>
      </c>
      <c r="R609" s="107">
        <f t="shared" ca="1" si="259"/>
        <v>-78.52477013990071</v>
      </c>
      <c r="S609" s="108">
        <f t="shared" ca="1" si="260"/>
        <v>-229.93409677278595</v>
      </c>
      <c r="T609" s="116">
        <f t="shared" ca="1" si="261"/>
        <v>-49.934096772785949</v>
      </c>
      <c r="V609" s="72">
        <f t="shared" ca="1" si="262"/>
        <v>630960</v>
      </c>
      <c r="W609" s="72">
        <f t="shared" si="263"/>
        <v>398110521600</v>
      </c>
      <c r="Y609" s="110">
        <f t="shared" si="264"/>
        <v>14.054203629554822</v>
      </c>
      <c r="Z609" s="111">
        <f t="shared" si="265"/>
        <v>-88.556921703911812</v>
      </c>
      <c r="AA609" s="72">
        <f t="shared" si="266"/>
        <v>91.443078296088188</v>
      </c>
      <c r="AB609" s="110">
        <f t="shared" ca="1" si="267"/>
        <v>-75.077748501621528</v>
      </c>
      <c r="AC609" s="111">
        <f t="shared" ca="1" si="268"/>
        <v>-141.3771750688741</v>
      </c>
      <c r="AD609" s="72">
        <f t="shared" ca="1" si="269"/>
        <v>38.622824931125905</v>
      </c>
    </row>
    <row r="610" spans="1:30">
      <c r="A610" s="118">
        <v>691830</v>
      </c>
      <c r="B610" s="101">
        <f t="shared" ca="1" si="243"/>
        <v>38568.94569544441</v>
      </c>
      <c r="C610" s="102">
        <f t="shared" ca="1" si="244"/>
        <v>1.5707703991999862</v>
      </c>
      <c r="D610" s="102">
        <f t="shared" si="245"/>
        <v>20.454870284018977</v>
      </c>
      <c r="E610" s="103">
        <f t="shared" si="246"/>
        <v>1.5218887191492869</v>
      </c>
      <c r="F610" s="101">
        <f t="shared" si="247"/>
        <v>236471.14708590004</v>
      </c>
      <c r="G610" s="104">
        <f t="shared" si="248"/>
        <v>1.5707920979491692</v>
      </c>
      <c r="H610" s="113">
        <f t="shared" si="249"/>
        <v>29558.893402388585</v>
      </c>
      <c r="I610" s="114">
        <f t="shared" si="250"/>
        <v>1.5707624960290902</v>
      </c>
      <c r="J610" s="101">
        <f t="shared" si="251"/>
        <v>43.480461799919752</v>
      </c>
      <c r="K610" s="104">
        <f t="shared" si="252"/>
        <v>1.5477954630199542</v>
      </c>
      <c r="L610" s="102">
        <f t="shared" si="253"/>
        <v>1.0000000000000004</v>
      </c>
      <c r="M610" s="103">
        <f t="shared" si="254"/>
        <v>2.825482455964349E-8</v>
      </c>
      <c r="N610" s="101">
        <f t="shared" si="255"/>
        <v>1</v>
      </c>
      <c r="O610" s="104">
        <f t="shared" si="256"/>
        <v>3.7673099412857998E-9</v>
      </c>
      <c r="P610" s="105">
        <f t="shared" ca="1" si="257"/>
        <v>60.274521443417584</v>
      </c>
      <c r="Q610" s="106">
        <f t="shared" ca="1" si="258"/>
        <v>2.4614620943601011</v>
      </c>
      <c r="R610" s="107">
        <f t="shared" ca="1" si="259"/>
        <v>-80.613040323396703</v>
      </c>
      <c r="S610" s="108">
        <f t="shared" ca="1" si="260"/>
        <v>-232.51594590896346</v>
      </c>
      <c r="T610" s="116">
        <f t="shared" ca="1" si="261"/>
        <v>-52.515945908963459</v>
      </c>
      <c r="V610" s="72">
        <f t="shared" ca="1" si="262"/>
        <v>691830</v>
      </c>
      <c r="W610" s="72">
        <f t="shared" si="263"/>
        <v>478628748900</v>
      </c>
      <c r="Y610" s="110">
        <f t="shared" si="264"/>
        <v>13.254716957775249</v>
      </c>
      <c r="Z610" s="111">
        <f t="shared" si="265"/>
        <v>-88.683842343931289</v>
      </c>
      <c r="AA610" s="72">
        <f t="shared" si="266"/>
        <v>91.316157656068711</v>
      </c>
      <c r="AB610" s="110">
        <f t="shared" ca="1" si="267"/>
        <v>-76.366532013337945</v>
      </c>
      <c r="AC610" s="111">
        <f t="shared" ca="1" si="268"/>
        <v>-143.83210356503224</v>
      </c>
      <c r="AD610" s="72">
        <f t="shared" ca="1" si="269"/>
        <v>36.167896434967759</v>
      </c>
    </row>
    <row r="611" spans="1:30">
      <c r="A611" s="118">
        <v>758580</v>
      </c>
      <c r="B611" s="101">
        <f t="shared" ca="1" si="243"/>
        <v>42290.202541080456</v>
      </c>
      <c r="C611" s="102">
        <f t="shared" ca="1" si="244"/>
        <v>1.5707726806560747</v>
      </c>
      <c r="D611" s="102">
        <f t="shared" si="245"/>
        <v>22.423912635193844</v>
      </c>
      <c r="E611" s="103">
        <f t="shared" si="246"/>
        <v>1.5261862817364589</v>
      </c>
      <c r="F611" s="101">
        <f t="shared" si="247"/>
        <v>259286.64954707399</v>
      </c>
      <c r="G611" s="104">
        <f t="shared" si="248"/>
        <v>1.5707924700594968</v>
      </c>
      <c r="H611" s="113">
        <f t="shared" si="249"/>
        <v>32410.831208570144</v>
      </c>
      <c r="I611" s="114">
        <f t="shared" si="250"/>
        <v>1.570765472911708</v>
      </c>
      <c r="J611" s="101">
        <f t="shared" si="251"/>
        <v>47.673476214855121</v>
      </c>
      <c r="K611" s="104">
        <f t="shared" si="252"/>
        <v>1.5498187638774621</v>
      </c>
      <c r="L611" s="102">
        <f t="shared" si="253"/>
        <v>1.0000000000000004</v>
      </c>
      <c r="M611" s="103">
        <f t="shared" si="254"/>
        <v>3.0980941581680993E-8</v>
      </c>
      <c r="N611" s="101">
        <f t="shared" si="255"/>
        <v>1</v>
      </c>
      <c r="O611" s="104">
        <f t="shared" si="256"/>
        <v>4.1307922108907996E-9</v>
      </c>
      <c r="P611" s="105">
        <f t="shared" ca="1" si="257"/>
        <v>70.176927395573443</v>
      </c>
      <c r="Q611" s="106">
        <f t="shared" ca="1" si="258"/>
        <v>2.507720266764391</v>
      </c>
      <c r="R611" s="107">
        <f t="shared" ca="1" si="259"/>
        <v>-82.735652039018021</v>
      </c>
      <c r="S611" s="108">
        <f t="shared" ca="1" si="260"/>
        <v>-235.0360196999568</v>
      </c>
      <c r="T611" s="116">
        <f t="shared" ca="1" si="261"/>
        <v>-55.036019699956796</v>
      </c>
      <c r="V611" s="72">
        <f t="shared" ca="1" si="262"/>
        <v>758580</v>
      </c>
      <c r="W611" s="72">
        <f t="shared" si="263"/>
        <v>575443616400</v>
      </c>
      <c r="Y611" s="110">
        <f t="shared" si="264"/>
        <v>12.455063505245851</v>
      </c>
      <c r="Z611" s="111">
        <f t="shared" si="265"/>
        <v>-88.799619566056165</v>
      </c>
      <c r="AA611" s="72">
        <f t="shared" si="266"/>
        <v>91.200380433943835</v>
      </c>
      <c r="AB611" s="110">
        <f t="shared" ca="1" si="267"/>
        <v>-77.689490276429879</v>
      </c>
      <c r="AC611" s="111">
        <f t="shared" ca="1" si="268"/>
        <v>-146.23640013390059</v>
      </c>
      <c r="AD611" s="72">
        <f t="shared" ca="1" si="269"/>
        <v>33.763599866099412</v>
      </c>
    </row>
    <row r="612" spans="1:30">
      <c r="A612" s="118">
        <v>831760</v>
      </c>
      <c r="B612" s="101">
        <f t="shared" ca="1" si="243"/>
        <v>46369.92652576496</v>
      </c>
      <c r="C612" s="102">
        <f t="shared" ca="1" si="244"/>
        <v>1.5707747610932663</v>
      </c>
      <c r="D612" s="102">
        <f t="shared" si="245"/>
        <v>24.58302802075087</v>
      </c>
      <c r="E612" s="103">
        <f t="shared" si="246"/>
        <v>1.5301066284228604</v>
      </c>
      <c r="F612" s="101">
        <f t="shared" si="247"/>
        <v>284299.9599607219</v>
      </c>
      <c r="G612" s="104">
        <f t="shared" si="248"/>
        <v>1.570792809383216</v>
      </c>
      <c r="H612" s="113">
        <f t="shared" si="249"/>
        <v>35537.495008940052</v>
      </c>
      <c r="I612" s="114">
        <f t="shared" si="250"/>
        <v>1.5707681875014579</v>
      </c>
      <c r="J612" s="101">
        <f t="shared" si="251"/>
        <v>52.270588535469685</v>
      </c>
      <c r="K612" s="104">
        <f t="shared" si="252"/>
        <v>1.551663942051396</v>
      </c>
      <c r="L612" s="102">
        <f t="shared" si="253"/>
        <v>1.0000000000000004</v>
      </c>
      <c r="M612" s="103">
        <f t="shared" si="254"/>
        <v>3.3969664333331987E-8</v>
      </c>
      <c r="N612" s="101">
        <f t="shared" si="255"/>
        <v>1</v>
      </c>
      <c r="O612" s="104">
        <f t="shared" si="256"/>
        <v>4.529288577777599E-9</v>
      </c>
      <c r="P612" s="105">
        <f t="shared" ca="1" si="257"/>
        <v>82.010807398128122</v>
      </c>
      <c r="Q612" s="106">
        <f t="shared" ca="1" si="258"/>
        <v>2.5523898774907949</v>
      </c>
      <c r="R612" s="107">
        <f t="shared" ca="1" si="259"/>
        <v>-84.890251376720286</v>
      </c>
      <c r="S612" s="108">
        <f t="shared" ca="1" si="260"/>
        <v>-237.47648443146065</v>
      </c>
      <c r="T612" s="116">
        <f t="shared" ca="1" si="261"/>
        <v>-57.476484431460648</v>
      </c>
      <c r="V612" s="72">
        <f t="shared" ca="1" si="262"/>
        <v>831760</v>
      </c>
      <c r="W612" s="72">
        <f t="shared" si="263"/>
        <v>691824697600</v>
      </c>
      <c r="Y612" s="110">
        <f t="shared" si="264"/>
        <v>11.655452116252496</v>
      </c>
      <c r="Z612" s="111">
        <f t="shared" si="265"/>
        <v>-88.905204246865054</v>
      </c>
      <c r="AA612" s="72">
        <f t="shared" si="266"/>
        <v>91.094795753134946</v>
      </c>
      <c r="AB612" s="110">
        <f t="shared" ca="1" si="267"/>
        <v>-79.044478225138775</v>
      </c>
      <c r="AC612" s="111">
        <f t="shared" ca="1" si="268"/>
        <v>-148.57128018459557</v>
      </c>
      <c r="AD612" s="72">
        <f t="shared" ca="1" si="269"/>
        <v>31.428719815404435</v>
      </c>
    </row>
    <row r="613" spans="1:30">
      <c r="A613" s="118">
        <v>912010</v>
      </c>
      <c r="B613" s="101">
        <f t="shared" ca="1" si="243"/>
        <v>50843.797115884867</v>
      </c>
      <c r="C613" s="102">
        <f t="shared" ca="1" si="244"/>
        <v>1.5707766587123224</v>
      </c>
      <c r="D613" s="102">
        <f t="shared" si="245"/>
        <v>26.95109928827365</v>
      </c>
      <c r="E613" s="103">
        <f t="shared" si="246"/>
        <v>1.5336835698847144</v>
      </c>
      <c r="F613" s="101">
        <f t="shared" si="247"/>
        <v>311729.83370624721</v>
      </c>
      <c r="G613" s="104">
        <f t="shared" si="248"/>
        <v>1.5707931188889093</v>
      </c>
      <c r="H613" s="113">
        <f t="shared" si="249"/>
        <v>38966.22922591203</v>
      </c>
      <c r="I613" s="114">
        <f t="shared" si="250"/>
        <v>1.5707706635470029</v>
      </c>
      <c r="J613" s="101">
        <f t="shared" si="251"/>
        <v>57.312003094605679</v>
      </c>
      <c r="K613" s="104">
        <f t="shared" si="252"/>
        <v>1.5533470893963566</v>
      </c>
      <c r="L613" s="102">
        <f t="shared" si="253"/>
        <v>1.0000000000000007</v>
      </c>
      <c r="M613" s="103">
        <f t="shared" si="254"/>
        <v>3.7247130865444477E-8</v>
      </c>
      <c r="N613" s="101">
        <f t="shared" si="255"/>
        <v>1</v>
      </c>
      <c r="O613" s="104">
        <f t="shared" si="256"/>
        <v>4.9662841153925995E-9</v>
      </c>
      <c r="P613" s="105">
        <f t="shared" ca="1" si="257"/>
        <v>96.176717103673937</v>
      </c>
      <c r="Q613" s="106">
        <f t="shared" ca="1" si="258"/>
        <v>2.5952481380907084</v>
      </c>
      <c r="R613" s="107">
        <f t="shared" ca="1" si="259"/>
        <v>-87.07520178385289</v>
      </c>
      <c r="S613" s="108">
        <f t="shared" ca="1" si="260"/>
        <v>-239.82355990285114</v>
      </c>
      <c r="T613" s="116">
        <f t="shared" ca="1" si="261"/>
        <v>-59.823559902851144</v>
      </c>
      <c r="V613" s="72">
        <f t="shared" ca="1" si="262"/>
        <v>912010</v>
      </c>
      <c r="W613" s="72">
        <f t="shared" si="263"/>
        <v>831762240100</v>
      </c>
      <c r="Y613" s="110">
        <f t="shared" si="264"/>
        <v>10.855688163715156</v>
      </c>
      <c r="Z613" s="111">
        <f t="shared" si="265"/>
        <v>-89.00151718980338</v>
      </c>
      <c r="AA613" s="72">
        <f t="shared" si="266"/>
        <v>90.99848281019662</v>
      </c>
      <c r="AB613" s="110">
        <f t="shared" ca="1" si="267"/>
        <v>-80.42966467973406</v>
      </c>
      <c r="AC613" s="111">
        <f t="shared" ca="1" si="268"/>
        <v>-150.82204271304775</v>
      </c>
      <c r="AD613" s="72">
        <f t="shared" ca="1" si="269"/>
        <v>29.17795728695225</v>
      </c>
    </row>
    <row r="614" spans="1:30">
      <c r="A614" s="118">
        <v>1000000</v>
      </c>
      <c r="B614" s="101">
        <f t="shared" ca="1" si="243"/>
        <v>55749.166252815659</v>
      </c>
      <c r="C614" s="102">
        <f t="shared" ca="1" si="244"/>
        <v>1.5707783893069076</v>
      </c>
      <c r="D614" s="102">
        <f t="shared" si="245"/>
        <v>29.547897435981231</v>
      </c>
      <c r="E614" s="103">
        <f t="shared" si="246"/>
        <v>1.5369465073254052</v>
      </c>
      <c r="F614" s="101">
        <f t="shared" si="247"/>
        <v>341805.28032146284</v>
      </c>
      <c r="G614" s="104">
        <f t="shared" si="248"/>
        <v>1.5707934011525571</v>
      </c>
      <c r="H614" s="113">
        <f t="shared" si="249"/>
        <v>42725.660051702573</v>
      </c>
      <c r="I614" s="114">
        <f t="shared" si="250"/>
        <v>1.5707729216561841</v>
      </c>
      <c r="J614" s="101">
        <f t="shared" si="251"/>
        <v>62.839810243297279</v>
      </c>
      <c r="K614" s="104">
        <f t="shared" si="252"/>
        <v>1.554882176077262</v>
      </c>
      <c r="L614" s="102">
        <f t="shared" si="253"/>
        <v>1.0000000000000009</v>
      </c>
      <c r="M614" s="103">
        <f t="shared" si="254"/>
        <v>4.0840704449999978E-8</v>
      </c>
      <c r="N614" s="101">
        <f t="shared" si="255"/>
        <v>1</v>
      </c>
      <c r="O614" s="104">
        <f t="shared" si="256"/>
        <v>5.4454272599999988E-9</v>
      </c>
      <c r="P614" s="105">
        <f t="shared" ca="1" si="257"/>
        <v>113.15076150607594</v>
      </c>
      <c r="Q614" s="106">
        <f t="shared" ca="1" si="258"/>
        <v>2.6361058988614037</v>
      </c>
      <c r="R614" s="107">
        <f t="shared" ca="1" si="259"/>
        <v>-89.287743993437587</v>
      </c>
      <c r="S614" s="108">
        <f t="shared" ca="1" si="260"/>
        <v>-242.06552437147684</v>
      </c>
      <c r="T614" s="116">
        <f t="shared" ca="1" si="261"/>
        <v>-62.06552437147684</v>
      </c>
      <c r="V614" s="72">
        <f t="shared" ca="1" si="262"/>
        <v>1000000</v>
      </c>
      <c r="W614" s="72">
        <f t="shared" si="263"/>
        <v>1000000000000</v>
      </c>
      <c r="Y614" s="110">
        <f t="shared" si="264"/>
        <v>10.055902616911228</v>
      </c>
      <c r="Z614" s="111">
        <f t="shared" si="265"/>
        <v>-89.089357791852592</v>
      </c>
      <c r="AA614" s="72">
        <f t="shared" si="266"/>
        <v>90.910642208147408</v>
      </c>
      <c r="AB614" s="110">
        <f t="shared" ca="1" si="267"/>
        <v>-81.842421342514825</v>
      </c>
      <c r="AC614" s="111">
        <f t="shared" ca="1" si="268"/>
        <v>-152.97616657962419</v>
      </c>
      <c r="AD614" s="72">
        <f t="shared" ca="1" si="269"/>
        <v>27.023833420375809</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7244.4</v>
      </c>
      <c r="B618" s="101">
        <f t="shared" ref="B618:B623" ca="1" si="270">SQRT(1+(A618/Pole1)^2)</f>
        <v>403.87049795943148</v>
      </c>
      <c r="C618" s="102">
        <f t="shared" ref="C618:C623" ca="1" si="271">ATAN(A618/Pole1)</f>
        <v>1.5683202830460909</v>
      </c>
      <c r="D618" s="102">
        <f t="shared" ref="D618:D623" ca="1" si="272">SQRT(1+(A618/Zero1)^2)</f>
        <v>1.0226279026296972</v>
      </c>
      <c r="E618" s="103">
        <f t="shared" ref="E618:E623" ca="1" si="273">ATAN(A618/Zero1)</f>
        <v>0.21075719424190775</v>
      </c>
      <c r="F618" s="101">
        <f t="shared" ref="F618:F623" ca="1" si="274">SQRT(1+(A618/Pole2)^2)</f>
        <v>2476.174374674606</v>
      </c>
      <c r="G618" s="104">
        <f t="shared" ref="G618:G623" ca="1" si="275">ATAN(A618/Pole2)</f>
        <v>1.5703924780040319</v>
      </c>
      <c r="H618" s="113">
        <f t="shared" ref="H618:H623" ca="1" si="276">SQRT(1+(A618/Zero2)^2)</f>
        <v>309.52338698481191</v>
      </c>
      <c r="I618" s="114">
        <f t="shared" ref="I618:I623" ca="1" si="277">ATAN(A618/Zero2)</f>
        <v>1.5675655475332735</v>
      </c>
      <c r="J618" s="101">
        <f t="shared" ref="J618:J623" ca="1" si="278">SQRT(1+(A618/pole4)^2)</f>
        <v>1.0987210706602382</v>
      </c>
      <c r="K618" s="104">
        <f t="shared" ref="K618:K623" ca="1" si="279">ATAN(A618/pole4)</f>
        <v>0.42715249229007235</v>
      </c>
      <c r="L618" s="102">
        <f t="shared" ref="L618:L623" ca="1" si="280">SQRT(1+(A618/Zerofeed)^2)</f>
        <v>1</v>
      </c>
      <c r="M618" s="103">
        <f t="shared" ref="M618:M623" ca="1" si="281">ATAN(A618/Zerofeed)</f>
        <v>2.9586639931757995E-10</v>
      </c>
      <c r="N618" s="101">
        <f t="shared" ref="N618:N623" ca="1" si="282">SQRT(1+(A618/Polefeed)^2)</f>
        <v>1</v>
      </c>
      <c r="O618" s="104">
        <f t="shared" ref="O618:O623" ca="1" si="283">ATAN(A618/Polefeed)</f>
        <v>3.944885324234399E-11</v>
      </c>
      <c r="P618" s="105">
        <f t="shared" ref="P618:P623" ca="1" si="284">SQRT((1-(W618/pterm2))^2+(A618/pterm1)^2)</f>
        <v>1.0710206394582473</v>
      </c>
      <c r="Q618" s="106">
        <f t="shared" ref="Q618:Q623" ca="1" si="285">IF((ATAN((A618/pterm1)/(1-A618^2/pterm2))&gt;0),ATAN((A618/pterm1)/(1-A618^2/pterm2)),PI()+ATAN((A618/pterm1)/(1-A618^2/pterm2)))</f>
        <v>0.37966538401087907</v>
      </c>
      <c r="R618" s="107">
        <f t="shared" ref="R618:R623" ca="1" si="286">20*LOG10(((D618*H618*L618)/(B618*F618*P618*J618*N618))*Adc)</f>
        <v>-7.9812271611893817E-2</v>
      </c>
      <c r="S618" s="108">
        <f t="shared" ref="S618:S623" ca="1" si="287">((E618+I618+M618)-(C618+G618+Q618+K618+O618))*radconv</f>
        <v>-124.17186587112292</v>
      </c>
      <c r="T618" s="116">
        <f t="shared" ref="T618:T623" ca="1" si="288">IF(S618&gt;0,S618,S618+180)</f>
        <v>55.828134128877082</v>
      </c>
      <c r="U618" s="72" t="s">
        <v>134</v>
      </c>
      <c r="W618" s="72">
        <f ca="1">A618^2</f>
        <v>52481331.359999992</v>
      </c>
      <c r="Y618" s="110">
        <f t="shared" ref="Y618:Y623" ca="1" si="289">20*LOG10(((H618*L618)/(F618*J618*N618))*Aea)</f>
        <v>45.202895471362325</v>
      </c>
      <c r="Z618" s="111">
        <f t="shared" ref="Z618:Z623" ca="1" si="290">(I618+M618-(G618+K618+O618))*radconv</f>
        <v>-24.636006215126063</v>
      </c>
      <c r="AA618" s="72">
        <f t="shared" ref="AA618:AA623" ca="1" si="291">IF(Z618&gt;0,Z618,Z618+180)</f>
        <v>155.36399378487394</v>
      </c>
      <c r="AB618" s="110">
        <f t="shared" ref="AB618:AB623" ca="1" si="292">20*LOG10((D618/(B618*P618))*Acs*Am)</f>
        <v>-27.781482475140216</v>
      </c>
      <c r="AC618" s="111">
        <f t="shared" ref="AC618:AC623" ca="1" si="293">(E618-(C618+Q618))*radconv</f>
        <v>-99.53585965599683</v>
      </c>
      <c r="AD618" s="72">
        <f t="shared" ref="AD618:AD623" ca="1" si="294">IF(AC618&gt;0,AC618,AC618+180)</f>
        <v>80.46414034400317</v>
      </c>
    </row>
    <row r="619" spans="1:30">
      <c r="A619" s="122">
        <f ca="1">Pole1</f>
        <v>17.937487990869656</v>
      </c>
      <c r="B619" s="101">
        <f t="shared" ca="1" si="270"/>
        <v>1.4142135623730951</v>
      </c>
      <c r="C619" s="102">
        <f t="shared" ca="1" si="271"/>
        <v>0.78539816339744828</v>
      </c>
      <c r="D619" s="102">
        <f t="shared" ca="1" si="272"/>
        <v>1.0000001402970928</v>
      </c>
      <c r="E619" s="103">
        <f t="shared" ca="1" si="273"/>
        <v>5.2971138651220135E-4</v>
      </c>
      <c r="F619" s="101">
        <f t="shared" ca="1" si="274"/>
        <v>6.2121439063299952</v>
      </c>
      <c r="G619" s="104">
        <f t="shared" ca="1" si="275"/>
        <v>1.4091178477916511</v>
      </c>
      <c r="H619" s="113">
        <f t="shared" ca="1" si="276"/>
        <v>1.2599028478973642</v>
      </c>
      <c r="I619" s="114">
        <f t="shared" ca="1" si="277"/>
        <v>0.65390909212610893</v>
      </c>
      <c r="J619" s="101">
        <f t="shared" ca="1" si="278"/>
        <v>1.0000006351157003</v>
      </c>
      <c r="K619" s="104">
        <f t="shared" ca="1" si="279"/>
        <v>1.1270451314288924E-3</v>
      </c>
      <c r="L619" s="102">
        <f t="shared" ca="1" si="280"/>
        <v>1</v>
      </c>
      <c r="M619" s="103">
        <f t="shared" ca="1" si="281"/>
        <v>7.3257964561053184E-13</v>
      </c>
      <c r="N619" s="101">
        <f t="shared" ca="1" si="282"/>
        <v>1</v>
      </c>
      <c r="O619" s="104">
        <f t="shared" ca="1" si="283"/>
        <v>9.7677286081404238E-14</v>
      </c>
      <c r="P619" s="105">
        <f t="shared" ca="1" si="284"/>
        <v>1.0000004829671059</v>
      </c>
      <c r="Q619" s="106">
        <f t="shared" ca="1" si="285"/>
        <v>9.8281935524723138E-4</v>
      </c>
      <c r="R619" s="107">
        <f t="shared" ca="1" si="286"/>
        <v>54.457741090491105</v>
      </c>
      <c r="S619" s="108">
        <f t="shared" ca="1" si="287"/>
        <v>-88.360810555516636</v>
      </c>
      <c r="T619" s="116">
        <f t="shared" ca="1" si="288"/>
        <v>91.639189444483364</v>
      </c>
      <c r="U619" s="72" t="s">
        <v>107</v>
      </c>
      <c r="Y619" s="110">
        <f t="shared" ca="1" si="289"/>
        <v>50.224305134031965</v>
      </c>
      <c r="Z619" s="111">
        <f t="shared" ca="1" si="290"/>
        <v>-43.334849329794714</v>
      </c>
      <c r="AA619" s="72">
        <f t="shared" ca="1" si="291"/>
        <v>136.66515067020529</v>
      </c>
      <c r="AB619" s="110">
        <f t="shared" ca="1" si="292"/>
        <v>21.734661224293138</v>
      </c>
      <c r="AC619" s="111">
        <f t="shared" ca="1" si="293"/>
        <v>-45.025961225721922</v>
      </c>
      <c r="AD619" s="72">
        <f t="shared" ca="1" si="294"/>
        <v>134.97403877427809</v>
      </c>
    </row>
    <row r="620" spans="1:30">
      <c r="A620" s="122">
        <f>Zero1</f>
        <v>33862.753888033272</v>
      </c>
      <c r="B620" s="101">
        <f t="shared" ca="1" si="270"/>
        <v>1887.8205608341398</v>
      </c>
      <c r="C620" s="102">
        <f t="shared" ca="1" si="271"/>
        <v>1.5702666154083844</v>
      </c>
      <c r="D620" s="102">
        <f t="shared" si="272"/>
        <v>1.4142135623730951</v>
      </c>
      <c r="E620" s="103">
        <f t="shared" si="273"/>
        <v>0.78539816339744828</v>
      </c>
      <c r="F620" s="101">
        <f t="shared" si="274"/>
        <v>11574.468128304914</v>
      </c>
      <c r="G620" s="104">
        <f t="shared" si="275"/>
        <v>1.5707099297362881</v>
      </c>
      <c r="H620" s="113">
        <f t="shared" si="276"/>
        <v>1446.808856226492</v>
      </c>
      <c r="I620" s="114">
        <f t="shared" si="277"/>
        <v>1.5701051504343724</v>
      </c>
      <c r="J620" s="101">
        <f t="shared" si="278"/>
        <v>2.3509434839710019</v>
      </c>
      <c r="K620" s="104">
        <f t="shared" si="279"/>
        <v>1.1314354395103052</v>
      </c>
      <c r="L620" s="102">
        <f t="shared" si="280"/>
        <v>1</v>
      </c>
      <c r="M620" s="103">
        <f t="shared" si="281"/>
        <v>1.3829787234042552E-9</v>
      </c>
      <c r="N620" s="101">
        <f t="shared" si="282"/>
        <v>1</v>
      </c>
      <c r="O620" s="104">
        <f t="shared" si="283"/>
        <v>1.8439716312056734E-10</v>
      </c>
      <c r="P620" s="105">
        <f t="shared" ca="1" si="284"/>
        <v>2.1077145002126891</v>
      </c>
      <c r="Q620" s="106">
        <f t="shared" ca="1" si="285"/>
        <v>1.1255805175749882</v>
      </c>
      <c r="R620" s="107">
        <f t="shared" ca="1" si="286"/>
        <v>-23.145652879300211</v>
      </c>
      <c r="S620" s="108">
        <f t="shared" ca="1" si="287"/>
        <v>-174.32178983991497</v>
      </c>
      <c r="T620" s="116">
        <f t="shared" ca="1" si="288"/>
        <v>5.6782101600850297</v>
      </c>
      <c r="U620" s="72" t="s">
        <v>101</v>
      </c>
      <c r="Y620" s="110">
        <f t="shared" si="289"/>
        <v>38.59575817696247</v>
      </c>
      <c r="Z620" s="111">
        <f t="shared" si="290"/>
        <v>-64.861126782447428</v>
      </c>
      <c r="AA620" s="72">
        <f t="shared" si="291"/>
        <v>115.13887321755257</v>
      </c>
      <c r="AB620" s="110">
        <f t="shared" ca="1" si="292"/>
        <v>-44.240185788428683</v>
      </c>
      <c r="AC620" s="111">
        <f t="shared" ca="1" si="293"/>
        <v>-109.46066305746746</v>
      </c>
      <c r="AD620" s="72">
        <f t="shared" ca="1" si="294"/>
        <v>70.539336942532543</v>
      </c>
    </row>
    <row r="621" spans="1:30">
      <c r="A621" s="122">
        <f>Pole2</f>
        <v>2.9256423395911098</v>
      </c>
      <c r="B621" s="101">
        <f t="shared" ca="1" si="270"/>
        <v>1.0132138480729818</v>
      </c>
      <c r="C621" s="102">
        <f t="shared" ca="1" si="271"/>
        <v>0.16167847900324547</v>
      </c>
      <c r="D621" s="102">
        <f t="shared" si="272"/>
        <v>1.0000000037322259</v>
      </c>
      <c r="E621" s="103">
        <f t="shared" si="273"/>
        <v>8.6397058608560503E-5</v>
      </c>
      <c r="F621" s="101">
        <f t="shared" si="274"/>
        <v>1.4142135623730951</v>
      </c>
      <c r="G621" s="104">
        <f t="shared" si="275"/>
        <v>0.78539816339744828</v>
      </c>
      <c r="H621" s="113">
        <f t="shared" si="276"/>
        <v>1.0077822185373186</v>
      </c>
      <c r="I621" s="114">
        <f t="shared" si="277"/>
        <v>0.12435499454676144</v>
      </c>
      <c r="J621" s="101">
        <f t="shared" si="278"/>
        <v>1.0000000168955447</v>
      </c>
      <c r="K621" s="104">
        <f t="shared" si="279"/>
        <v>1.8382352734123226E-4</v>
      </c>
      <c r="L621" s="102">
        <f t="shared" si="280"/>
        <v>1</v>
      </c>
      <c r="M621" s="103">
        <f t="shared" si="281"/>
        <v>1.1948529411764704E-13</v>
      </c>
      <c r="N621" s="101">
        <f t="shared" si="282"/>
        <v>1</v>
      </c>
      <c r="O621" s="104">
        <f t="shared" si="283"/>
        <v>1.5931372549019606E-14</v>
      </c>
      <c r="P621" s="105">
        <f t="shared" ca="1" si="284"/>
        <v>1.0000000128480397</v>
      </c>
      <c r="Q621" s="106">
        <f t="shared" ca="1" si="285"/>
        <v>1.6029996677736531E-4</v>
      </c>
      <c r="R621" s="107">
        <f t="shared" ca="1" si="286"/>
        <v>68.269149849284332</v>
      </c>
      <c r="S621" s="108">
        <f t="shared" ca="1" si="287"/>
        <v>-47.153244826976838</v>
      </c>
      <c r="T621" s="116">
        <f t="shared" ca="1" si="288"/>
        <v>132.84675517302315</v>
      </c>
      <c r="U621" s="72" t="s">
        <v>111</v>
      </c>
      <c r="X621" s="72">
        <f>Pole2</f>
        <v>2.9256423395911098</v>
      </c>
      <c r="Y621" s="110">
        <f t="shared" si="289"/>
        <v>61.13943337631553</v>
      </c>
      <c r="Z621" s="111">
        <f t="shared" si="290"/>
        <v>-37.885516006674635</v>
      </c>
      <c r="AA621" s="72">
        <f t="shared" si="291"/>
        <v>142.11448399332536</v>
      </c>
      <c r="AB621" s="110">
        <f t="shared" ca="1" si="292"/>
        <v>24.630941740802797</v>
      </c>
      <c r="AC621" s="111">
        <f t="shared" ca="1" si="293"/>
        <v>-9.2677288203022012</v>
      </c>
      <c r="AD621" s="72">
        <f t="shared" ca="1" si="294"/>
        <v>170.73227117969779</v>
      </c>
    </row>
    <row r="622" spans="1:30">
      <c r="A622" s="122">
        <f>Zero2</f>
        <v>23.405138716728878</v>
      </c>
      <c r="B622" s="101">
        <f t="shared" ca="1" si="270"/>
        <v>1.6439426155796917</v>
      </c>
      <c r="C622" s="102">
        <f t="shared" ca="1" si="271"/>
        <v>0.91688723466878763</v>
      </c>
      <c r="D622" s="102">
        <f t="shared" si="272"/>
        <v>1.0000002388624283</v>
      </c>
      <c r="E622" s="103">
        <f t="shared" si="273"/>
        <v>6.9117636052419356E-4</v>
      </c>
      <c r="F622" s="101">
        <f t="shared" si="274"/>
        <v>8.0622577482985491</v>
      </c>
      <c r="G622" s="104">
        <f t="shared" si="275"/>
        <v>1.4464413322481351</v>
      </c>
      <c r="H622" s="113">
        <f t="shared" si="276"/>
        <v>1.4142135623730951</v>
      </c>
      <c r="I622" s="114">
        <f t="shared" si="277"/>
        <v>0.78539816339744828</v>
      </c>
      <c r="J622" s="101">
        <f t="shared" si="278"/>
        <v>1.0000010813142943</v>
      </c>
      <c r="K622" s="104">
        <f t="shared" si="279"/>
        <v>1.4705871751828669E-3</v>
      </c>
      <c r="L622" s="102">
        <f t="shared" si="280"/>
        <v>1</v>
      </c>
      <c r="M622" s="103">
        <f t="shared" si="281"/>
        <v>9.5588235294117628E-13</v>
      </c>
      <c r="N622" s="101">
        <f t="shared" si="282"/>
        <v>1</v>
      </c>
      <c r="O622" s="104">
        <f t="shared" si="283"/>
        <v>1.2745098039215684E-13</v>
      </c>
      <c r="P622" s="105">
        <f t="shared" ca="1" si="284"/>
        <v>1.0000008222742138</v>
      </c>
      <c r="Q622" s="106">
        <f t="shared" ca="1" si="285"/>
        <v>1.2823991113662058E-3</v>
      </c>
      <c r="R622" s="107">
        <f t="shared" ca="1" si="286"/>
        <v>51.889557398562793</v>
      </c>
      <c r="S622" s="108">
        <f t="shared" ca="1" si="287"/>
        <v>-90.526885597354834</v>
      </c>
      <c r="T622" s="116">
        <f t="shared" ca="1" si="288"/>
        <v>89.473114402645166</v>
      </c>
      <c r="U622" s="72" t="s">
        <v>105</v>
      </c>
      <c r="X622" s="72">
        <f>Zero2</f>
        <v>23.405138716728878</v>
      </c>
      <c r="Y622" s="110">
        <f t="shared" si="289"/>
        <v>48.963556651158207</v>
      </c>
      <c r="Z622" s="111">
        <f t="shared" si="290"/>
        <v>-37.959242132969528</v>
      </c>
      <c r="AA622" s="72">
        <f t="shared" si="291"/>
        <v>142.04075786703046</v>
      </c>
      <c r="AB622" s="110">
        <f t="shared" ca="1" si="292"/>
        <v>20.427226015238588</v>
      </c>
      <c r="AC622" s="111">
        <f t="shared" ca="1" si="293"/>
        <v>-52.567643464385277</v>
      </c>
      <c r="AD622" s="72">
        <f t="shared" ca="1" si="294"/>
        <v>127.43235653561473</v>
      </c>
    </row>
    <row r="623" spans="1:30">
      <c r="A623" s="122">
        <f>Pole3</f>
        <v>100000</v>
      </c>
      <c r="B623" s="101">
        <f t="shared" ca="1" si="270"/>
        <v>5574.9167140721302</v>
      </c>
      <c r="C623" s="102">
        <f t="shared" ca="1" si="271"/>
        <v>1.5706169519169118</v>
      </c>
      <c r="D623" s="102">
        <f t="shared" si="272"/>
        <v>3.1178169331878136</v>
      </c>
      <c r="E623" s="103">
        <f t="shared" si="273"/>
        <v>1.2442885790176574</v>
      </c>
      <c r="F623" s="101">
        <f t="shared" si="274"/>
        <v>34180.528046628213</v>
      </c>
      <c r="G623" s="104">
        <f t="shared" si="275"/>
        <v>1.5707670703715091</v>
      </c>
      <c r="H623" s="113">
        <f t="shared" si="276"/>
        <v>4272.5661210256922</v>
      </c>
      <c r="I623" s="114">
        <f t="shared" si="277"/>
        <v>1.5705622754120032</v>
      </c>
      <c r="J623" s="101">
        <f t="shared" si="278"/>
        <v>6.3622651244769814</v>
      </c>
      <c r="K623" s="104">
        <f t="shared" si="279"/>
        <v>1.4129651363293696</v>
      </c>
      <c r="L623" s="102">
        <f t="shared" si="280"/>
        <v>1</v>
      </c>
      <c r="M623" s="103">
        <f t="shared" si="281"/>
        <v>4.0840704449999998E-9</v>
      </c>
      <c r="N623" s="101">
        <f t="shared" si="282"/>
        <v>1</v>
      </c>
      <c r="O623" s="104">
        <f t="shared" si="283"/>
        <v>5.4454272599999995E-10</v>
      </c>
      <c r="P623" s="105">
        <f t="shared" ca="1" si="284"/>
        <v>5.5696452574691637</v>
      </c>
      <c r="Q623" s="106" t="e">
        <f t="shared" ca="1" si="285"/>
        <v>#DIV/0!</v>
      </c>
      <c r="R623" s="107">
        <f t="shared" ca="1" si="286"/>
        <v>-42.772202362529086</v>
      </c>
      <c r="S623" s="108" t="e">
        <f t="shared" ca="1" si="287"/>
        <v>#DIV/0!</v>
      </c>
      <c r="T623" s="116" t="e">
        <f t="shared" ca="1" si="288"/>
        <v>#DIV/0!</v>
      </c>
      <c r="U623" s="72" t="s">
        <v>102</v>
      </c>
      <c r="Y623" s="110">
        <f t="shared" si="289"/>
        <v>29.948364891343431</v>
      </c>
      <c r="Z623" s="111">
        <f t="shared" si="290"/>
        <v>-80.968672687365284</v>
      </c>
      <c r="AA623" s="72">
        <f t="shared" si="291"/>
        <v>99.031327312634716</v>
      </c>
      <c r="AB623" s="110">
        <f t="shared" ca="1" si="292"/>
        <v>-55.219341986038522</v>
      </c>
      <c r="AC623" s="111" t="e">
        <f t="shared" ca="1" si="293"/>
        <v>#DIV/0!</v>
      </c>
      <c r="AD623" s="72" t="e">
        <f t="shared" ca="1" si="294"/>
        <v>#DIV/0!</v>
      </c>
    </row>
    <row r="624" spans="1:30" ht="13.8"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N12:O12"/>
    <mergeCell ref="AB11:AC11"/>
    <mergeCell ref="Y11:Z11"/>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5.6"/>
  <cols>
    <col min="1" max="1" width="10.59765625" customWidth="1"/>
    <col min="2" max="2" width="11.69921875" customWidth="1"/>
    <col min="3" max="3" width="9.69921875" customWidth="1"/>
    <col min="4" max="4" width="11.09765625" customWidth="1"/>
    <col min="5" max="5" width="17.3984375" customWidth="1"/>
    <col min="6" max="6" width="16.59765625" customWidth="1"/>
    <col min="7" max="7" width="8.69921875" customWidth="1"/>
    <col min="9" max="9" width="10" customWidth="1"/>
    <col min="15" max="15" width="10.09765625" customWidth="1"/>
    <col min="16" max="16" width="10" customWidth="1"/>
    <col min="20" max="20" width="13.5" customWidth="1"/>
    <col min="21" max="21" width="13.69921875" customWidth="1"/>
    <col min="22" max="22" width="8" customWidth="1"/>
    <col min="23" max="23" width="7.59765625" customWidth="1"/>
    <col min="24" max="27" width="8.09765625" customWidth="1"/>
    <col min="37" max="37" width="9.5" customWidth="1"/>
    <col min="38" max="39" width="9.59765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5.4661613539686134E-2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Windows User</cp:lastModifiedBy>
  <dcterms:created xsi:type="dcterms:W3CDTF">2008-04-24T14:54:09Z</dcterms:created>
  <dcterms:modified xsi:type="dcterms:W3CDTF">2026-08-25T13:52:18Z</dcterms:modified>
</cp:coreProperties>
</file>